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tables/table2.xml" ContentType="application/vnd.openxmlformats-officedocument.spreadsheetml.table+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me" sheetId="1" state="visible" r:id="rId1"/>
    <sheet xmlns:r="http://schemas.openxmlformats.org/officeDocument/2006/relationships" name="Query" sheetId="2" state="visible" r:id="rId2"/>
    <sheet xmlns:r="http://schemas.openxmlformats.org/officeDocument/2006/relationships" name="Data Transfer" sheetId="3" state="visible" r:id="rId3"/>
    <sheet xmlns:r="http://schemas.openxmlformats.org/officeDocument/2006/relationships" name="Compliance Database" sheetId="4" state="visible" r:id="rId4"/>
    <sheet xmlns:r="http://schemas.openxmlformats.org/officeDocument/2006/relationships" name="Acts" sheetId="5" state="visible" r:id="rId5"/>
    <sheet xmlns:r="http://schemas.openxmlformats.org/officeDocument/2006/relationships" name="Regulators" sheetId="6" state="visible" r:id="rId6"/>
    <sheet xmlns:r="http://schemas.openxmlformats.org/officeDocument/2006/relationships" name="Topics" sheetId="7" state="visible" r:id="rId7"/>
    <sheet xmlns:r="http://schemas.openxmlformats.org/officeDocument/2006/relationships" name="Lists" sheetId="8" state="hidden" r:id="rId8"/>
    <sheet xmlns:r="http://schemas.openxmlformats.org/officeDocument/2006/relationships" name="Engine" sheetId="9" state="hidden" r:id="rId9"/>
    <sheet xmlns:r="http://schemas.openxmlformats.org/officeDocument/2006/relationships" name="Transfer Engine" sheetId="10" state="hidden" r:id="rId1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1"/>
    </font>
    <font>
      <b val="1"/>
      <color rgb="00FFFFFF"/>
      <sz val="16"/>
    </font>
    <font>
      <i val="1"/>
    </font>
    <font>
      <b val="1"/>
    </font>
    <font>
      <b val="1"/>
      <sz val="13"/>
    </font>
  </fonts>
  <fills count="4">
    <fill>
      <patternFill/>
    </fill>
    <fill>
      <patternFill patternType="gray125"/>
    </fill>
    <fill>
      <patternFill patternType="solid">
        <fgColor rgb="00D9EAD3"/>
      </patternFill>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2" fillId="3" borderId="0" pivotButton="0" quotePrefix="0" xfId="0"/>
    <xf numFmtId="0" fontId="4" fillId="0" borderId="0" pivotButton="0" quotePrefix="0" xfId="0"/>
    <xf numFmtId="0" fontId="5" fillId="0" borderId="0" pivotButton="0" quotePrefix="0" xfId="0"/>
    <xf numFmtId="0" fontId="0" fillId="0" borderId="0" applyAlignment="1" pivotButton="0" quotePrefix="0" xfId="0">
      <alignment wrapText="1"/>
    </xf>
    <xf numFmtId="0" fontId="3" fillId="0" borderId="0" pivotButton="0" quotePrefix="0" xfId="0"/>
    <xf numFmtId="0" fontId="0" fillId="2" borderId="0" pivotButton="0" quotePrefix="0" xfId="0"/>
    <xf numFmtId="0" fontId="1" fillId="2" borderId="0" pivotButton="0" quotePrefix="0" xfId="0"/>
    <xf numFmtId="0" fontId="0" fillId="0" borderId="0" applyAlignment="1" pivotButton="0" quotePrefix="0" xfId="0">
      <alignment vertical="top" wrapText="1"/>
    </xf>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ables/table1.xml><?xml version="1.0" encoding="utf-8"?>
<table xmlns="http://schemas.openxmlformats.org/spreadsheetml/2006/main" id="1" name="ComplianceTable" displayName="ComplianceTable" ref="A1:O622" headerRowCount="1">
  <autoFilter ref="A1:O622"/>
  <tableColumns count="15">
    <tableColumn id="1" name="Country"/>
    <tableColumn id="2" name="Act"/>
    <tableColumn id="3" name="Section"/>
    <tableColumn id="4" name="Heading"/>
    <tableColumn id="5" name="Pages"/>
    <tableColumn id="6" name="Category"/>
    <tableColumn id="7" name="Financial Relevance"/>
    <tableColumn id="8" name="Confidence"/>
    <tableColumn id="9" name="Topics"/>
    <tableColumn id="10" name="Data Types"/>
    <tableColumn id="11" name="Authority"/>
    <tableColumn id="12" name="Summary"/>
    <tableColumn id="13" name="DTIA Summary"/>
    <tableColumn id="14" name="Requirements"/>
    <tableColumn id="15" name="Source Quote"/>
  </tableColumns>
  <tableStyleInfo name="TableStyleMedium2" showFirstColumn="0" showLastColumn="0" showRowStripes="1" showColumnStripes="0"/>
</table>
</file>

<file path=xl/tables/table2.xml><?xml version="1.0" encoding="utf-8"?>
<table xmlns="http://schemas.openxmlformats.org/spreadsheetml/2006/main" id="2" name="ActsTable" displayName="ActsTable" ref="A1:F53" headerRowCount="1">
  <autoFilter ref="A1:F53"/>
  <tableColumns count="6">
    <tableColumn id="1" name="Country"/>
    <tableColumn id="2" name="Act"/>
    <tableColumn id="3" name="Sections"/>
    <tableColumn id="4" name="Regulators"/>
    <tableColumn id="5" name="Topics"/>
    <tableColumn id="6" name="Financial Relevance"/>
  </tableColumns>
  <tableStyleInfo name="TableStyleMedium2" showFirstColumn="0" showLastColumn="0" showRowStripes="1" showColumnStripes="0"/>
</table>
</file>

<file path=xl/tables/table3.xml><?xml version="1.0" encoding="utf-8"?>
<table xmlns="http://schemas.openxmlformats.org/spreadsheetml/2006/main" id="3" name="RegulatorTable" displayName="RegulatorTable" ref="A1:C71" headerRowCount="1">
  <autoFilter ref="A1:C71"/>
  <tableColumns count="3">
    <tableColumn id="1" name="Authority"/>
    <tableColumn id="2" name="Countries"/>
    <tableColumn id="3" name="Acts"/>
  </tableColumns>
  <tableStyleInfo name="TableStyleMedium2" showFirstColumn="0" showLastColumn="0" showRowStripes="1" showColumnStripes="0"/>
</table>
</file>

<file path=xl/tables/table4.xml><?xml version="1.0" encoding="utf-8"?>
<table xmlns="http://schemas.openxmlformats.org/spreadsheetml/2006/main" id="4" name="TopicTable" displayName="TopicTable" ref="A1:B40" headerRowCount="1">
  <autoFilter ref="A1:B40"/>
  <tableColumns count="2">
    <tableColumn id="1" name="Topic"/>
    <tableColumn id="2" name="Section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Relationships>
</file>

<file path=xl/worksheets/_rels/sheet5.xml.rels><Relationships xmlns="http://schemas.openxmlformats.org/package/2006/relationships"><Relationship Type="http://schemas.openxmlformats.org/officeDocument/2006/relationships/table" Target="/xl/tables/table2.xml" Id="rId1"/></Relationships>
</file>

<file path=xl/worksheets/_rels/sheet6.xml.rels><Relationships xmlns="http://schemas.openxmlformats.org/package/2006/relationships"><Relationship Type="http://schemas.openxmlformats.org/officeDocument/2006/relationships/table" Target="/xl/tables/table3.xml" Id="rId1"/></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C15"/>
  <sheetViews>
    <sheetView showGridLines="0" workbookViewId="0">
      <selection activeCell="A1" sqref="A1"/>
    </sheetView>
  </sheetViews>
  <sheetFormatPr baseColWidth="8" defaultRowHeight="15"/>
  <cols>
    <col width="26" customWidth="1" min="1" max="1"/>
    <col width="14" customWidth="1" min="2" max="2"/>
  </cols>
  <sheetData>
    <row r="1">
      <c r="A1" s="1" t="inlineStr">
        <is>
          <t>DTIA Compliance Knowledge Base</t>
        </is>
      </c>
    </row>
    <row r="3">
      <c r="A3" s="2" t="inlineStr">
        <is>
          <t>Countries</t>
        </is>
      </c>
      <c r="B3" t="n">
        <v>9</v>
      </c>
    </row>
    <row r="4">
      <c r="A4" s="2" t="inlineStr">
        <is>
          <t>Acts</t>
        </is>
      </c>
      <c r="B4" t="n">
        <v>52</v>
      </c>
    </row>
    <row r="5">
      <c r="A5" s="2" t="inlineStr">
        <is>
          <t>Regulators</t>
        </is>
      </c>
      <c r="B5" t="n">
        <v>70</v>
      </c>
    </row>
    <row r="6">
      <c r="A6" s="2" t="inlineStr">
        <is>
          <t>Topics</t>
        </is>
      </c>
      <c r="B6" t="n">
        <v>39</v>
      </c>
    </row>
    <row r="7">
      <c r="A7" s="2" t="inlineStr">
        <is>
          <t>Compliance sections</t>
        </is>
      </c>
      <c r="B7" t="n">
        <v>621</v>
      </c>
    </row>
    <row r="10">
      <c r="A10" s="3" t="inlineStr">
        <is>
          <t>How to use</t>
        </is>
      </c>
    </row>
    <row r="11">
      <c r="A11" s="4" t="inlineStr">
        <is>
          <t>1. Open the Query sheet.</t>
        </is>
      </c>
    </row>
    <row r="12">
      <c r="A12" s="4" t="inlineStr">
        <is>
          <t>2. Pick a Country, Category, Topic, Data Type, Financial Relevance or Authority — or type a keyword.</t>
        </is>
      </c>
    </row>
    <row r="13">
      <c r="A13" s="4" t="inlineStr">
        <is>
          <t>3. Matching sections appear below, each with its Act and page reference for the source document.</t>
        </is>
      </c>
    </row>
    <row r="14">
      <c r="A14" s="4" t="inlineStr">
        <is>
          <t>4. The Data Transfer sheet answers cross-border questions: pick two countries and see every relevant act/section from either side of the transfer.</t>
        </is>
      </c>
    </row>
    <row r="15">
      <c r="A15" s="4" t="inlineStr">
        <is>
          <t>5. The Compliance Database sheet holds every extracted section; Acts / Regulators / Topics summarise them.</t>
        </is>
      </c>
    </row>
  </sheetData>
  <mergeCells count="6">
    <mergeCell ref="A13:C13"/>
    <mergeCell ref="A11:C11"/>
    <mergeCell ref="A1:C1"/>
    <mergeCell ref="A14:C14"/>
    <mergeCell ref="A12:C12"/>
    <mergeCell ref="A15:C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34"/>
  <sheetViews>
    <sheetView showGridLines="0" workbookViewId="0">
      <pane ySplit="13" topLeftCell="A14" activePane="bottomLeft" state="frozen"/>
      <selection pane="bottomLeft" activeCell="A1" sqref="A1"/>
    </sheetView>
  </sheetViews>
  <sheetFormatPr baseColWidth="8" defaultRowHeight="15"/>
  <cols>
    <col width="16" customWidth="1" min="1" max="1"/>
    <col width="18" customWidth="1" min="2" max="2"/>
    <col width="18" customWidth="1" min="3" max="3"/>
    <col width="45" customWidth="1" min="4" max="4"/>
    <col width="18" customWidth="1" min="5" max="5"/>
    <col width="18" customWidth="1" min="6" max="6"/>
    <col width="18" customWidth="1" min="7" max="7"/>
    <col width="18" customWidth="1" min="8" max="8"/>
    <col width="45" customWidth="1" min="9" max="9"/>
    <col width="45" customWidth="1" min="10" max="10"/>
    <col width="18" customWidth="1" min="11" max="11"/>
    <col width="45" customWidth="1" min="12" max="12"/>
    <col width="45" customWidth="1" min="13" max="13"/>
    <col width="45" customWidth="1" min="14" max="14"/>
    <col width="45" customWidth="1" min="15" max="15"/>
  </cols>
  <sheetData>
    <row r="1">
      <c r="A1" s="1" t="inlineStr">
        <is>
          <t>DTIA Query Engine</t>
        </is>
      </c>
    </row>
    <row r="3">
      <c r="A3" s="5" t="inlineStr">
        <is>
          <t>Choose filters (leave as 'All' to ignore), then read the results below.</t>
        </is>
      </c>
    </row>
    <row r="4">
      <c r="A4" s="2" t="inlineStr">
        <is>
          <t>Country</t>
        </is>
      </c>
      <c r="B4" s="6" t="inlineStr">
        <is>
          <t>All</t>
        </is>
      </c>
    </row>
    <row r="5">
      <c r="A5" s="2" t="inlineStr">
        <is>
          <t>Category</t>
        </is>
      </c>
      <c r="B5" s="6" t="inlineStr">
        <is>
          <t>All</t>
        </is>
      </c>
    </row>
    <row r="6">
      <c r="A6" s="2" t="inlineStr">
        <is>
          <t>Topic</t>
        </is>
      </c>
      <c r="B6" s="6" t="inlineStr">
        <is>
          <t>All</t>
        </is>
      </c>
    </row>
    <row r="7">
      <c r="A7" s="2" t="inlineStr">
        <is>
          <t>Data Type</t>
        </is>
      </c>
      <c r="B7" s="6" t="inlineStr">
        <is>
          <t>All</t>
        </is>
      </c>
    </row>
    <row r="8">
      <c r="A8" s="2" t="inlineStr">
        <is>
          <t>Financial Relevance</t>
        </is>
      </c>
      <c r="B8" s="6" t="inlineStr">
        <is>
          <t>All</t>
        </is>
      </c>
    </row>
    <row r="9">
      <c r="A9" s="2" t="inlineStr">
        <is>
          <t>Authority</t>
        </is>
      </c>
      <c r="B9" s="6" t="inlineStr">
        <is>
          <t>All</t>
        </is>
      </c>
    </row>
    <row r="10">
      <c r="A10" s="2" t="inlineStr">
        <is>
          <t>Keyword (free text)</t>
        </is>
      </c>
      <c r="B10" s="6" t="inlineStr"/>
    </row>
    <row r="12">
      <c r="A12" s="2" t="inlineStr">
        <is>
          <t>Matching sections (of 621 total):</t>
        </is>
      </c>
      <c r="C12" s="2">
        <f>Engine!$D$1</f>
        <v/>
      </c>
    </row>
    <row r="13">
      <c r="A13" s="7" t="inlineStr">
        <is>
          <t>Country</t>
        </is>
      </c>
      <c r="B13" s="7" t="inlineStr">
        <is>
          <t>Act</t>
        </is>
      </c>
      <c r="C13" s="7" t="inlineStr">
        <is>
          <t>Section</t>
        </is>
      </c>
      <c r="D13" s="7" t="inlineStr">
        <is>
          <t>Heading</t>
        </is>
      </c>
      <c r="E13" s="7" t="inlineStr">
        <is>
          <t>Pages</t>
        </is>
      </c>
      <c r="F13" s="7" t="inlineStr">
        <is>
          <t>Category</t>
        </is>
      </c>
      <c r="G13" s="7" t="inlineStr">
        <is>
          <t>Financial Relevance</t>
        </is>
      </c>
      <c r="H13" s="7" t="inlineStr">
        <is>
          <t>Confidence</t>
        </is>
      </c>
      <c r="I13" s="7" t="inlineStr">
        <is>
          <t>Topics</t>
        </is>
      </c>
      <c r="J13" s="7" t="inlineStr">
        <is>
          <t>Data Types</t>
        </is>
      </c>
      <c r="K13" s="7" t="inlineStr">
        <is>
          <t>Authority</t>
        </is>
      </c>
      <c r="L13" s="7" t="inlineStr">
        <is>
          <t>Summary</t>
        </is>
      </c>
      <c r="M13" s="7" t="inlineStr">
        <is>
          <t>DTIA Summary</t>
        </is>
      </c>
      <c r="N13" s="7" t="inlineStr">
        <is>
          <t>Requirements</t>
        </is>
      </c>
      <c r="O13" s="7" t="inlineStr">
        <is>
          <t>Source Quote</t>
        </is>
      </c>
    </row>
    <row r="14">
      <c r="A14">
        <f>IF(ISNA(MATCH(1,Engine!$C$2:$C$622,0)),"",INDEX('Compliance Database'!$A$2:$A$622,MATCH(1,Engine!$C$2:$C$622,0)))</f>
        <v/>
      </c>
      <c r="B14">
        <f>IF(ISNA(MATCH(1,Engine!$C$2:$C$622,0)),"",INDEX('Compliance Database'!$B$2:$B$622,MATCH(1,Engine!$C$2:$C$622,0)))</f>
        <v/>
      </c>
      <c r="C14">
        <f>IF(ISNA(MATCH(1,Engine!$C$2:$C$622,0)),"",INDEX('Compliance Database'!$C$2:$C$622,MATCH(1,Engine!$C$2:$C$622,0)))</f>
        <v/>
      </c>
      <c r="D14" s="8">
        <f>IF(ISNA(MATCH(1,Engine!$C$2:$C$622,0)),"",INDEX('Compliance Database'!$D$2:$D$622,MATCH(1,Engine!$C$2:$C$622,0)))</f>
        <v/>
      </c>
      <c r="E14">
        <f>IF(ISNA(MATCH(1,Engine!$C$2:$C$622,0)),"",INDEX('Compliance Database'!$E$2:$E$622,MATCH(1,Engine!$C$2:$C$622,0)))</f>
        <v/>
      </c>
      <c r="F14">
        <f>IF(ISNA(MATCH(1,Engine!$C$2:$C$622,0)),"",INDEX('Compliance Database'!$F$2:$F$622,MATCH(1,Engine!$C$2:$C$622,0)))</f>
        <v/>
      </c>
      <c r="G14">
        <f>IF(ISNA(MATCH(1,Engine!$C$2:$C$622,0)),"",INDEX('Compliance Database'!$G$2:$G$622,MATCH(1,Engine!$C$2:$C$622,0)))</f>
        <v/>
      </c>
      <c r="H14">
        <f>IF(ISNA(MATCH(1,Engine!$C$2:$C$622,0)),"",INDEX('Compliance Database'!$H$2:$H$622,MATCH(1,Engine!$C$2:$C$622,0)))</f>
        <v/>
      </c>
      <c r="I14" s="8">
        <f>IF(ISNA(MATCH(1,Engine!$C$2:$C$622,0)),"",INDEX('Compliance Database'!$I$2:$I$622,MATCH(1,Engine!$C$2:$C$622,0)))</f>
        <v/>
      </c>
      <c r="J14" s="8">
        <f>IF(ISNA(MATCH(1,Engine!$C$2:$C$622,0)),"",INDEX('Compliance Database'!$J$2:$J$622,MATCH(1,Engine!$C$2:$C$622,0)))</f>
        <v/>
      </c>
      <c r="K14">
        <f>IF(ISNA(MATCH(1,Engine!$C$2:$C$622,0)),"",INDEX('Compliance Database'!$K$2:$K$622,MATCH(1,Engine!$C$2:$C$622,0)))</f>
        <v/>
      </c>
      <c r="L14" s="8">
        <f>IF(ISNA(MATCH(1,Engine!$C$2:$C$622,0)),"",INDEX('Compliance Database'!$L$2:$L$622,MATCH(1,Engine!$C$2:$C$622,0)))</f>
        <v/>
      </c>
      <c r="M14" s="8">
        <f>IF(ISNA(MATCH(1,Engine!$C$2:$C$622,0)),"",INDEX('Compliance Database'!$M$2:$M$622,MATCH(1,Engine!$C$2:$C$622,0)))</f>
        <v/>
      </c>
      <c r="N14" s="8">
        <f>IF(ISNA(MATCH(1,Engine!$C$2:$C$622,0)),"",INDEX('Compliance Database'!$N$2:$N$622,MATCH(1,Engine!$C$2:$C$622,0)))</f>
        <v/>
      </c>
      <c r="O14" s="8">
        <f>IF(ISNA(MATCH(1,Engine!$C$2:$C$622,0)),"",INDEX('Compliance Database'!$O$2:$O$622,MATCH(1,Engine!$C$2:$C$622,0)))</f>
        <v/>
      </c>
    </row>
    <row r="15">
      <c r="A15">
        <f>IF(ISNA(MATCH(2,Engine!$C$2:$C$622,0)),"",INDEX('Compliance Database'!$A$2:$A$622,MATCH(2,Engine!$C$2:$C$622,0)))</f>
        <v/>
      </c>
      <c r="B15">
        <f>IF(ISNA(MATCH(2,Engine!$C$2:$C$622,0)),"",INDEX('Compliance Database'!$B$2:$B$622,MATCH(2,Engine!$C$2:$C$622,0)))</f>
        <v/>
      </c>
      <c r="C15">
        <f>IF(ISNA(MATCH(2,Engine!$C$2:$C$622,0)),"",INDEX('Compliance Database'!$C$2:$C$622,MATCH(2,Engine!$C$2:$C$622,0)))</f>
        <v/>
      </c>
      <c r="D15" s="8">
        <f>IF(ISNA(MATCH(2,Engine!$C$2:$C$622,0)),"",INDEX('Compliance Database'!$D$2:$D$622,MATCH(2,Engine!$C$2:$C$622,0)))</f>
        <v/>
      </c>
      <c r="E15">
        <f>IF(ISNA(MATCH(2,Engine!$C$2:$C$622,0)),"",INDEX('Compliance Database'!$E$2:$E$622,MATCH(2,Engine!$C$2:$C$622,0)))</f>
        <v/>
      </c>
      <c r="F15">
        <f>IF(ISNA(MATCH(2,Engine!$C$2:$C$622,0)),"",INDEX('Compliance Database'!$F$2:$F$622,MATCH(2,Engine!$C$2:$C$622,0)))</f>
        <v/>
      </c>
      <c r="G15">
        <f>IF(ISNA(MATCH(2,Engine!$C$2:$C$622,0)),"",INDEX('Compliance Database'!$G$2:$G$622,MATCH(2,Engine!$C$2:$C$622,0)))</f>
        <v/>
      </c>
      <c r="H15">
        <f>IF(ISNA(MATCH(2,Engine!$C$2:$C$622,0)),"",INDEX('Compliance Database'!$H$2:$H$622,MATCH(2,Engine!$C$2:$C$622,0)))</f>
        <v/>
      </c>
      <c r="I15" s="8">
        <f>IF(ISNA(MATCH(2,Engine!$C$2:$C$622,0)),"",INDEX('Compliance Database'!$I$2:$I$622,MATCH(2,Engine!$C$2:$C$622,0)))</f>
        <v/>
      </c>
      <c r="J15" s="8">
        <f>IF(ISNA(MATCH(2,Engine!$C$2:$C$622,0)),"",INDEX('Compliance Database'!$J$2:$J$622,MATCH(2,Engine!$C$2:$C$622,0)))</f>
        <v/>
      </c>
      <c r="K15">
        <f>IF(ISNA(MATCH(2,Engine!$C$2:$C$622,0)),"",INDEX('Compliance Database'!$K$2:$K$622,MATCH(2,Engine!$C$2:$C$622,0)))</f>
        <v/>
      </c>
      <c r="L15" s="8">
        <f>IF(ISNA(MATCH(2,Engine!$C$2:$C$622,0)),"",INDEX('Compliance Database'!$L$2:$L$622,MATCH(2,Engine!$C$2:$C$622,0)))</f>
        <v/>
      </c>
      <c r="M15" s="8">
        <f>IF(ISNA(MATCH(2,Engine!$C$2:$C$622,0)),"",INDEX('Compliance Database'!$M$2:$M$622,MATCH(2,Engine!$C$2:$C$622,0)))</f>
        <v/>
      </c>
      <c r="N15" s="8">
        <f>IF(ISNA(MATCH(2,Engine!$C$2:$C$622,0)),"",INDEX('Compliance Database'!$N$2:$N$622,MATCH(2,Engine!$C$2:$C$622,0)))</f>
        <v/>
      </c>
      <c r="O15" s="8">
        <f>IF(ISNA(MATCH(2,Engine!$C$2:$C$622,0)),"",INDEX('Compliance Database'!$O$2:$O$622,MATCH(2,Engine!$C$2:$C$622,0)))</f>
        <v/>
      </c>
    </row>
    <row r="16">
      <c r="A16">
        <f>IF(ISNA(MATCH(3,Engine!$C$2:$C$622,0)),"",INDEX('Compliance Database'!$A$2:$A$622,MATCH(3,Engine!$C$2:$C$622,0)))</f>
        <v/>
      </c>
      <c r="B16">
        <f>IF(ISNA(MATCH(3,Engine!$C$2:$C$622,0)),"",INDEX('Compliance Database'!$B$2:$B$622,MATCH(3,Engine!$C$2:$C$622,0)))</f>
        <v/>
      </c>
      <c r="C16">
        <f>IF(ISNA(MATCH(3,Engine!$C$2:$C$622,0)),"",INDEX('Compliance Database'!$C$2:$C$622,MATCH(3,Engine!$C$2:$C$622,0)))</f>
        <v/>
      </c>
      <c r="D16" s="8">
        <f>IF(ISNA(MATCH(3,Engine!$C$2:$C$622,0)),"",INDEX('Compliance Database'!$D$2:$D$622,MATCH(3,Engine!$C$2:$C$622,0)))</f>
        <v/>
      </c>
      <c r="E16">
        <f>IF(ISNA(MATCH(3,Engine!$C$2:$C$622,0)),"",INDEX('Compliance Database'!$E$2:$E$622,MATCH(3,Engine!$C$2:$C$622,0)))</f>
        <v/>
      </c>
      <c r="F16">
        <f>IF(ISNA(MATCH(3,Engine!$C$2:$C$622,0)),"",INDEX('Compliance Database'!$F$2:$F$622,MATCH(3,Engine!$C$2:$C$622,0)))</f>
        <v/>
      </c>
      <c r="G16">
        <f>IF(ISNA(MATCH(3,Engine!$C$2:$C$622,0)),"",INDEX('Compliance Database'!$G$2:$G$622,MATCH(3,Engine!$C$2:$C$622,0)))</f>
        <v/>
      </c>
      <c r="H16">
        <f>IF(ISNA(MATCH(3,Engine!$C$2:$C$622,0)),"",INDEX('Compliance Database'!$H$2:$H$622,MATCH(3,Engine!$C$2:$C$622,0)))</f>
        <v/>
      </c>
      <c r="I16" s="8">
        <f>IF(ISNA(MATCH(3,Engine!$C$2:$C$622,0)),"",INDEX('Compliance Database'!$I$2:$I$622,MATCH(3,Engine!$C$2:$C$622,0)))</f>
        <v/>
      </c>
      <c r="J16" s="8">
        <f>IF(ISNA(MATCH(3,Engine!$C$2:$C$622,0)),"",INDEX('Compliance Database'!$J$2:$J$622,MATCH(3,Engine!$C$2:$C$622,0)))</f>
        <v/>
      </c>
      <c r="K16">
        <f>IF(ISNA(MATCH(3,Engine!$C$2:$C$622,0)),"",INDEX('Compliance Database'!$K$2:$K$622,MATCH(3,Engine!$C$2:$C$622,0)))</f>
        <v/>
      </c>
      <c r="L16" s="8">
        <f>IF(ISNA(MATCH(3,Engine!$C$2:$C$622,0)),"",INDEX('Compliance Database'!$L$2:$L$622,MATCH(3,Engine!$C$2:$C$622,0)))</f>
        <v/>
      </c>
      <c r="M16" s="8">
        <f>IF(ISNA(MATCH(3,Engine!$C$2:$C$622,0)),"",INDEX('Compliance Database'!$M$2:$M$622,MATCH(3,Engine!$C$2:$C$622,0)))</f>
        <v/>
      </c>
      <c r="N16" s="8">
        <f>IF(ISNA(MATCH(3,Engine!$C$2:$C$622,0)),"",INDEX('Compliance Database'!$N$2:$N$622,MATCH(3,Engine!$C$2:$C$622,0)))</f>
        <v/>
      </c>
      <c r="O16" s="8">
        <f>IF(ISNA(MATCH(3,Engine!$C$2:$C$622,0)),"",INDEX('Compliance Database'!$O$2:$O$622,MATCH(3,Engine!$C$2:$C$622,0)))</f>
        <v/>
      </c>
    </row>
    <row r="17">
      <c r="A17">
        <f>IF(ISNA(MATCH(4,Engine!$C$2:$C$622,0)),"",INDEX('Compliance Database'!$A$2:$A$622,MATCH(4,Engine!$C$2:$C$622,0)))</f>
        <v/>
      </c>
      <c r="B17">
        <f>IF(ISNA(MATCH(4,Engine!$C$2:$C$622,0)),"",INDEX('Compliance Database'!$B$2:$B$622,MATCH(4,Engine!$C$2:$C$622,0)))</f>
        <v/>
      </c>
      <c r="C17">
        <f>IF(ISNA(MATCH(4,Engine!$C$2:$C$622,0)),"",INDEX('Compliance Database'!$C$2:$C$622,MATCH(4,Engine!$C$2:$C$622,0)))</f>
        <v/>
      </c>
      <c r="D17" s="8">
        <f>IF(ISNA(MATCH(4,Engine!$C$2:$C$622,0)),"",INDEX('Compliance Database'!$D$2:$D$622,MATCH(4,Engine!$C$2:$C$622,0)))</f>
        <v/>
      </c>
      <c r="E17">
        <f>IF(ISNA(MATCH(4,Engine!$C$2:$C$622,0)),"",INDEX('Compliance Database'!$E$2:$E$622,MATCH(4,Engine!$C$2:$C$622,0)))</f>
        <v/>
      </c>
      <c r="F17">
        <f>IF(ISNA(MATCH(4,Engine!$C$2:$C$622,0)),"",INDEX('Compliance Database'!$F$2:$F$622,MATCH(4,Engine!$C$2:$C$622,0)))</f>
        <v/>
      </c>
      <c r="G17">
        <f>IF(ISNA(MATCH(4,Engine!$C$2:$C$622,0)),"",INDEX('Compliance Database'!$G$2:$G$622,MATCH(4,Engine!$C$2:$C$622,0)))</f>
        <v/>
      </c>
      <c r="H17">
        <f>IF(ISNA(MATCH(4,Engine!$C$2:$C$622,0)),"",INDEX('Compliance Database'!$H$2:$H$622,MATCH(4,Engine!$C$2:$C$622,0)))</f>
        <v/>
      </c>
      <c r="I17" s="8">
        <f>IF(ISNA(MATCH(4,Engine!$C$2:$C$622,0)),"",INDEX('Compliance Database'!$I$2:$I$622,MATCH(4,Engine!$C$2:$C$622,0)))</f>
        <v/>
      </c>
      <c r="J17" s="8">
        <f>IF(ISNA(MATCH(4,Engine!$C$2:$C$622,0)),"",INDEX('Compliance Database'!$J$2:$J$622,MATCH(4,Engine!$C$2:$C$622,0)))</f>
        <v/>
      </c>
      <c r="K17">
        <f>IF(ISNA(MATCH(4,Engine!$C$2:$C$622,0)),"",INDEX('Compliance Database'!$K$2:$K$622,MATCH(4,Engine!$C$2:$C$622,0)))</f>
        <v/>
      </c>
      <c r="L17" s="8">
        <f>IF(ISNA(MATCH(4,Engine!$C$2:$C$622,0)),"",INDEX('Compliance Database'!$L$2:$L$622,MATCH(4,Engine!$C$2:$C$622,0)))</f>
        <v/>
      </c>
      <c r="M17" s="8">
        <f>IF(ISNA(MATCH(4,Engine!$C$2:$C$622,0)),"",INDEX('Compliance Database'!$M$2:$M$622,MATCH(4,Engine!$C$2:$C$622,0)))</f>
        <v/>
      </c>
      <c r="N17" s="8">
        <f>IF(ISNA(MATCH(4,Engine!$C$2:$C$622,0)),"",INDEX('Compliance Database'!$N$2:$N$622,MATCH(4,Engine!$C$2:$C$622,0)))</f>
        <v/>
      </c>
      <c r="O17" s="8">
        <f>IF(ISNA(MATCH(4,Engine!$C$2:$C$622,0)),"",INDEX('Compliance Database'!$O$2:$O$622,MATCH(4,Engine!$C$2:$C$622,0)))</f>
        <v/>
      </c>
    </row>
    <row r="18">
      <c r="A18">
        <f>IF(ISNA(MATCH(5,Engine!$C$2:$C$622,0)),"",INDEX('Compliance Database'!$A$2:$A$622,MATCH(5,Engine!$C$2:$C$622,0)))</f>
        <v/>
      </c>
      <c r="B18">
        <f>IF(ISNA(MATCH(5,Engine!$C$2:$C$622,0)),"",INDEX('Compliance Database'!$B$2:$B$622,MATCH(5,Engine!$C$2:$C$622,0)))</f>
        <v/>
      </c>
      <c r="C18">
        <f>IF(ISNA(MATCH(5,Engine!$C$2:$C$622,0)),"",INDEX('Compliance Database'!$C$2:$C$622,MATCH(5,Engine!$C$2:$C$622,0)))</f>
        <v/>
      </c>
      <c r="D18" s="8">
        <f>IF(ISNA(MATCH(5,Engine!$C$2:$C$622,0)),"",INDEX('Compliance Database'!$D$2:$D$622,MATCH(5,Engine!$C$2:$C$622,0)))</f>
        <v/>
      </c>
      <c r="E18">
        <f>IF(ISNA(MATCH(5,Engine!$C$2:$C$622,0)),"",INDEX('Compliance Database'!$E$2:$E$622,MATCH(5,Engine!$C$2:$C$622,0)))</f>
        <v/>
      </c>
      <c r="F18">
        <f>IF(ISNA(MATCH(5,Engine!$C$2:$C$622,0)),"",INDEX('Compliance Database'!$F$2:$F$622,MATCH(5,Engine!$C$2:$C$622,0)))</f>
        <v/>
      </c>
      <c r="G18">
        <f>IF(ISNA(MATCH(5,Engine!$C$2:$C$622,0)),"",INDEX('Compliance Database'!$G$2:$G$622,MATCH(5,Engine!$C$2:$C$622,0)))</f>
        <v/>
      </c>
      <c r="H18">
        <f>IF(ISNA(MATCH(5,Engine!$C$2:$C$622,0)),"",INDEX('Compliance Database'!$H$2:$H$622,MATCH(5,Engine!$C$2:$C$622,0)))</f>
        <v/>
      </c>
      <c r="I18" s="8">
        <f>IF(ISNA(MATCH(5,Engine!$C$2:$C$622,0)),"",INDEX('Compliance Database'!$I$2:$I$622,MATCH(5,Engine!$C$2:$C$622,0)))</f>
        <v/>
      </c>
      <c r="J18" s="8">
        <f>IF(ISNA(MATCH(5,Engine!$C$2:$C$622,0)),"",INDEX('Compliance Database'!$J$2:$J$622,MATCH(5,Engine!$C$2:$C$622,0)))</f>
        <v/>
      </c>
      <c r="K18">
        <f>IF(ISNA(MATCH(5,Engine!$C$2:$C$622,0)),"",INDEX('Compliance Database'!$K$2:$K$622,MATCH(5,Engine!$C$2:$C$622,0)))</f>
        <v/>
      </c>
      <c r="L18" s="8">
        <f>IF(ISNA(MATCH(5,Engine!$C$2:$C$622,0)),"",INDEX('Compliance Database'!$L$2:$L$622,MATCH(5,Engine!$C$2:$C$622,0)))</f>
        <v/>
      </c>
      <c r="M18" s="8">
        <f>IF(ISNA(MATCH(5,Engine!$C$2:$C$622,0)),"",INDEX('Compliance Database'!$M$2:$M$622,MATCH(5,Engine!$C$2:$C$622,0)))</f>
        <v/>
      </c>
      <c r="N18" s="8">
        <f>IF(ISNA(MATCH(5,Engine!$C$2:$C$622,0)),"",INDEX('Compliance Database'!$N$2:$N$622,MATCH(5,Engine!$C$2:$C$622,0)))</f>
        <v/>
      </c>
      <c r="O18" s="8">
        <f>IF(ISNA(MATCH(5,Engine!$C$2:$C$622,0)),"",INDEX('Compliance Database'!$O$2:$O$622,MATCH(5,Engine!$C$2:$C$622,0)))</f>
        <v/>
      </c>
    </row>
    <row r="19">
      <c r="A19">
        <f>IF(ISNA(MATCH(6,Engine!$C$2:$C$622,0)),"",INDEX('Compliance Database'!$A$2:$A$622,MATCH(6,Engine!$C$2:$C$622,0)))</f>
        <v/>
      </c>
      <c r="B19">
        <f>IF(ISNA(MATCH(6,Engine!$C$2:$C$622,0)),"",INDEX('Compliance Database'!$B$2:$B$622,MATCH(6,Engine!$C$2:$C$622,0)))</f>
        <v/>
      </c>
      <c r="C19">
        <f>IF(ISNA(MATCH(6,Engine!$C$2:$C$622,0)),"",INDEX('Compliance Database'!$C$2:$C$622,MATCH(6,Engine!$C$2:$C$622,0)))</f>
        <v/>
      </c>
      <c r="D19" s="8">
        <f>IF(ISNA(MATCH(6,Engine!$C$2:$C$622,0)),"",INDEX('Compliance Database'!$D$2:$D$622,MATCH(6,Engine!$C$2:$C$622,0)))</f>
        <v/>
      </c>
      <c r="E19">
        <f>IF(ISNA(MATCH(6,Engine!$C$2:$C$622,0)),"",INDEX('Compliance Database'!$E$2:$E$622,MATCH(6,Engine!$C$2:$C$622,0)))</f>
        <v/>
      </c>
      <c r="F19">
        <f>IF(ISNA(MATCH(6,Engine!$C$2:$C$622,0)),"",INDEX('Compliance Database'!$F$2:$F$622,MATCH(6,Engine!$C$2:$C$622,0)))</f>
        <v/>
      </c>
      <c r="G19">
        <f>IF(ISNA(MATCH(6,Engine!$C$2:$C$622,0)),"",INDEX('Compliance Database'!$G$2:$G$622,MATCH(6,Engine!$C$2:$C$622,0)))</f>
        <v/>
      </c>
      <c r="H19">
        <f>IF(ISNA(MATCH(6,Engine!$C$2:$C$622,0)),"",INDEX('Compliance Database'!$H$2:$H$622,MATCH(6,Engine!$C$2:$C$622,0)))</f>
        <v/>
      </c>
      <c r="I19" s="8">
        <f>IF(ISNA(MATCH(6,Engine!$C$2:$C$622,0)),"",INDEX('Compliance Database'!$I$2:$I$622,MATCH(6,Engine!$C$2:$C$622,0)))</f>
        <v/>
      </c>
      <c r="J19" s="8">
        <f>IF(ISNA(MATCH(6,Engine!$C$2:$C$622,0)),"",INDEX('Compliance Database'!$J$2:$J$622,MATCH(6,Engine!$C$2:$C$622,0)))</f>
        <v/>
      </c>
      <c r="K19">
        <f>IF(ISNA(MATCH(6,Engine!$C$2:$C$622,0)),"",INDEX('Compliance Database'!$K$2:$K$622,MATCH(6,Engine!$C$2:$C$622,0)))</f>
        <v/>
      </c>
      <c r="L19" s="8">
        <f>IF(ISNA(MATCH(6,Engine!$C$2:$C$622,0)),"",INDEX('Compliance Database'!$L$2:$L$622,MATCH(6,Engine!$C$2:$C$622,0)))</f>
        <v/>
      </c>
      <c r="M19" s="8">
        <f>IF(ISNA(MATCH(6,Engine!$C$2:$C$622,0)),"",INDEX('Compliance Database'!$M$2:$M$622,MATCH(6,Engine!$C$2:$C$622,0)))</f>
        <v/>
      </c>
      <c r="N19" s="8">
        <f>IF(ISNA(MATCH(6,Engine!$C$2:$C$622,0)),"",INDEX('Compliance Database'!$N$2:$N$622,MATCH(6,Engine!$C$2:$C$622,0)))</f>
        <v/>
      </c>
      <c r="O19" s="8">
        <f>IF(ISNA(MATCH(6,Engine!$C$2:$C$622,0)),"",INDEX('Compliance Database'!$O$2:$O$622,MATCH(6,Engine!$C$2:$C$622,0)))</f>
        <v/>
      </c>
    </row>
    <row r="20">
      <c r="A20">
        <f>IF(ISNA(MATCH(7,Engine!$C$2:$C$622,0)),"",INDEX('Compliance Database'!$A$2:$A$622,MATCH(7,Engine!$C$2:$C$622,0)))</f>
        <v/>
      </c>
      <c r="B20">
        <f>IF(ISNA(MATCH(7,Engine!$C$2:$C$622,0)),"",INDEX('Compliance Database'!$B$2:$B$622,MATCH(7,Engine!$C$2:$C$622,0)))</f>
        <v/>
      </c>
      <c r="C20">
        <f>IF(ISNA(MATCH(7,Engine!$C$2:$C$622,0)),"",INDEX('Compliance Database'!$C$2:$C$622,MATCH(7,Engine!$C$2:$C$622,0)))</f>
        <v/>
      </c>
      <c r="D20" s="8">
        <f>IF(ISNA(MATCH(7,Engine!$C$2:$C$622,0)),"",INDEX('Compliance Database'!$D$2:$D$622,MATCH(7,Engine!$C$2:$C$622,0)))</f>
        <v/>
      </c>
      <c r="E20">
        <f>IF(ISNA(MATCH(7,Engine!$C$2:$C$622,0)),"",INDEX('Compliance Database'!$E$2:$E$622,MATCH(7,Engine!$C$2:$C$622,0)))</f>
        <v/>
      </c>
      <c r="F20">
        <f>IF(ISNA(MATCH(7,Engine!$C$2:$C$622,0)),"",INDEX('Compliance Database'!$F$2:$F$622,MATCH(7,Engine!$C$2:$C$622,0)))</f>
        <v/>
      </c>
      <c r="G20">
        <f>IF(ISNA(MATCH(7,Engine!$C$2:$C$622,0)),"",INDEX('Compliance Database'!$G$2:$G$622,MATCH(7,Engine!$C$2:$C$622,0)))</f>
        <v/>
      </c>
      <c r="H20">
        <f>IF(ISNA(MATCH(7,Engine!$C$2:$C$622,0)),"",INDEX('Compliance Database'!$H$2:$H$622,MATCH(7,Engine!$C$2:$C$622,0)))</f>
        <v/>
      </c>
      <c r="I20" s="8">
        <f>IF(ISNA(MATCH(7,Engine!$C$2:$C$622,0)),"",INDEX('Compliance Database'!$I$2:$I$622,MATCH(7,Engine!$C$2:$C$622,0)))</f>
        <v/>
      </c>
      <c r="J20" s="8">
        <f>IF(ISNA(MATCH(7,Engine!$C$2:$C$622,0)),"",INDEX('Compliance Database'!$J$2:$J$622,MATCH(7,Engine!$C$2:$C$622,0)))</f>
        <v/>
      </c>
      <c r="K20">
        <f>IF(ISNA(MATCH(7,Engine!$C$2:$C$622,0)),"",INDEX('Compliance Database'!$K$2:$K$622,MATCH(7,Engine!$C$2:$C$622,0)))</f>
        <v/>
      </c>
      <c r="L20" s="8">
        <f>IF(ISNA(MATCH(7,Engine!$C$2:$C$622,0)),"",INDEX('Compliance Database'!$L$2:$L$622,MATCH(7,Engine!$C$2:$C$622,0)))</f>
        <v/>
      </c>
      <c r="M20" s="8">
        <f>IF(ISNA(MATCH(7,Engine!$C$2:$C$622,0)),"",INDEX('Compliance Database'!$M$2:$M$622,MATCH(7,Engine!$C$2:$C$622,0)))</f>
        <v/>
      </c>
      <c r="N20" s="8">
        <f>IF(ISNA(MATCH(7,Engine!$C$2:$C$622,0)),"",INDEX('Compliance Database'!$N$2:$N$622,MATCH(7,Engine!$C$2:$C$622,0)))</f>
        <v/>
      </c>
      <c r="O20" s="8">
        <f>IF(ISNA(MATCH(7,Engine!$C$2:$C$622,0)),"",INDEX('Compliance Database'!$O$2:$O$622,MATCH(7,Engine!$C$2:$C$622,0)))</f>
        <v/>
      </c>
    </row>
    <row r="21">
      <c r="A21">
        <f>IF(ISNA(MATCH(8,Engine!$C$2:$C$622,0)),"",INDEX('Compliance Database'!$A$2:$A$622,MATCH(8,Engine!$C$2:$C$622,0)))</f>
        <v/>
      </c>
      <c r="B21">
        <f>IF(ISNA(MATCH(8,Engine!$C$2:$C$622,0)),"",INDEX('Compliance Database'!$B$2:$B$622,MATCH(8,Engine!$C$2:$C$622,0)))</f>
        <v/>
      </c>
      <c r="C21">
        <f>IF(ISNA(MATCH(8,Engine!$C$2:$C$622,0)),"",INDEX('Compliance Database'!$C$2:$C$622,MATCH(8,Engine!$C$2:$C$622,0)))</f>
        <v/>
      </c>
      <c r="D21" s="8">
        <f>IF(ISNA(MATCH(8,Engine!$C$2:$C$622,0)),"",INDEX('Compliance Database'!$D$2:$D$622,MATCH(8,Engine!$C$2:$C$622,0)))</f>
        <v/>
      </c>
      <c r="E21">
        <f>IF(ISNA(MATCH(8,Engine!$C$2:$C$622,0)),"",INDEX('Compliance Database'!$E$2:$E$622,MATCH(8,Engine!$C$2:$C$622,0)))</f>
        <v/>
      </c>
      <c r="F21">
        <f>IF(ISNA(MATCH(8,Engine!$C$2:$C$622,0)),"",INDEX('Compliance Database'!$F$2:$F$622,MATCH(8,Engine!$C$2:$C$622,0)))</f>
        <v/>
      </c>
      <c r="G21">
        <f>IF(ISNA(MATCH(8,Engine!$C$2:$C$622,0)),"",INDEX('Compliance Database'!$G$2:$G$622,MATCH(8,Engine!$C$2:$C$622,0)))</f>
        <v/>
      </c>
      <c r="H21">
        <f>IF(ISNA(MATCH(8,Engine!$C$2:$C$622,0)),"",INDEX('Compliance Database'!$H$2:$H$622,MATCH(8,Engine!$C$2:$C$622,0)))</f>
        <v/>
      </c>
      <c r="I21" s="8">
        <f>IF(ISNA(MATCH(8,Engine!$C$2:$C$622,0)),"",INDEX('Compliance Database'!$I$2:$I$622,MATCH(8,Engine!$C$2:$C$622,0)))</f>
        <v/>
      </c>
      <c r="J21" s="8">
        <f>IF(ISNA(MATCH(8,Engine!$C$2:$C$622,0)),"",INDEX('Compliance Database'!$J$2:$J$622,MATCH(8,Engine!$C$2:$C$622,0)))</f>
        <v/>
      </c>
      <c r="K21">
        <f>IF(ISNA(MATCH(8,Engine!$C$2:$C$622,0)),"",INDEX('Compliance Database'!$K$2:$K$622,MATCH(8,Engine!$C$2:$C$622,0)))</f>
        <v/>
      </c>
      <c r="L21" s="8">
        <f>IF(ISNA(MATCH(8,Engine!$C$2:$C$622,0)),"",INDEX('Compliance Database'!$L$2:$L$622,MATCH(8,Engine!$C$2:$C$622,0)))</f>
        <v/>
      </c>
      <c r="M21" s="8">
        <f>IF(ISNA(MATCH(8,Engine!$C$2:$C$622,0)),"",INDEX('Compliance Database'!$M$2:$M$622,MATCH(8,Engine!$C$2:$C$622,0)))</f>
        <v/>
      </c>
      <c r="N21" s="8">
        <f>IF(ISNA(MATCH(8,Engine!$C$2:$C$622,0)),"",INDEX('Compliance Database'!$N$2:$N$622,MATCH(8,Engine!$C$2:$C$622,0)))</f>
        <v/>
      </c>
      <c r="O21" s="8">
        <f>IF(ISNA(MATCH(8,Engine!$C$2:$C$622,0)),"",INDEX('Compliance Database'!$O$2:$O$622,MATCH(8,Engine!$C$2:$C$622,0)))</f>
        <v/>
      </c>
    </row>
    <row r="22">
      <c r="A22">
        <f>IF(ISNA(MATCH(9,Engine!$C$2:$C$622,0)),"",INDEX('Compliance Database'!$A$2:$A$622,MATCH(9,Engine!$C$2:$C$622,0)))</f>
        <v/>
      </c>
      <c r="B22">
        <f>IF(ISNA(MATCH(9,Engine!$C$2:$C$622,0)),"",INDEX('Compliance Database'!$B$2:$B$622,MATCH(9,Engine!$C$2:$C$622,0)))</f>
        <v/>
      </c>
      <c r="C22">
        <f>IF(ISNA(MATCH(9,Engine!$C$2:$C$622,0)),"",INDEX('Compliance Database'!$C$2:$C$622,MATCH(9,Engine!$C$2:$C$622,0)))</f>
        <v/>
      </c>
      <c r="D22" s="8">
        <f>IF(ISNA(MATCH(9,Engine!$C$2:$C$622,0)),"",INDEX('Compliance Database'!$D$2:$D$622,MATCH(9,Engine!$C$2:$C$622,0)))</f>
        <v/>
      </c>
      <c r="E22">
        <f>IF(ISNA(MATCH(9,Engine!$C$2:$C$622,0)),"",INDEX('Compliance Database'!$E$2:$E$622,MATCH(9,Engine!$C$2:$C$622,0)))</f>
        <v/>
      </c>
      <c r="F22">
        <f>IF(ISNA(MATCH(9,Engine!$C$2:$C$622,0)),"",INDEX('Compliance Database'!$F$2:$F$622,MATCH(9,Engine!$C$2:$C$622,0)))</f>
        <v/>
      </c>
      <c r="G22">
        <f>IF(ISNA(MATCH(9,Engine!$C$2:$C$622,0)),"",INDEX('Compliance Database'!$G$2:$G$622,MATCH(9,Engine!$C$2:$C$622,0)))</f>
        <v/>
      </c>
      <c r="H22">
        <f>IF(ISNA(MATCH(9,Engine!$C$2:$C$622,0)),"",INDEX('Compliance Database'!$H$2:$H$622,MATCH(9,Engine!$C$2:$C$622,0)))</f>
        <v/>
      </c>
      <c r="I22" s="8">
        <f>IF(ISNA(MATCH(9,Engine!$C$2:$C$622,0)),"",INDEX('Compliance Database'!$I$2:$I$622,MATCH(9,Engine!$C$2:$C$622,0)))</f>
        <v/>
      </c>
      <c r="J22" s="8">
        <f>IF(ISNA(MATCH(9,Engine!$C$2:$C$622,0)),"",INDEX('Compliance Database'!$J$2:$J$622,MATCH(9,Engine!$C$2:$C$622,0)))</f>
        <v/>
      </c>
      <c r="K22">
        <f>IF(ISNA(MATCH(9,Engine!$C$2:$C$622,0)),"",INDEX('Compliance Database'!$K$2:$K$622,MATCH(9,Engine!$C$2:$C$622,0)))</f>
        <v/>
      </c>
      <c r="L22" s="8">
        <f>IF(ISNA(MATCH(9,Engine!$C$2:$C$622,0)),"",INDEX('Compliance Database'!$L$2:$L$622,MATCH(9,Engine!$C$2:$C$622,0)))</f>
        <v/>
      </c>
      <c r="M22" s="8">
        <f>IF(ISNA(MATCH(9,Engine!$C$2:$C$622,0)),"",INDEX('Compliance Database'!$M$2:$M$622,MATCH(9,Engine!$C$2:$C$622,0)))</f>
        <v/>
      </c>
      <c r="N22" s="8">
        <f>IF(ISNA(MATCH(9,Engine!$C$2:$C$622,0)),"",INDEX('Compliance Database'!$N$2:$N$622,MATCH(9,Engine!$C$2:$C$622,0)))</f>
        <v/>
      </c>
      <c r="O22" s="8">
        <f>IF(ISNA(MATCH(9,Engine!$C$2:$C$622,0)),"",INDEX('Compliance Database'!$O$2:$O$622,MATCH(9,Engine!$C$2:$C$622,0)))</f>
        <v/>
      </c>
    </row>
    <row r="23">
      <c r="A23">
        <f>IF(ISNA(MATCH(10,Engine!$C$2:$C$622,0)),"",INDEX('Compliance Database'!$A$2:$A$622,MATCH(10,Engine!$C$2:$C$622,0)))</f>
        <v/>
      </c>
      <c r="B23">
        <f>IF(ISNA(MATCH(10,Engine!$C$2:$C$622,0)),"",INDEX('Compliance Database'!$B$2:$B$622,MATCH(10,Engine!$C$2:$C$622,0)))</f>
        <v/>
      </c>
      <c r="C23">
        <f>IF(ISNA(MATCH(10,Engine!$C$2:$C$622,0)),"",INDEX('Compliance Database'!$C$2:$C$622,MATCH(10,Engine!$C$2:$C$622,0)))</f>
        <v/>
      </c>
      <c r="D23" s="8">
        <f>IF(ISNA(MATCH(10,Engine!$C$2:$C$622,0)),"",INDEX('Compliance Database'!$D$2:$D$622,MATCH(10,Engine!$C$2:$C$622,0)))</f>
        <v/>
      </c>
      <c r="E23">
        <f>IF(ISNA(MATCH(10,Engine!$C$2:$C$622,0)),"",INDEX('Compliance Database'!$E$2:$E$622,MATCH(10,Engine!$C$2:$C$622,0)))</f>
        <v/>
      </c>
      <c r="F23">
        <f>IF(ISNA(MATCH(10,Engine!$C$2:$C$622,0)),"",INDEX('Compliance Database'!$F$2:$F$622,MATCH(10,Engine!$C$2:$C$622,0)))</f>
        <v/>
      </c>
      <c r="G23">
        <f>IF(ISNA(MATCH(10,Engine!$C$2:$C$622,0)),"",INDEX('Compliance Database'!$G$2:$G$622,MATCH(10,Engine!$C$2:$C$622,0)))</f>
        <v/>
      </c>
      <c r="H23">
        <f>IF(ISNA(MATCH(10,Engine!$C$2:$C$622,0)),"",INDEX('Compliance Database'!$H$2:$H$622,MATCH(10,Engine!$C$2:$C$622,0)))</f>
        <v/>
      </c>
      <c r="I23" s="8">
        <f>IF(ISNA(MATCH(10,Engine!$C$2:$C$622,0)),"",INDEX('Compliance Database'!$I$2:$I$622,MATCH(10,Engine!$C$2:$C$622,0)))</f>
        <v/>
      </c>
      <c r="J23" s="8">
        <f>IF(ISNA(MATCH(10,Engine!$C$2:$C$622,0)),"",INDEX('Compliance Database'!$J$2:$J$622,MATCH(10,Engine!$C$2:$C$622,0)))</f>
        <v/>
      </c>
      <c r="K23">
        <f>IF(ISNA(MATCH(10,Engine!$C$2:$C$622,0)),"",INDEX('Compliance Database'!$K$2:$K$622,MATCH(10,Engine!$C$2:$C$622,0)))</f>
        <v/>
      </c>
      <c r="L23" s="8">
        <f>IF(ISNA(MATCH(10,Engine!$C$2:$C$622,0)),"",INDEX('Compliance Database'!$L$2:$L$622,MATCH(10,Engine!$C$2:$C$622,0)))</f>
        <v/>
      </c>
      <c r="M23" s="8">
        <f>IF(ISNA(MATCH(10,Engine!$C$2:$C$622,0)),"",INDEX('Compliance Database'!$M$2:$M$622,MATCH(10,Engine!$C$2:$C$622,0)))</f>
        <v/>
      </c>
      <c r="N23" s="8">
        <f>IF(ISNA(MATCH(10,Engine!$C$2:$C$622,0)),"",INDEX('Compliance Database'!$N$2:$N$622,MATCH(10,Engine!$C$2:$C$622,0)))</f>
        <v/>
      </c>
      <c r="O23" s="8">
        <f>IF(ISNA(MATCH(10,Engine!$C$2:$C$622,0)),"",INDEX('Compliance Database'!$O$2:$O$622,MATCH(10,Engine!$C$2:$C$622,0)))</f>
        <v/>
      </c>
    </row>
    <row r="24">
      <c r="A24">
        <f>IF(ISNA(MATCH(11,Engine!$C$2:$C$622,0)),"",INDEX('Compliance Database'!$A$2:$A$622,MATCH(11,Engine!$C$2:$C$622,0)))</f>
        <v/>
      </c>
      <c r="B24">
        <f>IF(ISNA(MATCH(11,Engine!$C$2:$C$622,0)),"",INDEX('Compliance Database'!$B$2:$B$622,MATCH(11,Engine!$C$2:$C$622,0)))</f>
        <v/>
      </c>
      <c r="C24">
        <f>IF(ISNA(MATCH(11,Engine!$C$2:$C$622,0)),"",INDEX('Compliance Database'!$C$2:$C$622,MATCH(11,Engine!$C$2:$C$622,0)))</f>
        <v/>
      </c>
      <c r="D24" s="8">
        <f>IF(ISNA(MATCH(11,Engine!$C$2:$C$622,0)),"",INDEX('Compliance Database'!$D$2:$D$622,MATCH(11,Engine!$C$2:$C$622,0)))</f>
        <v/>
      </c>
      <c r="E24">
        <f>IF(ISNA(MATCH(11,Engine!$C$2:$C$622,0)),"",INDEX('Compliance Database'!$E$2:$E$622,MATCH(11,Engine!$C$2:$C$622,0)))</f>
        <v/>
      </c>
      <c r="F24">
        <f>IF(ISNA(MATCH(11,Engine!$C$2:$C$622,0)),"",INDEX('Compliance Database'!$F$2:$F$622,MATCH(11,Engine!$C$2:$C$622,0)))</f>
        <v/>
      </c>
      <c r="G24">
        <f>IF(ISNA(MATCH(11,Engine!$C$2:$C$622,0)),"",INDEX('Compliance Database'!$G$2:$G$622,MATCH(11,Engine!$C$2:$C$622,0)))</f>
        <v/>
      </c>
      <c r="H24">
        <f>IF(ISNA(MATCH(11,Engine!$C$2:$C$622,0)),"",INDEX('Compliance Database'!$H$2:$H$622,MATCH(11,Engine!$C$2:$C$622,0)))</f>
        <v/>
      </c>
      <c r="I24" s="8">
        <f>IF(ISNA(MATCH(11,Engine!$C$2:$C$622,0)),"",INDEX('Compliance Database'!$I$2:$I$622,MATCH(11,Engine!$C$2:$C$622,0)))</f>
        <v/>
      </c>
      <c r="J24" s="8">
        <f>IF(ISNA(MATCH(11,Engine!$C$2:$C$622,0)),"",INDEX('Compliance Database'!$J$2:$J$622,MATCH(11,Engine!$C$2:$C$622,0)))</f>
        <v/>
      </c>
      <c r="K24">
        <f>IF(ISNA(MATCH(11,Engine!$C$2:$C$622,0)),"",INDEX('Compliance Database'!$K$2:$K$622,MATCH(11,Engine!$C$2:$C$622,0)))</f>
        <v/>
      </c>
      <c r="L24" s="8">
        <f>IF(ISNA(MATCH(11,Engine!$C$2:$C$622,0)),"",INDEX('Compliance Database'!$L$2:$L$622,MATCH(11,Engine!$C$2:$C$622,0)))</f>
        <v/>
      </c>
      <c r="M24" s="8">
        <f>IF(ISNA(MATCH(11,Engine!$C$2:$C$622,0)),"",INDEX('Compliance Database'!$M$2:$M$622,MATCH(11,Engine!$C$2:$C$622,0)))</f>
        <v/>
      </c>
      <c r="N24" s="8">
        <f>IF(ISNA(MATCH(11,Engine!$C$2:$C$622,0)),"",INDEX('Compliance Database'!$N$2:$N$622,MATCH(11,Engine!$C$2:$C$622,0)))</f>
        <v/>
      </c>
      <c r="O24" s="8">
        <f>IF(ISNA(MATCH(11,Engine!$C$2:$C$622,0)),"",INDEX('Compliance Database'!$O$2:$O$622,MATCH(11,Engine!$C$2:$C$622,0)))</f>
        <v/>
      </c>
    </row>
    <row r="25">
      <c r="A25">
        <f>IF(ISNA(MATCH(12,Engine!$C$2:$C$622,0)),"",INDEX('Compliance Database'!$A$2:$A$622,MATCH(12,Engine!$C$2:$C$622,0)))</f>
        <v/>
      </c>
      <c r="B25">
        <f>IF(ISNA(MATCH(12,Engine!$C$2:$C$622,0)),"",INDEX('Compliance Database'!$B$2:$B$622,MATCH(12,Engine!$C$2:$C$622,0)))</f>
        <v/>
      </c>
      <c r="C25">
        <f>IF(ISNA(MATCH(12,Engine!$C$2:$C$622,0)),"",INDEX('Compliance Database'!$C$2:$C$622,MATCH(12,Engine!$C$2:$C$622,0)))</f>
        <v/>
      </c>
      <c r="D25" s="8">
        <f>IF(ISNA(MATCH(12,Engine!$C$2:$C$622,0)),"",INDEX('Compliance Database'!$D$2:$D$622,MATCH(12,Engine!$C$2:$C$622,0)))</f>
        <v/>
      </c>
      <c r="E25">
        <f>IF(ISNA(MATCH(12,Engine!$C$2:$C$622,0)),"",INDEX('Compliance Database'!$E$2:$E$622,MATCH(12,Engine!$C$2:$C$622,0)))</f>
        <v/>
      </c>
      <c r="F25">
        <f>IF(ISNA(MATCH(12,Engine!$C$2:$C$622,0)),"",INDEX('Compliance Database'!$F$2:$F$622,MATCH(12,Engine!$C$2:$C$622,0)))</f>
        <v/>
      </c>
      <c r="G25">
        <f>IF(ISNA(MATCH(12,Engine!$C$2:$C$622,0)),"",INDEX('Compliance Database'!$G$2:$G$622,MATCH(12,Engine!$C$2:$C$622,0)))</f>
        <v/>
      </c>
      <c r="H25">
        <f>IF(ISNA(MATCH(12,Engine!$C$2:$C$622,0)),"",INDEX('Compliance Database'!$H$2:$H$622,MATCH(12,Engine!$C$2:$C$622,0)))</f>
        <v/>
      </c>
      <c r="I25" s="8">
        <f>IF(ISNA(MATCH(12,Engine!$C$2:$C$622,0)),"",INDEX('Compliance Database'!$I$2:$I$622,MATCH(12,Engine!$C$2:$C$622,0)))</f>
        <v/>
      </c>
      <c r="J25" s="8">
        <f>IF(ISNA(MATCH(12,Engine!$C$2:$C$622,0)),"",INDEX('Compliance Database'!$J$2:$J$622,MATCH(12,Engine!$C$2:$C$622,0)))</f>
        <v/>
      </c>
      <c r="K25">
        <f>IF(ISNA(MATCH(12,Engine!$C$2:$C$622,0)),"",INDEX('Compliance Database'!$K$2:$K$622,MATCH(12,Engine!$C$2:$C$622,0)))</f>
        <v/>
      </c>
      <c r="L25" s="8">
        <f>IF(ISNA(MATCH(12,Engine!$C$2:$C$622,0)),"",INDEX('Compliance Database'!$L$2:$L$622,MATCH(12,Engine!$C$2:$C$622,0)))</f>
        <v/>
      </c>
      <c r="M25" s="8">
        <f>IF(ISNA(MATCH(12,Engine!$C$2:$C$622,0)),"",INDEX('Compliance Database'!$M$2:$M$622,MATCH(12,Engine!$C$2:$C$622,0)))</f>
        <v/>
      </c>
      <c r="N25" s="8">
        <f>IF(ISNA(MATCH(12,Engine!$C$2:$C$622,0)),"",INDEX('Compliance Database'!$N$2:$N$622,MATCH(12,Engine!$C$2:$C$622,0)))</f>
        <v/>
      </c>
      <c r="O25" s="8">
        <f>IF(ISNA(MATCH(12,Engine!$C$2:$C$622,0)),"",INDEX('Compliance Database'!$O$2:$O$622,MATCH(12,Engine!$C$2:$C$622,0)))</f>
        <v/>
      </c>
    </row>
    <row r="26">
      <c r="A26">
        <f>IF(ISNA(MATCH(13,Engine!$C$2:$C$622,0)),"",INDEX('Compliance Database'!$A$2:$A$622,MATCH(13,Engine!$C$2:$C$622,0)))</f>
        <v/>
      </c>
      <c r="B26">
        <f>IF(ISNA(MATCH(13,Engine!$C$2:$C$622,0)),"",INDEX('Compliance Database'!$B$2:$B$622,MATCH(13,Engine!$C$2:$C$622,0)))</f>
        <v/>
      </c>
      <c r="C26">
        <f>IF(ISNA(MATCH(13,Engine!$C$2:$C$622,0)),"",INDEX('Compliance Database'!$C$2:$C$622,MATCH(13,Engine!$C$2:$C$622,0)))</f>
        <v/>
      </c>
      <c r="D26" s="8">
        <f>IF(ISNA(MATCH(13,Engine!$C$2:$C$622,0)),"",INDEX('Compliance Database'!$D$2:$D$622,MATCH(13,Engine!$C$2:$C$622,0)))</f>
        <v/>
      </c>
      <c r="E26">
        <f>IF(ISNA(MATCH(13,Engine!$C$2:$C$622,0)),"",INDEX('Compliance Database'!$E$2:$E$622,MATCH(13,Engine!$C$2:$C$622,0)))</f>
        <v/>
      </c>
      <c r="F26">
        <f>IF(ISNA(MATCH(13,Engine!$C$2:$C$622,0)),"",INDEX('Compliance Database'!$F$2:$F$622,MATCH(13,Engine!$C$2:$C$622,0)))</f>
        <v/>
      </c>
      <c r="G26">
        <f>IF(ISNA(MATCH(13,Engine!$C$2:$C$622,0)),"",INDEX('Compliance Database'!$G$2:$G$622,MATCH(13,Engine!$C$2:$C$622,0)))</f>
        <v/>
      </c>
      <c r="H26">
        <f>IF(ISNA(MATCH(13,Engine!$C$2:$C$622,0)),"",INDEX('Compliance Database'!$H$2:$H$622,MATCH(13,Engine!$C$2:$C$622,0)))</f>
        <v/>
      </c>
      <c r="I26" s="8">
        <f>IF(ISNA(MATCH(13,Engine!$C$2:$C$622,0)),"",INDEX('Compliance Database'!$I$2:$I$622,MATCH(13,Engine!$C$2:$C$622,0)))</f>
        <v/>
      </c>
      <c r="J26" s="8">
        <f>IF(ISNA(MATCH(13,Engine!$C$2:$C$622,0)),"",INDEX('Compliance Database'!$J$2:$J$622,MATCH(13,Engine!$C$2:$C$622,0)))</f>
        <v/>
      </c>
      <c r="K26">
        <f>IF(ISNA(MATCH(13,Engine!$C$2:$C$622,0)),"",INDEX('Compliance Database'!$K$2:$K$622,MATCH(13,Engine!$C$2:$C$622,0)))</f>
        <v/>
      </c>
      <c r="L26" s="8">
        <f>IF(ISNA(MATCH(13,Engine!$C$2:$C$622,0)),"",INDEX('Compliance Database'!$L$2:$L$622,MATCH(13,Engine!$C$2:$C$622,0)))</f>
        <v/>
      </c>
      <c r="M26" s="8">
        <f>IF(ISNA(MATCH(13,Engine!$C$2:$C$622,0)),"",INDEX('Compliance Database'!$M$2:$M$622,MATCH(13,Engine!$C$2:$C$622,0)))</f>
        <v/>
      </c>
      <c r="N26" s="8">
        <f>IF(ISNA(MATCH(13,Engine!$C$2:$C$622,0)),"",INDEX('Compliance Database'!$N$2:$N$622,MATCH(13,Engine!$C$2:$C$622,0)))</f>
        <v/>
      </c>
      <c r="O26" s="8">
        <f>IF(ISNA(MATCH(13,Engine!$C$2:$C$622,0)),"",INDEX('Compliance Database'!$O$2:$O$622,MATCH(13,Engine!$C$2:$C$622,0)))</f>
        <v/>
      </c>
    </row>
    <row r="27">
      <c r="A27">
        <f>IF(ISNA(MATCH(14,Engine!$C$2:$C$622,0)),"",INDEX('Compliance Database'!$A$2:$A$622,MATCH(14,Engine!$C$2:$C$622,0)))</f>
        <v/>
      </c>
      <c r="B27">
        <f>IF(ISNA(MATCH(14,Engine!$C$2:$C$622,0)),"",INDEX('Compliance Database'!$B$2:$B$622,MATCH(14,Engine!$C$2:$C$622,0)))</f>
        <v/>
      </c>
      <c r="C27">
        <f>IF(ISNA(MATCH(14,Engine!$C$2:$C$622,0)),"",INDEX('Compliance Database'!$C$2:$C$622,MATCH(14,Engine!$C$2:$C$622,0)))</f>
        <v/>
      </c>
      <c r="D27" s="8">
        <f>IF(ISNA(MATCH(14,Engine!$C$2:$C$622,0)),"",INDEX('Compliance Database'!$D$2:$D$622,MATCH(14,Engine!$C$2:$C$622,0)))</f>
        <v/>
      </c>
      <c r="E27">
        <f>IF(ISNA(MATCH(14,Engine!$C$2:$C$622,0)),"",INDEX('Compliance Database'!$E$2:$E$622,MATCH(14,Engine!$C$2:$C$622,0)))</f>
        <v/>
      </c>
      <c r="F27">
        <f>IF(ISNA(MATCH(14,Engine!$C$2:$C$622,0)),"",INDEX('Compliance Database'!$F$2:$F$622,MATCH(14,Engine!$C$2:$C$622,0)))</f>
        <v/>
      </c>
      <c r="G27">
        <f>IF(ISNA(MATCH(14,Engine!$C$2:$C$622,0)),"",INDEX('Compliance Database'!$G$2:$G$622,MATCH(14,Engine!$C$2:$C$622,0)))</f>
        <v/>
      </c>
      <c r="H27">
        <f>IF(ISNA(MATCH(14,Engine!$C$2:$C$622,0)),"",INDEX('Compliance Database'!$H$2:$H$622,MATCH(14,Engine!$C$2:$C$622,0)))</f>
        <v/>
      </c>
      <c r="I27" s="8">
        <f>IF(ISNA(MATCH(14,Engine!$C$2:$C$622,0)),"",INDEX('Compliance Database'!$I$2:$I$622,MATCH(14,Engine!$C$2:$C$622,0)))</f>
        <v/>
      </c>
      <c r="J27" s="8">
        <f>IF(ISNA(MATCH(14,Engine!$C$2:$C$622,0)),"",INDEX('Compliance Database'!$J$2:$J$622,MATCH(14,Engine!$C$2:$C$622,0)))</f>
        <v/>
      </c>
      <c r="K27">
        <f>IF(ISNA(MATCH(14,Engine!$C$2:$C$622,0)),"",INDEX('Compliance Database'!$K$2:$K$622,MATCH(14,Engine!$C$2:$C$622,0)))</f>
        <v/>
      </c>
      <c r="L27" s="8">
        <f>IF(ISNA(MATCH(14,Engine!$C$2:$C$622,0)),"",INDEX('Compliance Database'!$L$2:$L$622,MATCH(14,Engine!$C$2:$C$622,0)))</f>
        <v/>
      </c>
      <c r="M27" s="8">
        <f>IF(ISNA(MATCH(14,Engine!$C$2:$C$622,0)),"",INDEX('Compliance Database'!$M$2:$M$622,MATCH(14,Engine!$C$2:$C$622,0)))</f>
        <v/>
      </c>
      <c r="N27" s="8">
        <f>IF(ISNA(MATCH(14,Engine!$C$2:$C$622,0)),"",INDEX('Compliance Database'!$N$2:$N$622,MATCH(14,Engine!$C$2:$C$622,0)))</f>
        <v/>
      </c>
      <c r="O27" s="8">
        <f>IF(ISNA(MATCH(14,Engine!$C$2:$C$622,0)),"",INDEX('Compliance Database'!$O$2:$O$622,MATCH(14,Engine!$C$2:$C$622,0)))</f>
        <v/>
      </c>
    </row>
    <row r="28">
      <c r="A28">
        <f>IF(ISNA(MATCH(15,Engine!$C$2:$C$622,0)),"",INDEX('Compliance Database'!$A$2:$A$622,MATCH(15,Engine!$C$2:$C$622,0)))</f>
        <v/>
      </c>
      <c r="B28">
        <f>IF(ISNA(MATCH(15,Engine!$C$2:$C$622,0)),"",INDEX('Compliance Database'!$B$2:$B$622,MATCH(15,Engine!$C$2:$C$622,0)))</f>
        <v/>
      </c>
      <c r="C28">
        <f>IF(ISNA(MATCH(15,Engine!$C$2:$C$622,0)),"",INDEX('Compliance Database'!$C$2:$C$622,MATCH(15,Engine!$C$2:$C$622,0)))</f>
        <v/>
      </c>
      <c r="D28" s="8">
        <f>IF(ISNA(MATCH(15,Engine!$C$2:$C$622,0)),"",INDEX('Compliance Database'!$D$2:$D$622,MATCH(15,Engine!$C$2:$C$622,0)))</f>
        <v/>
      </c>
      <c r="E28">
        <f>IF(ISNA(MATCH(15,Engine!$C$2:$C$622,0)),"",INDEX('Compliance Database'!$E$2:$E$622,MATCH(15,Engine!$C$2:$C$622,0)))</f>
        <v/>
      </c>
      <c r="F28">
        <f>IF(ISNA(MATCH(15,Engine!$C$2:$C$622,0)),"",INDEX('Compliance Database'!$F$2:$F$622,MATCH(15,Engine!$C$2:$C$622,0)))</f>
        <v/>
      </c>
      <c r="G28">
        <f>IF(ISNA(MATCH(15,Engine!$C$2:$C$622,0)),"",INDEX('Compliance Database'!$G$2:$G$622,MATCH(15,Engine!$C$2:$C$622,0)))</f>
        <v/>
      </c>
      <c r="H28">
        <f>IF(ISNA(MATCH(15,Engine!$C$2:$C$622,0)),"",INDEX('Compliance Database'!$H$2:$H$622,MATCH(15,Engine!$C$2:$C$622,0)))</f>
        <v/>
      </c>
      <c r="I28" s="8">
        <f>IF(ISNA(MATCH(15,Engine!$C$2:$C$622,0)),"",INDEX('Compliance Database'!$I$2:$I$622,MATCH(15,Engine!$C$2:$C$622,0)))</f>
        <v/>
      </c>
      <c r="J28" s="8">
        <f>IF(ISNA(MATCH(15,Engine!$C$2:$C$622,0)),"",INDEX('Compliance Database'!$J$2:$J$622,MATCH(15,Engine!$C$2:$C$622,0)))</f>
        <v/>
      </c>
      <c r="K28">
        <f>IF(ISNA(MATCH(15,Engine!$C$2:$C$622,0)),"",INDEX('Compliance Database'!$K$2:$K$622,MATCH(15,Engine!$C$2:$C$622,0)))</f>
        <v/>
      </c>
      <c r="L28" s="8">
        <f>IF(ISNA(MATCH(15,Engine!$C$2:$C$622,0)),"",INDEX('Compliance Database'!$L$2:$L$622,MATCH(15,Engine!$C$2:$C$622,0)))</f>
        <v/>
      </c>
      <c r="M28" s="8">
        <f>IF(ISNA(MATCH(15,Engine!$C$2:$C$622,0)),"",INDEX('Compliance Database'!$M$2:$M$622,MATCH(15,Engine!$C$2:$C$622,0)))</f>
        <v/>
      </c>
      <c r="N28" s="8">
        <f>IF(ISNA(MATCH(15,Engine!$C$2:$C$622,0)),"",INDEX('Compliance Database'!$N$2:$N$622,MATCH(15,Engine!$C$2:$C$622,0)))</f>
        <v/>
      </c>
      <c r="O28" s="8">
        <f>IF(ISNA(MATCH(15,Engine!$C$2:$C$622,0)),"",INDEX('Compliance Database'!$O$2:$O$622,MATCH(15,Engine!$C$2:$C$622,0)))</f>
        <v/>
      </c>
    </row>
    <row r="29">
      <c r="A29">
        <f>IF(ISNA(MATCH(16,Engine!$C$2:$C$622,0)),"",INDEX('Compliance Database'!$A$2:$A$622,MATCH(16,Engine!$C$2:$C$622,0)))</f>
        <v/>
      </c>
      <c r="B29">
        <f>IF(ISNA(MATCH(16,Engine!$C$2:$C$622,0)),"",INDEX('Compliance Database'!$B$2:$B$622,MATCH(16,Engine!$C$2:$C$622,0)))</f>
        <v/>
      </c>
      <c r="C29">
        <f>IF(ISNA(MATCH(16,Engine!$C$2:$C$622,0)),"",INDEX('Compliance Database'!$C$2:$C$622,MATCH(16,Engine!$C$2:$C$622,0)))</f>
        <v/>
      </c>
      <c r="D29" s="8">
        <f>IF(ISNA(MATCH(16,Engine!$C$2:$C$622,0)),"",INDEX('Compliance Database'!$D$2:$D$622,MATCH(16,Engine!$C$2:$C$622,0)))</f>
        <v/>
      </c>
      <c r="E29">
        <f>IF(ISNA(MATCH(16,Engine!$C$2:$C$622,0)),"",INDEX('Compliance Database'!$E$2:$E$622,MATCH(16,Engine!$C$2:$C$622,0)))</f>
        <v/>
      </c>
      <c r="F29">
        <f>IF(ISNA(MATCH(16,Engine!$C$2:$C$622,0)),"",INDEX('Compliance Database'!$F$2:$F$622,MATCH(16,Engine!$C$2:$C$622,0)))</f>
        <v/>
      </c>
      <c r="G29">
        <f>IF(ISNA(MATCH(16,Engine!$C$2:$C$622,0)),"",INDEX('Compliance Database'!$G$2:$G$622,MATCH(16,Engine!$C$2:$C$622,0)))</f>
        <v/>
      </c>
      <c r="H29">
        <f>IF(ISNA(MATCH(16,Engine!$C$2:$C$622,0)),"",INDEX('Compliance Database'!$H$2:$H$622,MATCH(16,Engine!$C$2:$C$622,0)))</f>
        <v/>
      </c>
      <c r="I29" s="8">
        <f>IF(ISNA(MATCH(16,Engine!$C$2:$C$622,0)),"",INDEX('Compliance Database'!$I$2:$I$622,MATCH(16,Engine!$C$2:$C$622,0)))</f>
        <v/>
      </c>
      <c r="J29" s="8">
        <f>IF(ISNA(MATCH(16,Engine!$C$2:$C$622,0)),"",INDEX('Compliance Database'!$J$2:$J$622,MATCH(16,Engine!$C$2:$C$622,0)))</f>
        <v/>
      </c>
      <c r="K29">
        <f>IF(ISNA(MATCH(16,Engine!$C$2:$C$622,0)),"",INDEX('Compliance Database'!$K$2:$K$622,MATCH(16,Engine!$C$2:$C$622,0)))</f>
        <v/>
      </c>
      <c r="L29" s="8">
        <f>IF(ISNA(MATCH(16,Engine!$C$2:$C$622,0)),"",INDEX('Compliance Database'!$L$2:$L$622,MATCH(16,Engine!$C$2:$C$622,0)))</f>
        <v/>
      </c>
      <c r="M29" s="8">
        <f>IF(ISNA(MATCH(16,Engine!$C$2:$C$622,0)),"",INDEX('Compliance Database'!$M$2:$M$622,MATCH(16,Engine!$C$2:$C$622,0)))</f>
        <v/>
      </c>
      <c r="N29" s="8">
        <f>IF(ISNA(MATCH(16,Engine!$C$2:$C$622,0)),"",INDEX('Compliance Database'!$N$2:$N$622,MATCH(16,Engine!$C$2:$C$622,0)))</f>
        <v/>
      </c>
      <c r="O29" s="8">
        <f>IF(ISNA(MATCH(16,Engine!$C$2:$C$622,0)),"",INDEX('Compliance Database'!$O$2:$O$622,MATCH(16,Engine!$C$2:$C$622,0)))</f>
        <v/>
      </c>
    </row>
    <row r="30">
      <c r="A30">
        <f>IF(ISNA(MATCH(17,Engine!$C$2:$C$622,0)),"",INDEX('Compliance Database'!$A$2:$A$622,MATCH(17,Engine!$C$2:$C$622,0)))</f>
        <v/>
      </c>
      <c r="B30">
        <f>IF(ISNA(MATCH(17,Engine!$C$2:$C$622,0)),"",INDEX('Compliance Database'!$B$2:$B$622,MATCH(17,Engine!$C$2:$C$622,0)))</f>
        <v/>
      </c>
      <c r="C30">
        <f>IF(ISNA(MATCH(17,Engine!$C$2:$C$622,0)),"",INDEX('Compliance Database'!$C$2:$C$622,MATCH(17,Engine!$C$2:$C$622,0)))</f>
        <v/>
      </c>
      <c r="D30" s="8">
        <f>IF(ISNA(MATCH(17,Engine!$C$2:$C$622,0)),"",INDEX('Compliance Database'!$D$2:$D$622,MATCH(17,Engine!$C$2:$C$622,0)))</f>
        <v/>
      </c>
      <c r="E30">
        <f>IF(ISNA(MATCH(17,Engine!$C$2:$C$622,0)),"",INDEX('Compliance Database'!$E$2:$E$622,MATCH(17,Engine!$C$2:$C$622,0)))</f>
        <v/>
      </c>
      <c r="F30">
        <f>IF(ISNA(MATCH(17,Engine!$C$2:$C$622,0)),"",INDEX('Compliance Database'!$F$2:$F$622,MATCH(17,Engine!$C$2:$C$622,0)))</f>
        <v/>
      </c>
      <c r="G30">
        <f>IF(ISNA(MATCH(17,Engine!$C$2:$C$622,0)),"",INDEX('Compliance Database'!$G$2:$G$622,MATCH(17,Engine!$C$2:$C$622,0)))</f>
        <v/>
      </c>
      <c r="H30">
        <f>IF(ISNA(MATCH(17,Engine!$C$2:$C$622,0)),"",INDEX('Compliance Database'!$H$2:$H$622,MATCH(17,Engine!$C$2:$C$622,0)))</f>
        <v/>
      </c>
      <c r="I30" s="8">
        <f>IF(ISNA(MATCH(17,Engine!$C$2:$C$622,0)),"",INDEX('Compliance Database'!$I$2:$I$622,MATCH(17,Engine!$C$2:$C$622,0)))</f>
        <v/>
      </c>
      <c r="J30" s="8">
        <f>IF(ISNA(MATCH(17,Engine!$C$2:$C$622,0)),"",INDEX('Compliance Database'!$J$2:$J$622,MATCH(17,Engine!$C$2:$C$622,0)))</f>
        <v/>
      </c>
      <c r="K30">
        <f>IF(ISNA(MATCH(17,Engine!$C$2:$C$622,0)),"",INDEX('Compliance Database'!$K$2:$K$622,MATCH(17,Engine!$C$2:$C$622,0)))</f>
        <v/>
      </c>
      <c r="L30" s="8">
        <f>IF(ISNA(MATCH(17,Engine!$C$2:$C$622,0)),"",INDEX('Compliance Database'!$L$2:$L$622,MATCH(17,Engine!$C$2:$C$622,0)))</f>
        <v/>
      </c>
      <c r="M30" s="8">
        <f>IF(ISNA(MATCH(17,Engine!$C$2:$C$622,0)),"",INDEX('Compliance Database'!$M$2:$M$622,MATCH(17,Engine!$C$2:$C$622,0)))</f>
        <v/>
      </c>
      <c r="N30" s="8">
        <f>IF(ISNA(MATCH(17,Engine!$C$2:$C$622,0)),"",INDEX('Compliance Database'!$N$2:$N$622,MATCH(17,Engine!$C$2:$C$622,0)))</f>
        <v/>
      </c>
      <c r="O30" s="8">
        <f>IF(ISNA(MATCH(17,Engine!$C$2:$C$622,0)),"",INDEX('Compliance Database'!$O$2:$O$622,MATCH(17,Engine!$C$2:$C$622,0)))</f>
        <v/>
      </c>
    </row>
    <row r="31">
      <c r="A31">
        <f>IF(ISNA(MATCH(18,Engine!$C$2:$C$622,0)),"",INDEX('Compliance Database'!$A$2:$A$622,MATCH(18,Engine!$C$2:$C$622,0)))</f>
        <v/>
      </c>
      <c r="B31">
        <f>IF(ISNA(MATCH(18,Engine!$C$2:$C$622,0)),"",INDEX('Compliance Database'!$B$2:$B$622,MATCH(18,Engine!$C$2:$C$622,0)))</f>
        <v/>
      </c>
      <c r="C31">
        <f>IF(ISNA(MATCH(18,Engine!$C$2:$C$622,0)),"",INDEX('Compliance Database'!$C$2:$C$622,MATCH(18,Engine!$C$2:$C$622,0)))</f>
        <v/>
      </c>
      <c r="D31" s="8">
        <f>IF(ISNA(MATCH(18,Engine!$C$2:$C$622,0)),"",INDEX('Compliance Database'!$D$2:$D$622,MATCH(18,Engine!$C$2:$C$622,0)))</f>
        <v/>
      </c>
      <c r="E31">
        <f>IF(ISNA(MATCH(18,Engine!$C$2:$C$622,0)),"",INDEX('Compliance Database'!$E$2:$E$622,MATCH(18,Engine!$C$2:$C$622,0)))</f>
        <v/>
      </c>
      <c r="F31">
        <f>IF(ISNA(MATCH(18,Engine!$C$2:$C$622,0)),"",INDEX('Compliance Database'!$F$2:$F$622,MATCH(18,Engine!$C$2:$C$622,0)))</f>
        <v/>
      </c>
      <c r="G31">
        <f>IF(ISNA(MATCH(18,Engine!$C$2:$C$622,0)),"",INDEX('Compliance Database'!$G$2:$G$622,MATCH(18,Engine!$C$2:$C$622,0)))</f>
        <v/>
      </c>
      <c r="H31">
        <f>IF(ISNA(MATCH(18,Engine!$C$2:$C$622,0)),"",INDEX('Compliance Database'!$H$2:$H$622,MATCH(18,Engine!$C$2:$C$622,0)))</f>
        <v/>
      </c>
      <c r="I31" s="8">
        <f>IF(ISNA(MATCH(18,Engine!$C$2:$C$622,0)),"",INDEX('Compliance Database'!$I$2:$I$622,MATCH(18,Engine!$C$2:$C$622,0)))</f>
        <v/>
      </c>
      <c r="J31" s="8">
        <f>IF(ISNA(MATCH(18,Engine!$C$2:$C$622,0)),"",INDEX('Compliance Database'!$J$2:$J$622,MATCH(18,Engine!$C$2:$C$622,0)))</f>
        <v/>
      </c>
      <c r="K31">
        <f>IF(ISNA(MATCH(18,Engine!$C$2:$C$622,0)),"",INDEX('Compliance Database'!$K$2:$K$622,MATCH(18,Engine!$C$2:$C$622,0)))</f>
        <v/>
      </c>
      <c r="L31" s="8">
        <f>IF(ISNA(MATCH(18,Engine!$C$2:$C$622,0)),"",INDEX('Compliance Database'!$L$2:$L$622,MATCH(18,Engine!$C$2:$C$622,0)))</f>
        <v/>
      </c>
      <c r="M31" s="8">
        <f>IF(ISNA(MATCH(18,Engine!$C$2:$C$622,0)),"",INDEX('Compliance Database'!$M$2:$M$622,MATCH(18,Engine!$C$2:$C$622,0)))</f>
        <v/>
      </c>
      <c r="N31" s="8">
        <f>IF(ISNA(MATCH(18,Engine!$C$2:$C$622,0)),"",INDEX('Compliance Database'!$N$2:$N$622,MATCH(18,Engine!$C$2:$C$622,0)))</f>
        <v/>
      </c>
      <c r="O31" s="8">
        <f>IF(ISNA(MATCH(18,Engine!$C$2:$C$622,0)),"",INDEX('Compliance Database'!$O$2:$O$622,MATCH(18,Engine!$C$2:$C$622,0)))</f>
        <v/>
      </c>
    </row>
    <row r="32">
      <c r="A32">
        <f>IF(ISNA(MATCH(19,Engine!$C$2:$C$622,0)),"",INDEX('Compliance Database'!$A$2:$A$622,MATCH(19,Engine!$C$2:$C$622,0)))</f>
        <v/>
      </c>
      <c r="B32">
        <f>IF(ISNA(MATCH(19,Engine!$C$2:$C$622,0)),"",INDEX('Compliance Database'!$B$2:$B$622,MATCH(19,Engine!$C$2:$C$622,0)))</f>
        <v/>
      </c>
      <c r="C32">
        <f>IF(ISNA(MATCH(19,Engine!$C$2:$C$622,0)),"",INDEX('Compliance Database'!$C$2:$C$622,MATCH(19,Engine!$C$2:$C$622,0)))</f>
        <v/>
      </c>
      <c r="D32" s="8">
        <f>IF(ISNA(MATCH(19,Engine!$C$2:$C$622,0)),"",INDEX('Compliance Database'!$D$2:$D$622,MATCH(19,Engine!$C$2:$C$622,0)))</f>
        <v/>
      </c>
      <c r="E32">
        <f>IF(ISNA(MATCH(19,Engine!$C$2:$C$622,0)),"",INDEX('Compliance Database'!$E$2:$E$622,MATCH(19,Engine!$C$2:$C$622,0)))</f>
        <v/>
      </c>
      <c r="F32">
        <f>IF(ISNA(MATCH(19,Engine!$C$2:$C$622,0)),"",INDEX('Compliance Database'!$F$2:$F$622,MATCH(19,Engine!$C$2:$C$622,0)))</f>
        <v/>
      </c>
      <c r="G32">
        <f>IF(ISNA(MATCH(19,Engine!$C$2:$C$622,0)),"",INDEX('Compliance Database'!$G$2:$G$622,MATCH(19,Engine!$C$2:$C$622,0)))</f>
        <v/>
      </c>
      <c r="H32">
        <f>IF(ISNA(MATCH(19,Engine!$C$2:$C$622,0)),"",INDEX('Compliance Database'!$H$2:$H$622,MATCH(19,Engine!$C$2:$C$622,0)))</f>
        <v/>
      </c>
      <c r="I32" s="8">
        <f>IF(ISNA(MATCH(19,Engine!$C$2:$C$622,0)),"",INDEX('Compliance Database'!$I$2:$I$622,MATCH(19,Engine!$C$2:$C$622,0)))</f>
        <v/>
      </c>
      <c r="J32" s="8">
        <f>IF(ISNA(MATCH(19,Engine!$C$2:$C$622,0)),"",INDEX('Compliance Database'!$J$2:$J$622,MATCH(19,Engine!$C$2:$C$622,0)))</f>
        <v/>
      </c>
      <c r="K32">
        <f>IF(ISNA(MATCH(19,Engine!$C$2:$C$622,0)),"",INDEX('Compliance Database'!$K$2:$K$622,MATCH(19,Engine!$C$2:$C$622,0)))</f>
        <v/>
      </c>
      <c r="L32" s="8">
        <f>IF(ISNA(MATCH(19,Engine!$C$2:$C$622,0)),"",INDEX('Compliance Database'!$L$2:$L$622,MATCH(19,Engine!$C$2:$C$622,0)))</f>
        <v/>
      </c>
      <c r="M32" s="8">
        <f>IF(ISNA(MATCH(19,Engine!$C$2:$C$622,0)),"",INDEX('Compliance Database'!$M$2:$M$622,MATCH(19,Engine!$C$2:$C$622,0)))</f>
        <v/>
      </c>
      <c r="N32" s="8">
        <f>IF(ISNA(MATCH(19,Engine!$C$2:$C$622,0)),"",INDEX('Compliance Database'!$N$2:$N$622,MATCH(19,Engine!$C$2:$C$622,0)))</f>
        <v/>
      </c>
      <c r="O32" s="8">
        <f>IF(ISNA(MATCH(19,Engine!$C$2:$C$622,0)),"",INDEX('Compliance Database'!$O$2:$O$622,MATCH(19,Engine!$C$2:$C$622,0)))</f>
        <v/>
      </c>
    </row>
    <row r="33">
      <c r="A33">
        <f>IF(ISNA(MATCH(20,Engine!$C$2:$C$622,0)),"",INDEX('Compliance Database'!$A$2:$A$622,MATCH(20,Engine!$C$2:$C$622,0)))</f>
        <v/>
      </c>
      <c r="B33">
        <f>IF(ISNA(MATCH(20,Engine!$C$2:$C$622,0)),"",INDEX('Compliance Database'!$B$2:$B$622,MATCH(20,Engine!$C$2:$C$622,0)))</f>
        <v/>
      </c>
      <c r="C33">
        <f>IF(ISNA(MATCH(20,Engine!$C$2:$C$622,0)),"",INDEX('Compliance Database'!$C$2:$C$622,MATCH(20,Engine!$C$2:$C$622,0)))</f>
        <v/>
      </c>
      <c r="D33" s="8">
        <f>IF(ISNA(MATCH(20,Engine!$C$2:$C$622,0)),"",INDEX('Compliance Database'!$D$2:$D$622,MATCH(20,Engine!$C$2:$C$622,0)))</f>
        <v/>
      </c>
      <c r="E33">
        <f>IF(ISNA(MATCH(20,Engine!$C$2:$C$622,0)),"",INDEX('Compliance Database'!$E$2:$E$622,MATCH(20,Engine!$C$2:$C$622,0)))</f>
        <v/>
      </c>
      <c r="F33">
        <f>IF(ISNA(MATCH(20,Engine!$C$2:$C$622,0)),"",INDEX('Compliance Database'!$F$2:$F$622,MATCH(20,Engine!$C$2:$C$622,0)))</f>
        <v/>
      </c>
      <c r="G33">
        <f>IF(ISNA(MATCH(20,Engine!$C$2:$C$622,0)),"",INDEX('Compliance Database'!$G$2:$G$622,MATCH(20,Engine!$C$2:$C$622,0)))</f>
        <v/>
      </c>
      <c r="H33">
        <f>IF(ISNA(MATCH(20,Engine!$C$2:$C$622,0)),"",INDEX('Compliance Database'!$H$2:$H$622,MATCH(20,Engine!$C$2:$C$622,0)))</f>
        <v/>
      </c>
      <c r="I33" s="8">
        <f>IF(ISNA(MATCH(20,Engine!$C$2:$C$622,0)),"",INDEX('Compliance Database'!$I$2:$I$622,MATCH(20,Engine!$C$2:$C$622,0)))</f>
        <v/>
      </c>
      <c r="J33" s="8">
        <f>IF(ISNA(MATCH(20,Engine!$C$2:$C$622,0)),"",INDEX('Compliance Database'!$J$2:$J$622,MATCH(20,Engine!$C$2:$C$622,0)))</f>
        <v/>
      </c>
      <c r="K33">
        <f>IF(ISNA(MATCH(20,Engine!$C$2:$C$622,0)),"",INDEX('Compliance Database'!$K$2:$K$622,MATCH(20,Engine!$C$2:$C$622,0)))</f>
        <v/>
      </c>
      <c r="L33" s="8">
        <f>IF(ISNA(MATCH(20,Engine!$C$2:$C$622,0)),"",INDEX('Compliance Database'!$L$2:$L$622,MATCH(20,Engine!$C$2:$C$622,0)))</f>
        <v/>
      </c>
      <c r="M33" s="8">
        <f>IF(ISNA(MATCH(20,Engine!$C$2:$C$622,0)),"",INDEX('Compliance Database'!$M$2:$M$622,MATCH(20,Engine!$C$2:$C$622,0)))</f>
        <v/>
      </c>
      <c r="N33" s="8">
        <f>IF(ISNA(MATCH(20,Engine!$C$2:$C$622,0)),"",INDEX('Compliance Database'!$N$2:$N$622,MATCH(20,Engine!$C$2:$C$622,0)))</f>
        <v/>
      </c>
      <c r="O33" s="8">
        <f>IF(ISNA(MATCH(20,Engine!$C$2:$C$622,0)),"",INDEX('Compliance Database'!$O$2:$O$622,MATCH(20,Engine!$C$2:$C$622,0)))</f>
        <v/>
      </c>
    </row>
    <row r="34">
      <c r="A34">
        <f>IF(ISNA(MATCH(21,Engine!$C$2:$C$622,0)),"",INDEX('Compliance Database'!$A$2:$A$622,MATCH(21,Engine!$C$2:$C$622,0)))</f>
        <v/>
      </c>
      <c r="B34">
        <f>IF(ISNA(MATCH(21,Engine!$C$2:$C$622,0)),"",INDEX('Compliance Database'!$B$2:$B$622,MATCH(21,Engine!$C$2:$C$622,0)))</f>
        <v/>
      </c>
      <c r="C34">
        <f>IF(ISNA(MATCH(21,Engine!$C$2:$C$622,0)),"",INDEX('Compliance Database'!$C$2:$C$622,MATCH(21,Engine!$C$2:$C$622,0)))</f>
        <v/>
      </c>
      <c r="D34" s="8">
        <f>IF(ISNA(MATCH(21,Engine!$C$2:$C$622,0)),"",INDEX('Compliance Database'!$D$2:$D$622,MATCH(21,Engine!$C$2:$C$622,0)))</f>
        <v/>
      </c>
      <c r="E34">
        <f>IF(ISNA(MATCH(21,Engine!$C$2:$C$622,0)),"",INDEX('Compliance Database'!$E$2:$E$622,MATCH(21,Engine!$C$2:$C$622,0)))</f>
        <v/>
      </c>
      <c r="F34">
        <f>IF(ISNA(MATCH(21,Engine!$C$2:$C$622,0)),"",INDEX('Compliance Database'!$F$2:$F$622,MATCH(21,Engine!$C$2:$C$622,0)))</f>
        <v/>
      </c>
      <c r="G34">
        <f>IF(ISNA(MATCH(21,Engine!$C$2:$C$622,0)),"",INDEX('Compliance Database'!$G$2:$G$622,MATCH(21,Engine!$C$2:$C$622,0)))</f>
        <v/>
      </c>
      <c r="H34">
        <f>IF(ISNA(MATCH(21,Engine!$C$2:$C$622,0)),"",INDEX('Compliance Database'!$H$2:$H$622,MATCH(21,Engine!$C$2:$C$622,0)))</f>
        <v/>
      </c>
      <c r="I34" s="8">
        <f>IF(ISNA(MATCH(21,Engine!$C$2:$C$622,0)),"",INDEX('Compliance Database'!$I$2:$I$622,MATCH(21,Engine!$C$2:$C$622,0)))</f>
        <v/>
      </c>
      <c r="J34" s="8">
        <f>IF(ISNA(MATCH(21,Engine!$C$2:$C$622,0)),"",INDEX('Compliance Database'!$J$2:$J$622,MATCH(21,Engine!$C$2:$C$622,0)))</f>
        <v/>
      </c>
      <c r="K34">
        <f>IF(ISNA(MATCH(21,Engine!$C$2:$C$622,0)),"",INDEX('Compliance Database'!$K$2:$K$622,MATCH(21,Engine!$C$2:$C$622,0)))</f>
        <v/>
      </c>
      <c r="L34" s="8">
        <f>IF(ISNA(MATCH(21,Engine!$C$2:$C$622,0)),"",INDEX('Compliance Database'!$L$2:$L$622,MATCH(21,Engine!$C$2:$C$622,0)))</f>
        <v/>
      </c>
      <c r="M34" s="8">
        <f>IF(ISNA(MATCH(21,Engine!$C$2:$C$622,0)),"",INDEX('Compliance Database'!$M$2:$M$622,MATCH(21,Engine!$C$2:$C$622,0)))</f>
        <v/>
      </c>
      <c r="N34" s="8">
        <f>IF(ISNA(MATCH(21,Engine!$C$2:$C$622,0)),"",INDEX('Compliance Database'!$N$2:$N$622,MATCH(21,Engine!$C$2:$C$622,0)))</f>
        <v/>
      </c>
      <c r="O34" s="8">
        <f>IF(ISNA(MATCH(21,Engine!$C$2:$C$622,0)),"",INDEX('Compliance Database'!$O$2:$O$622,MATCH(21,Engine!$C$2:$C$622,0)))</f>
        <v/>
      </c>
    </row>
    <row r="35">
      <c r="A35">
        <f>IF(ISNA(MATCH(22,Engine!$C$2:$C$622,0)),"",INDEX('Compliance Database'!$A$2:$A$622,MATCH(22,Engine!$C$2:$C$622,0)))</f>
        <v/>
      </c>
      <c r="B35">
        <f>IF(ISNA(MATCH(22,Engine!$C$2:$C$622,0)),"",INDEX('Compliance Database'!$B$2:$B$622,MATCH(22,Engine!$C$2:$C$622,0)))</f>
        <v/>
      </c>
      <c r="C35">
        <f>IF(ISNA(MATCH(22,Engine!$C$2:$C$622,0)),"",INDEX('Compliance Database'!$C$2:$C$622,MATCH(22,Engine!$C$2:$C$622,0)))</f>
        <v/>
      </c>
      <c r="D35" s="8">
        <f>IF(ISNA(MATCH(22,Engine!$C$2:$C$622,0)),"",INDEX('Compliance Database'!$D$2:$D$622,MATCH(22,Engine!$C$2:$C$622,0)))</f>
        <v/>
      </c>
      <c r="E35">
        <f>IF(ISNA(MATCH(22,Engine!$C$2:$C$622,0)),"",INDEX('Compliance Database'!$E$2:$E$622,MATCH(22,Engine!$C$2:$C$622,0)))</f>
        <v/>
      </c>
      <c r="F35">
        <f>IF(ISNA(MATCH(22,Engine!$C$2:$C$622,0)),"",INDEX('Compliance Database'!$F$2:$F$622,MATCH(22,Engine!$C$2:$C$622,0)))</f>
        <v/>
      </c>
      <c r="G35">
        <f>IF(ISNA(MATCH(22,Engine!$C$2:$C$622,0)),"",INDEX('Compliance Database'!$G$2:$G$622,MATCH(22,Engine!$C$2:$C$622,0)))</f>
        <v/>
      </c>
      <c r="H35">
        <f>IF(ISNA(MATCH(22,Engine!$C$2:$C$622,0)),"",INDEX('Compliance Database'!$H$2:$H$622,MATCH(22,Engine!$C$2:$C$622,0)))</f>
        <v/>
      </c>
      <c r="I35" s="8">
        <f>IF(ISNA(MATCH(22,Engine!$C$2:$C$622,0)),"",INDEX('Compliance Database'!$I$2:$I$622,MATCH(22,Engine!$C$2:$C$622,0)))</f>
        <v/>
      </c>
      <c r="J35" s="8">
        <f>IF(ISNA(MATCH(22,Engine!$C$2:$C$622,0)),"",INDEX('Compliance Database'!$J$2:$J$622,MATCH(22,Engine!$C$2:$C$622,0)))</f>
        <v/>
      </c>
      <c r="K35">
        <f>IF(ISNA(MATCH(22,Engine!$C$2:$C$622,0)),"",INDEX('Compliance Database'!$K$2:$K$622,MATCH(22,Engine!$C$2:$C$622,0)))</f>
        <v/>
      </c>
      <c r="L35" s="8">
        <f>IF(ISNA(MATCH(22,Engine!$C$2:$C$622,0)),"",INDEX('Compliance Database'!$L$2:$L$622,MATCH(22,Engine!$C$2:$C$622,0)))</f>
        <v/>
      </c>
      <c r="M35" s="8">
        <f>IF(ISNA(MATCH(22,Engine!$C$2:$C$622,0)),"",INDEX('Compliance Database'!$M$2:$M$622,MATCH(22,Engine!$C$2:$C$622,0)))</f>
        <v/>
      </c>
      <c r="N35" s="8">
        <f>IF(ISNA(MATCH(22,Engine!$C$2:$C$622,0)),"",INDEX('Compliance Database'!$N$2:$N$622,MATCH(22,Engine!$C$2:$C$622,0)))</f>
        <v/>
      </c>
      <c r="O35" s="8">
        <f>IF(ISNA(MATCH(22,Engine!$C$2:$C$622,0)),"",INDEX('Compliance Database'!$O$2:$O$622,MATCH(22,Engine!$C$2:$C$622,0)))</f>
        <v/>
      </c>
    </row>
    <row r="36">
      <c r="A36">
        <f>IF(ISNA(MATCH(23,Engine!$C$2:$C$622,0)),"",INDEX('Compliance Database'!$A$2:$A$622,MATCH(23,Engine!$C$2:$C$622,0)))</f>
        <v/>
      </c>
      <c r="B36">
        <f>IF(ISNA(MATCH(23,Engine!$C$2:$C$622,0)),"",INDEX('Compliance Database'!$B$2:$B$622,MATCH(23,Engine!$C$2:$C$622,0)))</f>
        <v/>
      </c>
      <c r="C36">
        <f>IF(ISNA(MATCH(23,Engine!$C$2:$C$622,0)),"",INDEX('Compliance Database'!$C$2:$C$622,MATCH(23,Engine!$C$2:$C$622,0)))</f>
        <v/>
      </c>
      <c r="D36" s="8">
        <f>IF(ISNA(MATCH(23,Engine!$C$2:$C$622,0)),"",INDEX('Compliance Database'!$D$2:$D$622,MATCH(23,Engine!$C$2:$C$622,0)))</f>
        <v/>
      </c>
      <c r="E36">
        <f>IF(ISNA(MATCH(23,Engine!$C$2:$C$622,0)),"",INDEX('Compliance Database'!$E$2:$E$622,MATCH(23,Engine!$C$2:$C$622,0)))</f>
        <v/>
      </c>
      <c r="F36">
        <f>IF(ISNA(MATCH(23,Engine!$C$2:$C$622,0)),"",INDEX('Compliance Database'!$F$2:$F$622,MATCH(23,Engine!$C$2:$C$622,0)))</f>
        <v/>
      </c>
      <c r="G36">
        <f>IF(ISNA(MATCH(23,Engine!$C$2:$C$622,0)),"",INDEX('Compliance Database'!$G$2:$G$622,MATCH(23,Engine!$C$2:$C$622,0)))</f>
        <v/>
      </c>
      <c r="H36">
        <f>IF(ISNA(MATCH(23,Engine!$C$2:$C$622,0)),"",INDEX('Compliance Database'!$H$2:$H$622,MATCH(23,Engine!$C$2:$C$622,0)))</f>
        <v/>
      </c>
      <c r="I36" s="8">
        <f>IF(ISNA(MATCH(23,Engine!$C$2:$C$622,0)),"",INDEX('Compliance Database'!$I$2:$I$622,MATCH(23,Engine!$C$2:$C$622,0)))</f>
        <v/>
      </c>
      <c r="J36" s="8">
        <f>IF(ISNA(MATCH(23,Engine!$C$2:$C$622,0)),"",INDEX('Compliance Database'!$J$2:$J$622,MATCH(23,Engine!$C$2:$C$622,0)))</f>
        <v/>
      </c>
      <c r="K36">
        <f>IF(ISNA(MATCH(23,Engine!$C$2:$C$622,0)),"",INDEX('Compliance Database'!$K$2:$K$622,MATCH(23,Engine!$C$2:$C$622,0)))</f>
        <v/>
      </c>
      <c r="L36" s="8">
        <f>IF(ISNA(MATCH(23,Engine!$C$2:$C$622,0)),"",INDEX('Compliance Database'!$L$2:$L$622,MATCH(23,Engine!$C$2:$C$622,0)))</f>
        <v/>
      </c>
      <c r="M36" s="8">
        <f>IF(ISNA(MATCH(23,Engine!$C$2:$C$622,0)),"",INDEX('Compliance Database'!$M$2:$M$622,MATCH(23,Engine!$C$2:$C$622,0)))</f>
        <v/>
      </c>
      <c r="N36" s="8">
        <f>IF(ISNA(MATCH(23,Engine!$C$2:$C$622,0)),"",INDEX('Compliance Database'!$N$2:$N$622,MATCH(23,Engine!$C$2:$C$622,0)))</f>
        <v/>
      </c>
      <c r="O36" s="8">
        <f>IF(ISNA(MATCH(23,Engine!$C$2:$C$622,0)),"",INDEX('Compliance Database'!$O$2:$O$622,MATCH(23,Engine!$C$2:$C$622,0)))</f>
        <v/>
      </c>
    </row>
    <row r="37">
      <c r="A37">
        <f>IF(ISNA(MATCH(24,Engine!$C$2:$C$622,0)),"",INDEX('Compliance Database'!$A$2:$A$622,MATCH(24,Engine!$C$2:$C$622,0)))</f>
        <v/>
      </c>
      <c r="B37">
        <f>IF(ISNA(MATCH(24,Engine!$C$2:$C$622,0)),"",INDEX('Compliance Database'!$B$2:$B$622,MATCH(24,Engine!$C$2:$C$622,0)))</f>
        <v/>
      </c>
      <c r="C37">
        <f>IF(ISNA(MATCH(24,Engine!$C$2:$C$622,0)),"",INDEX('Compliance Database'!$C$2:$C$622,MATCH(24,Engine!$C$2:$C$622,0)))</f>
        <v/>
      </c>
      <c r="D37" s="8">
        <f>IF(ISNA(MATCH(24,Engine!$C$2:$C$622,0)),"",INDEX('Compliance Database'!$D$2:$D$622,MATCH(24,Engine!$C$2:$C$622,0)))</f>
        <v/>
      </c>
      <c r="E37">
        <f>IF(ISNA(MATCH(24,Engine!$C$2:$C$622,0)),"",INDEX('Compliance Database'!$E$2:$E$622,MATCH(24,Engine!$C$2:$C$622,0)))</f>
        <v/>
      </c>
      <c r="F37">
        <f>IF(ISNA(MATCH(24,Engine!$C$2:$C$622,0)),"",INDEX('Compliance Database'!$F$2:$F$622,MATCH(24,Engine!$C$2:$C$622,0)))</f>
        <v/>
      </c>
      <c r="G37">
        <f>IF(ISNA(MATCH(24,Engine!$C$2:$C$622,0)),"",INDEX('Compliance Database'!$G$2:$G$622,MATCH(24,Engine!$C$2:$C$622,0)))</f>
        <v/>
      </c>
      <c r="H37">
        <f>IF(ISNA(MATCH(24,Engine!$C$2:$C$622,0)),"",INDEX('Compliance Database'!$H$2:$H$622,MATCH(24,Engine!$C$2:$C$622,0)))</f>
        <v/>
      </c>
      <c r="I37" s="8">
        <f>IF(ISNA(MATCH(24,Engine!$C$2:$C$622,0)),"",INDEX('Compliance Database'!$I$2:$I$622,MATCH(24,Engine!$C$2:$C$622,0)))</f>
        <v/>
      </c>
      <c r="J37" s="8">
        <f>IF(ISNA(MATCH(24,Engine!$C$2:$C$622,0)),"",INDEX('Compliance Database'!$J$2:$J$622,MATCH(24,Engine!$C$2:$C$622,0)))</f>
        <v/>
      </c>
      <c r="K37">
        <f>IF(ISNA(MATCH(24,Engine!$C$2:$C$622,0)),"",INDEX('Compliance Database'!$K$2:$K$622,MATCH(24,Engine!$C$2:$C$622,0)))</f>
        <v/>
      </c>
      <c r="L37" s="8">
        <f>IF(ISNA(MATCH(24,Engine!$C$2:$C$622,0)),"",INDEX('Compliance Database'!$L$2:$L$622,MATCH(24,Engine!$C$2:$C$622,0)))</f>
        <v/>
      </c>
      <c r="M37" s="8">
        <f>IF(ISNA(MATCH(24,Engine!$C$2:$C$622,0)),"",INDEX('Compliance Database'!$M$2:$M$622,MATCH(24,Engine!$C$2:$C$622,0)))</f>
        <v/>
      </c>
      <c r="N37" s="8">
        <f>IF(ISNA(MATCH(24,Engine!$C$2:$C$622,0)),"",INDEX('Compliance Database'!$N$2:$N$622,MATCH(24,Engine!$C$2:$C$622,0)))</f>
        <v/>
      </c>
      <c r="O37" s="8">
        <f>IF(ISNA(MATCH(24,Engine!$C$2:$C$622,0)),"",INDEX('Compliance Database'!$O$2:$O$622,MATCH(24,Engine!$C$2:$C$622,0)))</f>
        <v/>
      </c>
    </row>
    <row r="38">
      <c r="A38">
        <f>IF(ISNA(MATCH(25,Engine!$C$2:$C$622,0)),"",INDEX('Compliance Database'!$A$2:$A$622,MATCH(25,Engine!$C$2:$C$622,0)))</f>
        <v/>
      </c>
      <c r="B38">
        <f>IF(ISNA(MATCH(25,Engine!$C$2:$C$622,0)),"",INDEX('Compliance Database'!$B$2:$B$622,MATCH(25,Engine!$C$2:$C$622,0)))</f>
        <v/>
      </c>
      <c r="C38">
        <f>IF(ISNA(MATCH(25,Engine!$C$2:$C$622,0)),"",INDEX('Compliance Database'!$C$2:$C$622,MATCH(25,Engine!$C$2:$C$622,0)))</f>
        <v/>
      </c>
      <c r="D38" s="8">
        <f>IF(ISNA(MATCH(25,Engine!$C$2:$C$622,0)),"",INDEX('Compliance Database'!$D$2:$D$622,MATCH(25,Engine!$C$2:$C$622,0)))</f>
        <v/>
      </c>
      <c r="E38">
        <f>IF(ISNA(MATCH(25,Engine!$C$2:$C$622,0)),"",INDEX('Compliance Database'!$E$2:$E$622,MATCH(25,Engine!$C$2:$C$622,0)))</f>
        <v/>
      </c>
      <c r="F38">
        <f>IF(ISNA(MATCH(25,Engine!$C$2:$C$622,0)),"",INDEX('Compliance Database'!$F$2:$F$622,MATCH(25,Engine!$C$2:$C$622,0)))</f>
        <v/>
      </c>
      <c r="G38">
        <f>IF(ISNA(MATCH(25,Engine!$C$2:$C$622,0)),"",INDEX('Compliance Database'!$G$2:$G$622,MATCH(25,Engine!$C$2:$C$622,0)))</f>
        <v/>
      </c>
      <c r="H38">
        <f>IF(ISNA(MATCH(25,Engine!$C$2:$C$622,0)),"",INDEX('Compliance Database'!$H$2:$H$622,MATCH(25,Engine!$C$2:$C$622,0)))</f>
        <v/>
      </c>
      <c r="I38" s="8">
        <f>IF(ISNA(MATCH(25,Engine!$C$2:$C$622,0)),"",INDEX('Compliance Database'!$I$2:$I$622,MATCH(25,Engine!$C$2:$C$622,0)))</f>
        <v/>
      </c>
      <c r="J38" s="8">
        <f>IF(ISNA(MATCH(25,Engine!$C$2:$C$622,0)),"",INDEX('Compliance Database'!$J$2:$J$622,MATCH(25,Engine!$C$2:$C$622,0)))</f>
        <v/>
      </c>
      <c r="K38">
        <f>IF(ISNA(MATCH(25,Engine!$C$2:$C$622,0)),"",INDEX('Compliance Database'!$K$2:$K$622,MATCH(25,Engine!$C$2:$C$622,0)))</f>
        <v/>
      </c>
      <c r="L38" s="8">
        <f>IF(ISNA(MATCH(25,Engine!$C$2:$C$622,0)),"",INDEX('Compliance Database'!$L$2:$L$622,MATCH(25,Engine!$C$2:$C$622,0)))</f>
        <v/>
      </c>
      <c r="M38" s="8">
        <f>IF(ISNA(MATCH(25,Engine!$C$2:$C$622,0)),"",INDEX('Compliance Database'!$M$2:$M$622,MATCH(25,Engine!$C$2:$C$622,0)))</f>
        <v/>
      </c>
      <c r="N38" s="8">
        <f>IF(ISNA(MATCH(25,Engine!$C$2:$C$622,0)),"",INDEX('Compliance Database'!$N$2:$N$622,MATCH(25,Engine!$C$2:$C$622,0)))</f>
        <v/>
      </c>
      <c r="O38" s="8">
        <f>IF(ISNA(MATCH(25,Engine!$C$2:$C$622,0)),"",INDEX('Compliance Database'!$O$2:$O$622,MATCH(25,Engine!$C$2:$C$622,0)))</f>
        <v/>
      </c>
    </row>
    <row r="39">
      <c r="A39">
        <f>IF(ISNA(MATCH(26,Engine!$C$2:$C$622,0)),"",INDEX('Compliance Database'!$A$2:$A$622,MATCH(26,Engine!$C$2:$C$622,0)))</f>
        <v/>
      </c>
      <c r="B39">
        <f>IF(ISNA(MATCH(26,Engine!$C$2:$C$622,0)),"",INDEX('Compliance Database'!$B$2:$B$622,MATCH(26,Engine!$C$2:$C$622,0)))</f>
        <v/>
      </c>
      <c r="C39">
        <f>IF(ISNA(MATCH(26,Engine!$C$2:$C$622,0)),"",INDEX('Compliance Database'!$C$2:$C$622,MATCH(26,Engine!$C$2:$C$622,0)))</f>
        <v/>
      </c>
      <c r="D39" s="8">
        <f>IF(ISNA(MATCH(26,Engine!$C$2:$C$622,0)),"",INDEX('Compliance Database'!$D$2:$D$622,MATCH(26,Engine!$C$2:$C$622,0)))</f>
        <v/>
      </c>
      <c r="E39">
        <f>IF(ISNA(MATCH(26,Engine!$C$2:$C$622,0)),"",INDEX('Compliance Database'!$E$2:$E$622,MATCH(26,Engine!$C$2:$C$622,0)))</f>
        <v/>
      </c>
      <c r="F39">
        <f>IF(ISNA(MATCH(26,Engine!$C$2:$C$622,0)),"",INDEX('Compliance Database'!$F$2:$F$622,MATCH(26,Engine!$C$2:$C$622,0)))</f>
        <v/>
      </c>
      <c r="G39">
        <f>IF(ISNA(MATCH(26,Engine!$C$2:$C$622,0)),"",INDEX('Compliance Database'!$G$2:$G$622,MATCH(26,Engine!$C$2:$C$622,0)))</f>
        <v/>
      </c>
      <c r="H39">
        <f>IF(ISNA(MATCH(26,Engine!$C$2:$C$622,0)),"",INDEX('Compliance Database'!$H$2:$H$622,MATCH(26,Engine!$C$2:$C$622,0)))</f>
        <v/>
      </c>
      <c r="I39" s="8">
        <f>IF(ISNA(MATCH(26,Engine!$C$2:$C$622,0)),"",INDEX('Compliance Database'!$I$2:$I$622,MATCH(26,Engine!$C$2:$C$622,0)))</f>
        <v/>
      </c>
      <c r="J39" s="8">
        <f>IF(ISNA(MATCH(26,Engine!$C$2:$C$622,0)),"",INDEX('Compliance Database'!$J$2:$J$622,MATCH(26,Engine!$C$2:$C$622,0)))</f>
        <v/>
      </c>
      <c r="K39">
        <f>IF(ISNA(MATCH(26,Engine!$C$2:$C$622,0)),"",INDEX('Compliance Database'!$K$2:$K$622,MATCH(26,Engine!$C$2:$C$622,0)))</f>
        <v/>
      </c>
      <c r="L39" s="8">
        <f>IF(ISNA(MATCH(26,Engine!$C$2:$C$622,0)),"",INDEX('Compliance Database'!$L$2:$L$622,MATCH(26,Engine!$C$2:$C$622,0)))</f>
        <v/>
      </c>
      <c r="M39" s="8">
        <f>IF(ISNA(MATCH(26,Engine!$C$2:$C$622,0)),"",INDEX('Compliance Database'!$M$2:$M$622,MATCH(26,Engine!$C$2:$C$622,0)))</f>
        <v/>
      </c>
      <c r="N39" s="8">
        <f>IF(ISNA(MATCH(26,Engine!$C$2:$C$622,0)),"",INDEX('Compliance Database'!$N$2:$N$622,MATCH(26,Engine!$C$2:$C$622,0)))</f>
        <v/>
      </c>
      <c r="O39" s="8">
        <f>IF(ISNA(MATCH(26,Engine!$C$2:$C$622,0)),"",INDEX('Compliance Database'!$O$2:$O$622,MATCH(26,Engine!$C$2:$C$622,0)))</f>
        <v/>
      </c>
    </row>
    <row r="40">
      <c r="A40">
        <f>IF(ISNA(MATCH(27,Engine!$C$2:$C$622,0)),"",INDEX('Compliance Database'!$A$2:$A$622,MATCH(27,Engine!$C$2:$C$622,0)))</f>
        <v/>
      </c>
      <c r="B40">
        <f>IF(ISNA(MATCH(27,Engine!$C$2:$C$622,0)),"",INDEX('Compliance Database'!$B$2:$B$622,MATCH(27,Engine!$C$2:$C$622,0)))</f>
        <v/>
      </c>
      <c r="C40">
        <f>IF(ISNA(MATCH(27,Engine!$C$2:$C$622,0)),"",INDEX('Compliance Database'!$C$2:$C$622,MATCH(27,Engine!$C$2:$C$622,0)))</f>
        <v/>
      </c>
      <c r="D40" s="8">
        <f>IF(ISNA(MATCH(27,Engine!$C$2:$C$622,0)),"",INDEX('Compliance Database'!$D$2:$D$622,MATCH(27,Engine!$C$2:$C$622,0)))</f>
        <v/>
      </c>
      <c r="E40">
        <f>IF(ISNA(MATCH(27,Engine!$C$2:$C$622,0)),"",INDEX('Compliance Database'!$E$2:$E$622,MATCH(27,Engine!$C$2:$C$622,0)))</f>
        <v/>
      </c>
      <c r="F40">
        <f>IF(ISNA(MATCH(27,Engine!$C$2:$C$622,0)),"",INDEX('Compliance Database'!$F$2:$F$622,MATCH(27,Engine!$C$2:$C$622,0)))</f>
        <v/>
      </c>
      <c r="G40">
        <f>IF(ISNA(MATCH(27,Engine!$C$2:$C$622,0)),"",INDEX('Compliance Database'!$G$2:$G$622,MATCH(27,Engine!$C$2:$C$622,0)))</f>
        <v/>
      </c>
      <c r="H40">
        <f>IF(ISNA(MATCH(27,Engine!$C$2:$C$622,0)),"",INDEX('Compliance Database'!$H$2:$H$622,MATCH(27,Engine!$C$2:$C$622,0)))</f>
        <v/>
      </c>
      <c r="I40" s="8">
        <f>IF(ISNA(MATCH(27,Engine!$C$2:$C$622,0)),"",INDEX('Compliance Database'!$I$2:$I$622,MATCH(27,Engine!$C$2:$C$622,0)))</f>
        <v/>
      </c>
      <c r="J40" s="8">
        <f>IF(ISNA(MATCH(27,Engine!$C$2:$C$622,0)),"",INDEX('Compliance Database'!$J$2:$J$622,MATCH(27,Engine!$C$2:$C$622,0)))</f>
        <v/>
      </c>
      <c r="K40">
        <f>IF(ISNA(MATCH(27,Engine!$C$2:$C$622,0)),"",INDEX('Compliance Database'!$K$2:$K$622,MATCH(27,Engine!$C$2:$C$622,0)))</f>
        <v/>
      </c>
      <c r="L40" s="8">
        <f>IF(ISNA(MATCH(27,Engine!$C$2:$C$622,0)),"",INDEX('Compliance Database'!$L$2:$L$622,MATCH(27,Engine!$C$2:$C$622,0)))</f>
        <v/>
      </c>
      <c r="M40" s="8">
        <f>IF(ISNA(MATCH(27,Engine!$C$2:$C$622,0)),"",INDEX('Compliance Database'!$M$2:$M$622,MATCH(27,Engine!$C$2:$C$622,0)))</f>
        <v/>
      </c>
      <c r="N40" s="8">
        <f>IF(ISNA(MATCH(27,Engine!$C$2:$C$622,0)),"",INDEX('Compliance Database'!$N$2:$N$622,MATCH(27,Engine!$C$2:$C$622,0)))</f>
        <v/>
      </c>
      <c r="O40" s="8">
        <f>IF(ISNA(MATCH(27,Engine!$C$2:$C$622,0)),"",INDEX('Compliance Database'!$O$2:$O$622,MATCH(27,Engine!$C$2:$C$622,0)))</f>
        <v/>
      </c>
    </row>
    <row r="41">
      <c r="A41">
        <f>IF(ISNA(MATCH(28,Engine!$C$2:$C$622,0)),"",INDEX('Compliance Database'!$A$2:$A$622,MATCH(28,Engine!$C$2:$C$622,0)))</f>
        <v/>
      </c>
      <c r="B41">
        <f>IF(ISNA(MATCH(28,Engine!$C$2:$C$622,0)),"",INDEX('Compliance Database'!$B$2:$B$622,MATCH(28,Engine!$C$2:$C$622,0)))</f>
        <v/>
      </c>
      <c r="C41">
        <f>IF(ISNA(MATCH(28,Engine!$C$2:$C$622,0)),"",INDEX('Compliance Database'!$C$2:$C$622,MATCH(28,Engine!$C$2:$C$622,0)))</f>
        <v/>
      </c>
      <c r="D41" s="8">
        <f>IF(ISNA(MATCH(28,Engine!$C$2:$C$622,0)),"",INDEX('Compliance Database'!$D$2:$D$622,MATCH(28,Engine!$C$2:$C$622,0)))</f>
        <v/>
      </c>
      <c r="E41">
        <f>IF(ISNA(MATCH(28,Engine!$C$2:$C$622,0)),"",INDEX('Compliance Database'!$E$2:$E$622,MATCH(28,Engine!$C$2:$C$622,0)))</f>
        <v/>
      </c>
      <c r="F41">
        <f>IF(ISNA(MATCH(28,Engine!$C$2:$C$622,0)),"",INDEX('Compliance Database'!$F$2:$F$622,MATCH(28,Engine!$C$2:$C$622,0)))</f>
        <v/>
      </c>
      <c r="G41">
        <f>IF(ISNA(MATCH(28,Engine!$C$2:$C$622,0)),"",INDEX('Compliance Database'!$G$2:$G$622,MATCH(28,Engine!$C$2:$C$622,0)))</f>
        <v/>
      </c>
      <c r="H41">
        <f>IF(ISNA(MATCH(28,Engine!$C$2:$C$622,0)),"",INDEX('Compliance Database'!$H$2:$H$622,MATCH(28,Engine!$C$2:$C$622,0)))</f>
        <v/>
      </c>
      <c r="I41" s="8">
        <f>IF(ISNA(MATCH(28,Engine!$C$2:$C$622,0)),"",INDEX('Compliance Database'!$I$2:$I$622,MATCH(28,Engine!$C$2:$C$622,0)))</f>
        <v/>
      </c>
      <c r="J41" s="8">
        <f>IF(ISNA(MATCH(28,Engine!$C$2:$C$622,0)),"",INDEX('Compliance Database'!$J$2:$J$622,MATCH(28,Engine!$C$2:$C$622,0)))</f>
        <v/>
      </c>
      <c r="K41">
        <f>IF(ISNA(MATCH(28,Engine!$C$2:$C$622,0)),"",INDEX('Compliance Database'!$K$2:$K$622,MATCH(28,Engine!$C$2:$C$622,0)))</f>
        <v/>
      </c>
      <c r="L41" s="8">
        <f>IF(ISNA(MATCH(28,Engine!$C$2:$C$622,0)),"",INDEX('Compliance Database'!$L$2:$L$622,MATCH(28,Engine!$C$2:$C$622,0)))</f>
        <v/>
      </c>
      <c r="M41" s="8">
        <f>IF(ISNA(MATCH(28,Engine!$C$2:$C$622,0)),"",INDEX('Compliance Database'!$M$2:$M$622,MATCH(28,Engine!$C$2:$C$622,0)))</f>
        <v/>
      </c>
      <c r="N41" s="8">
        <f>IF(ISNA(MATCH(28,Engine!$C$2:$C$622,0)),"",INDEX('Compliance Database'!$N$2:$N$622,MATCH(28,Engine!$C$2:$C$622,0)))</f>
        <v/>
      </c>
      <c r="O41" s="8">
        <f>IF(ISNA(MATCH(28,Engine!$C$2:$C$622,0)),"",INDEX('Compliance Database'!$O$2:$O$622,MATCH(28,Engine!$C$2:$C$622,0)))</f>
        <v/>
      </c>
    </row>
    <row r="42">
      <c r="A42">
        <f>IF(ISNA(MATCH(29,Engine!$C$2:$C$622,0)),"",INDEX('Compliance Database'!$A$2:$A$622,MATCH(29,Engine!$C$2:$C$622,0)))</f>
        <v/>
      </c>
      <c r="B42">
        <f>IF(ISNA(MATCH(29,Engine!$C$2:$C$622,0)),"",INDEX('Compliance Database'!$B$2:$B$622,MATCH(29,Engine!$C$2:$C$622,0)))</f>
        <v/>
      </c>
      <c r="C42">
        <f>IF(ISNA(MATCH(29,Engine!$C$2:$C$622,0)),"",INDEX('Compliance Database'!$C$2:$C$622,MATCH(29,Engine!$C$2:$C$622,0)))</f>
        <v/>
      </c>
      <c r="D42" s="8">
        <f>IF(ISNA(MATCH(29,Engine!$C$2:$C$622,0)),"",INDEX('Compliance Database'!$D$2:$D$622,MATCH(29,Engine!$C$2:$C$622,0)))</f>
        <v/>
      </c>
      <c r="E42">
        <f>IF(ISNA(MATCH(29,Engine!$C$2:$C$622,0)),"",INDEX('Compliance Database'!$E$2:$E$622,MATCH(29,Engine!$C$2:$C$622,0)))</f>
        <v/>
      </c>
      <c r="F42">
        <f>IF(ISNA(MATCH(29,Engine!$C$2:$C$622,0)),"",INDEX('Compliance Database'!$F$2:$F$622,MATCH(29,Engine!$C$2:$C$622,0)))</f>
        <v/>
      </c>
      <c r="G42">
        <f>IF(ISNA(MATCH(29,Engine!$C$2:$C$622,0)),"",INDEX('Compliance Database'!$G$2:$G$622,MATCH(29,Engine!$C$2:$C$622,0)))</f>
        <v/>
      </c>
      <c r="H42">
        <f>IF(ISNA(MATCH(29,Engine!$C$2:$C$622,0)),"",INDEX('Compliance Database'!$H$2:$H$622,MATCH(29,Engine!$C$2:$C$622,0)))</f>
        <v/>
      </c>
      <c r="I42" s="8">
        <f>IF(ISNA(MATCH(29,Engine!$C$2:$C$622,0)),"",INDEX('Compliance Database'!$I$2:$I$622,MATCH(29,Engine!$C$2:$C$622,0)))</f>
        <v/>
      </c>
      <c r="J42" s="8">
        <f>IF(ISNA(MATCH(29,Engine!$C$2:$C$622,0)),"",INDEX('Compliance Database'!$J$2:$J$622,MATCH(29,Engine!$C$2:$C$622,0)))</f>
        <v/>
      </c>
      <c r="K42">
        <f>IF(ISNA(MATCH(29,Engine!$C$2:$C$622,0)),"",INDEX('Compliance Database'!$K$2:$K$622,MATCH(29,Engine!$C$2:$C$622,0)))</f>
        <v/>
      </c>
      <c r="L42" s="8">
        <f>IF(ISNA(MATCH(29,Engine!$C$2:$C$622,0)),"",INDEX('Compliance Database'!$L$2:$L$622,MATCH(29,Engine!$C$2:$C$622,0)))</f>
        <v/>
      </c>
      <c r="M42" s="8">
        <f>IF(ISNA(MATCH(29,Engine!$C$2:$C$622,0)),"",INDEX('Compliance Database'!$M$2:$M$622,MATCH(29,Engine!$C$2:$C$622,0)))</f>
        <v/>
      </c>
      <c r="N42" s="8">
        <f>IF(ISNA(MATCH(29,Engine!$C$2:$C$622,0)),"",INDEX('Compliance Database'!$N$2:$N$622,MATCH(29,Engine!$C$2:$C$622,0)))</f>
        <v/>
      </c>
      <c r="O42" s="8">
        <f>IF(ISNA(MATCH(29,Engine!$C$2:$C$622,0)),"",INDEX('Compliance Database'!$O$2:$O$622,MATCH(29,Engine!$C$2:$C$622,0)))</f>
        <v/>
      </c>
    </row>
    <row r="43">
      <c r="A43">
        <f>IF(ISNA(MATCH(30,Engine!$C$2:$C$622,0)),"",INDEX('Compliance Database'!$A$2:$A$622,MATCH(30,Engine!$C$2:$C$622,0)))</f>
        <v/>
      </c>
      <c r="B43">
        <f>IF(ISNA(MATCH(30,Engine!$C$2:$C$622,0)),"",INDEX('Compliance Database'!$B$2:$B$622,MATCH(30,Engine!$C$2:$C$622,0)))</f>
        <v/>
      </c>
      <c r="C43">
        <f>IF(ISNA(MATCH(30,Engine!$C$2:$C$622,0)),"",INDEX('Compliance Database'!$C$2:$C$622,MATCH(30,Engine!$C$2:$C$622,0)))</f>
        <v/>
      </c>
      <c r="D43" s="8">
        <f>IF(ISNA(MATCH(30,Engine!$C$2:$C$622,0)),"",INDEX('Compliance Database'!$D$2:$D$622,MATCH(30,Engine!$C$2:$C$622,0)))</f>
        <v/>
      </c>
      <c r="E43">
        <f>IF(ISNA(MATCH(30,Engine!$C$2:$C$622,0)),"",INDEX('Compliance Database'!$E$2:$E$622,MATCH(30,Engine!$C$2:$C$622,0)))</f>
        <v/>
      </c>
      <c r="F43">
        <f>IF(ISNA(MATCH(30,Engine!$C$2:$C$622,0)),"",INDEX('Compliance Database'!$F$2:$F$622,MATCH(30,Engine!$C$2:$C$622,0)))</f>
        <v/>
      </c>
      <c r="G43">
        <f>IF(ISNA(MATCH(30,Engine!$C$2:$C$622,0)),"",INDEX('Compliance Database'!$G$2:$G$622,MATCH(30,Engine!$C$2:$C$622,0)))</f>
        <v/>
      </c>
      <c r="H43">
        <f>IF(ISNA(MATCH(30,Engine!$C$2:$C$622,0)),"",INDEX('Compliance Database'!$H$2:$H$622,MATCH(30,Engine!$C$2:$C$622,0)))</f>
        <v/>
      </c>
      <c r="I43" s="8">
        <f>IF(ISNA(MATCH(30,Engine!$C$2:$C$622,0)),"",INDEX('Compliance Database'!$I$2:$I$622,MATCH(30,Engine!$C$2:$C$622,0)))</f>
        <v/>
      </c>
      <c r="J43" s="8">
        <f>IF(ISNA(MATCH(30,Engine!$C$2:$C$622,0)),"",INDEX('Compliance Database'!$J$2:$J$622,MATCH(30,Engine!$C$2:$C$622,0)))</f>
        <v/>
      </c>
      <c r="K43">
        <f>IF(ISNA(MATCH(30,Engine!$C$2:$C$622,0)),"",INDEX('Compliance Database'!$K$2:$K$622,MATCH(30,Engine!$C$2:$C$622,0)))</f>
        <v/>
      </c>
      <c r="L43" s="8">
        <f>IF(ISNA(MATCH(30,Engine!$C$2:$C$622,0)),"",INDEX('Compliance Database'!$L$2:$L$622,MATCH(30,Engine!$C$2:$C$622,0)))</f>
        <v/>
      </c>
      <c r="M43" s="8">
        <f>IF(ISNA(MATCH(30,Engine!$C$2:$C$622,0)),"",INDEX('Compliance Database'!$M$2:$M$622,MATCH(30,Engine!$C$2:$C$622,0)))</f>
        <v/>
      </c>
      <c r="N43" s="8">
        <f>IF(ISNA(MATCH(30,Engine!$C$2:$C$622,0)),"",INDEX('Compliance Database'!$N$2:$N$622,MATCH(30,Engine!$C$2:$C$622,0)))</f>
        <v/>
      </c>
      <c r="O43" s="8">
        <f>IF(ISNA(MATCH(30,Engine!$C$2:$C$622,0)),"",INDEX('Compliance Database'!$O$2:$O$622,MATCH(30,Engine!$C$2:$C$622,0)))</f>
        <v/>
      </c>
    </row>
    <row r="44">
      <c r="A44">
        <f>IF(ISNA(MATCH(31,Engine!$C$2:$C$622,0)),"",INDEX('Compliance Database'!$A$2:$A$622,MATCH(31,Engine!$C$2:$C$622,0)))</f>
        <v/>
      </c>
      <c r="B44">
        <f>IF(ISNA(MATCH(31,Engine!$C$2:$C$622,0)),"",INDEX('Compliance Database'!$B$2:$B$622,MATCH(31,Engine!$C$2:$C$622,0)))</f>
        <v/>
      </c>
      <c r="C44">
        <f>IF(ISNA(MATCH(31,Engine!$C$2:$C$622,0)),"",INDEX('Compliance Database'!$C$2:$C$622,MATCH(31,Engine!$C$2:$C$622,0)))</f>
        <v/>
      </c>
      <c r="D44" s="8">
        <f>IF(ISNA(MATCH(31,Engine!$C$2:$C$622,0)),"",INDEX('Compliance Database'!$D$2:$D$622,MATCH(31,Engine!$C$2:$C$622,0)))</f>
        <v/>
      </c>
      <c r="E44">
        <f>IF(ISNA(MATCH(31,Engine!$C$2:$C$622,0)),"",INDEX('Compliance Database'!$E$2:$E$622,MATCH(31,Engine!$C$2:$C$622,0)))</f>
        <v/>
      </c>
      <c r="F44">
        <f>IF(ISNA(MATCH(31,Engine!$C$2:$C$622,0)),"",INDEX('Compliance Database'!$F$2:$F$622,MATCH(31,Engine!$C$2:$C$622,0)))</f>
        <v/>
      </c>
      <c r="G44">
        <f>IF(ISNA(MATCH(31,Engine!$C$2:$C$622,0)),"",INDEX('Compliance Database'!$G$2:$G$622,MATCH(31,Engine!$C$2:$C$622,0)))</f>
        <v/>
      </c>
      <c r="H44">
        <f>IF(ISNA(MATCH(31,Engine!$C$2:$C$622,0)),"",INDEX('Compliance Database'!$H$2:$H$622,MATCH(31,Engine!$C$2:$C$622,0)))</f>
        <v/>
      </c>
      <c r="I44" s="8">
        <f>IF(ISNA(MATCH(31,Engine!$C$2:$C$622,0)),"",INDEX('Compliance Database'!$I$2:$I$622,MATCH(31,Engine!$C$2:$C$622,0)))</f>
        <v/>
      </c>
      <c r="J44" s="8">
        <f>IF(ISNA(MATCH(31,Engine!$C$2:$C$622,0)),"",INDEX('Compliance Database'!$J$2:$J$622,MATCH(31,Engine!$C$2:$C$622,0)))</f>
        <v/>
      </c>
      <c r="K44">
        <f>IF(ISNA(MATCH(31,Engine!$C$2:$C$622,0)),"",INDEX('Compliance Database'!$K$2:$K$622,MATCH(31,Engine!$C$2:$C$622,0)))</f>
        <v/>
      </c>
      <c r="L44" s="8">
        <f>IF(ISNA(MATCH(31,Engine!$C$2:$C$622,0)),"",INDEX('Compliance Database'!$L$2:$L$622,MATCH(31,Engine!$C$2:$C$622,0)))</f>
        <v/>
      </c>
      <c r="M44" s="8">
        <f>IF(ISNA(MATCH(31,Engine!$C$2:$C$622,0)),"",INDEX('Compliance Database'!$M$2:$M$622,MATCH(31,Engine!$C$2:$C$622,0)))</f>
        <v/>
      </c>
      <c r="N44" s="8">
        <f>IF(ISNA(MATCH(31,Engine!$C$2:$C$622,0)),"",INDEX('Compliance Database'!$N$2:$N$622,MATCH(31,Engine!$C$2:$C$622,0)))</f>
        <v/>
      </c>
      <c r="O44" s="8">
        <f>IF(ISNA(MATCH(31,Engine!$C$2:$C$622,0)),"",INDEX('Compliance Database'!$O$2:$O$622,MATCH(31,Engine!$C$2:$C$622,0)))</f>
        <v/>
      </c>
    </row>
    <row r="45">
      <c r="A45">
        <f>IF(ISNA(MATCH(32,Engine!$C$2:$C$622,0)),"",INDEX('Compliance Database'!$A$2:$A$622,MATCH(32,Engine!$C$2:$C$622,0)))</f>
        <v/>
      </c>
      <c r="B45">
        <f>IF(ISNA(MATCH(32,Engine!$C$2:$C$622,0)),"",INDEX('Compliance Database'!$B$2:$B$622,MATCH(32,Engine!$C$2:$C$622,0)))</f>
        <v/>
      </c>
      <c r="C45">
        <f>IF(ISNA(MATCH(32,Engine!$C$2:$C$622,0)),"",INDEX('Compliance Database'!$C$2:$C$622,MATCH(32,Engine!$C$2:$C$622,0)))</f>
        <v/>
      </c>
      <c r="D45" s="8">
        <f>IF(ISNA(MATCH(32,Engine!$C$2:$C$622,0)),"",INDEX('Compliance Database'!$D$2:$D$622,MATCH(32,Engine!$C$2:$C$622,0)))</f>
        <v/>
      </c>
      <c r="E45">
        <f>IF(ISNA(MATCH(32,Engine!$C$2:$C$622,0)),"",INDEX('Compliance Database'!$E$2:$E$622,MATCH(32,Engine!$C$2:$C$622,0)))</f>
        <v/>
      </c>
      <c r="F45">
        <f>IF(ISNA(MATCH(32,Engine!$C$2:$C$622,0)),"",INDEX('Compliance Database'!$F$2:$F$622,MATCH(32,Engine!$C$2:$C$622,0)))</f>
        <v/>
      </c>
      <c r="G45">
        <f>IF(ISNA(MATCH(32,Engine!$C$2:$C$622,0)),"",INDEX('Compliance Database'!$G$2:$G$622,MATCH(32,Engine!$C$2:$C$622,0)))</f>
        <v/>
      </c>
      <c r="H45">
        <f>IF(ISNA(MATCH(32,Engine!$C$2:$C$622,0)),"",INDEX('Compliance Database'!$H$2:$H$622,MATCH(32,Engine!$C$2:$C$622,0)))</f>
        <v/>
      </c>
      <c r="I45" s="8">
        <f>IF(ISNA(MATCH(32,Engine!$C$2:$C$622,0)),"",INDEX('Compliance Database'!$I$2:$I$622,MATCH(32,Engine!$C$2:$C$622,0)))</f>
        <v/>
      </c>
      <c r="J45" s="8">
        <f>IF(ISNA(MATCH(32,Engine!$C$2:$C$622,0)),"",INDEX('Compliance Database'!$J$2:$J$622,MATCH(32,Engine!$C$2:$C$622,0)))</f>
        <v/>
      </c>
      <c r="K45">
        <f>IF(ISNA(MATCH(32,Engine!$C$2:$C$622,0)),"",INDEX('Compliance Database'!$K$2:$K$622,MATCH(32,Engine!$C$2:$C$622,0)))</f>
        <v/>
      </c>
      <c r="L45" s="8">
        <f>IF(ISNA(MATCH(32,Engine!$C$2:$C$622,0)),"",INDEX('Compliance Database'!$L$2:$L$622,MATCH(32,Engine!$C$2:$C$622,0)))</f>
        <v/>
      </c>
      <c r="M45" s="8">
        <f>IF(ISNA(MATCH(32,Engine!$C$2:$C$622,0)),"",INDEX('Compliance Database'!$M$2:$M$622,MATCH(32,Engine!$C$2:$C$622,0)))</f>
        <v/>
      </c>
      <c r="N45" s="8">
        <f>IF(ISNA(MATCH(32,Engine!$C$2:$C$622,0)),"",INDEX('Compliance Database'!$N$2:$N$622,MATCH(32,Engine!$C$2:$C$622,0)))</f>
        <v/>
      </c>
      <c r="O45" s="8">
        <f>IF(ISNA(MATCH(32,Engine!$C$2:$C$622,0)),"",INDEX('Compliance Database'!$O$2:$O$622,MATCH(32,Engine!$C$2:$C$622,0)))</f>
        <v/>
      </c>
    </row>
    <row r="46">
      <c r="A46">
        <f>IF(ISNA(MATCH(33,Engine!$C$2:$C$622,0)),"",INDEX('Compliance Database'!$A$2:$A$622,MATCH(33,Engine!$C$2:$C$622,0)))</f>
        <v/>
      </c>
      <c r="B46">
        <f>IF(ISNA(MATCH(33,Engine!$C$2:$C$622,0)),"",INDEX('Compliance Database'!$B$2:$B$622,MATCH(33,Engine!$C$2:$C$622,0)))</f>
        <v/>
      </c>
      <c r="C46">
        <f>IF(ISNA(MATCH(33,Engine!$C$2:$C$622,0)),"",INDEX('Compliance Database'!$C$2:$C$622,MATCH(33,Engine!$C$2:$C$622,0)))</f>
        <v/>
      </c>
      <c r="D46" s="8">
        <f>IF(ISNA(MATCH(33,Engine!$C$2:$C$622,0)),"",INDEX('Compliance Database'!$D$2:$D$622,MATCH(33,Engine!$C$2:$C$622,0)))</f>
        <v/>
      </c>
      <c r="E46">
        <f>IF(ISNA(MATCH(33,Engine!$C$2:$C$622,0)),"",INDEX('Compliance Database'!$E$2:$E$622,MATCH(33,Engine!$C$2:$C$622,0)))</f>
        <v/>
      </c>
      <c r="F46">
        <f>IF(ISNA(MATCH(33,Engine!$C$2:$C$622,0)),"",INDEX('Compliance Database'!$F$2:$F$622,MATCH(33,Engine!$C$2:$C$622,0)))</f>
        <v/>
      </c>
      <c r="G46">
        <f>IF(ISNA(MATCH(33,Engine!$C$2:$C$622,0)),"",INDEX('Compliance Database'!$G$2:$G$622,MATCH(33,Engine!$C$2:$C$622,0)))</f>
        <v/>
      </c>
      <c r="H46">
        <f>IF(ISNA(MATCH(33,Engine!$C$2:$C$622,0)),"",INDEX('Compliance Database'!$H$2:$H$622,MATCH(33,Engine!$C$2:$C$622,0)))</f>
        <v/>
      </c>
      <c r="I46" s="8">
        <f>IF(ISNA(MATCH(33,Engine!$C$2:$C$622,0)),"",INDEX('Compliance Database'!$I$2:$I$622,MATCH(33,Engine!$C$2:$C$622,0)))</f>
        <v/>
      </c>
      <c r="J46" s="8">
        <f>IF(ISNA(MATCH(33,Engine!$C$2:$C$622,0)),"",INDEX('Compliance Database'!$J$2:$J$622,MATCH(33,Engine!$C$2:$C$622,0)))</f>
        <v/>
      </c>
      <c r="K46">
        <f>IF(ISNA(MATCH(33,Engine!$C$2:$C$622,0)),"",INDEX('Compliance Database'!$K$2:$K$622,MATCH(33,Engine!$C$2:$C$622,0)))</f>
        <v/>
      </c>
      <c r="L46" s="8">
        <f>IF(ISNA(MATCH(33,Engine!$C$2:$C$622,0)),"",INDEX('Compliance Database'!$L$2:$L$622,MATCH(33,Engine!$C$2:$C$622,0)))</f>
        <v/>
      </c>
      <c r="M46" s="8">
        <f>IF(ISNA(MATCH(33,Engine!$C$2:$C$622,0)),"",INDEX('Compliance Database'!$M$2:$M$622,MATCH(33,Engine!$C$2:$C$622,0)))</f>
        <v/>
      </c>
      <c r="N46" s="8">
        <f>IF(ISNA(MATCH(33,Engine!$C$2:$C$622,0)),"",INDEX('Compliance Database'!$N$2:$N$622,MATCH(33,Engine!$C$2:$C$622,0)))</f>
        <v/>
      </c>
      <c r="O46" s="8">
        <f>IF(ISNA(MATCH(33,Engine!$C$2:$C$622,0)),"",INDEX('Compliance Database'!$O$2:$O$622,MATCH(33,Engine!$C$2:$C$622,0)))</f>
        <v/>
      </c>
    </row>
    <row r="47">
      <c r="A47">
        <f>IF(ISNA(MATCH(34,Engine!$C$2:$C$622,0)),"",INDEX('Compliance Database'!$A$2:$A$622,MATCH(34,Engine!$C$2:$C$622,0)))</f>
        <v/>
      </c>
      <c r="B47">
        <f>IF(ISNA(MATCH(34,Engine!$C$2:$C$622,0)),"",INDEX('Compliance Database'!$B$2:$B$622,MATCH(34,Engine!$C$2:$C$622,0)))</f>
        <v/>
      </c>
      <c r="C47">
        <f>IF(ISNA(MATCH(34,Engine!$C$2:$C$622,0)),"",INDEX('Compliance Database'!$C$2:$C$622,MATCH(34,Engine!$C$2:$C$622,0)))</f>
        <v/>
      </c>
      <c r="D47" s="8">
        <f>IF(ISNA(MATCH(34,Engine!$C$2:$C$622,0)),"",INDEX('Compliance Database'!$D$2:$D$622,MATCH(34,Engine!$C$2:$C$622,0)))</f>
        <v/>
      </c>
      <c r="E47">
        <f>IF(ISNA(MATCH(34,Engine!$C$2:$C$622,0)),"",INDEX('Compliance Database'!$E$2:$E$622,MATCH(34,Engine!$C$2:$C$622,0)))</f>
        <v/>
      </c>
      <c r="F47">
        <f>IF(ISNA(MATCH(34,Engine!$C$2:$C$622,0)),"",INDEX('Compliance Database'!$F$2:$F$622,MATCH(34,Engine!$C$2:$C$622,0)))</f>
        <v/>
      </c>
      <c r="G47">
        <f>IF(ISNA(MATCH(34,Engine!$C$2:$C$622,0)),"",INDEX('Compliance Database'!$G$2:$G$622,MATCH(34,Engine!$C$2:$C$622,0)))</f>
        <v/>
      </c>
      <c r="H47">
        <f>IF(ISNA(MATCH(34,Engine!$C$2:$C$622,0)),"",INDEX('Compliance Database'!$H$2:$H$622,MATCH(34,Engine!$C$2:$C$622,0)))</f>
        <v/>
      </c>
      <c r="I47" s="8">
        <f>IF(ISNA(MATCH(34,Engine!$C$2:$C$622,0)),"",INDEX('Compliance Database'!$I$2:$I$622,MATCH(34,Engine!$C$2:$C$622,0)))</f>
        <v/>
      </c>
      <c r="J47" s="8">
        <f>IF(ISNA(MATCH(34,Engine!$C$2:$C$622,0)),"",INDEX('Compliance Database'!$J$2:$J$622,MATCH(34,Engine!$C$2:$C$622,0)))</f>
        <v/>
      </c>
      <c r="K47">
        <f>IF(ISNA(MATCH(34,Engine!$C$2:$C$622,0)),"",INDEX('Compliance Database'!$K$2:$K$622,MATCH(34,Engine!$C$2:$C$622,0)))</f>
        <v/>
      </c>
      <c r="L47" s="8">
        <f>IF(ISNA(MATCH(34,Engine!$C$2:$C$622,0)),"",INDEX('Compliance Database'!$L$2:$L$622,MATCH(34,Engine!$C$2:$C$622,0)))</f>
        <v/>
      </c>
      <c r="M47" s="8">
        <f>IF(ISNA(MATCH(34,Engine!$C$2:$C$622,0)),"",INDEX('Compliance Database'!$M$2:$M$622,MATCH(34,Engine!$C$2:$C$622,0)))</f>
        <v/>
      </c>
      <c r="N47" s="8">
        <f>IF(ISNA(MATCH(34,Engine!$C$2:$C$622,0)),"",INDEX('Compliance Database'!$N$2:$N$622,MATCH(34,Engine!$C$2:$C$622,0)))</f>
        <v/>
      </c>
      <c r="O47" s="8">
        <f>IF(ISNA(MATCH(34,Engine!$C$2:$C$622,0)),"",INDEX('Compliance Database'!$O$2:$O$622,MATCH(34,Engine!$C$2:$C$622,0)))</f>
        <v/>
      </c>
    </row>
    <row r="48">
      <c r="A48">
        <f>IF(ISNA(MATCH(35,Engine!$C$2:$C$622,0)),"",INDEX('Compliance Database'!$A$2:$A$622,MATCH(35,Engine!$C$2:$C$622,0)))</f>
        <v/>
      </c>
      <c r="B48">
        <f>IF(ISNA(MATCH(35,Engine!$C$2:$C$622,0)),"",INDEX('Compliance Database'!$B$2:$B$622,MATCH(35,Engine!$C$2:$C$622,0)))</f>
        <v/>
      </c>
      <c r="C48">
        <f>IF(ISNA(MATCH(35,Engine!$C$2:$C$622,0)),"",INDEX('Compliance Database'!$C$2:$C$622,MATCH(35,Engine!$C$2:$C$622,0)))</f>
        <v/>
      </c>
      <c r="D48" s="8">
        <f>IF(ISNA(MATCH(35,Engine!$C$2:$C$622,0)),"",INDEX('Compliance Database'!$D$2:$D$622,MATCH(35,Engine!$C$2:$C$622,0)))</f>
        <v/>
      </c>
      <c r="E48">
        <f>IF(ISNA(MATCH(35,Engine!$C$2:$C$622,0)),"",INDEX('Compliance Database'!$E$2:$E$622,MATCH(35,Engine!$C$2:$C$622,0)))</f>
        <v/>
      </c>
      <c r="F48">
        <f>IF(ISNA(MATCH(35,Engine!$C$2:$C$622,0)),"",INDEX('Compliance Database'!$F$2:$F$622,MATCH(35,Engine!$C$2:$C$622,0)))</f>
        <v/>
      </c>
      <c r="G48">
        <f>IF(ISNA(MATCH(35,Engine!$C$2:$C$622,0)),"",INDEX('Compliance Database'!$G$2:$G$622,MATCH(35,Engine!$C$2:$C$622,0)))</f>
        <v/>
      </c>
      <c r="H48">
        <f>IF(ISNA(MATCH(35,Engine!$C$2:$C$622,0)),"",INDEX('Compliance Database'!$H$2:$H$622,MATCH(35,Engine!$C$2:$C$622,0)))</f>
        <v/>
      </c>
      <c r="I48" s="8">
        <f>IF(ISNA(MATCH(35,Engine!$C$2:$C$622,0)),"",INDEX('Compliance Database'!$I$2:$I$622,MATCH(35,Engine!$C$2:$C$622,0)))</f>
        <v/>
      </c>
      <c r="J48" s="8">
        <f>IF(ISNA(MATCH(35,Engine!$C$2:$C$622,0)),"",INDEX('Compliance Database'!$J$2:$J$622,MATCH(35,Engine!$C$2:$C$622,0)))</f>
        <v/>
      </c>
      <c r="K48">
        <f>IF(ISNA(MATCH(35,Engine!$C$2:$C$622,0)),"",INDEX('Compliance Database'!$K$2:$K$622,MATCH(35,Engine!$C$2:$C$622,0)))</f>
        <v/>
      </c>
      <c r="L48" s="8">
        <f>IF(ISNA(MATCH(35,Engine!$C$2:$C$622,0)),"",INDEX('Compliance Database'!$L$2:$L$622,MATCH(35,Engine!$C$2:$C$622,0)))</f>
        <v/>
      </c>
      <c r="M48" s="8">
        <f>IF(ISNA(MATCH(35,Engine!$C$2:$C$622,0)),"",INDEX('Compliance Database'!$M$2:$M$622,MATCH(35,Engine!$C$2:$C$622,0)))</f>
        <v/>
      </c>
      <c r="N48" s="8">
        <f>IF(ISNA(MATCH(35,Engine!$C$2:$C$622,0)),"",INDEX('Compliance Database'!$N$2:$N$622,MATCH(35,Engine!$C$2:$C$622,0)))</f>
        <v/>
      </c>
      <c r="O48" s="8">
        <f>IF(ISNA(MATCH(35,Engine!$C$2:$C$622,0)),"",INDEX('Compliance Database'!$O$2:$O$622,MATCH(35,Engine!$C$2:$C$622,0)))</f>
        <v/>
      </c>
    </row>
    <row r="49">
      <c r="A49">
        <f>IF(ISNA(MATCH(36,Engine!$C$2:$C$622,0)),"",INDEX('Compliance Database'!$A$2:$A$622,MATCH(36,Engine!$C$2:$C$622,0)))</f>
        <v/>
      </c>
      <c r="B49">
        <f>IF(ISNA(MATCH(36,Engine!$C$2:$C$622,0)),"",INDEX('Compliance Database'!$B$2:$B$622,MATCH(36,Engine!$C$2:$C$622,0)))</f>
        <v/>
      </c>
      <c r="C49">
        <f>IF(ISNA(MATCH(36,Engine!$C$2:$C$622,0)),"",INDEX('Compliance Database'!$C$2:$C$622,MATCH(36,Engine!$C$2:$C$622,0)))</f>
        <v/>
      </c>
      <c r="D49" s="8">
        <f>IF(ISNA(MATCH(36,Engine!$C$2:$C$622,0)),"",INDEX('Compliance Database'!$D$2:$D$622,MATCH(36,Engine!$C$2:$C$622,0)))</f>
        <v/>
      </c>
      <c r="E49">
        <f>IF(ISNA(MATCH(36,Engine!$C$2:$C$622,0)),"",INDEX('Compliance Database'!$E$2:$E$622,MATCH(36,Engine!$C$2:$C$622,0)))</f>
        <v/>
      </c>
      <c r="F49">
        <f>IF(ISNA(MATCH(36,Engine!$C$2:$C$622,0)),"",INDEX('Compliance Database'!$F$2:$F$622,MATCH(36,Engine!$C$2:$C$622,0)))</f>
        <v/>
      </c>
      <c r="G49">
        <f>IF(ISNA(MATCH(36,Engine!$C$2:$C$622,0)),"",INDEX('Compliance Database'!$G$2:$G$622,MATCH(36,Engine!$C$2:$C$622,0)))</f>
        <v/>
      </c>
      <c r="H49">
        <f>IF(ISNA(MATCH(36,Engine!$C$2:$C$622,0)),"",INDEX('Compliance Database'!$H$2:$H$622,MATCH(36,Engine!$C$2:$C$622,0)))</f>
        <v/>
      </c>
      <c r="I49" s="8">
        <f>IF(ISNA(MATCH(36,Engine!$C$2:$C$622,0)),"",INDEX('Compliance Database'!$I$2:$I$622,MATCH(36,Engine!$C$2:$C$622,0)))</f>
        <v/>
      </c>
      <c r="J49" s="8">
        <f>IF(ISNA(MATCH(36,Engine!$C$2:$C$622,0)),"",INDEX('Compliance Database'!$J$2:$J$622,MATCH(36,Engine!$C$2:$C$622,0)))</f>
        <v/>
      </c>
      <c r="K49">
        <f>IF(ISNA(MATCH(36,Engine!$C$2:$C$622,0)),"",INDEX('Compliance Database'!$K$2:$K$622,MATCH(36,Engine!$C$2:$C$622,0)))</f>
        <v/>
      </c>
      <c r="L49" s="8">
        <f>IF(ISNA(MATCH(36,Engine!$C$2:$C$622,0)),"",INDEX('Compliance Database'!$L$2:$L$622,MATCH(36,Engine!$C$2:$C$622,0)))</f>
        <v/>
      </c>
      <c r="M49" s="8">
        <f>IF(ISNA(MATCH(36,Engine!$C$2:$C$622,0)),"",INDEX('Compliance Database'!$M$2:$M$622,MATCH(36,Engine!$C$2:$C$622,0)))</f>
        <v/>
      </c>
      <c r="N49" s="8">
        <f>IF(ISNA(MATCH(36,Engine!$C$2:$C$622,0)),"",INDEX('Compliance Database'!$N$2:$N$622,MATCH(36,Engine!$C$2:$C$622,0)))</f>
        <v/>
      </c>
      <c r="O49" s="8">
        <f>IF(ISNA(MATCH(36,Engine!$C$2:$C$622,0)),"",INDEX('Compliance Database'!$O$2:$O$622,MATCH(36,Engine!$C$2:$C$622,0)))</f>
        <v/>
      </c>
    </row>
    <row r="50">
      <c r="A50">
        <f>IF(ISNA(MATCH(37,Engine!$C$2:$C$622,0)),"",INDEX('Compliance Database'!$A$2:$A$622,MATCH(37,Engine!$C$2:$C$622,0)))</f>
        <v/>
      </c>
      <c r="B50">
        <f>IF(ISNA(MATCH(37,Engine!$C$2:$C$622,0)),"",INDEX('Compliance Database'!$B$2:$B$622,MATCH(37,Engine!$C$2:$C$622,0)))</f>
        <v/>
      </c>
      <c r="C50">
        <f>IF(ISNA(MATCH(37,Engine!$C$2:$C$622,0)),"",INDEX('Compliance Database'!$C$2:$C$622,MATCH(37,Engine!$C$2:$C$622,0)))</f>
        <v/>
      </c>
      <c r="D50" s="8">
        <f>IF(ISNA(MATCH(37,Engine!$C$2:$C$622,0)),"",INDEX('Compliance Database'!$D$2:$D$622,MATCH(37,Engine!$C$2:$C$622,0)))</f>
        <v/>
      </c>
      <c r="E50">
        <f>IF(ISNA(MATCH(37,Engine!$C$2:$C$622,0)),"",INDEX('Compliance Database'!$E$2:$E$622,MATCH(37,Engine!$C$2:$C$622,0)))</f>
        <v/>
      </c>
      <c r="F50">
        <f>IF(ISNA(MATCH(37,Engine!$C$2:$C$622,0)),"",INDEX('Compliance Database'!$F$2:$F$622,MATCH(37,Engine!$C$2:$C$622,0)))</f>
        <v/>
      </c>
      <c r="G50">
        <f>IF(ISNA(MATCH(37,Engine!$C$2:$C$622,0)),"",INDEX('Compliance Database'!$G$2:$G$622,MATCH(37,Engine!$C$2:$C$622,0)))</f>
        <v/>
      </c>
      <c r="H50">
        <f>IF(ISNA(MATCH(37,Engine!$C$2:$C$622,0)),"",INDEX('Compliance Database'!$H$2:$H$622,MATCH(37,Engine!$C$2:$C$622,0)))</f>
        <v/>
      </c>
      <c r="I50" s="8">
        <f>IF(ISNA(MATCH(37,Engine!$C$2:$C$622,0)),"",INDEX('Compliance Database'!$I$2:$I$622,MATCH(37,Engine!$C$2:$C$622,0)))</f>
        <v/>
      </c>
      <c r="J50" s="8">
        <f>IF(ISNA(MATCH(37,Engine!$C$2:$C$622,0)),"",INDEX('Compliance Database'!$J$2:$J$622,MATCH(37,Engine!$C$2:$C$622,0)))</f>
        <v/>
      </c>
      <c r="K50">
        <f>IF(ISNA(MATCH(37,Engine!$C$2:$C$622,0)),"",INDEX('Compliance Database'!$K$2:$K$622,MATCH(37,Engine!$C$2:$C$622,0)))</f>
        <v/>
      </c>
      <c r="L50" s="8">
        <f>IF(ISNA(MATCH(37,Engine!$C$2:$C$622,0)),"",INDEX('Compliance Database'!$L$2:$L$622,MATCH(37,Engine!$C$2:$C$622,0)))</f>
        <v/>
      </c>
      <c r="M50" s="8">
        <f>IF(ISNA(MATCH(37,Engine!$C$2:$C$622,0)),"",INDEX('Compliance Database'!$M$2:$M$622,MATCH(37,Engine!$C$2:$C$622,0)))</f>
        <v/>
      </c>
      <c r="N50" s="8">
        <f>IF(ISNA(MATCH(37,Engine!$C$2:$C$622,0)),"",INDEX('Compliance Database'!$N$2:$N$622,MATCH(37,Engine!$C$2:$C$622,0)))</f>
        <v/>
      </c>
      <c r="O50" s="8">
        <f>IF(ISNA(MATCH(37,Engine!$C$2:$C$622,0)),"",INDEX('Compliance Database'!$O$2:$O$622,MATCH(37,Engine!$C$2:$C$622,0)))</f>
        <v/>
      </c>
    </row>
    <row r="51">
      <c r="A51">
        <f>IF(ISNA(MATCH(38,Engine!$C$2:$C$622,0)),"",INDEX('Compliance Database'!$A$2:$A$622,MATCH(38,Engine!$C$2:$C$622,0)))</f>
        <v/>
      </c>
      <c r="B51">
        <f>IF(ISNA(MATCH(38,Engine!$C$2:$C$622,0)),"",INDEX('Compliance Database'!$B$2:$B$622,MATCH(38,Engine!$C$2:$C$622,0)))</f>
        <v/>
      </c>
      <c r="C51">
        <f>IF(ISNA(MATCH(38,Engine!$C$2:$C$622,0)),"",INDEX('Compliance Database'!$C$2:$C$622,MATCH(38,Engine!$C$2:$C$622,0)))</f>
        <v/>
      </c>
      <c r="D51" s="8">
        <f>IF(ISNA(MATCH(38,Engine!$C$2:$C$622,0)),"",INDEX('Compliance Database'!$D$2:$D$622,MATCH(38,Engine!$C$2:$C$622,0)))</f>
        <v/>
      </c>
      <c r="E51">
        <f>IF(ISNA(MATCH(38,Engine!$C$2:$C$622,0)),"",INDEX('Compliance Database'!$E$2:$E$622,MATCH(38,Engine!$C$2:$C$622,0)))</f>
        <v/>
      </c>
      <c r="F51">
        <f>IF(ISNA(MATCH(38,Engine!$C$2:$C$622,0)),"",INDEX('Compliance Database'!$F$2:$F$622,MATCH(38,Engine!$C$2:$C$622,0)))</f>
        <v/>
      </c>
      <c r="G51">
        <f>IF(ISNA(MATCH(38,Engine!$C$2:$C$622,0)),"",INDEX('Compliance Database'!$G$2:$G$622,MATCH(38,Engine!$C$2:$C$622,0)))</f>
        <v/>
      </c>
      <c r="H51">
        <f>IF(ISNA(MATCH(38,Engine!$C$2:$C$622,0)),"",INDEX('Compliance Database'!$H$2:$H$622,MATCH(38,Engine!$C$2:$C$622,0)))</f>
        <v/>
      </c>
      <c r="I51" s="8">
        <f>IF(ISNA(MATCH(38,Engine!$C$2:$C$622,0)),"",INDEX('Compliance Database'!$I$2:$I$622,MATCH(38,Engine!$C$2:$C$622,0)))</f>
        <v/>
      </c>
      <c r="J51" s="8">
        <f>IF(ISNA(MATCH(38,Engine!$C$2:$C$622,0)),"",INDEX('Compliance Database'!$J$2:$J$622,MATCH(38,Engine!$C$2:$C$622,0)))</f>
        <v/>
      </c>
      <c r="K51">
        <f>IF(ISNA(MATCH(38,Engine!$C$2:$C$622,0)),"",INDEX('Compliance Database'!$K$2:$K$622,MATCH(38,Engine!$C$2:$C$622,0)))</f>
        <v/>
      </c>
      <c r="L51" s="8">
        <f>IF(ISNA(MATCH(38,Engine!$C$2:$C$622,0)),"",INDEX('Compliance Database'!$L$2:$L$622,MATCH(38,Engine!$C$2:$C$622,0)))</f>
        <v/>
      </c>
      <c r="M51" s="8">
        <f>IF(ISNA(MATCH(38,Engine!$C$2:$C$622,0)),"",INDEX('Compliance Database'!$M$2:$M$622,MATCH(38,Engine!$C$2:$C$622,0)))</f>
        <v/>
      </c>
      <c r="N51" s="8">
        <f>IF(ISNA(MATCH(38,Engine!$C$2:$C$622,0)),"",INDEX('Compliance Database'!$N$2:$N$622,MATCH(38,Engine!$C$2:$C$622,0)))</f>
        <v/>
      </c>
      <c r="O51" s="8">
        <f>IF(ISNA(MATCH(38,Engine!$C$2:$C$622,0)),"",INDEX('Compliance Database'!$O$2:$O$622,MATCH(38,Engine!$C$2:$C$622,0)))</f>
        <v/>
      </c>
    </row>
    <row r="52">
      <c r="A52">
        <f>IF(ISNA(MATCH(39,Engine!$C$2:$C$622,0)),"",INDEX('Compliance Database'!$A$2:$A$622,MATCH(39,Engine!$C$2:$C$622,0)))</f>
        <v/>
      </c>
      <c r="B52">
        <f>IF(ISNA(MATCH(39,Engine!$C$2:$C$622,0)),"",INDEX('Compliance Database'!$B$2:$B$622,MATCH(39,Engine!$C$2:$C$622,0)))</f>
        <v/>
      </c>
      <c r="C52">
        <f>IF(ISNA(MATCH(39,Engine!$C$2:$C$622,0)),"",INDEX('Compliance Database'!$C$2:$C$622,MATCH(39,Engine!$C$2:$C$622,0)))</f>
        <v/>
      </c>
      <c r="D52" s="8">
        <f>IF(ISNA(MATCH(39,Engine!$C$2:$C$622,0)),"",INDEX('Compliance Database'!$D$2:$D$622,MATCH(39,Engine!$C$2:$C$622,0)))</f>
        <v/>
      </c>
      <c r="E52">
        <f>IF(ISNA(MATCH(39,Engine!$C$2:$C$622,0)),"",INDEX('Compliance Database'!$E$2:$E$622,MATCH(39,Engine!$C$2:$C$622,0)))</f>
        <v/>
      </c>
      <c r="F52">
        <f>IF(ISNA(MATCH(39,Engine!$C$2:$C$622,0)),"",INDEX('Compliance Database'!$F$2:$F$622,MATCH(39,Engine!$C$2:$C$622,0)))</f>
        <v/>
      </c>
      <c r="G52">
        <f>IF(ISNA(MATCH(39,Engine!$C$2:$C$622,0)),"",INDEX('Compliance Database'!$G$2:$G$622,MATCH(39,Engine!$C$2:$C$622,0)))</f>
        <v/>
      </c>
      <c r="H52">
        <f>IF(ISNA(MATCH(39,Engine!$C$2:$C$622,0)),"",INDEX('Compliance Database'!$H$2:$H$622,MATCH(39,Engine!$C$2:$C$622,0)))</f>
        <v/>
      </c>
      <c r="I52" s="8">
        <f>IF(ISNA(MATCH(39,Engine!$C$2:$C$622,0)),"",INDEX('Compliance Database'!$I$2:$I$622,MATCH(39,Engine!$C$2:$C$622,0)))</f>
        <v/>
      </c>
      <c r="J52" s="8">
        <f>IF(ISNA(MATCH(39,Engine!$C$2:$C$622,0)),"",INDEX('Compliance Database'!$J$2:$J$622,MATCH(39,Engine!$C$2:$C$622,0)))</f>
        <v/>
      </c>
      <c r="K52">
        <f>IF(ISNA(MATCH(39,Engine!$C$2:$C$622,0)),"",INDEX('Compliance Database'!$K$2:$K$622,MATCH(39,Engine!$C$2:$C$622,0)))</f>
        <v/>
      </c>
      <c r="L52" s="8">
        <f>IF(ISNA(MATCH(39,Engine!$C$2:$C$622,0)),"",INDEX('Compliance Database'!$L$2:$L$622,MATCH(39,Engine!$C$2:$C$622,0)))</f>
        <v/>
      </c>
      <c r="M52" s="8">
        <f>IF(ISNA(MATCH(39,Engine!$C$2:$C$622,0)),"",INDEX('Compliance Database'!$M$2:$M$622,MATCH(39,Engine!$C$2:$C$622,0)))</f>
        <v/>
      </c>
      <c r="N52" s="8">
        <f>IF(ISNA(MATCH(39,Engine!$C$2:$C$622,0)),"",INDEX('Compliance Database'!$N$2:$N$622,MATCH(39,Engine!$C$2:$C$622,0)))</f>
        <v/>
      </c>
      <c r="O52" s="8">
        <f>IF(ISNA(MATCH(39,Engine!$C$2:$C$622,0)),"",INDEX('Compliance Database'!$O$2:$O$622,MATCH(39,Engine!$C$2:$C$622,0)))</f>
        <v/>
      </c>
    </row>
    <row r="53">
      <c r="A53">
        <f>IF(ISNA(MATCH(40,Engine!$C$2:$C$622,0)),"",INDEX('Compliance Database'!$A$2:$A$622,MATCH(40,Engine!$C$2:$C$622,0)))</f>
        <v/>
      </c>
      <c r="B53">
        <f>IF(ISNA(MATCH(40,Engine!$C$2:$C$622,0)),"",INDEX('Compliance Database'!$B$2:$B$622,MATCH(40,Engine!$C$2:$C$622,0)))</f>
        <v/>
      </c>
      <c r="C53">
        <f>IF(ISNA(MATCH(40,Engine!$C$2:$C$622,0)),"",INDEX('Compliance Database'!$C$2:$C$622,MATCH(40,Engine!$C$2:$C$622,0)))</f>
        <v/>
      </c>
      <c r="D53" s="8">
        <f>IF(ISNA(MATCH(40,Engine!$C$2:$C$622,0)),"",INDEX('Compliance Database'!$D$2:$D$622,MATCH(40,Engine!$C$2:$C$622,0)))</f>
        <v/>
      </c>
      <c r="E53">
        <f>IF(ISNA(MATCH(40,Engine!$C$2:$C$622,0)),"",INDEX('Compliance Database'!$E$2:$E$622,MATCH(40,Engine!$C$2:$C$622,0)))</f>
        <v/>
      </c>
      <c r="F53">
        <f>IF(ISNA(MATCH(40,Engine!$C$2:$C$622,0)),"",INDEX('Compliance Database'!$F$2:$F$622,MATCH(40,Engine!$C$2:$C$622,0)))</f>
        <v/>
      </c>
      <c r="G53">
        <f>IF(ISNA(MATCH(40,Engine!$C$2:$C$622,0)),"",INDEX('Compliance Database'!$G$2:$G$622,MATCH(40,Engine!$C$2:$C$622,0)))</f>
        <v/>
      </c>
      <c r="H53">
        <f>IF(ISNA(MATCH(40,Engine!$C$2:$C$622,0)),"",INDEX('Compliance Database'!$H$2:$H$622,MATCH(40,Engine!$C$2:$C$622,0)))</f>
        <v/>
      </c>
      <c r="I53" s="8">
        <f>IF(ISNA(MATCH(40,Engine!$C$2:$C$622,0)),"",INDEX('Compliance Database'!$I$2:$I$622,MATCH(40,Engine!$C$2:$C$622,0)))</f>
        <v/>
      </c>
      <c r="J53" s="8">
        <f>IF(ISNA(MATCH(40,Engine!$C$2:$C$622,0)),"",INDEX('Compliance Database'!$J$2:$J$622,MATCH(40,Engine!$C$2:$C$622,0)))</f>
        <v/>
      </c>
      <c r="K53">
        <f>IF(ISNA(MATCH(40,Engine!$C$2:$C$622,0)),"",INDEX('Compliance Database'!$K$2:$K$622,MATCH(40,Engine!$C$2:$C$622,0)))</f>
        <v/>
      </c>
      <c r="L53" s="8">
        <f>IF(ISNA(MATCH(40,Engine!$C$2:$C$622,0)),"",INDEX('Compliance Database'!$L$2:$L$622,MATCH(40,Engine!$C$2:$C$622,0)))</f>
        <v/>
      </c>
      <c r="M53" s="8">
        <f>IF(ISNA(MATCH(40,Engine!$C$2:$C$622,0)),"",INDEX('Compliance Database'!$M$2:$M$622,MATCH(40,Engine!$C$2:$C$622,0)))</f>
        <v/>
      </c>
      <c r="N53" s="8">
        <f>IF(ISNA(MATCH(40,Engine!$C$2:$C$622,0)),"",INDEX('Compliance Database'!$N$2:$N$622,MATCH(40,Engine!$C$2:$C$622,0)))</f>
        <v/>
      </c>
      <c r="O53" s="8">
        <f>IF(ISNA(MATCH(40,Engine!$C$2:$C$622,0)),"",INDEX('Compliance Database'!$O$2:$O$622,MATCH(40,Engine!$C$2:$C$622,0)))</f>
        <v/>
      </c>
    </row>
    <row r="54">
      <c r="A54">
        <f>IF(ISNA(MATCH(41,Engine!$C$2:$C$622,0)),"",INDEX('Compliance Database'!$A$2:$A$622,MATCH(41,Engine!$C$2:$C$622,0)))</f>
        <v/>
      </c>
      <c r="B54">
        <f>IF(ISNA(MATCH(41,Engine!$C$2:$C$622,0)),"",INDEX('Compliance Database'!$B$2:$B$622,MATCH(41,Engine!$C$2:$C$622,0)))</f>
        <v/>
      </c>
      <c r="C54">
        <f>IF(ISNA(MATCH(41,Engine!$C$2:$C$622,0)),"",INDEX('Compliance Database'!$C$2:$C$622,MATCH(41,Engine!$C$2:$C$622,0)))</f>
        <v/>
      </c>
      <c r="D54" s="8">
        <f>IF(ISNA(MATCH(41,Engine!$C$2:$C$622,0)),"",INDEX('Compliance Database'!$D$2:$D$622,MATCH(41,Engine!$C$2:$C$622,0)))</f>
        <v/>
      </c>
      <c r="E54">
        <f>IF(ISNA(MATCH(41,Engine!$C$2:$C$622,0)),"",INDEX('Compliance Database'!$E$2:$E$622,MATCH(41,Engine!$C$2:$C$622,0)))</f>
        <v/>
      </c>
      <c r="F54">
        <f>IF(ISNA(MATCH(41,Engine!$C$2:$C$622,0)),"",INDEX('Compliance Database'!$F$2:$F$622,MATCH(41,Engine!$C$2:$C$622,0)))</f>
        <v/>
      </c>
      <c r="G54">
        <f>IF(ISNA(MATCH(41,Engine!$C$2:$C$622,0)),"",INDEX('Compliance Database'!$G$2:$G$622,MATCH(41,Engine!$C$2:$C$622,0)))</f>
        <v/>
      </c>
      <c r="H54">
        <f>IF(ISNA(MATCH(41,Engine!$C$2:$C$622,0)),"",INDEX('Compliance Database'!$H$2:$H$622,MATCH(41,Engine!$C$2:$C$622,0)))</f>
        <v/>
      </c>
      <c r="I54" s="8">
        <f>IF(ISNA(MATCH(41,Engine!$C$2:$C$622,0)),"",INDEX('Compliance Database'!$I$2:$I$622,MATCH(41,Engine!$C$2:$C$622,0)))</f>
        <v/>
      </c>
      <c r="J54" s="8">
        <f>IF(ISNA(MATCH(41,Engine!$C$2:$C$622,0)),"",INDEX('Compliance Database'!$J$2:$J$622,MATCH(41,Engine!$C$2:$C$622,0)))</f>
        <v/>
      </c>
      <c r="K54">
        <f>IF(ISNA(MATCH(41,Engine!$C$2:$C$622,0)),"",INDEX('Compliance Database'!$K$2:$K$622,MATCH(41,Engine!$C$2:$C$622,0)))</f>
        <v/>
      </c>
      <c r="L54" s="8">
        <f>IF(ISNA(MATCH(41,Engine!$C$2:$C$622,0)),"",INDEX('Compliance Database'!$L$2:$L$622,MATCH(41,Engine!$C$2:$C$622,0)))</f>
        <v/>
      </c>
      <c r="M54" s="8">
        <f>IF(ISNA(MATCH(41,Engine!$C$2:$C$622,0)),"",INDEX('Compliance Database'!$M$2:$M$622,MATCH(41,Engine!$C$2:$C$622,0)))</f>
        <v/>
      </c>
      <c r="N54" s="8">
        <f>IF(ISNA(MATCH(41,Engine!$C$2:$C$622,0)),"",INDEX('Compliance Database'!$N$2:$N$622,MATCH(41,Engine!$C$2:$C$622,0)))</f>
        <v/>
      </c>
      <c r="O54" s="8">
        <f>IF(ISNA(MATCH(41,Engine!$C$2:$C$622,0)),"",INDEX('Compliance Database'!$O$2:$O$622,MATCH(41,Engine!$C$2:$C$622,0)))</f>
        <v/>
      </c>
    </row>
    <row r="55">
      <c r="A55">
        <f>IF(ISNA(MATCH(42,Engine!$C$2:$C$622,0)),"",INDEX('Compliance Database'!$A$2:$A$622,MATCH(42,Engine!$C$2:$C$622,0)))</f>
        <v/>
      </c>
      <c r="B55">
        <f>IF(ISNA(MATCH(42,Engine!$C$2:$C$622,0)),"",INDEX('Compliance Database'!$B$2:$B$622,MATCH(42,Engine!$C$2:$C$622,0)))</f>
        <v/>
      </c>
      <c r="C55">
        <f>IF(ISNA(MATCH(42,Engine!$C$2:$C$622,0)),"",INDEX('Compliance Database'!$C$2:$C$622,MATCH(42,Engine!$C$2:$C$622,0)))</f>
        <v/>
      </c>
      <c r="D55" s="8">
        <f>IF(ISNA(MATCH(42,Engine!$C$2:$C$622,0)),"",INDEX('Compliance Database'!$D$2:$D$622,MATCH(42,Engine!$C$2:$C$622,0)))</f>
        <v/>
      </c>
      <c r="E55">
        <f>IF(ISNA(MATCH(42,Engine!$C$2:$C$622,0)),"",INDEX('Compliance Database'!$E$2:$E$622,MATCH(42,Engine!$C$2:$C$622,0)))</f>
        <v/>
      </c>
      <c r="F55">
        <f>IF(ISNA(MATCH(42,Engine!$C$2:$C$622,0)),"",INDEX('Compliance Database'!$F$2:$F$622,MATCH(42,Engine!$C$2:$C$622,0)))</f>
        <v/>
      </c>
      <c r="G55">
        <f>IF(ISNA(MATCH(42,Engine!$C$2:$C$622,0)),"",INDEX('Compliance Database'!$G$2:$G$622,MATCH(42,Engine!$C$2:$C$622,0)))</f>
        <v/>
      </c>
      <c r="H55">
        <f>IF(ISNA(MATCH(42,Engine!$C$2:$C$622,0)),"",INDEX('Compliance Database'!$H$2:$H$622,MATCH(42,Engine!$C$2:$C$622,0)))</f>
        <v/>
      </c>
      <c r="I55" s="8">
        <f>IF(ISNA(MATCH(42,Engine!$C$2:$C$622,0)),"",INDEX('Compliance Database'!$I$2:$I$622,MATCH(42,Engine!$C$2:$C$622,0)))</f>
        <v/>
      </c>
      <c r="J55" s="8">
        <f>IF(ISNA(MATCH(42,Engine!$C$2:$C$622,0)),"",INDEX('Compliance Database'!$J$2:$J$622,MATCH(42,Engine!$C$2:$C$622,0)))</f>
        <v/>
      </c>
      <c r="K55">
        <f>IF(ISNA(MATCH(42,Engine!$C$2:$C$622,0)),"",INDEX('Compliance Database'!$K$2:$K$622,MATCH(42,Engine!$C$2:$C$622,0)))</f>
        <v/>
      </c>
      <c r="L55" s="8">
        <f>IF(ISNA(MATCH(42,Engine!$C$2:$C$622,0)),"",INDEX('Compliance Database'!$L$2:$L$622,MATCH(42,Engine!$C$2:$C$622,0)))</f>
        <v/>
      </c>
      <c r="M55" s="8">
        <f>IF(ISNA(MATCH(42,Engine!$C$2:$C$622,0)),"",INDEX('Compliance Database'!$M$2:$M$622,MATCH(42,Engine!$C$2:$C$622,0)))</f>
        <v/>
      </c>
      <c r="N55" s="8">
        <f>IF(ISNA(MATCH(42,Engine!$C$2:$C$622,0)),"",INDEX('Compliance Database'!$N$2:$N$622,MATCH(42,Engine!$C$2:$C$622,0)))</f>
        <v/>
      </c>
      <c r="O55" s="8">
        <f>IF(ISNA(MATCH(42,Engine!$C$2:$C$622,0)),"",INDEX('Compliance Database'!$O$2:$O$622,MATCH(42,Engine!$C$2:$C$622,0)))</f>
        <v/>
      </c>
    </row>
    <row r="56">
      <c r="A56">
        <f>IF(ISNA(MATCH(43,Engine!$C$2:$C$622,0)),"",INDEX('Compliance Database'!$A$2:$A$622,MATCH(43,Engine!$C$2:$C$622,0)))</f>
        <v/>
      </c>
      <c r="B56">
        <f>IF(ISNA(MATCH(43,Engine!$C$2:$C$622,0)),"",INDEX('Compliance Database'!$B$2:$B$622,MATCH(43,Engine!$C$2:$C$622,0)))</f>
        <v/>
      </c>
      <c r="C56">
        <f>IF(ISNA(MATCH(43,Engine!$C$2:$C$622,0)),"",INDEX('Compliance Database'!$C$2:$C$622,MATCH(43,Engine!$C$2:$C$622,0)))</f>
        <v/>
      </c>
      <c r="D56" s="8">
        <f>IF(ISNA(MATCH(43,Engine!$C$2:$C$622,0)),"",INDEX('Compliance Database'!$D$2:$D$622,MATCH(43,Engine!$C$2:$C$622,0)))</f>
        <v/>
      </c>
      <c r="E56">
        <f>IF(ISNA(MATCH(43,Engine!$C$2:$C$622,0)),"",INDEX('Compliance Database'!$E$2:$E$622,MATCH(43,Engine!$C$2:$C$622,0)))</f>
        <v/>
      </c>
      <c r="F56">
        <f>IF(ISNA(MATCH(43,Engine!$C$2:$C$622,0)),"",INDEX('Compliance Database'!$F$2:$F$622,MATCH(43,Engine!$C$2:$C$622,0)))</f>
        <v/>
      </c>
      <c r="G56">
        <f>IF(ISNA(MATCH(43,Engine!$C$2:$C$622,0)),"",INDEX('Compliance Database'!$G$2:$G$622,MATCH(43,Engine!$C$2:$C$622,0)))</f>
        <v/>
      </c>
      <c r="H56">
        <f>IF(ISNA(MATCH(43,Engine!$C$2:$C$622,0)),"",INDEX('Compliance Database'!$H$2:$H$622,MATCH(43,Engine!$C$2:$C$622,0)))</f>
        <v/>
      </c>
      <c r="I56" s="8">
        <f>IF(ISNA(MATCH(43,Engine!$C$2:$C$622,0)),"",INDEX('Compliance Database'!$I$2:$I$622,MATCH(43,Engine!$C$2:$C$622,0)))</f>
        <v/>
      </c>
      <c r="J56" s="8">
        <f>IF(ISNA(MATCH(43,Engine!$C$2:$C$622,0)),"",INDEX('Compliance Database'!$J$2:$J$622,MATCH(43,Engine!$C$2:$C$622,0)))</f>
        <v/>
      </c>
      <c r="K56">
        <f>IF(ISNA(MATCH(43,Engine!$C$2:$C$622,0)),"",INDEX('Compliance Database'!$K$2:$K$622,MATCH(43,Engine!$C$2:$C$622,0)))</f>
        <v/>
      </c>
      <c r="L56" s="8">
        <f>IF(ISNA(MATCH(43,Engine!$C$2:$C$622,0)),"",INDEX('Compliance Database'!$L$2:$L$622,MATCH(43,Engine!$C$2:$C$622,0)))</f>
        <v/>
      </c>
      <c r="M56" s="8">
        <f>IF(ISNA(MATCH(43,Engine!$C$2:$C$622,0)),"",INDEX('Compliance Database'!$M$2:$M$622,MATCH(43,Engine!$C$2:$C$622,0)))</f>
        <v/>
      </c>
      <c r="N56" s="8">
        <f>IF(ISNA(MATCH(43,Engine!$C$2:$C$622,0)),"",INDEX('Compliance Database'!$N$2:$N$622,MATCH(43,Engine!$C$2:$C$622,0)))</f>
        <v/>
      </c>
      <c r="O56" s="8">
        <f>IF(ISNA(MATCH(43,Engine!$C$2:$C$622,0)),"",INDEX('Compliance Database'!$O$2:$O$622,MATCH(43,Engine!$C$2:$C$622,0)))</f>
        <v/>
      </c>
    </row>
    <row r="57">
      <c r="A57">
        <f>IF(ISNA(MATCH(44,Engine!$C$2:$C$622,0)),"",INDEX('Compliance Database'!$A$2:$A$622,MATCH(44,Engine!$C$2:$C$622,0)))</f>
        <v/>
      </c>
      <c r="B57">
        <f>IF(ISNA(MATCH(44,Engine!$C$2:$C$622,0)),"",INDEX('Compliance Database'!$B$2:$B$622,MATCH(44,Engine!$C$2:$C$622,0)))</f>
        <v/>
      </c>
      <c r="C57">
        <f>IF(ISNA(MATCH(44,Engine!$C$2:$C$622,0)),"",INDEX('Compliance Database'!$C$2:$C$622,MATCH(44,Engine!$C$2:$C$622,0)))</f>
        <v/>
      </c>
      <c r="D57" s="8">
        <f>IF(ISNA(MATCH(44,Engine!$C$2:$C$622,0)),"",INDEX('Compliance Database'!$D$2:$D$622,MATCH(44,Engine!$C$2:$C$622,0)))</f>
        <v/>
      </c>
      <c r="E57">
        <f>IF(ISNA(MATCH(44,Engine!$C$2:$C$622,0)),"",INDEX('Compliance Database'!$E$2:$E$622,MATCH(44,Engine!$C$2:$C$622,0)))</f>
        <v/>
      </c>
      <c r="F57">
        <f>IF(ISNA(MATCH(44,Engine!$C$2:$C$622,0)),"",INDEX('Compliance Database'!$F$2:$F$622,MATCH(44,Engine!$C$2:$C$622,0)))</f>
        <v/>
      </c>
      <c r="G57">
        <f>IF(ISNA(MATCH(44,Engine!$C$2:$C$622,0)),"",INDEX('Compliance Database'!$G$2:$G$622,MATCH(44,Engine!$C$2:$C$622,0)))</f>
        <v/>
      </c>
      <c r="H57">
        <f>IF(ISNA(MATCH(44,Engine!$C$2:$C$622,0)),"",INDEX('Compliance Database'!$H$2:$H$622,MATCH(44,Engine!$C$2:$C$622,0)))</f>
        <v/>
      </c>
      <c r="I57" s="8">
        <f>IF(ISNA(MATCH(44,Engine!$C$2:$C$622,0)),"",INDEX('Compliance Database'!$I$2:$I$622,MATCH(44,Engine!$C$2:$C$622,0)))</f>
        <v/>
      </c>
      <c r="J57" s="8">
        <f>IF(ISNA(MATCH(44,Engine!$C$2:$C$622,0)),"",INDEX('Compliance Database'!$J$2:$J$622,MATCH(44,Engine!$C$2:$C$622,0)))</f>
        <v/>
      </c>
      <c r="K57">
        <f>IF(ISNA(MATCH(44,Engine!$C$2:$C$622,0)),"",INDEX('Compliance Database'!$K$2:$K$622,MATCH(44,Engine!$C$2:$C$622,0)))</f>
        <v/>
      </c>
      <c r="L57" s="8">
        <f>IF(ISNA(MATCH(44,Engine!$C$2:$C$622,0)),"",INDEX('Compliance Database'!$L$2:$L$622,MATCH(44,Engine!$C$2:$C$622,0)))</f>
        <v/>
      </c>
      <c r="M57" s="8">
        <f>IF(ISNA(MATCH(44,Engine!$C$2:$C$622,0)),"",INDEX('Compliance Database'!$M$2:$M$622,MATCH(44,Engine!$C$2:$C$622,0)))</f>
        <v/>
      </c>
      <c r="N57" s="8">
        <f>IF(ISNA(MATCH(44,Engine!$C$2:$C$622,0)),"",INDEX('Compliance Database'!$N$2:$N$622,MATCH(44,Engine!$C$2:$C$622,0)))</f>
        <v/>
      </c>
      <c r="O57" s="8">
        <f>IF(ISNA(MATCH(44,Engine!$C$2:$C$622,0)),"",INDEX('Compliance Database'!$O$2:$O$622,MATCH(44,Engine!$C$2:$C$622,0)))</f>
        <v/>
      </c>
    </row>
    <row r="58">
      <c r="A58">
        <f>IF(ISNA(MATCH(45,Engine!$C$2:$C$622,0)),"",INDEX('Compliance Database'!$A$2:$A$622,MATCH(45,Engine!$C$2:$C$622,0)))</f>
        <v/>
      </c>
      <c r="B58">
        <f>IF(ISNA(MATCH(45,Engine!$C$2:$C$622,0)),"",INDEX('Compliance Database'!$B$2:$B$622,MATCH(45,Engine!$C$2:$C$622,0)))</f>
        <v/>
      </c>
      <c r="C58">
        <f>IF(ISNA(MATCH(45,Engine!$C$2:$C$622,0)),"",INDEX('Compliance Database'!$C$2:$C$622,MATCH(45,Engine!$C$2:$C$622,0)))</f>
        <v/>
      </c>
      <c r="D58" s="8">
        <f>IF(ISNA(MATCH(45,Engine!$C$2:$C$622,0)),"",INDEX('Compliance Database'!$D$2:$D$622,MATCH(45,Engine!$C$2:$C$622,0)))</f>
        <v/>
      </c>
      <c r="E58">
        <f>IF(ISNA(MATCH(45,Engine!$C$2:$C$622,0)),"",INDEX('Compliance Database'!$E$2:$E$622,MATCH(45,Engine!$C$2:$C$622,0)))</f>
        <v/>
      </c>
      <c r="F58">
        <f>IF(ISNA(MATCH(45,Engine!$C$2:$C$622,0)),"",INDEX('Compliance Database'!$F$2:$F$622,MATCH(45,Engine!$C$2:$C$622,0)))</f>
        <v/>
      </c>
      <c r="G58">
        <f>IF(ISNA(MATCH(45,Engine!$C$2:$C$622,0)),"",INDEX('Compliance Database'!$G$2:$G$622,MATCH(45,Engine!$C$2:$C$622,0)))</f>
        <v/>
      </c>
      <c r="H58">
        <f>IF(ISNA(MATCH(45,Engine!$C$2:$C$622,0)),"",INDEX('Compliance Database'!$H$2:$H$622,MATCH(45,Engine!$C$2:$C$622,0)))</f>
        <v/>
      </c>
      <c r="I58" s="8">
        <f>IF(ISNA(MATCH(45,Engine!$C$2:$C$622,0)),"",INDEX('Compliance Database'!$I$2:$I$622,MATCH(45,Engine!$C$2:$C$622,0)))</f>
        <v/>
      </c>
      <c r="J58" s="8">
        <f>IF(ISNA(MATCH(45,Engine!$C$2:$C$622,0)),"",INDEX('Compliance Database'!$J$2:$J$622,MATCH(45,Engine!$C$2:$C$622,0)))</f>
        <v/>
      </c>
      <c r="K58">
        <f>IF(ISNA(MATCH(45,Engine!$C$2:$C$622,0)),"",INDEX('Compliance Database'!$K$2:$K$622,MATCH(45,Engine!$C$2:$C$622,0)))</f>
        <v/>
      </c>
      <c r="L58" s="8">
        <f>IF(ISNA(MATCH(45,Engine!$C$2:$C$622,0)),"",INDEX('Compliance Database'!$L$2:$L$622,MATCH(45,Engine!$C$2:$C$622,0)))</f>
        <v/>
      </c>
      <c r="M58" s="8">
        <f>IF(ISNA(MATCH(45,Engine!$C$2:$C$622,0)),"",INDEX('Compliance Database'!$M$2:$M$622,MATCH(45,Engine!$C$2:$C$622,0)))</f>
        <v/>
      </c>
      <c r="N58" s="8">
        <f>IF(ISNA(MATCH(45,Engine!$C$2:$C$622,0)),"",INDEX('Compliance Database'!$N$2:$N$622,MATCH(45,Engine!$C$2:$C$622,0)))</f>
        <v/>
      </c>
      <c r="O58" s="8">
        <f>IF(ISNA(MATCH(45,Engine!$C$2:$C$622,0)),"",INDEX('Compliance Database'!$O$2:$O$622,MATCH(45,Engine!$C$2:$C$622,0)))</f>
        <v/>
      </c>
    </row>
    <row r="59">
      <c r="A59">
        <f>IF(ISNA(MATCH(46,Engine!$C$2:$C$622,0)),"",INDEX('Compliance Database'!$A$2:$A$622,MATCH(46,Engine!$C$2:$C$622,0)))</f>
        <v/>
      </c>
      <c r="B59">
        <f>IF(ISNA(MATCH(46,Engine!$C$2:$C$622,0)),"",INDEX('Compliance Database'!$B$2:$B$622,MATCH(46,Engine!$C$2:$C$622,0)))</f>
        <v/>
      </c>
      <c r="C59">
        <f>IF(ISNA(MATCH(46,Engine!$C$2:$C$622,0)),"",INDEX('Compliance Database'!$C$2:$C$622,MATCH(46,Engine!$C$2:$C$622,0)))</f>
        <v/>
      </c>
      <c r="D59" s="8">
        <f>IF(ISNA(MATCH(46,Engine!$C$2:$C$622,0)),"",INDEX('Compliance Database'!$D$2:$D$622,MATCH(46,Engine!$C$2:$C$622,0)))</f>
        <v/>
      </c>
      <c r="E59">
        <f>IF(ISNA(MATCH(46,Engine!$C$2:$C$622,0)),"",INDEX('Compliance Database'!$E$2:$E$622,MATCH(46,Engine!$C$2:$C$622,0)))</f>
        <v/>
      </c>
      <c r="F59">
        <f>IF(ISNA(MATCH(46,Engine!$C$2:$C$622,0)),"",INDEX('Compliance Database'!$F$2:$F$622,MATCH(46,Engine!$C$2:$C$622,0)))</f>
        <v/>
      </c>
      <c r="G59">
        <f>IF(ISNA(MATCH(46,Engine!$C$2:$C$622,0)),"",INDEX('Compliance Database'!$G$2:$G$622,MATCH(46,Engine!$C$2:$C$622,0)))</f>
        <v/>
      </c>
      <c r="H59">
        <f>IF(ISNA(MATCH(46,Engine!$C$2:$C$622,0)),"",INDEX('Compliance Database'!$H$2:$H$622,MATCH(46,Engine!$C$2:$C$622,0)))</f>
        <v/>
      </c>
      <c r="I59" s="8">
        <f>IF(ISNA(MATCH(46,Engine!$C$2:$C$622,0)),"",INDEX('Compliance Database'!$I$2:$I$622,MATCH(46,Engine!$C$2:$C$622,0)))</f>
        <v/>
      </c>
      <c r="J59" s="8">
        <f>IF(ISNA(MATCH(46,Engine!$C$2:$C$622,0)),"",INDEX('Compliance Database'!$J$2:$J$622,MATCH(46,Engine!$C$2:$C$622,0)))</f>
        <v/>
      </c>
      <c r="K59">
        <f>IF(ISNA(MATCH(46,Engine!$C$2:$C$622,0)),"",INDEX('Compliance Database'!$K$2:$K$622,MATCH(46,Engine!$C$2:$C$622,0)))</f>
        <v/>
      </c>
      <c r="L59" s="8">
        <f>IF(ISNA(MATCH(46,Engine!$C$2:$C$622,0)),"",INDEX('Compliance Database'!$L$2:$L$622,MATCH(46,Engine!$C$2:$C$622,0)))</f>
        <v/>
      </c>
      <c r="M59" s="8">
        <f>IF(ISNA(MATCH(46,Engine!$C$2:$C$622,0)),"",INDEX('Compliance Database'!$M$2:$M$622,MATCH(46,Engine!$C$2:$C$622,0)))</f>
        <v/>
      </c>
      <c r="N59" s="8">
        <f>IF(ISNA(MATCH(46,Engine!$C$2:$C$622,0)),"",INDEX('Compliance Database'!$N$2:$N$622,MATCH(46,Engine!$C$2:$C$622,0)))</f>
        <v/>
      </c>
      <c r="O59" s="8">
        <f>IF(ISNA(MATCH(46,Engine!$C$2:$C$622,0)),"",INDEX('Compliance Database'!$O$2:$O$622,MATCH(46,Engine!$C$2:$C$622,0)))</f>
        <v/>
      </c>
    </row>
    <row r="60">
      <c r="A60">
        <f>IF(ISNA(MATCH(47,Engine!$C$2:$C$622,0)),"",INDEX('Compliance Database'!$A$2:$A$622,MATCH(47,Engine!$C$2:$C$622,0)))</f>
        <v/>
      </c>
      <c r="B60">
        <f>IF(ISNA(MATCH(47,Engine!$C$2:$C$622,0)),"",INDEX('Compliance Database'!$B$2:$B$622,MATCH(47,Engine!$C$2:$C$622,0)))</f>
        <v/>
      </c>
      <c r="C60">
        <f>IF(ISNA(MATCH(47,Engine!$C$2:$C$622,0)),"",INDEX('Compliance Database'!$C$2:$C$622,MATCH(47,Engine!$C$2:$C$622,0)))</f>
        <v/>
      </c>
      <c r="D60" s="8">
        <f>IF(ISNA(MATCH(47,Engine!$C$2:$C$622,0)),"",INDEX('Compliance Database'!$D$2:$D$622,MATCH(47,Engine!$C$2:$C$622,0)))</f>
        <v/>
      </c>
      <c r="E60">
        <f>IF(ISNA(MATCH(47,Engine!$C$2:$C$622,0)),"",INDEX('Compliance Database'!$E$2:$E$622,MATCH(47,Engine!$C$2:$C$622,0)))</f>
        <v/>
      </c>
      <c r="F60">
        <f>IF(ISNA(MATCH(47,Engine!$C$2:$C$622,0)),"",INDEX('Compliance Database'!$F$2:$F$622,MATCH(47,Engine!$C$2:$C$622,0)))</f>
        <v/>
      </c>
      <c r="G60">
        <f>IF(ISNA(MATCH(47,Engine!$C$2:$C$622,0)),"",INDEX('Compliance Database'!$G$2:$G$622,MATCH(47,Engine!$C$2:$C$622,0)))</f>
        <v/>
      </c>
      <c r="H60">
        <f>IF(ISNA(MATCH(47,Engine!$C$2:$C$622,0)),"",INDEX('Compliance Database'!$H$2:$H$622,MATCH(47,Engine!$C$2:$C$622,0)))</f>
        <v/>
      </c>
      <c r="I60" s="8">
        <f>IF(ISNA(MATCH(47,Engine!$C$2:$C$622,0)),"",INDEX('Compliance Database'!$I$2:$I$622,MATCH(47,Engine!$C$2:$C$622,0)))</f>
        <v/>
      </c>
      <c r="J60" s="8">
        <f>IF(ISNA(MATCH(47,Engine!$C$2:$C$622,0)),"",INDEX('Compliance Database'!$J$2:$J$622,MATCH(47,Engine!$C$2:$C$622,0)))</f>
        <v/>
      </c>
      <c r="K60">
        <f>IF(ISNA(MATCH(47,Engine!$C$2:$C$622,0)),"",INDEX('Compliance Database'!$K$2:$K$622,MATCH(47,Engine!$C$2:$C$622,0)))</f>
        <v/>
      </c>
      <c r="L60" s="8">
        <f>IF(ISNA(MATCH(47,Engine!$C$2:$C$622,0)),"",INDEX('Compliance Database'!$L$2:$L$622,MATCH(47,Engine!$C$2:$C$622,0)))</f>
        <v/>
      </c>
      <c r="M60" s="8">
        <f>IF(ISNA(MATCH(47,Engine!$C$2:$C$622,0)),"",INDEX('Compliance Database'!$M$2:$M$622,MATCH(47,Engine!$C$2:$C$622,0)))</f>
        <v/>
      </c>
      <c r="N60" s="8">
        <f>IF(ISNA(MATCH(47,Engine!$C$2:$C$622,0)),"",INDEX('Compliance Database'!$N$2:$N$622,MATCH(47,Engine!$C$2:$C$622,0)))</f>
        <v/>
      </c>
      <c r="O60" s="8">
        <f>IF(ISNA(MATCH(47,Engine!$C$2:$C$622,0)),"",INDEX('Compliance Database'!$O$2:$O$622,MATCH(47,Engine!$C$2:$C$622,0)))</f>
        <v/>
      </c>
    </row>
    <row r="61">
      <c r="A61">
        <f>IF(ISNA(MATCH(48,Engine!$C$2:$C$622,0)),"",INDEX('Compliance Database'!$A$2:$A$622,MATCH(48,Engine!$C$2:$C$622,0)))</f>
        <v/>
      </c>
      <c r="B61">
        <f>IF(ISNA(MATCH(48,Engine!$C$2:$C$622,0)),"",INDEX('Compliance Database'!$B$2:$B$622,MATCH(48,Engine!$C$2:$C$622,0)))</f>
        <v/>
      </c>
      <c r="C61">
        <f>IF(ISNA(MATCH(48,Engine!$C$2:$C$622,0)),"",INDEX('Compliance Database'!$C$2:$C$622,MATCH(48,Engine!$C$2:$C$622,0)))</f>
        <v/>
      </c>
      <c r="D61" s="8">
        <f>IF(ISNA(MATCH(48,Engine!$C$2:$C$622,0)),"",INDEX('Compliance Database'!$D$2:$D$622,MATCH(48,Engine!$C$2:$C$622,0)))</f>
        <v/>
      </c>
      <c r="E61">
        <f>IF(ISNA(MATCH(48,Engine!$C$2:$C$622,0)),"",INDEX('Compliance Database'!$E$2:$E$622,MATCH(48,Engine!$C$2:$C$622,0)))</f>
        <v/>
      </c>
      <c r="F61">
        <f>IF(ISNA(MATCH(48,Engine!$C$2:$C$622,0)),"",INDEX('Compliance Database'!$F$2:$F$622,MATCH(48,Engine!$C$2:$C$622,0)))</f>
        <v/>
      </c>
      <c r="G61">
        <f>IF(ISNA(MATCH(48,Engine!$C$2:$C$622,0)),"",INDEX('Compliance Database'!$G$2:$G$622,MATCH(48,Engine!$C$2:$C$622,0)))</f>
        <v/>
      </c>
      <c r="H61">
        <f>IF(ISNA(MATCH(48,Engine!$C$2:$C$622,0)),"",INDEX('Compliance Database'!$H$2:$H$622,MATCH(48,Engine!$C$2:$C$622,0)))</f>
        <v/>
      </c>
      <c r="I61" s="8">
        <f>IF(ISNA(MATCH(48,Engine!$C$2:$C$622,0)),"",INDEX('Compliance Database'!$I$2:$I$622,MATCH(48,Engine!$C$2:$C$622,0)))</f>
        <v/>
      </c>
      <c r="J61" s="8">
        <f>IF(ISNA(MATCH(48,Engine!$C$2:$C$622,0)),"",INDEX('Compliance Database'!$J$2:$J$622,MATCH(48,Engine!$C$2:$C$622,0)))</f>
        <v/>
      </c>
      <c r="K61">
        <f>IF(ISNA(MATCH(48,Engine!$C$2:$C$622,0)),"",INDEX('Compliance Database'!$K$2:$K$622,MATCH(48,Engine!$C$2:$C$622,0)))</f>
        <v/>
      </c>
      <c r="L61" s="8">
        <f>IF(ISNA(MATCH(48,Engine!$C$2:$C$622,0)),"",INDEX('Compliance Database'!$L$2:$L$622,MATCH(48,Engine!$C$2:$C$622,0)))</f>
        <v/>
      </c>
      <c r="M61" s="8">
        <f>IF(ISNA(MATCH(48,Engine!$C$2:$C$622,0)),"",INDEX('Compliance Database'!$M$2:$M$622,MATCH(48,Engine!$C$2:$C$622,0)))</f>
        <v/>
      </c>
      <c r="N61" s="8">
        <f>IF(ISNA(MATCH(48,Engine!$C$2:$C$622,0)),"",INDEX('Compliance Database'!$N$2:$N$622,MATCH(48,Engine!$C$2:$C$622,0)))</f>
        <v/>
      </c>
      <c r="O61" s="8">
        <f>IF(ISNA(MATCH(48,Engine!$C$2:$C$622,0)),"",INDEX('Compliance Database'!$O$2:$O$622,MATCH(48,Engine!$C$2:$C$622,0)))</f>
        <v/>
      </c>
    </row>
    <row r="62">
      <c r="A62">
        <f>IF(ISNA(MATCH(49,Engine!$C$2:$C$622,0)),"",INDEX('Compliance Database'!$A$2:$A$622,MATCH(49,Engine!$C$2:$C$622,0)))</f>
        <v/>
      </c>
      <c r="B62">
        <f>IF(ISNA(MATCH(49,Engine!$C$2:$C$622,0)),"",INDEX('Compliance Database'!$B$2:$B$622,MATCH(49,Engine!$C$2:$C$622,0)))</f>
        <v/>
      </c>
      <c r="C62">
        <f>IF(ISNA(MATCH(49,Engine!$C$2:$C$622,0)),"",INDEX('Compliance Database'!$C$2:$C$622,MATCH(49,Engine!$C$2:$C$622,0)))</f>
        <v/>
      </c>
      <c r="D62" s="8">
        <f>IF(ISNA(MATCH(49,Engine!$C$2:$C$622,0)),"",INDEX('Compliance Database'!$D$2:$D$622,MATCH(49,Engine!$C$2:$C$622,0)))</f>
        <v/>
      </c>
      <c r="E62">
        <f>IF(ISNA(MATCH(49,Engine!$C$2:$C$622,0)),"",INDEX('Compliance Database'!$E$2:$E$622,MATCH(49,Engine!$C$2:$C$622,0)))</f>
        <v/>
      </c>
      <c r="F62">
        <f>IF(ISNA(MATCH(49,Engine!$C$2:$C$622,0)),"",INDEX('Compliance Database'!$F$2:$F$622,MATCH(49,Engine!$C$2:$C$622,0)))</f>
        <v/>
      </c>
      <c r="G62">
        <f>IF(ISNA(MATCH(49,Engine!$C$2:$C$622,0)),"",INDEX('Compliance Database'!$G$2:$G$622,MATCH(49,Engine!$C$2:$C$622,0)))</f>
        <v/>
      </c>
      <c r="H62">
        <f>IF(ISNA(MATCH(49,Engine!$C$2:$C$622,0)),"",INDEX('Compliance Database'!$H$2:$H$622,MATCH(49,Engine!$C$2:$C$622,0)))</f>
        <v/>
      </c>
      <c r="I62" s="8">
        <f>IF(ISNA(MATCH(49,Engine!$C$2:$C$622,0)),"",INDEX('Compliance Database'!$I$2:$I$622,MATCH(49,Engine!$C$2:$C$622,0)))</f>
        <v/>
      </c>
      <c r="J62" s="8">
        <f>IF(ISNA(MATCH(49,Engine!$C$2:$C$622,0)),"",INDEX('Compliance Database'!$J$2:$J$622,MATCH(49,Engine!$C$2:$C$622,0)))</f>
        <v/>
      </c>
      <c r="K62">
        <f>IF(ISNA(MATCH(49,Engine!$C$2:$C$622,0)),"",INDEX('Compliance Database'!$K$2:$K$622,MATCH(49,Engine!$C$2:$C$622,0)))</f>
        <v/>
      </c>
      <c r="L62" s="8">
        <f>IF(ISNA(MATCH(49,Engine!$C$2:$C$622,0)),"",INDEX('Compliance Database'!$L$2:$L$622,MATCH(49,Engine!$C$2:$C$622,0)))</f>
        <v/>
      </c>
      <c r="M62" s="8">
        <f>IF(ISNA(MATCH(49,Engine!$C$2:$C$622,0)),"",INDEX('Compliance Database'!$M$2:$M$622,MATCH(49,Engine!$C$2:$C$622,0)))</f>
        <v/>
      </c>
      <c r="N62" s="8">
        <f>IF(ISNA(MATCH(49,Engine!$C$2:$C$622,0)),"",INDEX('Compliance Database'!$N$2:$N$622,MATCH(49,Engine!$C$2:$C$622,0)))</f>
        <v/>
      </c>
      <c r="O62" s="8">
        <f>IF(ISNA(MATCH(49,Engine!$C$2:$C$622,0)),"",INDEX('Compliance Database'!$O$2:$O$622,MATCH(49,Engine!$C$2:$C$622,0)))</f>
        <v/>
      </c>
    </row>
    <row r="63">
      <c r="A63">
        <f>IF(ISNA(MATCH(50,Engine!$C$2:$C$622,0)),"",INDEX('Compliance Database'!$A$2:$A$622,MATCH(50,Engine!$C$2:$C$622,0)))</f>
        <v/>
      </c>
      <c r="B63">
        <f>IF(ISNA(MATCH(50,Engine!$C$2:$C$622,0)),"",INDEX('Compliance Database'!$B$2:$B$622,MATCH(50,Engine!$C$2:$C$622,0)))</f>
        <v/>
      </c>
      <c r="C63">
        <f>IF(ISNA(MATCH(50,Engine!$C$2:$C$622,0)),"",INDEX('Compliance Database'!$C$2:$C$622,MATCH(50,Engine!$C$2:$C$622,0)))</f>
        <v/>
      </c>
      <c r="D63" s="8">
        <f>IF(ISNA(MATCH(50,Engine!$C$2:$C$622,0)),"",INDEX('Compliance Database'!$D$2:$D$622,MATCH(50,Engine!$C$2:$C$622,0)))</f>
        <v/>
      </c>
      <c r="E63">
        <f>IF(ISNA(MATCH(50,Engine!$C$2:$C$622,0)),"",INDEX('Compliance Database'!$E$2:$E$622,MATCH(50,Engine!$C$2:$C$622,0)))</f>
        <v/>
      </c>
      <c r="F63">
        <f>IF(ISNA(MATCH(50,Engine!$C$2:$C$622,0)),"",INDEX('Compliance Database'!$F$2:$F$622,MATCH(50,Engine!$C$2:$C$622,0)))</f>
        <v/>
      </c>
      <c r="G63">
        <f>IF(ISNA(MATCH(50,Engine!$C$2:$C$622,0)),"",INDEX('Compliance Database'!$G$2:$G$622,MATCH(50,Engine!$C$2:$C$622,0)))</f>
        <v/>
      </c>
      <c r="H63">
        <f>IF(ISNA(MATCH(50,Engine!$C$2:$C$622,0)),"",INDEX('Compliance Database'!$H$2:$H$622,MATCH(50,Engine!$C$2:$C$622,0)))</f>
        <v/>
      </c>
      <c r="I63" s="8">
        <f>IF(ISNA(MATCH(50,Engine!$C$2:$C$622,0)),"",INDEX('Compliance Database'!$I$2:$I$622,MATCH(50,Engine!$C$2:$C$622,0)))</f>
        <v/>
      </c>
      <c r="J63" s="8">
        <f>IF(ISNA(MATCH(50,Engine!$C$2:$C$622,0)),"",INDEX('Compliance Database'!$J$2:$J$622,MATCH(50,Engine!$C$2:$C$622,0)))</f>
        <v/>
      </c>
      <c r="K63">
        <f>IF(ISNA(MATCH(50,Engine!$C$2:$C$622,0)),"",INDEX('Compliance Database'!$K$2:$K$622,MATCH(50,Engine!$C$2:$C$622,0)))</f>
        <v/>
      </c>
      <c r="L63" s="8">
        <f>IF(ISNA(MATCH(50,Engine!$C$2:$C$622,0)),"",INDEX('Compliance Database'!$L$2:$L$622,MATCH(50,Engine!$C$2:$C$622,0)))</f>
        <v/>
      </c>
      <c r="M63" s="8">
        <f>IF(ISNA(MATCH(50,Engine!$C$2:$C$622,0)),"",INDEX('Compliance Database'!$M$2:$M$622,MATCH(50,Engine!$C$2:$C$622,0)))</f>
        <v/>
      </c>
      <c r="N63" s="8">
        <f>IF(ISNA(MATCH(50,Engine!$C$2:$C$622,0)),"",INDEX('Compliance Database'!$N$2:$N$622,MATCH(50,Engine!$C$2:$C$622,0)))</f>
        <v/>
      </c>
      <c r="O63" s="8">
        <f>IF(ISNA(MATCH(50,Engine!$C$2:$C$622,0)),"",INDEX('Compliance Database'!$O$2:$O$622,MATCH(50,Engine!$C$2:$C$622,0)))</f>
        <v/>
      </c>
    </row>
    <row r="64">
      <c r="A64">
        <f>IF(ISNA(MATCH(51,Engine!$C$2:$C$622,0)),"",INDEX('Compliance Database'!$A$2:$A$622,MATCH(51,Engine!$C$2:$C$622,0)))</f>
        <v/>
      </c>
      <c r="B64">
        <f>IF(ISNA(MATCH(51,Engine!$C$2:$C$622,0)),"",INDEX('Compliance Database'!$B$2:$B$622,MATCH(51,Engine!$C$2:$C$622,0)))</f>
        <v/>
      </c>
      <c r="C64">
        <f>IF(ISNA(MATCH(51,Engine!$C$2:$C$622,0)),"",INDEX('Compliance Database'!$C$2:$C$622,MATCH(51,Engine!$C$2:$C$622,0)))</f>
        <v/>
      </c>
      <c r="D64" s="8">
        <f>IF(ISNA(MATCH(51,Engine!$C$2:$C$622,0)),"",INDEX('Compliance Database'!$D$2:$D$622,MATCH(51,Engine!$C$2:$C$622,0)))</f>
        <v/>
      </c>
      <c r="E64">
        <f>IF(ISNA(MATCH(51,Engine!$C$2:$C$622,0)),"",INDEX('Compliance Database'!$E$2:$E$622,MATCH(51,Engine!$C$2:$C$622,0)))</f>
        <v/>
      </c>
      <c r="F64">
        <f>IF(ISNA(MATCH(51,Engine!$C$2:$C$622,0)),"",INDEX('Compliance Database'!$F$2:$F$622,MATCH(51,Engine!$C$2:$C$622,0)))</f>
        <v/>
      </c>
      <c r="G64">
        <f>IF(ISNA(MATCH(51,Engine!$C$2:$C$622,0)),"",INDEX('Compliance Database'!$G$2:$G$622,MATCH(51,Engine!$C$2:$C$622,0)))</f>
        <v/>
      </c>
      <c r="H64">
        <f>IF(ISNA(MATCH(51,Engine!$C$2:$C$622,0)),"",INDEX('Compliance Database'!$H$2:$H$622,MATCH(51,Engine!$C$2:$C$622,0)))</f>
        <v/>
      </c>
      <c r="I64" s="8">
        <f>IF(ISNA(MATCH(51,Engine!$C$2:$C$622,0)),"",INDEX('Compliance Database'!$I$2:$I$622,MATCH(51,Engine!$C$2:$C$622,0)))</f>
        <v/>
      </c>
      <c r="J64" s="8">
        <f>IF(ISNA(MATCH(51,Engine!$C$2:$C$622,0)),"",INDEX('Compliance Database'!$J$2:$J$622,MATCH(51,Engine!$C$2:$C$622,0)))</f>
        <v/>
      </c>
      <c r="K64">
        <f>IF(ISNA(MATCH(51,Engine!$C$2:$C$622,0)),"",INDEX('Compliance Database'!$K$2:$K$622,MATCH(51,Engine!$C$2:$C$622,0)))</f>
        <v/>
      </c>
      <c r="L64" s="8">
        <f>IF(ISNA(MATCH(51,Engine!$C$2:$C$622,0)),"",INDEX('Compliance Database'!$L$2:$L$622,MATCH(51,Engine!$C$2:$C$622,0)))</f>
        <v/>
      </c>
      <c r="M64" s="8">
        <f>IF(ISNA(MATCH(51,Engine!$C$2:$C$622,0)),"",INDEX('Compliance Database'!$M$2:$M$622,MATCH(51,Engine!$C$2:$C$622,0)))</f>
        <v/>
      </c>
      <c r="N64" s="8">
        <f>IF(ISNA(MATCH(51,Engine!$C$2:$C$622,0)),"",INDEX('Compliance Database'!$N$2:$N$622,MATCH(51,Engine!$C$2:$C$622,0)))</f>
        <v/>
      </c>
      <c r="O64" s="8">
        <f>IF(ISNA(MATCH(51,Engine!$C$2:$C$622,0)),"",INDEX('Compliance Database'!$O$2:$O$622,MATCH(51,Engine!$C$2:$C$622,0)))</f>
        <v/>
      </c>
    </row>
    <row r="65">
      <c r="A65">
        <f>IF(ISNA(MATCH(52,Engine!$C$2:$C$622,0)),"",INDEX('Compliance Database'!$A$2:$A$622,MATCH(52,Engine!$C$2:$C$622,0)))</f>
        <v/>
      </c>
      <c r="B65">
        <f>IF(ISNA(MATCH(52,Engine!$C$2:$C$622,0)),"",INDEX('Compliance Database'!$B$2:$B$622,MATCH(52,Engine!$C$2:$C$622,0)))</f>
        <v/>
      </c>
      <c r="C65">
        <f>IF(ISNA(MATCH(52,Engine!$C$2:$C$622,0)),"",INDEX('Compliance Database'!$C$2:$C$622,MATCH(52,Engine!$C$2:$C$622,0)))</f>
        <v/>
      </c>
      <c r="D65" s="8">
        <f>IF(ISNA(MATCH(52,Engine!$C$2:$C$622,0)),"",INDEX('Compliance Database'!$D$2:$D$622,MATCH(52,Engine!$C$2:$C$622,0)))</f>
        <v/>
      </c>
      <c r="E65">
        <f>IF(ISNA(MATCH(52,Engine!$C$2:$C$622,0)),"",INDEX('Compliance Database'!$E$2:$E$622,MATCH(52,Engine!$C$2:$C$622,0)))</f>
        <v/>
      </c>
      <c r="F65">
        <f>IF(ISNA(MATCH(52,Engine!$C$2:$C$622,0)),"",INDEX('Compliance Database'!$F$2:$F$622,MATCH(52,Engine!$C$2:$C$622,0)))</f>
        <v/>
      </c>
      <c r="G65">
        <f>IF(ISNA(MATCH(52,Engine!$C$2:$C$622,0)),"",INDEX('Compliance Database'!$G$2:$G$622,MATCH(52,Engine!$C$2:$C$622,0)))</f>
        <v/>
      </c>
      <c r="H65">
        <f>IF(ISNA(MATCH(52,Engine!$C$2:$C$622,0)),"",INDEX('Compliance Database'!$H$2:$H$622,MATCH(52,Engine!$C$2:$C$622,0)))</f>
        <v/>
      </c>
      <c r="I65" s="8">
        <f>IF(ISNA(MATCH(52,Engine!$C$2:$C$622,0)),"",INDEX('Compliance Database'!$I$2:$I$622,MATCH(52,Engine!$C$2:$C$622,0)))</f>
        <v/>
      </c>
      <c r="J65" s="8">
        <f>IF(ISNA(MATCH(52,Engine!$C$2:$C$622,0)),"",INDEX('Compliance Database'!$J$2:$J$622,MATCH(52,Engine!$C$2:$C$622,0)))</f>
        <v/>
      </c>
      <c r="K65">
        <f>IF(ISNA(MATCH(52,Engine!$C$2:$C$622,0)),"",INDEX('Compliance Database'!$K$2:$K$622,MATCH(52,Engine!$C$2:$C$622,0)))</f>
        <v/>
      </c>
      <c r="L65" s="8">
        <f>IF(ISNA(MATCH(52,Engine!$C$2:$C$622,0)),"",INDEX('Compliance Database'!$L$2:$L$622,MATCH(52,Engine!$C$2:$C$622,0)))</f>
        <v/>
      </c>
      <c r="M65" s="8">
        <f>IF(ISNA(MATCH(52,Engine!$C$2:$C$622,0)),"",INDEX('Compliance Database'!$M$2:$M$622,MATCH(52,Engine!$C$2:$C$622,0)))</f>
        <v/>
      </c>
      <c r="N65" s="8">
        <f>IF(ISNA(MATCH(52,Engine!$C$2:$C$622,0)),"",INDEX('Compliance Database'!$N$2:$N$622,MATCH(52,Engine!$C$2:$C$622,0)))</f>
        <v/>
      </c>
      <c r="O65" s="8">
        <f>IF(ISNA(MATCH(52,Engine!$C$2:$C$622,0)),"",INDEX('Compliance Database'!$O$2:$O$622,MATCH(52,Engine!$C$2:$C$622,0)))</f>
        <v/>
      </c>
    </row>
    <row r="66">
      <c r="A66">
        <f>IF(ISNA(MATCH(53,Engine!$C$2:$C$622,0)),"",INDEX('Compliance Database'!$A$2:$A$622,MATCH(53,Engine!$C$2:$C$622,0)))</f>
        <v/>
      </c>
      <c r="B66">
        <f>IF(ISNA(MATCH(53,Engine!$C$2:$C$622,0)),"",INDEX('Compliance Database'!$B$2:$B$622,MATCH(53,Engine!$C$2:$C$622,0)))</f>
        <v/>
      </c>
      <c r="C66">
        <f>IF(ISNA(MATCH(53,Engine!$C$2:$C$622,0)),"",INDEX('Compliance Database'!$C$2:$C$622,MATCH(53,Engine!$C$2:$C$622,0)))</f>
        <v/>
      </c>
      <c r="D66" s="8">
        <f>IF(ISNA(MATCH(53,Engine!$C$2:$C$622,0)),"",INDEX('Compliance Database'!$D$2:$D$622,MATCH(53,Engine!$C$2:$C$622,0)))</f>
        <v/>
      </c>
      <c r="E66">
        <f>IF(ISNA(MATCH(53,Engine!$C$2:$C$622,0)),"",INDEX('Compliance Database'!$E$2:$E$622,MATCH(53,Engine!$C$2:$C$622,0)))</f>
        <v/>
      </c>
      <c r="F66">
        <f>IF(ISNA(MATCH(53,Engine!$C$2:$C$622,0)),"",INDEX('Compliance Database'!$F$2:$F$622,MATCH(53,Engine!$C$2:$C$622,0)))</f>
        <v/>
      </c>
      <c r="G66">
        <f>IF(ISNA(MATCH(53,Engine!$C$2:$C$622,0)),"",INDEX('Compliance Database'!$G$2:$G$622,MATCH(53,Engine!$C$2:$C$622,0)))</f>
        <v/>
      </c>
      <c r="H66">
        <f>IF(ISNA(MATCH(53,Engine!$C$2:$C$622,0)),"",INDEX('Compliance Database'!$H$2:$H$622,MATCH(53,Engine!$C$2:$C$622,0)))</f>
        <v/>
      </c>
      <c r="I66" s="8">
        <f>IF(ISNA(MATCH(53,Engine!$C$2:$C$622,0)),"",INDEX('Compliance Database'!$I$2:$I$622,MATCH(53,Engine!$C$2:$C$622,0)))</f>
        <v/>
      </c>
      <c r="J66" s="8">
        <f>IF(ISNA(MATCH(53,Engine!$C$2:$C$622,0)),"",INDEX('Compliance Database'!$J$2:$J$622,MATCH(53,Engine!$C$2:$C$622,0)))</f>
        <v/>
      </c>
      <c r="K66">
        <f>IF(ISNA(MATCH(53,Engine!$C$2:$C$622,0)),"",INDEX('Compliance Database'!$K$2:$K$622,MATCH(53,Engine!$C$2:$C$622,0)))</f>
        <v/>
      </c>
      <c r="L66" s="8">
        <f>IF(ISNA(MATCH(53,Engine!$C$2:$C$622,0)),"",INDEX('Compliance Database'!$L$2:$L$622,MATCH(53,Engine!$C$2:$C$622,0)))</f>
        <v/>
      </c>
      <c r="M66" s="8">
        <f>IF(ISNA(MATCH(53,Engine!$C$2:$C$622,0)),"",INDEX('Compliance Database'!$M$2:$M$622,MATCH(53,Engine!$C$2:$C$622,0)))</f>
        <v/>
      </c>
      <c r="N66" s="8">
        <f>IF(ISNA(MATCH(53,Engine!$C$2:$C$622,0)),"",INDEX('Compliance Database'!$N$2:$N$622,MATCH(53,Engine!$C$2:$C$622,0)))</f>
        <v/>
      </c>
      <c r="O66" s="8">
        <f>IF(ISNA(MATCH(53,Engine!$C$2:$C$622,0)),"",INDEX('Compliance Database'!$O$2:$O$622,MATCH(53,Engine!$C$2:$C$622,0)))</f>
        <v/>
      </c>
    </row>
    <row r="67">
      <c r="A67">
        <f>IF(ISNA(MATCH(54,Engine!$C$2:$C$622,0)),"",INDEX('Compliance Database'!$A$2:$A$622,MATCH(54,Engine!$C$2:$C$622,0)))</f>
        <v/>
      </c>
      <c r="B67">
        <f>IF(ISNA(MATCH(54,Engine!$C$2:$C$622,0)),"",INDEX('Compliance Database'!$B$2:$B$622,MATCH(54,Engine!$C$2:$C$622,0)))</f>
        <v/>
      </c>
      <c r="C67">
        <f>IF(ISNA(MATCH(54,Engine!$C$2:$C$622,0)),"",INDEX('Compliance Database'!$C$2:$C$622,MATCH(54,Engine!$C$2:$C$622,0)))</f>
        <v/>
      </c>
      <c r="D67" s="8">
        <f>IF(ISNA(MATCH(54,Engine!$C$2:$C$622,0)),"",INDEX('Compliance Database'!$D$2:$D$622,MATCH(54,Engine!$C$2:$C$622,0)))</f>
        <v/>
      </c>
      <c r="E67">
        <f>IF(ISNA(MATCH(54,Engine!$C$2:$C$622,0)),"",INDEX('Compliance Database'!$E$2:$E$622,MATCH(54,Engine!$C$2:$C$622,0)))</f>
        <v/>
      </c>
      <c r="F67">
        <f>IF(ISNA(MATCH(54,Engine!$C$2:$C$622,0)),"",INDEX('Compliance Database'!$F$2:$F$622,MATCH(54,Engine!$C$2:$C$622,0)))</f>
        <v/>
      </c>
      <c r="G67">
        <f>IF(ISNA(MATCH(54,Engine!$C$2:$C$622,0)),"",INDEX('Compliance Database'!$G$2:$G$622,MATCH(54,Engine!$C$2:$C$622,0)))</f>
        <v/>
      </c>
      <c r="H67">
        <f>IF(ISNA(MATCH(54,Engine!$C$2:$C$622,0)),"",INDEX('Compliance Database'!$H$2:$H$622,MATCH(54,Engine!$C$2:$C$622,0)))</f>
        <v/>
      </c>
      <c r="I67" s="8">
        <f>IF(ISNA(MATCH(54,Engine!$C$2:$C$622,0)),"",INDEX('Compliance Database'!$I$2:$I$622,MATCH(54,Engine!$C$2:$C$622,0)))</f>
        <v/>
      </c>
      <c r="J67" s="8">
        <f>IF(ISNA(MATCH(54,Engine!$C$2:$C$622,0)),"",INDEX('Compliance Database'!$J$2:$J$622,MATCH(54,Engine!$C$2:$C$622,0)))</f>
        <v/>
      </c>
      <c r="K67">
        <f>IF(ISNA(MATCH(54,Engine!$C$2:$C$622,0)),"",INDEX('Compliance Database'!$K$2:$K$622,MATCH(54,Engine!$C$2:$C$622,0)))</f>
        <v/>
      </c>
      <c r="L67" s="8">
        <f>IF(ISNA(MATCH(54,Engine!$C$2:$C$622,0)),"",INDEX('Compliance Database'!$L$2:$L$622,MATCH(54,Engine!$C$2:$C$622,0)))</f>
        <v/>
      </c>
      <c r="M67" s="8">
        <f>IF(ISNA(MATCH(54,Engine!$C$2:$C$622,0)),"",INDEX('Compliance Database'!$M$2:$M$622,MATCH(54,Engine!$C$2:$C$622,0)))</f>
        <v/>
      </c>
      <c r="N67" s="8">
        <f>IF(ISNA(MATCH(54,Engine!$C$2:$C$622,0)),"",INDEX('Compliance Database'!$N$2:$N$622,MATCH(54,Engine!$C$2:$C$622,0)))</f>
        <v/>
      </c>
      <c r="O67" s="8">
        <f>IF(ISNA(MATCH(54,Engine!$C$2:$C$622,0)),"",INDEX('Compliance Database'!$O$2:$O$622,MATCH(54,Engine!$C$2:$C$622,0)))</f>
        <v/>
      </c>
    </row>
    <row r="68">
      <c r="A68">
        <f>IF(ISNA(MATCH(55,Engine!$C$2:$C$622,0)),"",INDEX('Compliance Database'!$A$2:$A$622,MATCH(55,Engine!$C$2:$C$622,0)))</f>
        <v/>
      </c>
      <c r="B68">
        <f>IF(ISNA(MATCH(55,Engine!$C$2:$C$622,0)),"",INDEX('Compliance Database'!$B$2:$B$622,MATCH(55,Engine!$C$2:$C$622,0)))</f>
        <v/>
      </c>
      <c r="C68">
        <f>IF(ISNA(MATCH(55,Engine!$C$2:$C$622,0)),"",INDEX('Compliance Database'!$C$2:$C$622,MATCH(55,Engine!$C$2:$C$622,0)))</f>
        <v/>
      </c>
      <c r="D68" s="8">
        <f>IF(ISNA(MATCH(55,Engine!$C$2:$C$622,0)),"",INDEX('Compliance Database'!$D$2:$D$622,MATCH(55,Engine!$C$2:$C$622,0)))</f>
        <v/>
      </c>
      <c r="E68">
        <f>IF(ISNA(MATCH(55,Engine!$C$2:$C$622,0)),"",INDEX('Compliance Database'!$E$2:$E$622,MATCH(55,Engine!$C$2:$C$622,0)))</f>
        <v/>
      </c>
      <c r="F68">
        <f>IF(ISNA(MATCH(55,Engine!$C$2:$C$622,0)),"",INDEX('Compliance Database'!$F$2:$F$622,MATCH(55,Engine!$C$2:$C$622,0)))</f>
        <v/>
      </c>
      <c r="G68">
        <f>IF(ISNA(MATCH(55,Engine!$C$2:$C$622,0)),"",INDEX('Compliance Database'!$G$2:$G$622,MATCH(55,Engine!$C$2:$C$622,0)))</f>
        <v/>
      </c>
      <c r="H68">
        <f>IF(ISNA(MATCH(55,Engine!$C$2:$C$622,0)),"",INDEX('Compliance Database'!$H$2:$H$622,MATCH(55,Engine!$C$2:$C$622,0)))</f>
        <v/>
      </c>
      <c r="I68" s="8">
        <f>IF(ISNA(MATCH(55,Engine!$C$2:$C$622,0)),"",INDEX('Compliance Database'!$I$2:$I$622,MATCH(55,Engine!$C$2:$C$622,0)))</f>
        <v/>
      </c>
      <c r="J68" s="8">
        <f>IF(ISNA(MATCH(55,Engine!$C$2:$C$622,0)),"",INDEX('Compliance Database'!$J$2:$J$622,MATCH(55,Engine!$C$2:$C$622,0)))</f>
        <v/>
      </c>
      <c r="K68">
        <f>IF(ISNA(MATCH(55,Engine!$C$2:$C$622,0)),"",INDEX('Compliance Database'!$K$2:$K$622,MATCH(55,Engine!$C$2:$C$622,0)))</f>
        <v/>
      </c>
      <c r="L68" s="8">
        <f>IF(ISNA(MATCH(55,Engine!$C$2:$C$622,0)),"",INDEX('Compliance Database'!$L$2:$L$622,MATCH(55,Engine!$C$2:$C$622,0)))</f>
        <v/>
      </c>
      <c r="M68" s="8">
        <f>IF(ISNA(MATCH(55,Engine!$C$2:$C$622,0)),"",INDEX('Compliance Database'!$M$2:$M$622,MATCH(55,Engine!$C$2:$C$622,0)))</f>
        <v/>
      </c>
      <c r="N68" s="8">
        <f>IF(ISNA(MATCH(55,Engine!$C$2:$C$622,0)),"",INDEX('Compliance Database'!$N$2:$N$622,MATCH(55,Engine!$C$2:$C$622,0)))</f>
        <v/>
      </c>
      <c r="O68" s="8">
        <f>IF(ISNA(MATCH(55,Engine!$C$2:$C$622,0)),"",INDEX('Compliance Database'!$O$2:$O$622,MATCH(55,Engine!$C$2:$C$622,0)))</f>
        <v/>
      </c>
    </row>
    <row r="69">
      <c r="A69">
        <f>IF(ISNA(MATCH(56,Engine!$C$2:$C$622,0)),"",INDEX('Compliance Database'!$A$2:$A$622,MATCH(56,Engine!$C$2:$C$622,0)))</f>
        <v/>
      </c>
      <c r="B69">
        <f>IF(ISNA(MATCH(56,Engine!$C$2:$C$622,0)),"",INDEX('Compliance Database'!$B$2:$B$622,MATCH(56,Engine!$C$2:$C$622,0)))</f>
        <v/>
      </c>
      <c r="C69">
        <f>IF(ISNA(MATCH(56,Engine!$C$2:$C$622,0)),"",INDEX('Compliance Database'!$C$2:$C$622,MATCH(56,Engine!$C$2:$C$622,0)))</f>
        <v/>
      </c>
      <c r="D69" s="8">
        <f>IF(ISNA(MATCH(56,Engine!$C$2:$C$622,0)),"",INDEX('Compliance Database'!$D$2:$D$622,MATCH(56,Engine!$C$2:$C$622,0)))</f>
        <v/>
      </c>
      <c r="E69">
        <f>IF(ISNA(MATCH(56,Engine!$C$2:$C$622,0)),"",INDEX('Compliance Database'!$E$2:$E$622,MATCH(56,Engine!$C$2:$C$622,0)))</f>
        <v/>
      </c>
      <c r="F69">
        <f>IF(ISNA(MATCH(56,Engine!$C$2:$C$622,0)),"",INDEX('Compliance Database'!$F$2:$F$622,MATCH(56,Engine!$C$2:$C$622,0)))</f>
        <v/>
      </c>
      <c r="G69">
        <f>IF(ISNA(MATCH(56,Engine!$C$2:$C$622,0)),"",INDEX('Compliance Database'!$G$2:$G$622,MATCH(56,Engine!$C$2:$C$622,0)))</f>
        <v/>
      </c>
      <c r="H69">
        <f>IF(ISNA(MATCH(56,Engine!$C$2:$C$622,0)),"",INDEX('Compliance Database'!$H$2:$H$622,MATCH(56,Engine!$C$2:$C$622,0)))</f>
        <v/>
      </c>
      <c r="I69" s="8">
        <f>IF(ISNA(MATCH(56,Engine!$C$2:$C$622,0)),"",INDEX('Compliance Database'!$I$2:$I$622,MATCH(56,Engine!$C$2:$C$622,0)))</f>
        <v/>
      </c>
      <c r="J69" s="8">
        <f>IF(ISNA(MATCH(56,Engine!$C$2:$C$622,0)),"",INDEX('Compliance Database'!$J$2:$J$622,MATCH(56,Engine!$C$2:$C$622,0)))</f>
        <v/>
      </c>
      <c r="K69">
        <f>IF(ISNA(MATCH(56,Engine!$C$2:$C$622,0)),"",INDEX('Compliance Database'!$K$2:$K$622,MATCH(56,Engine!$C$2:$C$622,0)))</f>
        <v/>
      </c>
      <c r="L69" s="8">
        <f>IF(ISNA(MATCH(56,Engine!$C$2:$C$622,0)),"",INDEX('Compliance Database'!$L$2:$L$622,MATCH(56,Engine!$C$2:$C$622,0)))</f>
        <v/>
      </c>
      <c r="M69" s="8">
        <f>IF(ISNA(MATCH(56,Engine!$C$2:$C$622,0)),"",INDEX('Compliance Database'!$M$2:$M$622,MATCH(56,Engine!$C$2:$C$622,0)))</f>
        <v/>
      </c>
      <c r="N69" s="8">
        <f>IF(ISNA(MATCH(56,Engine!$C$2:$C$622,0)),"",INDEX('Compliance Database'!$N$2:$N$622,MATCH(56,Engine!$C$2:$C$622,0)))</f>
        <v/>
      </c>
      <c r="O69" s="8">
        <f>IF(ISNA(MATCH(56,Engine!$C$2:$C$622,0)),"",INDEX('Compliance Database'!$O$2:$O$622,MATCH(56,Engine!$C$2:$C$622,0)))</f>
        <v/>
      </c>
    </row>
    <row r="70">
      <c r="A70">
        <f>IF(ISNA(MATCH(57,Engine!$C$2:$C$622,0)),"",INDEX('Compliance Database'!$A$2:$A$622,MATCH(57,Engine!$C$2:$C$622,0)))</f>
        <v/>
      </c>
      <c r="B70">
        <f>IF(ISNA(MATCH(57,Engine!$C$2:$C$622,0)),"",INDEX('Compliance Database'!$B$2:$B$622,MATCH(57,Engine!$C$2:$C$622,0)))</f>
        <v/>
      </c>
      <c r="C70">
        <f>IF(ISNA(MATCH(57,Engine!$C$2:$C$622,0)),"",INDEX('Compliance Database'!$C$2:$C$622,MATCH(57,Engine!$C$2:$C$622,0)))</f>
        <v/>
      </c>
      <c r="D70" s="8">
        <f>IF(ISNA(MATCH(57,Engine!$C$2:$C$622,0)),"",INDEX('Compliance Database'!$D$2:$D$622,MATCH(57,Engine!$C$2:$C$622,0)))</f>
        <v/>
      </c>
      <c r="E70">
        <f>IF(ISNA(MATCH(57,Engine!$C$2:$C$622,0)),"",INDEX('Compliance Database'!$E$2:$E$622,MATCH(57,Engine!$C$2:$C$622,0)))</f>
        <v/>
      </c>
      <c r="F70">
        <f>IF(ISNA(MATCH(57,Engine!$C$2:$C$622,0)),"",INDEX('Compliance Database'!$F$2:$F$622,MATCH(57,Engine!$C$2:$C$622,0)))</f>
        <v/>
      </c>
      <c r="G70">
        <f>IF(ISNA(MATCH(57,Engine!$C$2:$C$622,0)),"",INDEX('Compliance Database'!$G$2:$G$622,MATCH(57,Engine!$C$2:$C$622,0)))</f>
        <v/>
      </c>
      <c r="H70">
        <f>IF(ISNA(MATCH(57,Engine!$C$2:$C$622,0)),"",INDEX('Compliance Database'!$H$2:$H$622,MATCH(57,Engine!$C$2:$C$622,0)))</f>
        <v/>
      </c>
      <c r="I70" s="8">
        <f>IF(ISNA(MATCH(57,Engine!$C$2:$C$622,0)),"",INDEX('Compliance Database'!$I$2:$I$622,MATCH(57,Engine!$C$2:$C$622,0)))</f>
        <v/>
      </c>
      <c r="J70" s="8">
        <f>IF(ISNA(MATCH(57,Engine!$C$2:$C$622,0)),"",INDEX('Compliance Database'!$J$2:$J$622,MATCH(57,Engine!$C$2:$C$622,0)))</f>
        <v/>
      </c>
      <c r="K70">
        <f>IF(ISNA(MATCH(57,Engine!$C$2:$C$622,0)),"",INDEX('Compliance Database'!$K$2:$K$622,MATCH(57,Engine!$C$2:$C$622,0)))</f>
        <v/>
      </c>
      <c r="L70" s="8">
        <f>IF(ISNA(MATCH(57,Engine!$C$2:$C$622,0)),"",INDEX('Compliance Database'!$L$2:$L$622,MATCH(57,Engine!$C$2:$C$622,0)))</f>
        <v/>
      </c>
      <c r="M70" s="8">
        <f>IF(ISNA(MATCH(57,Engine!$C$2:$C$622,0)),"",INDEX('Compliance Database'!$M$2:$M$622,MATCH(57,Engine!$C$2:$C$622,0)))</f>
        <v/>
      </c>
      <c r="N70" s="8">
        <f>IF(ISNA(MATCH(57,Engine!$C$2:$C$622,0)),"",INDEX('Compliance Database'!$N$2:$N$622,MATCH(57,Engine!$C$2:$C$622,0)))</f>
        <v/>
      </c>
      <c r="O70" s="8">
        <f>IF(ISNA(MATCH(57,Engine!$C$2:$C$622,0)),"",INDEX('Compliance Database'!$O$2:$O$622,MATCH(57,Engine!$C$2:$C$622,0)))</f>
        <v/>
      </c>
    </row>
    <row r="71">
      <c r="A71">
        <f>IF(ISNA(MATCH(58,Engine!$C$2:$C$622,0)),"",INDEX('Compliance Database'!$A$2:$A$622,MATCH(58,Engine!$C$2:$C$622,0)))</f>
        <v/>
      </c>
      <c r="B71">
        <f>IF(ISNA(MATCH(58,Engine!$C$2:$C$622,0)),"",INDEX('Compliance Database'!$B$2:$B$622,MATCH(58,Engine!$C$2:$C$622,0)))</f>
        <v/>
      </c>
      <c r="C71">
        <f>IF(ISNA(MATCH(58,Engine!$C$2:$C$622,0)),"",INDEX('Compliance Database'!$C$2:$C$622,MATCH(58,Engine!$C$2:$C$622,0)))</f>
        <v/>
      </c>
      <c r="D71" s="8">
        <f>IF(ISNA(MATCH(58,Engine!$C$2:$C$622,0)),"",INDEX('Compliance Database'!$D$2:$D$622,MATCH(58,Engine!$C$2:$C$622,0)))</f>
        <v/>
      </c>
      <c r="E71">
        <f>IF(ISNA(MATCH(58,Engine!$C$2:$C$622,0)),"",INDEX('Compliance Database'!$E$2:$E$622,MATCH(58,Engine!$C$2:$C$622,0)))</f>
        <v/>
      </c>
      <c r="F71">
        <f>IF(ISNA(MATCH(58,Engine!$C$2:$C$622,0)),"",INDEX('Compliance Database'!$F$2:$F$622,MATCH(58,Engine!$C$2:$C$622,0)))</f>
        <v/>
      </c>
      <c r="G71">
        <f>IF(ISNA(MATCH(58,Engine!$C$2:$C$622,0)),"",INDEX('Compliance Database'!$G$2:$G$622,MATCH(58,Engine!$C$2:$C$622,0)))</f>
        <v/>
      </c>
      <c r="H71">
        <f>IF(ISNA(MATCH(58,Engine!$C$2:$C$622,0)),"",INDEX('Compliance Database'!$H$2:$H$622,MATCH(58,Engine!$C$2:$C$622,0)))</f>
        <v/>
      </c>
      <c r="I71" s="8">
        <f>IF(ISNA(MATCH(58,Engine!$C$2:$C$622,0)),"",INDEX('Compliance Database'!$I$2:$I$622,MATCH(58,Engine!$C$2:$C$622,0)))</f>
        <v/>
      </c>
      <c r="J71" s="8">
        <f>IF(ISNA(MATCH(58,Engine!$C$2:$C$622,0)),"",INDEX('Compliance Database'!$J$2:$J$622,MATCH(58,Engine!$C$2:$C$622,0)))</f>
        <v/>
      </c>
      <c r="K71">
        <f>IF(ISNA(MATCH(58,Engine!$C$2:$C$622,0)),"",INDEX('Compliance Database'!$K$2:$K$622,MATCH(58,Engine!$C$2:$C$622,0)))</f>
        <v/>
      </c>
      <c r="L71" s="8">
        <f>IF(ISNA(MATCH(58,Engine!$C$2:$C$622,0)),"",INDEX('Compliance Database'!$L$2:$L$622,MATCH(58,Engine!$C$2:$C$622,0)))</f>
        <v/>
      </c>
      <c r="M71" s="8">
        <f>IF(ISNA(MATCH(58,Engine!$C$2:$C$622,0)),"",INDEX('Compliance Database'!$M$2:$M$622,MATCH(58,Engine!$C$2:$C$622,0)))</f>
        <v/>
      </c>
      <c r="N71" s="8">
        <f>IF(ISNA(MATCH(58,Engine!$C$2:$C$622,0)),"",INDEX('Compliance Database'!$N$2:$N$622,MATCH(58,Engine!$C$2:$C$622,0)))</f>
        <v/>
      </c>
      <c r="O71" s="8">
        <f>IF(ISNA(MATCH(58,Engine!$C$2:$C$622,0)),"",INDEX('Compliance Database'!$O$2:$O$622,MATCH(58,Engine!$C$2:$C$622,0)))</f>
        <v/>
      </c>
    </row>
    <row r="72">
      <c r="A72">
        <f>IF(ISNA(MATCH(59,Engine!$C$2:$C$622,0)),"",INDEX('Compliance Database'!$A$2:$A$622,MATCH(59,Engine!$C$2:$C$622,0)))</f>
        <v/>
      </c>
      <c r="B72">
        <f>IF(ISNA(MATCH(59,Engine!$C$2:$C$622,0)),"",INDEX('Compliance Database'!$B$2:$B$622,MATCH(59,Engine!$C$2:$C$622,0)))</f>
        <v/>
      </c>
      <c r="C72">
        <f>IF(ISNA(MATCH(59,Engine!$C$2:$C$622,0)),"",INDEX('Compliance Database'!$C$2:$C$622,MATCH(59,Engine!$C$2:$C$622,0)))</f>
        <v/>
      </c>
      <c r="D72" s="8">
        <f>IF(ISNA(MATCH(59,Engine!$C$2:$C$622,0)),"",INDEX('Compliance Database'!$D$2:$D$622,MATCH(59,Engine!$C$2:$C$622,0)))</f>
        <v/>
      </c>
      <c r="E72">
        <f>IF(ISNA(MATCH(59,Engine!$C$2:$C$622,0)),"",INDEX('Compliance Database'!$E$2:$E$622,MATCH(59,Engine!$C$2:$C$622,0)))</f>
        <v/>
      </c>
      <c r="F72">
        <f>IF(ISNA(MATCH(59,Engine!$C$2:$C$622,0)),"",INDEX('Compliance Database'!$F$2:$F$622,MATCH(59,Engine!$C$2:$C$622,0)))</f>
        <v/>
      </c>
      <c r="G72">
        <f>IF(ISNA(MATCH(59,Engine!$C$2:$C$622,0)),"",INDEX('Compliance Database'!$G$2:$G$622,MATCH(59,Engine!$C$2:$C$622,0)))</f>
        <v/>
      </c>
      <c r="H72">
        <f>IF(ISNA(MATCH(59,Engine!$C$2:$C$622,0)),"",INDEX('Compliance Database'!$H$2:$H$622,MATCH(59,Engine!$C$2:$C$622,0)))</f>
        <v/>
      </c>
      <c r="I72" s="8">
        <f>IF(ISNA(MATCH(59,Engine!$C$2:$C$622,0)),"",INDEX('Compliance Database'!$I$2:$I$622,MATCH(59,Engine!$C$2:$C$622,0)))</f>
        <v/>
      </c>
      <c r="J72" s="8">
        <f>IF(ISNA(MATCH(59,Engine!$C$2:$C$622,0)),"",INDEX('Compliance Database'!$J$2:$J$622,MATCH(59,Engine!$C$2:$C$622,0)))</f>
        <v/>
      </c>
      <c r="K72">
        <f>IF(ISNA(MATCH(59,Engine!$C$2:$C$622,0)),"",INDEX('Compliance Database'!$K$2:$K$622,MATCH(59,Engine!$C$2:$C$622,0)))</f>
        <v/>
      </c>
      <c r="L72" s="8">
        <f>IF(ISNA(MATCH(59,Engine!$C$2:$C$622,0)),"",INDEX('Compliance Database'!$L$2:$L$622,MATCH(59,Engine!$C$2:$C$622,0)))</f>
        <v/>
      </c>
      <c r="M72" s="8">
        <f>IF(ISNA(MATCH(59,Engine!$C$2:$C$622,0)),"",INDEX('Compliance Database'!$M$2:$M$622,MATCH(59,Engine!$C$2:$C$622,0)))</f>
        <v/>
      </c>
      <c r="N72" s="8">
        <f>IF(ISNA(MATCH(59,Engine!$C$2:$C$622,0)),"",INDEX('Compliance Database'!$N$2:$N$622,MATCH(59,Engine!$C$2:$C$622,0)))</f>
        <v/>
      </c>
      <c r="O72" s="8">
        <f>IF(ISNA(MATCH(59,Engine!$C$2:$C$622,0)),"",INDEX('Compliance Database'!$O$2:$O$622,MATCH(59,Engine!$C$2:$C$622,0)))</f>
        <v/>
      </c>
    </row>
    <row r="73">
      <c r="A73">
        <f>IF(ISNA(MATCH(60,Engine!$C$2:$C$622,0)),"",INDEX('Compliance Database'!$A$2:$A$622,MATCH(60,Engine!$C$2:$C$622,0)))</f>
        <v/>
      </c>
      <c r="B73">
        <f>IF(ISNA(MATCH(60,Engine!$C$2:$C$622,0)),"",INDEX('Compliance Database'!$B$2:$B$622,MATCH(60,Engine!$C$2:$C$622,0)))</f>
        <v/>
      </c>
      <c r="C73">
        <f>IF(ISNA(MATCH(60,Engine!$C$2:$C$622,0)),"",INDEX('Compliance Database'!$C$2:$C$622,MATCH(60,Engine!$C$2:$C$622,0)))</f>
        <v/>
      </c>
      <c r="D73" s="8">
        <f>IF(ISNA(MATCH(60,Engine!$C$2:$C$622,0)),"",INDEX('Compliance Database'!$D$2:$D$622,MATCH(60,Engine!$C$2:$C$622,0)))</f>
        <v/>
      </c>
      <c r="E73">
        <f>IF(ISNA(MATCH(60,Engine!$C$2:$C$622,0)),"",INDEX('Compliance Database'!$E$2:$E$622,MATCH(60,Engine!$C$2:$C$622,0)))</f>
        <v/>
      </c>
      <c r="F73">
        <f>IF(ISNA(MATCH(60,Engine!$C$2:$C$622,0)),"",INDEX('Compliance Database'!$F$2:$F$622,MATCH(60,Engine!$C$2:$C$622,0)))</f>
        <v/>
      </c>
      <c r="G73">
        <f>IF(ISNA(MATCH(60,Engine!$C$2:$C$622,0)),"",INDEX('Compliance Database'!$G$2:$G$622,MATCH(60,Engine!$C$2:$C$622,0)))</f>
        <v/>
      </c>
      <c r="H73">
        <f>IF(ISNA(MATCH(60,Engine!$C$2:$C$622,0)),"",INDEX('Compliance Database'!$H$2:$H$622,MATCH(60,Engine!$C$2:$C$622,0)))</f>
        <v/>
      </c>
      <c r="I73" s="8">
        <f>IF(ISNA(MATCH(60,Engine!$C$2:$C$622,0)),"",INDEX('Compliance Database'!$I$2:$I$622,MATCH(60,Engine!$C$2:$C$622,0)))</f>
        <v/>
      </c>
      <c r="J73" s="8">
        <f>IF(ISNA(MATCH(60,Engine!$C$2:$C$622,0)),"",INDEX('Compliance Database'!$J$2:$J$622,MATCH(60,Engine!$C$2:$C$622,0)))</f>
        <v/>
      </c>
      <c r="K73">
        <f>IF(ISNA(MATCH(60,Engine!$C$2:$C$622,0)),"",INDEX('Compliance Database'!$K$2:$K$622,MATCH(60,Engine!$C$2:$C$622,0)))</f>
        <v/>
      </c>
      <c r="L73" s="8">
        <f>IF(ISNA(MATCH(60,Engine!$C$2:$C$622,0)),"",INDEX('Compliance Database'!$L$2:$L$622,MATCH(60,Engine!$C$2:$C$622,0)))</f>
        <v/>
      </c>
      <c r="M73" s="8">
        <f>IF(ISNA(MATCH(60,Engine!$C$2:$C$622,0)),"",INDEX('Compliance Database'!$M$2:$M$622,MATCH(60,Engine!$C$2:$C$622,0)))</f>
        <v/>
      </c>
      <c r="N73" s="8">
        <f>IF(ISNA(MATCH(60,Engine!$C$2:$C$622,0)),"",INDEX('Compliance Database'!$N$2:$N$622,MATCH(60,Engine!$C$2:$C$622,0)))</f>
        <v/>
      </c>
      <c r="O73" s="8">
        <f>IF(ISNA(MATCH(60,Engine!$C$2:$C$622,0)),"",INDEX('Compliance Database'!$O$2:$O$622,MATCH(60,Engine!$C$2:$C$622,0)))</f>
        <v/>
      </c>
    </row>
    <row r="74">
      <c r="A74">
        <f>IF(ISNA(MATCH(61,Engine!$C$2:$C$622,0)),"",INDEX('Compliance Database'!$A$2:$A$622,MATCH(61,Engine!$C$2:$C$622,0)))</f>
        <v/>
      </c>
      <c r="B74">
        <f>IF(ISNA(MATCH(61,Engine!$C$2:$C$622,0)),"",INDEX('Compliance Database'!$B$2:$B$622,MATCH(61,Engine!$C$2:$C$622,0)))</f>
        <v/>
      </c>
      <c r="C74">
        <f>IF(ISNA(MATCH(61,Engine!$C$2:$C$622,0)),"",INDEX('Compliance Database'!$C$2:$C$622,MATCH(61,Engine!$C$2:$C$622,0)))</f>
        <v/>
      </c>
      <c r="D74" s="8">
        <f>IF(ISNA(MATCH(61,Engine!$C$2:$C$622,0)),"",INDEX('Compliance Database'!$D$2:$D$622,MATCH(61,Engine!$C$2:$C$622,0)))</f>
        <v/>
      </c>
      <c r="E74">
        <f>IF(ISNA(MATCH(61,Engine!$C$2:$C$622,0)),"",INDEX('Compliance Database'!$E$2:$E$622,MATCH(61,Engine!$C$2:$C$622,0)))</f>
        <v/>
      </c>
      <c r="F74">
        <f>IF(ISNA(MATCH(61,Engine!$C$2:$C$622,0)),"",INDEX('Compliance Database'!$F$2:$F$622,MATCH(61,Engine!$C$2:$C$622,0)))</f>
        <v/>
      </c>
      <c r="G74">
        <f>IF(ISNA(MATCH(61,Engine!$C$2:$C$622,0)),"",INDEX('Compliance Database'!$G$2:$G$622,MATCH(61,Engine!$C$2:$C$622,0)))</f>
        <v/>
      </c>
      <c r="H74">
        <f>IF(ISNA(MATCH(61,Engine!$C$2:$C$622,0)),"",INDEX('Compliance Database'!$H$2:$H$622,MATCH(61,Engine!$C$2:$C$622,0)))</f>
        <v/>
      </c>
      <c r="I74" s="8">
        <f>IF(ISNA(MATCH(61,Engine!$C$2:$C$622,0)),"",INDEX('Compliance Database'!$I$2:$I$622,MATCH(61,Engine!$C$2:$C$622,0)))</f>
        <v/>
      </c>
      <c r="J74" s="8">
        <f>IF(ISNA(MATCH(61,Engine!$C$2:$C$622,0)),"",INDEX('Compliance Database'!$J$2:$J$622,MATCH(61,Engine!$C$2:$C$622,0)))</f>
        <v/>
      </c>
      <c r="K74">
        <f>IF(ISNA(MATCH(61,Engine!$C$2:$C$622,0)),"",INDEX('Compliance Database'!$K$2:$K$622,MATCH(61,Engine!$C$2:$C$622,0)))</f>
        <v/>
      </c>
      <c r="L74" s="8">
        <f>IF(ISNA(MATCH(61,Engine!$C$2:$C$622,0)),"",INDEX('Compliance Database'!$L$2:$L$622,MATCH(61,Engine!$C$2:$C$622,0)))</f>
        <v/>
      </c>
      <c r="M74" s="8">
        <f>IF(ISNA(MATCH(61,Engine!$C$2:$C$622,0)),"",INDEX('Compliance Database'!$M$2:$M$622,MATCH(61,Engine!$C$2:$C$622,0)))</f>
        <v/>
      </c>
      <c r="N74" s="8">
        <f>IF(ISNA(MATCH(61,Engine!$C$2:$C$622,0)),"",INDEX('Compliance Database'!$N$2:$N$622,MATCH(61,Engine!$C$2:$C$622,0)))</f>
        <v/>
      </c>
      <c r="O74" s="8">
        <f>IF(ISNA(MATCH(61,Engine!$C$2:$C$622,0)),"",INDEX('Compliance Database'!$O$2:$O$622,MATCH(61,Engine!$C$2:$C$622,0)))</f>
        <v/>
      </c>
    </row>
    <row r="75">
      <c r="A75">
        <f>IF(ISNA(MATCH(62,Engine!$C$2:$C$622,0)),"",INDEX('Compliance Database'!$A$2:$A$622,MATCH(62,Engine!$C$2:$C$622,0)))</f>
        <v/>
      </c>
      <c r="B75">
        <f>IF(ISNA(MATCH(62,Engine!$C$2:$C$622,0)),"",INDEX('Compliance Database'!$B$2:$B$622,MATCH(62,Engine!$C$2:$C$622,0)))</f>
        <v/>
      </c>
      <c r="C75">
        <f>IF(ISNA(MATCH(62,Engine!$C$2:$C$622,0)),"",INDEX('Compliance Database'!$C$2:$C$622,MATCH(62,Engine!$C$2:$C$622,0)))</f>
        <v/>
      </c>
      <c r="D75" s="8">
        <f>IF(ISNA(MATCH(62,Engine!$C$2:$C$622,0)),"",INDEX('Compliance Database'!$D$2:$D$622,MATCH(62,Engine!$C$2:$C$622,0)))</f>
        <v/>
      </c>
      <c r="E75">
        <f>IF(ISNA(MATCH(62,Engine!$C$2:$C$622,0)),"",INDEX('Compliance Database'!$E$2:$E$622,MATCH(62,Engine!$C$2:$C$622,0)))</f>
        <v/>
      </c>
      <c r="F75">
        <f>IF(ISNA(MATCH(62,Engine!$C$2:$C$622,0)),"",INDEX('Compliance Database'!$F$2:$F$622,MATCH(62,Engine!$C$2:$C$622,0)))</f>
        <v/>
      </c>
      <c r="G75">
        <f>IF(ISNA(MATCH(62,Engine!$C$2:$C$622,0)),"",INDEX('Compliance Database'!$G$2:$G$622,MATCH(62,Engine!$C$2:$C$622,0)))</f>
        <v/>
      </c>
      <c r="H75">
        <f>IF(ISNA(MATCH(62,Engine!$C$2:$C$622,0)),"",INDEX('Compliance Database'!$H$2:$H$622,MATCH(62,Engine!$C$2:$C$622,0)))</f>
        <v/>
      </c>
      <c r="I75" s="8">
        <f>IF(ISNA(MATCH(62,Engine!$C$2:$C$622,0)),"",INDEX('Compliance Database'!$I$2:$I$622,MATCH(62,Engine!$C$2:$C$622,0)))</f>
        <v/>
      </c>
      <c r="J75" s="8">
        <f>IF(ISNA(MATCH(62,Engine!$C$2:$C$622,0)),"",INDEX('Compliance Database'!$J$2:$J$622,MATCH(62,Engine!$C$2:$C$622,0)))</f>
        <v/>
      </c>
      <c r="K75">
        <f>IF(ISNA(MATCH(62,Engine!$C$2:$C$622,0)),"",INDEX('Compliance Database'!$K$2:$K$622,MATCH(62,Engine!$C$2:$C$622,0)))</f>
        <v/>
      </c>
      <c r="L75" s="8">
        <f>IF(ISNA(MATCH(62,Engine!$C$2:$C$622,0)),"",INDEX('Compliance Database'!$L$2:$L$622,MATCH(62,Engine!$C$2:$C$622,0)))</f>
        <v/>
      </c>
      <c r="M75" s="8">
        <f>IF(ISNA(MATCH(62,Engine!$C$2:$C$622,0)),"",INDEX('Compliance Database'!$M$2:$M$622,MATCH(62,Engine!$C$2:$C$622,0)))</f>
        <v/>
      </c>
      <c r="N75" s="8">
        <f>IF(ISNA(MATCH(62,Engine!$C$2:$C$622,0)),"",INDEX('Compliance Database'!$N$2:$N$622,MATCH(62,Engine!$C$2:$C$622,0)))</f>
        <v/>
      </c>
      <c r="O75" s="8">
        <f>IF(ISNA(MATCH(62,Engine!$C$2:$C$622,0)),"",INDEX('Compliance Database'!$O$2:$O$622,MATCH(62,Engine!$C$2:$C$622,0)))</f>
        <v/>
      </c>
    </row>
    <row r="76">
      <c r="A76">
        <f>IF(ISNA(MATCH(63,Engine!$C$2:$C$622,0)),"",INDEX('Compliance Database'!$A$2:$A$622,MATCH(63,Engine!$C$2:$C$622,0)))</f>
        <v/>
      </c>
      <c r="B76">
        <f>IF(ISNA(MATCH(63,Engine!$C$2:$C$622,0)),"",INDEX('Compliance Database'!$B$2:$B$622,MATCH(63,Engine!$C$2:$C$622,0)))</f>
        <v/>
      </c>
      <c r="C76">
        <f>IF(ISNA(MATCH(63,Engine!$C$2:$C$622,0)),"",INDEX('Compliance Database'!$C$2:$C$622,MATCH(63,Engine!$C$2:$C$622,0)))</f>
        <v/>
      </c>
      <c r="D76" s="8">
        <f>IF(ISNA(MATCH(63,Engine!$C$2:$C$622,0)),"",INDEX('Compliance Database'!$D$2:$D$622,MATCH(63,Engine!$C$2:$C$622,0)))</f>
        <v/>
      </c>
      <c r="E76">
        <f>IF(ISNA(MATCH(63,Engine!$C$2:$C$622,0)),"",INDEX('Compliance Database'!$E$2:$E$622,MATCH(63,Engine!$C$2:$C$622,0)))</f>
        <v/>
      </c>
      <c r="F76">
        <f>IF(ISNA(MATCH(63,Engine!$C$2:$C$622,0)),"",INDEX('Compliance Database'!$F$2:$F$622,MATCH(63,Engine!$C$2:$C$622,0)))</f>
        <v/>
      </c>
      <c r="G76">
        <f>IF(ISNA(MATCH(63,Engine!$C$2:$C$622,0)),"",INDEX('Compliance Database'!$G$2:$G$622,MATCH(63,Engine!$C$2:$C$622,0)))</f>
        <v/>
      </c>
      <c r="H76">
        <f>IF(ISNA(MATCH(63,Engine!$C$2:$C$622,0)),"",INDEX('Compliance Database'!$H$2:$H$622,MATCH(63,Engine!$C$2:$C$622,0)))</f>
        <v/>
      </c>
      <c r="I76" s="8">
        <f>IF(ISNA(MATCH(63,Engine!$C$2:$C$622,0)),"",INDEX('Compliance Database'!$I$2:$I$622,MATCH(63,Engine!$C$2:$C$622,0)))</f>
        <v/>
      </c>
      <c r="J76" s="8">
        <f>IF(ISNA(MATCH(63,Engine!$C$2:$C$622,0)),"",INDEX('Compliance Database'!$J$2:$J$622,MATCH(63,Engine!$C$2:$C$622,0)))</f>
        <v/>
      </c>
      <c r="K76">
        <f>IF(ISNA(MATCH(63,Engine!$C$2:$C$622,0)),"",INDEX('Compliance Database'!$K$2:$K$622,MATCH(63,Engine!$C$2:$C$622,0)))</f>
        <v/>
      </c>
      <c r="L76" s="8">
        <f>IF(ISNA(MATCH(63,Engine!$C$2:$C$622,0)),"",INDEX('Compliance Database'!$L$2:$L$622,MATCH(63,Engine!$C$2:$C$622,0)))</f>
        <v/>
      </c>
      <c r="M76" s="8">
        <f>IF(ISNA(MATCH(63,Engine!$C$2:$C$622,0)),"",INDEX('Compliance Database'!$M$2:$M$622,MATCH(63,Engine!$C$2:$C$622,0)))</f>
        <v/>
      </c>
      <c r="N76" s="8">
        <f>IF(ISNA(MATCH(63,Engine!$C$2:$C$622,0)),"",INDEX('Compliance Database'!$N$2:$N$622,MATCH(63,Engine!$C$2:$C$622,0)))</f>
        <v/>
      </c>
      <c r="O76" s="8">
        <f>IF(ISNA(MATCH(63,Engine!$C$2:$C$622,0)),"",INDEX('Compliance Database'!$O$2:$O$622,MATCH(63,Engine!$C$2:$C$622,0)))</f>
        <v/>
      </c>
    </row>
    <row r="77">
      <c r="A77">
        <f>IF(ISNA(MATCH(64,Engine!$C$2:$C$622,0)),"",INDEX('Compliance Database'!$A$2:$A$622,MATCH(64,Engine!$C$2:$C$622,0)))</f>
        <v/>
      </c>
      <c r="B77">
        <f>IF(ISNA(MATCH(64,Engine!$C$2:$C$622,0)),"",INDEX('Compliance Database'!$B$2:$B$622,MATCH(64,Engine!$C$2:$C$622,0)))</f>
        <v/>
      </c>
      <c r="C77">
        <f>IF(ISNA(MATCH(64,Engine!$C$2:$C$622,0)),"",INDEX('Compliance Database'!$C$2:$C$622,MATCH(64,Engine!$C$2:$C$622,0)))</f>
        <v/>
      </c>
      <c r="D77" s="8">
        <f>IF(ISNA(MATCH(64,Engine!$C$2:$C$622,0)),"",INDEX('Compliance Database'!$D$2:$D$622,MATCH(64,Engine!$C$2:$C$622,0)))</f>
        <v/>
      </c>
      <c r="E77">
        <f>IF(ISNA(MATCH(64,Engine!$C$2:$C$622,0)),"",INDEX('Compliance Database'!$E$2:$E$622,MATCH(64,Engine!$C$2:$C$622,0)))</f>
        <v/>
      </c>
      <c r="F77">
        <f>IF(ISNA(MATCH(64,Engine!$C$2:$C$622,0)),"",INDEX('Compliance Database'!$F$2:$F$622,MATCH(64,Engine!$C$2:$C$622,0)))</f>
        <v/>
      </c>
      <c r="G77">
        <f>IF(ISNA(MATCH(64,Engine!$C$2:$C$622,0)),"",INDEX('Compliance Database'!$G$2:$G$622,MATCH(64,Engine!$C$2:$C$622,0)))</f>
        <v/>
      </c>
      <c r="H77">
        <f>IF(ISNA(MATCH(64,Engine!$C$2:$C$622,0)),"",INDEX('Compliance Database'!$H$2:$H$622,MATCH(64,Engine!$C$2:$C$622,0)))</f>
        <v/>
      </c>
      <c r="I77" s="8">
        <f>IF(ISNA(MATCH(64,Engine!$C$2:$C$622,0)),"",INDEX('Compliance Database'!$I$2:$I$622,MATCH(64,Engine!$C$2:$C$622,0)))</f>
        <v/>
      </c>
      <c r="J77" s="8">
        <f>IF(ISNA(MATCH(64,Engine!$C$2:$C$622,0)),"",INDEX('Compliance Database'!$J$2:$J$622,MATCH(64,Engine!$C$2:$C$622,0)))</f>
        <v/>
      </c>
      <c r="K77">
        <f>IF(ISNA(MATCH(64,Engine!$C$2:$C$622,0)),"",INDEX('Compliance Database'!$K$2:$K$622,MATCH(64,Engine!$C$2:$C$622,0)))</f>
        <v/>
      </c>
      <c r="L77" s="8">
        <f>IF(ISNA(MATCH(64,Engine!$C$2:$C$622,0)),"",INDEX('Compliance Database'!$L$2:$L$622,MATCH(64,Engine!$C$2:$C$622,0)))</f>
        <v/>
      </c>
      <c r="M77" s="8">
        <f>IF(ISNA(MATCH(64,Engine!$C$2:$C$622,0)),"",INDEX('Compliance Database'!$M$2:$M$622,MATCH(64,Engine!$C$2:$C$622,0)))</f>
        <v/>
      </c>
      <c r="N77" s="8">
        <f>IF(ISNA(MATCH(64,Engine!$C$2:$C$622,0)),"",INDEX('Compliance Database'!$N$2:$N$622,MATCH(64,Engine!$C$2:$C$622,0)))</f>
        <v/>
      </c>
      <c r="O77" s="8">
        <f>IF(ISNA(MATCH(64,Engine!$C$2:$C$622,0)),"",INDEX('Compliance Database'!$O$2:$O$622,MATCH(64,Engine!$C$2:$C$622,0)))</f>
        <v/>
      </c>
    </row>
    <row r="78">
      <c r="A78">
        <f>IF(ISNA(MATCH(65,Engine!$C$2:$C$622,0)),"",INDEX('Compliance Database'!$A$2:$A$622,MATCH(65,Engine!$C$2:$C$622,0)))</f>
        <v/>
      </c>
      <c r="B78">
        <f>IF(ISNA(MATCH(65,Engine!$C$2:$C$622,0)),"",INDEX('Compliance Database'!$B$2:$B$622,MATCH(65,Engine!$C$2:$C$622,0)))</f>
        <v/>
      </c>
      <c r="C78">
        <f>IF(ISNA(MATCH(65,Engine!$C$2:$C$622,0)),"",INDEX('Compliance Database'!$C$2:$C$622,MATCH(65,Engine!$C$2:$C$622,0)))</f>
        <v/>
      </c>
      <c r="D78" s="8">
        <f>IF(ISNA(MATCH(65,Engine!$C$2:$C$622,0)),"",INDEX('Compliance Database'!$D$2:$D$622,MATCH(65,Engine!$C$2:$C$622,0)))</f>
        <v/>
      </c>
      <c r="E78">
        <f>IF(ISNA(MATCH(65,Engine!$C$2:$C$622,0)),"",INDEX('Compliance Database'!$E$2:$E$622,MATCH(65,Engine!$C$2:$C$622,0)))</f>
        <v/>
      </c>
      <c r="F78">
        <f>IF(ISNA(MATCH(65,Engine!$C$2:$C$622,0)),"",INDEX('Compliance Database'!$F$2:$F$622,MATCH(65,Engine!$C$2:$C$622,0)))</f>
        <v/>
      </c>
      <c r="G78">
        <f>IF(ISNA(MATCH(65,Engine!$C$2:$C$622,0)),"",INDEX('Compliance Database'!$G$2:$G$622,MATCH(65,Engine!$C$2:$C$622,0)))</f>
        <v/>
      </c>
      <c r="H78">
        <f>IF(ISNA(MATCH(65,Engine!$C$2:$C$622,0)),"",INDEX('Compliance Database'!$H$2:$H$622,MATCH(65,Engine!$C$2:$C$622,0)))</f>
        <v/>
      </c>
      <c r="I78" s="8">
        <f>IF(ISNA(MATCH(65,Engine!$C$2:$C$622,0)),"",INDEX('Compliance Database'!$I$2:$I$622,MATCH(65,Engine!$C$2:$C$622,0)))</f>
        <v/>
      </c>
      <c r="J78" s="8">
        <f>IF(ISNA(MATCH(65,Engine!$C$2:$C$622,0)),"",INDEX('Compliance Database'!$J$2:$J$622,MATCH(65,Engine!$C$2:$C$622,0)))</f>
        <v/>
      </c>
      <c r="K78">
        <f>IF(ISNA(MATCH(65,Engine!$C$2:$C$622,0)),"",INDEX('Compliance Database'!$K$2:$K$622,MATCH(65,Engine!$C$2:$C$622,0)))</f>
        <v/>
      </c>
      <c r="L78" s="8">
        <f>IF(ISNA(MATCH(65,Engine!$C$2:$C$622,0)),"",INDEX('Compliance Database'!$L$2:$L$622,MATCH(65,Engine!$C$2:$C$622,0)))</f>
        <v/>
      </c>
      <c r="M78" s="8">
        <f>IF(ISNA(MATCH(65,Engine!$C$2:$C$622,0)),"",INDEX('Compliance Database'!$M$2:$M$622,MATCH(65,Engine!$C$2:$C$622,0)))</f>
        <v/>
      </c>
      <c r="N78" s="8">
        <f>IF(ISNA(MATCH(65,Engine!$C$2:$C$622,0)),"",INDEX('Compliance Database'!$N$2:$N$622,MATCH(65,Engine!$C$2:$C$622,0)))</f>
        <v/>
      </c>
      <c r="O78" s="8">
        <f>IF(ISNA(MATCH(65,Engine!$C$2:$C$622,0)),"",INDEX('Compliance Database'!$O$2:$O$622,MATCH(65,Engine!$C$2:$C$622,0)))</f>
        <v/>
      </c>
    </row>
    <row r="79">
      <c r="A79">
        <f>IF(ISNA(MATCH(66,Engine!$C$2:$C$622,0)),"",INDEX('Compliance Database'!$A$2:$A$622,MATCH(66,Engine!$C$2:$C$622,0)))</f>
        <v/>
      </c>
      <c r="B79">
        <f>IF(ISNA(MATCH(66,Engine!$C$2:$C$622,0)),"",INDEX('Compliance Database'!$B$2:$B$622,MATCH(66,Engine!$C$2:$C$622,0)))</f>
        <v/>
      </c>
      <c r="C79">
        <f>IF(ISNA(MATCH(66,Engine!$C$2:$C$622,0)),"",INDEX('Compliance Database'!$C$2:$C$622,MATCH(66,Engine!$C$2:$C$622,0)))</f>
        <v/>
      </c>
      <c r="D79" s="8">
        <f>IF(ISNA(MATCH(66,Engine!$C$2:$C$622,0)),"",INDEX('Compliance Database'!$D$2:$D$622,MATCH(66,Engine!$C$2:$C$622,0)))</f>
        <v/>
      </c>
      <c r="E79">
        <f>IF(ISNA(MATCH(66,Engine!$C$2:$C$622,0)),"",INDEX('Compliance Database'!$E$2:$E$622,MATCH(66,Engine!$C$2:$C$622,0)))</f>
        <v/>
      </c>
      <c r="F79">
        <f>IF(ISNA(MATCH(66,Engine!$C$2:$C$622,0)),"",INDEX('Compliance Database'!$F$2:$F$622,MATCH(66,Engine!$C$2:$C$622,0)))</f>
        <v/>
      </c>
      <c r="G79">
        <f>IF(ISNA(MATCH(66,Engine!$C$2:$C$622,0)),"",INDEX('Compliance Database'!$G$2:$G$622,MATCH(66,Engine!$C$2:$C$622,0)))</f>
        <v/>
      </c>
      <c r="H79">
        <f>IF(ISNA(MATCH(66,Engine!$C$2:$C$622,0)),"",INDEX('Compliance Database'!$H$2:$H$622,MATCH(66,Engine!$C$2:$C$622,0)))</f>
        <v/>
      </c>
      <c r="I79" s="8">
        <f>IF(ISNA(MATCH(66,Engine!$C$2:$C$622,0)),"",INDEX('Compliance Database'!$I$2:$I$622,MATCH(66,Engine!$C$2:$C$622,0)))</f>
        <v/>
      </c>
      <c r="J79" s="8">
        <f>IF(ISNA(MATCH(66,Engine!$C$2:$C$622,0)),"",INDEX('Compliance Database'!$J$2:$J$622,MATCH(66,Engine!$C$2:$C$622,0)))</f>
        <v/>
      </c>
      <c r="K79">
        <f>IF(ISNA(MATCH(66,Engine!$C$2:$C$622,0)),"",INDEX('Compliance Database'!$K$2:$K$622,MATCH(66,Engine!$C$2:$C$622,0)))</f>
        <v/>
      </c>
      <c r="L79" s="8">
        <f>IF(ISNA(MATCH(66,Engine!$C$2:$C$622,0)),"",INDEX('Compliance Database'!$L$2:$L$622,MATCH(66,Engine!$C$2:$C$622,0)))</f>
        <v/>
      </c>
      <c r="M79" s="8">
        <f>IF(ISNA(MATCH(66,Engine!$C$2:$C$622,0)),"",INDEX('Compliance Database'!$M$2:$M$622,MATCH(66,Engine!$C$2:$C$622,0)))</f>
        <v/>
      </c>
      <c r="N79" s="8">
        <f>IF(ISNA(MATCH(66,Engine!$C$2:$C$622,0)),"",INDEX('Compliance Database'!$N$2:$N$622,MATCH(66,Engine!$C$2:$C$622,0)))</f>
        <v/>
      </c>
      <c r="O79" s="8">
        <f>IF(ISNA(MATCH(66,Engine!$C$2:$C$622,0)),"",INDEX('Compliance Database'!$O$2:$O$622,MATCH(66,Engine!$C$2:$C$622,0)))</f>
        <v/>
      </c>
    </row>
    <row r="80">
      <c r="A80">
        <f>IF(ISNA(MATCH(67,Engine!$C$2:$C$622,0)),"",INDEX('Compliance Database'!$A$2:$A$622,MATCH(67,Engine!$C$2:$C$622,0)))</f>
        <v/>
      </c>
      <c r="B80">
        <f>IF(ISNA(MATCH(67,Engine!$C$2:$C$622,0)),"",INDEX('Compliance Database'!$B$2:$B$622,MATCH(67,Engine!$C$2:$C$622,0)))</f>
        <v/>
      </c>
      <c r="C80">
        <f>IF(ISNA(MATCH(67,Engine!$C$2:$C$622,0)),"",INDEX('Compliance Database'!$C$2:$C$622,MATCH(67,Engine!$C$2:$C$622,0)))</f>
        <v/>
      </c>
      <c r="D80" s="8">
        <f>IF(ISNA(MATCH(67,Engine!$C$2:$C$622,0)),"",INDEX('Compliance Database'!$D$2:$D$622,MATCH(67,Engine!$C$2:$C$622,0)))</f>
        <v/>
      </c>
      <c r="E80">
        <f>IF(ISNA(MATCH(67,Engine!$C$2:$C$622,0)),"",INDEX('Compliance Database'!$E$2:$E$622,MATCH(67,Engine!$C$2:$C$622,0)))</f>
        <v/>
      </c>
      <c r="F80">
        <f>IF(ISNA(MATCH(67,Engine!$C$2:$C$622,0)),"",INDEX('Compliance Database'!$F$2:$F$622,MATCH(67,Engine!$C$2:$C$622,0)))</f>
        <v/>
      </c>
      <c r="G80">
        <f>IF(ISNA(MATCH(67,Engine!$C$2:$C$622,0)),"",INDEX('Compliance Database'!$G$2:$G$622,MATCH(67,Engine!$C$2:$C$622,0)))</f>
        <v/>
      </c>
      <c r="H80">
        <f>IF(ISNA(MATCH(67,Engine!$C$2:$C$622,0)),"",INDEX('Compliance Database'!$H$2:$H$622,MATCH(67,Engine!$C$2:$C$622,0)))</f>
        <v/>
      </c>
      <c r="I80" s="8">
        <f>IF(ISNA(MATCH(67,Engine!$C$2:$C$622,0)),"",INDEX('Compliance Database'!$I$2:$I$622,MATCH(67,Engine!$C$2:$C$622,0)))</f>
        <v/>
      </c>
      <c r="J80" s="8">
        <f>IF(ISNA(MATCH(67,Engine!$C$2:$C$622,0)),"",INDEX('Compliance Database'!$J$2:$J$622,MATCH(67,Engine!$C$2:$C$622,0)))</f>
        <v/>
      </c>
      <c r="K80">
        <f>IF(ISNA(MATCH(67,Engine!$C$2:$C$622,0)),"",INDEX('Compliance Database'!$K$2:$K$622,MATCH(67,Engine!$C$2:$C$622,0)))</f>
        <v/>
      </c>
      <c r="L80" s="8">
        <f>IF(ISNA(MATCH(67,Engine!$C$2:$C$622,0)),"",INDEX('Compliance Database'!$L$2:$L$622,MATCH(67,Engine!$C$2:$C$622,0)))</f>
        <v/>
      </c>
      <c r="M80" s="8">
        <f>IF(ISNA(MATCH(67,Engine!$C$2:$C$622,0)),"",INDEX('Compliance Database'!$M$2:$M$622,MATCH(67,Engine!$C$2:$C$622,0)))</f>
        <v/>
      </c>
      <c r="N80" s="8">
        <f>IF(ISNA(MATCH(67,Engine!$C$2:$C$622,0)),"",INDEX('Compliance Database'!$N$2:$N$622,MATCH(67,Engine!$C$2:$C$622,0)))</f>
        <v/>
      </c>
      <c r="O80" s="8">
        <f>IF(ISNA(MATCH(67,Engine!$C$2:$C$622,0)),"",INDEX('Compliance Database'!$O$2:$O$622,MATCH(67,Engine!$C$2:$C$622,0)))</f>
        <v/>
      </c>
    </row>
    <row r="81">
      <c r="A81">
        <f>IF(ISNA(MATCH(68,Engine!$C$2:$C$622,0)),"",INDEX('Compliance Database'!$A$2:$A$622,MATCH(68,Engine!$C$2:$C$622,0)))</f>
        <v/>
      </c>
      <c r="B81">
        <f>IF(ISNA(MATCH(68,Engine!$C$2:$C$622,0)),"",INDEX('Compliance Database'!$B$2:$B$622,MATCH(68,Engine!$C$2:$C$622,0)))</f>
        <v/>
      </c>
      <c r="C81">
        <f>IF(ISNA(MATCH(68,Engine!$C$2:$C$622,0)),"",INDEX('Compliance Database'!$C$2:$C$622,MATCH(68,Engine!$C$2:$C$622,0)))</f>
        <v/>
      </c>
      <c r="D81" s="8">
        <f>IF(ISNA(MATCH(68,Engine!$C$2:$C$622,0)),"",INDEX('Compliance Database'!$D$2:$D$622,MATCH(68,Engine!$C$2:$C$622,0)))</f>
        <v/>
      </c>
      <c r="E81">
        <f>IF(ISNA(MATCH(68,Engine!$C$2:$C$622,0)),"",INDEX('Compliance Database'!$E$2:$E$622,MATCH(68,Engine!$C$2:$C$622,0)))</f>
        <v/>
      </c>
      <c r="F81">
        <f>IF(ISNA(MATCH(68,Engine!$C$2:$C$622,0)),"",INDEX('Compliance Database'!$F$2:$F$622,MATCH(68,Engine!$C$2:$C$622,0)))</f>
        <v/>
      </c>
      <c r="G81">
        <f>IF(ISNA(MATCH(68,Engine!$C$2:$C$622,0)),"",INDEX('Compliance Database'!$G$2:$G$622,MATCH(68,Engine!$C$2:$C$622,0)))</f>
        <v/>
      </c>
      <c r="H81">
        <f>IF(ISNA(MATCH(68,Engine!$C$2:$C$622,0)),"",INDEX('Compliance Database'!$H$2:$H$622,MATCH(68,Engine!$C$2:$C$622,0)))</f>
        <v/>
      </c>
      <c r="I81" s="8">
        <f>IF(ISNA(MATCH(68,Engine!$C$2:$C$622,0)),"",INDEX('Compliance Database'!$I$2:$I$622,MATCH(68,Engine!$C$2:$C$622,0)))</f>
        <v/>
      </c>
      <c r="J81" s="8">
        <f>IF(ISNA(MATCH(68,Engine!$C$2:$C$622,0)),"",INDEX('Compliance Database'!$J$2:$J$622,MATCH(68,Engine!$C$2:$C$622,0)))</f>
        <v/>
      </c>
      <c r="K81">
        <f>IF(ISNA(MATCH(68,Engine!$C$2:$C$622,0)),"",INDEX('Compliance Database'!$K$2:$K$622,MATCH(68,Engine!$C$2:$C$622,0)))</f>
        <v/>
      </c>
      <c r="L81" s="8">
        <f>IF(ISNA(MATCH(68,Engine!$C$2:$C$622,0)),"",INDEX('Compliance Database'!$L$2:$L$622,MATCH(68,Engine!$C$2:$C$622,0)))</f>
        <v/>
      </c>
      <c r="M81" s="8">
        <f>IF(ISNA(MATCH(68,Engine!$C$2:$C$622,0)),"",INDEX('Compliance Database'!$M$2:$M$622,MATCH(68,Engine!$C$2:$C$622,0)))</f>
        <v/>
      </c>
      <c r="N81" s="8">
        <f>IF(ISNA(MATCH(68,Engine!$C$2:$C$622,0)),"",INDEX('Compliance Database'!$N$2:$N$622,MATCH(68,Engine!$C$2:$C$622,0)))</f>
        <v/>
      </c>
      <c r="O81" s="8">
        <f>IF(ISNA(MATCH(68,Engine!$C$2:$C$622,0)),"",INDEX('Compliance Database'!$O$2:$O$622,MATCH(68,Engine!$C$2:$C$622,0)))</f>
        <v/>
      </c>
    </row>
    <row r="82">
      <c r="A82">
        <f>IF(ISNA(MATCH(69,Engine!$C$2:$C$622,0)),"",INDEX('Compliance Database'!$A$2:$A$622,MATCH(69,Engine!$C$2:$C$622,0)))</f>
        <v/>
      </c>
      <c r="B82">
        <f>IF(ISNA(MATCH(69,Engine!$C$2:$C$622,0)),"",INDEX('Compliance Database'!$B$2:$B$622,MATCH(69,Engine!$C$2:$C$622,0)))</f>
        <v/>
      </c>
      <c r="C82">
        <f>IF(ISNA(MATCH(69,Engine!$C$2:$C$622,0)),"",INDEX('Compliance Database'!$C$2:$C$622,MATCH(69,Engine!$C$2:$C$622,0)))</f>
        <v/>
      </c>
      <c r="D82" s="8">
        <f>IF(ISNA(MATCH(69,Engine!$C$2:$C$622,0)),"",INDEX('Compliance Database'!$D$2:$D$622,MATCH(69,Engine!$C$2:$C$622,0)))</f>
        <v/>
      </c>
      <c r="E82">
        <f>IF(ISNA(MATCH(69,Engine!$C$2:$C$622,0)),"",INDEX('Compliance Database'!$E$2:$E$622,MATCH(69,Engine!$C$2:$C$622,0)))</f>
        <v/>
      </c>
      <c r="F82">
        <f>IF(ISNA(MATCH(69,Engine!$C$2:$C$622,0)),"",INDEX('Compliance Database'!$F$2:$F$622,MATCH(69,Engine!$C$2:$C$622,0)))</f>
        <v/>
      </c>
      <c r="G82">
        <f>IF(ISNA(MATCH(69,Engine!$C$2:$C$622,0)),"",INDEX('Compliance Database'!$G$2:$G$622,MATCH(69,Engine!$C$2:$C$622,0)))</f>
        <v/>
      </c>
      <c r="H82">
        <f>IF(ISNA(MATCH(69,Engine!$C$2:$C$622,0)),"",INDEX('Compliance Database'!$H$2:$H$622,MATCH(69,Engine!$C$2:$C$622,0)))</f>
        <v/>
      </c>
      <c r="I82" s="8">
        <f>IF(ISNA(MATCH(69,Engine!$C$2:$C$622,0)),"",INDEX('Compliance Database'!$I$2:$I$622,MATCH(69,Engine!$C$2:$C$622,0)))</f>
        <v/>
      </c>
      <c r="J82" s="8">
        <f>IF(ISNA(MATCH(69,Engine!$C$2:$C$622,0)),"",INDEX('Compliance Database'!$J$2:$J$622,MATCH(69,Engine!$C$2:$C$622,0)))</f>
        <v/>
      </c>
      <c r="K82">
        <f>IF(ISNA(MATCH(69,Engine!$C$2:$C$622,0)),"",INDEX('Compliance Database'!$K$2:$K$622,MATCH(69,Engine!$C$2:$C$622,0)))</f>
        <v/>
      </c>
      <c r="L82" s="8">
        <f>IF(ISNA(MATCH(69,Engine!$C$2:$C$622,0)),"",INDEX('Compliance Database'!$L$2:$L$622,MATCH(69,Engine!$C$2:$C$622,0)))</f>
        <v/>
      </c>
      <c r="M82" s="8">
        <f>IF(ISNA(MATCH(69,Engine!$C$2:$C$622,0)),"",INDEX('Compliance Database'!$M$2:$M$622,MATCH(69,Engine!$C$2:$C$622,0)))</f>
        <v/>
      </c>
      <c r="N82" s="8">
        <f>IF(ISNA(MATCH(69,Engine!$C$2:$C$622,0)),"",INDEX('Compliance Database'!$N$2:$N$622,MATCH(69,Engine!$C$2:$C$622,0)))</f>
        <v/>
      </c>
      <c r="O82" s="8">
        <f>IF(ISNA(MATCH(69,Engine!$C$2:$C$622,0)),"",INDEX('Compliance Database'!$O$2:$O$622,MATCH(69,Engine!$C$2:$C$622,0)))</f>
        <v/>
      </c>
    </row>
    <row r="83">
      <c r="A83">
        <f>IF(ISNA(MATCH(70,Engine!$C$2:$C$622,0)),"",INDEX('Compliance Database'!$A$2:$A$622,MATCH(70,Engine!$C$2:$C$622,0)))</f>
        <v/>
      </c>
      <c r="B83">
        <f>IF(ISNA(MATCH(70,Engine!$C$2:$C$622,0)),"",INDEX('Compliance Database'!$B$2:$B$622,MATCH(70,Engine!$C$2:$C$622,0)))</f>
        <v/>
      </c>
      <c r="C83">
        <f>IF(ISNA(MATCH(70,Engine!$C$2:$C$622,0)),"",INDEX('Compliance Database'!$C$2:$C$622,MATCH(70,Engine!$C$2:$C$622,0)))</f>
        <v/>
      </c>
      <c r="D83" s="8">
        <f>IF(ISNA(MATCH(70,Engine!$C$2:$C$622,0)),"",INDEX('Compliance Database'!$D$2:$D$622,MATCH(70,Engine!$C$2:$C$622,0)))</f>
        <v/>
      </c>
      <c r="E83">
        <f>IF(ISNA(MATCH(70,Engine!$C$2:$C$622,0)),"",INDEX('Compliance Database'!$E$2:$E$622,MATCH(70,Engine!$C$2:$C$622,0)))</f>
        <v/>
      </c>
      <c r="F83">
        <f>IF(ISNA(MATCH(70,Engine!$C$2:$C$622,0)),"",INDEX('Compliance Database'!$F$2:$F$622,MATCH(70,Engine!$C$2:$C$622,0)))</f>
        <v/>
      </c>
      <c r="G83">
        <f>IF(ISNA(MATCH(70,Engine!$C$2:$C$622,0)),"",INDEX('Compliance Database'!$G$2:$G$622,MATCH(70,Engine!$C$2:$C$622,0)))</f>
        <v/>
      </c>
      <c r="H83">
        <f>IF(ISNA(MATCH(70,Engine!$C$2:$C$622,0)),"",INDEX('Compliance Database'!$H$2:$H$622,MATCH(70,Engine!$C$2:$C$622,0)))</f>
        <v/>
      </c>
      <c r="I83" s="8">
        <f>IF(ISNA(MATCH(70,Engine!$C$2:$C$622,0)),"",INDEX('Compliance Database'!$I$2:$I$622,MATCH(70,Engine!$C$2:$C$622,0)))</f>
        <v/>
      </c>
      <c r="J83" s="8">
        <f>IF(ISNA(MATCH(70,Engine!$C$2:$C$622,0)),"",INDEX('Compliance Database'!$J$2:$J$622,MATCH(70,Engine!$C$2:$C$622,0)))</f>
        <v/>
      </c>
      <c r="K83">
        <f>IF(ISNA(MATCH(70,Engine!$C$2:$C$622,0)),"",INDEX('Compliance Database'!$K$2:$K$622,MATCH(70,Engine!$C$2:$C$622,0)))</f>
        <v/>
      </c>
      <c r="L83" s="8">
        <f>IF(ISNA(MATCH(70,Engine!$C$2:$C$622,0)),"",INDEX('Compliance Database'!$L$2:$L$622,MATCH(70,Engine!$C$2:$C$622,0)))</f>
        <v/>
      </c>
      <c r="M83" s="8">
        <f>IF(ISNA(MATCH(70,Engine!$C$2:$C$622,0)),"",INDEX('Compliance Database'!$M$2:$M$622,MATCH(70,Engine!$C$2:$C$622,0)))</f>
        <v/>
      </c>
      <c r="N83" s="8">
        <f>IF(ISNA(MATCH(70,Engine!$C$2:$C$622,0)),"",INDEX('Compliance Database'!$N$2:$N$622,MATCH(70,Engine!$C$2:$C$622,0)))</f>
        <v/>
      </c>
      <c r="O83" s="8">
        <f>IF(ISNA(MATCH(70,Engine!$C$2:$C$622,0)),"",INDEX('Compliance Database'!$O$2:$O$622,MATCH(70,Engine!$C$2:$C$622,0)))</f>
        <v/>
      </c>
    </row>
    <row r="84">
      <c r="A84">
        <f>IF(ISNA(MATCH(71,Engine!$C$2:$C$622,0)),"",INDEX('Compliance Database'!$A$2:$A$622,MATCH(71,Engine!$C$2:$C$622,0)))</f>
        <v/>
      </c>
      <c r="B84">
        <f>IF(ISNA(MATCH(71,Engine!$C$2:$C$622,0)),"",INDEX('Compliance Database'!$B$2:$B$622,MATCH(71,Engine!$C$2:$C$622,0)))</f>
        <v/>
      </c>
      <c r="C84">
        <f>IF(ISNA(MATCH(71,Engine!$C$2:$C$622,0)),"",INDEX('Compliance Database'!$C$2:$C$622,MATCH(71,Engine!$C$2:$C$622,0)))</f>
        <v/>
      </c>
      <c r="D84" s="8">
        <f>IF(ISNA(MATCH(71,Engine!$C$2:$C$622,0)),"",INDEX('Compliance Database'!$D$2:$D$622,MATCH(71,Engine!$C$2:$C$622,0)))</f>
        <v/>
      </c>
      <c r="E84">
        <f>IF(ISNA(MATCH(71,Engine!$C$2:$C$622,0)),"",INDEX('Compliance Database'!$E$2:$E$622,MATCH(71,Engine!$C$2:$C$622,0)))</f>
        <v/>
      </c>
      <c r="F84">
        <f>IF(ISNA(MATCH(71,Engine!$C$2:$C$622,0)),"",INDEX('Compliance Database'!$F$2:$F$622,MATCH(71,Engine!$C$2:$C$622,0)))</f>
        <v/>
      </c>
      <c r="G84">
        <f>IF(ISNA(MATCH(71,Engine!$C$2:$C$622,0)),"",INDEX('Compliance Database'!$G$2:$G$622,MATCH(71,Engine!$C$2:$C$622,0)))</f>
        <v/>
      </c>
      <c r="H84">
        <f>IF(ISNA(MATCH(71,Engine!$C$2:$C$622,0)),"",INDEX('Compliance Database'!$H$2:$H$622,MATCH(71,Engine!$C$2:$C$622,0)))</f>
        <v/>
      </c>
      <c r="I84" s="8">
        <f>IF(ISNA(MATCH(71,Engine!$C$2:$C$622,0)),"",INDEX('Compliance Database'!$I$2:$I$622,MATCH(71,Engine!$C$2:$C$622,0)))</f>
        <v/>
      </c>
      <c r="J84" s="8">
        <f>IF(ISNA(MATCH(71,Engine!$C$2:$C$622,0)),"",INDEX('Compliance Database'!$J$2:$J$622,MATCH(71,Engine!$C$2:$C$622,0)))</f>
        <v/>
      </c>
      <c r="K84">
        <f>IF(ISNA(MATCH(71,Engine!$C$2:$C$622,0)),"",INDEX('Compliance Database'!$K$2:$K$622,MATCH(71,Engine!$C$2:$C$622,0)))</f>
        <v/>
      </c>
      <c r="L84" s="8">
        <f>IF(ISNA(MATCH(71,Engine!$C$2:$C$622,0)),"",INDEX('Compliance Database'!$L$2:$L$622,MATCH(71,Engine!$C$2:$C$622,0)))</f>
        <v/>
      </c>
      <c r="M84" s="8">
        <f>IF(ISNA(MATCH(71,Engine!$C$2:$C$622,0)),"",INDEX('Compliance Database'!$M$2:$M$622,MATCH(71,Engine!$C$2:$C$622,0)))</f>
        <v/>
      </c>
      <c r="N84" s="8">
        <f>IF(ISNA(MATCH(71,Engine!$C$2:$C$622,0)),"",INDEX('Compliance Database'!$N$2:$N$622,MATCH(71,Engine!$C$2:$C$622,0)))</f>
        <v/>
      </c>
      <c r="O84" s="8">
        <f>IF(ISNA(MATCH(71,Engine!$C$2:$C$622,0)),"",INDEX('Compliance Database'!$O$2:$O$622,MATCH(71,Engine!$C$2:$C$622,0)))</f>
        <v/>
      </c>
    </row>
    <row r="85">
      <c r="A85">
        <f>IF(ISNA(MATCH(72,Engine!$C$2:$C$622,0)),"",INDEX('Compliance Database'!$A$2:$A$622,MATCH(72,Engine!$C$2:$C$622,0)))</f>
        <v/>
      </c>
      <c r="B85">
        <f>IF(ISNA(MATCH(72,Engine!$C$2:$C$622,0)),"",INDEX('Compliance Database'!$B$2:$B$622,MATCH(72,Engine!$C$2:$C$622,0)))</f>
        <v/>
      </c>
      <c r="C85">
        <f>IF(ISNA(MATCH(72,Engine!$C$2:$C$622,0)),"",INDEX('Compliance Database'!$C$2:$C$622,MATCH(72,Engine!$C$2:$C$622,0)))</f>
        <v/>
      </c>
      <c r="D85" s="8">
        <f>IF(ISNA(MATCH(72,Engine!$C$2:$C$622,0)),"",INDEX('Compliance Database'!$D$2:$D$622,MATCH(72,Engine!$C$2:$C$622,0)))</f>
        <v/>
      </c>
      <c r="E85">
        <f>IF(ISNA(MATCH(72,Engine!$C$2:$C$622,0)),"",INDEX('Compliance Database'!$E$2:$E$622,MATCH(72,Engine!$C$2:$C$622,0)))</f>
        <v/>
      </c>
      <c r="F85">
        <f>IF(ISNA(MATCH(72,Engine!$C$2:$C$622,0)),"",INDEX('Compliance Database'!$F$2:$F$622,MATCH(72,Engine!$C$2:$C$622,0)))</f>
        <v/>
      </c>
      <c r="G85">
        <f>IF(ISNA(MATCH(72,Engine!$C$2:$C$622,0)),"",INDEX('Compliance Database'!$G$2:$G$622,MATCH(72,Engine!$C$2:$C$622,0)))</f>
        <v/>
      </c>
      <c r="H85">
        <f>IF(ISNA(MATCH(72,Engine!$C$2:$C$622,0)),"",INDEX('Compliance Database'!$H$2:$H$622,MATCH(72,Engine!$C$2:$C$622,0)))</f>
        <v/>
      </c>
      <c r="I85" s="8">
        <f>IF(ISNA(MATCH(72,Engine!$C$2:$C$622,0)),"",INDEX('Compliance Database'!$I$2:$I$622,MATCH(72,Engine!$C$2:$C$622,0)))</f>
        <v/>
      </c>
      <c r="J85" s="8">
        <f>IF(ISNA(MATCH(72,Engine!$C$2:$C$622,0)),"",INDEX('Compliance Database'!$J$2:$J$622,MATCH(72,Engine!$C$2:$C$622,0)))</f>
        <v/>
      </c>
      <c r="K85">
        <f>IF(ISNA(MATCH(72,Engine!$C$2:$C$622,0)),"",INDEX('Compliance Database'!$K$2:$K$622,MATCH(72,Engine!$C$2:$C$622,0)))</f>
        <v/>
      </c>
      <c r="L85" s="8">
        <f>IF(ISNA(MATCH(72,Engine!$C$2:$C$622,0)),"",INDEX('Compliance Database'!$L$2:$L$622,MATCH(72,Engine!$C$2:$C$622,0)))</f>
        <v/>
      </c>
      <c r="M85" s="8">
        <f>IF(ISNA(MATCH(72,Engine!$C$2:$C$622,0)),"",INDEX('Compliance Database'!$M$2:$M$622,MATCH(72,Engine!$C$2:$C$622,0)))</f>
        <v/>
      </c>
      <c r="N85" s="8">
        <f>IF(ISNA(MATCH(72,Engine!$C$2:$C$622,0)),"",INDEX('Compliance Database'!$N$2:$N$622,MATCH(72,Engine!$C$2:$C$622,0)))</f>
        <v/>
      </c>
      <c r="O85" s="8">
        <f>IF(ISNA(MATCH(72,Engine!$C$2:$C$622,0)),"",INDEX('Compliance Database'!$O$2:$O$622,MATCH(72,Engine!$C$2:$C$622,0)))</f>
        <v/>
      </c>
    </row>
    <row r="86">
      <c r="A86">
        <f>IF(ISNA(MATCH(73,Engine!$C$2:$C$622,0)),"",INDEX('Compliance Database'!$A$2:$A$622,MATCH(73,Engine!$C$2:$C$622,0)))</f>
        <v/>
      </c>
      <c r="B86">
        <f>IF(ISNA(MATCH(73,Engine!$C$2:$C$622,0)),"",INDEX('Compliance Database'!$B$2:$B$622,MATCH(73,Engine!$C$2:$C$622,0)))</f>
        <v/>
      </c>
      <c r="C86">
        <f>IF(ISNA(MATCH(73,Engine!$C$2:$C$622,0)),"",INDEX('Compliance Database'!$C$2:$C$622,MATCH(73,Engine!$C$2:$C$622,0)))</f>
        <v/>
      </c>
      <c r="D86" s="8">
        <f>IF(ISNA(MATCH(73,Engine!$C$2:$C$622,0)),"",INDEX('Compliance Database'!$D$2:$D$622,MATCH(73,Engine!$C$2:$C$622,0)))</f>
        <v/>
      </c>
      <c r="E86">
        <f>IF(ISNA(MATCH(73,Engine!$C$2:$C$622,0)),"",INDEX('Compliance Database'!$E$2:$E$622,MATCH(73,Engine!$C$2:$C$622,0)))</f>
        <v/>
      </c>
      <c r="F86">
        <f>IF(ISNA(MATCH(73,Engine!$C$2:$C$622,0)),"",INDEX('Compliance Database'!$F$2:$F$622,MATCH(73,Engine!$C$2:$C$622,0)))</f>
        <v/>
      </c>
      <c r="G86">
        <f>IF(ISNA(MATCH(73,Engine!$C$2:$C$622,0)),"",INDEX('Compliance Database'!$G$2:$G$622,MATCH(73,Engine!$C$2:$C$622,0)))</f>
        <v/>
      </c>
      <c r="H86">
        <f>IF(ISNA(MATCH(73,Engine!$C$2:$C$622,0)),"",INDEX('Compliance Database'!$H$2:$H$622,MATCH(73,Engine!$C$2:$C$622,0)))</f>
        <v/>
      </c>
      <c r="I86" s="8">
        <f>IF(ISNA(MATCH(73,Engine!$C$2:$C$622,0)),"",INDEX('Compliance Database'!$I$2:$I$622,MATCH(73,Engine!$C$2:$C$622,0)))</f>
        <v/>
      </c>
      <c r="J86" s="8">
        <f>IF(ISNA(MATCH(73,Engine!$C$2:$C$622,0)),"",INDEX('Compliance Database'!$J$2:$J$622,MATCH(73,Engine!$C$2:$C$622,0)))</f>
        <v/>
      </c>
      <c r="K86">
        <f>IF(ISNA(MATCH(73,Engine!$C$2:$C$622,0)),"",INDEX('Compliance Database'!$K$2:$K$622,MATCH(73,Engine!$C$2:$C$622,0)))</f>
        <v/>
      </c>
      <c r="L86" s="8">
        <f>IF(ISNA(MATCH(73,Engine!$C$2:$C$622,0)),"",INDEX('Compliance Database'!$L$2:$L$622,MATCH(73,Engine!$C$2:$C$622,0)))</f>
        <v/>
      </c>
      <c r="M86" s="8">
        <f>IF(ISNA(MATCH(73,Engine!$C$2:$C$622,0)),"",INDEX('Compliance Database'!$M$2:$M$622,MATCH(73,Engine!$C$2:$C$622,0)))</f>
        <v/>
      </c>
      <c r="N86" s="8">
        <f>IF(ISNA(MATCH(73,Engine!$C$2:$C$622,0)),"",INDEX('Compliance Database'!$N$2:$N$622,MATCH(73,Engine!$C$2:$C$622,0)))</f>
        <v/>
      </c>
      <c r="O86" s="8">
        <f>IF(ISNA(MATCH(73,Engine!$C$2:$C$622,0)),"",INDEX('Compliance Database'!$O$2:$O$622,MATCH(73,Engine!$C$2:$C$622,0)))</f>
        <v/>
      </c>
    </row>
    <row r="87">
      <c r="A87">
        <f>IF(ISNA(MATCH(74,Engine!$C$2:$C$622,0)),"",INDEX('Compliance Database'!$A$2:$A$622,MATCH(74,Engine!$C$2:$C$622,0)))</f>
        <v/>
      </c>
      <c r="B87">
        <f>IF(ISNA(MATCH(74,Engine!$C$2:$C$622,0)),"",INDEX('Compliance Database'!$B$2:$B$622,MATCH(74,Engine!$C$2:$C$622,0)))</f>
        <v/>
      </c>
      <c r="C87">
        <f>IF(ISNA(MATCH(74,Engine!$C$2:$C$622,0)),"",INDEX('Compliance Database'!$C$2:$C$622,MATCH(74,Engine!$C$2:$C$622,0)))</f>
        <v/>
      </c>
      <c r="D87" s="8">
        <f>IF(ISNA(MATCH(74,Engine!$C$2:$C$622,0)),"",INDEX('Compliance Database'!$D$2:$D$622,MATCH(74,Engine!$C$2:$C$622,0)))</f>
        <v/>
      </c>
      <c r="E87">
        <f>IF(ISNA(MATCH(74,Engine!$C$2:$C$622,0)),"",INDEX('Compliance Database'!$E$2:$E$622,MATCH(74,Engine!$C$2:$C$622,0)))</f>
        <v/>
      </c>
      <c r="F87">
        <f>IF(ISNA(MATCH(74,Engine!$C$2:$C$622,0)),"",INDEX('Compliance Database'!$F$2:$F$622,MATCH(74,Engine!$C$2:$C$622,0)))</f>
        <v/>
      </c>
      <c r="G87">
        <f>IF(ISNA(MATCH(74,Engine!$C$2:$C$622,0)),"",INDEX('Compliance Database'!$G$2:$G$622,MATCH(74,Engine!$C$2:$C$622,0)))</f>
        <v/>
      </c>
      <c r="H87">
        <f>IF(ISNA(MATCH(74,Engine!$C$2:$C$622,0)),"",INDEX('Compliance Database'!$H$2:$H$622,MATCH(74,Engine!$C$2:$C$622,0)))</f>
        <v/>
      </c>
      <c r="I87" s="8">
        <f>IF(ISNA(MATCH(74,Engine!$C$2:$C$622,0)),"",INDEX('Compliance Database'!$I$2:$I$622,MATCH(74,Engine!$C$2:$C$622,0)))</f>
        <v/>
      </c>
      <c r="J87" s="8">
        <f>IF(ISNA(MATCH(74,Engine!$C$2:$C$622,0)),"",INDEX('Compliance Database'!$J$2:$J$622,MATCH(74,Engine!$C$2:$C$622,0)))</f>
        <v/>
      </c>
      <c r="K87">
        <f>IF(ISNA(MATCH(74,Engine!$C$2:$C$622,0)),"",INDEX('Compliance Database'!$K$2:$K$622,MATCH(74,Engine!$C$2:$C$622,0)))</f>
        <v/>
      </c>
      <c r="L87" s="8">
        <f>IF(ISNA(MATCH(74,Engine!$C$2:$C$622,0)),"",INDEX('Compliance Database'!$L$2:$L$622,MATCH(74,Engine!$C$2:$C$622,0)))</f>
        <v/>
      </c>
      <c r="M87" s="8">
        <f>IF(ISNA(MATCH(74,Engine!$C$2:$C$622,0)),"",INDEX('Compliance Database'!$M$2:$M$622,MATCH(74,Engine!$C$2:$C$622,0)))</f>
        <v/>
      </c>
      <c r="N87" s="8">
        <f>IF(ISNA(MATCH(74,Engine!$C$2:$C$622,0)),"",INDEX('Compliance Database'!$N$2:$N$622,MATCH(74,Engine!$C$2:$C$622,0)))</f>
        <v/>
      </c>
      <c r="O87" s="8">
        <f>IF(ISNA(MATCH(74,Engine!$C$2:$C$622,0)),"",INDEX('Compliance Database'!$O$2:$O$622,MATCH(74,Engine!$C$2:$C$622,0)))</f>
        <v/>
      </c>
    </row>
    <row r="88">
      <c r="A88">
        <f>IF(ISNA(MATCH(75,Engine!$C$2:$C$622,0)),"",INDEX('Compliance Database'!$A$2:$A$622,MATCH(75,Engine!$C$2:$C$622,0)))</f>
        <v/>
      </c>
      <c r="B88">
        <f>IF(ISNA(MATCH(75,Engine!$C$2:$C$622,0)),"",INDEX('Compliance Database'!$B$2:$B$622,MATCH(75,Engine!$C$2:$C$622,0)))</f>
        <v/>
      </c>
      <c r="C88">
        <f>IF(ISNA(MATCH(75,Engine!$C$2:$C$622,0)),"",INDEX('Compliance Database'!$C$2:$C$622,MATCH(75,Engine!$C$2:$C$622,0)))</f>
        <v/>
      </c>
      <c r="D88" s="8">
        <f>IF(ISNA(MATCH(75,Engine!$C$2:$C$622,0)),"",INDEX('Compliance Database'!$D$2:$D$622,MATCH(75,Engine!$C$2:$C$622,0)))</f>
        <v/>
      </c>
      <c r="E88">
        <f>IF(ISNA(MATCH(75,Engine!$C$2:$C$622,0)),"",INDEX('Compliance Database'!$E$2:$E$622,MATCH(75,Engine!$C$2:$C$622,0)))</f>
        <v/>
      </c>
      <c r="F88">
        <f>IF(ISNA(MATCH(75,Engine!$C$2:$C$622,0)),"",INDEX('Compliance Database'!$F$2:$F$622,MATCH(75,Engine!$C$2:$C$622,0)))</f>
        <v/>
      </c>
      <c r="G88">
        <f>IF(ISNA(MATCH(75,Engine!$C$2:$C$622,0)),"",INDEX('Compliance Database'!$G$2:$G$622,MATCH(75,Engine!$C$2:$C$622,0)))</f>
        <v/>
      </c>
      <c r="H88">
        <f>IF(ISNA(MATCH(75,Engine!$C$2:$C$622,0)),"",INDEX('Compliance Database'!$H$2:$H$622,MATCH(75,Engine!$C$2:$C$622,0)))</f>
        <v/>
      </c>
      <c r="I88" s="8">
        <f>IF(ISNA(MATCH(75,Engine!$C$2:$C$622,0)),"",INDEX('Compliance Database'!$I$2:$I$622,MATCH(75,Engine!$C$2:$C$622,0)))</f>
        <v/>
      </c>
      <c r="J88" s="8">
        <f>IF(ISNA(MATCH(75,Engine!$C$2:$C$622,0)),"",INDEX('Compliance Database'!$J$2:$J$622,MATCH(75,Engine!$C$2:$C$622,0)))</f>
        <v/>
      </c>
      <c r="K88">
        <f>IF(ISNA(MATCH(75,Engine!$C$2:$C$622,0)),"",INDEX('Compliance Database'!$K$2:$K$622,MATCH(75,Engine!$C$2:$C$622,0)))</f>
        <v/>
      </c>
      <c r="L88" s="8">
        <f>IF(ISNA(MATCH(75,Engine!$C$2:$C$622,0)),"",INDEX('Compliance Database'!$L$2:$L$622,MATCH(75,Engine!$C$2:$C$622,0)))</f>
        <v/>
      </c>
      <c r="M88" s="8">
        <f>IF(ISNA(MATCH(75,Engine!$C$2:$C$622,0)),"",INDEX('Compliance Database'!$M$2:$M$622,MATCH(75,Engine!$C$2:$C$622,0)))</f>
        <v/>
      </c>
      <c r="N88" s="8">
        <f>IF(ISNA(MATCH(75,Engine!$C$2:$C$622,0)),"",INDEX('Compliance Database'!$N$2:$N$622,MATCH(75,Engine!$C$2:$C$622,0)))</f>
        <v/>
      </c>
      <c r="O88" s="8">
        <f>IF(ISNA(MATCH(75,Engine!$C$2:$C$622,0)),"",INDEX('Compliance Database'!$O$2:$O$622,MATCH(75,Engine!$C$2:$C$622,0)))</f>
        <v/>
      </c>
    </row>
    <row r="89">
      <c r="A89">
        <f>IF(ISNA(MATCH(76,Engine!$C$2:$C$622,0)),"",INDEX('Compliance Database'!$A$2:$A$622,MATCH(76,Engine!$C$2:$C$622,0)))</f>
        <v/>
      </c>
      <c r="B89">
        <f>IF(ISNA(MATCH(76,Engine!$C$2:$C$622,0)),"",INDEX('Compliance Database'!$B$2:$B$622,MATCH(76,Engine!$C$2:$C$622,0)))</f>
        <v/>
      </c>
      <c r="C89">
        <f>IF(ISNA(MATCH(76,Engine!$C$2:$C$622,0)),"",INDEX('Compliance Database'!$C$2:$C$622,MATCH(76,Engine!$C$2:$C$622,0)))</f>
        <v/>
      </c>
      <c r="D89" s="8">
        <f>IF(ISNA(MATCH(76,Engine!$C$2:$C$622,0)),"",INDEX('Compliance Database'!$D$2:$D$622,MATCH(76,Engine!$C$2:$C$622,0)))</f>
        <v/>
      </c>
      <c r="E89">
        <f>IF(ISNA(MATCH(76,Engine!$C$2:$C$622,0)),"",INDEX('Compliance Database'!$E$2:$E$622,MATCH(76,Engine!$C$2:$C$622,0)))</f>
        <v/>
      </c>
      <c r="F89">
        <f>IF(ISNA(MATCH(76,Engine!$C$2:$C$622,0)),"",INDEX('Compliance Database'!$F$2:$F$622,MATCH(76,Engine!$C$2:$C$622,0)))</f>
        <v/>
      </c>
      <c r="G89">
        <f>IF(ISNA(MATCH(76,Engine!$C$2:$C$622,0)),"",INDEX('Compliance Database'!$G$2:$G$622,MATCH(76,Engine!$C$2:$C$622,0)))</f>
        <v/>
      </c>
      <c r="H89">
        <f>IF(ISNA(MATCH(76,Engine!$C$2:$C$622,0)),"",INDEX('Compliance Database'!$H$2:$H$622,MATCH(76,Engine!$C$2:$C$622,0)))</f>
        <v/>
      </c>
      <c r="I89" s="8">
        <f>IF(ISNA(MATCH(76,Engine!$C$2:$C$622,0)),"",INDEX('Compliance Database'!$I$2:$I$622,MATCH(76,Engine!$C$2:$C$622,0)))</f>
        <v/>
      </c>
      <c r="J89" s="8">
        <f>IF(ISNA(MATCH(76,Engine!$C$2:$C$622,0)),"",INDEX('Compliance Database'!$J$2:$J$622,MATCH(76,Engine!$C$2:$C$622,0)))</f>
        <v/>
      </c>
      <c r="K89">
        <f>IF(ISNA(MATCH(76,Engine!$C$2:$C$622,0)),"",INDEX('Compliance Database'!$K$2:$K$622,MATCH(76,Engine!$C$2:$C$622,0)))</f>
        <v/>
      </c>
      <c r="L89" s="8">
        <f>IF(ISNA(MATCH(76,Engine!$C$2:$C$622,0)),"",INDEX('Compliance Database'!$L$2:$L$622,MATCH(76,Engine!$C$2:$C$622,0)))</f>
        <v/>
      </c>
      <c r="M89" s="8">
        <f>IF(ISNA(MATCH(76,Engine!$C$2:$C$622,0)),"",INDEX('Compliance Database'!$M$2:$M$622,MATCH(76,Engine!$C$2:$C$622,0)))</f>
        <v/>
      </c>
      <c r="N89" s="8">
        <f>IF(ISNA(MATCH(76,Engine!$C$2:$C$622,0)),"",INDEX('Compliance Database'!$N$2:$N$622,MATCH(76,Engine!$C$2:$C$622,0)))</f>
        <v/>
      </c>
      <c r="O89" s="8">
        <f>IF(ISNA(MATCH(76,Engine!$C$2:$C$622,0)),"",INDEX('Compliance Database'!$O$2:$O$622,MATCH(76,Engine!$C$2:$C$622,0)))</f>
        <v/>
      </c>
    </row>
    <row r="90">
      <c r="A90">
        <f>IF(ISNA(MATCH(77,Engine!$C$2:$C$622,0)),"",INDEX('Compliance Database'!$A$2:$A$622,MATCH(77,Engine!$C$2:$C$622,0)))</f>
        <v/>
      </c>
      <c r="B90">
        <f>IF(ISNA(MATCH(77,Engine!$C$2:$C$622,0)),"",INDEX('Compliance Database'!$B$2:$B$622,MATCH(77,Engine!$C$2:$C$622,0)))</f>
        <v/>
      </c>
      <c r="C90">
        <f>IF(ISNA(MATCH(77,Engine!$C$2:$C$622,0)),"",INDEX('Compliance Database'!$C$2:$C$622,MATCH(77,Engine!$C$2:$C$622,0)))</f>
        <v/>
      </c>
      <c r="D90" s="8">
        <f>IF(ISNA(MATCH(77,Engine!$C$2:$C$622,0)),"",INDEX('Compliance Database'!$D$2:$D$622,MATCH(77,Engine!$C$2:$C$622,0)))</f>
        <v/>
      </c>
      <c r="E90">
        <f>IF(ISNA(MATCH(77,Engine!$C$2:$C$622,0)),"",INDEX('Compliance Database'!$E$2:$E$622,MATCH(77,Engine!$C$2:$C$622,0)))</f>
        <v/>
      </c>
      <c r="F90">
        <f>IF(ISNA(MATCH(77,Engine!$C$2:$C$622,0)),"",INDEX('Compliance Database'!$F$2:$F$622,MATCH(77,Engine!$C$2:$C$622,0)))</f>
        <v/>
      </c>
      <c r="G90">
        <f>IF(ISNA(MATCH(77,Engine!$C$2:$C$622,0)),"",INDEX('Compliance Database'!$G$2:$G$622,MATCH(77,Engine!$C$2:$C$622,0)))</f>
        <v/>
      </c>
      <c r="H90">
        <f>IF(ISNA(MATCH(77,Engine!$C$2:$C$622,0)),"",INDEX('Compliance Database'!$H$2:$H$622,MATCH(77,Engine!$C$2:$C$622,0)))</f>
        <v/>
      </c>
      <c r="I90" s="8">
        <f>IF(ISNA(MATCH(77,Engine!$C$2:$C$622,0)),"",INDEX('Compliance Database'!$I$2:$I$622,MATCH(77,Engine!$C$2:$C$622,0)))</f>
        <v/>
      </c>
      <c r="J90" s="8">
        <f>IF(ISNA(MATCH(77,Engine!$C$2:$C$622,0)),"",INDEX('Compliance Database'!$J$2:$J$622,MATCH(77,Engine!$C$2:$C$622,0)))</f>
        <v/>
      </c>
      <c r="K90">
        <f>IF(ISNA(MATCH(77,Engine!$C$2:$C$622,0)),"",INDEX('Compliance Database'!$K$2:$K$622,MATCH(77,Engine!$C$2:$C$622,0)))</f>
        <v/>
      </c>
      <c r="L90" s="8">
        <f>IF(ISNA(MATCH(77,Engine!$C$2:$C$622,0)),"",INDEX('Compliance Database'!$L$2:$L$622,MATCH(77,Engine!$C$2:$C$622,0)))</f>
        <v/>
      </c>
      <c r="M90" s="8">
        <f>IF(ISNA(MATCH(77,Engine!$C$2:$C$622,0)),"",INDEX('Compliance Database'!$M$2:$M$622,MATCH(77,Engine!$C$2:$C$622,0)))</f>
        <v/>
      </c>
      <c r="N90" s="8">
        <f>IF(ISNA(MATCH(77,Engine!$C$2:$C$622,0)),"",INDEX('Compliance Database'!$N$2:$N$622,MATCH(77,Engine!$C$2:$C$622,0)))</f>
        <v/>
      </c>
      <c r="O90" s="8">
        <f>IF(ISNA(MATCH(77,Engine!$C$2:$C$622,0)),"",INDEX('Compliance Database'!$O$2:$O$622,MATCH(77,Engine!$C$2:$C$622,0)))</f>
        <v/>
      </c>
    </row>
    <row r="91">
      <c r="A91">
        <f>IF(ISNA(MATCH(78,Engine!$C$2:$C$622,0)),"",INDEX('Compliance Database'!$A$2:$A$622,MATCH(78,Engine!$C$2:$C$622,0)))</f>
        <v/>
      </c>
      <c r="B91">
        <f>IF(ISNA(MATCH(78,Engine!$C$2:$C$622,0)),"",INDEX('Compliance Database'!$B$2:$B$622,MATCH(78,Engine!$C$2:$C$622,0)))</f>
        <v/>
      </c>
      <c r="C91">
        <f>IF(ISNA(MATCH(78,Engine!$C$2:$C$622,0)),"",INDEX('Compliance Database'!$C$2:$C$622,MATCH(78,Engine!$C$2:$C$622,0)))</f>
        <v/>
      </c>
      <c r="D91" s="8">
        <f>IF(ISNA(MATCH(78,Engine!$C$2:$C$622,0)),"",INDEX('Compliance Database'!$D$2:$D$622,MATCH(78,Engine!$C$2:$C$622,0)))</f>
        <v/>
      </c>
      <c r="E91">
        <f>IF(ISNA(MATCH(78,Engine!$C$2:$C$622,0)),"",INDEX('Compliance Database'!$E$2:$E$622,MATCH(78,Engine!$C$2:$C$622,0)))</f>
        <v/>
      </c>
      <c r="F91">
        <f>IF(ISNA(MATCH(78,Engine!$C$2:$C$622,0)),"",INDEX('Compliance Database'!$F$2:$F$622,MATCH(78,Engine!$C$2:$C$622,0)))</f>
        <v/>
      </c>
      <c r="G91">
        <f>IF(ISNA(MATCH(78,Engine!$C$2:$C$622,0)),"",INDEX('Compliance Database'!$G$2:$G$622,MATCH(78,Engine!$C$2:$C$622,0)))</f>
        <v/>
      </c>
      <c r="H91">
        <f>IF(ISNA(MATCH(78,Engine!$C$2:$C$622,0)),"",INDEX('Compliance Database'!$H$2:$H$622,MATCH(78,Engine!$C$2:$C$622,0)))</f>
        <v/>
      </c>
      <c r="I91" s="8">
        <f>IF(ISNA(MATCH(78,Engine!$C$2:$C$622,0)),"",INDEX('Compliance Database'!$I$2:$I$622,MATCH(78,Engine!$C$2:$C$622,0)))</f>
        <v/>
      </c>
      <c r="J91" s="8">
        <f>IF(ISNA(MATCH(78,Engine!$C$2:$C$622,0)),"",INDEX('Compliance Database'!$J$2:$J$622,MATCH(78,Engine!$C$2:$C$622,0)))</f>
        <v/>
      </c>
      <c r="K91">
        <f>IF(ISNA(MATCH(78,Engine!$C$2:$C$622,0)),"",INDEX('Compliance Database'!$K$2:$K$622,MATCH(78,Engine!$C$2:$C$622,0)))</f>
        <v/>
      </c>
      <c r="L91" s="8">
        <f>IF(ISNA(MATCH(78,Engine!$C$2:$C$622,0)),"",INDEX('Compliance Database'!$L$2:$L$622,MATCH(78,Engine!$C$2:$C$622,0)))</f>
        <v/>
      </c>
      <c r="M91" s="8">
        <f>IF(ISNA(MATCH(78,Engine!$C$2:$C$622,0)),"",INDEX('Compliance Database'!$M$2:$M$622,MATCH(78,Engine!$C$2:$C$622,0)))</f>
        <v/>
      </c>
      <c r="N91" s="8">
        <f>IF(ISNA(MATCH(78,Engine!$C$2:$C$622,0)),"",INDEX('Compliance Database'!$N$2:$N$622,MATCH(78,Engine!$C$2:$C$622,0)))</f>
        <v/>
      </c>
      <c r="O91" s="8">
        <f>IF(ISNA(MATCH(78,Engine!$C$2:$C$622,0)),"",INDEX('Compliance Database'!$O$2:$O$622,MATCH(78,Engine!$C$2:$C$622,0)))</f>
        <v/>
      </c>
    </row>
    <row r="92">
      <c r="A92">
        <f>IF(ISNA(MATCH(79,Engine!$C$2:$C$622,0)),"",INDEX('Compliance Database'!$A$2:$A$622,MATCH(79,Engine!$C$2:$C$622,0)))</f>
        <v/>
      </c>
      <c r="B92">
        <f>IF(ISNA(MATCH(79,Engine!$C$2:$C$622,0)),"",INDEX('Compliance Database'!$B$2:$B$622,MATCH(79,Engine!$C$2:$C$622,0)))</f>
        <v/>
      </c>
      <c r="C92">
        <f>IF(ISNA(MATCH(79,Engine!$C$2:$C$622,0)),"",INDEX('Compliance Database'!$C$2:$C$622,MATCH(79,Engine!$C$2:$C$622,0)))</f>
        <v/>
      </c>
      <c r="D92" s="8">
        <f>IF(ISNA(MATCH(79,Engine!$C$2:$C$622,0)),"",INDEX('Compliance Database'!$D$2:$D$622,MATCH(79,Engine!$C$2:$C$622,0)))</f>
        <v/>
      </c>
      <c r="E92">
        <f>IF(ISNA(MATCH(79,Engine!$C$2:$C$622,0)),"",INDEX('Compliance Database'!$E$2:$E$622,MATCH(79,Engine!$C$2:$C$622,0)))</f>
        <v/>
      </c>
      <c r="F92">
        <f>IF(ISNA(MATCH(79,Engine!$C$2:$C$622,0)),"",INDEX('Compliance Database'!$F$2:$F$622,MATCH(79,Engine!$C$2:$C$622,0)))</f>
        <v/>
      </c>
      <c r="G92">
        <f>IF(ISNA(MATCH(79,Engine!$C$2:$C$622,0)),"",INDEX('Compliance Database'!$G$2:$G$622,MATCH(79,Engine!$C$2:$C$622,0)))</f>
        <v/>
      </c>
      <c r="H92">
        <f>IF(ISNA(MATCH(79,Engine!$C$2:$C$622,0)),"",INDEX('Compliance Database'!$H$2:$H$622,MATCH(79,Engine!$C$2:$C$622,0)))</f>
        <v/>
      </c>
      <c r="I92" s="8">
        <f>IF(ISNA(MATCH(79,Engine!$C$2:$C$622,0)),"",INDEX('Compliance Database'!$I$2:$I$622,MATCH(79,Engine!$C$2:$C$622,0)))</f>
        <v/>
      </c>
      <c r="J92" s="8">
        <f>IF(ISNA(MATCH(79,Engine!$C$2:$C$622,0)),"",INDEX('Compliance Database'!$J$2:$J$622,MATCH(79,Engine!$C$2:$C$622,0)))</f>
        <v/>
      </c>
      <c r="K92">
        <f>IF(ISNA(MATCH(79,Engine!$C$2:$C$622,0)),"",INDEX('Compliance Database'!$K$2:$K$622,MATCH(79,Engine!$C$2:$C$622,0)))</f>
        <v/>
      </c>
      <c r="L92" s="8">
        <f>IF(ISNA(MATCH(79,Engine!$C$2:$C$622,0)),"",INDEX('Compliance Database'!$L$2:$L$622,MATCH(79,Engine!$C$2:$C$622,0)))</f>
        <v/>
      </c>
      <c r="M92" s="8">
        <f>IF(ISNA(MATCH(79,Engine!$C$2:$C$622,0)),"",INDEX('Compliance Database'!$M$2:$M$622,MATCH(79,Engine!$C$2:$C$622,0)))</f>
        <v/>
      </c>
      <c r="N92" s="8">
        <f>IF(ISNA(MATCH(79,Engine!$C$2:$C$622,0)),"",INDEX('Compliance Database'!$N$2:$N$622,MATCH(79,Engine!$C$2:$C$622,0)))</f>
        <v/>
      </c>
      <c r="O92" s="8">
        <f>IF(ISNA(MATCH(79,Engine!$C$2:$C$622,0)),"",INDEX('Compliance Database'!$O$2:$O$622,MATCH(79,Engine!$C$2:$C$622,0)))</f>
        <v/>
      </c>
    </row>
    <row r="93">
      <c r="A93">
        <f>IF(ISNA(MATCH(80,Engine!$C$2:$C$622,0)),"",INDEX('Compliance Database'!$A$2:$A$622,MATCH(80,Engine!$C$2:$C$622,0)))</f>
        <v/>
      </c>
      <c r="B93">
        <f>IF(ISNA(MATCH(80,Engine!$C$2:$C$622,0)),"",INDEX('Compliance Database'!$B$2:$B$622,MATCH(80,Engine!$C$2:$C$622,0)))</f>
        <v/>
      </c>
      <c r="C93">
        <f>IF(ISNA(MATCH(80,Engine!$C$2:$C$622,0)),"",INDEX('Compliance Database'!$C$2:$C$622,MATCH(80,Engine!$C$2:$C$622,0)))</f>
        <v/>
      </c>
      <c r="D93" s="8">
        <f>IF(ISNA(MATCH(80,Engine!$C$2:$C$622,0)),"",INDEX('Compliance Database'!$D$2:$D$622,MATCH(80,Engine!$C$2:$C$622,0)))</f>
        <v/>
      </c>
      <c r="E93">
        <f>IF(ISNA(MATCH(80,Engine!$C$2:$C$622,0)),"",INDEX('Compliance Database'!$E$2:$E$622,MATCH(80,Engine!$C$2:$C$622,0)))</f>
        <v/>
      </c>
      <c r="F93">
        <f>IF(ISNA(MATCH(80,Engine!$C$2:$C$622,0)),"",INDEX('Compliance Database'!$F$2:$F$622,MATCH(80,Engine!$C$2:$C$622,0)))</f>
        <v/>
      </c>
      <c r="G93">
        <f>IF(ISNA(MATCH(80,Engine!$C$2:$C$622,0)),"",INDEX('Compliance Database'!$G$2:$G$622,MATCH(80,Engine!$C$2:$C$622,0)))</f>
        <v/>
      </c>
      <c r="H93">
        <f>IF(ISNA(MATCH(80,Engine!$C$2:$C$622,0)),"",INDEX('Compliance Database'!$H$2:$H$622,MATCH(80,Engine!$C$2:$C$622,0)))</f>
        <v/>
      </c>
      <c r="I93" s="8">
        <f>IF(ISNA(MATCH(80,Engine!$C$2:$C$622,0)),"",INDEX('Compliance Database'!$I$2:$I$622,MATCH(80,Engine!$C$2:$C$622,0)))</f>
        <v/>
      </c>
      <c r="J93" s="8">
        <f>IF(ISNA(MATCH(80,Engine!$C$2:$C$622,0)),"",INDEX('Compliance Database'!$J$2:$J$622,MATCH(80,Engine!$C$2:$C$622,0)))</f>
        <v/>
      </c>
      <c r="K93">
        <f>IF(ISNA(MATCH(80,Engine!$C$2:$C$622,0)),"",INDEX('Compliance Database'!$K$2:$K$622,MATCH(80,Engine!$C$2:$C$622,0)))</f>
        <v/>
      </c>
      <c r="L93" s="8">
        <f>IF(ISNA(MATCH(80,Engine!$C$2:$C$622,0)),"",INDEX('Compliance Database'!$L$2:$L$622,MATCH(80,Engine!$C$2:$C$622,0)))</f>
        <v/>
      </c>
      <c r="M93" s="8">
        <f>IF(ISNA(MATCH(80,Engine!$C$2:$C$622,0)),"",INDEX('Compliance Database'!$M$2:$M$622,MATCH(80,Engine!$C$2:$C$622,0)))</f>
        <v/>
      </c>
      <c r="N93" s="8">
        <f>IF(ISNA(MATCH(80,Engine!$C$2:$C$622,0)),"",INDEX('Compliance Database'!$N$2:$N$622,MATCH(80,Engine!$C$2:$C$622,0)))</f>
        <v/>
      </c>
      <c r="O93" s="8">
        <f>IF(ISNA(MATCH(80,Engine!$C$2:$C$622,0)),"",INDEX('Compliance Database'!$O$2:$O$622,MATCH(80,Engine!$C$2:$C$622,0)))</f>
        <v/>
      </c>
    </row>
    <row r="94">
      <c r="A94">
        <f>IF(ISNA(MATCH(81,Engine!$C$2:$C$622,0)),"",INDEX('Compliance Database'!$A$2:$A$622,MATCH(81,Engine!$C$2:$C$622,0)))</f>
        <v/>
      </c>
      <c r="B94">
        <f>IF(ISNA(MATCH(81,Engine!$C$2:$C$622,0)),"",INDEX('Compliance Database'!$B$2:$B$622,MATCH(81,Engine!$C$2:$C$622,0)))</f>
        <v/>
      </c>
      <c r="C94">
        <f>IF(ISNA(MATCH(81,Engine!$C$2:$C$622,0)),"",INDEX('Compliance Database'!$C$2:$C$622,MATCH(81,Engine!$C$2:$C$622,0)))</f>
        <v/>
      </c>
      <c r="D94" s="8">
        <f>IF(ISNA(MATCH(81,Engine!$C$2:$C$622,0)),"",INDEX('Compliance Database'!$D$2:$D$622,MATCH(81,Engine!$C$2:$C$622,0)))</f>
        <v/>
      </c>
      <c r="E94">
        <f>IF(ISNA(MATCH(81,Engine!$C$2:$C$622,0)),"",INDEX('Compliance Database'!$E$2:$E$622,MATCH(81,Engine!$C$2:$C$622,0)))</f>
        <v/>
      </c>
      <c r="F94">
        <f>IF(ISNA(MATCH(81,Engine!$C$2:$C$622,0)),"",INDEX('Compliance Database'!$F$2:$F$622,MATCH(81,Engine!$C$2:$C$622,0)))</f>
        <v/>
      </c>
      <c r="G94">
        <f>IF(ISNA(MATCH(81,Engine!$C$2:$C$622,0)),"",INDEX('Compliance Database'!$G$2:$G$622,MATCH(81,Engine!$C$2:$C$622,0)))</f>
        <v/>
      </c>
      <c r="H94">
        <f>IF(ISNA(MATCH(81,Engine!$C$2:$C$622,0)),"",INDEX('Compliance Database'!$H$2:$H$622,MATCH(81,Engine!$C$2:$C$622,0)))</f>
        <v/>
      </c>
      <c r="I94" s="8">
        <f>IF(ISNA(MATCH(81,Engine!$C$2:$C$622,0)),"",INDEX('Compliance Database'!$I$2:$I$622,MATCH(81,Engine!$C$2:$C$622,0)))</f>
        <v/>
      </c>
      <c r="J94" s="8">
        <f>IF(ISNA(MATCH(81,Engine!$C$2:$C$622,0)),"",INDEX('Compliance Database'!$J$2:$J$622,MATCH(81,Engine!$C$2:$C$622,0)))</f>
        <v/>
      </c>
      <c r="K94">
        <f>IF(ISNA(MATCH(81,Engine!$C$2:$C$622,0)),"",INDEX('Compliance Database'!$K$2:$K$622,MATCH(81,Engine!$C$2:$C$622,0)))</f>
        <v/>
      </c>
      <c r="L94" s="8">
        <f>IF(ISNA(MATCH(81,Engine!$C$2:$C$622,0)),"",INDEX('Compliance Database'!$L$2:$L$622,MATCH(81,Engine!$C$2:$C$622,0)))</f>
        <v/>
      </c>
      <c r="M94" s="8">
        <f>IF(ISNA(MATCH(81,Engine!$C$2:$C$622,0)),"",INDEX('Compliance Database'!$M$2:$M$622,MATCH(81,Engine!$C$2:$C$622,0)))</f>
        <v/>
      </c>
      <c r="N94" s="8">
        <f>IF(ISNA(MATCH(81,Engine!$C$2:$C$622,0)),"",INDEX('Compliance Database'!$N$2:$N$622,MATCH(81,Engine!$C$2:$C$622,0)))</f>
        <v/>
      </c>
      <c r="O94" s="8">
        <f>IF(ISNA(MATCH(81,Engine!$C$2:$C$622,0)),"",INDEX('Compliance Database'!$O$2:$O$622,MATCH(81,Engine!$C$2:$C$622,0)))</f>
        <v/>
      </c>
    </row>
    <row r="95">
      <c r="A95">
        <f>IF(ISNA(MATCH(82,Engine!$C$2:$C$622,0)),"",INDEX('Compliance Database'!$A$2:$A$622,MATCH(82,Engine!$C$2:$C$622,0)))</f>
        <v/>
      </c>
      <c r="B95">
        <f>IF(ISNA(MATCH(82,Engine!$C$2:$C$622,0)),"",INDEX('Compliance Database'!$B$2:$B$622,MATCH(82,Engine!$C$2:$C$622,0)))</f>
        <v/>
      </c>
      <c r="C95">
        <f>IF(ISNA(MATCH(82,Engine!$C$2:$C$622,0)),"",INDEX('Compliance Database'!$C$2:$C$622,MATCH(82,Engine!$C$2:$C$622,0)))</f>
        <v/>
      </c>
      <c r="D95" s="8">
        <f>IF(ISNA(MATCH(82,Engine!$C$2:$C$622,0)),"",INDEX('Compliance Database'!$D$2:$D$622,MATCH(82,Engine!$C$2:$C$622,0)))</f>
        <v/>
      </c>
      <c r="E95">
        <f>IF(ISNA(MATCH(82,Engine!$C$2:$C$622,0)),"",INDEX('Compliance Database'!$E$2:$E$622,MATCH(82,Engine!$C$2:$C$622,0)))</f>
        <v/>
      </c>
      <c r="F95">
        <f>IF(ISNA(MATCH(82,Engine!$C$2:$C$622,0)),"",INDEX('Compliance Database'!$F$2:$F$622,MATCH(82,Engine!$C$2:$C$622,0)))</f>
        <v/>
      </c>
      <c r="G95">
        <f>IF(ISNA(MATCH(82,Engine!$C$2:$C$622,0)),"",INDEX('Compliance Database'!$G$2:$G$622,MATCH(82,Engine!$C$2:$C$622,0)))</f>
        <v/>
      </c>
      <c r="H95">
        <f>IF(ISNA(MATCH(82,Engine!$C$2:$C$622,0)),"",INDEX('Compliance Database'!$H$2:$H$622,MATCH(82,Engine!$C$2:$C$622,0)))</f>
        <v/>
      </c>
      <c r="I95" s="8">
        <f>IF(ISNA(MATCH(82,Engine!$C$2:$C$622,0)),"",INDEX('Compliance Database'!$I$2:$I$622,MATCH(82,Engine!$C$2:$C$622,0)))</f>
        <v/>
      </c>
      <c r="J95" s="8">
        <f>IF(ISNA(MATCH(82,Engine!$C$2:$C$622,0)),"",INDEX('Compliance Database'!$J$2:$J$622,MATCH(82,Engine!$C$2:$C$622,0)))</f>
        <v/>
      </c>
      <c r="K95">
        <f>IF(ISNA(MATCH(82,Engine!$C$2:$C$622,0)),"",INDEX('Compliance Database'!$K$2:$K$622,MATCH(82,Engine!$C$2:$C$622,0)))</f>
        <v/>
      </c>
      <c r="L95" s="8">
        <f>IF(ISNA(MATCH(82,Engine!$C$2:$C$622,0)),"",INDEX('Compliance Database'!$L$2:$L$622,MATCH(82,Engine!$C$2:$C$622,0)))</f>
        <v/>
      </c>
      <c r="M95" s="8">
        <f>IF(ISNA(MATCH(82,Engine!$C$2:$C$622,0)),"",INDEX('Compliance Database'!$M$2:$M$622,MATCH(82,Engine!$C$2:$C$622,0)))</f>
        <v/>
      </c>
      <c r="N95" s="8">
        <f>IF(ISNA(MATCH(82,Engine!$C$2:$C$622,0)),"",INDEX('Compliance Database'!$N$2:$N$622,MATCH(82,Engine!$C$2:$C$622,0)))</f>
        <v/>
      </c>
      <c r="O95" s="8">
        <f>IF(ISNA(MATCH(82,Engine!$C$2:$C$622,0)),"",INDEX('Compliance Database'!$O$2:$O$622,MATCH(82,Engine!$C$2:$C$622,0)))</f>
        <v/>
      </c>
    </row>
    <row r="96">
      <c r="A96">
        <f>IF(ISNA(MATCH(83,Engine!$C$2:$C$622,0)),"",INDEX('Compliance Database'!$A$2:$A$622,MATCH(83,Engine!$C$2:$C$622,0)))</f>
        <v/>
      </c>
      <c r="B96">
        <f>IF(ISNA(MATCH(83,Engine!$C$2:$C$622,0)),"",INDEX('Compliance Database'!$B$2:$B$622,MATCH(83,Engine!$C$2:$C$622,0)))</f>
        <v/>
      </c>
      <c r="C96">
        <f>IF(ISNA(MATCH(83,Engine!$C$2:$C$622,0)),"",INDEX('Compliance Database'!$C$2:$C$622,MATCH(83,Engine!$C$2:$C$622,0)))</f>
        <v/>
      </c>
      <c r="D96" s="8">
        <f>IF(ISNA(MATCH(83,Engine!$C$2:$C$622,0)),"",INDEX('Compliance Database'!$D$2:$D$622,MATCH(83,Engine!$C$2:$C$622,0)))</f>
        <v/>
      </c>
      <c r="E96">
        <f>IF(ISNA(MATCH(83,Engine!$C$2:$C$622,0)),"",INDEX('Compliance Database'!$E$2:$E$622,MATCH(83,Engine!$C$2:$C$622,0)))</f>
        <v/>
      </c>
      <c r="F96">
        <f>IF(ISNA(MATCH(83,Engine!$C$2:$C$622,0)),"",INDEX('Compliance Database'!$F$2:$F$622,MATCH(83,Engine!$C$2:$C$622,0)))</f>
        <v/>
      </c>
      <c r="G96">
        <f>IF(ISNA(MATCH(83,Engine!$C$2:$C$622,0)),"",INDEX('Compliance Database'!$G$2:$G$622,MATCH(83,Engine!$C$2:$C$622,0)))</f>
        <v/>
      </c>
      <c r="H96">
        <f>IF(ISNA(MATCH(83,Engine!$C$2:$C$622,0)),"",INDEX('Compliance Database'!$H$2:$H$622,MATCH(83,Engine!$C$2:$C$622,0)))</f>
        <v/>
      </c>
      <c r="I96" s="8">
        <f>IF(ISNA(MATCH(83,Engine!$C$2:$C$622,0)),"",INDEX('Compliance Database'!$I$2:$I$622,MATCH(83,Engine!$C$2:$C$622,0)))</f>
        <v/>
      </c>
      <c r="J96" s="8">
        <f>IF(ISNA(MATCH(83,Engine!$C$2:$C$622,0)),"",INDEX('Compliance Database'!$J$2:$J$622,MATCH(83,Engine!$C$2:$C$622,0)))</f>
        <v/>
      </c>
      <c r="K96">
        <f>IF(ISNA(MATCH(83,Engine!$C$2:$C$622,0)),"",INDEX('Compliance Database'!$K$2:$K$622,MATCH(83,Engine!$C$2:$C$622,0)))</f>
        <v/>
      </c>
      <c r="L96" s="8">
        <f>IF(ISNA(MATCH(83,Engine!$C$2:$C$622,0)),"",INDEX('Compliance Database'!$L$2:$L$622,MATCH(83,Engine!$C$2:$C$622,0)))</f>
        <v/>
      </c>
      <c r="M96" s="8">
        <f>IF(ISNA(MATCH(83,Engine!$C$2:$C$622,0)),"",INDEX('Compliance Database'!$M$2:$M$622,MATCH(83,Engine!$C$2:$C$622,0)))</f>
        <v/>
      </c>
      <c r="N96" s="8">
        <f>IF(ISNA(MATCH(83,Engine!$C$2:$C$622,0)),"",INDEX('Compliance Database'!$N$2:$N$622,MATCH(83,Engine!$C$2:$C$622,0)))</f>
        <v/>
      </c>
      <c r="O96" s="8">
        <f>IF(ISNA(MATCH(83,Engine!$C$2:$C$622,0)),"",INDEX('Compliance Database'!$O$2:$O$622,MATCH(83,Engine!$C$2:$C$622,0)))</f>
        <v/>
      </c>
    </row>
    <row r="97">
      <c r="A97">
        <f>IF(ISNA(MATCH(84,Engine!$C$2:$C$622,0)),"",INDEX('Compliance Database'!$A$2:$A$622,MATCH(84,Engine!$C$2:$C$622,0)))</f>
        <v/>
      </c>
      <c r="B97">
        <f>IF(ISNA(MATCH(84,Engine!$C$2:$C$622,0)),"",INDEX('Compliance Database'!$B$2:$B$622,MATCH(84,Engine!$C$2:$C$622,0)))</f>
        <v/>
      </c>
      <c r="C97">
        <f>IF(ISNA(MATCH(84,Engine!$C$2:$C$622,0)),"",INDEX('Compliance Database'!$C$2:$C$622,MATCH(84,Engine!$C$2:$C$622,0)))</f>
        <v/>
      </c>
      <c r="D97" s="8">
        <f>IF(ISNA(MATCH(84,Engine!$C$2:$C$622,0)),"",INDEX('Compliance Database'!$D$2:$D$622,MATCH(84,Engine!$C$2:$C$622,0)))</f>
        <v/>
      </c>
      <c r="E97">
        <f>IF(ISNA(MATCH(84,Engine!$C$2:$C$622,0)),"",INDEX('Compliance Database'!$E$2:$E$622,MATCH(84,Engine!$C$2:$C$622,0)))</f>
        <v/>
      </c>
      <c r="F97">
        <f>IF(ISNA(MATCH(84,Engine!$C$2:$C$622,0)),"",INDEX('Compliance Database'!$F$2:$F$622,MATCH(84,Engine!$C$2:$C$622,0)))</f>
        <v/>
      </c>
      <c r="G97">
        <f>IF(ISNA(MATCH(84,Engine!$C$2:$C$622,0)),"",INDEX('Compliance Database'!$G$2:$G$622,MATCH(84,Engine!$C$2:$C$622,0)))</f>
        <v/>
      </c>
      <c r="H97">
        <f>IF(ISNA(MATCH(84,Engine!$C$2:$C$622,0)),"",INDEX('Compliance Database'!$H$2:$H$622,MATCH(84,Engine!$C$2:$C$622,0)))</f>
        <v/>
      </c>
      <c r="I97" s="8">
        <f>IF(ISNA(MATCH(84,Engine!$C$2:$C$622,0)),"",INDEX('Compliance Database'!$I$2:$I$622,MATCH(84,Engine!$C$2:$C$622,0)))</f>
        <v/>
      </c>
      <c r="J97" s="8">
        <f>IF(ISNA(MATCH(84,Engine!$C$2:$C$622,0)),"",INDEX('Compliance Database'!$J$2:$J$622,MATCH(84,Engine!$C$2:$C$622,0)))</f>
        <v/>
      </c>
      <c r="K97">
        <f>IF(ISNA(MATCH(84,Engine!$C$2:$C$622,0)),"",INDEX('Compliance Database'!$K$2:$K$622,MATCH(84,Engine!$C$2:$C$622,0)))</f>
        <v/>
      </c>
      <c r="L97" s="8">
        <f>IF(ISNA(MATCH(84,Engine!$C$2:$C$622,0)),"",INDEX('Compliance Database'!$L$2:$L$622,MATCH(84,Engine!$C$2:$C$622,0)))</f>
        <v/>
      </c>
      <c r="M97" s="8">
        <f>IF(ISNA(MATCH(84,Engine!$C$2:$C$622,0)),"",INDEX('Compliance Database'!$M$2:$M$622,MATCH(84,Engine!$C$2:$C$622,0)))</f>
        <v/>
      </c>
      <c r="N97" s="8">
        <f>IF(ISNA(MATCH(84,Engine!$C$2:$C$622,0)),"",INDEX('Compliance Database'!$N$2:$N$622,MATCH(84,Engine!$C$2:$C$622,0)))</f>
        <v/>
      </c>
      <c r="O97" s="8">
        <f>IF(ISNA(MATCH(84,Engine!$C$2:$C$622,0)),"",INDEX('Compliance Database'!$O$2:$O$622,MATCH(84,Engine!$C$2:$C$622,0)))</f>
        <v/>
      </c>
    </row>
    <row r="98">
      <c r="A98">
        <f>IF(ISNA(MATCH(85,Engine!$C$2:$C$622,0)),"",INDEX('Compliance Database'!$A$2:$A$622,MATCH(85,Engine!$C$2:$C$622,0)))</f>
        <v/>
      </c>
      <c r="B98">
        <f>IF(ISNA(MATCH(85,Engine!$C$2:$C$622,0)),"",INDEX('Compliance Database'!$B$2:$B$622,MATCH(85,Engine!$C$2:$C$622,0)))</f>
        <v/>
      </c>
      <c r="C98">
        <f>IF(ISNA(MATCH(85,Engine!$C$2:$C$622,0)),"",INDEX('Compliance Database'!$C$2:$C$622,MATCH(85,Engine!$C$2:$C$622,0)))</f>
        <v/>
      </c>
      <c r="D98" s="8">
        <f>IF(ISNA(MATCH(85,Engine!$C$2:$C$622,0)),"",INDEX('Compliance Database'!$D$2:$D$622,MATCH(85,Engine!$C$2:$C$622,0)))</f>
        <v/>
      </c>
      <c r="E98">
        <f>IF(ISNA(MATCH(85,Engine!$C$2:$C$622,0)),"",INDEX('Compliance Database'!$E$2:$E$622,MATCH(85,Engine!$C$2:$C$622,0)))</f>
        <v/>
      </c>
      <c r="F98">
        <f>IF(ISNA(MATCH(85,Engine!$C$2:$C$622,0)),"",INDEX('Compliance Database'!$F$2:$F$622,MATCH(85,Engine!$C$2:$C$622,0)))</f>
        <v/>
      </c>
      <c r="G98">
        <f>IF(ISNA(MATCH(85,Engine!$C$2:$C$622,0)),"",INDEX('Compliance Database'!$G$2:$G$622,MATCH(85,Engine!$C$2:$C$622,0)))</f>
        <v/>
      </c>
      <c r="H98">
        <f>IF(ISNA(MATCH(85,Engine!$C$2:$C$622,0)),"",INDEX('Compliance Database'!$H$2:$H$622,MATCH(85,Engine!$C$2:$C$622,0)))</f>
        <v/>
      </c>
      <c r="I98" s="8">
        <f>IF(ISNA(MATCH(85,Engine!$C$2:$C$622,0)),"",INDEX('Compliance Database'!$I$2:$I$622,MATCH(85,Engine!$C$2:$C$622,0)))</f>
        <v/>
      </c>
      <c r="J98" s="8">
        <f>IF(ISNA(MATCH(85,Engine!$C$2:$C$622,0)),"",INDEX('Compliance Database'!$J$2:$J$622,MATCH(85,Engine!$C$2:$C$622,0)))</f>
        <v/>
      </c>
      <c r="K98">
        <f>IF(ISNA(MATCH(85,Engine!$C$2:$C$622,0)),"",INDEX('Compliance Database'!$K$2:$K$622,MATCH(85,Engine!$C$2:$C$622,0)))</f>
        <v/>
      </c>
      <c r="L98" s="8">
        <f>IF(ISNA(MATCH(85,Engine!$C$2:$C$622,0)),"",INDEX('Compliance Database'!$L$2:$L$622,MATCH(85,Engine!$C$2:$C$622,0)))</f>
        <v/>
      </c>
      <c r="M98" s="8">
        <f>IF(ISNA(MATCH(85,Engine!$C$2:$C$622,0)),"",INDEX('Compliance Database'!$M$2:$M$622,MATCH(85,Engine!$C$2:$C$622,0)))</f>
        <v/>
      </c>
      <c r="N98" s="8">
        <f>IF(ISNA(MATCH(85,Engine!$C$2:$C$622,0)),"",INDEX('Compliance Database'!$N$2:$N$622,MATCH(85,Engine!$C$2:$C$622,0)))</f>
        <v/>
      </c>
      <c r="O98" s="8">
        <f>IF(ISNA(MATCH(85,Engine!$C$2:$C$622,0)),"",INDEX('Compliance Database'!$O$2:$O$622,MATCH(85,Engine!$C$2:$C$622,0)))</f>
        <v/>
      </c>
    </row>
    <row r="99">
      <c r="A99">
        <f>IF(ISNA(MATCH(86,Engine!$C$2:$C$622,0)),"",INDEX('Compliance Database'!$A$2:$A$622,MATCH(86,Engine!$C$2:$C$622,0)))</f>
        <v/>
      </c>
      <c r="B99">
        <f>IF(ISNA(MATCH(86,Engine!$C$2:$C$622,0)),"",INDEX('Compliance Database'!$B$2:$B$622,MATCH(86,Engine!$C$2:$C$622,0)))</f>
        <v/>
      </c>
      <c r="C99">
        <f>IF(ISNA(MATCH(86,Engine!$C$2:$C$622,0)),"",INDEX('Compliance Database'!$C$2:$C$622,MATCH(86,Engine!$C$2:$C$622,0)))</f>
        <v/>
      </c>
      <c r="D99" s="8">
        <f>IF(ISNA(MATCH(86,Engine!$C$2:$C$622,0)),"",INDEX('Compliance Database'!$D$2:$D$622,MATCH(86,Engine!$C$2:$C$622,0)))</f>
        <v/>
      </c>
      <c r="E99">
        <f>IF(ISNA(MATCH(86,Engine!$C$2:$C$622,0)),"",INDEX('Compliance Database'!$E$2:$E$622,MATCH(86,Engine!$C$2:$C$622,0)))</f>
        <v/>
      </c>
      <c r="F99">
        <f>IF(ISNA(MATCH(86,Engine!$C$2:$C$622,0)),"",INDEX('Compliance Database'!$F$2:$F$622,MATCH(86,Engine!$C$2:$C$622,0)))</f>
        <v/>
      </c>
      <c r="G99">
        <f>IF(ISNA(MATCH(86,Engine!$C$2:$C$622,0)),"",INDEX('Compliance Database'!$G$2:$G$622,MATCH(86,Engine!$C$2:$C$622,0)))</f>
        <v/>
      </c>
      <c r="H99">
        <f>IF(ISNA(MATCH(86,Engine!$C$2:$C$622,0)),"",INDEX('Compliance Database'!$H$2:$H$622,MATCH(86,Engine!$C$2:$C$622,0)))</f>
        <v/>
      </c>
      <c r="I99" s="8">
        <f>IF(ISNA(MATCH(86,Engine!$C$2:$C$622,0)),"",INDEX('Compliance Database'!$I$2:$I$622,MATCH(86,Engine!$C$2:$C$622,0)))</f>
        <v/>
      </c>
      <c r="J99" s="8">
        <f>IF(ISNA(MATCH(86,Engine!$C$2:$C$622,0)),"",INDEX('Compliance Database'!$J$2:$J$622,MATCH(86,Engine!$C$2:$C$622,0)))</f>
        <v/>
      </c>
      <c r="K99">
        <f>IF(ISNA(MATCH(86,Engine!$C$2:$C$622,0)),"",INDEX('Compliance Database'!$K$2:$K$622,MATCH(86,Engine!$C$2:$C$622,0)))</f>
        <v/>
      </c>
      <c r="L99" s="8">
        <f>IF(ISNA(MATCH(86,Engine!$C$2:$C$622,0)),"",INDEX('Compliance Database'!$L$2:$L$622,MATCH(86,Engine!$C$2:$C$622,0)))</f>
        <v/>
      </c>
      <c r="M99" s="8">
        <f>IF(ISNA(MATCH(86,Engine!$C$2:$C$622,0)),"",INDEX('Compliance Database'!$M$2:$M$622,MATCH(86,Engine!$C$2:$C$622,0)))</f>
        <v/>
      </c>
      <c r="N99" s="8">
        <f>IF(ISNA(MATCH(86,Engine!$C$2:$C$622,0)),"",INDEX('Compliance Database'!$N$2:$N$622,MATCH(86,Engine!$C$2:$C$622,0)))</f>
        <v/>
      </c>
      <c r="O99" s="8">
        <f>IF(ISNA(MATCH(86,Engine!$C$2:$C$622,0)),"",INDEX('Compliance Database'!$O$2:$O$622,MATCH(86,Engine!$C$2:$C$622,0)))</f>
        <v/>
      </c>
    </row>
    <row r="100">
      <c r="A100">
        <f>IF(ISNA(MATCH(87,Engine!$C$2:$C$622,0)),"",INDEX('Compliance Database'!$A$2:$A$622,MATCH(87,Engine!$C$2:$C$622,0)))</f>
        <v/>
      </c>
      <c r="B100">
        <f>IF(ISNA(MATCH(87,Engine!$C$2:$C$622,0)),"",INDEX('Compliance Database'!$B$2:$B$622,MATCH(87,Engine!$C$2:$C$622,0)))</f>
        <v/>
      </c>
      <c r="C100">
        <f>IF(ISNA(MATCH(87,Engine!$C$2:$C$622,0)),"",INDEX('Compliance Database'!$C$2:$C$622,MATCH(87,Engine!$C$2:$C$622,0)))</f>
        <v/>
      </c>
      <c r="D100" s="8">
        <f>IF(ISNA(MATCH(87,Engine!$C$2:$C$622,0)),"",INDEX('Compliance Database'!$D$2:$D$622,MATCH(87,Engine!$C$2:$C$622,0)))</f>
        <v/>
      </c>
      <c r="E100">
        <f>IF(ISNA(MATCH(87,Engine!$C$2:$C$622,0)),"",INDEX('Compliance Database'!$E$2:$E$622,MATCH(87,Engine!$C$2:$C$622,0)))</f>
        <v/>
      </c>
      <c r="F100">
        <f>IF(ISNA(MATCH(87,Engine!$C$2:$C$622,0)),"",INDEX('Compliance Database'!$F$2:$F$622,MATCH(87,Engine!$C$2:$C$622,0)))</f>
        <v/>
      </c>
      <c r="G100">
        <f>IF(ISNA(MATCH(87,Engine!$C$2:$C$622,0)),"",INDEX('Compliance Database'!$G$2:$G$622,MATCH(87,Engine!$C$2:$C$622,0)))</f>
        <v/>
      </c>
      <c r="H100">
        <f>IF(ISNA(MATCH(87,Engine!$C$2:$C$622,0)),"",INDEX('Compliance Database'!$H$2:$H$622,MATCH(87,Engine!$C$2:$C$622,0)))</f>
        <v/>
      </c>
      <c r="I100" s="8">
        <f>IF(ISNA(MATCH(87,Engine!$C$2:$C$622,0)),"",INDEX('Compliance Database'!$I$2:$I$622,MATCH(87,Engine!$C$2:$C$622,0)))</f>
        <v/>
      </c>
      <c r="J100" s="8">
        <f>IF(ISNA(MATCH(87,Engine!$C$2:$C$622,0)),"",INDEX('Compliance Database'!$J$2:$J$622,MATCH(87,Engine!$C$2:$C$622,0)))</f>
        <v/>
      </c>
      <c r="K100">
        <f>IF(ISNA(MATCH(87,Engine!$C$2:$C$622,0)),"",INDEX('Compliance Database'!$K$2:$K$622,MATCH(87,Engine!$C$2:$C$622,0)))</f>
        <v/>
      </c>
      <c r="L100" s="8">
        <f>IF(ISNA(MATCH(87,Engine!$C$2:$C$622,0)),"",INDEX('Compliance Database'!$L$2:$L$622,MATCH(87,Engine!$C$2:$C$622,0)))</f>
        <v/>
      </c>
      <c r="M100" s="8">
        <f>IF(ISNA(MATCH(87,Engine!$C$2:$C$622,0)),"",INDEX('Compliance Database'!$M$2:$M$622,MATCH(87,Engine!$C$2:$C$622,0)))</f>
        <v/>
      </c>
      <c r="N100" s="8">
        <f>IF(ISNA(MATCH(87,Engine!$C$2:$C$622,0)),"",INDEX('Compliance Database'!$N$2:$N$622,MATCH(87,Engine!$C$2:$C$622,0)))</f>
        <v/>
      </c>
      <c r="O100" s="8">
        <f>IF(ISNA(MATCH(87,Engine!$C$2:$C$622,0)),"",INDEX('Compliance Database'!$O$2:$O$622,MATCH(87,Engine!$C$2:$C$622,0)))</f>
        <v/>
      </c>
    </row>
    <row r="101">
      <c r="A101">
        <f>IF(ISNA(MATCH(88,Engine!$C$2:$C$622,0)),"",INDEX('Compliance Database'!$A$2:$A$622,MATCH(88,Engine!$C$2:$C$622,0)))</f>
        <v/>
      </c>
      <c r="B101">
        <f>IF(ISNA(MATCH(88,Engine!$C$2:$C$622,0)),"",INDEX('Compliance Database'!$B$2:$B$622,MATCH(88,Engine!$C$2:$C$622,0)))</f>
        <v/>
      </c>
      <c r="C101">
        <f>IF(ISNA(MATCH(88,Engine!$C$2:$C$622,0)),"",INDEX('Compliance Database'!$C$2:$C$622,MATCH(88,Engine!$C$2:$C$622,0)))</f>
        <v/>
      </c>
      <c r="D101" s="8">
        <f>IF(ISNA(MATCH(88,Engine!$C$2:$C$622,0)),"",INDEX('Compliance Database'!$D$2:$D$622,MATCH(88,Engine!$C$2:$C$622,0)))</f>
        <v/>
      </c>
      <c r="E101">
        <f>IF(ISNA(MATCH(88,Engine!$C$2:$C$622,0)),"",INDEX('Compliance Database'!$E$2:$E$622,MATCH(88,Engine!$C$2:$C$622,0)))</f>
        <v/>
      </c>
      <c r="F101">
        <f>IF(ISNA(MATCH(88,Engine!$C$2:$C$622,0)),"",INDEX('Compliance Database'!$F$2:$F$622,MATCH(88,Engine!$C$2:$C$622,0)))</f>
        <v/>
      </c>
      <c r="G101">
        <f>IF(ISNA(MATCH(88,Engine!$C$2:$C$622,0)),"",INDEX('Compliance Database'!$G$2:$G$622,MATCH(88,Engine!$C$2:$C$622,0)))</f>
        <v/>
      </c>
      <c r="H101">
        <f>IF(ISNA(MATCH(88,Engine!$C$2:$C$622,0)),"",INDEX('Compliance Database'!$H$2:$H$622,MATCH(88,Engine!$C$2:$C$622,0)))</f>
        <v/>
      </c>
      <c r="I101" s="8">
        <f>IF(ISNA(MATCH(88,Engine!$C$2:$C$622,0)),"",INDEX('Compliance Database'!$I$2:$I$622,MATCH(88,Engine!$C$2:$C$622,0)))</f>
        <v/>
      </c>
      <c r="J101" s="8">
        <f>IF(ISNA(MATCH(88,Engine!$C$2:$C$622,0)),"",INDEX('Compliance Database'!$J$2:$J$622,MATCH(88,Engine!$C$2:$C$622,0)))</f>
        <v/>
      </c>
      <c r="K101">
        <f>IF(ISNA(MATCH(88,Engine!$C$2:$C$622,0)),"",INDEX('Compliance Database'!$K$2:$K$622,MATCH(88,Engine!$C$2:$C$622,0)))</f>
        <v/>
      </c>
      <c r="L101" s="8">
        <f>IF(ISNA(MATCH(88,Engine!$C$2:$C$622,0)),"",INDEX('Compliance Database'!$L$2:$L$622,MATCH(88,Engine!$C$2:$C$622,0)))</f>
        <v/>
      </c>
      <c r="M101" s="8">
        <f>IF(ISNA(MATCH(88,Engine!$C$2:$C$622,0)),"",INDEX('Compliance Database'!$M$2:$M$622,MATCH(88,Engine!$C$2:$C$622,0)))</f>
        <v/>
      </c>
      <c r="N101" s="8">
        <f>IF(ISNA(MATCH(88,Engine!$C$2:$C$622,0)),"",INDEX('Compliance Database'!$N$2:$N$622,MATCH(88,Engine!$C$2:$C$622,0)))</f>
        <v/>
      </c>
      <c r="O101" s="8">
        <f>IF(ISNA(MATCH(88,Engine!$C$2:$C$622,0)),"",INDEX('Compliance Database'!$O$2:$O$622,MATCH(88,Engine!$C$2:$C$622,0)))</f>
        <v/>
      </c>
    </row>
    <row r="102">
      <c r="A102">
        <f>IF(ISNA(MATCH(89,Engine!$C$2:$C$622,0)),"",INDEX('Compliance Database'!$A$2:$A$622,MATCH(89,Engine!$C$2:$C$622,0)))</f>
        <v/>
      </c>
      <c r="B102">
        <f>IF(ISNA(MATCH(89,Engine!$C$2:$C$622,0)),"",INDEX('Compliance Database'!$B$2:$B$622,MATCH(89,Engine!$C$2:$C$622,0)))</f>
        <v/>
      </c>
      <c r="C102">
        <f>IF(ISNA(MATCH(89,Engine!$C$2:$C$622,0)),"",INDEX('Compliance Database'!$C$2:$C$622,MATCH(89,Engine!$C$2:$C$622,0)))</f>
        <v/>
      </c>
      <c r="D102" s="8">
        <f>IF(ISNA(MATCH(89,Engine!$C$2:$C$622,0)),"",INDEX('Compliance Database'!$D$2:$D$622,MATCH(89,Engine!$C$2:$C$622,0)))</f>
        <v/>
      </c>
      <c r="E102">
        <f>IF(ISNA(MATCH(89,Engine!$C$2:$C$622,0)),"",INDEX('Compliance Database'!$E$2:$E$622,MATCH(89,Engine!$C$2:$C$622,0)))</f>
        <v/>
      </c>
      <c r="F102">
        <f>IF(ISNA(MATCH(89,Engine!$C$2:$C$622,0)),"",INDEX('Compliance Database'!$F$2:$F$622,MATCH(89,Engine!$C$2:$C$622,0)))</f>
        <v/>
      </c>
      <c r="G102">
        <f>IF(ISNA(MATCH(89,Engine!$C$2:$C$622,0)),"",INDEX('Compliance Database'!$G$2:$G$622,MATCH(89,Engine!$C$2:$C$622,0)))</f>
        <v/>
      </c>
      <c r="H102">
        <f>IF(ISNA(MATCH(89,Engine!$C$2:$C$622,0)),"",INDEX('Compliance Database'!$H$2:$H$622,MATCH(89,Engine!$C$2:$C$622,0)))</f>
        <v/>
      </c>
      <c r="I102" s="8">
        <f>IF(ISNA(MATCH(89,Engine!$C$2:$C$622,0)),"",INDEX('Compliance Database'!$I$2:$I$622,MATCH(89,Engine!$C$2:$C$622,0)))</f>
        <v/>
      </c>
      <c r="J102" s="8">
        <f>IF(ISNA(MATCH(89,Engine!$C$2:$C$622,0)),"",INDEX('Compliance Database'!$J$2:$J$622,MATCH(89,Engine!$C$2:$C$622,0)))</f>
        <v/>
      </c>
      <c r="K102">
        <f>IF(ISNA(MATCH(89,Engine!$C$2:$C$622,0)),"",INDEX('Compliance Database'!$K$2:$K$622,MATCH(89,Engine!$C$2:$C$622,0)))</f>
        <v/>
      </c>
      <c r="L102" s="8">
        <f>IF(ISNA(MATCH(89,Engine!$C$2:$C$622,0)),"",INDEX('Compliance Database'!$L$2:$L$622,MATCH(89,Engine!$C$2:$C$622,0)))</f>
        <v/>
      </c>
      <c r="M102" s="8">
        <f>IF(ISNA(MATCH(89,Engine!$C$2:$C$622,0)),"",INDEX('Compliance Database'!$M$2:$M$622,MATCH(89,Engine!$C$2:$C$622,0)))</f>
        <v/>
      </c>
      <c r="N102" s="8">
        <f>IF(ISNA(MATCH(89,Engine!$C$2:$C$622,0)),"",INDEX('Compliance Database'!$N$2:$N$622,MATCH(89,Engine!$C$2:$C$622,0)))</f>
        <v/>
      </c>
      <c r="O102" s="8">
        <f>IF(ISNA(MATCH(89,Engine!$C$2:$C$622,0)),"",INDEX('Compliance Database'!$O$2:$O$622,MATCH(89,Engine!$C$2:$C$622,0)))</f>
        <v/>
      </c>
    </row>
    <row r="103">
      <c r="A103">
        <f>IF(ISNA(MATCH(90,Engine!$C$2:$C$622,0)),"",INDEX('Compliance Database'!$A$2:$A$622,MATCH(90,Engine!$C$2:$C$622,0)))</f>
        <v/>
      </c>
      <c r="B103">
        <f>IF(ISNA(MATCH(90,Engine!$C$2:$C$622,0)),"",INDEX('Compliance Database'!$B$2:$B$622,MATCH(90,Engine!$C$2:$C$622,0)))</f>
        <v/>
      </c>
      <c r="C103">
        <f>IF(ISNA(MATCH(90,Engine!$C$2:$C$622,0)),"",INDEX('Compliance Database'!$C$2:$C$622,MATCH(90,Engine!$C$2:$C$622,0)))</f>
        <v/>
      </c>
      <c r="D103" s="8">
        <f>IF(ISNA(MATCH(90,Engine!$C$2:$C$622,0)),"",INDEX('Compliance Database'!$D$2:$D$622,MATCH(90,Engine!$C$2:$C$622,0)))</f>
        <v/>
      </c>
      <c r="E103">
        <f>IF(ISNA(MATCH(90,Engine!$C$2:$C$622,0)),"",INDEX('Compliance Database'!$E$2:$E$622,MATCH(90,Engine!$C$2:$C$622,0)))</f>
        <v/>
      </c>
      <c r="F103">
        <f>IF(ISNA(MATCH(90,Engine!$C$2:$C$622,0)),"",INDEX('Compliance Database'!$F$2:$F$622,MATCH(90,Engine!$C$2:$C$622,0)))</f>
        <v/>
      </c>
      <c r="G103">
        <f>IF(ISNA(MATCH(90,Engine!$C$2:$C$622,0)),"",INDEX('Compliance Database'!$G$2:$G$622,MATCH(90,Engine!$C$2:$C$622,0)))</f>
        <v/>
      </c>
      <c r="H103">
        <f>IF(ISNA(MATCH(90,Engine!$C$2:$C$622,0)),"",INDEX('Compliance Database'!$H$2:$H$622,MATCH(90,Engine!$C$2:$C$622,0)))</f>
        <v/>
      </c>
      <c r="I103" s="8">
        <f>IF(ISNA(MATCH(90,Engine!$C$2:$C$622,0)),"",INDEX('Compliance Database'!$I$2:$I$622,MATCH(90,Engine!$C$2:$C$622,0)))</f>
        <v/>
      </c>
      <c r="J103" s="8">
        <f>IF(ISNA(MATCH(90,Engine!$C$2:$C$622,0)),"",INDEX('Compliance Database'!$J$2:$J$622,MATCH(90,Engine!$C$2:$C$622,0)))</f>
        <v/>
      </c>
      <c r="K103">
        <f>IF(ISNA(MATCH(90,Engine!$C$2:$C$622,0)),"",INDEX('Compliance Database'!$K$2:$K$622,MATCH(90,Engine!$C$2:$C$622,0)))</f>
        <v/>
      </c>
      <c r="L103" s="8">
        <f>IF(ISNA(MATCH(90,Engine!$C$2:$C$622,0)),"",INDEX('Compliance Database'!$L$2:$L$622,MATCH(90,Engine!$C$2:$C$622,0)))</f>
        <v/>
      </c>
      <c r="M103" s="8">
        <f>IF(ISNA(MATCH(90,Engine!$C$2:$C$622,0)),"",INDEX('Compliance Database'!$M$2:$M$622,MATCH(90,Engine!$C$2:$C$622,0)))</f>
        <v/>
      </c>
      <c r="N103" s="8">
        <f>IF(ISNA(MATCH(90,Engine!$C$2:$C$622,0)),"",INDEX('Compliance Database'!$N$2:$N$622,MATCH(90,Engine!$C$2:$C$622,0)))</f>
        <v/>
      </c>
      <c r="O103" s="8">
        <f>IF(ISNA(MATCH(90,Engine!$C$2:$C$622,0)),"",INDEX('Compliance Database'!$O$2:$O$622,MATCH(90,Engine!$C$2:$C$622,0)))</f>
        <v/>
      </c>
    </row>
    <row r="104">
      <c r="A104">
        <f>IF(ISNA(MATCH(91,Engine!$C$2:$C$622,0)),"",INDEX('Compliance Database'!$A$2:$A$622,MATCH(91,Engine!$C$2:$C$622,0)))</f>
        <v/>
      </c>
      <c r="B104">
        <f>IF(ISNA(MATCH(91,Engine!$C$2:$C$622,0)),"",INDEX('Compliance Database'!$B$2:$B$622,MATCH(91,Engine!$C$2:$C$622,0)))</f>
        <v/>
      </c>
      <c r="C104">
        <f>IF(ISNA(MATCH(91,Engine!$C$2:$C$622,0)),"",INDEX('Compliance Database'!$C$2:$C$622,MATCH(91,Engine!$C$2:$C$622,0)))</f>
        <v/>
      </c>
      <c r="D104" s="8">
        <f>IF(ISNA(MATCH(91,Engine!$C$2:$C$622,0)),"",INDEX('Compliance Database'!$D$2:$D$622,MATCH(91,Engine!$C$2:$C$622,0)))</f>
        <v/>
      </c>
      <c r="E104">
        <f>IF(ISNA(MATCH(91,Engine!$C$2:$C$622,0)),"",INDEX('Compliance Database'!$E$2:$E$622,MATCH(91,Engine!$C$2:$C$622,0)))</f>
        <v/>
      </c>
      <c r="F104">
        <f>IF(ISNA(MATCH(91,Engine!$C$2:$C$622,0)),"",INDEX('Compliance Database'!$F$2:$F$622,MATCH(91,Engine!$C$2:$C$622,0)))</f>
        <v/>
      </c>
      <c r="G104">
        <f>IF(ISNA(MATCH(91,Engine!$C$2:$C$622,0)),"",INDEX('Compliance Database'!$G$2:$G$622,MATCH(91,Engine!$C$2:$C$622,0)))</f>
        <v/>
      </c>
      <c r="H104">
        <f>IF(ISNA(MATCH(91,Engine!$C$2:$C$622,0)),"",INDEX('Compliance Database'!$H$2:$H$622,MATCH(91,Engine!$C$2:$C$622,0)))</f>
        <v/>
      </c>
      <c r="I104" s="8">
        <f>IF(ISNA(MATCH(91,Engine!$C$2:$C$622,0)),"",INDEX('Compliance Database'!$I$2:$I$622,MATCH(91,Engine!$C$2:$C$622,0)))</f>
        <v/>
      </c>
      <c r="J104" s="8">
        <f>IF(ISNA(MATCH(91,Engine!$C$2:$C$622,0)),"",INDEX('Compliance Database'!$J$2:$J$622,MATCH(91,Engine!$C$2:$C$622,0)))</f>
        <v/>
      </c>
      <c r="K104">
        <f>IF(ISNA(MATCH(91,Engine!$C$2:$C$622,0)),"",INDEX('Compliance Database'!$K$2:$K$622,MATCH(91,Engine!$C$2:$C$622,0)))</f>
        <v/>
      </c>
      <c r="L104" s="8">
        <f>IF(ISNA(MATCH(91,Engine!$C$2:$C$622,0)),"",INDEX('Compliance Database'!$L$2:$L$622,MATCH(91,Engine!$C$2:$C$622,0)))</f>
        <v/>
      </c>
      <c r="M104" s="8">
        <f>IF(ISNA(MATCH(91,Engine!$C$2:$C$622,0)),"",INDEX('Compliance Database'!$M$2:$M$622,MATCH(91,Engine!$C$2:$C$622,0)))</f>
        <v/>
      </c>
      <c r="N104" s="8">
        <f>IF(ISNA(MATCH(91,Engine!$C$2:$C$622,0)),"",INDEX('Compliance Database'!$N$2:$N$622,MATCH(91,Engine!$C$2:$C$622,0)))</f>
        <v/>
      </c>
      <c r="O104" s="8">
        <f>IF(ISNA(MATCH(91,Engine!$C$2:$C$622,0)),"",INDEX('Compliance Database'!$O$2:$O$622,MATCH(91,Engine!$C$2:$C$622,0)))</f>
        <v/>
      </c>
    </row>
    <row r="105">
      <c r="A105">
        <f>IF(ISNA(MATCH(92,Engine!$C$2:$C$622,0)),"",INDEX('Compliance Database'!$A$2:$A$622,MATCH(92,Engine!$C$2:$C$622,0)))</f>
        <v/>
      </c>
      <c r="B105">
        <f>IF(ISNA(MATCH(92,Engine!$C$2:$C$622,0)),"",INDEX('Compliance Database'!$B$2:$B$622,MATCH(92,Engine!$C$2:$C$622,0)))</f>
        <v/>
      </c>
      <c r="C105">
        <f>IF(ISNA(MATCH(92,Engine!$C$2:$C$622,0)),"",INDEX('Compliance Database'!$C$2:$C$622,MATCH(92,Engine!$C$2:$C$622,0)))</f>
        <v/>
      </c>
      <c r="D105" s="8">
        <f>IF(ISNA(MATCH(92,Engine!$C$2:$C$622,0)),"",INDEX('Compliance Database'!$D$2:$D$622,MATCH(92,Engine!$C$2:$C$622,0)))</f>
        <v/>
      </c>
      <c r="E105">
        <f>IF(ISNA(MATCH(92,Engine!$C$2:$C$622,0)),"",INDEX('Compliance Database'!$E$2:$E$622,MATCH(92,Engine!$C$2:$C$622,0)))</f>
        <v/>
      </c>
      <c r="F105">
        <f>IF(ISNA(MATCH(92,Engine!$C$2:$C$622,0)),"",INDEX('Compliance Database'!$F$2:$F$622,MATCH(92,Engine!$C$2:$C$622,0)))</f>
        <v/>
      </c>
      <c r="G105">
        <f>IF(ISNA(MATCH(92,Engine!$C$2:$C$622,0)),"",INDEX('Compliance Database'!$G$2:$G$622,MATCH(92,Engine!$C$2:$C$622,0)))</f>
        <v/>
      </c>
      <c r="H105">
        <f>IF(ISNA(MATCH(92,Engine!$C$2:$C$622,0)),"",INDEX('Compliance Database'!$H$2:$H$622,MATCH(92,Engine!$C$2:$C$622,0)))</f>
        <v/>
      </c>
      <c r="I105" s="8">
        <f>IF(ISNA(MATCH(92,Engine!$C$2:$C$622,0)),"",INDEX('Compliance Database'!$I$2:$I$622,MATCH(92,Engine!$C$2:$C$622,0)))</f>
        <v/>
      </c>
      <c r="J105" s="8">
        <f>IF(ISNA(MATCH(92,Engine!$C$2:$C$622,0)),"",INDEX('Compliance Database'!$J$2:$J$622,MATCH(92,Engine!$C$2:$C$622,0)))</f>
        <v/>
      </c>
      <c r="K105">
        <f>IF(ISNA(MATCH(92,Engine!$C$2:$C$622,0)),"",INDEX('Compliance Database'!$K$2:$K$622,MATCH(92,Engine!$C$2:$C$622,0)))</f>
        <v/>
      </c>
      <c r="L105" s="8">
        <f>IF(ISNA(MATCH(92,Engine!$C$2:$C$622,0)),"",INDEX('Compliance Database'!$L$2:$L$622,MATCH(92,Engine!$C$2:$C$622,0)))</f>
        <v/>
      </c>
      <c r="M105" s="8">
        <f>IF(ISNA(MATCH(92,Engine!$C$2:$C$622,0)),"",INDEX('Compliance Database'!$M$2:$M$622,MATCH(92,Engine!$C$2:$C$622,0)))</f>
        <v/>
      </c>
      <c r="N105" s="8">
        <f>IF(ISNA(MATCH(92,Engine!$C$2:$C$622,0)),"",INDEX('Compliance Database'!$N$2:$N$622,MATCH(92,Engine!$C$2:$C$622,0)))</f>
        <v/>
      </c>
      <c r="O105" s="8">
        <f>IF(ISNA(MATCH(92,Engine!$C$2:$C$622,0)),"",INDEX('Compliance Database'!$O$2:$O$622,MATCH(92,Engine!$C$2:$C$622,0)))</f>
        <v/>
      </c>
    </row>
    <row r="106">
      <c r="A106">
        <f>IF(ISNA(MATCH(93,Engine!$C$2:$C$622,0)),"",INDEX('Compliance Database'!$A$2:$A$622,MATCH(93,Engine!$C$2:$C$622,0)))</f>
        <v/>
      </c>
      <c r="B106">
        <f>IF(ISNA(MATCH(93,Engine!$C$2:$C$622,0)),"",INDEX('Compliance Database'!$B$2:$B$622,MATCH(93,Engine!$C$2:$C$622,0)))</f>
        <v/>
      </c>
      <c r="C106">
        <f>IF(ISNA(MATCH(93,Engine!$C$2:$C$622,0)),"",INDEX('Compliance Database'!$C$2:$C$622,MATCH(93,Engine!$C$2:$C$622,0)))</f>
        <v/>
      </c>
      <c r="D106" s="8">
        <f>IF(ISNA(MATCH(93,Engine!$C$2:$C$622,0)),"",INDEX('Compliance Database'!$D$2:$D$622,MATCH(93,Engine!$C$2:$C$622,0)))</f>
        <v/>
      </c>
      <c r="E106">
        <f>IF(ISNA(MATCH(93,Engine!$C$2:$C$622,0)),"",INDEX('Compliance Database'!$E$2:$E$622,MATCH(93,Engine!$C$2:$C$622,0)))</f>
        <v/>
      </c>
      <c r="F106">
        <f>IF(ISNA(MATCH(93,Engine!$C$2:$C$622,0)),"",INDEX('Compliance Database'!$F$2:$F$622,MATCH(93,Engine!$C$2:$C$622,0)))</f>
        <v/>
      </c>
      <c r="G106">
        <f>IF(ISNA(MATCH(93,Engine!$C$2:$C$622,0)),"",INDEX('Compliance Database'!$G$2:$G$622,MATCH(93,Engine!$C$2:$C$622,0)))</f>
        <v/>
      </c>
      <c r="H106">
        <f>IF(ISNA(MATCH(93,Engine!$C$2:$C$622,0)),"",INDEX('Compliance Database'!$H$2:$H$622,MATCH(93,Engine!$C$2:$C$622,0)))</f>
        <v/>
      </c>
      <c r="I106" s="8">
        <f>IF(ISNA(MATCH(93,Engine!$C$2:$C$622,0)),"",INDEX('Compliance Database'!$I$2:$I$622,MATCH(93,Engine!$C$2:$C$622,0)))</f>
        <v/>
      </c>
      <c r="J106" s="8">
        <f>IF(ISNA(MATCH(93,Engine!$C$2:$C$622,0)),"",INDEX('Compliance Database'!$J$2:$J$622,MATCH(93,Engine!$C$2:$C$622,0)))</f>
        <v/>
      </c>
      <c r="K106">
        <f>IF(ISNA(MATCH(93,Engine!$C$2:$C$622,0)),"",INDEX('Compliance Database'!$K$2:$K$622,MATCH(93,Engine!$C$2:$C$622,0)))</f>
        <v/>
      </c>
      <c r="L106" s="8">
        <f>IF(ISNA(MATCH(93,Engine!$C$2:$C$622,0)),"",INDEX('Compliance Database'!$L$2:$L$622,MATCH(93,Engine!$C$2:$C$622,0)))</f>
        <v/>
      </c>
      <c r="M106" s="8">
        <f>IF(ISNA(MATCH(93,Engine!$C$2:$C$622,0)),"",INDEX('Compliance Database'!$M$2:$M$622,MATCH(93,Engine!$C$2:$C$622,0)))</f>
        <v/>
      </c>
      <c r="N106" s="8">
        <f>IF(ISNA(MATCH(93,Engine!$C$2:$C$622,0)),"",INDEX('Compliance Database'!$N$2:$N$622,MATCH(93,Engine!$C$2:$C$622,0)))</f>
        <v/>
      </c>
      <c r="O106" s="8">
        <f>IF(ISNA(MATCH(93,Engine!$C$2:$C$622,0)),"",INDEX('Compliance Database'!$O$2:$O$622,MATCH(93,Engine!$C$2:$C$622,0)))</f>
        <v/>
      </c>
    </row>
    <row r="107">
      <c r="A107">
        <f>IF(ISNA(MATCH(94,Engine!$C$2:$C$622,0)),"",INDEX('Compliance Database'!$A$2:$A$622,MATCH(94,Engine!$C$2:$C$622,0)))</f>
        <v/>
      </c>
      <c r="B107">
        <f>IF(ISNA(MATCH(94,Engine!$C$2:$C$622,0)),"",INDEX('Compliance Database'!$B$2:$B$622,MATCH(94,Engine!$C$2:$C$622,0)))</f>
        <v/>
      </c>
      <c r="C107">
        <f>IF(ISNA(MATCH(94,Engine!$C$2:$C$622,0)),"",INDEX('Compliance Database'!$C$2:$C$622,MATCH(94,Engine!$C$2:$C$622,0)))</f>
        <v/>
      </c>
      <c r="D107" s="8">
        <f>IF(ISNA(MATCH(94,Engine!$C$2:$C$622,0)),"",INDEX('Compliance Database'!$D$2:$D$622,MATCH(94,Engine!$C$2:$C$622,0)))</f>
        <v/>
      </c>
      <c r="E107">
        <f>IF(ISNA(MATCH(94,Engine!$C$2:$C$622,0)),"",INDEX('Compliance Database'!$E$2:$E$622,MATCH(94,Engine!$C$2:$C$622,0)))</f>
        <v/>
      </c>
      <c r="F107">
        <f>IF(ISNA(MATCH(94,Engine!$C$2:$C$622,0)),"",INDEX('Compliance Database'!$F$2:$F$622,MATCH(94,Engine!$C$2:$C$622,0)))</f>
        <v/>
      </c>
      <c r="G107">
        <f>IF(ISNA(MATCH(94,Engine!$C$2:$C$622,0)),"",INDEX('Compliance Database'!$G$2:$G$622,MATCH(94,Engine!$C$2:$C$622,0)))</f>
        <v/>
      </c>
      <c r="H107">
        <f>IF(ISNA(MATCH(94,Engine!$C$2:$C$622,0)),"",INDEX('Compliance Database'!$H$2:$H$622,MATCH(94,Engine!$C$2:$C$622,0)))</f>
        <v/>
      </c>
      <c r="I107" s="8">
        <f>IF(ISNA(MATCH(94,Engine!$C$2:$C$622,0)),"",INDEX('Compliance Database'!$I$2:$I$622,MATCH(94,Engine!$C$2:$C$622,0)))</f>
        <v/>
      </c>
      <c r="J107" s="8">
        <f>IF(ISNA(MATCH(94,Engine!$C$2:$C$622,0)),"",INDEX('Compliance Database'!$J$2:$J$622,MATCH(94,Engine!$C$2:$C$622,0)))</f>
        <v/>
      </c>
      <c r="K107">
        <f>IF(ISNA(MATCH(94,Engine!$C$2:$C$622,0)),"",INDEX('Compliance Database'!$K$2:$K$622,MATCH(94,Engine!$C$2:$C$622,0)))</f>
        <v/>
      </c>
      <c r="L107" s="8">
        <f>IF(ISNA(MATCH(94,Engine!$C$2:$C$622,0)),"",INDEX('Compliance Database'!$L$2:$L$622,MATCH(94,Engine!$C$2:$C$622,0)))</f>
        <v/>
      </c>
      <c r="M107" s="8">
        <f>IF(ISNA(MATCH(94,Engine!$C$2:$C$622,0)),"",INDEX('Compliance Database'!$M$2:$M$622,MATCH(94,Engine!$C$2:$C$622,0)))</f>
        <v/>
      </c>
      <c r="N107" s="8">
        <f>IF(ISNA(MATCH(94,Engine!$C$2:$C$622,0)),"",INDEX('Compliance Database'!$N$2:$N$622,MATCH(94,Engine!$C$2:$C$622,0)))</f>
        <v/>
      </c>
      <c r="O107" s="8">
        <f>IF(ISNA(MATCH(94,Engine!$C$2:$C$622,0)),"",INDEX('Compliance Database'!$O$2:$O$622,MATCH(94,Engine!$C$2:$C$622,0)))</f>
        <v/>
      </c>
    </row>
    <row r="108">
      <c r="A108">
        <f>IF(ISNA(MATCH(95,Engine!$C$2:$C$622,0)),"",INDEX('Compliance Database'!$A$2:$A$622,MATCH(95,Engine!$C$2:$C$622,0)))</f>
        <v/>
      </c>
      <c r="B108">
        <f>IF(ISNA(MATCH(95,Engine!$C$2:$C$622,0)),"",INDEX('Compliance Database'!$B$2:$B$622,MATCH(95,Engine!$C$2:$C$622,0)))</f>
        <v/>
      </c>
      <c r="C108">
        <f>IF(ISNA(MATCH(95,Engine!$C$2:$C$622,0)),"",INDEX('Compliance Database'!$C$2:$C$622,MATCH(95,Engine!$C$2:$C$622,0)))</f>
        <v/>
      </c>
      <c r="D108" s="8">
        <f>IF(ISNA(MATCH(95,Engine!$C$2:$C$622,0)),"",INDEX('Compliance Database'!$D$2:$D$622,MATCH(95,Engine!$C$2:$C$622,0)))</f>
        <v/>
      </c>
      <c r="E108">
        <f>IF(ISNA(MATCH(95,Engine!$C$2:$C$622,0)),"",INDEX('Compliance Database'!$E$2:$E$622,MATCH(95,Engine!$C$2:$C$622,0)))</f>
        <v/>
      </c>
      <c r="F108">
        <f>IF(ISNA(MATCH(95,Engine!$C$2:$C$622,0)),"",INDEX('Compliance Database'!$F$2:$F$622,MATCH(95,Engine!$C$2:$C$622,0)))</f>
        <v/>
      </c>
      <c r="G108">
        <f>IF(ISNA(MATCH(95,Engine!$C$2:$C$622,0)),"",INDEX('Compliance Database'!$G$2:$G$622,MATCH(95,Engine!$C$2:$C$622,0)))</f>
        <v/>
      </c>
      <c r="H108">
        <f>IF(ISNA(MATCH(95,Engine!$C$2:$C$622,0)),"",INDEX('Compliance Database'!$H$2:$H$622,MATCH(95,Engine!$C$2:$C$622,0)))</f>
        <v/>
      </c>
      <c r="I108" s="8">
        <f>IF(ISNA(MATCH(95,Engine!$C$2:$C$622,0)),"",INDEX('Compliance Database'!$I$2:$I$622,MATCH(95,Engine!$C$2:$C$622,0)))</f>
        <v/>
      </c>
      <c r="J108" s="8">
        <f>IF(ISNA(MATCH(95,Engine!$C$2:$C$622,0)),"",INDEX('Compliance Database'!$J$2:$J$622,MATCH(95,Engine!$C$2:$C$622,0)))</f>
        <v/>
      </c>
      <c r="K108">
        <f>IF(ISNA(MATCH(95,Engine!$C$2:$C$622,0)),"",INDEX('Compliance Database'!$K$2:$K$622,MATCH(95,Engine!$C$2:$C$622,0)))</f>
        <v/>
      </c>
      <c r="L108" s="8">
        <f>IF(ISNA(MATCH(95,Engine!$C$2:$C$622,0)),"",INDEX('Compliance Database'!$L$2:$L$622,MATCH(95,Engine!$C$2:$C$622,0)))</f>
        <v/>
      </c>
      <c r="M108" s="8">
        <f>IF(ISNA(MATCH(95,Engine!$C$2:$C$622,0)),"",INDEX('Compliance Database'!$M$2:$M$622,MATCH(95,Engine!$C$2:$C$622,0)))</f>
        <v/>
      </c>
      <c r="N108" s="8">
        <f>IF(ISNA(MATCH(95,Engine!$C$2:$C$622,0)),"",INDEX('Compliance Database'!$N$2:$N$622,MATCH(95,Engine!$C$2:$C$622,0)))</f>
        <v/>
      </c>
      <c r="O108" s="8">
        <f>IF(ISNA(MATCH(95,Engine!$C$2:$C$622,0)),"",INDEX('Compliance Database'!$O$2:$O$622,MATCH(95,Engine!$C$2:$C$622,0)))</f>
        <v/>
      </c>
    </row>
    <row r="109">
      <c r="A109">
        <f>IF(ISNA(MATCH(96,Engine!$C$2:$C$622,0)),"",INDEX('Compliance Database'!$A$2:$A$622,MATCH(96,Engine!$C$2:$C$622,0)))</f>
        <v/>
      </c>
      <c r="B109">
        <f>IF(ISNA(MATCH(96,Engine!$C$2:$C$622,0)),"",INDEX('Compliance Database'!$B$2:$B$622,MATCH(96,Engine!$C$2:$C$622,0)))</f>
        <v/>
      </c>
      <c r="C109">
        <f>IF(ISNA(MATCH(96,Engine!$C$2:$C$622,0)),"",INDEX('Compliance Database'!$C$2:$C$622,MATCH(96,Engine!$C$2:$C$622,0)))</f>
        <v/>
      </c>
      <c r="D109" s="8">
        <f>IF(ISNA(MATCH(96,Engine!$C$2:$C$622,0)),"",INDEX('Compliance Database'!$D$2:$D$622,MATCH(96,Engine!$C$2:$C$622,0)))</f>
        <v/>
      </c>
      <c r="E109">
        <f>IF(ISNA(MATCH(96,Engine!$C$2:$C$622,0)),"",INDEX('Compliance Database'!$E$2:$E$622,MATCH(96,Engine!$C$2:$C$622,0)))</f>
        <v/>
      </c>
      <c r="F109">
        <f>IF(ISNA(MATCH(96,Engine!$C$2:$C$622,0)),"",INDEX('Compliance Database'!$F$2:$F$622,MATCH(96,Engine!$C$2:$C$622,0)))</f>
        <v/>
      </c>
      <c r="G109">
        <f>IF(ISNA(MATCH(96,Engine!$C$2:$C$622,0)),"",INDEX('Compliance Database'!$G$2:$G$622,MATCH(96,Engine!$C$2:$C$622,0)))</f>
        <v/>
      </c>
      <c r="H109">
        <f>IF(ISNA(MATCH(96,Engine!$C$2:$C$622,0)),"",INDEX('Compliance Database'!$H$2:$H$622,MATCH(96,Engine!$C$2:$C$622,0)))</f>
        <v/>
      </c>
      <c r="I109" s="8">
        <f>IF(ISNA(MATCH(96,Engine!$C$2:$C$622,0)),"",INDEX('Compliance Database'!$I$2:$I$622,MATCH(96,Engine!$C$2:$C$622,0)))</f>
        <v/>
      </c>
      <c r="J109" s="8">
        <f>IF(ISNA(MATCH(96,Engine!$C$2:$C$622,0)),"",INDEX('Compliance Database'!$J$2:$J$622,MATCH(96,Engine!$C$2:$C$622,0)))</f>
        <v/>
      </c>
      <c r="K109">
        <f>IF(ISNA(MATCH(96,Engine!$C$2:$C$622,0)),"",INDEX('Compliance Database'!$K$2:$K$622,MATCH(96,Engine!$C$2:$C$622,0)))</f>
        <v/>
      </c>
      <c r="L109" s="8">
        <f>IF(ISNA(MATCH(96,Engine!$C$2:$C$622,0)),"",INDEX('Compliance Database'!$L$2:$L$622,MATCH(96,Engine!$C$2:$C$622,0)))</f>
        <v/>
      </c>
      <c r="M109" s="8">
        <f>IF(ISNA(MATCH(96,Engine!$C$2:$C$622,0)),"",INDEX('Compliance Database'!$M$2:$M$622,MATCH(96,Engine!$C$2:$C$622,0)))</f>
        <v/>
      </c>
      <c r="N109" s="8">
        <f>IF(ISNA(MATCH(96,Engine!$C$2:$C$622,0)),"",INDEX('Compliance Database'!$N$2:$N$622,MATCH(96,Engine!$C$2:$C$622,0)))</f>
        <v/>
      </c>
      <c r="O109" s="8">
        <f>IF(ISNA(MATCH(96,Engine!$C$2:$C$622,0)),"",INDEX('Compliance Database'!$O$2:$O$622,MATCH(96,Engine!$C$2:$C$622,0)))</f>
        <v/>
      </c>
    </row>
    <row r="110">
      <c r="A110">
        <f>IF(ISNA(MATCH(97,Engine!$C$2:$C$622,0)),"",INDEX('Compliance Database'!$A$2:$A$622,MATCH(97,Engine!$C$2:$C$622,0)))</f>
        <v/>
      </c>
      <c r="B110">
        <f>IF(ISNA(MATCH(97,Engine!$C$2:$C$622,0)),"",INDEX('Compliance Database'!$B$2:$B$622,MATCH(97,Engine!$C$2:$C$622,0)))</f>
        <v/>
      </c>
      <c r="C110">
        <f>IF(ISNA(MATCH(97,Engine!$C$2:$C$622,0)),"",INDEX('Compliance Database'!$C$2:$C$622,MATCH(97,Engine!$C$2:$C$622,0)))</f>
        <v/>
      </c>
      <c r="D110" s="8">
        <f>IF(ISNA(MATCH(97,Engine!$C$2:$C$622,0)),"",INDEX('Compliance Database'!$D$2:$D$622,MATCH(97,Engine!$C$2:$C$622,0)))</f>
        <v/>
      </c>
      <c r="E110">
        <f>IF(ISNA(MATCH(97,Engine!$C$2:$C$622,0)),"",INDEX('Compliance Database'!$E$2:$E$622,MATCH(97,Engine!$C$2:$C$622,0)))</f>
        <v/>
      </c>
      <c r="F110">
        <f>IF(ISNA(MATCH(97,Engine!$C$2:$C$622,0)),"",INDEX('Compliance Database'!$F$2:$F$622,MATCH(97,Engine!$C$2:$C$622,0)))</f>
        <v/>
      </c>
      <c r="G110">
        <f>IF(ISNA(MATCH(97,Engine!$C$2:$C$622,0)),"",INDEX('Compliance Database'!$G$2:$G$622,MATCH(97,Engine!$C$2:$C$622,0)))</f>
        <v/>
      </c>
      <c r="H110">
        <f>IF(ISNA(MATCH(97,Engine!$C$2:$C$622,0)),"",INDEX('Compliance Database'!$H$2:$H$622,MATCH(97,Engine!$C$2:$C$622,0)))</f>
        <v/>
      </c>
      <c r="I110" s="8">
        <f>IF(ISNA(MATCH(97,Engine!$C$2:$C$622,0)),"",INDEX('Compliance Database'!$I$2:$I$622,MATCH(97,Engine!$C$2:$C$622,0)))</f>
        <v/>
      </c>
      <c r="J110" s="8">
        <f>IF(ISNA(MATCH(97,Engine!$C$2:$C$622,0)),"",INDEX('Compliance Database'!$J$2:$J$622,MATCH(97,Engine!$C$2:$C$622,0)))</f>
        <v/>
      </c>
      <c r="K110">
        <f>IF(ISNA(MATCH(97,Engine!$C$2:$C$622,0)),"",INDEX('Compliance Database'!$K$2:$K$622,MATCH(97,Engine!$C$2:$C$622,0)))</f>
        <v/>
      </c>
      <c r="L110" s="8">
        <f>IF(ISNA(MATCH(97,Engine!$C$2:$C$622,0)),"",INDEX('Compliance Database'!$L$2:$L$622,MATCH(97,Engine!$C$2:$C$622,0)))</f>
        <v/>
      </c>
      <c r="M110" s="8">
        <f>IF(ISNA(MATCH(97,Engine!$C$2:$C$622,0)),"",INDEX('Compliance Database'!$M$2:$M$622,MATCH(97,Engine!$C$2:$C$622,0)))</f>
        <v/>
      </c>
      <c r="N110" s="8">
        <f>IF(ISNA(MATCH(97,Engine!$C$2:$C$622,0)),"",INDEX('Compliance Database'!$N$2:$N$622,MATCH(97,Engine!$C$2:$C$622,0)))</f>
        <v/>
      </c>
      <c r="O110" s="8">
        <f>IF(ISNA(MATCH(97,Engine!$C$2:$C$622,0)),"",INDEX('Compliance Database'!$O$2:$O$622,MATCH(97,Engine!$C$2:$C$622,0)))</f>
        <v/>
      </c>
    </row>
    <row r="111">
      <c r="A111">
        <f>IF(ISNA(MATCH(98,Engine!$C$2:$C$622,0)),"",INDEX('Compliance Database'!$A$2:$A$622,MATCH(98,Engine!$C$2:$C$622,0)))</f>
        <v/>
      </c>
      <c r="B111">
        <f>IF(ISNA(MATCH(98,Engine!$C$2:$C$622,0)),"",INDEX('Compliance Database'!$B$2:$B$622,MATCH(98,Engine!$C$2:$C$622,0)))</f>
        <v/>
      </c>
      <c r="C111">
        <f>IF(ISNA(MATCH(98,Engine!$C$2:$C$622,0)),"",INDEX('Compliance Database'!$C$2:$C$622,MATCH(98,Engine!$C$2:$C$622,0)))</f>
        <v/>
      </c>
      <c r="D111" s="8">
        <f>IF(ISNA(MATCH(98,Engine!$C$2:$C$622,0)),"",INDEX('Compliance Database'!$D$2:$D$622,MATCH(98,Engine!$C$2:$C$622,0)))</f>
        <v/>
      </c>
      <c r="E111">
        <f>IF(ISNA(MATCH(98,Engine!$C$2:$C$622,0)),"",INDEX('Compliance Database'!$E$2:$E$622,MATCH(98,Engine!$C$2:$C$622,0)))</f>
        <v/>
      </c>
      <c r="F111">
        <f>IF(ISNA(MATCH(98,Engine!$C$2:$C$622,0)),"",INDEX('Compliance Database'!$F$2:$F$622,MATCH(98,Engine!$C$2:$C$622,0)))</f>
        <v/>
      </c>
      <c r="G111">
        <f>IF(ISNA(MATCH(98,Engine!$C$2:$C$622,0)),"",INDEX('Compliance Database'!$G$2:$G$622,MATCH(98,Engine!$C$2:$C$622,0)))</f>
        <v/>
      </c>
      <c r="H111">
        <f>IF(ISNA(MATCH(98,Engine!$C$2:$C$622,0)),"",INDEX('Compliance Database'!$H$2:$H$622,MATCH(98,Engine!$C$2:$C$622,0)))</f>
        <v/>
      </c>
      <c r="I111" s="8">
        <f>IF(ISNA(MATCH(98,Engine!$C$2:$C$622,0)),"",INDEX('Compliance Database'!$I$2:$I$622,MATCH(98,Engine!$C$2:$C$622,0)))</f>
        <v/>
      </c>
      <c r="J111" s="8">
        <f>IF(ISNA(MATCH(98,Engine!$C$2:$C$622,0)),"",INDEX('Compliance Database'!$J$2:$J$622,MATCH(98,Engine!$C$2:$C$622,0)))</f>
        <v/>
      </c>
      <c r="K111">
        <f>IF(ISNA(MATCH(98,Engine!$C$2:$C$622,0)),"",INDEX('Compliance Database'!$K$2:$K$622,MATCH(98,Engine!$C$2:$C$622,0)))</f>
        <v/>
      </c>
      <c r="L111" s="8">
        <f>IF(ISNA(MATCH(98,Engine!$C$2:$C$622,0)),"",INDEX('Compliance Database'!$L$2:$L$622,MATCH(98,Engine!$C$2:$C$622,0)))</f>
        <v/>
      </c>
      <c r="M111" s="8">
        <f>IF(ISNA(MATCH(98,Engine!$C$2:$C$622,0)),"",INDEX('Compliance Database'!$M$2:$M$622,MATCH(98,Engine!$C$2:$C$622,0)))</f>
        <v/>
      </c>
      <c r="N111" s="8">
        <f>IF(ISNA(MATCH(98,Engine!$C$2:$C$622,0)),"",INDEX('Compliance Database'!$N$2:$N$622,MATCH(98,Engine!$C$2:$C$622,0)))</f>
        <v/>
      </c>
      <c r="O111" s="8">
        <f>IF(ISNA(MATCH(98,Engine!$C$2:$C$622,0)),"",INDEX('Compliance Database'!$O$2:$O$622,MATCH(98,Engine!$C$2:$C$622,0)))</f>
        <v/>
      </c>
    </row>
    <row r="112">
      <c r="A112">
        <f>IF(ISNA(MATCH(99,Engine!$C$2:$C$622,0)),"",INDEX('Compliance Database'!$A$2:$A$622,MATCH(99,Engine!$C$2:$C$622,0)))</f>
        <v/>
      </c>
      <c r="B112">
        <f>IF(ISNA(MATCH(99,Engine!$C$2:$C$622,0)),"",INDEX('Compliance Database'!$B$2:$B$622,MATCH(99,Engine!$C$2:$C$622,0)))</f>
        <v/>
      </c>
      <c r="C112">
        <f>IF(ISNA(MATCH(99,Engine!$C$2:$C$622,0)),"",INDEX('Compliance Database'!$C$2:$C$622,MATCH(99,Engine!$C$2:$C$622,0)))</f>
        <v/>
      </c>
      <c r="D112" s="8">
        <f>IF(ISNA(MATCH(99,Engine!$C$2:$C$622,0)),"",INDEX('Compliance Database'!$D$2:$D$622,MATCH(99,Engine!$C$2:$C$622,0)))</f>
        <v/>
      </c>
      <c r="E112">
        <f>IF(ISNA(MATCH(99,Engine!$C$2:$C$622,0)),"",INDEX('Compliance Database'!$E$2:$E$622,MATCH(99,Engine!$C$2:$C$622,0)))</f>
        <v/>
      </c>
      <c r="F112">
        <f>IF(ISNA(MATCH(99,Engine!$C$2:$C$622,0)),"",INDEX('Compliance Database'!$F$2:$F$622,MATCH(99,Engine!$C$2:$C$622,0)))</f>
        <v/>
      </c>
      <c r="G112">
        <f>IF(ISNA(MATCH(99,Engine!$C$2:$C$622,0)),"",INDEX('Compliance Database'!$G$2:$G$622,MATCH(99,Engine!$C$2:$C$622,0)))</f>
        <v/>
      </c>
      <c r="H112">
        <f>IF(ISNA(MATCH(99,Engine!$C$2:$C$622,0)),"",INDEX('Compliance Database'!$H$2:$H$622,MATCH(99,Engine!$C$2:$C$622,0)))</f>
        <v/>
      </c>
      <c r="I112" s="8">
        <f>IF(ISNA(MATCH(99,Engine!$C$2:$C$622,0)),"",INDEX('Compliance Database'!$I$2:$I$622,MATCH(99,Engine!$C$2:$C$622,0)))</f>
        <v/>
      </c>
      <c r="J112" s="8">
        <f>IF(ISNA(MATCH(99,Engine!$C$2:$C$622,0)),"",INDEX('Compliance Database'!$J$2:$J$622,MATCH(99,Engine!$C$2:$C$622,0)))</f>
        <v/>
      </c>
      <c r="K112">
        <f>IF(ISNA(MATCH(99,Engine!$C$2:$C$622,0)),"",INDEX('Compliance Database'!$K$2:$K$622,MATCH(99,Engine!$C$2:$C$622,0)))</f>
        <v/>
      </c>
      <c r="L112" s="8">
        <f>IF(ISNA(MATCH(99,Engine!$C$2:$C$622,0)),"",INDEX('Compliance Database'!$L$2:$L$622,MATCH(99,Engine!$C$2:$C$622,0)))</f>
        <v/>
      </c>
      <c r="M112" s="8">
        <f>IF(ISNA(MATCH(99,Engine!$C$2:$C$622,0)),"",INDEX('Compliance Database'!$M$2:$M$622,MATCH(99,Engine!$C$2:$C$622,0)))</f>
        <v/>
      </c>
      <c r="N112" s="8">
        <f>IF(ISNA(MATCH(99,Engine!$C$2:$C$622,0)),"",INDEX('Compliance Database'!$N$2:$N$622,MATCH(99,Engine!$C$2:$C$622,0)))</f>
        <v/>
      </c>
      <c r="O112" s="8">
        <f>IF(ISNA(MATCH(99,Engine!$C$2:$C$622,0)),"",INDEX('Compliance Database'!$O$2:$O$622,MATCH(99,Engine!$C$2:$C$622,0)))</f>
        <v/>
      </c>
    </row>
    <row r="113">
      <c r="A113">
        <f>IF(ISNA(MATCH(100,Engine!$C$2:$C$622,0)),"",INDEX('Compliance Database'!$A$2:$A$622,MATCH(100,Engine!$C$2:$C$622,0)))</f>
        <v/>
      </c>
      <c r="B113">
        <f>IF(ISNA(MATCH(100,Engine!$C$2:$C$622,0)),"",INDEX('Compliance Database'!$B$2:$B$622,MATCH(100,Engine!$C$2:$C$622,0)))</f>
        <v/>
      </c>
      <c r="C113">
        <f>IF(ISNA(MATCH(100,Engine!$C$2:$C$622,0)),"",INDEX('Compliance Database'!$C$2:$C$622,MATCH(100,Engine!$C$2:$C$622,0)))</f>
        <v/>
      </c>
      <c r="D113" s="8">
        <f>IF(ISNA(MATCH(100,Engine!$C$2:$C$622,0)),"",INDEX('Compliance Database'!$D$2:$D$622,MATCH(100,Engine!$C$2:$C$622,0)))</f>
        <v/>
      </c>
      <c r="E113">
        <f>IF(ISNA(MATCH(100,Engine!$C$2:$C$622,0)),"",INDEX('Compliance Database'!$E$2:$E$622,MATCH(100,Engine!$C$2:$C$622,0)))</f>
        <v/>
      </c>
      <c r="F113">
        <f>IF(ISNA(MATCH(100,Engine!$C$2:$C$622,0)),"",INDEX('Compliance Database'!$F$2:$F$622,MATCH(100,Engine!$C$2:$C$622,0)))</f>
        <v/>
      </c>
      <c r="G113">
        <f>IF(ISNA(MATCH(100,Engine!$C$2:$C$622,0)),"",INDEX('Compliance Database'!$G$2:$G$622,MATCH(100,Engine!$C$2:$C$622,0)))</f>
        <v/>
      </c>
      <c r="H113">
        <f>IF(ISNA(MATCH(100,Engine!$C$2:$C$622,0)),"",INDEX('Compliance Database'!$H$2:$H$622,MATCH(100,Engine!$C$2:$C$622,0)))</f>
        <v/>
      </c>
      <c r="I113" s="8">
        <f>IF(ISNA(MATCH(100,Engine!$C$2:$C$622,0)),"",INDEX('Compliance Database'!$I$2:$I$622,MATCH(100,Engine!$C$2:$C$622,0)))</f>
        <v/>
      </c>
      <c r="J113" s="8">
        <f>IF(ISNA(MATCH(100,Engine!$C$2:$C$622,0)),"",INDEX('Compliance Database'!$J$2:$J$622,MATCH(100,Engine!$C$2:$C$622,0)))</f>
        <v/>
      </c>
      <c r="K113">
        <f>IF(ISNA(MATCH(100,Engine!$C$2:$C$622,0)),"",INDEX('Compliance Database'!$K$2:$K$622,MATCH(100,Engine!$C$2:$C$622,0)))</f>
        <v/>
      </c>
      <c r="L113" s="8">
        <f>IF(ISNA(MATCH(100,Engine!$C$2:$C$622,0)),"",INDEX('Compliance Database'!$L$2:$L$622,MATCH(100,Engine!$C$2:$C$622,0)))</f>
        <v/>
      </c>
      <c r="M113" s="8">
        <f>IF(ISNA(MATCH(100,Engine!$C$2:$C$622,0)),"",INDEX('Compliance Database'!$M$2:$M$622,MATCH(100,Engine!$C$2:$C$622,0)))</f>
        <v/>
      </c>
      <c r="N113" s="8">
        <f>IF(ISNA(MATCH(100,Engine!$C$2:$C$622,0)),"",INDEX('Compliance Database'!$N$2:$N$622,MATCH(100,Engine!$C$2:$C$622,0)))</f>
        <v/>
      </c>
      <c r="O113" s="8">
        <f>IF(ISNA(MATCH(100,Engine!$C$2:$C$622,0)),"",INDEX('Compliance Database'!$O$2:$O$622,MATCH(100,Engine!$C$2:$C$622,0)))</f>
        <v/>
      </c>
    </row>
    <row r="114">
      <c r="A114">
        <f>IF(ISNA(MATCH(101,Engine!$C$2:$C$622,0)),"",INDEX('Compliance Database'!$A$2:$A$622,MATCH(101,Engine!$C$2:$C$622,0)))</f>
        <v/>
      </c>
      <c r="B114">
        <f>IF(ISNA(MATCH(101,Engine!$C$2:$C$622,0)),"",INDEX('Compliance Database'!$B$2:$B$622,MATCH(101,Engine!$C$2:$C$622,0)))</f>
        <v/>
      </c>
      <c r="C114">
        <f>IF(ISNA(MATCH(101,Engine!$C$2:$C$622,0)),"",INDEX('Compliance Database'!$C$2:$C$622,MATCH(101,Engine!$C$2:$C$622,0)))</f>
        <v/>
      </c>
      <c r="D114" s="8">
        <f>IF(ISNA(MATCH(101,Engine!$C$2:$C$622,0)),"",INDEX('Compliance Database'!$D$2:$D$622,MATCH(101,Engine!$C$2:$C$622,0)))</f>
        <v/>
      </c>
      <c r="E114">
        <f>IF(ISNA(MATCH(101,Engine!$C$2:$C$622,0)),"",INDEX('Compliance Database'!$E$2:$E$622,MATCH(101,Engine!$C$2:$C$622,0)))</f>
        <v/>
      </c>
      <c r="F114">
        <f>IF(ISNA(MATCH(101,Engine!$C$2:$C$622,0)),"",INDEX('Compliance Database'!$F$2:$F$622,MATCH(101,Engine!$C$2:$C$622,0)))</f>
        <v/>
      </c>
      <c r="G114">
        <f>IF(ISNA(MATCH(101,Engine!$C$2:$C$622,0)),"",INDEX('Compliance Database'!$G$2:$G$622,MATCH(101,Engine!$C$2:$C$622,0)))</f>
        <v/>
      </c>
      <c r="H114">
        <f>IF(ISNA(MATCH(101,Engine!$C$2:$C$622,0)),"",INDEX('Compliance Database'!$H$2:$H$622,MATCH(101,Engine!$C$2:$C$622,0)))</f>
        <v/>
      </c>
      <c r="I114" s="8">
        <f>IF(ISNA(MATCH(101,Engine!$C$2:$C$622,0)),"",INDEX('Compliance Database'!$I$2:$I$622,MATCH(101,Engine!$C$2:$C$622,0)))</f>
        <v/>
      </c>
      <c r="J114" s="8">
        <f>IF(ISNA(MATCH(101,Engine!$C$2:$C$622,0)),"",INDEX('Compliance Database'!$J$2:$J$622,MATCH(101,Engine!$C$2:$C$622,0)))</f>
        <v/>
      </c>
      <c r="K114">
        <f>IF(ISNA(MATCH(101,Engine!$C$2:$C$622,0)),"",INDEX('Compliance Database'!$K$2:$K$622,MATCH(101,Engine!$C$2:$C$622,0)))</f>
        <v/>
      </c>
      <c r="L114" s="8">
        <f>IF(ISNA(MATCH(101,Engine!$C$2:$C$622,0)),"",INDEX('Compliance Database'!$L$2:$L$622,MATCH(101,Engine!$C$2:$C$622,0)))</f>
        <v/>
      </c>
      <c r="M114" s="8">
        <f>IF(ISNA(MATCH(101,Engine!$C$2:$C$622,0)),"",INDEX('Compliance Database'!$M$2:$M$622,MATCH(101,Engine!$C$2:$C$622,0)))</f>
        <v/>
      </c>
      <c r="N114" s="8">
        <f>IF(ISNA(MATCH(101,Engine!$C$2:$C$622,0)),"",INDEX('Compliance Database'!$N$2:$N$622,MATCH(101,Engine!$C$2:$C$622,0)))</f>
        <v/>
      </c>
      <c r="O114" s="8">
        <f>IF(ISNA(MATCH(101,Engine!$C$2:$C$622,0)),"",INDEX('Compliance Database'!$O$2:$O$622,MATCH(101,Engine!$C$2:$C$622,0)))</f>
        <v/>
      </c>
    </row>
    <row r="115">
      <c r="A115">
        <f>IF(ISNA(MATCH(102,Engine!$C$2:$C$622,0)),"",INDEX('Compliance Database'!$A$2:$A$622,MATCH(102,Engine!$C$2:$C$622,0)))</f>
        <v/>
      </c>
      <c r="B115">
        <f>IF(ISNA(MATCH(102,Engine!$C$2:$C$622,0)),"",INDEX('Compliance Database'!$B$2:$B$622,MATCH(102,Engine!$C$2:$C$622,0)))</f>
        <v/>
      </c>
      <c r="C115">
        <f>IF(ISNA(MATCH(102,Engine!$C$2:$C$622,0)),"",INDEX('Compliance Database'!$C$2:$C$622,MATCH(102,Engine!$C$2:$C$622,0)))</f>
        <v/>
      </c>
      <c r="D115" s="8">
        <f>IF(ISNA(MATCH(102,Engine!$C$2:$C$622,0)),"",INDEX('Compliance Database'!$D$2:$D$622,MATCH(102,Engine!$C$2:$C$622,0)))</f>
        <v/>
      </c>
      <c r="E115">
        <f>IF(ISNA(MATCH(102,Engine!$C$2:$C$622,0)),"",INDEX('Compliance Database'!$E$2:$E$622,MATCH(102,Engine!$C$2:$C$622,0)))</f>
        <v/>
      </c>
      <c r="F115">
        <f>IF(ISNA(MATCH(102,Engine!$C$2:$C$622,0)),"",INDEX('Compliance Database'!$F$2:$F$622,MATCH(102,Engine!$C$2:$C$622,0)))</f>
        <v/>
      </c>
      <c r="G115">
        <f>IF(ISNA(MATCH(102,Engine!$C$2:$C$622,0)),"",INDEX('Compliance Database'!$G$2:$G$622,MATCH(102,Engine!$C$2:$C$622,0)))</f>
        <v/>
      </c>
      <c r="H115">
        <f>IF(ISNA(MATCH(102,Engine!$C$2:$C$622,0)),"",INDEX('Compliance Database'!$H$2:$H$622,MATCH(102,Engine!$C$2:$C$622,0)))</f>
        <v/>
      </c>
      <c r="I115" s="8">
        <f>IF(ISNA(MATCH(102,Engine!$C$2:$C$622,0)),"",INDEX('Compliance Database'!$I$2:$I$622,MATCH(102,Engine!$C$2:$C$622,0)))</f>
        <v/>
      </c>
      <c r="J115" s="8">
        <f>IF(ISNA(MATCH(102,Engine!$C$2:$C$622,0)),"",INDEX('Compliance Database'!$J$2:$J$622,MATCH(102,Engine!$C$2:$C$622,0)))</f>
        <v/>
      </c>
      <c r="K115">
        <f>IF(ISNA(MATCH(102,Engine!$C$2:$C$622,0)),"",INDEX('Compliance Database'!$K$2:$K$622,MATCH(102,Engine!$C$2:$C$622,0)))</f>
        <v/>
      </c>
      <c r="L115" s="8">
        <f>IF(ISNA(MATCH(102,Engine!$C$2:$C$622,0)),"",INDEX('Compliance Database'!$L$2:$L$622,MATCH(102,Engine!$C$2:$C$622,0)))</f>
        <v/>
      </c>
      <c r="M115" s="8">
        <f>IF(ISNA(MATCH(102,Engine!$C$2:$C$622,0)),"",INDEX('Compliance Database'!$M$2:$M$622,MATCH(102,Engine!$C$2:$C$622,0)))</f>
        <v/>
      </c>
      <c r="N115" s="8">
        <f>IF(ISNA(MATCH(102,Engine!$C$2:$C$622,0)),"",INDEX('Compliance Database'!$N$2:$N$622,MATCH(102,Engine!$C$2:$C$622,0)))</f>
        <v/>
      </c>
      <c r="O115" s="8">
        <f>IF(ISNA(MATCH(102,Engine!$C$2:$C$622,0)),"",INDEX('Compliance Database'!$O$2:$O$622,MATCH(102,Engine!$C$2:$C$622,0)))</f>
        <v/>
      </c>
    </row>
    <row r="116">
      <c r="A116">
        <f>IF(ISNA(MATCH(103,Engine!$C$2:$C$622,0)),"",INDEX('Compliance Database'!$A$2:$A$622,MATCH(103,Engine!$C$2:$C$622,0)))</f>
        <v/>
      </c>
      <c r="B116">
        <f>IF(ISNA(MATCH(103,Engine!$C$2:$C$622,0)),"",INDEX('Compliance Database'!$B$2:$B$622,MATCH(103,Engine!$C$2:$C$622,0)))</f>
        <v/>
      </c>
      <c r="C116">
        <f>IF(ISNA(MATCH(103,Engine!$C$2:$C$622,0)),"",INDEX('Compliance Database'!$C$2:$C$622,MATCH(103,Engine!$C$2:$C$622,0)))</f>
        <v/>
      </c>
      <c r="D116" s="8">
        <f>IF(ISNA(MATCH(103,Engine!$C$2:$C$622,0)),"",INDEX('Compliance Database'!$D$2:$D$622,MATCH(103,Engine!$C$2:$C$622,0)))</f>
        <v/>
      </c>
      <c r="E116">
        <f>IF(ISNA(MATCH(103,Engine!$C$2:$C$622,0)),"",INDEX('Compliance Database'!$E$2:$E$622,MATCH(103,Engine!$C$2:$C$622,0)))</f>
        <v/>
      </c>
      <c r="F116">
        <f>IF(ISNA(MATCH(103,Engine!$C$2:$C$622,0)),"",INDEX('Compliance Database'!$F$2:$F$622,MATCH(103,Engine!$C$2:$C$622,0)))</f>
        <v/>
      </c>
      <c r="G116">
        <f>IF(ISNA(MATCH(103,Engine!$C$2:$C$622,0)),"",INDEX('Compliance Database'!$G$2:$G$622,MATCH(103,Engine!$C$2:$C$622,0)))</f>
        <v/>
      </c>
      <c r="H116">
        <f>IF(ISNA(MATCH(103,Engine!$C$2:$C$622,0)),"",INDEX('Compliance Database'!$H$2:$H$622,MATCH(103,Engine!$C$2:$C$622,0)))</f>
        <v/>
      </c>
      <c r="I116" s="8">
        <f>IF(ISNA(MATCH(103,Engine!$C$2:$C$622,0)),"",INDEX('Compliance Database'!$I$2:$I$622,MATCH(103,Engine!$C$2:$C$622,0)))</f>
        <v/>
      </c>
      <c r="J116" s="8">
        <f>IF(ISNA(MATCH(103,Engine!$C$2:$C$622,0)),"",INDEX('Compliance Database'!$J$2:$J$622,MATCH(103,Engine!$C$2:$C$622,0)))</f>
        <v/>
      </c>
      <c r="K116">
        <f>IF(ISNA(MATCH(103,Engine!$C$2:$C$622,0)),"",INDEX('Compliance Database'!$K$2:$K$622,MATCH(103,Engine!$C$2:$C$622,0)))</f>
        <v/>
      </c>
      <c r="L116" s="8">
        <f>IF(ISNA(MATCH(103,Engine!$C$2:$C$622,0)),"",INDEX('Compliance Database'!$L$2:$L$622,MATCH(103,Engine!$C$2:$C$622,0)))</f>
        <v/>
      </c>
      <c r="M116" s="8">
        <f>IF(ISNA(MATCH(103,Engine!$C$2:$C$622,0)),"",INDEX('Compliance Database'!$M$2:$M$622,MATCH(103,Engine!$C$2:$C$622,0)))</f>
        <v/>
      </c>
      <c r="N116" s="8">
        <f>IF(ISNA(MATCH(103,Engine!$C$2:$C$622,0)),"",INDEX('Compliance Database'!$N$2:$N$622,MATCH(103,Engine!$C$2:$C$622,0)))</f>
        <v/>
      </c>
      <c r="O116" s="8">
        <f>IF(ISNA(MATCH(103,Engine!$C$2:$C$622,0)),"",INDEX('Compliance Database'!$O$2:$O$622,MATCH(103,Engine!$C$2:$C$622,0)))</f>
        <v/>
      </c>
    </row>
    <row r="117">
      <c r="A117">
        <f>IF(ISNA(MATCH(104,Engine!$C$2:$C$622,0)),"",INDEX('Compliance Database'!$A$2:$A$622,MATCH(104,Engine!$C$2:$C$622,0)))</f>
        <v/>
      </c>
      <c r="B117">
        <f>IF(ISNA(MATCH(104,Engine!$C$2:$C$622,0)),"",INDEX('Compliance Database'!$B$2:$B$622,MATCH(104,Engine!$C$2:$C$622,0)))</f>
        <v/>
      </c>
      <c r="C117">
        <f>IF(ISNA(MATCH(104,Engine!$C$2:$C$622,0)),"",INDEX('Compliance Database'!$C$2:$C$622,MATCH(104,Engine!$C$2:$C$622,0)))</f>
        <v/>
      </c>
      <c r="D117" s="8">
        <f>IF(ISNA(MATCH(104,Engine!$C$2:$C$622,0)),"",INDEX('Compliance Database'!$D$2:$D$622,MATCH(104,Engine!$C$2:$C$622,0)))</f>
        <v/>
      </c>
      <c r="E117">
        <f>IF(ISNA(MATCH(104,Engine!$C$2:$C$622,0)),"",INDEX('Compliance Database'!$E$2:$E$622,MATCH(104,Engine!$C$2:$C$622,0)))</f>
        <v/>
      </c>
      <c r="F117">
        <f>IF(ISNA(MATCH(104,Engine!$C$2:$C$622,0)),"",INDEX('Compliance Database'!$F$2:$F$622,MATCH(104,Engine!$C$2:$C$622,0)))</f>
        <v/>
      </c>
      <c r="G117">
        <f>IF(ISNA(MATCH(104,Engine!$C$2:$C$622,0)),"",INDEX('Compliance Database'!$G$2:$G$622,MATCH(104,Engine!$C$2:$C$622,0)))</f>
        <v/>
      </c>
      <c r="H117">
        <f>IF(ISNA(MATCH(104,Engine!$C$2:$C$622,0)),"",INDEX('Compliance Database'!$H$2:$H$622,MATCH(104,Engine!$C$2:$C$622,0)))</f>
        <v/>
      </c>
      <c r="I117" s="8">
        <f>IF(ISNA(MATCH(104,Engine!$C$2:$C$622,0)),"",INDEX('Compliance Database'!$I$2:$I$622,MATCH(104,Engine!$C$2:$C$622,0)))</f>
        <v/>
      </c>
      <c r="J117" s="8">
        <f>IF(ISNA(MATCH(104,Engine!$C$2:$C$622,0)),"",INDEX('Compliance Database'!$J$2:$J$622,MATCH(104,Engine!$C$2:$C$622,0)))</f>
        <v/>
      </c>
      <c r="K117">
        <f>IF(ISNA(MATCH(104,Engine!$C$2:$C$622,0)),"",INDEX('Compliance Database'!$K$2:$K$622,MATCH(104,Engine!$C$2:$C$622,0)))</f>
        <v/>
      </c>
      <c r="L117" s="8">
        <f>IF(ISNA(MATCH(104,Engine!$C$2:$C$622,0)),"",INDEX('Compliance Database'!$L$2:$L$622,MATCH(104,Engine!$C$2:$C$622,0)))</f>
        <v/>
      </c>
      <c r="M117" s="8">
        <f>IF(ISNA(MATCH(104,Engine!$C$2:$C$622,0)),"",INDEX('Compliance Database'!$M$2:$M$622,MATCH(104,Engine!$C$2:$C$622,0)))</f>
        <v/>
      </c>
      <c r="N117" s="8">
        <f>IF(ISNA(MATCH(104,Engine!$C$2:$C$622,0)),"",INDEX('Compliance Database'!$N$2:$N$622,MATCH(104,Engine!$C$2:$C$622,0)))</f>
        <v/>
      </c>
      <c r="O117" s="8">
        <f>IF(ISNA(MATCH(104,Engine!$C$2:$C$622,0)),"",INDEX('Compliance Database'!$O$2:$O$622,MATCH(104,Engine!$C$2:$C$622,0)))</f>
        <v/>
      </c>
    </row>
    <row r="118">
      <c r="A118">
        <f>IF(ISNA(MATCH(105,Engine!$C$2:$C$622,0)),"",INDEX('Compliance Database'!$A$2:$A$622,MATCH(105,Engine!$C$2:$C$622,0)))</f>
        <v/>
      </c>
      <c r="B118">
        <f>IF(ISNA(MATCH(105,Engine!$C$2:$C$622,0)),"",INDEX('Compliance Database'!$B$2:$B$622,MATCH(105,Engine!$C$2:$C$622,0)))</f>
        <v/>
      </c>
      <c r="C118">
        <f>IF(ISNA(MATCH(105,Engine!$C$2:$C$622,0)),"",INDEX('Compliance Database'!$C$2:$C$622,MATCH(105,Engine!$C$2:$C$622,0)))</f>
        <v/>
      </c>
      <c r="D118" s="8">
        <f>IF(ISNA(MATCH(105,Engine!$C$2:$C$622,0)),"",INDEX('Compliance Database'!$D$2:$D$622,MATCH(105,Engine!$C$2:$C$622,0)))</f>
        <v/>
      </c>
      <c r="E118">
        <f>IF(ISNA(MATCH(105,Engine!$C$2:$C$622,0)),"",INDEX('Compliance Database'!$E$2:$E$622,MATCH(105,Engine!$C$2:$C$622,0)))</f>
        <v/>
      </c>
      <c r="F118">
        <f>IF(ISNA(MATCH(105,Engine!$C$2:$C$622,0)),"",INDEX('Compliance Database'!$F$2:$F$622,MATCH(105,Engine!$C$2:$C$622,0)))</f>
        <v/>
      </c>
      <c r="G118">
        <f>IF(ISNA(MATCH(105,Engine!$C$2:$C$622,0)),"",INDEX('Compliance Database'!$G$2:$G$622,MATCH(105,Engine!$C$2:$C$622,0)))</f>
        <v/>
      </c>
      <c r="H118">
        <f>IF(ISNA(MATCH(105,Engine!$C$2:$C$622,0)),"",INDEX('Compliance Database'!$H$2:$H$622,MATCH(105,Engine!$C$2:$C$622,0)))</f>
        <v/>
      </c>
      <c r="I118" s="8">
        <f>IF(ISNA(MATCH(105,Engine!$C$2:$C$622,0)),"",INDEX('Compliance Database'!$I$2:$I$622,MATCH(105,Engine!$C$2:$C$622,0)))</f>
        <v/>
      </c>
      <c r="J118" s="8">
        <f>IF(ISNA(MATCH(105,Engine!$C$2:$C$622,0)),"",INDEX('Compliance Database'!$J$2:$J$622,MATCH(105,Engine!$C$2:$C$622,0)))</f>
        <v/>
      </c>
      <c r="K118">
        <f>IF(ISNA(MATCH(105,Engine!$C$2:$C$622,0)),"",INDEX('Compliance Database'!$K$2:$K$622,MATCH(105,Engine!$C$2:$C$622,0)))</f>
        <v/>
      </c>
      <c r="L118" s="8">
        <f>IF(ISNA(MATCH(105,Engine!$C$2:$C$622,0)),"",INDEX('Compliance Database'!$L$2:$L$622,MATCH(105,Engine!$C$2:$C$622,0)))</f>
        <v/>
      </c>
      <c r="M118" s="8">
        <f>IF(ISNA(MATCH(105,Engine!$C$2:$C$622,0)),"",INDEX('Compliance Database'!$M$2:$M$622,MATCH(105,Engine!$C$2:$C$622,0)))</f>
        <v/>
      </c>
      <c r="N118" s="8">
        <f>IF(ISNA(MATCH(105,Engine!$C$2:$C$622,0)),"",INDEX('Compliance Database'!$N$2:$N$622,MATCH(105,Engine!$C$2:$C$622,0)))</f>
        <v/>
      </c>
      <c r="O118" s="8">
        <f>IF(ISNA(MATCH(105,Engine!$C$2:$C$622,0)),"",INDEX('Compliance Database'!$O$2:$O$622,MATCH(105,Engine!$C$2:$C$622,0)))</f>
        <v/>
      </c>
    </row>
    <row r="119">
      <c r="A119">
        <f>IF(ISNA(MATCH(106,Engine!$C$2:$C$622,0)),"",INDEX('Compliance Database'!$A$2:$A$622,MATCH(106,Engine!$C$2:$C$622,0)))</f>
        <v/>
      </c>
      <c r="B119">
        <f>IF(ISNA(MATCH(106,Engine!$C$2:$C$622,0)),"",INDEX('Compliance Database'!$B$2:$B$622,MATCH(106,Engine!$C$2:$C$622,0)))</f>
        <v/>
      </c>
      <c r="C119">
        <f>IF(ISNA(MATCH(106,Engine!$C$2:$C$622,0)),"",INDEX('Compliance Database'!$C$2:$C$622,MATCH(106,Engine!$C$2:$C$622,0)))</f>
        <v/>
      </c>
      <c r="D119" s="8">
        <f>IF(ISNA(MATCH(106,Engine!$C$2:$C$622,0)),"",INDEX('Compliance Database'!$D$2:$D$622,MATCH(106,Engine!$C$2:$C$622,0)))</f>
        <v/>
      </c>
      <c r="E119">
        <f>IF(ISNA(MATCH(106,Engine!$C$2:$C$622,0)),"",INDEX('Compliance Database'!$E$2:$E$622,MATCH(106,Engine!$C$2:$C$622,0)))</f>
        <v/>
      </c>
      <c r="F119">
        <f>IF(ISNA(MATCH(106,Engine!$C$2:$C$622,0)),"",INDEX('Compliance Database'!$F$2:$F$622,MATCH(106,Engine!$C$2:$C$622,0)))</f>
        <v/>
      </c>
      <c r="G119">
        <f>IF(ISNA(MATCH(106,Engine!$C$2:$C$622,0)),"",INDEX('Compliance Database'!$G$2:$G$622,MATCH(106,Engine!$C$2:$C$622,0)))</f>
        <v/>
      </c>
      <c r="H119">
        <f>IF(ISNA(MATCH(106,Engine!$C$2:$C$622,0)),"",INDEX('Compliance Database'!$H$2:$H$622,MATCH(106,Engine!$C$2:$C$622,0)))</f>
        <v/>
      </c>
      <c r="I119" s="8">
        <f>IF(ISNA(MATCH(106,Engine!$C$2:$C$622,0)),"",INDEX('Compliance Database'!$I$2:$I$622,MATCH(106,Engine!$C$2:$C$622,0)))</f>
        <v/>
      </c>
      <c r="J119" s="8">
        <f>IF(ISNA(MATCH(106,Engine!$C$2:$C$622,0)),"",INDEX('Compliance Database'!$J$2:$J$622,MATCH(106,Engine!$C$2:$C$622,0)))</f>
        <v/>
      </c>
      <c r="K119">
        <f>IF(ISNA(MATCH(106,Engine!$C$2:$C$622,0)),"",INDEX('Compliance Database'!$K$2:$K$622,MATCH(106,Engine!$C$2:$C$622,0)))</f>
        <v/>
      </c>
      <c r="L119" s="8">
        <f>IF(ISNA(MATCH(106,Engine!$C$2:$C$622,0)),"",INDEX('Compliance Database'!$L$2:$L$622,MATCH(106,Engine!$C$2:$C$622,0)))</f>
        <v/>
      </c>
      <c r="M119" s="8">
        <f>IF(ISNA(MATCH(106,Engine!$C$2:$C$622,0)),"",INDEX('Compliance Database'!$M$2:$M$622,MATCH(106,Engine!$C$2:$C$622,0)))</f>
        <v/>
      </c>
      <c r="N119" s="8">
        <f>IF(ISNA(MATCH(106,Engine!$C$2:$C$622,0)),"",INDEX('Compliance Database'!$N$2:$N$622,MATCH(106,Engine!$C$2:$C$622,0)))</f>
        <v/>
      </c>
      <c r="O119" s="8">
        <f>IF(ISNA(MATCH(106,Engine!$C$2:$C$622,0)),"",INDEX('Compliance Database'!$O$2:$O$622,MATCH(106,Engine!$C$2:$C$622,0)))</f>
        <v/>
      </c>
    </row>
    <row r="120">
      <c r="A120">
        <f>IF(ISNA(MATCH(107,Engine!$C$2:$C$622,0)),"",INDEX('Compliance Database'!$A$2:$A$622,MATCH(107,Engine!$C$2:$C$622,0)))</f>
        <v/>
      </c>
      <c r="B120">
        <f>IF(ISNA(MATCH(107,Engine!$C$2:$C$622,0)),"",INDEX('Compliance Database'!$B$2:$B$622,MATCH(107,Engine!$C$2:$C$622,0)))</f>
        <v/>
      </c>
      <c r="C120">
        <f>IF(ISNA(MATCH(107,Engine!$C$2:$C$622,0)),"",INDEX('Compliance Database'!$C$2:$C$622,MATCH(107,Engine!$C$2:$C$622,0)))</f>
        <v/>
      </c>
      <c r="D120" s="8">
        <f>IF(ISNA(MATCH(107,Engine!$C$2:$C$622,0)),"",INDEX('Compliance Database'!$D$2:$D$622,MATCH(107,Engine!$C$2:$C$622,0)))</f>
        <v/>
      </c>
      <c r="E120">
        <f>IF(ISNA(MATCH(107,Engine!$C$2:$C$622,0)),"",INDEX('Compliance Database'!$E$2:$E$622,MATCH(107,Engine!$C$2:$C$622,0)))</f>
        <v/>
      </c>
      <c r="F120">
        <f>IF(ISNA(MATCH(107,Engine!$C$2:$C$622,0)),"",INDEX('Compliance Database'!$F$2:$F$622,MATCH(107,Engine!$C$2:$C$622,0)))</f>
        <v/>
      </c>
      <c r="G120">
        <f>IF(ISNA(MATCH(107,Engine!$C$2:$C$622,0)),"",INDEX('Compliance Database'!$G$2:$G$622,MATCH(107,Engine!$C$2:$C$622,0)))</f>
        <v/>
      </c>
      <c r="H120">
        <f>IF(ISNA(MATCH(107,Engine!$C$2:$C$622,0)),"",INDEX('Compliance Database'!$H$2:$H$622,MATCH(107,Engine!$C$2:$C$622,0)))</f>
        <v/>
      </c>
      <c r="I120" s="8">
        <f>IF(ISNA(MATCH(107,Engine!$C$2:$C$622,0)),"",INDEX('Compliance Database'!$I$2:$I$622,MATCH(107,Engine!$C$2:$C$622,0)))</f>
        <v/>
      </c>
      <c r="J120" s="8">
        <f>IF(ISNA(MATCH(107,Engine!$C$2:$C$622,0)),"",INDEX('Compliance Database'!$J$2:$J$622,MATCH(107,Engine!$C$2:$C$622,0)))</f>
        <v/>
      </c>
      <c r="K120">
        <f>IF(ISNA(MATCH(107,Engine!$C$2:$C$622,0)),"",INDEX('Compliance Database'!$K$2:$K$622,MATCH(107,Engine!$C$2:$C$622,0)))</f>
        <v/>
      </c>
      <c r="L120" s="8">
        <f>IF(ISNA(MATCH(107,Engine!$C$2:$C$622,0)),"",INDEX('Compliance Database'!$L$2:$L$622,MATCH(107,Engine!$C$2:$C$622,0)))</f>
        <v/>
      </c>
      <c r="M120" s="8">
        <f>IF(ISNA(MATCH(107,Engine!$C$2:$C$622,0)),"",INDEX('Compliance Database'!$M$2:$M$622,MATCH(107,Engine!$C$2:$C$622,0)))</f>
        <v/>
      </c>
      <c r="N120" s="8">
        <f>IF(ISNA(MATCH(107,Engine!$C$2:$C$622,0)),"",INDEX('Compliance Database'!$N$2:$N$622,MATCH(107,Engine!$C$2:$C$622,0)))</f>
        <v/>
      </c>
      <c r="O120" s="8">
        <f>IF(ISNA(MATCH(107,Engine!$C$2:$C$622,0)),"",INDEX('Compliance Database'!$O$2:$O$622,MATCH(107,Engine!$C$2:$C$622,0)))</f>
        <v/>
      </c>
    </row>
    <row r="121">
      <c r="A121">
        <f>IF(ISNA(MATCH(108,Engine!$C$2:$C$622,0)),"",INDEX('Compliance Database'!$A$2:$A$622,MATCH(108,Engine!$C$2:$C$622,0)))</f>
        <v/>
      </c>
      <c r="B121">
        <f>IF(ISNA(MATCH(108,Engine!$C$2:$C$622,0)),"",INDEX('Compliance Database'!$B$2:$B$622,MATCH(108,Engine!$C$2:$C$622,0)))</f>
        <v/>
      </c>
      <c r="C121">
        <f>IF(ISNA(MATCH(108,Engine!$C$2:$C$622,0)),"",INDEX('Compliance Database'!$C$2:$C$622,MATCH(108,Engine!$C$2:$C$622,0)))</f>
        <v/>
      </c>
      <c r="D121" s="8">
        <f>IF(ISNA(MATCH(108,Engine!$C$2:$C$622,0)),"",INDEX('Compliance Database'!$D$2:$D$622,MATCH(108,Engine!$C$2:$C$622,0)))</f>
        <v/>
      </c>
      <c r="E121">
        <f>IF(ISNA(MATCH(108,Engine!$C$2:$C$622,0)),"",INDEX('Compliance Database'!$E$2:$E$622,MATCH(108,Engine!$C$2:$C$622,0)))</f>
        <v/>
      </c>
      <c r="F121">
        <f>IF(ISNA(MATCH(108,Engine!$C$2:$C$622,0)),"",INDEX('Compliance Database'!$F$2:$F$622,MATCH(108,Engine!$C$2:$C$622,0)))</f>
        <v/>
      </c>
      <c r="G121">
        <f>IF(ISNA(MATCH(108,Engine!$C$2:$C$622,0)),"",INDEX('Compliance Database'!$G$2:$G$622,MATCH(108,Engine!$C$2:$C$622,0)))</f>
        <v/>
      </c>
      <c r="H121">
        <f>IF(ISNA(MATCH(108,Engine!$C$2:$C$622,0)),"",INDEX('Compliance Database'!$H$2:$H$622,MATCH(108,Engine!$C$2:$C$622,0)))</f>
        <v/>
      </c>
      <c r="I121" s="8">
        <f>IF(ISNA(MATCH(108,Engine!$C$2:$C$622,0)),"",INDEX('Compliance Database'!$I$2:$I$622,MATCH(108,Engine!$C$2:$C$622,0)))</f>
        <v/>
      </c>
      <c r="J121" s="8">
        <f>IF(ISNA(MATCH(108,Engine!$C$2:$C$622,0)),"",INDEX('Compliance Database'!$J$2:$J$622,MATCH(108,Engine!$C$2:$C$622,0)))</f>
        <v/>
      </c>
      <c r="K121">
        <f>IF(ISNA(MATCH(108,Engine!$C$2:$C$622,0)),"",INDEX('Compliance Database'!$K$2:$K$622,MATCH(108,Engine!$C$2:$C$622,0)))</f>
        <v/>
      </c>
      <c r="L121" s="8">
        <f>IF(ISNA(MATCH(108,Engine!$C$2:$C$622,0)),"",INDEX('Compliance Database'!$L$2:$L$622,MATCH(108,Engine!$C$2:$C$622,0)))</f>
        <v/>
      </c>
      <c r="M121" s="8">
        <f>IF(ISNA(MATCH(108,Engine!$C$2:$C$622,0)),"",INDEX('Compliance Database'!$M$2:$M$622,MATCH(108,Engine!$C$2:$C$622,0)))</f>
        <v/>
      </c>
      <c r="N121" s="8">
        <f>IF(ISNA(MATCH(108,Engine!$C$2:$C$622,0)),"",INDEX('Compliance Database'!$N$2:$N$622,MATCH(108,Engine!$C$2:$C$622,0)))</f>
        <v/>
      </c>
      <c r="O121" s="8">
        <f>IF(ISNA(MATCH(108,Engine!$C$2:$C$622,0)),"",INDEX('Compliance Database'!$O$2:$O$622,MATCH(108,Engine!$C$2:$C$622,0)))</f>
        <v/>
      </c>
    </row>
    <row r="122">
      <c r="A122">
        <f>IF(ISNA(MATCH(109,Engine!$C$2:$C$622,0)),"",INDEX('Compliance Database'!$A$2:$A$622,MATCH(109,Engine!$C$2:$C$622,0)))</f>
        <v/>
      </c>
      <c r="B122">
        <f>IF(ISNA(MATCH(109,Engine!$C$2:$C$622,0)),"",INDEX('Compliance Database'!$B$2:$B$622,MATCH(109,Engine!$C$2:$C$622,0)))</f>
        <v/>
      </c>
      <c r="C122">
        <f>IF(ISNA(MATCH(109,Engine!$C$2:$C$622,0)),"",INDEX('Compliance Database'!$C$2:$C$622,MATCH(109,Engine!$C$2:$C$622,0)))</f>
        <v/>
      </c>
      <c r="D122" s="8">
        <f>IF(ISNA(MATCH(109,Engine!$C$2:$C$622,0)),"",INDEX('Compliance Database'!$D$2:$D$622,MATCH(109,Engine!$C$2:$C$622,0)))</f>
        <v/>
      </c>
      <c r="E122">
        <f>IF(ISNA(MATCH(109,Engine!$C$2:$C$622,0)),"",INDEX('Compliance Database'!$E$2:$E$622,MATCH(109,Engine!$C$2:$C$622,0)))</f>
        <v/>
      </c>
      <c r="F122">
        <f>IF(ISNA(MATCH(109,Engine!$C$2:$C$622,0)),"",INDEX('Compliance Database'!$F$2:$F$622,MATCH(109,Engine!$C$2:$C$622,0)))</f>
        <v/>
      </c>
      <c r="G122">
        <f>IF(ISNA(MATCH(109,Engine!$C$2:$C$622,0)),"",INDEX('Compliance Database'!$G$2:$G$622,MATCH(109,Engine!$C$2:$C$622,0)))</f>
        <v/>
      </c>
      <c r="H122">
        <f>IF(ISNA(MATCH(109,Engine!$C$2:$C$622,0)),"",INDEX('Compliance Database'!$H$2:$H$622,MATCH(109,Engine!$C$2:$C$622,0)))</f>
        <v/>
      </c>
      <c r="I122" s="8">
        <f>IF(ISNA(MATCH(109,Engine!$C$2:$C$622,0)),"",INDEX('Compliance Database'!$I$2:$I$622,MATCH(109,Engine!$C$2:$C$622,0)))</f>
        <v/>
      </c>
      <c r="J122" s="8">
        <f>IF(ISNA(MATCH(109,Engine!$C$2:$C$622,0)),"",INDEX('Compliance Database'!$J$2:$J$622,MATCH(109,Engine!$C$2:$C$622,0)))</f>
        <v/>
      </c>
      <c r="K122">
        <f>IF(ISNA(MATCH(109,Engine!$C$2:$C$622,0)),"",INDEX('Compliance Database'!$K$2:$K$622,MATCH(109,Engine!$C$2:$C$622,0)))</f>
        <v/>
      </c>
      <c r="L122" s="8">
        <f>IF(ISNA(MATCH(109,Engine!$C$2:$C$622,0)),"",INDEX('Compliance Database'!$L$2:$L$622,MATCH(109,Engine!$C$2:$C$622,0)))</f>
        <v/>
      </c>
      <c r="M122" s="8">
        <f>IF(ISNA(MATCH(109,Engine!$C$2:$C$622,0)),"",INDEX('Compliance Database'!$M$2:$M$622,MATCH(109,Engine!$C$2:$C$622,0)))</f>
        <v/>
      </c>
      <c r="N122" s="8">
        <f>IF(ISNA(MATCH(109,Engine!$C$2:$C$622,0)),"",INDEX('Compliance Database'!$N$2:$N$622,MATCH(109,Engine!$C$2:$C$622,0)))</f>
        <v/>
      </c>
      <c r="O122" s="8">
        <f>IF(ISNA(MATCH(109,Engine!$C$2:$C$622,0)),"",INDEX('Compliance Database'!$O$2:$O$622,MATCH(109,Engine!$C$2:$C$622,0)))</f>
        <v/>
      </c>
    </row>
    <row r="123">
      <c r="A123">
        <f>IF(ISNA(MATCH(110,Engine!$C$2:$C$622,0)),"",INDEX('Compliance Database'!$A$2:$A$622,MATCH(110,Engine!$C$2:$C$622,0)))</f>
        <v/>
      </c>
      <c r="B123">
        <f>IF(ISNA(MATCH(110,Engine!$C$2:$C$622,0)),"",INDEX('Compliance Database'!$B$2:$B$622,MATCH(110,Engine!$C$2:$C$622,0)))</f>
        <v/>
      </c>
      <c r="C123">
        <f>IF(ISNA(MATCH(110,Engine!$C$2:$C$622,0)),"",INDEX('Compliance Database'!$C$2:$C$622,MATCH(110,Engine!$C$2:$C$622,0)))</f>
        <v/>
      </c>
      <c r="D123" s="8">
        <f>IF(ISNA(MATCH(110,Engine!$C$2:$C$622,0)),"",INDEX('Compliance Database'!$D$2:$D$622,MATCH(110,Engine!$C$2:$C$622,0)))</f>
        <v/>
      </c>
      <c r="E123">
        <f>IF(ISNA(MATCH(110,Engine!$C$2:$C$622,0)),"",INDEX('Compliance Database'!$E$2:$E$622,MATCH(110,Engine!$C$2:$C$622,0)))</f>
        <v/>
      </c>
      <c r="F123">
        <f>IF(ISNA(MATCH(110,Engine!$C$2:$C$622,0)),"",INDEX('Compliance Database'!$F$2:$F$622,MATCH(110,Engine!$C$2:$C$622,0)))</f>
        <v/>
      </c>
      <c r="G123">
        <f>IF(ISNA(MATCH(110,Engine!$C$2:$C$622,0)),"",INDEX('Compliance Database'!$G$2:$G$622,MATCH(110,Engine!$C$2:$C$622,0)))</f>
        <v/>
      </c>
      <c r="H123">
        <f>IF(ISNA(MATCH(110,Engine!$C$2:$C$622,0)),"",INDEX('Compliance Database'!$H$2:$H$622,MATCH(110,Engine!$C$2:$C$622,0)))</f>
        <v/>
      </c>
      <c r="I123" s="8">
        <f>IF(ISNA(MATCH(110,Engine!$C$2:$C$622,0)),"",INDEX('Compliance Database'!$I$2:$I$622,MATCH(110,Engine!$C$2:$C$622,0)))</f>
        <v/>
      </c>
      <c r="J123" s="8">
        <f>IF(ISNA(MATCH(110,Engine!$C$2:$C$622,0)),"",INDEX('Compliance Database'!$J$2:$J$622,MATCH(110,Engine!$C$2:$C$622,0)))</f>
        <v/>
      </c>
      <c r="K123">
        <f>IF(ISNA(MATCH(110,Engine!$C$2:$C$622,0)),"",INDEX('Compliance Database'!$K$2:$K$622,MATCH(110,Engine!$C$2:$C$622,0)))</f>
        <v/>
      </c>
      <c r="L123" s="8">
        <f>IF(ISNA(MATCH(110,Engine!$C$2:$C$622,0)),"",INDEX('Compliance Database'!$L$2:$L$622,MATCH(110,Engine!$C$2:$C$622,0)))</f>
        <v/>
      </c>
      <c r="M123" s="8">
        <f>IF(ISNA(MATCH(110,Engine!$C$2:$C$622,0)),"",INDEX('Compliance Database'!$M$2:$M$622,MATCH(110,Engine!$C$2:$C$622,0)))</f>
        <v/>
      </c>
      <c r="N123" s="8">
        <f>IF(ISNA(MATCH(110,Engine!$C$2:$C$622,0)),"",INDEX('Compliance Database'!$N$2:$N$622,MATCH(110,Engine!$C$2:$C$622,0)))</f>
        <v/>
      </c>
      <c r="O123" s="8">
        <f>IF(ISNA(MATCH(110,Engine!$C$2:$C$622,0)),"",INDEX('Compliance Database'!$O$2:$O$622,MATCH(110,Engine!$C$2:$C$622,0)))</f>
        <v/>
      </c>
    </row>
    <row r="124">
      <c r="A124">
        <f>IF(ISNA(MATCH(111,Engine!$C$2:$C$622,0)),"",INDEX('Compliance Database'!$A$2:$A$622,MATCH(111,Engine!$C$2:$C$622,0)))</f>
        <v/>
      </c>
      <c r="B124">
        <f>IF(ISNA(MATCH(111,Engine!$C$2:$C$622,0)),"",INDEX('Compliance Database'!$B$2:$B$622,MATCH(111,Engine!$C$2:$C$622,0)))</f>
        <v/>
      </c>
      <c r="C124">
        <f>IF(ISNA(MATCH(111,Engine!$C$2:$C$622,0)),"",INDEX('Compliance Database'!$C$2:$C$622,MATCH(111,Engine!$C$2:$C$622,0)))</f>
        <v/>
      </c>
      <c r="D124" s="8">
        <f>IF(ISNA(MATCH(111,Engine!$C$2:$C$622,0)),"",INDEX('Compliance Database'!$D$2:$D$622,MATCH(111,Engine!$C$2:$C$622,0)))</f>
        <v/>
      </c>
      <c r="E124">
        <f>IF(ISNA(MATCH(111,Engine!$C$2:$C$622,0)),"",INDEX('Compliance Database'!$E$2:$E$622,MATCH(111,Engine!$C$2:$C$622,0)))</f>
        <v/>
      </c>
      <c r="F124">
        <f>IF(ISNA(MATCH(111,Engine!$C$2:$C$622,0)),"",INDEX('Compliance Database'!$F$2:$F$622,MATCH(111,Engine!$C$2:$C$622,0)))</f>
        <v/>
      </c>
      <c r="G124">
        <f>IF(ISNA(MATCH(111,Engine!$C$2:$C$622,0)),"",INDEX('Compliance Database'!$G$2:$G$622,MATCH(111,Engine!$C$2:$C$622,0)))</f>
        <v/>
      </c>
      <c r="H124">
        <f>IF(ISNA(MATCH(111,Engine!$C$2:$C$622,0)),"",INDEX('Compliance Database'!$H$2:$H$622,MATCH(111,Engine!$C$2:$C$622,0)))</f>
        <v/>
      </c>
      <c r="I124" s="8">
        <f>IF(ISNA(MATCH(111,Engine!$C$2:$C$622,0)),"",INDEX('Compliance Database'!$I$2:$I$622,MATCH(111,Engine!$C$2:$C$622,0)))</f>
        <v/>
      </c>
      <c r="J124" s="8">
        <f>IF(ISNA(MATCH(111,Engine!$C$2:$C$622,0)),"",INDEX('Compliance Database'!$J$2:$J$622,MATCH(111,Engine!$C$2:$C$622,0)))</f>
        <v/>
      </c>
      <c r="K124">
        <f>IF(ISNA(MATCH(111,Engine!$C$2:$C$622,0)),"",INDEX('Compliance Database'!$K$2:$K$622,MATCH(111,Engine!$C$2:$C$622,0)))</f>
        <v/>
      </c>
      <c r="L124" s="8">
        <f>IF(ISNA(MATCH(111,Engine!$C$2:$C$622,0)),"",INDEX('Compliance Database'!$L$2:$L$622,MATCH(111,Engine!$C$2:$C$622,0)))</f>
        <v/>
      </c>
      <c r="M124" s="8">
        <f>IF(ISNA(MATCH(111,Engine!$C$2:$C$622,0)),"",INDEX('Compliance Database'!$M$2:$M$622,MATCH(111,Engine!$C$2:$C$622,0)))</f>
        <v/>
      </c>
      <c r="N124" s="8">
        <f>IF(ISNA(MATCH(111,Engine!$C$2:$C$622,0)),"",INDEX('Compliance Database'!$N$2:$N$622,MATCH(111,Engine!$C$2:$C$622,0)))</f>
        <v/>
      </c>
      <c r="O124" s="8">
        <f>IF(ISNA(MATCH(111,Engine!$C$2:$C$622,0)),"",INDEX('Compliance Database'!$O$2:$O$622,MATCH(111,Engine!$C$2:$C$622,0)))</f>
        <v/>
      </c>
    </row>
    <row r="125">
      <c r="A125">
        <f>IF(ISNA(MATCH(112,Engine!$C$2:$C$622,0)),"",INDEX('Compliance Database'!$A$2:$A$622,MATCH(112,Engine!$C$2:$C$622,0)))</f>
        <v/>
      </c>
      <c r="B125">
        <f>IF(ISNA(MATCH(112,Engine!$C$2:$C$622,0)),"",INDEX('Compliance Database'!$B$2:$B$622,MATCH(112,Engine!$C$2:$C$622,0)))</f>
        <v/>
      </c>
      <c r="C125">
        <f>IF(ISNA(MATCH(112,Engine!$C$2:$C$622,0)),"",INDEX('Compliance Database'!$C$2:$C$622,MATCH(112,Engine!$C$2:$C$622,0)))</f>
        <v/>
      </c>
      <c r="D125" s="8">
        <f>IF(ISNA(MATCH(112,Engine!$C$2:$C$622,0)),"",INDEX('Compliance Database'!$D$2:$D$622,MATCH(112,Engine!$C$2:$C$622,0)))</f>
        <v/>
      </c>
      <c r="E125">
        <f>IF(ISNA(MATCH(112,Engine!$C$2:$C$622,0)),"",INDEX('Compliance Database'!$E$2:$E$622,MATCH(112,Engine!$C$2:$C$622,0)))</f>
        <v/>
      </c>
      <c r="F125">
        <f>IF(ISNA(MATCH(112,Engine!$C$2:$C$622,0)),"",INDEX('Compliance Database'!$F$2:$F$622,MATCH(112,Engine!$C$2:$C$622,0)))</f>
        <v/>
      </c>
      <c r="G125">
        <f>IF(ISNA(MATCH(112,Engine!$C$2:$C$622,0)),"",INDEX('Compliance Database'!$G$2:$G$622,MATCH(112,Engine!$C$2:$C$622,0)))</f>
        <v/>
      </c>
      <c r="H125">
        <f>IF(ISNA(MATCH(112,Engine!$C$2:$C$622,0)),"",INDEX('Compliance Database'!$H$2:$H$622,MATCH(112,Engine!$C$2:$C$622,0)))</f>
        <v/>
      </c>
      <c r="I125" s="8">
        <f>IF(ISNA(MATCH(112,Engine!$C$2:$C$622,0)),"",INDEX('Compliance Database'!$I$2:$I$622,MATCH(112,Engine!$C$2:$C$622,0)))</f>
        <v/>
      </c>
      <c r="J125" s="8">
        <f>IF(ISNA(MATCH(112,Engine!$C$2:$C$622,0)),"",INDEX('Compliance Database'!$J$2:$J$622,MATCH(112,Engine!$C$2:$C$622,0)))</f>
        <v/>
      </c>
      <c r="K125">
        <f>IF(ISNA(MATCH(112,Engine!$C$2:$C$622,0)),"",INDEX('Compliance Database'!$K$2:$K$622,MATCH(112,Engine!$C$2:$C$622,0)))</f>
        <v/>
      </c>
      <c r="L125" s="8">
        <f>IF(ISNA(MATCH(112,Engine!$C$2:$C$622,0)),"",INDEX('Compliance Database'!$L$2:$L$622,MATCH(112,Engine!$C$2:$C$622,0)))</f>
        <v/>
      </c>
      <c r="M125" s="8">
        <f>IF(ISNA(MATCH(112,Engine!$C$2:$C$622,0)),"",INDEX('Compliance Database'!$M$2:$M$622,MATCH(112,Engine!$C$2:$C$622,0)))</f>
        <v/>
      </c>
      <c r="N125" s="8">
        <f>IF(ISNA(MATCH(112,Engine!$C$2:$C$622,0)),"",INDEX('Compliance Database'!$N$2:$N$622,MATCH(112,Engine!$C$2:$C$622,0)))</f>
        <v/>
      </c>
      <c r="O125" s="8">
        <f>IF(ISNA(MATCH(112,Engine!$C$2:$C$622,0)),"",INDEX('Compliance Database'!$O$2:$O$622,MATCH(112,Engine!$C$2:$C$622,0)))</f>
        <v/>
      </c>
    </row>
    <row r="126">
      <c r="A126">
        <f>IF(ISNA(MATCH(113,Engine!$C$2:$C$622,0)),"",INDEX('Compliance Database'!$A$2:$A$622,MATCH(113,Engine!$C$2:$C$622,0)))</f>
        <v/>
      </c>
      <c r="B126">
        <f>IF(ISNA(MATCH(113,Engine!$C$2:$C$622,0)),"",INDEX('Compliance Database'!$B$2:$B$622,MATCH(113,Engine!$C$2:$C$622,0)))</f>
        <v/>
      </c>
      <c r="C126">
        <f>IF(ISNA(MATCH(113,Engine!$C$2:$C$622,0)),"",INDEX('Compliance Database'!$C$2:$C$622,MATCH(113,Engine!$C$2:$C$622,0)))</f>
        <v/>
      </c>
      <c r="D126" s="8">
        <f>IF(ISNA(MATCH(113,Engine!$C$2:$C$622,0)),"",INDEX('Compliance Database'!$D$2:$D$622,MATCH(113,Engine!$C$2:$C$622,0)))</f>
        <v/>
      </c>
      <c r="E126">
        <f>IF(ISNA(MATCH(113,Engine!$C$2:$C$622,0)),"",INDEX('Compliance Database'!$E$2:$E$622,MATCH(113,Engine!$C$2:$C$622,0)))</f>
        <v/>
      </c>
      <c r="F126">
        <f>IF(ISNA(MATCH(113,Engine!$C$2:$C$622,0)),"",INDEX('Compliance Database'!$F$2:$F$622,MATCH(113,Engine!$C$2:$C$622,0)))</f>
        <v/>
      </c>
      <c r="G126">
        <f>IF(ISNA(MATCH(113,Engine!$C$2:$C$622,0)),"",INDEX('Compliance Database'!$G$2:$G$622,MATCH(113,Engine!$C$2:$C$622,0)))</f>
        <v/>
      </c>
      <c r="H126">
        <f>IF(ISNA(MATCH(113,Engine!$C$2:$C$622,0)),"",INDEX('Compliance Database'!$H$2:$H$622,MATCH(113,Engine!$C$2:$C$622,0)))</f>
        <v/>
      </c>
      <c r="I126" s="8">
        <f>IF(ISNA(MATCH(113,Engine!$C$2:$C$622,0)),"",INDEX('Compliance Database'!$I$2:$I$622,MATCH(113,Engine!$C$2:$C$622,0)))</f>
        <v/>
      </c>
      <c r="J126" s="8">
        <f>IF(ISNA(MATCH(113,Engine!$C$2:$C$622,0)),"",INDEX('Compliance Database'!$J$2:$J$622,MATCH(113,Engine!$C$2:$C$622,0)))</f>
        <v/>
      </c>
      <c r="K126">
        <f>IF(ISNA(MATCH(113,Engine!$C$2:$C$622,0)),"",INDEX('Compliance Database'!$K$2:$K$622,MATCH(113,Engine!$C$2:$C$622,0)))</f>
        <v/>
      </c>
      <c r="L126" s="8">
        <f>IF(ISNA(MATCH(113,Engine!$C$2:$C$622,0)),"",INDEX('Compliance Database'!$L$2:$L$622,MATCH(113,Engine!$C$2:$C$622,0)))</f>
        <v/>
      </c>
      <c r="M126" s="8">
        <f>IF(ISNA(MATCH(113,Engine!$C$2:$C$622,0)),"",INDEX('Compliance Database'!$M$2:$M$622,MATCH(113,Engine!$C$2:$C$622,0)))</f>
        <v/>
      </c>
      <c r="N126" s="8">
        <f>IF(ISNA(MATCH(113,Engine!$C$2:$C$622,0)),"",INDEX('Compliance Database'!$N$2:$N$622,MATCH(113,Engine!$C$2:$C$622,0)))</f>
        <v/>
      </c>
      <c r="O126" s="8">
        <f>IF(ISNA(MATCH(113,Engine!$C$2:$C$622,0)),"",INDEX('Compliance Database'!$O$2:$O$622,MATCH(113,Engine!$C$2:$C$622,0)))</f>
        <v/>
      </c>
    </row>
    <row r="127">
      <c r="A127">
        <f>IF(ISNA(MATCH(114,Engine!$C$2:$C$622,0)),"",INDEX('Compliance Database'!$A$2:$A$622,MATCH(114,Engine!$C$2:$C$622,0)))</f>
        <v/>
      </c>
      <c r="B127">
        <f>IF(ISNA(MATCH(114,Engine!$C$2:$C$622,0)),"",INDEX('Compliance Database'!$B$2:$B$622,MATCH(114,Engine!$C$2:$C$622,0)))</f>
        <v/>
      </c>
      <c r="C127">
        <f>IF(ISNA(MATCH(114,Engine!$C$2:$C$622,0)),"",INDEX('Compliance Database'!$C$2:$C$622,MATCH(114,Engine!$C$2:$C$622,0)))</f>
        <v/>
      </c>
      <c r="D127" s="8">
        <f>IF(ISNA(MATCH(114,Engine!$C$2:$C$622,0)),"",INDEX('Compliance Database'!$D$2:$D$622,MATCH(114,Engine!$C$2:$C$622,0)))</f>
        <v/>
      </c>
      <c r="E127">
        <f>IF(ISNA(MATCH(114,Engine!$C$2:$C$622,0)),"",INDEX('Compliance Database'!$E$2:$E$622,MATCH(114,Engine!$C$2:$C$622,0)))</f>
        <v/>
      </c>
      <c r="F127">
        <f>IF(ISNA(MATCH(114,Engine!$C$2:$C$622,0)),"",INDEX('Compliance Database'!$F$2:$F$622,MATCH(114,Engine!$C$2:$C$622,0)))</f>
        <v/>
      </c>
      <c r="G127">
        <f>IF(ISNA(MATCH(114,Engine!$C$2:$C$622,0)),"",INDEX('Compliance Database'!$G$2:$G$622,MATCH(114,Engine!$C$2:$C$622,0)))</f>
        <v/>
      </c>
      <c r="H127">
        <f>IF(ISNA(MATCH(114,Engine!$C$2:$C$622,0)),"",INDEX('Compliance Database'!$H$2:$H$622,MATCH(114,Engine!$C$2:$C$622,0)))</f>
        <v/>
      </c>
      <c r="I127" s="8">
        <f>IF(ISNA(MATCH(114,Engine!$C$2:$C$622,0)),"",INDEX('Compliance Database'!$I$2:$I$622,MATCH(114,Engine!$C$2:$C$622,0)))</f>
        <v/>
      </c>
      <c r="J127" s="8">
        <f>IF(ISNA(MATCH(114,Engine!$C$2:$C$622,0)),"",INDEX('Compliance Database'!$J$2:$J$622,MATCH(114,Engine!$C$2:$C$622,0)))</f>
        <v/>
      </c>
      <c r="K127">
        <f>IF(ISNA(MATCH(114,Engine!$C$2:$C$622,0)),"",INDEX('Compliance Database'!$K$2:$K$622,MATCH(114,Engine!$C$2:$C$622,0)))</f>
        <v/>
      </c>
      <c r="L127" s="8">
        <f>IF(ISNA(MATCH(114,Engine!$C$2:$C$622,0)),"",INDEX('Compliance Database'!$L$2:$L$622,MATCH(114,Engine!$C$2:$C$622,0)))</f>
        <v/>
      </c>
      <c r="M127" s="8">
        <f>IF(ISNA(MATCH(114,Engine!$C$2:$C$622,0)),"",INDEX('Compliance Database'!$M$2:$M$622,MATCH(114,Engine!$C$2:$C$622,0)))</f>
        <v/>
      </c>
      <c r="N127" s="8">
        <f>IF(ISNA(MATCH(114,Engine!$C$2:$C$622,0)),"",INDEX('Compliance Database'!$N$2:$N$622,MATCH(114,Engine!$C$2:$C$622,0)))</f>
        <v/>
      </c>
      <c r="O127" s="8">
        <f>IF(ISNA(MATCH(114,Engine!$C$2:$C$622,0)),"",INDEX('Compliance Database'!$O$2:$O$622,MATCH(114,Engine!$C$2:$C$622,0)))</f>
        <v/>
      </c>
    </row>
    <row r="128">
      <c r="A128">
        <f>IF(ISNA(MATCH(115,Engine!$C$2:$C$622,0)),"",INDEX('Compliance Database'!$A$2:$A$622,MATCH(115,Engine!$C$2:$C$622,0)))</f>
        <v/>
      </c>
      <c r="B128">
        <f>IF(ISNA(MATCH(115,Engine!$C$2:$C$622,0)),"",INDEX('Compliance Database'!$B$2:$B$622,MATCH(115,Engine!$C$2:$C$622,0)))</f>
        <v/>
      </c>
      <c r="C128">
        <f>IF(ISNA(MATCH(115,Engine!$C$2:$C$622,0)),"",INDEX('Compliance Database'!$C$2:$C$622,MATCH(115,Engine!$C$2:$C$622,0)))</f>
        <v/>
      </c>
      <c r="D128" s="8">
        <f>IF(ISNA(MATCH(115,Engine!$C$2:$C$622,0)),"",INDEX('Compliance Database'!$D$2:$D$622,MATCH(115,Engine!$C$2:$C$622,0)))</f>
        <v/>
      </c>
      <c r="E128">
        <f>IF(ISNA(MATCH(115,Engine!$C$2:$C$622,0)),"",INDEX('Compliance Database'!$E$2:$E$622,MATCH(115,Engine!$C$2:$C$622,0)))</f>
        <v/>
      </c>
      <c r="F128">
        <f>IF(ISNA(MATCH(115,Engine!$C$2:$C$622,0)),"",INDEX('Compliance Database'!$F$2:$F$622,MATCH(115,Engine!$C$2:$C$622,0)))</f>
        <v/>
      </c>
      <c r="G128">
        <f>IF(ISNA(MATCH(115,Engine!$C$2:$C$622,0)),"",INDEX('Compliance Database'!$G$2:$G$622,MATCH(115,Engine!$C$2:$C$622,0)))</f>
        <v/>
      </c>
      <c r="H128">
        <f>IF(ISNA(MATCH(115,Engine!$C$2:$C$622,0)),"",INDEX('Compliance Database'!$H$2:$H$622,MATCH(115,Engine!$C$2:$C$622,0)))</f>
        <v/>
      </c>
      <c r="I128" s="8">
        <f>IF(ISNA(MATCH(115,Engine!$C$2:$C$622,0)),"",INDEX('Compliance Database'!$I$2:$I$622,MATCH(115,Engine!$C$2:$C$622,0)))</f>
        <v/>
      </c>
      <c r="J128" s="8">
        <f>IF(ISNA(MATCH(115,Engine!$C$2:$C$622,0)),"",INDEX('Compliance Database'!$J$2:$J$622,MATCH(115,Engine!$C$2:$C$622,0)))</f>
        <v/>
      </c>
      <c r="K128">
        <f>IF(ISNA(MATCH(115,Engine!$C$2:$C$622,0)),"",INDEX('Compliance Database'!$K$2:$K$622,MATCH(115,Engine!$C$2:$C$622,0)))</f>
        <v/>
      </c>
      <c r="L128" s="8">
        <f>IF(ISNA(MATCH(115,Engine!$C$2:$C$622,0)),"",INDEX('Compliance Database'!$L$2:$L$622,MATCH(115,Engine!$C$2:$C$622,0)))</f>
        <v/>
      </c>
      <c r="M128" s="8">
        <f>IF(ISNA(MATCH(115,Engine!$C$2:$C$622,0)),"",INDEX('Compliance Database'!$M$2:$M$622,MATCH(115,Engine!$C$2:$C$622,0)))</f>
        <v/>
      </c>
      <c r="N128" s="8">
        <f>IF(ISNA(MATCH(115,Engine!$C$2:$C$622,0)),"",INDEX('Compliance Database'!$N$2:$N$622,MATCH(115,Engine!$C$2:$C$622,0)))</f>
        <v/>
      </c>
      <c r="O128" s="8">
        <f>IF(ISNA(MATCH(115,Engine!$C$2:$C$622,0)),"",INDEX('Compliance Database'!$O$2:$O$622,MATCH(115,Engine!$C$2:$C$622,0)))</f>
        <v/>
      </c>
    </row>
    <row r="129">
      <c r="A129">
        <f>IF(ISNA(MATCH(116,Engine!$C$2:$C$622,0)),"",INDEX('Compliance Database'!$A$2:$A$622,MATCH(116,Engine!$C$2:$C$622,0)))</f>
        <v/>
      </c>
      <c r="B129">
        <f>IF(ISNA(MATCH(116,Engine!$C$2:$C$622,0)),"",INDEX('Compliance Database'!$B$2:$B$622,MATCH(116,Engine!$C$2:$C$622,0)))</f>
        <v/>
      </c>
      <c r="C129">
        <f>IF(ISNA(MATCH(116,Engine!$C$2:$C$622,0)),"",INDEX('Compliance Database'!$C$2:$C$622,MATCH(116,Engine!$C$2:$C$622,0)))</f>
        <v/>
      </c>
      <c r="D129" s="8">
        <f>IF(ISNA(MATCH(116,Engine!$C$2:$C$622,0)),"",INDEX('Compliance Database'!$D$2:$D$622,MATCH(116,Engine!$C$2:$C$622,0)))</f>
        <v/>
      </c>
      <c r="E129">
        <f>IF(ISNA(MATCH(116,Engine!$C$2:$C$622,0)),"",INDEX('Compliance Database'!$E$2:$E$622,MATCH(116,Engine!$C$2:$C$622,0)))</f>
        <v/>
      </c>
      <c r="F129">
        <f>IF(ISNA(MATCH(116,Engine!$C$2:$C$622,0)),"",INDEX('Compliance Database'!$F$2:$F$622,MATCH(116,Engine!$C$2:$C$622,0)))</f>
        <v/>
      </c>
      <c r="G129">
        <f>IF(ISNA(MATCH(116,Engine!$C$2:$C$622,0)),"",INDEX('Compliance Database'!$G$2:$G$622,MATCH(116,Engine!$C$2:$C$622,0)))</f>
        <v/>
      </c>
      <c r="H129">
        <f>IF(ISNA(MATCH(116,Engine!$C$2:$C$622,0)),"",INDEX('Compliance Database'!$H$2:$H$622,MATCH(116,Engine!$C$2:$C$622,0)))</f>
        <v/>
      </c>
      <c r="I129" s="8">
        <f>IF(ISNA(MATCH(116,Engine!$C$2:$C$622,0)),"",INDEX('Compliance Database'!$I$2:$I$622,MATCH(116,Engine!$C$2:$C$622,0)))</f>
        <v/>
      </c>
      <c r="J129" s="8">
        <f>IF(ISNA(MATCH(116,Engine!$C$2:$C$622,0)),"",INDEX('Compliance Database'!$J$2:$J$622,MATCH(116,Engine!$C$2:$C$622,0)))</f>
        <v/>
      </c>
      <c r="K129">
        <f>IF(ISNA(MATCH(116,Engine!$C$2:$C$622,0)),"",INDEX('Compliance Database'!$K$2:$K$622,MATCH(116,Engine!$C$2:$C$622,0)))</f>
        <v/>
      </c>
      <c r="L129" s="8">
        <f>IF(ISNA(MATCH(116,Engine!$C$2:$C$622,0)),"",INDEX('Compliance Database'!$L$2:$L$622,MATCH(116,Engine!$C$2:$C$622,0)))</f>
        <v/>
      </c>
      <c r="M129" s="8">
        <f>IF(ISNA(MATCH(116,Engine!$C$2:$C$622,0)),"",INDEX('Compliance Database'!$M$2:$M$622,MATCH(116,Engine!$C$2:$C$622,0)))</f>
        <v/>
      </c>
      <c r="N129" s="8">
        <f>IF(ISNA(MATCH(116,Engine!$C$2:$C$622,0)),"",INDEX('Compliance Database'!$N$2:$N$622,MATCH(116,Engine!$C$2:$C$622,0)))</f>
        <v/>
      </c>
      <c r="O129" s="8">
        <f>IF(ISNA(MATCH(116,Engine!$C$2:$C$622,0)),"",INDEX('Compliance Database'!$O$2:$O$622,MATCH(116,Engine!$C$2:$C$622,0)))</f>
        <v/>
      </c>
    </row>
    <row r="130">
      <c r="A130">
        <f>IF(ISNA(MATCH(117,Engine!$C$2:$C$622,0)),"",INDEX('Compliance Database'!$A$2:$A$622,MATCH(117,Engine!$C$2:$C$622,0)))</f>
        <v/>
      </c>
      <c r="B130">
        <f>IF(ISNA(MATCH(117,Engine!$C$2:$C$622,0)),"",INDEX('Compliance Database'!$B$2:$B$622,MATCH(117,Engine!$C$2:$C$622,0)))</f>
        <v/>
      </c>
      <c r="C130">
        <f>IF(ISNA(MATCH(117,Engine!$C$2:$C$622,0)),"",INDEX('Compliance Database'!$C$2:$C$622,MATCH(117,Engine!$C$2:$C$622,0)))</f>
        <v/>
      </c>
      <c r="D130" s="8">
        <f>IF(ISNA(MATCH(117,Engine!$C$2:$C$622,0)),"",INDEX('Compliance Database'!$D$2:$D$622,MATCH(117,Engine!$C$2:$C$622,0)))</f>
        <v/>
      </c>
      <c r="E130">
        <f>IF(ISNA(MATCH(117,Engine!$C$2:$C$622,0)),"",INDEX('Compliance Database'!$E$2:$E$622,MATCH(117,Engine!$C$2:$C$622,0)))</f>
        <v/>
      </c>
      <c r="F130">
        <f>IF(ISNA(MATCH(117,Engine!$C$2:$C$622,0)),"",INDEX('Compliance Database'!$F$2:$F$622,MATCH(117,Engine!$C$2:$C$622,0)))</f>
        <v/>
      </c>
      <c r="G130">
        <f>IF(ISNA(MATCH(117,Engine!$C$2:$C$622,0)),"",INDEX('Compliance Database'!$G$2:$G$622,MATCH(117,Engine!$C$2:$C$622,0)))</f>
        <v/>
      </c>
      <c r="H130">
        <f>IF(ISNA(MATCH(117,Engine!$C$2:$C$622,0)),"",INDEX('Compliance Database'!$H$2:$H$622,MATCH(117,Engine!$C$2:$C$622,0)))</f>
        <v/>
      </c>
      <c r="I130" s="8">
        <f>IF(ISNA(MATCH(117,Engine!$C$2:$C$622,0)),"",INDEX('Compliance Database'!$I$2:$I$622,MATCH(117,Engine!$C$2:$C$622,0)))</f>
        <v/>
      </c>
      <c r="J130" s="8">
        <f>IF(ISNA(MATCH(117,Engine!$C$2:$C$622,0)),"",INDEX('Compliance Database'!$J$2:$J$622,MATCH(117,Engine!$C$2:$C$622,0)))</f>
        <v/>
      </c>
      <c r="K130">
        <f>IF(ISNA(MATCH(117,Engine!$C$2:$C$622,0)),"",INDEX('Compliance Database'!$K$2:$K$622,MATCH(117,Engine!$C$2:$C$622,0)))</f>
        <v/>
      </c>
      <c r="L130" s="8">
        <f>IF(ISNA(MATCH(117,Engine!$C$2:$C$622,0)),"",INDEX('Compliance Database'!$L$2:$L$622,MATCH(117,Engine!$C$2:$C$622,0)))</f>
        <v/>
      </c>
      <c r="M130" s="8">
        <f>IF(ISNA(MATCH(117,Engine!$C$2:$C$622,0)),"",INDEX('Compliance Database'!$M$2:$M$622,MATCH(117,Engine!$C$2:$C$622,0)))</f>
        <v/>
      </c>
      <c r="N130" s="8">
        <f>IF(ISNA(MATCH(117,Engine!$C$2:$C$622,0)),"",INDEX('Compliance Database'!$N$2:$N$622,MATCH(117,Engine!$C$2:$C$622,0)))</f>
        <v/>
      </c>
      <c r="O130" s="8">
        <f>IF(ISNA(MATCH(117,Engine!$C$2:$C$622,0)),"",INDEX('Compliance Database'!$O$2:$O$622,MATCH(117,Engine!$C$2:$C$622,0)))</f>
        <v/>
      </c>
    </row>
    <row r="131">
      <c r="A131">
        <f>IF(ISNA(MATCH(118,Engine!$C$2:$C$622,0)),"",INDEX('Compliance Database'!$A$2:$A$622,MATCH(118,Engine!$C$2:$C$622,0)))</f>
        <v/>
      </c>
      <c r="B131">
        <f>IF(ISNA(MATCH(118,Engine!$C$2:$C$622,0)),"",INDEX('Compliance Database'!$B$2:$B$622,MATCH(118,Engine!$C$2:$C$622,0)))</f>
        <v/>
      </c>
      <c r="C131">
        <f>IF(ISNA(MATCH(118,Engine!$C$2:$C$622,0)),"",INDEX('Compliance Database'!$C$2:$C$622,MATCH(118,Engine!$C$2:$C$622,0)))</f>
        <v/>
      </c>
      <c r="D131" s="8">
        <f>IF(ISNA(MATCH(118,Engine!$C$2:$C$622,0)),"",INDEX('Compliance Database'!$D$2:$D$622,MATCH(118,Engine!$C$2:$C$622,0)))</f>
        <v/>
      </c>
      <c r="E131">
        <f>IF(ISNA(MATCH(118,Engine!$C$2:$C$622,0)),"",INDEX('Compliance Database'!$E$2:$E$622,MATCH(118,Engine!$C$2:$C$622,0)))</f>
        <v/>
      </c>
      <c r="F131">
        <f>IF(ISNA(MATCH(118,Engine!$C$2:$C$622,0)),"",INDEX('Compliance Database'!$F$2:$F$622,MATCH(118,Engine!$C$2:$C$622,0)))</f>
        <v/>
      </c>
      <c r="G131">
        <f>IF(ISNA(MATCH(118,Engine!$C$2:$C$622,0)),"",INDEX('Compliance Database'!$G$2:$G$622,MATCH(118,Engine!$C$2:$C$622,0)))</f>
        <v/>
      </c>
      <c r="H131">
        <f>IF(ISNA(MATCH(118,Engine!$C$2:$C$622,0)),"",INDEX('Compliance Database'!$H$2:$H$622,MATCH(118,Engine!$C$2:$C$622,0)))</f>
        <v/>
      </c>
      <c r="I131" s="8">
        <f>IF(ISNA(MATCH(118,Engine!$C$2:$C$622,0)),"",INDEX('Compliance Database'!$I$2:$I$622,MATCH(118,Engine!$C$2:$C$622,0)))</f>
        <v/>
      </c>
      <c r="J131" s="8">
        <f>IF(ISNA(MATCH(118,Engine!$C$2:$C$622,0)),"",INDEX('Compliance Database'!$J$2:$J$622,MATCH(118,Engine!$C$2:$C$622,0)))</f>
        <v/>
      </c>
      <c r="K131">
        <f>IF(ISNA(MATCH(118,Engine!$C$2:$C$622,0)),"",INDEX('Compliance Database'!$K$2:$K$622,MATCH(118,Engine!$C$2:$C$622,0)))</f>
        <v/>
      </c>
      <c r="L131" s="8">
        <f>IF(ISNA(MATCH(118,Engine!$C$2:$C$622,0)),"",INDEX('Compliance Database'!$L$2:$L$622,MATCH(118,Engine!$C$2:$C$622,0)))</f>
        <v/>
      </c>
      <c r="M131" s="8">
        <f>IF(ISNA(MATCH(118,Engine!$C$2:$C$622,0)),"",INDEX('Compliance Database'!$M$2:$M$622,MATCH(118,Engine!$C$2:$C$622,0)))</f>
        <v/>
      </c>
      <c r="N131" s="8">
        <f>IF(ISNA(MATCH(118,Engine!$C$2:$C$622,0)),"",INDEX('Compliance Database'!$N$2:$N$622,MATCH(118,Engine!$C$2:$C$622,0)))</f>
        <v/>
      </c>
      <c r="O131" s="8">
        <f>IF(ISNA(MATCH(118,Engine!$C$2:$C$622,0)),"",INDEX('Compliance Database'!$O$2:$O$622,MATCH(118,Engine!$C$2:$C$622,0)))</f>
        <v/>
      </c>
    </row>
    <row r="132">
      <c r="A132">
        <f>IF(ISNA(MATCH(119,Engine!$C$2:$C$622,0)),"",INDEX('Compliance Database'!$A$2:$A$622,MATCH(119,Engine!$C$2:$C$622,0)))</f>
        <v/>
      </c>
      <c r="B132">
        <f>IF(ISNA(MATCH(119,Engine!$C$2:$C$622,0)),"",INDEX('Compliance Database'!$B$2:$B$622,MATCH(119,Engine!$C$2:$C$622,0)))</f>
        <v/>
      </c>
      <c r="C132">
        <f>IF(ISNA(MATCH(119,Engine!$C$2:$C$622,0)),"",INDEX('Compliance Database'!$C$2:$C$622,MATCH(119,Engine!$C$2:$C$622,0)))</f>
        <v/>
      </c>
      <c r="D132" s="8">
        <f>IF(ISNA(MATCH(119,Engine!$C$2:$C$622,0)),"",INDEX('Compliance Database'!$D$2:$D$622,MATCH(119,Engine!$C$2:$C$622,0)))</f>
        <v/>
      </c>
      <c r="E132">
        <f>IF(ISNA(MATCH(119,Engine!$C$2:$C$622,0)),"",INDEX('Compliance Database'!$E$2:$E$622,MATCH(119,Engine!$C$2:$C$622,0)))</f>
        <v/>
      </c>
      <c r="F132">
        <f>IF(ISNA(MATCH(119,Engine!$C$2:$C$622,0)),"",INDEX('Compliance Database'!$F$2:$F$622,MATCH(119,Engine!$C$2:$C$622,0)))</f>
        <v/>
      </c>
      <c r="G132">
        <f>IF(ISNA(MATCH(119,Engine!$C$2:$C$622,0)),"",INDEX('Compliance Database'!$G$2:$G$622,MATCH(119,Engine!$C$2:$C$622,0)))</f>
        <v/>
      </c>
      <c r="H132">
        <f>IF(ISNA(MATCH(119,Engine!$C$2:$C$622,0)),"",INDEX('Compliance Database'!$H$2:$H$622,MATCH(119,Engine!$C$2:$C$622,0)))</f>
        <v/>
      </c>
      <c r="I132" s="8">
        <f>IF(ISNA(MATCH(119,Engine!$C$2:$C$622,0)),"",INDEX('Compliance Database'!$I$2:$I$622,MATCH(119,Engine!$C$2:$C$622,0)))</f>
        <v/>
      </c>
      <c r="J132" s="8">
        <f>IF(ISNA(MATCH(119,Engine!$C$2:$C$622,0)),"",INDEX('Compliance Database'!$J$2:$J$622,MATCH(119,Engine!$C$2:$C$622,0)))</f>
        <v/>
      </c>
      <c r="K132">
        <f>IF(ISNA(MATCH(119,Engine!$C$2:$C$622,0)),"",INDEX('Compliance Database'!$K$2:$K$622,MATCH(119,Engine!$C$2:$C$622,0)))</f>
        <v/>
      </c>
      <c r="L132" s="8">
        <f>IF(ISNA(MATCH(119,Engine!$C$2:$C$622,0)),"",INDEX('Compliance Database'!$L$2:$L$622,MATCH(119,Engine!$C$2:$C$622,0)))</f>
        <v/>
      </c>
      <c r="M132" s="8">
        <f>IF(ISNA(MATCH(119,Engine!$C$2:$C$622,0)),"",INDEX('Compliance Database'!$M$2:$M$622,MATCH(119,Engine!$C$2:$C$622,0)))</f>
        <v/>
      </c>
      <c r="N132" s="8">
        <f>IF(ISNA(MATCH(119,Engine!$C$2:$C$622,0)),"",INDEX('Compliance Database'!$N$2:$N$622,MATCH(119,Engine!$C$2:$C$622,0)))</f>
        <v/>
      </c>
      <c r="O132" s="8">
        <f>IF(ISNA(MATCH(119,Engine!$C$2:$C$622,0)),"",INDEX('Compliance Database'!$O$2:$O$622,MATCH(119,Engine!$C$2:$C$622,0)))</f>
        <v/>
      </c>
    </row>
    <row r="133">
      <c r="A133">
        <f>IF(ISNA(MATCH(120,Engine!$C$2:$C$622,0)),"",INDEX('Compliance Database'!$A$2:$A$622,MATCH(120,Engine!$C$2:$C$622,0)))</f>
        <v/>
      </c>
      <c r="B133">
        <f>IF(ISNA(MATCH(120,Engine!$C$2:$C$622,0)),"",INDEX('Compliance Database'!$B$2:$B$622,MATCH(120,Engine!$C$2:$C$622,0)))</f>
        <v/>
      </c>
      <c r="C133">
        <f>IF(ISNA(MATCH(120,Engine!$C$2:$C$622,0)),"",INDEX('Compliance Database'!$C$2:$C$622,MATCH(120,Engine!$C$2:$C$622,0)))</f>
        <v/>
      </c>
      <c r="D133" s="8">
        <f>IF(ISNA(MATCH(120,Engine!$C$2:$C$622,0)),"",INDEX('Compliance Database'!$D$2:$D$622,MATCH(120,Engine!$C$2:$C$622,0)))</f>
        <v/>
      </c>
      <c r="E133">
        <f>IF(ISNA(MATCH(120,Engine!$C$2:$C$622,0)),"",INDEX('Compliance Database'!$E$2:$E$622,MATCH(120,Engine!$C$2:$C$622,0)))</f>
        <v/>
      </c>
      <c r="F133">
        <f>IF(ISNA(MATCH(120,Engine!$C$2:$C$622,0)),"",INDEX('Compliance Database'!$F$2:$F$622,MATCH(120,Engine!$C$2:$C$622,0)))</f>
        <v/>
      </c>
      <c r="G133">
        <f>IF(ISNA(MATCH(120,Engine!$C$2:$C$622,0)),"",INDEX('Compliance Database'!$G$2:$G$622,MATCH(120,Engine!$C$2:$C$622,0)))</f>
        <v/>
      </c>
      <c r="H133">
        <f>IF(ISNA(MATCH(120,Engine!$C$2:$C$622,0)),"",INDEX('Compliance Database'!$H$2:$H$622,MATCH(120,Engine!$C$2:$C$622,0)))</f>
        <v/>
      </c>
      <c r="I133" s="8">
        <f>IF(ISNA(MATCH(120,Engine!$C$2:$C$622,0)),"",INDEX('Compliance Database'!$I$2:$I$622,MATCH(120,Engine!$C$2:$C$622,0)))</f>
        <v/>
      </c>
      <c r="J133" s="8">
        <f>IF(ISNA(MATCH(120,Engine!$C$2:$C$622,0)),"",INDEX('Compliance Database'!$J$2:$J$622,MATCH(120,Engine!$C$2:$C$622,0)))</f>
        <v/>
      </c>
      <c r="K133">
        <f>IF(ISNA(MATCH(120,Engine!$C$2:$C$622,0)),"",INDEX('Compliance Database'!$K$2:$K$622,MATCH(120,Engine!$C$2:$C$622,0)))</f>
        <v/>
      </c>
      <c r="L133" s="8">
        <f>IF(ISNA(MATCH(120,Engine!$C$2:$C$622,0)),"",INDEX('Compliance Database'!$L$2:$L$622,MATCH(120,Engine!$C$2:$C$622,0)))</f>
        <v/>
      </c>
      <c r="M133" s="8">
        <f>IF(ISNA(MATCH(120,Engine!$C$2:$C$622,0)),"",INDEX('Compliance Database'!$M$2:$M$622,MATCH(120,Engine!$C$2:$C$622,0)))</f>
        <v/>
      </c>
      <c r="N133" s="8">
        <f>IF(ISNA(MATCH(120,Engine!$C$2:$C$622,0)),"",INDEX('Compliance Database'!$N$2:$N$622,MATCH(120,Engine!$C$2:$C$622,0)))</f>
        <v/>
      </c>
      <c r="O133" s="8">
        <f>IF(ISNA(MATCH(120,Engine!$C$2:$C$622,0)),"",INDEX('Compliance Database'!$O$2:$O$622,MATCH(120,Engine!$C$2:$C$622,0)))</f>
        <v/>
      </c>
    </row>
    <row r="134">
      <c r="A134">
        <f>IF(ISNA(MATCH(121,Engine!$C$2:$C$622,0)),"",INDEX('Compliance Database'!$A$2:$A$622,MATCH(121,Engine!$C$2:$C$622,0)))</f>
        <v/>
      </c>
      <c r="B134">
        <f>IF(ISNA(MATCH(121,Engine!$C$2:$C$622,0)),"",INDEX('Compliance Database'!$B$2:$B$622,MATCH(121,Engine!$C$2:$C$622,0)))</f>
        <v/>
      </c>
      <c r="C134">
        <f>IF(ISNA(MATCH(121,Engine!$C$2:$C$622,0)),"",INDEX('Compliance Database'!$C$2:$C$622,MATCH(121,Engine!$C$2:$C$622,0)))</f>
        <v/>
      </c>
      <c r="D134" s="8">
        <f>IF(ISNA(MATCH(121,Engine!$C$2:$C$622,0)),"",INDEX('Compliance Database'!$D$2:$D$622,MATCH(121,Engine!$C$2:$C$622,0)))</f>
        <v/>
      </c>
      <c r="E134">
        <f>IF(ISNA(MATCH(121,Engine!$C$2:$C$622,0)),"",INDEX('Compliance Database'!$E$2:$E$622,MATCH(121,Engine!$C$2:$C$622,0)))</f>
        <v/>
      </c>
      <c r="F134">
        <f>IF(ISNA(MATCH(121,Engine!$C$2:$C$622,0)),"",INDEX('Compliance Database'!$F$2:$F$622,MATCH(121,Engine!$C$2:$C$622,0)))</f>
        <v/>
      </c>
      <c r="G134">
        <f>IF(ISNA(MATCH(121,Engine!$C$2:$C$622,0)),"",INDEX('Compliance Database'!$G$2:$G$622,MATCH(121,Engine!$C$2:$C$622,0)))</f>
        <v/>
      </c>
      <c r="H134">
        <f>IF(ISNA(MATCH(121,Engine!$C$2:$C$622,0)),"",INDEX('Compliance Database'!$H$2:$H$622,MATCH(121,Engine!$C$2:$C$622,0)))</f>
        <v/>
      </c>
      <c r="I134" s="8">
        <f>IF(ISNA(MATCH(121,Engine!$C$2:$C$622,0)),"",INDEX('Compliance Database'!$I$2:$I$622,MATCH(121,Engine!$C$2:$C$622,0)))</f>
        <v/>
      </c>
      <c r="J134" s="8">
        <f>IF(ISNA(MATCH(121,Engine!$C$2:$C$622,0)),"",INDEX('Compliance Database'!$J$2:$J$622,MATCH(121,Engine!$C$2:$C$622,0)))</f>
        <v/>
      </c>
      <c r="K134">
        <f>IF(ISNA(MATCH(121,Engine!$C$2:$C$622,0)),"",INDEX('Compliance Database'!$K$2:$K$622,MATCH(121,Engine!$C$2:$C$622,0)))</f>
        <v/>
      </c>
      <c r="L134" s="8">
        <f>IF(ISNA(MATCH(121,Engine!$C$2:$C$622,0)),"",INDEX('Compliance Database'!$L$2:$L$622,MATCH(121,Engine!$C$2:$C$622,0)))</f>
        <v/>
      </c>
      <c r="M134" s="8">
        <f>IF(ISNA(MATCH(121,Engine!$C$2:$C$622,0)),"",INDEX('Compliance Database'!$M$2:$M$622,MATCH(121,Engine!$C$2:$C$622,0)))</f>
        <v/>
      </c>
      <c r="N134" s="8">
        <f>IF(ISNA(MATCH(121,Engine!$C$2:$C$622,0)),"",INDEX('Compliance Database'!$N$2:$N$622,MATCH(121,Engine!$C$2:$C$622,0)))</f>
        <v/>
      </c>
      <c r="O134" s="8">
        <f>IF(ISNA(MATCH(121,Engine!$C$2:$C$622,0)),"",INDEX('Compliance Database'!$O$2:$O$622,MATCH(121,Engine!$C$2:$C$622,0)))</f>
        <v/>
      </c>
    </row>
    <row r="135">
      <c r="A135">
        <f>IF(ISNA(MATCH(122,Engine!$C$2:$C$622,0)),"",INDEX('Compliance Database'!$A$2:$A$622,MATCH(122,Engine!$C$2:$C$622,0)))</f>
        <v/>
      </c>
      <c r="B135">
        <f>IF(ISNA(MATCH(122,Engine!$C$2:$C$622,0)),"",INDEX('Compliance Database'!$B$2:$B$622,MATCH(122,Engine!$C$2:$C$622,0)))</f>
        <v/>
      </c>
      <c r="C135">
        <f>IF(ISNA(MATCH(122,Engine!$C$2:$C$622,0)),"",INDEX('Compliance Database'!$C$2:$C$622,MATCH(122,Engine!$C$2:$C$622,0)))</f>
        <v/>
      </c>
      <c r="D135" s="8">
        <f>IF(ISNA(MATCH(122,Engine!$C$2:$C$622,0)),"",INDEX('Compliance Database'!$D$2:$D$622,MATCH(122,Engine!$C$2:$C$622,0)))</f>
        <v/>
      </c>
      <c r="E135">
        <f>IF(ISNA(MATCH(122,Engine!$C$2:$C$622,0)),"",INDEX('Compliance Database'!$E$2:$E$622,MATCH(122,Engine!$C$2:$C$622,0)))</f>
        <v/>
      </c>
      <c r="F135">
        <f>IF(ISNA(MATCH(122,Engine!$C$2:$C$622,0)),"",INDEX('Compliance Database'!$F$2:$F$622,MATCH(122,Engine!$C$2:$C$622,0)))</f>
        <v/>
      </c>
      <c r="G135">
        <f>IF(ISNA(MATCH(122,Engine!$C$2:$C$622,0)),"",INDEX('Compliance Database'!$G$2:$G$622,MATCH(122,Engine!$C$2:$C$622,0)))</f>
        <v/>
      </c>
      <c r="H135">
        <f>IF(ISNA(MATCH(122,Engine!$C$2:$C$622,0)),"",INDEX('Compliance Database'!$H$2:$H$622,MATCH(122,Engine!$C$2:$C$622,0)))</f>
        <v/>
      </c>
      <c r="I135" s="8">
        <f>IF(ISNA(MATCH(122,Engine!$C$2:$C$622,0)),"",INDEX('Compliance Database'!$I$2:$I$622,MATCH(122,Engine!$C$2:$C$622,0)))</f>
        <v/>
      </c>
      <c r="J135" s="8">
        <f>IF(ISNA(MATCH(122,Engine!$C$2:$C$622,0)),"",INDEX('Compliance Database'!$J$2:$J$622,MATCH(122,Engine!$C$2:$C$622,0)))</f>
        <v/>
      </c>
      <c r="K135">
        <f>IF(ISNA(MATCH(122,Engine!$C$2:$C$622,0)),"",INDEX('Compliance Database'!$K$2:$K$622,MATCH(122,Engine!$C$2:$C$622,0)))</f>
        <v/>
      </c>
      <c r="L135" s="8">
        <f>IF(ISNA(MATCH(122,Engine!$C$2:$C$622,0)),"",INDEX('Compliance Database'!$L$2:$L$622,MATCH(122,Engine!$C$2:$C$622,0)))</f>
        <v/>
      </c>
      <c r="M135" s="8">
        <f>IF(ISNA(MATCH(122,Engine!$C$2:$C$622,0)),"",INDEX('Compliance Database'!$M$2:$M$622,MATCH(122,Engine!$C$2:$C$622,0)))</f>
        <v/>
      </c>
      <c r="N135" s="8">
        <f>IF(ISNA(MATCH(122,Engine!$C$2:$C$622,0)),"",INDEX('Compliance Database'!$N$2:$N$622,MATCH(122,Engine!$C$2:$C$622,0)))</f>
        <v/>
      </c>
      <c r="O135" s="8">
        <f>IF(ISNA(MATCH(122,Engine!$C$2:$C$622,0)),"",INDEX('Compliance Database'!$O$2:$O$622,MATCH(122,Engine!$C$2:$C$622,0)))</f>
        <v/>
      </c>
    </row>
    <row r="136">
      <c r="A136">
        <f>IF(ISNA(MATCH(123,Engine!$C$2:$C$622,0)),"",INDEX('Compliance Database'!$A$2:$A$622,MATCH(123,Engine!$C$2:$C$622,0)))</f>
        <v/>
      </c>
      <c r="B136">
        <f>IF(ISNA(MATCH(123,Engine!$C$2:$C$622,0)),"",INDEX('Compliance Database'!$B$2:$B$622,MATCH(123,Engine!$C$2:$C$622,0)))</f>
        <v/>
      </c>
      <c r="C136">
        <f>IF(ISNA(MATCH(123,Engine!$C$2:$C$622,0)),"",INDEX('Compliance Database'!$C$2:$C$622,MATCH(123,Engine!$C$2:$C$622,0)))</f>
        <v/>
      </c>
      <c r="D136" s="8">
        <f>IF(ISNA(MATCH(123,Engine!$C$2:$C$622,0)),"",INDEX('Compliance Database'!$D$2:$D$622,MATCH(123,Engine!$C$2:$C$622,0)))</f>
        <v/>
      </c>
      <c r="E136">
        <f>IF(ISNA(MATCH(123,Engine!$C$2:$C$622,0)),"",INDEX('Compliance Database'!$E$2:$E$622,MATCH(123,Engine!$C$2:$C$622,0)))</f>
        <v/>
      </c>
      <c r="F136">
        <f>IF(ISNA(MATCH(123,Engine!$C$2:$C$622,0)),"",INDEX('Compliance Database'!$F$2:$F$622,MATCH(123,Engine!$C$2:$C$622,0)))</f>
        <v/>
      </c>
      <c r="G136">
        <f>IF(ISNA(MATCH(123,Engine!$C$2:$C$622,0)),"",INDEX('Compliance Database'!$G$2:$G$622,MATCH(123,Engine!$C$2:$C$622,0)))</f>
        <v/>
      </c>
      <c r="H136">
        <f>IF(ISNA(MATCH(123,Engine!$C$2:$C$622,0)),"",INDEX('Compliance Database'!$H$2:$H$622,MATCH(123,Engine!$C$2:$C$622,0)))</f>
        <v/>
      </c>
      <c r="I136" s="8">
        <f>IF(ISNA(MATCH(123,Engine!$C$2:$C$622,0)),"",INDEX('Compliance Database'!$I$2:$I$622,MATCH(123,Engine!$C$2:$C$622,0)))</f>
        <v/>
      </c>
      <c r="J136" s="8">
        <f>IF(ISNA(MATCH(123,Engine!$C$2:$C$622,0)),"",INDEX('Compliance Database'!$J$2:$J$622,MATCH(123,Engine!$C$2:$C$622,0)))</f>
        <v/>
      </c>
      <c r="K136">
        <f>IF(ISNA(MATCH(123,Engine!$C$2:$C$622,0)),"",INDEX('Compliance Database'!$K$2:$K$622,MATCH(123,Engine!$C$2:$C$622,0)))</f>
        <v/>
      </c>
      <c r="L136" s="8">
        <f>IF(ISNA(MATCH(123,Engine!$C$2:$C$622,0)),"",INDEX('Compliance Database'!$L$2:$L$622,MATCH(123,Engine!$C$2:$C$622,0)))</f>
        <v/>
      </c>
      <c r="M136" s="8">
        <f>IF(ISNA(MATCH(123,Engine!$C$2:$C$622,0)),"",INDEX('Compliance Database'!$M$2:$M$622,MATCH(123,Engine!$C$2:$C$622,0)))</f>
        <v/>
      </c>
      <c r="N136" s="8">
        <f>IF(ISNA(MATCH(123,Engine!$C$2:$C$622,0)),"",INDEX('Compliance Database'!$N$2:$N$622,MATCH(123,Engine!$C$2:$C$622,0)))</f>
        <v/>
      </c>
      <c r="O136" s="8">
        <f>IF(ISNA(MATCH(123,Engine!$C$2:$C$622,0)),"",INDEX('Compliance Database'!$O$2:$O$622,MATCH(123,Engine!$C$2:$C$622,0)))</f>
        <v/>
      </c>
    </row>
    <row r="137">
      <c r="A137">
        <f>IF(ISNA(MATCH(124,Engine!$C$2:$C$622,0)),"",INDEX('Compliance Database'!$A$2:$A$622,MATCH(124,Engine!$C$2:$C$622,0)))</f>
        <v/>
      </c>
      <c r="B137">
        <f>IF(ISNA(MATCH(124,Engine!$C$2:$C$622,0)),"",INDEX('Compliance Database'!$B$2:$B$622,MATCH(124,Engine!$C$2:$C$622,0)))</f>
        <v/>
      </c>
      <c r="C137">
        <f>IF(ISNA(MATCH(124,Engine!$C$2:$C$622,0)),"",INDEX('Compliance Database'!$C$2:$C$622,MATCH(124,Engine!$C$2:$C$622,0)))</f>
        <v/>
      </c>
      <c r="D137" s="8">
        <f>IF(ISNA(MATCH(124,Engine!$C$2:$C$622,0)),"",INDEX('Compliance Database'!$D$2:$D$622,MATCH(124,Engine!$C$2:$C$622,0)))</f>
        <v/>
      </c>
      <c r="E137">
        <f>IF(ISNA(MATCH(124,Engine!$C$2:$C$622,0)),"",INDEX('Compliance Database'!$E$2:$E$622,MATCH(124,Engine!$C$2:$C$622,0)))</f>
        <v/>
      </c>
      <c r="F137">
        <f>IF(ISNA(MATCH(124,Engine!$C$2:$C$622,0)),"",INDEX('Compliance Database'!$F$2:$F$622,MATCH(124,Engine!$C$2:$C$622,0)))</f>
        <v/>
      </c>
      <c r="G137">
        <f>IF(ISNA(MATCH(124,Engine!$C$2:$C$622,0)),"",INDEX('Compliance Database'!$G$2:$G$622,MATCH(124,Engine!$C$2:$C$622,0)))</f>
        <v/>
      </c>
      <c r="H137">
        <f>IF(ISNA(MATCH(124,Engine!$C$2:$C$622,0)),"",INDEX('Compliance Database'!$H$2:$H$622,MATCH(124,Engine!$C$2:$C$622,0)))</f>
        <v/>
      </c>
      <c r="I137" s="8">
        <f>IF(ISNA(MATCH(124,Engine!$C$2:$C$622,0)),"",INDEX('Compliance Database'!$I$2:$I$622,MATCH(124,Engine!$C$2:$C$622,0)))</f>
        <v/>
      </c>
      <c r="J137" s="8">
        <f>IF(ISNA(MATCH(124,Engine!$C$2:$C$622,0)),"",INDEX('Compliance Database'!$J$2:$J$622,MATCH(124,Engine!$C$2:$C$622,0)))</f>
        <v/>
      </c>
      <c r="K137">
        <f>IF(ISNA(MATCH(124,Engine!$C$2:$C$622,0)),"",INDEX('Compliance Database'!$K$2:$K$622,MATCH(124,Engine!$C$2:$C$622,0)))</f>
        <v/>
      </c>
      <c r="L137" s="8">
        <f>IF(ISNA(MATCH(124,Engine!$C$2:$C$622,0)),"",INDEX('Compliance Database'!$L$2:$L$622,MATCH(124,Engine!$C$2:$C$622,0)))</f>
        <v/>
      </c>
      <c r="M137" s="8">
        <f>IF(ISNA(MATCH(124,Engine!$C$2:$C$622,0)),"",INDEX('Compliance Database'!$M$2:$M$622,MATCH(124,Engine!$C$2:$C$622,0)))</f>
        <v/>
      </c>
      <c r="N137" s="8">
        <f>IF(ISNA(MATCH(124,Engine!$C$2:$C$622,0)),"",INDEX('Compliance Database'!$N$2:$N$622,MATCH(124,Engine!$C$2:$C$622,0)))</f>
        <v/>
      </c>
      <c r="O137" s="8">
        <f>IF(ISNA(MATCH(124,Engine!$C$2:$C$622,0)),"",INDEX('Compliance Database'!$O$2:$O$622,MATCH(124,Engine!$C$2:$C$622,0)))</f>
        <v/>
      </c>
    </row>
    <row r="138">
      <c r="A138">
        <f>IF(ISNA(MATCH(125,Engine!$C$2:$C$622,0)),"",INDEX('Compliance Database'!$A$2:$A$622,MATCH(125,Engine!$C$2:$C$622,0)))</f>
        <v/>
      </c>
      <c r="B138">
        <f>IF(ISNA(MATCH(125,Engine!$C$2:$C$622,0)),"",INDEX('Compliance Database'!$B$2:$B$622,MATCH(125,Engine!$C$2:$C$622,0)))</f>
        <v/>
      </c>
      <c r="C138">
        <f>IF(ISNA(MATCH(125,Engine!$C$2:$C$622,0)),"",INDEX('Compliance Database'!$C$2:$C$622,MATCH(125,Engine!$C$2:$C$622,0)))</f>
        <v/>
      </c>
      <c r="D138" s="8">
        <f>IF(ISNA(MATCH(125,Engine!$C$2:$C$622,0)),"",INDEX('Compliance Database'!$D$2:$D$622,MATCH(125,Engine!$C$2:$C$622,0)))</f>
        <v/>
      </c>
      <c r="E138">
        <f>IF(ISNA(MATCH(125,Engine!$C$2:$C$622,0)),"",INDEX('Compliance Database'!$E$2:$E$622,MATCH(125,Engine!$C$2:$C$622,0)))</f>
        <v/>
      </c>
      <c r="F138">
        <f>IF(ISNA(MATCH(125,Engine!$C$2:$C$622,0)),"",INDEX('Compliance Database'!$F$2:$F$622,MATCH(125,Engine!$C$2:$C$622,0)))</f>
        <v/>
      </c>
      <c r="G138">
        <f>IF(ISNA(MATCH(125,Engine!$C$2:$C$622,0)),"",INDEX('Compliance Database'!$G$2:$G$622,MATCH(125,Engine!$C$2:$C$622,0)))</f>
        <v/>
      </c>
      <c r="H138">
        <f>IF(ISNA(MATCH(125,Engine!$C$2:$C$622,0)),"",INDEX('Compliance Database'!$H$2:$H$622,MATCH(125,Engine!$C$2:$C$622,0)))</f>
        <v/>
      </c>
      <c r="I138" s="8">
        <f>IF(ISNA(MATCH(125,Engine!$C$2:$C$622,0)),"",INDEX('Compliance Database'!$I$2:$I$622,MATCH(125,Engine!$C$2:$C$622,0)))</f>
        <v/>
      </c>
      <c r="J138" s="8">
        <f>IF(ISNA(MATCH(125,Engine!$C$2:$C$622,0)),"",INDEX('Compliance Database'!$J$2:$J$622,MATCH(125,Engine!$C$2:$C$622,0)))</f>
        <v/>
      </c>
      <c r="K138">
        <f>IF(ISNA(MATCH(125,Engine!$C$2:$C$622,0)),"",INDEX('Compliance Database'!$K$2:$K$622,MATCH(125,Engine!$C$2:$C$622,0)))</f>
        <v/>
      </c>
      <c r="L138" s="8">
        <f>IF(ISNA(MATCH(125,Engine!$C$2:$C$622,0)),"",INDEX('Compliance Database'!$L$2:$L$622,MATCH(125,Engine!$C$2:$C$622,0)))</f>
        <v/>
      </c>
      <c r="M138" s="8">
        <f>IF(ISNA(MATCH(125,Engine!$C$2:$C$622,0)),"",INDEX('Compliance Database'!$M$2:$M$622,MATCH(125,Engine!$C$2:$C$622,0)))</f>
        <v/>
      </c>
      <c r="N138" s="8">
        <f>IF(ISNA(MATCH(125,Engine!$C$2:$C$622,0)),"",INDEX('Compliance Database'!$N$2:$N$622,MATCH(125,Engine!$C$2:$C$622,0)))</f>
        <v/>
      </c>
      <c r="O138" s="8">
        <f>IF(ISNA(MATCH(125,Engine!$C$2:$C$622,0)),"",INDEX('Compliance Database'!$O$2:$O$622,MATCH(125,Engine!$C$2:$C$622,0)))</f>
        <v/>
      </c>
    </row>
    <row r="139">
      <c r="A139">
        <f>IF(ISNA(MATCH(126,Engine!$C$2:$C$622,0)),"",INDEX('Compliance Database'!$A$2:$A$622,MATCH(126,Engine!$C$2:$C$622,0)))</f>
        <v/>
      </c>
      <c r="B139">
        <f>IF(ISNA(MATCH(126,Engine!$C$2:$C$622,0)),"",INDEX('Compliance Database'!$B$2:$B$622,MATCH(126,Engine!$C$2:$C$622,0)))</f>
        <v/>
      </c>
      <c r="C139">
        <f>IF(ISNA(MATCH(126,Engine!$C$2:$C$622,0)),"",INDEX('Compliance Database'!$C$2:$C$622,MATCH(126,Engine!$C$2:$C$622,0)))</f>
        <v/>
      </c>
      <c r="D139" s="8">
        <f>IF(ISNA(MATCH(126,Engine!$C$2:$C$622,0)),"",INDEX('Compliance Database'!$D$2:$D$622,MATCH(126,Engine!$C$2:$C$622,0)))</f>
        <v/>
      </c>
      <c r="E139">
        <f>IF(ISNA(MATCH(126,Engine!$C$2:$C$622,0)),"",INDEX('Compliance Database'!$E$2:$E$622,MATCH(126,Engine!$C$2:$C$622,0)))</f>
        <v/>
      </c>
      <c r="F139">
        <f>IF(ISNA(MATCH(126,Engine!$C$2:$C$622,0)),"",INDEX('Compliance Database'!$F$2:$F$622,MATCH(126,Engine!$C$2:$C$622,0)))</f>
        <v/>
      </c>
      <c r="G139">
        <f>IF(ISNA(MATCH(126,Engine!$C$2:$C$622,0)),"",INDEX('Compliance Database'!$G$2:$G$622,MATCH(126,Engine!$C$2:$C$622,0)))</f>
        <v/>
      </c>
      <c r="H139">
        <f>IF(ISNA(MATCH(126,Engine!$C$2:$C$622,0)),"",INDEX('Compliance Database'!$H$2:$H$622,MATCH(126,Engine!$C$2:$C$622,0)))</f>
        <v/>
      </c>
      <c r="I139" s="8">
        <f>IF(ISNA(MATCH(126,Engine!$C$2:$C$622,0)),"",INDEX('Compliance Database'!$I$2:$I$622,MATCH(126,Engine!$C$2:$C$622,0)))</f>
        <v/>
      </c>
      <c r="J139" s="8">
        <f>IF(ISNA(MATCH(126,Engine!$C$2:$C$622,0)),"",INDEX('Compliance Database'!$J$2:$J$622,MATCH(126,Engine!$C$2:$C$622,0)))</f>
        <v/>
      </c>
      <c r="K139">
        <f>IF(ISNA(MATCH(126,Engine!$C$2:$C$622,0)),"",INDEX('Compliance Database'!$K$2:$K$622,MATCH(126,Engine!$C$2:$C$622,0)))</f>
        <v/>
      </c>
      <c r="L139" s="8">
        <f>IF(ISNA(MATCH(126,Engine!$C$2:$C$622,0)),"",INDEX('Compliance Database'!$L$2:$L$622,MATCH(126,Engine!$C$2:$C$622,0)))</f>
        <v/>
      </c>
      <c r="M139" s="8">
        <f>IF(ISNA(MATCH(126,Engine!$C$2:$C$622,0)),"",INDEX('Compliance Database'!$M$2:$M$622,MATCH(126,Engine!$C$2:$C$622,0)))</f>
        <v/>
      </c>
      <c r="N139" s="8">
        <f>IF(ISNA(MATCH(126,Engine!$C$2:$C$622,0)),"",INDEX('Compliance Database'!$N$2:$N$622,MATCH(126,Engine!$C$2:$C$622,0)))</f>
        <v/>
      </c>
      <c r="O139" s="8">
        <f>IF(ISNA(MATCH(126,Engine!$C$2:$C$622,0)),"",INDEX('Compliance Database'!$O$2:$O$622,MATCH(126,Engine!$C$2:$C$622,0)))</f>
        <v/>
      </c>
    </row>
    <row r="140">
      <c r="A140">
        <f>IF(ISNA(MATCH(127,Engine!$C$2:$C$622,0)),"",INDEX('Compliance Database'!$A$2:$A$622,MATCH(127,Engine!$C$2:$C$622,0)))</f>
        <v/>
      </c>
      <c r="B140">
        <f>IF(ISNA(MATCH(127,Engine!$C$2:$C$622,0)),"",INDEX('Compliance Database'!$B$2:$B$622,MATCH(127,Engine!$C$2:$C$622,0)))</f>
        <v/>
      </c>
      <c r="C140">
        <f>IF(ISNA(MATCH(127,Engine!$C$2:$C$622,0)),"",INDEX('Compliance Database'!$C$2:$C$622,MATCH(127,Engine!$C$2:$C$622,0)))</f>
        <v/>
      </c>
      <c r="D140" s="8">
        <f>IF(ISNA(MATCH(127,Engine!$C$2:$C$622,0)),"",INDEX('Compliance Database'!$D$2:$D$622,MATCH(127,Engine!$C$2:$C$622,0)))</f>
        <v/>
      </c>
      <c r="E140">
        <f>IF(ISNA(MATCH(127,Engine!$C$2:$C$622,0)),"",INDEX('Compliance Database'!$E$2:$E$622,MATCH(127,Engine!$C$2:$C$622,0)))</f>
        <v/>
      </c>
      <c r="F140">
        <f>IF(ISNA(MATCH(127,Engine!$C$2:$C$622,0)),"",INDEX('Compliance Database'!$F$2:$F$622,MATCH(127,Engine!$C$2:$C$622,0)))</f>
        <v/>
      </c>
      <c r="G140">
        <f>IF(ISNA(MATCH(127,Engine!$C$2:$C$622,0)),"",INDEX('Compliance Database'!$G$2:$G$622,MATCH(127,Engine!$C$2:$C$622,0)))</f>
        <v/>
      </c>
      <c r="H140">
        <f>IF(ISNA(MATCH(127,Engine!$C$2:$C$622,0)),"",INDEX('Compliance Database'!$H$2:$H$622,MATCH(127,Engine!$C$2:$C$622,0)))</f>
        <v/>
      </c>
      <c r="I140" s="8">
        <f>IF(ISNA(MATCH(127,Engine!$C$2:$C$622,0)),"",INDEX('Compliance Database'!$I$2:$I$622,MATCH(127,Engine!$C$2:$C$622,0)))</f>
        <v/>
      </c>
      <c r="J140" s="8">
        <f>IF(ISNA(MATCH(127,Engine!$C$2:$C$622,0)),"",INDEX('Compliance Database'!$J$2:$J$622,MATCH(127,Engine!$C$2:$C$622,0)))</f>
        <v/>
      </c>
      <c r="K140">
        <f>IF(ISNA(MATCH(127,Engine!$C$2:$C$622,0)),"",INDEX('Compliance Database'!$K$2:$K$622,MATCH(127,Engine!$C$2:$C$622,0)))</f>
        <v/>
      </c>
      <c r="L140" s="8">
        <f>IF(ISNA(MATCH(127,Engine!$C$2:$C$622,0)),"",INDEX('Compliance Database'!$L$2:$L$622,MATCH(127,Engine!$C$2:$C$622,0)))</f>
        <v/>
      </c>
      <c r="M140" s="8">
        <f>IF(ISNA(MATCH(127,Engine!$C$2:$C$622,0)),"",INDEX('Compliance Database'!$M$2:$M$622,MATCH(127,Engine!$C$2:$C$622,0)))</f>
        <v/>
      </c>
      <c r="N140" s="8">
        <f>IF(ISNA(MATCH(127,Engine!$C$2:$C$622,0)),"",INDEX('Compliance Database'!$N$2:$N$622,MATCH(127,Engine!$C$2:$C$622,0)))</f>
        <v/>
      </c>
      <c r="O140" s="8">
        <f>IF(ISNA(MATCH(127,Engine!$C$2:$C$622,0)),"",INDEX('Compliance Database'!$O$2:$O$622,MATCH(127,Engine!$C$2:$C$622,0)))</f>
        <v/>
      </c>
    </row>
    <row r="141">
      <c r="A141">
        <f>IF(ISNA(MATCH(128,Engine!$C$2:$C$622,0)),"",INDEX('Compliance Database'!$A$2:$A$622,MATCH(128,Engine!$C$2:$C$622,0)))</f>
        <v/>
      </c>
      <c r="B141">
        <f>IF(ISNA(MATCH(128,Engine!$C$2:$C$622,0)),"",INDEX('Compliance Database'!$B$2:$B$622,MATCH(128,Engine!$C$2:$C$622,0)))</f>
        <v/>
      </c>
      <c r="C141">
        <f>IF(ISNA(MATCH(128,Engine!$C$2:$C$622,0)),"",INDEX('Compliance Database'!$C$2:$C$622,MATCH(128,Engine!$C$2:$C$622,0)))</f>
        <v/>
      </c>
      <c r="D141" s="8">
        <f>IF(ISNA(MATCH(128,Engine!$C$2:$C$622,0)),"",INDEX('Compliance Database'!$D$2:$D$622,MATCH(128,Engine!$C$2:$C$622,0)))</f>
        <v/>
      </c>
      <c r="E141">
        <f>IF(ISNA(MATCH(128,Engine!$C$2:$C$622,0)),"",INDEX('Compliance Database'!$E$2:$E$622,MATCH(128,Engine!$C$2:$C$622,0)))</f>
        <v/>
      </c>
      <c r="F141">
        <f>IF(ISNA(MATCH(128,Engine!$C$2:$C$622,0)),"",INDEX('Compliance Database'!$F$2:$F$622,MATCH(128,Engine!$C$2:$C$622,0)))</f>
        <v/>
      </c>
      <c r="G141">
        <f>IF(ISNA(MATCH(128,Engine!$C$2:$C$622,0)),"",INDEX('Compliance Database'!$G$2:$G$622,MATCH(128,Engine!$C$2:$C$622,0)))</f>
        <v/>
      </c>
      <c r="H141">
        <f>IF(ISNA(MATCH(128,Engine!$C$2:$C$622,0)),"",INDEX('Compliance Database'!$H$2:$H$622,MATCH(128,Engine!$C$2:$C$622,0)))</f>
        <v/>
      </c>
      <c r="I141" s="8">
        <f>IF(ISNA(MATCH(128,Engine!$C$2:$C$622,0)),"",INDEX('Compliance Database'!$I$2:$I$622,MATCH(128,Engine!$C$2:$C$622,0)))</f>
        <v/>
      </c>
      <c r="J141" s="8">
        <f>IF(ISNA(MATCH(128,Engine!$C$2:$C$622,0)),"",INDEX('Compliance Database'!$J$2:$J$622,MATCH(128,Engine!$C$2:$C$622,0)))</f>
        <v/>
      </c>
      <c r="K141">
        <f>IF(ISNA(MATCH(128,Engine!$C$2:$C$622,0)),"",INDEX('Compliance Database'!$K$2:$K$622,MATCH(128,Engine!$C$2:$C$622,0)))</f>
        <v/>
      </c>
      <c r="L141" s="8">
        <f>IF(ISNA(MATCH(128,Engine!$C$2:$C$622,0)),"",INDEX('Compliance Database'!$L$2:$L$622,MATCH(128,Engine!$C$2:$C$622,0)))</f>
        <v/>
      </c>
      <c r="M141" s="8">
        <f>IF(ISNA(MATCH(128,Engine!$C$2:$C$622,0)),"",INDEX('Compliance Database'!$M$2:$M$622,MATCH(128,Engine!$C$2:$C$622,0)))</f>
        <v/>
      </c>
      <c r="N141" s="8">
        <f>IF(ISNA(MATCH(128,Engine!$C$2:$C$622,0)),"",INDEX('Compliance Database'!$N$2:$N$622,MATCH(128,Engine!$C$2:$C$622,0)))</f>
        <v/>
      </c>
      <c r="O141" s="8">
        <f>IF(ISNA(MATCH(128,Engine!$C$2:$C$622,0)),"",INDEX('Compliance Database'!$O$2:$O$622,MATCH(128,Engine!$C$2:$C$622,0)))</f>
        <v/>
      </c>
    </row>
    <row r="142">
      <c r="A142">
        <f>IF(ISNA(MATCH(129,Engine!$C$2:$C$622,0)),"",INDEX('Compliance Database'!$A$2:$A$622,MATCH(129,Engine!$C$2:$C$622,0)))</f>
        <v/>
      </c>
      <c r="B142">
        <f>IF(ISNA(MATCH(129,Engine!$C$2:$C$622,0)),"",INDEX('Compliance Database'!$B$2:$B$622,MATCH(129,Engine!$C$2:$C$622,0)))</f>
        <v/>
      </c>
      <c r="C142">
        <f>IF(ISNA(MATCH(129,Engine!$C$2:$C$622,0)),"",INDEX('Compliance Database'!$C$2:$C$622,MATCH(129,Engine!$C$2:$C$622,0)))</f>
        <v/>
      </c>
      <c r="D142" s="8">
        <f>IF(ISNA(MATCH(129,Engine!$C$2:$C$622,0)),"",INDEX('Compliance Database'!$D$2:$D$622,MATCH(129,Engine!$C$2:$C$622,0)))</f>
        <v/>
      </c>
      <c r="E142">
        <f>IF(ISNA(MATCH(129,Engine!$C$2:$C$622,0)),"",INDEX('Compliance Database'!$E$2:$E$622,MATCH(129,Engine!$C$2:$C$622,0)))</f>
        <v/>
      </c>
      <c r="F142">
        <f>IF(ISNA(MATCH(129,Engine!$C$2:$C$622,0)),"",INDEX('Compliance Database'!$F$2:$F$622,MATCH(129,Engine!$C$2:$C$622,0)))</f>
        <v/>
      </c>
      <c r="G142">
        <f>IF(ISNA(MATCH(129,Engine!$C$2:$C$622,0)),"",INDEX('Compliance Database'!$G$2:$G$622,MATCH(129,Engine!$C$2:$C$622,0)))</f>
        <v/>
      </c>
      <c r="H142">
        <f>IF(ISNA(MATCH(129,Engine!$C$2:$C$622,0)),"",INDEX('Compliance Database'!$H$2:$H$622,MATCH(129,Engine!$C$2:$C$622,0)))</f>
        <v/>
      </c>
      <c r="I142" s="8">
        <f>IF(ISNA(MATCH(129,Engine!$C$2:$C$622,0)),"",INDEX('Compliance Database'!$I$2:$I$622,MATCH(129,Engine!$C$2:$C$622,0)))</f>
        <v/>
      </c>
      <c r="J142" s="8">
        <f>IF(ISNA(MATCH(129,Engine!$C$2:$C$622,0)),"",INDEX('Compliance Database'!$J$2:$J$622,MATCH(129,Engine!$C$2:$C$622,0)))</f>
        <v/>
      </c>
      <c r="K142">
        <f>IF(ISNA(MATCH(129,Engine!$C$2:$C$622,0)),"",INDEX('Compliance Database'!$K$2:$K$622,MATCH(129,Engine!$C$2:$C$622,0)))</f>
        <v/>
      </c>
      <c r="L142" s="8">
        <f>IF(ISNA(MATCH(129,Engine!$C$2:$C$622,0)),"",INDEX('Compliance Database'!$L$2:$L$622,MATCH(129,Engine!$C$2:$C$622,0)))</f>
        <v/>
      </c>
      <c r="M142" s="8">
        <f>IF(ISNA(MATCH(129,Engine!$C$2:$C$622,0)),"",INDEX('Compliance Database'!$M$2:$M$622,MATCH(129,Engine!$C$2:$C$622,0)))</f>
        <v/>
      </c>
      <c r="N142" s="8">
        <f>IF(ISNA(MATCH(129,Engine!$C$2:$C$622,0)),"",INDEX('Compliance Database'!$N$2:$N$622,MATCH(129,Engine!$C$2:$C$622,0)))</f>
        <v/>
      </c>
      <c r="O142" s="8">
        <f>IF(ISNA(MATCH(129,Engine!$C$2:$C$622,0)),"",INDEX('Compliance Database'!$O$2:$O$622,MATCH(129,Engine!$C$2:$C$622,0)))</f>
        <v/>
      </c>
    </row>
    <row r="143">
      <c r="A143">
        <f>IF(ISNA(MATCH(130,Engine!$C$2:$C$622,0)),"",INDEX('Compliance Database'!$A$2:$A$622,MATCH(130,Engine!$C$2:$C$622,0)))</f>
        <v/>
      </c>
      <c r="B143">
        <f>IF(ISNA(MATCH(130,Engine!$C$2:$C$622,0)),"",INDEX('Compliance Database'!$B$2:$B$622,MATCH(130,Engine!$C$2:$C$622,0)))</f>
        <v/>
      </c>
      <c r="C143">
        <f>IF(ISNA(MATCH(130,Engine!$C$2:$C$622,0)),"",INDEX('Compliance Database'!$C$2:$C$622,MATCH(130,Engine!$C$2:$C$622,0)))</f>
        <v/>
      </c>
      <c r="D143" s="8">
        <f>IF(ISNA(MATCH(130,Engine!$C$2:$C$622,0)),"",INDEX('Compliance Database'!$D$2:$D$622,MATCH(130,Engine!$C$2:$C$622,0)))</f>
        <v/>
      </c>
      <c r="E143">
        <f>IF(ISNA(MATCH(130,Engine!$C$2:$C$622,0)),"",INDEX('Compliance Database'!$E$2:$E$622,MATCH(130,Engine!$C$2:$C$622,0)))</f>
        <v/>
      </c>
      <c r="F143">
        <f>IF(ISNA(MATCH(130,Engine!$C$2:$C$622,0)),"",INDEX('Compliance Database'!$F$2:$F$622,MATCH(130,Engine!$C$2:$C$622,0)))</f>
        <v/>
      </c>
      <c r="G143">
        <f>IF(ISNA(MATCH(130,Engine!$C$2:$C$622,0)),"",INDEX('Compliance Database'!$G$2:$G$622,MATCH(130,Engine!$C$2:$C$622,0)))</f>
        <v/>
      </c>
      <c r="H143">
        <f>IF(ISNA(MATCH(130,Engine!$C$2:$C$622,0)),"",INDEX('Compliance Database'!$H$2:$H$622,MATCH(130,Engine!$C$2:$C$622,0)))</f>
        <v/>
      </c>
      <c r="I143" s="8">
        <f>IF(ISNA(MATCH(130,Engine!$C$2:$C$622,0)),"",INDEX('Compliance Database'!$I$2:$I$622,MATCH(130,Engine!$C$2:$C$622,0)))</f>
        <v/>
      </c>
      <c r="J143" s="8">
        <f>IF(ISNA(MATCH(130,Engine!$C$2:$C$622,0)),"",INDEX('Compliance Database'!$J$2:$J$622,MATCH(130,Engine!$C$2:$C$622,0)))</f>
        <v/>
      </c>
      <c r="K143">
        <f>IF(ISNA(MATCH(130,Engine!$C$2:$C$622,0)),"",INDEX('Compliance Database'!$K$2:$K$622,MATCH(130,Engine!$C$2:$C$622,0)))</f>
        <v/>
      </c>
      <c r="L143" s="8">
        <f>IF(ISNA(MATCH(130,Engine!$C$2:$C$622,0)),"",INDEX('Compliance Database'!$L$2:$L$622,MATCH(130,Engine!$C$2:$C$622,0)))</f>
        <v/>
      </c>
      <c r="M143" s="8">
        <f>IF(ISNA(MATCH(130,Engine!$C$2:$C$622,0)),"",INDEX('Compliance Database'!$M$2:$M$622,MATCH(130,Engine!$C$2:$C$622,0)))</f>
        <v/>
      </c>
      <c r="N143" s="8">
        <f>IF(ISNA(MATCH(130,Engine!$C$2:$C$622,0)),"",INDEX('Compliance Database'!$N$2:$N$622,MATCH(130,Engine!$C$2:$C$622,0)))</f>
        <v/>
      </c>
      <c r="O143" s="8">
        <f>IF(ISNA(MATCH(130,Engine!$C$2:$C$622,0)),"",INDEX('Compliance Database'!$O$2:$O$622,MATCH(130,Engine!$C$2:$C$622,0)))</f>
        <v/>
      </c>
    </row>
    <row r="144">
      <c r="A144">
        <f>IF(ISNA(MATCH(131,Engine!$C$2:$C$622,0)),"",INDEX('Compliance Database'!$A$2:$A$622,MATCH(131,Engine!$C$2:$C$622,0)))</f>
        <v/>
      </c>
      <c r="B144">
        <f>IF(ISNA(MATCH(131,Engine!$C$2:$C$622,0)),"",INDEX('Compliance Database'!$B$2:$B$622,MATCH(131,Engine!$C$2:$C$622,0)))</f>
        <v/>
      </c>
      <c r="C144">
        <f>IF(ISNA(MATCH(131,Engine!$C$2:$C$622,0)),"",INDEX('Compliance Database'!$C$2:$C$622,MATCH(131,Engine!$C$2:$C$622,0)))</f>
        <v/>
      </c>
      <c r="D144" s="8">
        <f>IF(ISNA(MATCH(131,Engine!$C$2:$C$622,0)),"",INDEX('Compliance Database'!$D$2:$D$622,MATCH(131,Engine!$C$2:$C$622,0)))</f>
        <v/>
      </c>
      <c r="E144">
        <f>IF(ISNA(MATCH(131,Engine!$C$2:$C$622,0)),"",INDEX('Compliance Database'!$E$2:$E$622,MATCH(131,Engine!$C$2:$C$622,0)))</f>
        <v/>
      </c>
      <c r="F144">
        <f>IF(ISNA(MATCH(131,Engine!$C$2:$C$622,0)),"",INDEX('Compliance Database'!$F$2:$F$622,MATCH(131,Engine!$C$2:$C$622,0)))</f>
        <v/>
      </c>
      <c r="G144">
        <f>IF(ISNA(MATCH(131,Engine!$C$2:$C$622,0)),"",INDEX('Compliance Database'!$G$2:$G$622,MATCH(131,Engine!$C$2:$C$622,0)))</f>
        <v/>
      </c>
      <c r="H144">
        <f>IF(ISNA(MATCH(131,Engine!$C$2:$C$622,0)),"",INDEX('Compliance Database'!$H$2:$H$622,MATCH(131,Engine!$C$2:$C$622,0)))</f>
        <v/>
      </c>
      <c r="I144" s="8">
        <f>IF(ISNA(MATCH(131,Engine!$C$2:$C$622,0)),"",INDEX('Compliance Database'!$I$2:$I$622,MATCH(131,Engine!$C$2:$C$622,0)))</f>
        <v/>
      </c>
      <c r="J144" s="8">
        <f>IF(ISNA(MATCH(131,Engine!$C$2:$C$622,0)),"",INDEX('Compliance Database'!$J$2:$J$622,MATCH(131,Engine!$C$2:$C$622,0)))</f>
        <v/>
      </c>
      <c r="K144">
        <f>IF(ISNA(MATCH(131,Engine!$C$2:$C$622,0)),"",INDEX('Compliance Database'!$K$2:$K$622,MATCH(131,Engine!$C$2:$C$622,0)))</f>
        <v/>
      </c>
      <c r="L144" s="8">
        <f>IF(ISNA(MATCH(131,Engine!$C$2:$C$622,0)),"",INDEX('Compliance Database'!$L$2:$L$622,MATCH(131,Engine!$C$2:$C$622,0)))</f>
        <v/>
      </c>
      <c r="M144" s="8">
        <f>IF(ISNA(MATCH(131,Engine!$C$2:$C$622,0)),"",INDEX('Compliance Database'!$M$2:$M$622,MATCH(131,Engine!$C$2:$C$622,0)))</f>
        <v/>
      </c>
      <c r="N144" s="8">
        <f>IF(ISNA(MATCH(131,Engine!$C$2:$C$622,0)),"",INDEX('Compliance Database'!$N$2:$N$622,MATCH(131,Engine!$C$2:$C$622,0)))</f>
        <v/>
      </c>
      <c r="O144" s="8">
        <f>IF(ISNA(MATCH(131,Engine!$C$2:$C$622,0)),"",INDEX('Compliance Database'!$O$2:$O$622,MATCH(131,Engine!$C$2:$C$622,0)))</f>
        <v/>
      </c>
    </row>
    <row r="145">
      <c r="A145">
        <f>IF(ISNA(MATCH(132,Engine!$C$2:$C$622,0)),"",INDEX('Compliance Database'!$A$2:$A$622,MATCH(132,Engine!$C$2:$C$622,0)))</f>
        <v/>
      </c>
      <c r="B145">
        <f>IF(ISNA(MATCH(132,Engine!$C$2:$C$622,0)),"",INDEX('Compliance Database'!$B$2:$B$622,MATCH(132,Engine!$C$2:$C$622,0)))</f>
        <v/>
      </c>
      <c r="C145">
        <f>IF(ISNA(MATCH(132,Engine!$C$2:$C$622,0)),"",INDEX('Compliance Database'!$C$2:$C$622,MATCH(132,Engine!$C$2:$C$622,0)))</f>
        <v/>
      </c>
      <c r="D145" s="8">
        <f>IF(ISNA(MATCH(132,Engine!$C$2:$C$622,0)),"",INDEX('Compliance Database'!$D$2:$D$622,MATCH(132,Engine!$C$2:$C$622,0)))</f>
        <v/>
      </c>
      <c r="E145">
        <f>IF(ISNA(MATCH(132,Engine!$C$2:$C$622,0)),"",INDEX('Compliance Database'!$E$2:$E$622,MATCH(132,Engine!$C$2:$C$622,0)))</f>
        <v/>
      </c>
      <c r="F145">
        <f>IF(ISNA(MATCH(132,Engine!$C$2:$C$622,0)),"",INDEX('Compliance Database'!$F$2:$F$622,MATCH(132,Engine!$C$2:$C$622,0)))</f>
        <v/>
      </c>
      <c r="G145">
        <f>IF(ISNA(MATCH(132,Engine!$C$2:$C$622,0)),"",INDEX('Compliance Database'!$G$2:$G$622,MATCH(132,Engine!$C$2:$C$622,0)))</f>
        <v/>
      </c>
      <c r="H145">
        <f>IF(ISNA(MATCH(132,Engine!$C$2:$C$622,0)),"",INDEX('Compliance Database'!$H$2:$H$622,MATCH(132,Engine!$C$2:$C$622,0)))</f>
        <v/>
      </c>
      <c r="I145" s="8">
        <f>IF(ISNA(MATCH(132,Engine!$C$2:$C$622,0)),"",INDEX('Compliance Database'!$I$2:$I$622,MATCH(132,Engine!$C$2:$C$622,0)))</f>
        <v/>
      </c>
      <c r="J145" s="8">
        <f>IF(ISNA(MATCH(132,Engine!$C$2:$C$622,0)),"",INDEX('Compliance Database'!$J$2:$J$622,MATCH(132,Engine!$C$2:$C$622,0)))</f>
        <v/>
      </c>
      <c r="K145">
        <f>IF(ISNA(MATCH(132,Engine!$C$2:$C$622,0)),"",INDEX('Compliance Database'!$K$2:$K$622,MATCH(132,Engine!$C$2:$C$622,0)))</f>
        <v/>
      </c>
      <c r="L145" s="8">
        <f>IF(ISNA(MATCH(132,Engine!$C$2:$C$622,0)),"",INDEX('Compliance Database'!$L$2:$L$622,MATCH(132,Engine!$C$2:$C$622,0)))</f>
        <v/>
      </c>
      <c r="M145" s="8">
        <f>IF(ISNA(MATCH(132,Engine!$C$2:$C$622,0)),"",INDEX('Compliance Database'!$M$2:$M$622,MATCH(132,Engine!$C$2:$C$622,0)))</f>
        <v/>
      </c>
      <c r="N145" s="8">
        <f>IF(ISNA(MATCH(132,Engine!$C$2:$C$622,0)),"",INDEX('Compliance Database'!$N$2:$N$622,MATCH(132,Engine!$C$2:$C$622,0)))</f>
        <v/>
      </c>
      <c r="O145" s="8">
        <f>IF(ISNA(MATCH(132,Engine!$C$2:$C$622,0)),"",INDEX('Compliance Database'!$O$2:$O$622,MATCH(132,Engine!$C$2:$C$622,0)))</f>
        <v/>
      </c>
    </row>
    <row r="146">
      <c r="A146">
        <f>IF(ISNA(MATCH(133,Engine!$C$2:$C$622,0)),"",INDEX('Compliance Database'!$A$2:$A$622,MATCH(133,Engine!$C$2:$C$622,0)))</f>
        <v/>
      </c>
      <c r="B146">
        <f>IF(ISNA(MATCH(133,Engine!$C$2:$C$622,0)),"",INDEX('Compliance Database'!$B$2:$B$622,MATCH(133,Engine!$C$2:$C$622,0)))</f>
        <v/>
      </c>
      <c r="C146">
        <f>IF(ISNA(MATCH(133,Engine!$C$2:$C$622,0)),"",INDEX('Compliance Database'!$C$2:$C$622,MATCH(133,Engine!$C$2:$C$622,0)))</f>
        <v/>
      </c>
      <c r="D146" s="8">
        <f>IF(ISNA(MATCH(133,Engine!$C$2:$C$622,0)),"",INDEX('Compliance Database'!$D$2:$D$622,MATCH(133,Engine!$C$2:$C$622,0)))</f>
        <v/>
      </c>
      <c r="E146">
        <f>IF(ISNA(MATCH(133,Engine!$C$2:$C$622,0)),"",INDEX('Compliance Database'!$E$2:$E$622,MATCH(133,Engine!$C$2:$C$622,0)))</f>
        <v/>
      </c>
      <c r="F146">
        <f>IF(ISNA(MATCH(133,Engine!$C$2:$C$622,0)),"",INDEX('Compliance Database'!$F$2:$F$622,MATCH(133,Engine!$C$2:$C$622,0)))</f>
        <v/>
      </c>
      <c r="G146">
        <f>IF(ISNA(MATCH(133,Engine!$C$2:$C$622,0)),"",INDEX('Compliance Database'!$G$2:$G$622,MATCH(133,Engine!$C$2:$C$622,0)))</f>
        <v/>
      </c>
      <c r="H146">
        <f>IF(ISNA(MATCH(133,Engine!$C$2:$C$622,0)),"",INDEX('Compliance Database'!$H$2:$H$622,MATCH(133,Engine!$C$2:$C$622,0)))</f>
        <v/>
      </c>
      <c r="I146" s="8">
        <f>IF(ISNA(MATCH(133,Engine!$C$2:$C$622,0)),"",INDEX('Compliance Database'!$I$2:$I$622,MATCH(133,Engine!$C$2:$C$622,0)))</f>
        <v/>
      </c>
      <c r="J146" s="8">
        <f>IF(ISNA(MATCH(133,Engine!$C$2:$C$622,0)),"",INDEX('Compliance Database'!$J$2:$J$622,MATCH(133,Engine!$C$2:$C$622,0)))</f>
        <v/>
      </c>
      <c r="K146">
        <f>IF(ISNA(MATCH(133,Engine!$C$2:$C$622,0)),"",INDEX('Compliance Database'!$K$2:$K$622,MATCH(133,Engine!$C$2:$C$622,0)))</f>
        <v/>
      </c>
      <c r="L146" s="8">
        <f>IF(ISNA(MATCH(133,Engine!$C$2:$C$622,0)),"",INDEX('Compliance Database'!$L$2:$L$622,MATCH(133,Engine!$C$2:$C$622,0)))</f>
        <v/>
      </c>
      <c r="M146" s="8">
        <f>IF(ISNA(MATCH(133,Engine!$C$2:$C$622,0)),"",INDEX('Compliance Database'!$M$2:$M$622,MATCH(133,Engine!$C$2:$C$622,0)))</f>
        <v/>
      </c>
      <c r="N146" s="8">
        <f>IF(ISNA(MATCH(133,Engine!$C$2:$C$622,0)),"",INDEX('Compliance Database'!$N$2:$N$622,MATCH(133,Engine!$C$2:$C$622,0)))</f>
        <v/>
      </c>
      <c r="O146" s="8">
        <f>IF(ISNA(MATCH(133,Engine!$C$2:$C$622,0)),"",INDEX('Compliance Database'!$O$2:$O$622,MATCH(133,Engine!$C$2:$C$622,0)))</f>
        <v/>
      </c>
    </row>
    <row r="147">
      <c r="A147">
        <f>IF(ISNA(MATCH(134,Engine!$C$2:$C$622,0)),"",INDEX('Compliance Database'!$A$2:$A$622,MATCH(134,Engine!$C$2:$C$622,0)))</f>
        <v/>
      </c>
      <c r="B147">
        <f>IF(ISNA(MATCH(134,Engine!$C$2:$C$622,0)),"",INDEX('Compliance Database'!$B$2:$B$622,MATCH(134,Engine!$C$2:$C$622,0)))</f>
        <v/>
      </c>
      <c r="C147">
        <f>IF(ISNA(MATCH(134,Engine!$C$2:$C$622,0)),"",INDEX('Compliance Database'!$C$2:$C$622,MATCH(134,Engine!$C$2:$C$622,0)))</f>
        <v/>
      </c>
      <c r="D147" s="8">
        <f>IF(ISNA(MATCH(134,Engine!$C$2:$C$622,0)),"",INDEX('Compliance Database'!$D$2:$D$622,MATCH(134,Engine!$C$2:$C$622,0)))</f>
        <v/>
      </c>
      <c r="E147">
        <f>IF(ISNA(MATCH(134,Engine!$C$2:$C$622,0)),"",INDEX('Compliance Database'!$E$2:$E$622,MATCH(134,Engine!$C$2:$C$622,0)))</f>
        <v/>
      </c>
      <c r="F147">
        <f>IF(ISNA(MATCH(134,Engine!$C$2:$C$622,0)),"",INDEX('Compliance Database'!$F$2:$F$622,MATCH(134,Engine!$C$2:$C$622,0)))</f>
        <v/>
      </c>
      <c r="G147">
        <f>IF(ISNA(MATCH(134,Engine!$C$2:$C$622,0)),"",INDEX('Compliance Database'!$G$2:$G$622,MATCH(134,Engine!$C$2:$C$622,0)))</f>
        <v/>
      </c>
      <c r="H147">
        <f>IF(ISNA(MATCH(134,Engine!$C$2:$C$622,0)),"",INDEX('Compliance Database'!$H$2:$H$622,MATCH(134,Engine!$C$2:$C$622,0)))</f>
        <v/>
      </c>
      <c r="I147" s="8">
        <f>IF(ISNA(MATCH(134,Engine!$C$2:$C$622,0)),"",INDEX('Compliance Database'!$I$2:$I$622,MATCH(134,Engine!$C$2:$C$622,0)))</f>
        <v/>
      </c>
      <c r="J147" s="8">
        <f>IF(ISNA(MATCH(134,Engine!$C$2:$C$622,0)),"",INDEX('Compliance Database'!$J$2:$J$622,MATCH(134,Engine!$C$2:$C$622,0)))</f>
        <v/>
      </c>
      <c r="K147">
        <f>IF(ISNA(MATCH(134,Engine!$C$2:$C$622,0)),"",INDEX('Compliance Database'!$K$2:$K$622,MATCH(134,Engine!$C$2:$C$622,0)))</f>
        <v/>
      </c>
      <c r="L147" s="8">
        <f>IF(ISNA(MATCH(134,Engine!$C$2:$C$622,0)),"",INDEX('Compliance Database'!$L$2:$L$622,MATCH(134,Engine!$C$2:$C$622,0)))</f>
        <v/>
      </c>
      <c r="M147" s="8">
        <f>IF(ISNA(MATCH(134,Engine!$C$2:$C$622,0)),"",INDEX('Compliance Database'!$M$2:$M$622,MATCH(134,Engine!$C$2:$C$622,0)))</f>
        <v/>
      </c>
      <c r="N147" s="8">
        <f>IF(ISNA(MATCH(134,Engine!$C$2:$C$622,0)),"",INDEX('Compliance Database'!$N$2:$N$622,MATCH(134,Engine!$C$2:$C$622,0)))</f>
        <v/>
      </c>
      <c r="O147" s="8">
        <f>IF(ISNA(MATCH(134,Engine!$C$2:$C$622,0)),"",INDEX('Compliance Database'!$O$2:$O$622,MATCH(134,Engine!$C$2:$C$622,0)))</f>
        <v/>
      </c>
    </row>
    <row r="148">
      <c r="A148">
        <f>IF(ISNA(MATCH(135,Engine!$C$2:$C$622,0)),"",INDEX('Compliance Database'!$A$2:$A$622,MATCH(135,Engine!$C$2:$C$622,0)))</f>
        <v/>
      </c>
      <c r="B148">
        <f>IF(ISNA(MATCH(135,Engine!$C$2:$C$622,0)),"",INDEX('Compliance Database'!$B$2:$B$622,MATCH(135,Engine!$C$2:$C$622,0)))</f>
        <v/>
      </c>
      <c r="C148">
        <f>IF(ISNA(MATCH(135,Engine!$C$2:$C$622,0)),"",INDEX('Compliance Database'!$C$2:$C$622,MATCH(135,Engine!$C$2:$C$622,0)))</f>
        <v/>
      </c>
      <c r="D148" s="8">
        <f>IF(ISNA(MATCH(135,Engine!$C$2:$C$622,0)),"",INDEX('Compliance Database'!$D$2:$D$622,MATCH(135,Engine!$C$2:$C$622,0)))</f>
        <v/>
      </c>
      <c r="E148">
        <f>IF(ISNA(MATCH(135,Engine!$C$2:$C$622,0)),"",INDEX('Compliance Database'!$E$2:$E$622,MATCH(135,Engine!$C$2:$C$622,0)))</f>
        <v/>
      </c>
      <c r="F148">
        <f>IF(ISNA(MATCH(135,Engine!$C$2:$C$622,0)),"",INDEX('Compliance Database'!$F$2:$F$622,MATCH(135,Engine!$C$2:$C$622,0)))</f>
        <v/>
      </c>
      <c r="G148">
        <f>IF(ISNA(MATCH(135,Engine!$C$2:$C$622,0)),"",INDEX('Compliance Database'!$G$2:$G$622,MATCH(135,Engine!$C$2:$C$622,0)))</f>
        <v/>
      </c>
      <c r="H148">
        <f>IF(ISNA(MATCH(135,Engine!$C$2:$C$622,0)),"",INDEX('Compliance Database'!$H$2:$H$622,MATCH(135,Engine!$C$2:$C$622,0)))</f>
        <v/>
      </c>
      <c r="I148" s="8">
        <f>IF(ISNA(MATCH(135,Engine!$C$2:$C$622,0)),"",INDEX('Compliance Database'!$I$2:$I$622,MATCH(135,Engine!$C$2:$C$622,0)))</f>
        <v/>
      </c>
      <c r="J148" s="8">
        <f>IF(ISNA(MATCH(135,Engine!$C$2:$C$622,0)),"",INDEX('Compliance Database'!$J$2:$J$622,MATCH(135,Engine!$C$2:$C$622,0)))</f>
        <v/>
      </c>
      <c r="K148">
        <f>IF(ISNA(MATCH(135,Engine!$C$2:$C$622,0)),"",INDEX('Compliance Database'!$K$2:$K$622,MATCH(135,Engine!$C$2:$C$622,0)))</f>
        <v/>
      </c>
      <c r="L148" s="8">
        <f>IF(ISNA(MATCH(135,Engine!$C$2:$C$622,0)),"",INDEX('Compliance Database'!$L$2:$L$622,MATCH(135,Engine!$C$2:$C$622,0)))</f>
        <v/>
      </c>
      <c r="M148" s="8">
        <f>IF(ISNA(MATCH(135,Engine!$C$2:$C$622,0)),"",INDEX('Compliance Database'!$M$2:$M$622,MATCH(135,Engine!$C$2:$C$622,0)))</f>
        <v/>
      </c>
      <c r="N148" s="8">
        <f>IF(ISNA(MATCH(135,Engine!$C$2:$C$622,0)),"",INDEX('Compliance Database'!$N$2:$N$622,MATCH(135,Engine!$C$2:$C$622,0)))</f>
        <v/>
      </c>
      <c r="O148" s="8">
        <f>IF(ISNA(MATCH(135,Engine!$C$2:$C$622,0)),"",INDEX('Compliance Database'!$O$2:$O$622,MATCH(135,Engine!$C$2:$C$622,0)))</f>
        <v/>
      </c>
    </row>
    <row r="149">
      <c r="A149">
        <f>IF(ISNA(MATCH(136,Engine!$C$2:$C$622,0)),"",INDEX('Compliance Database'!$A$2:$A$622,MATCH(136,Engine!$C$2:$C$622,0)))</f>
        <v/>
      </c>
      <c r="B149">
        <f>IF(ISNA(MATCH(136,Engine!$C$2:$C$622,0)),"",INDEX('Compliance Database'!$B$2:$B$622,MATCH(136,Engine!$C$2:$C$622,0)))</f>
        <v/>
      </c>
      <c r="C149">
        <f>IF(ISNA(MATCH(136,Engine!$C$2:$C$622,0)),"",INDEX('Compliance Database'!$C$2:$C$622,MATCH(136,Engine!$C$2:$C$622,0)))</f>
        <v/>
      </c>
      <c r="D149" s="8">
        <f>IF(ISNA(MATCH(136,Engine!$C$2:$C$622,0)),"",INDEX('Compliance Database'!$D$2:$D$622,MATCH(136,Engine!$C$2:$C$622,0)))</f>
        <v/>
      </c>
      <c r="E149">
        <f>IF(ISNA(MATCH(136,Engine!$C$2:$C$622,0)),"",INDEX('Compliance Database'!$E$2:$E$622,MATCH(136,Engine!$C$2:$C$622,0)))</f>
        <v/>
      </c>
      <c r="F149">
        <f>IF(ISNA(MATCH(136,Engine!$C$2:$C$622,0)),"",INDEX('Compliance Database'!$F$2:$F$622,MATCH(136,Engine!$C$2:$C$622,0)))</f>
        <v/>
      </c>
      <c r="G149">
        <f>IF(ISNA(MATCH(136,Engine!$C$2:$C$622,0)),"",INDEX('Compliance Database'!$G$2:$G$622,MATCH(136,Engine!$C$2:$C$622,0)))</f>
        <v/>
      </c>
      <c r="H149">
        <f>IF(ISNA(MATCH(136,Engine!$C$2:$C$622,0)),"",INDEX('Compliance Database'!$H$2:$H$622,MATCH(136,Engine!$C$2:$C$622,0)))</f>
        <v/>
      </c>
      <c r="I149" s="8">
        <f>IF(ISNA(MATCH(136,Engine!$C$2:$C$622,0)),"",INDEX('Compliance Database'!$I$2:$I$622,MATCH(136,Engine!$C$2:$C$622,0)))</f>
        <v/>
      </c>
      <c r="J149" s="8">
        <f>IF(ISNA(MATCH(136,Engine!$C$2:$C$622,0)),"",INDEX('Compliance Database'!$J$2:$J$622,MATCH(136,Engine!$C$2:$C$622,0)))</f>
        <v/>
      </c>
      <c r="K149">
        <f>IF(ISNA(MATCH(136,Engine!$C$2:$C$622,0)),"",INDEX('Compliance Database'!$K$2:$K$622,MATCH(136,Engine!$C$2:$C$622,0)))</f>
        <v/>
      </c>
      <c r="L149" s="8">
        <f>IF(ISNA(MATCH(136,Engine!$C$2:$C$622,0)),"",INDEX('Compliance Database'!$L$2:$L$622,MATCH(136,Engine!$C$2:$C$622,0)))</f>
        <v/>
      </c>
      <c r="M149" s="8">
        <f>IF(ISNA(MATCH(136,Engine!$C$2:$C$622,0)),"",INDEX('Compliance Database'!$M$2:$M$622,MATCH(136,Engine!$C$2:$C$622,0)))</f>
        <v/>
      </c>
      <c r="N149" s="8">
        <f>IF(ISNA(MATCH(136,Engine!$C$2:$C$622,0)),"",INDEX('Compliance Database'!$N$2:$N$622,MATCH(136,Engine!$C$2:$C$622,0)))</f>
        <v/>
      </c>
      <c r="O149" s="8">
        <f>IF(ISNA(MATCH(136,Engine!$C$2:$C$622,0)),"",INDEX('Compliance Database'!$O$2:$O$622,MATCH(136,Engine!$C$2:$C$622,0)))</f>
        <v/>
      </c>
    </row>
    <row r="150">
      <c r="A150">
        <f>IF(ISNA(MATCH(137,Engine!$C$2:$C$622,0)),"",INDEX('Compliance Database'!$A$2:$A$622,MATCH(137,Engine!$C$2:$C$622,0)))</f>
        <v/>
      </c>
      <c r="B150">
        <f>IF(ISNA(MATCH(137,Engine!$C$2:$C$622,0)),"",INDEX('Compliance Database'!$B$2:$B$622,MATCH(137,Engine!$C$2:$C$622,0)))</f>
        <v/>
      </c>
      <c r="C150">
        <f>IF(ISNA(MATCH(137,Engine!$C$2:$C$622,0)),"",INDEX('Compliance Database'!$C$2:$C$622,MATCH(137,Engine!$C$2:$C$622,0)))</f>
        <v/>
      </c>
      <c r="D150" s="8">
        <f>IF(ISNA(MATCH(137,Engine!$C$2:$C$622,0)),"",INDEX('Compliance Database'!$D$2:$D$622,MATCH(137,Engine!$C$2:$C$622,0)))</f>
        <v/>
      </c>
      <c r="E150">
        <f>IF(ISNA(MATCH(137,Engine!$C$2:$C$622,0)),"",INDEX('Compliance Database'!$E$2:$E$622,MATCH(137,Engine!$C$2:$C$622,0)))</f>
        <v/>
      </c>
      <c r="F150">
        <f>IF(ISNA(MATCH(137,Engine!$C$2:$C$622,0)),"",INDEX('Compliance Database'!$F$2:$F$622,MATCH(137,Engine!$C$2:$C$622,0)))</f>
        <v/>
      </c>
      <c r="G150">
        <f>IF(ISNA(MATCH(137,Engine!$C$2:$C$622,0)),"",INDEX('Compliance Database'!$G$2:$G$622,MATCH(137,Engine!$C$2:$C$622,0)))</f>
        <v/>
      </c>
      <c r="H150">
        <f>IF(ISNA(MATCH(137,Engine!$C$2:$C$622,0)),"",INDEX('Compliance Database'!$H$2:$H$622,MATCH(137,Engine!$C$2:$C$622,0)))</f>
        <v/>
      </c>
      <c r="I150" s="8">
        <f>IF(ISNA(MATCH(137,Engine!$C$2:$C$622,0)),"",INDEX('Compliance Database'!$I$2:$I$622,MATCH(137,Engine!$C$2:$C$622,0)))</f>
        <v/>
      </c>
      <c r="J150" s="8">
        <f>IF(ISNA(MATCH(137,Engine!$C$2:$C$622,0)),"",INDEX('Compliance Database'!$J$2:$J$622,MATCH(137,Engine!$C$2:$C$622,0)))</f>
        <v/>
      </c>
      <c r="K150">
        <f>IF(ISNA(MATCH(137,Engine!$C$2:$C$622,0)),"",INDEX('Compliance Database'!$K$2:$K$622,MATCH(137,Engine!$C$2:$C$622,0)))</f>
        <v/>
      </c>
      <c r="L150" s="8">
        <f>IF(ISNA(MATCH(137,Engine!$C$2:$C$622,0)),"",INDEX('Compliance Database'!$L$2:$L$622,MATCH(137,Engine!$C$2:$C$622,0)))</f>
        <v/>
      </c>
      <c r="M150" s="8">
        <f>IF(ISNA(MATCH(137,Engine!$C$2:$C$622,0)),"",INDEX('Compliance Database'!$M$2:$M$622,MATCH(137,Engine!$C$2:$C$622,0)))</f>
        <v/>
      </c>
      <c r="N150" s="8">
        <f>IF(ISNA(MATCH(137,Engine!$C$2:$C$622,0)),"",INDEX('Compliance Database'!$N$2:$N$622,MATCH(137,Engine!$C$2:$C$622,0)))</f>
        <v/>
      </c>
      <c r="O150" s="8">
        <f>IF(ISNA(MATCH(137,Engine!$C$2:$C$622,0)),"",INDEX('Compliance Database'!$O$2:$O$622,MATCH(137,Engine!$C$2:$C$622,0)))</f>
        <v/>
      </c>
    </row>
    <row r="151">
      <c r="A151">
        <f>IF(ISNA(MATCH(138,Engine!$C$2:$C$622,0)),"",INDEX('Compliance Database'!$A$2:$A$622,MATCH(138,Engine!$C$2:$C$622,0)))</f>
        <v/>
      </c>
      <c r="B151">
        <f>IF(ISNA(MATCH(138,Engine!$C$2:$C$622,0)),"",INDEX('Compliance Database'!$B$2:$B$622,MATCH(138,Engine!$C$2:$C$622,0)))</f>
        <v/>
      </c>
      <c r="C151">
        <f>IF(ISNA(MATCH(138,Engine!$C$2:$C$622,0)),"",INDEX('Compliance Database'!$C$2:$C$622,MATCH(138,Engine!$C$2:$C$622,0)))</f>
        <v/>
      </c>
      <c r="D151" s="8">
        <f>IF(ISNA(MATCH(138,Engine!$C$2:$C$622,0)),"",INDEX('Compliance Database'!$D$2:$D$622,MATCH(138,Engine!$C$2:$C$622,0)))</f>
        <v/>
      </c>
      <c r="E151">
        <f>IF(ISNA(MATCH(138,Engine!$C$2:$C$622,0)),"",INDEX('Compliance Database'!$E$2:$E$622,MATCH(138,Engine!$C$2:$C$622,0)))</f>
        <v/>
      </c>
      <c r="F151">
        <f>IF(ISNA(MATCH(138,Engine!$C$2:$C$622,0)),"",INDEX('Compliance Database'!$F$2:$F$622,MATCH(138,Engine!$C$2:$C$622,0)))</f>
        <v/>
      </c>
      <c r="G151">
        <f>IF(ISNA(MATCH(138,Engine!$C$2:$C$622,0)),"",INDEX('Compliance Database'!$G$2:$G$622,MATCH(138,Engine!$C$2:$C$622,0)))</f>
        <v/>
      </c>
      <c r="H151">
        <f>IF(ISNA(MATCH(138,Engine!$C$2:$C$622,0)),"",INDEX('Compliance Database'!$H$2:$H$622,MATCH(138,Engine!$C$2:$C$622,0)))</f>
        <v/>
      </c>
      <c r="I151" s="8">
        <f>IF(ISNA(MATCH(138,Engine!$C$2:$C$622,0)),"",INDEX('Compliance Database'!$I$2:$I$622,MATCH(138,Engine!$C$2:$C$622,0)))</f>
        <v/>
      </c>
      <c r="J151" s="8">
        <f>IF(ISNA(MATCH(138,Engine!$C$2:$C$622,0)),"",INDEX('Compliance Database'!$J$2:$J$622,MATCH(138,Engine!$C$2:$C$622,0)))</f>
        <v/>
      </c>
      <c r="K151">
        <f>IF(ISNA(MATCH(138,Engine!$C$2:$C$622,0)),"",INDEX('Compliance Database'!$K$2:$K$622,MATCH(138,Engine!$C$2:$C$622,0)))</f>
        <v/>
      </c>
      <c r="L151" s="8">
        <f>IF(ISNA(MATCH(138,Engine!$C$2:$C$622,0)),"",INDEX('Compliance Database'!$L$2:$L$622,MATCH(138,Engine!$C$2:$C$622,0)))</f>
        <v/>
      </c>
      <c r="M151" s="8">
        <f>IF(ISNA(MATCH(138,Engine!$C$2:$C$622,0)),"",INDEX('Compliance Database'!$M$2:$M$622,MATCH(138,Engine!$C$2:$C$622,0)))</f>
        <v/>
      </c>
      <c r="N151" s="8">
        <f>IF(ISNA(MATCH(138,Engine!$C$2:$C$622,0)),"",INDEX('Compliance Database'!$N$2:$N$622,MATCH(138,Engine!$C$2:$C$622,0)))</f>
        <v/>
      </c>
      <c r="O151" s="8">
        <f>IF(ISNA(MATCH(138,Engine!$C$2:$C$622,0)),"",INDEX('Compliance Database'!$O$2:$O$622,MATCH(138,Engine!$C$2:$C$622,0)))</f>
        <v/>
      </c>
    </row>
    <row r="152">
      <c r="A152">
        <f>IF(ISNA(MATCH(139,Engine!$C$2:$C$622,0)),"",INDEX('Compliance Database'!$A$2:$A$622,MATCH(139,Engine!$C$2:$C$622,0)))</f>
        <v/>
      </c>
      <c r="B152">
        <f>IF(ISNA(MATCH(139,Engine!$C$2:$C$622,0)),"",INDEX('Compliance Database'!$B$2:$B$622,MATCH(139,Engine!$C$2:$C$622,0)))</f>
        <v/>
      </c>
      <c r="C152">
        <f>IF(ISNA(MATCH(139,Engine!$C$2:$C$622,0)),"",INDEX('Compliance Database'!$C$2:$C$622,MATCH(139,Engine!$C$2:$C$622,0)))</f>
        <v/>
      </c>
      <c r="D152" s="8">
        <f>IF(ISNA(MATCH(139,Engine!$C$2:$C$622,0)),"",INDEX('Compliance Database'!$D$2:$D$622,MATCH(139,Engine!$C$2:$C$622,0)))</f>
        <v/>
      </c>
      <c r="E152">
        <f>IF(ISNA(MATCH(139,Engine!$C$2:$C$622,0)),"",INDEX('Compliance Database'!$E$2:$E$622,MATCH(139,Engine!$C$2:$C$622,0)))</f>
        <v/>
      </c>
      <c r="F152">
        <f>IF(ISNA(MATCH(139,Engine!$C$2:$C$622,0)),"",INDEX('Compliance Database'!$F$2:$F$622,MATCH(139,Engine!$C$2:$C$622,0)))</f>
        <v/>
      </c>
      <c r="G152">
        <f>IF(ISNA(MATCH(139,Engine!$C$2:$C$622,0)),"",INDEX('Compliance Database'!$G$2:$G$622,MATCH(139,Engine!$C$2:$C$622,0)))</f>
        <v/>
      </c>
      <c r="H152">
        <f>IF(ISNA(MATCH(139,Engine!$C$2:$C$622,0)),"",INDEX('Compliance Database'!$H$2:$H$622,MATCH(139,Engine!$C$2:$C$622,0)))</f>
        <v/>
      </c>
      <c r="I152" s="8">
        <f>IF(ISNA(MATCH(139,Engine!$C$2:$C$622,0)),"",INDEX('Compliance Database'!$I$2:$I$622,MATCH(139,Engine!$C$2:$C$622,0)))</f>
        <v/>
      </c>
      <c r="J152" s="8">
        <f>IF(ISNA(MATCH(139,Engine!$C$2:$C$622,0)),"",INDEX('Compliance Database'!$J$2:$J$622,MATCH(139,Engine!$C$2:$C$622,0)))</f>
        <v/>
      </c>
      <c r="K152">
        <f>IF(ISNA(MATCH(139,Engine!$C$2:$C$622,0)),"",INDEX('Compliance Database'!$K$2:$K$622,MATCH(139,Engine!$C$2:$C$622,0)))</f>
        <v/>
      </c>
      <c r="L152" s="8">
        <f>IF(ISNA(MATCH(139,Engine!$C$2:$C$622,0)),"",INDEX('Compliance Database'!$L$2:$L$622,MATCH(139,Engine!$C$2:$C$622,0)))</f>
        <v/>
      </c>
      <c r="M152" s="8">
        <f>IF(ISNA(MATCH(139,Engine!$C$2:$C$622,0)),"",INDEX('Compliance Database'!$M$2:$M$622,MATCH(139,Engine!$C$2:$C$622,0)))</f>
        <v/>
      </c>
      <c r="N152" s="8">
        <f>IF(ISNA(MATCH(139,Engine!$C$2:$C$622,0)),"",INDEX('Compliance Database'!$N$2:$N$622,MATCH(139,Engine!$C$2:$C$622,0)))</f>
        <v/>
      </c>
      <c r="O152" s="8">
        <f>IF(ISNA(MATCH(139,Engine!$C$2:$C$622,0)),"",INDEX('Compliance Database'!$O$2:$O$622,MATCH(139,Engine!$C$2:$C$622,0)))</f>
        <v/>
      </c>
    </row>
    <row r="153">
      <c r="A153">
        <f>IF(ISNA(MATCH(140,Engine!$C$2:$C$622,0)),"",INDEX('Compliance Database'!$A$2:$A$622,MATCH(140,Engine!$C$2:$C$622,0)))</f>
        <v/>
      </c>
      <c r="B153">
        <f>IF(ISNA(MATCH(140,Engine!$C$2:$C$622,0)),"",INDEX('Compliance Database'!$B$2:$B$622,MATCH(140,Engine!$C$2:$C$622,0)))</f>
        <v/>
      </c>
      <c r="C153">
        <f>IF(ISNA(MATCH(140,Engine!$C$2:$C$622,0)),"",INDEX('Compliance Database'!$C$2:$C$622,MATCH(140,Engine!$C$2:$C$622,0)))</f>
        <v/>
      </c>
      <c r="D153" s="8">
        <f>IF(ISNA(MATCH(140,Engine!$C$2:$C$622,0)),"",INDEX('Compliance Database'!$D$2:$D$622,MATCH(140,Engine!$C$2:$C$622,0)))</f>
        <v/>
      </c>
      <c r="E153">
        <f>IF(ISNA(MATCH(140,Engine!$C$2:$C$622,0)),"",INDEX('Compliance Database'!$E$2:$E$622,MATCH(140,Engine!$C$2:$C$622,0)))</f>
        <v/>
      </c>
      <c r="F153">
        <f>IF(ISNA(MATCH(140,Engine!$C$2:$C$622,0)),"",INDEX('Compliance Database'!$F$2:$F$622,MATCH(140,Engine!$C$2:$C$622,0)))</f>
        <v/>
      </c>
      <c r="G153">
        <f>IF(ISNA(MATCH(140,Engine!$C$2:$C$622,0)),"",INDEX('Compliance Database'!$G$2:$G$622,MATCH(140,Engine!$C$2:$C$622,0)))</f>
        <v/>
      </c>
      <c r="H153">
        <f>IF(ISNA(MATCH(140,Engine!$C$2:$C$622,0)),"",INDEX('Compliance Database'!$H$2:$H$622,MATCH(140,Engine!$C$2:$C$622,0)))</f>
        <v/>
      </c>
      <c r="I153" s="8">
        <f>IF(ISNA(MATCH(140,Engine!$C$2:$C$622,0)),"",INDEX('Compliance Database'!$I$2:$I$622,MATCH(140,Engine!$C$2:$C$622,0)))</f>
        <v/>
      </c>
      <c r="J153" s="8">
        <f>IF(ISNA(MATCH(140,Engine!$C$2:$C$622,0)),"",INDEX('Compliance Database'!$J$2:$J$622,MATCH(140,Engine!$C$2:$C$622,0)))</f>
        <v/>
      </c>
      <c r="K153">
        <f>IF(ISNA(MATCH(140,Engine!$C$2:$C$622,0)),"",INDEX('Compliance Database'!$K$2:$K$622,MATCH(140,Engine!$C$2:$C$622,0)))</f>
        <v/>
      </c>
      <c r="L153" s="8">
        <f>IF(ISNA(MATCH(140,Engine!$C$2:$C$622,0)),"",INDEX('Compliance Database'!$L$2:$L$622,MATCH(140,Engine!$C$2:$C$622,0)))</f>
        <v/>
      </c>
      <c r="M153" s="8">
        <f>IF(ISNA(MATCH(140,Engine!$C$2:$C$622,0)),"",INDEX('Compliance Database'!$M$2:$M$622,MATCH(140,Engine!$C$2:$C$622,0)))</f>
        <v/>
      </c>
      <c r="N153" s="8">
        <f>IF(ISNA(MATCH(140,Engine!$C$2:$C$622,0)),"",INDEX('Compliance Database'!$N$2:$N$622,MATCH(140,Engine!$C$2:$C$622,0)))</f>
        <v/>
      </c>
      <c r="O153" s="8">
        <f>IF(ISNA(MATCH(140,Engine!$C$2:$C$622,0)),"",INDEX('Compliance Database'!$O$2:$O$622,MATCH(140,Engine!$C$2:$C$622,0)))</f>
        <v/>
      </c>
    </row>
    <row r="154">
      <c r="A154">
        <f>IF(ISNA(MATCH(141,Engine!$C$2:$C$622,0)),"",INDEX('Compliance Database'!$A$2:$A$622,MATCH(141,Engine!$C$2:$C$622,0)))</f>
        <v/>
      </c>
      <c r="B154">
        <f>IF(ISNA(MATCH(141,Engine!$C$2:$C$622,0)),"",INDEX('Compliance Database'!$B$2:$B$622,MATCH(141,Engine!$C$2:$C$622,0)))</f>
        <v/>
      </c>
      <c r="C154">
        <f>IF(ISNA(MATCH(141,Engine!$C$2:$C$622,0)),"",INDEX('Compliance Database'!$C$2:$C$622,MATCH(141,Engine!$C$2:$C$622,0)))</f>
        <v/>
      </c>
      <c r="D154" s="8">
        <f>IF(ISNA(MATCH(141,Engine!$C$2:$C$622,0)),"",INDEX('Compliance Database'!$D$2:$D$622,MATCH(141,Engine!$C$2:$C$622,0)))</f>
        <v/>
      </c>
      <c r="E154">
        <f>IF(ISNA(MATCH(141,Engine!$C$2:$C$622,0)),"",INDEX('Compliance Database'!$E$2:$E$622,MATCH(141,Engine!$C$2:$C$622,0)))</f>
        <v/>
      </c>
      <c r="F154">
        <f>IF(ISNA(MATCH(141,Engine!$C$2:$C$622,0)),"",INDEX('Compliance Database'!$F$2:$F$622,MATCH(141,Engine!$C$2:$C$622,0)))</f>
        <v/>
      </c>
      <c r="G154">
        <f>IF(ISNA(MATCH(141,Engine!$C$2:$C$622,0)),"",INDEX('Compliance Database'!$G$2:$G$622,MATCH(141,Engine!$C$2:$C$622,0)))</f>
        <v/>
      </c>
      <c r="H154">
        <f>IF(ISNA(MATCH(141,Engine!$C$2:$C$622,0)),"",INDEX('Compliance Database'!$H$2:$H$622,MATCH(141,Engine!$C$2:$C$622,0)))</f>
        <v/>
      </c>
      <c r="I154" s="8">
        <f>IF(ISNA(MATCH(141,Engine!$C$2:$C$622,0)),"",INDEX('Compliance Database'!$I$2:$I$622,MATCH(141,Engine!$C$2:$C$622,0)))</f>
        <v/>
      </c>
      <c r="J154" s="8">
        <f>IF(ISNA(MATCH(141,Engine!$C$2:$C$622,0)),"",INDEX('Compliance Database'!$J$2:$J$622,MATCH(141,Engine!$C$2:$C$622,0)))</f>
        <v/>
      </c>
      <c r="K154">
        <f>IF(ISNA(MATCH(141,Engine!$C$2:$C$622,0)),"",INDEX('Compliance Database'!$K$2:$K$622,MATCH(141,Engine!$C$2:$C$622,0)))</f>
        <v/>
      </c>
      <c r="L154" s="8">
        <f>IF(ISNA(MATCH(141,Engine!$C$2:$C$622,0)),"",INDEX('Compliance Database'!$L$2:$L$622,MATCH(141,Engine!$C$2:$C$622,0)))</f>
        <v/>
      </c>
      <c r="M154" s="8">
        <f>IF(ISNA(MATCH(141,Engine!$C$2:$C$622,0)),"",INDEX('Compliance Database'!$M$2:$M$622,MATCH(141,Engine!$C$2:$C$622,0)))</f>
        <v/>
      </c>
      <c r="N154" s="8">
        <f>IF(ISNA(MATCH(141,Engine!$C$2:$C$622,0)),"",INDEX('Compliance Database'!$N$2:$N$622,MATCH(141,Engine!$C$2:$C$622,0)))</f>
        <v/>
      </c>
      <c r="O154" s="8">
        <f>IF(ISNA(MATCH(141,Engine!$C$2:$C$622,0)),"",INDEX('Compliance Database'!$O$2:$O$622,MATCH(141,Engine!$C$2:$C$622,0)))</f>
        <v/>
      </c>
    </row>
    <row r="155">
      <c r="A155">
        <f>IF(ISNA(MATCH(142,Engine!$C$2:$C$622,0)),"",INDEX('Compliance Database'!$A$2:$A$622,MATCH(142,Engine!$C$2:$C$622,0)))</f>
        <v/>
      </c>
      <c r="B155">
        <f>IF(ISNA(MATCH(142,Engine!$C$2:$C$622,0)),"",INDEX('Compliance Database'!$B$2:$B$622,MATCH(142,Engine!$C$2:$C$622,0)))</f>
        <v/>
      </c>
      <c r="C155">
        <f>IF(ISNA(MATCH(142,Engine!$C$2:$C$622,0)),"",INDEX('Compliance Database'!$C$2:$C$622,MATCH(142,Engine!$C$2:$C$622,0)))</f>
        <v/>
      </c>
      <c r="D155" s="8">
        <f>IF(ISNA(MATCH(142,Engine!$C$2:$C$622,0)),"",INDEX('Compliance Database'!$D$2:$D$622,MATCH(142,Engine!$C$2:$C$622,0)))</f>
        <v/>
      </c>
      <c r="E155">
        <f>IF(ISNA(MATCH(142,Engine!$C$2:$C$622,0)),"",INDEX('Compliance Database'!$E$2:$E$622,MATCH(142,Engine!$C$2:$C$622,0)))</f>
        <v/>
      </c>
      <c r="F155">
        <f>IF(ISNA(MATCH(142,Engine!$C$2:$C$622,0)),"",INDEX('Compliance Database'!$F$2:$F$622,MATCH(142,Engine!$C$2:$C$622,0)))</f>
        <v/>
      </c>
      <c r="G155">
        <f>IF(ISNA(MATCH(142,Engine!$C$2:$C$622,0)),"",INDEX('Compliance Database'!$G$2:$G$622,MATCH(142,Engine!$C$2:$C$622,0)))</f>
        <v/>
      </c>
      <c r="H155">
        <f>IF(ISNA(MATCH(142,Engine!$C$2:$C$622,0)),"",INDEX('Compliance Database'!$H$2:$H$622,MATCH(142,Engine!$C$2:$C$622,0)))</f>
        <v/>
      </c>
      <c r="I155" s="8">
        <f>IF(ISNA(MATCH(142,Engine!$C$2:$C$622,0)),"",INDEX('Compliance Database'!$I$2:$I$622,MATCH(142,Engine!$C$2:$C$622,0)))</f>
        <v/>
      </c>
      <c r="J155" s="8">
        <f>IF(ISNA(MATCH(142,Engine!$C$2:$C$622,0)),"",INDEX('Compliance Database'!$J$2:$J$622,MATCH(142,Engine!$C$2:$C$622,0)))</f>
        <v/>
      </c>
      <c r="K155">
        <f>IF(ISNA(MATCH(142,Engine!$C$2:$C$622,0)),"",INDEX('Compliance Database'!$K$2:$K$622,MATCH(142,Engine!$C$2:$C$622,0)))</f>
        <v/>
      </c>
      <c r="L155" s="8">
        <f>IF(ISNA(MATCH(142,Engine!$C$2:$C$622,0)),"",INDEX('Compliance Database'!$L$2:$L$622,MATCH(142,Engine!$C$2:$C$622,0)))</f>
        <v/>
      </c>
      <c r="M155" s="8">
        <f>IF(ISNA(MATCH(142,Engine!$C$2:$C$622,0)),"",INDEX('Compliance Database'!$M$2:$M$622,MATCH(142,Engine!$C$2:$C$622,0)))</f>
        <v/>
      </c>
      <c r="N155" s="8">
        <f>IF(ISNA(MATCH(142,Engine!$C$2:$C$622,0)),"",INDEX('Compliance Database'!$N$2:$N$622,MATCH(142,Engine!$C$2:$C$622,0)))</f>
        <v/>
      </c>
      <c r="O155" s="8">
        <f>IF(ISNA(MATCH(142,Engine!$C$2:$C$622,0)),"",INDEX('Compliance Database'!$O$2:$O$622,MATCH(142,Engine!$C$2:$C$622,0)))</f>
        <v/>
      </c>
    </row>
    <row r="156">
      <c r="A156">
        <f>IF(ISNA(MATCH(143,Engine!$C$2:$C$622,0)),"",INDEX('Compliance Database'!$A$2:$A$622,MATCH(143,Engine!$C$2:$C$622,0)))</f>
        <v/>
      </c>
      <c r="B156">
        <f>IF(ISNA(MATCH(143,Engine!$C$2:$C$622,0)),"",INDEX('Compliance Database'!$B$2:$B$622,MATCH(143,Engine!$C$2:$C$622,0)))</f>
        <v/>
      </c>
      <c r="C156">
        <f>IF(ISNA(MATCH(143,Engine!$C$2:$C$622,0)),"",INDEX('Compliance Database'!$C$2:$C$622,MATCH(143,Engine!$C$2:$C$622,0)))</f>
        <v/>
      </c>
      <c r="D156" s="8">
        <f>IF(ISNA(MATCH(143,Engine!$C$2:$C$622,0)),"",INDEX('Compliance Database'!$D$2:$D$622,MATCH(143,Engine!$C$2:$C$622,0)))</f>
        <v/>
      </c>
      <c r="E156">
        <f>IF(ISNA(MATCH(143,Engine!$C$2:$C$622,0)),"",INDEX('Compliance Database'!$E$2:$E$622,MATCH(143,Engine!$C$2:$C$622,0)))</f>
        <v/>
      </c>
      <c r="F156">
        <f>IF(ISNA(MATCH(143,Engine!$C$2:$C$622,0)),"",INDEX('Compliance Database'!$F$2:$F$622,MATCH(143,Engine!$C$2:$C$622,0)))</f>
        <v/>
      </c>
      <c r="G156">
        <f>IF(ISNA(MATCH(143,Engine!$C$2:$C$622,0)),"",INDEX('Compliance Database'!$G$2:$G$622,MATCH(143,Engine!$C$2:$C$622,0)))</f>
        <v/>
      </c>
      <c r="H156">
        <f>IF(ISNA(MATCH(143,Engine!$C$2:$C$622,0)),"",INDEX('Compliance Database'!$H$2:$H$622,MATCH(143,Engine!$C$2:$C$622,0)))</f>
        <v/>
      </c>
      <c r="I156" s="8">
        <f>IF(ISNA(MATCH(143,Engine!$C$2:$C$622,0)),"",INDEX('Compliance Database'!$I$2:$I$622,MATCH(143,Engine!$C$2:$C$622,0)))</f>
        <v/>
      </c>
      <c r="J156" s="8">
        <f>IF(ISNA(MATCH(143,Engine!$C$2:$C$622,0)),"",INDEX('Compliance Database'!$J$2:$J$622,MATCH(143,Engine!$C$2:$C$622,0)))</f>
        <v/>
      </c>
      <c r="K156">
        <f>IF(ISNA(MATCH(143,Engine!$C$2:$C$622,0)),"",INDEX('Compliance Database'!$K$2:$K$622,MATCH(143,Engine!$C$2:$C$622,0)))</f>
        <v/>
      </c>
      <c r="L156" s="8">
        <f>IF(ISNA(MATCH(143,Engine!$C$2:$C$622,0)),"",INDEX('Compliance Database'!$L$2:$L$622,MATCH(143,Engine!$C$2:$C$622,0)))</f>
        <v/>
      </c>
      <c r="M156" s="8">
        <f>IF(ISNA(MATCH(143,Engine!$C$2:$C$622,0)),"",INDEX('Compliance Database'!$M$2:$M$622,MATCH(143,Engine!$C$2:$C$622,0)))</f>
        <v/>
      </c>
      <c r="N156" s="8">
        <f>IF(ISNA(MATCH(143,Engine!$C$2:$C$622,0)),"",INDEX('Compliance Database'!$N$2:$N$622,MATCH(143,Engine!$C$2:$C$622,0)))</f>
        <v/>
      </c>
      <c r="O156" s="8">
        <f>IF(ISNA(MATCH(143,Engine!$C$2:$C$622,0)),"",INDEX('Compliance Database'!$O$2:$O$622,MATCH(143,Engine!$C$2:$C$622,0)))</f>
        <v/>
      </c>
    </row>
    <row r="157">
      <c r="A157">
        <f>IF(ISNA(MATCH(144,Engine!$C$2:$C$622,0)),"",INDEX('Compliance Database'!$A$2:$A$622,MATCH(144,Engine!$C$2:$C$622,0)))</f>
        <v/>
      </c>
      <c r="B157">
        <f>IF(ISNA(MATCH(144,Engine!$C$2:$C$622,0)),"",INDEX('Compliance Database'!$B$2:$B$622,MATCH(144,Engine!$C$2:$C$622,0)))</f>
        <v/>
      </c>
      <c r="C157">
        <f>IF(ISNA(MATCH(144,Engine!$C$2:$C$622,0)),"",INDEX('Compliance Database'!$C$2:$C$622,MATCH(144,Engine!$C$2:$C$622,0)))</f>
        <v/>
      </c>
      <c r="D157" s="8">
        <f>IF(ISNA(MATCH(144,Engine!$C$2:$C$622,0)),"",INDEX('Compliance Database'!$D$2:$D$622,MATCH(144,Engine!$C$2:$C$622,0)))</f>
        <v/>
      </c>
      <c r="E157">
        <f>IF(ISNA(MATCH(144,Engine!$C$2:$C$622,0)),"",INDEX('Compliance Database'!$E$2:$E$622,MATCH(144,Engine!$C$2:$C$622,0)))</f>
        <v/>
      </c>
      <c r="F157">
        <f>IF(ISNA(MATCH(144,Engine!$C$2:$C$622,0)),"",INDEX('Compliance Database'!$F$2:$F$622,MATCH(144,Engine!$C$2:$C$622,0)))</f>
        <v/>
      </c>
      <c r="G157">
        <f>IF(ISNA(MATCH(144,Engine!$C$2:$C$622,0)),"",INDEX('Compliance Database'!$G$2:$G$622,MATCH(144,Engine!$C$2:$C$622,0)))</f>
        <v/>
      </c>
      <c r="H157">
        <f>IF(ISNA(MATCH(144,Engine!$C$2:$C$622,0)),"",INDEX('Compliance Database'!$H$2:$H$622,MATCH(144,Engine!$C$2:$C$622,0)))</f>
        <v/>
      </c>
      <c r="I157" s="8">
        <f>IF(ISNA(MATCH(144,Engine!$C$2:$C$622,0)),"",INDEX('Compliance Database'!$I$2:$I$622,MATCH(144,Engine!$C$2:$C$622,0)))</f>
        <v/>
      </c>
      <c r="J157" s="8">
        <f>IF(ISNA(MATCH(144,Engine!$C$2:$C$622,0)),"",INDEX('Compliance Database'!$J$2:$J$622,MATCH(144,Engine!$C$2:$C$622,0)))</f>
        <v/>
      </c>
      <c r="K157">
        <f>IF(ISNA(MATCH(144,Engine!$C$2:$C$622,0)),"",INDEX('Compliance Database'!$K$2:$K$622,MATCH(144,Engine!$C$2:$C$622,0)))</f>
        <v/>
      </c>
      <c r="L157" s="8">
        <f>IF(ISNA(MATCH(144,Engine!$C$2:$C$622,0)),"",INDEX('Compliance Database'!$L$2:$L$622,MATCH(144,Engine!$C$2:$C$622,0)))</f>
        <v/>
      </c>
      <c r="M157" s="8">
        <f>IF(ISNA(MATCH(144,Engine!$C$2:$C$622,0)),"",INDEX('Compliance Database'!$M$2:$M$622,MATCH(144,Engine!$C$2:$C$622,0)))</f>
        <v/>
      </c>
      <c r="N157" s="8">
        <f>IF(ISNA(MATCH(144,Engine!$C$2:$C$622,0)),"",INDEX('Compliance Database'!$N$2:$N$622,MATCH(144,Engine!$C$2:$C$622,0)))</f>
        <v/>
      </c>
      <c r="O157" s="8">
        <f>IF(ISNA(MATCH(144,Engine!$C$2:$C$622,0)),"",INDEX('Compliance Database'!$O$2:$O$622,MATCH(144,Engine!$C$2:$C$622,0)))</f>
        <v/>
      </c>
    </row>
    <row r="158">
      <c r="A158">
        <f>IF(ISNA(MATCH(145,Engine!$C$2:$C$622,0)),"",INDEX('Compliance Database'!$A$2:$A$622,MATCH(145,Engine!$C$2:$C$622,0)))</f>
        <v/>
      </c>
      <c r="B158">
        <f>IF(ISNA(MATCH(145,Engine!$C$2:$C$622,0)),"",INDEX('Compliance Database'!$B$2:$B$622,MATCH(145,Engine!$C$2:$C$622,0)))</f>
        <v/>
      </c>
      <c r="C158">
        <f>IF(ISNA(MATCH(145,Engine!$C$2:$C$622,0)),"",INDEX('Compliance Database'!$C$2:$C$622,MATCH(145,Engine!$C$2:$C$622,0)))</f>
        <v/>
      </c>
      <c r="D158" s="8">
        <f>IF(ISNA(MATCH(145,Engine!$C$2:$C$622,0)),"",INDEX('Compliance Database'!$D$2:$D$622,MATCH(145,Engine!$C$2:$C$622,0)))</f>
        <v/>
      </c>
      <c r="E158">
        <f>IF(ISNA(MATCH(145,Engine!$C$2:$C$622,0)),"",INDEX('Compliance Database'!$E$2:$E$622,MATCH(145,Engine!$C$2:$C$622,0)))</f>
        <v/>
      </c>
      <c r="F158">
        <f>IF(ISNA(MATCH(145,Engine!$C$2:$C$622,0)),"",INDEX('Compliance Database'!$F$2:$F$622,MATCH(145,Engine!$C$2:$C$622,0)))</f>
        <v/>
      </c>
      <c r="G158">
        <f>IF(ISNA(MATCH(145,Engine!$C$2:$C$622,0)),"",INDEX('Compliance Database'!$G$2:$G$622,MATCH(145,Engine!$C$2:$C$622,0)))</f>
        <v/>
      </c>
      <c r="H158">
        <f>IF(ISNA(MATCH(145,Engine!$C$2:$C$622,0)),"",INDEX('Compliance Database'!$H$2:$H$622,MATCH(145,Engine!$C$2:$C$622,0)))</f>
        <v/>
      </c>
      <c r="I158" s="8">
        <f>IF(ISNA(MATCH(145,Engine!$C$2:$C$622,0)),"",INDEX('Compliance Database'!$I$2:$I$622,MATCH(145,Engine!$C$2:$C$622,0)))</f>
        <v/>
      </c>
      <c r="J158" s="8">
        <f>IF(ISNA(MATCH(145,Engine!$C$2:$C$622,0)),"",INDEX('Compliance Database'!$J$2:$J$622,MATCH(145,Engine!$C$2:$C$622,0)))</f>
        <v/>
      </c>
      <c r="K158">
        <f>IF(ISNA(MATCH(145,Engine!$C$2:$C$622,0)),"",INDEX('Compliance Database'!$K$2:$K$622,MATCH(145,Engine!$C$2:$C$622,0)))</f>
        <v/>
      </c>
      <c r="L158" s="8">
        <f>IF(ISNA(MATCH(145,Engine!$C$2:$C$622,0)),"",INDEX('Compliance Database'!$L$2:$L$622,MATCH(145,Engine!$C$2:$C$622,0)))</f>
        <v/>
      </c>
      <c r="M158" s="8">
        <f>IF(ISNA(MATCH(145,Engine!$C$2:$C$622,0)),"",INDEX('Compliance Database'!$M$2:$M$622,MATCH(145,Engine!$C$2:$C$622,0)))</f>
        <v/>
      </c>
      <c r="N158" s="8">
        <f>IF(ISNA(MATCH(145,Engine!$C$2:$C$622,0)),"",INDEX('Compliance Database'!$N$2:$N$622,MATCH(145,Engine!$C$2:$C$622,0)))</f>
        <v/>
      </c>
      <c r="O158" s="8">
        <f>IF(ISNA(MATCH(145,Engine!$C$2:$C$622,0)),"",INDEX('Compliance Database'!$O$2:$O$622,MATCH(145,Engine!$C$2:$C$622,0)))</f>
        <v/>
      </c>
    </row>
    <row r="159">
      <c r="A159">
        <f>IF(ISNA(MATCH(146,Engine!$C$2:$C$622,0)),"",INDEX('Compliance Database'!$A$2:$A$622,MATCH(146,Engine!$C$2:$C$622,0)))</f>
        <v/>
      </c>
      <c r="B159">
        <f>IF(ISNA(MATCH(146,Engine!$C$2:$C$622,0)),"",INDEX('Compliance Database'!$B$2:$B$622,MATCH(146,Engine!$C$2:$C$622,0)))</f>
        <v/>
      </c>
      <c r="C159">
        <f>IF(ISNA(MATCH(146,Engine!$C$2:$C$622,0)),"",INDEX('Compliance Database'!$C$2:$C$622,MATCH(146,Engine!$C$2:$C$622,0)))</f>
        <v/>
      </c>
      <c r="D159" s="8">
        <f>IF(ISNA(MATCH(146,Engine!$C$2:$C$622,0)),"",INDEX('Compliance Database'!$D$2:$D$622,MATCH(146,Engine!$C$2:$C$622,0)))</f>
        <v/>
      </c>
      <c r="E159">
        <f>IF(ISNA(MATCH(146,Engine!$C$2:$C$622,0)),"",INDEX('Compliance Database'!$E$2:$E$622,MATCH(146,Engine!$C$2:$C$622,0)))</f>
        <v/>
      </c>
      <c r="F159">
        <f>IF(ISNA(MATCH(146,Engine!$C$2:$C$622,0)),"",INDEX('Compliance Database'!$F$2:$F$622,MATCH(146,Engine!$C$2:$C$622,0)))</f>
        <v/>
      </c>
      <c r="G159">
        <f>IF(ISNA(MATCH(146,Engine!$C$2:$C$622,0)),"",INDEX('Compliance Database'!$G$2:$G$622,MATCH(146,Engine!$C$2:$C$622,0)))</f>
        <v/>
      </c>
      <c r="H159">
        <f>IF(ISNA(MATCH(146,Engine!$C$2:$C$622,0)),"",INDEX('Compliance Database'!$H$2:$H$622,MATCH(146,Engine!$C$2:$C$622,0)))</f>
        <v/>
      </c>
      <c r="I159" s="8">
        <f>IF(ISNA(MATCH(146,Engine!$C$2:$C$622,0)),"",INDEX('Compliance Database'!$I$2:$I$622,MATCH(146,Engine!$C$2:$C$622,0)))</f>
        <v/>
      </c>
      <c r="J159" s="8">
        <f>IF(ISNA(MATCH(146,Engine!$C$2:$C$622,0)),"",INDEX('Compliance Database'!$J$2:$J$622,MATCH(146,Engine!$C$2:$C$622,0)))</f>
        <v/>
      </c>
      <c r="K159">
        <f>IF(ISNA(MATCH(146,Engine!$C$2:$C$622,0)),"",INDEX('Compliance Database'!$K$2:$K$622,MATCH(146,Engine!$C$2:$C$622,0)))</f>
        <v/>
      </c>
      <c r="L159" s="8">
        <f>IF(ISNA(MATCH(146,Engine!$C$2:$C$622,0)),"",INDEX('Compliance Database'!$L$2:$L$622,MATCH(146,Engine!$C$2:$C$622,0)))</f>
        <v/>
      </c>
      <c r="M159" s="8">
        <f>IF(ISNA(MATCH(146,Engine!$C$2:$C$622,0)),"",INDEX('Compliance Database'!$M$2:$M$622,MATCH(146,Engine!$C$2:$C$622,0)))</f>
        <v/>
      </c>
      <c r="N159" s="8">
        <f>IF(ISNA(MATCH(146,Engine!$C$2:$C$622,0)),"",INDEX('Compliance Database'!$N$2:$N$622,MATCH(146,Engine!$C$2:$C$622,0)))</f>
        <v/>
      </c>
      <c r="O159" s="8">
        <f>IF(ISNA(MATCH(146,Engine!$C$2:$C$622,0)),"",INDEX('Compliance Database'!$O$2:$O$622,MATCH(146,Engine!$C$2:$C$622,0)))</f>
        <v/>
      </c>
    </row>
    <row r="160">
      <c r="A160">
        <f>IF(ISNA(MATCH(147,Engine!$C$2:$C$622,0)),"",INDEX('Compliance Database'!$A$2:$A$622,MATCH(147,Engine!$C$2:$C$622,0)))</f>
        <v/>
      </c>
      <c r="B160">
        <f>IF(ISNA(MATCH(147,Engine!$C$2:$C$622,0)),"",INDEX('Compliance Database'!$B$2:$B$622,MATCH(147,Engine!$C$2:$C$622,0)))</f>
        <v/>
      </c>
      <c r="C160">
        <f>IF(ISNA(MATCH(147,Engine!$C$2:$C$622,0)),"",INDEX('Compliance Database'!$C$2:$C$622,MATCH(147,Engine!$C$2:$C$622,0)))</f>
        <v/>
      </c>
      <c r="D160" s="8">
        <f>IF(ISNA(MATCH(147,Engine!$C$2:$C$622,0)),"",INDEX('Compliance Database'!$D$2:$D$622,MATCH(147,Engine!$C$2:$C$622,0)))</f>
        <v/>
      </c>
      <c r="E160">
        <f>IF(ISNA(MATCH(147,Engine!$C$2:$C$622,0)),"",INDEX('Compliance Database'!$E$2:$E$622,MATCH(147,Engine!$C$2:$C$622,0)))</f>
        <v/>
      </c>
      <c r="F160">
        <f>IF(ISNA(MATCH(147,Engine!$C$2:$C$622,0)),"",INDEX('Compliance Database'!$F$2:$F$622,MATCH(147,Engine!$C$2:$C$622,0)))</f>
        <v/>
      </c>
      <c r="G160">
        <f>IF(ISNA(MATCH(147,Engine!$C$2:$C$622,0)),"",INDEX('Compliance Database'!$G$2:$G$622,MATCH(147,Engine!$C$2:$C$622,0)))</f>
        <v/>
      </c>
      <c r="H160">
        <f>IF(ISNA(MATCH(147,Engine!$C$2:$C$622,0)),"",INDEX('Compliance Database'!$H$2:$H$622,MATCH(147,Engine!$C$2:$C$622,0)))</f>
        <v/>
      </c>
      <c r="I160" s="8">
        <f>IF(ISNA(MATCH(147,Engine!$C$2:$C$622,0)),"",INDEX('Compliance Database'!$I$2:$I$622,MATCH(147,Engine!$C$2:$C$622,0)))</f>
        <v/>
      </c>
      <c r="J160" s="8">
        <f>IF(ISNA(MATCH(147,Engine!$C$2:$C$622,0)),"",INDEX('Compliance Database'!$J$2:$J$622,MATCH(147,Engine!$C$2:$C$622,0)))</f>
        <v/>
      </c>
      <c r="K160">
        <f>IF(ISNA(MATCH(147,Engine!$C$2:$C$622,0)),"",INDEX('Compliance Database'!$K$2:$K$622,MATCH(147,Engine!$C$2:$C$622,0)))</f>
        <v/>
      </c>
      <c r="L160" s="8">
        <f>IF(ISNA(MATCH(147,Engine!$C$2:$C$622,0)),"",INDEX('Compliance Database'!$L$2:$L$622,MATCH(147,Engine!$C$2:$C$622,0)))</f>
        <v/>
      </c>
      <c r="M160" s="8">
        <f>IF(ISNA(MATCH(147,Engine!$C$2:$C$622,0)),"",INDEX('Compliance Database'!$M$2:$M$622,MATCH(147,Engine!$C$2:$C$622,0)))</f>
        <v/>
      </c>
      <c r="N160" s="8">
        <f>IF(ISNA(MATCH(147,Engine!$C$2:$C$622,0)),"",INDEX('Compliance Database'!$N$2:$N$622,MATCH(147,Engine!$C$2:$C$622,0)))</f>
        <v/>
      </c>
      <c r="O160" s="8">
        <f>IF(ISNA(MATCH(147,Engine!$C$2:$C$622,0)),"",INDEX('Compliance Database'!$O$2:$O$622,MATCH(147,Engine!$C$2:$C$622,0)))</f>
        <v/>
      </c>
    </row>
    <row r="161">
      <c r="A161">
        <f>IF(ISNA(MATCH(148,Engine!$C$2:$C$622,0)),"",INDEX('Compliance Database'!$A$2:$A$622,MATCH(148,Engine!$C$2:$C$622,0)))</f>
        <v/>
      </c>
      <c r="B161">
        <f>IF(ISNA(MATCH(148,Engine!$C$2:$C$622,0)),"",INDEX('Compliance Database'!$B$2:$B$622,MATCH(148,Engine!$C$2:$C$622,0)))</f>
        <v/>
      </c>
      <c r="C161">
        <f>IF(ISNA(MATCH(148,Engine!$C$2:$C$622,0)),"",INDEX('Compliance Database'!$C$2:$C$622,MATCH(148,Engine!$C$2:$C$622,0)))</f>
        <v/>
      </c>
      <c r="D161" s="8">
        <f>IF(ISNA(MATCH(148,Engine!$C$2:$C$622,0)),"",INDEX('Compliance Database'!$D$2:$D$622,MATCH(148,Engine!$C$2:$C$622,0)))</f>
        <v/>
      </c>
      <c r="E161">
        <f>IF(ISNA(MATCH(148,Engine!$C$2:$C$622,0)),"",INDEX('Compliance Database'!$E$2:$E$622,MATCH(148,Engine!$C$2:$C$622,0)))</f>
        <v/>
      </c>
      <c r="F161">
        <f>IF(ISNA(MATCH(148,Engine!$C$2:$C$622,0)),"",INDEX('Compliance Database'!$F$2:$F$622,MATCH(148,Engine!$C$2:$C$622,0)))</f>
        <v/>
      </c>
      <c r="G161">
        <f>IF(ISNA(MATCH(148,Engine!$C$2:$C$622,0)),"",INDEX('Compliance Database'!$G$2:$G$622,MATCH(148,Engine!$C$2:$C$622,0)))</f>
        <v/>
      </c>
      <c r="H161">
        <f>IF(ISNA(MATCH(148,Engine!$C$2:$C$622,0)),"",INDEX('Compliance Database'!$H$2:$H$622,MATCH(148,Engine!$C$2:$C$622,0)))</f>
        <v/>
      </c>
      <c r="I161" s="8">
        <f>IF(ISNA(MATCH(148,Engine!$C$2:$C$622,0)),"",INDEX('Compliance Database'!$I$2:$I$622,MATCH(148,Engine!$C$2:$C$622,0)))</f>
        <v/>
      </c>
      <c r="J161" s="8">
        <f>IF(ISNA(MATCH(148,Engine!$C$2:$C$622,0)),"",INDEX('Compliance Database'!$J$2:$J$622,MATCH(148,Engine!$C$2:$C$622,0)))</f>
        <v/>
      </c>
      <c r="K161">
        <f>IF(ISNA(MATCH(148,Engine!$C$2:$C$622,0)),"",INDEX('Compliance Database'!$K$2:$K$622,MATCH(148,Engine!$C$2:$C$622,0)))</f>
        <v/>
      </c>
      <c r="L161" s="8">
        <f>IF(ISNA(MATCH(148,Engine!$C$2:$C$622,0)),"",INDEX('Compliance Database'!$L$2:$L$622,MATCH(148,Engine!$C$2:$C$622,0)))</f>
        <v/>
      </c>
      <c r="M161" s="8">
        <f>IF(ISNA(MATCH(148,Engine!$C$2:$C$622,0)),"",INDEX('Compliance Database'!$M$2:$M$622,MATCH(148,Engine!$C$2:$C$622,0)))</f>
        <v/>
      </c>
      <c r="N161" s="8">
        <f>IF(ISNA(MATCH(148,Engine!$C$2:$C$622,0)),"",INDEX('Compliance Database'!$N$2:$N$622,MATCH(148,Engine!$C$2:$C$622,0)))</f>
        <v/>
      </c>
      <c r="O161" s="8">
        <f>IF(ISNA(MATCH(148,Engine!$C$2:$C$622,0)),"",INDEX('Compliance Database'!$O$2:$O$622,MATCH(148,Engine!$C$2:$C$622,0)))</f>
        <v/>
      </c>
    </row>
    <row r="162">
      <c r="A162">
        <f>IF(ISNA(MATCH(149,Engine!$C$2:$C$622,0)),"",INDEX('Compliance Database'!$A$2:$A$622,MATCH(149,Engine!$C$2:$C$622,0)))</f>
        <v/>
      </c>
      <c r="B162">
        <f>IF(ISNA(MATCH(149,Engine!$C$2:$C$622,0)),"",INDEX('Compliance Database'!$B$2:$B$622,MATCH(149,Engine!$C$2:$C$622,0)))</f>
        <v/>
      </c>
      <c r="C162">
        <f>IF(ISNA(MATCH(149,Engine!$C$2:$C$622,0)),"",INDEX('Compliance Database'!$C$2:$C$622,MATCH(149,Engine!$C$2:$C$622,0)))</f>
        <v/>
      </c>
      <c r="D162" s="8">
        <f>IF(ISNA(MATCH(149,Engine!$C$2:$C$622,0)),"",INDEX('Compliance Database'!$D$2:$D$622,MATCH(149,Engine!$C$2:$C$622,0)))</f>
        <v/>
      </c>
      <c r="E162">
        <f>IF(ISNA(MATCH(149,Engine!$C$2:$C$622,0)),"",INDEX('Compliance Database'!$E$2:$E$622,MATCH(149,Engine!$C$2:$C$622,0)))</f>
        <v/>
      </c>
      <c r="F162">
        <f>IF(ISNA(MATCH(149,Engine!$C$2:$C$622,0)),"",INDEX('Compliance Database'!$F$2:$F$622,MATCH(149,Engine!$C$2:$C$622,0)))</f>
        <v/>
      </c>
      <c r="G162">
        <f>IF(ISNA(MATCH(149,Engine!$C$2:$C$622,0)),"",INDEX('Compliance Database'!$G$2:$G$622,MATCH(149,Engine!$C$2:$C$622,0)))</f>
        <v/>
      </c>
      <c r="H162">
        <f>IF(ISNA(MATCH(149,Engine!$C$2:$C$622,0)),"",INDEX('Compliance Database'!$H$2:$H$622,MATCH(149,Engine!$C$2:$C$622,0)))</f>
        <v/>
      </c>
      <c r="I162" s="8">
        <f>IF(ISNA(MATCH(149,Engine!$C$2:$C$622,0)),"",INDEX('Compliance Database'!$I$2:$I$622,MATCH(149,Engine!$C$2:$C$622,0)))</f>
        <v/>
      </c>
      <c r="J162" s="8">
        <f>IF(ISNA(MATCH(149,Engine!$C$2:$C$622,0)),"",INDEX('Compliance Database'!$J$2:$J$622,MATCH(149,Engine!$C$2:$C$622,0)))</f>
        <v/>
      </c>
      <c r="K162">
        <f>IF(ISNA(MATCH(149,Engine!$C$2:$C$622,0)),"",INDEX('Compliance Database'!$K$2:$K$622,MATCH(149,Engine!$C$2:$C$622,0)))</f>
        <v/>
      </c>
      <c r="L162" s="8">
        <f>IF(ISNA(MATCH(149,Engine!$C$2:$C$622,0)),"",INDEX('Compliance Database'!$L$2:$L$622,MATCH(149,Engine!$C$2:$C$622,0)))</f>
        <v/>
      </c>
      <c r="M162" s="8">
        <f>IF(ISNA(MATCH(149,Engine!$C$2:$C$622,0)),"",INDEX('Compliance Database'!$M$2:$M$622,MATCH(149,Engine!$C$2:$C$622,0)))</f>
        <v/>
      </c>
      <c r="N162" s="8">
        <f>IF(ISNA(MATCH(149,Engine!$C$2:$C$622,0)),"",INDEX('Compliance Database'!$N$2:$N$622,MATCH(149,Engine!$C$2:$C$622,0)))</f>
        <v/>
      </c>
      <c r="O162" s="8">
        <f>IF(ISNA(MATCH(149,Engine!$C$2:$C$622,0)),"",INDEX('Compliance Database'!$O$2:$O$622,MATCH(149,Engine!$C$2:$C$622,0)))</f>
        <v/>
      </c>
    </row>
    <row r="163">
      <c r="A163">
        <f>IF(ISNA(MATCH(150,Engine!$C$2:$C$622,0)),"",INDEX('Compliance Database'!$A$2:$A$622,MATCH(150,Engine!$C$2:$C$622,0)))</f>
        <v/>
      </c>
      <c r="B163">
        <f>IF(ISNA(MATCH(150,Engine!$C$2:$C$622,0)),"",INDEX('Compliance Database'!$B$2:$B$622,MATCH(150,Engine!$C$2:$C$622,0)))</f>
        <v/>
      </c>
      <c r="C163">
        <f>IF(ISNA(MATCH(150,Engine!$C$2:$C$622,0)),"",INDEX('Compliance Database'!$C$2:$C$622,MATCH(150,Engine!$C$2:$C$622,0)))</f>
        <v/>
      </c>
      <c r="D163" s="8">
        <f>IF(ISNA(MATCH(150,Engine!$C$2:$C$622,0)),"",INDEX('Compliance Database'!$D$2:$D$622,MATCH(150,Engine!$C$2:$C$622,0)))</f>
        <v/>
      </c>
      <c r="E163">
        <f>IF(ISNA(MATCH(150,Engine!$C$2:$C$622,0)),"",INDEX('Compliance Database'!$E$2:$E$622,MATCH(150,Engine!$C$2:$C$622,0)))</f>
        <v/>
      </c>
      <c r="F163">
        <f>IF(ISNA(MATCH(150,Engine!$C$2:$C$622,0)),"",INDEX('Compliance Database'!$F$2:$F$622,MATCH(150,Engine!$C$2:$C$622,0)))</f>
        <v/>
      </c>
      <c r="G163">
        <f>IF(ISNA(MATCH(150,Engine!$C$2:$C$622,0)),"",INDEX('Compliance Database'!$G$2:$G$622,MATCH(150,Engine!$C$2:$C$622,0)))</f>
        <v/>
      </c>
      <c r="H163">
        <f>IF(ISNA(MATCH(150,Engine!$C$2:$C$622,0)),"",INDEX('Compliance Database'!$H$2:$H$622,MATCH(150,Engine!$C$2:$C$622,0)))</f>
        <v/>
      </c>
      <c r="I163" s="8">
        <f>IF(ISNA(MATCH(150,Engine!$C$2:$C$622,0)),"",INDEX('Compliance Database'!$I$2:$I$622,MATCH(150,Engine!$C$2:$C$622,0)))</f>
        <v/>
      </c>
      <c r="J163" s="8">
        <f>IF(ISNA(MATCH(150,Engine!$C$2:$C$622,0)),"",INDEX('Compliance Database'!$J$2:$J$622,MATCH(150,Engine!$C$2:$C$622,0)))</f>
        <v/>
      </c>
      <c r="K163">
        <f>IF(ISNA(MATCH(150,Engine!$C$2:$C$622,0)),"",INDEX('Compliance Database'!$K$2:$K$622,MATCH(150,Engine!$C$2:$C$622,0)))</f>
        <v/>
      </c>
      <c r="L163" s="8">
        <f>IF(ISNA(MATCH(150,Engine!$C$2:$C$622,0)),"",INDEX('Compliance Database'!$L$2:$L$622,MATCH(150,Engine!$C$2:$C$622,0)))</f>
        <v/>
      </c>
      <c r="M163" s="8">
        <f>IF(ISNA(MATCH(150,Engine!$C$2:$C$622,0)),"",INDEX('Compliance Database'!$M$2:$M$622,MATCH(150,Engine!$C$2:$C$622,0)))</f>
        <v/>
      </c>
      <c r="N163" s="8">
        <f>IF(ISNA(MATCH(150,Engine!$C$2:$C$622,0)),"",INDEX('Compliance Database'!$N$2:$N$622,MATCH(150,Engine!$C$2:$C$622,0)))</f>
        <v/>
      </c>
      <c r="O163" s="8">
        <f>IF(ISNA(MATCH(150,Engine!$C$2:$C$622,0)),"",INDEX('Compliance Database'!$O$2:$O$622,MATCH(150,Engine!$C$2:$C$622,0)))</f>
        <v/>
      </c>
    </row>
    <row r="164">
      <c r="A164">
        <f>IF(ISNA(MATCH(151,Engine!$C$2:$C$622,0)),"",INDEX('Compliance Database'!$A$2:$A$622,MATCH(151,Engine!$C$2:$C$622,0)))</f>
        <v/>
      </c>
      <c r="B164">
        <f>IF(ISNA(MATCH(151,Engine!$C$2:$C$622,0)),"",INDEX('Compliance Database'!$B$2:$B$622,MATCH(151,Engine!$C$2:$C$622,0)))</f>
        <v/>
      </c>
      <c r="C164">
        <f>IF(ISNA(MATCH(151,Engine!$C$2:$C$622,0)),"",INDEX('Compliance Database'!$C$2:$C$622,MATCH(151,Engine!$C$2:$C$622,0)))</f>
        <v/>
      </c>
      <c r="D164" s="8">
        <f>IF(ISNA(MATCH(151,Engine!$C$2:$C$622,0)),"",INDEX('Compliance Database'!$D$2:$D$622,MATCH(151,Engine!$C$2:$C$622,0)))</f>
        <v/>
      </c>
      <c r="E164">
        <f>IF(ISNA(MATCH(151,Engine!$C$2:$C$622,0)),"",INDEX('Compliance Database'!$E$2:$E$622,MATCH(151,Engine!$C$2:$C$622,0)))</f>
        <v/>
      </c>
      <c r="F164">
        <f>IF(ISNA(MATCH(151,Engine!$C$2:$C$622,0)),"",INDEX('Compliance Database'!$F$2:$F$622,MATCH(151,Engine!$C$2:$C$622,0)))</f>
        <v/>
      </c>
      <c r="G164">
        <f>IF(ISNA(MATCH(151,Engine!$C$2:$C$622,0)),"",INDEX('Compliance Database'!$G$2:$G$622,MATCH(151,Engine!$C$2:$C$622,0)))</f>
        <v/>
      </c>
      <c r="H164">
        <f>IF(ISNA(MATCH(151,Engine!$C$2:$C$622,0)),"",INDEX('Compliance Database'!$H$2:$H$622,MATCH(151,Engine!$C$2:$C$622,0)))</f>
        <v/>
      </c>
      <c r="I164" s="8">
        <f>IF(ISNA(MATCH(151,Engine!$C$2:$C$622,0)),"",INDEX('Compliance Database'!$I$2:$I$622,MATCH(151,Engine!$C$2:$C$622,0)))</f>
        <v/>
      </c>
      <c r="J164" s="8">
        <f>IF(ISNA(MATCH(151,Engine!$C$2:$C$622,0)),"",INDEX('Compliance Database'!$J$2:$J$622,MATCH(151,Engine!$C$2:$C$622,0)))</f>
        <v/>
      </c>
      <c r="K164">
        <f>IF(ISNA(MATCH(151,Engine!$C$2:$C$622,0)),"",INDEX('Compliance Database'!$K$2:$K$622,MATCH(151,Engine!$C$2:$C$622,0)))</f>
        <v/>
      </c>
      <c r="L164" s="8">
        <f>IF(ISNA(MATCH(151,Engine!$C$2:$C$622,0)),"",INDEX('Compliance Database'!$L$2:$L$622,MATCH(151,Engine!$C$2:$C$622,0)))</f>
        <v/>
      </c>
      <c r="M164" s="8">
        <f>IF(ISNA(MATCH(151,Engine!$C$2:$C$622,0)),"",INDEX('Compliance Database'!$M$2:$M$622,MATCH(151,Engine!$C$2:$C$622,0)))</f>
        <v/>
      </c>
      <c r="N164" s="8">
        <f>IF(ISNA(MATCH(151,Engine!$C$2:$C$622,0)),"",INDEX('Compliance Database'!$N$2:$N$622,MATCH(151,Engine!$C$2:$C$622,0)))</f>
        <v/>
      </c>
      <c r="O164" s="8">
        <f>IF(ISNA(MATCH(151,Engine!$C$2:$C$622,0)),"",INDEX('Compliance Database'!$O$2:$O$622,MATCH(151,Engine!$C$2:$C$622,0)))</f>
        <v/>
      </c>
    </row>
    <row r="165">
      <c r="A165">
        <f>IF(ISNA(MATCH(152,Engine!$C$2:$C$622,0)),"",INDEX('Compliance Database'!$A$2:$A$622,MATCH(152,Engine!$C$2:$C$622,0)))</f>
        <v/>
      </c>
      <c r="B165">
        <f>IF(ISNA(MATCH(152,Engine!$C$2:$C$622,0)),"",INDEX('Compliance Database'!$B$2:$B$622,MATCH(152,Engine!$C$2:$C$622,0)))</f>
        <v/>
      </c>
      <c r="C165">
        <f>IF(ISNA(MATCH(152,Engine!$C$2:$C$622,0)),"",INDEX('Compliance Database'!$C$2:$C$622,MATCH(152,Engine!$C$2:$C$622,0)))</f>
        <v/>
      </c>
      <c r="D165" s="8">
        <f>IF(ISNA(MATCH(152,Engine!$C$2:$C$622,0)),"",INDEX('Compliance Database'!$D$2:$D$622,MATCH(152,Engine!$C$2:$C$622,0)))</f>
        <v/>
      </c>
      <c r="E165">
        <f>IF(ISNA(MATCH(152,Engine!$C$2:$C$622,0)),"",INDEX('Compliance Database'!$E$2:$E$622,MATCH(152,Engine!$C$2:$C$622,0)))</f>
        <v/>
      </c>
      <c r="F165">
        <f>IF(ISNA(MATCH(152,Engine!$C$2:$C$622,0)),"",INDEX('Compliance Database'!$F$2:$F$622,MATCH(152,Engine!$C$2:$C$622,0)))</f>
        <v/>
      </c>
      <c r="G165">
        <f>IF(ISNA(MATCH(152,Engine!$C$2:$C$622,0)),"",INDEX('Compliance Database'!$G$2:$G$622,MATCH(152,Engine!$C$2:$C$622,0)))</f>
        <v/>
      </c>
      <c r="H165">
        <f>IF(ISNA(MATCH(152,Engine!$C$2:$C$622,0)),"",INDEX('Compliance Database'!$H$2:$H$622,MATCH(152,Engine!$C$2:$C$622,0)))</f>
        <v/>
      </c>
      <c r="I165" s="8">
        <f>IF(ISNA(MATCH(152,Engine!$C$2:$C$622,0)),"",INDEX('Compliance Database'!$I$2:$I$622,MATCH(152,Engine!$C$2:$C$622,0)))</f>
        <v/>
      </c>
      <c r="J165" s="8">
        <f>IF(ISNA(MATCH(152,Engine!$C$2:$C$622,0)),"",INDEX('Compliance Database'!$J$2:$J$622,MATCH(152,Engine!$C$2:$C$622,0)))</f>
        <v/>
      </c>
      <c r="K165">
        <f>IF(ISNA(MATCH(152,Engine!$C$2:$C$622,0)),"",INDEX('Compliance Database'!$K$2:$K$622,MATCH(152,Engine!$C$2:$C$622,0)))</f>
        <v/>
      </c>
      <c r="L165" s="8">
        <f>IF(ISNA(MATCH(152,Engine!$C$2:$C$622,0)),"",INDEX('Compliance Database'!$L$2:$L$622,MATCH(152,Engine!$C$2:$C$622,0)))</f>
        <v/>
      </c>
      <c r="M165" s="8">
        <f>IF(ISNA(MATCH(152,Engine!$C$2:$C$622,0)),"",INDEX('Compliance Database'!$M$2:$M$622,MATCH(152,Engine!$C$2:$C$622,0)))</f>
        <v/>
      </c>
      <c r="N165" s="8">
        <f>IF(ISNA(MATCH(152,Engine!$C$2:$C$622,0)),"",INDEX('Compliance Database'!$N$2:$N$622,MATCH(152,Engine!$C$2:$C$622,0)))</f>
        <v/>
      </c>
      <c r="O165" s="8">
        <f>IF(ISNA(MATCH(152,Engine!$C$2:$C$622,0)),"",INDEX('Compliance Database'!$O$2:$O$622,MATCH(152,Engine!$C$2:$C$622,0)))</f>
        <v/>
      </c>
    </row>
    <row r="166">
      <c r="A166">
        <f>IF(ISNA(MATCH(153,Engine!$C$2:$C$622,0)),"",INDEX('Compliance Database'!$A$2:$A$622,MATCH(153,Engine!$C$2:$C$622,0)))</f>
        <v/>
      </c>
      <c r="B166">
        <f>IF(ISNA(MATCH(153,Engine!$C$2:$C$622,0)),"",INDEX('Compliance Database'!$B$2:$B$622,MATCH(153,Engine!$C$2:$C$622,0)))</f>
        <v/>
      </c>
      <c r="C166">
        <f>IF(ISNA(MATCH(153,Engine!$C$2:$C$622,0)),"",INDEX('Compliance Database'!$C$2:$C$622,MATCH(153,Engine!$C$2:$C$622,0)))</f>
        <v/>
      </c>
      <c r="D166" s="8">
        <f>IF(ISNA(MATCH(153,Engine!$C$2:$C$622,0)),"",INDEX('Compliance Database'!$D$2:$D$622,MATCH(153,Engine!$C$2:$C$622,0)))</f>
        <v/>
      </c>
      <c r="E166">
        <f>IF(ISNA(MATCH(153,Engine!$C$2:$C$622,0)),"",INDEX('Compliance Database'!$E$2:$E$622,MATCH(153,Engine!$C$2:$C$622,0)))</f>
        <v/>
      </c>
      <c r="F166">
        <f>IF(ISNA(MATCH(153,Engine!$C$2:$C$622,0)),"",INDEX('Compliance Database'!$F$2:$F$622,MATCH(153,Engine!$C$2:$C$622,0)))</f>
        <v/>
      </c>
      <c r="G166">
        <f>IF(ISNA(MATCH(153,Engine!$C$2:$C$622,0)),"",INDEX('Compliance Database'!$G$2:$G$622,MATCH(153,Engine!$C$2:$C$622,0)))</f>
        <v/>
      </c>
      <c r="H166">
        <f>IF(ISNA(MATCH(153,Engine!$C$2:$C$622,0)),"",INDEX('Compliance Database'!$H$2:$H$622,MATCH(153,Engine!$C$2:$C$622,0)))</f>
        <v/>
      </c>
      <c r="I166" s="8">
        <f>IF(ISNA(MATCH(153,Engine!$C$2:$C$622,0)),"",INDEX('Compliance Database'!$I$2:$I$622,MATCH(153,Engine!$C$2:$C$622,0)))</f>
        <v/>
      </c>
      <c r="J166" s="8">
        <f>IF(ISNA(MATCH(153,Engine!$C$2:$C$622,0)),"",INDEX('Compliance Database'!$J$2:$J$622,MATCH(153,Engine!$C$2:$C$622,0)))</f>
        <v/>
      </c>
      <c r="K166">
        <f>IF(ISNA(MATCH(153,Engine!$C$2:$C$622,0)),"",INDEX('Compliance Database'!$K$2:$K$622,MATCH(153,Engine!$C$2:$C$622,0)))</f>
        <v/>
      </c>
      <c r="L166" s="8">
        <f>IF(ISNA(MATCH(153,Engine!$C$2:$C$622,0)),"",INDEX('Compliance Database'!$L$2:$L$622,MATCH(153,Engine!$C$2:$C$622,0)))</f>
        <v/>
      </c>
      <c r="M166" s="8">
        <f>IF(ISNA(MATCH(153,Engine!$C$2:$C$622,0)),"",INDEX('Compliance Database'!$M$2:$M$622,MATCH(153,Engine!$C$2:$C$622,0)))</f>
        <v/>
      </c>
      <c r="N166" s="8">
        <f>IF(ISNA(MATCH(153,Engine!$C$2:$C$622,0)),"",INDEX('Compliance Database'!$N$2:$N$622,MATCH(153,Engine!$C$2:$C$622,0)))</f>
        <v/>
      </c>
      <c r="O166" s="8">
        <f>IF(ISNA(MATCH(153,Engine!$C$2:$C$622,0)),"",INDEX('Compliance Database'!$O$2:$O$622,MATCH(153,Engine!$C$2:$C$622,0)))</f>
        <v/>
      </c>
    </row>
    <row r="167">
      <c r="A167">
        <f>IF(ISNA(MATCH(154,Engine!$C$2:$C$622,0)),"",INDEX('Compliance Database'!$A$2:$A$622,MATCH(154,Engine!$C$2:$C$622,0)))</f>
        <v/>
      </c>
      <c r="B167">
        <f>IF(ISNA(MATCH(154,Engine!$C$2:$C$622,0)),"",INDEX('Compliance Database'!$B$2:$B$622,MATCH(154,Engine!$C$2:$C$622,0)))</f>
        <v/>
      </c>
      <c r="C167">
        <f>IF(ISNA(MATCH(154,Engine!$C$2:$C$622,0)),"",INDEX('Compliance Database'!$C$2:$C$622,MATCH(154,Engine!$C$2:$C$622,0)))</f>
        <v/>
      </c>
      <c r="D167" s="8">
        <f>IF(ISNA(MATCH(154,Engine!$C$2:$C$622,0)),"",INDEX('Compliance Database'!$D$2:$D$622,MATCH(154,Engine!$C$2:$C$622,0)))</f>
        <v/>
      </c>
      <c r="E167">
        <f>IF(ISNA(MATCH(154,Engine!$C$2:$C$622,0)),"",INDEX('Compliance Database'!$E$2:$E$622,MATCH(154,Engine!$C$2:$C$622,0)))</f>
        <v/>
      </c>
      <c r="F167">
        <f>IF(ISNA(MATCH(154,Engine!$C$2:$C$622,0)),"",INDEX('Compliance Database'!$F$2:$F$622,MATCH(154,Engine!$C$2:$C$622,0)))</f>
        <v/>
      </c>
      <c r="G167">
        <f>IF(ISNA(MATCH(154,Engine!$C$2:$C$622,0)),"",INDEX('Compliance Database'!$G$2:$G$622,MATCH(154,Engine!$C$2:$C$622,0)))</f>
        <v/>
      </c>
      <c r="H167">
        <f>IF(ISNA(MATCH(154,Engine!$C$2:$C$622,0)),"",INDEX('Compliance Database'!$H$2:$H$622,MATCH(154,Engine!$C$2:$C$622,0)))</f>
        <v/>
      </c>
      <c r="I167" s="8">
        <f>IF(ISNA(MATCH(154,Engine!$C$2:$C$622,0)),"",INDEX('Compliance Database'!$I$2:$I$622,MATCH(154,Engine!$C$2:$C$622,0)))</f>
        <v/>
      </c>
      <c r="J167" s="8">
        <f>IF(ISNA(MATCH(154,Engine!$C$2:$C$622,0)),"",INDEX('Compliance Database'!$J$2:$J$622,MATCH(154,Engine!$C$2:$C$622,0)))</f>
        <v/>
      </c>
      <c r="K167">
        <f>IF(ISNA(MATCH(154,Engine!$C$2:$C$622,0)),"",INDEX('Compliance Database'!$K$2:$K$622,MATCH(154,Engine!$C$2:$C$622,0)))</f>
        <v/>
      </c>
      <c r="L167" s="8">
        <f>IF(ISNA(MATCH(154,Engine!$C$2:$C$622,0)),"",INDEX('Compliance Database'!$L$2:$L$622,MATCH(154,Engine!$C$2:$C$622,0)))</f>
        <v/>
      </c>
      <c r="M167" s="8">
        <f>IF(ISNA(MATCH(154,Engine!$C$2:$C$622,0)),"",INDEX('Compliance Database'!$M$2:$M$622,MATCH(154,Engine!$C$2:$C$622,0)))</f>
        <v/>
      </c>
      <c r="N167" s="8">
        <f>IF(ISNA(MATCH(154,Engine!$C$2:$C$622,0)),"",INDEX('Compliance Database'!$N$2:$N$622,MATCH(154,Engine!$C$2:$C$622,0)))</f>
        <v/>
      </c>
      <c r="O167" s="8">
        <f>IF(ISNA(MATCH(154,Engine!$C$2:$C$622,0)),"",INDEX('Compliance Database'!$O$2:$O$622,MATCH(154,Engine!$C$2:$C$622,0)))</f>
        <v/>
      </c>
    </row>
    <row r="168">
      <c r="A168">
        <f>IF(ISNA(MATCH(155,Engine!$C$2:$C$622,0)),"",INDEX('Compliance Database'!$A$2:$A$622,MATCH(155,Engine!$C$2:$C$622,0)))</f>
        <v/>
      </c>
      <c r="B168">
        <f>IF(ISNA(MATCH(155,Engine!$C$2:$C$622,0)),"",INDEX('Compliance Database'!$B$2:$B$622,MATCH(155,Engine!$C$2:$C$622,0)))</f>
        <v/>
      </c>
      <c r="C168">
        <f>IF(ISNA(MATCH(155,Engine!$C$2:$C$622,0)),"",INDEX('Compliance Database'!$C$2:$C$622,MATCH(155,Engine!$C$2:$C$622,0)))</f>
        <v/>
      </c>
      <c r="D168" s="8">
        <f>IF(ISNA(MATCH(155,Engine!$C$2:$C$622,0)),"",INDEX('Compliance Database'!$D$2:$D$622,MATCH(155,Engine!$C$2:$C$622,0)))</f>
        <v/>
      </c>
      <c r="E168">
        <f>IF(ISNA(MATCH(155,Engine!$C$2:$C$622,0)),"",INDEX('Compliance Database'!$E$2:$E$622,MATCH(155,Engine!$C$2:$C$622,0)))</f>
        <v/>
      </c>
      <c r="F168">
        <f>IF(ISNA(MATCH(155,Engine!$C$2:$C$622,0)),"",INDEX('Compliance Database'!$F$2:$F$622,MATCH(155,Engine!$C$2:$C$622,0)))</f>
        <v/>
      </c>
      <c r="G168">
        <f>IF(ISNA(MATCH(155,Engine!$C$2:$C$622,0)),"",INDEX('Compliance Database'!$G$2:$G$622,MATCH(155,Engine!$C$2:$C$622,0)))</f>
        <v/>
      </c>
      <c r="H168">
        <f>IF(ISNA(MATCH(155,Engine!$C$2:$C$622,0)),"",INDEX('Compliance Database'!$H$2:$H$622,MATCH(155,Engine!$C$2:$C$622,0)))</f>
        <v/>
      </c>
      <c r="I168" s="8">
        <f>IF(ISNA(MATCH(155,Engine!$C$2:$C$622,0)),"",INDEX('Compliance Database'!$I$2:$I$622,MATCH(155,Engine!$C$2:$C$622,0)))</f>
        <v/>
      </c>
      <c r="J168" s="8">
        <f>IF(ISNA(MATCH(155,Engine!$C$2:$C$622,0)),"",INDEX('Compliance Database'!$J$2:$J$622,MATCH(155,Engine!$C$2:$C$622,0)))</f>
        <v/>
      </c>
      <c r="K168">
        <f>IF(ISNA(MATCH(155,Engine!$C$2:$C$622,0)),"",INDEX('Compliance Database'!$K$2:$K$622,MATCH(155,Engine!$C$2:$C$622,0)))</f>
        <v/>
      </c>
      <c r="L168" s="8">
        <f>IF(ISNA(MATCH(155,Engine!$C$2:$C$622,0)),"",INDEX('Compliance Database'!$L$2:$L$622,MATCH(155,Engine!$C$2:$C$622,0)))</f>
        <v/>
      </c>
      <c r="M168" s="8">
        <f>IF(ISNA(MATCH(155,Engine!$C$2:$C$622,0)),"",INDEX('Compliance Database'!$M$2:$M$622,MATCH(155,Engine!$C$2:$C$622,0)))</f>
        <v/>
      </c>
      <c r="N168" s="8">
        <f>IF(ISNA(MATCH(155,Engine!$C$2:$C$622,0)),"",INDEX('Compliance Database'!$N$2:$N$622,MATCH(155,Engine!$C$2:$C$622,0)))</f>
        <v/>
      </c>
      <c r="O168" s="8">
        <f>IF(ISNA(MATCH(155,Engine!$C$2:$C$622,0)),"",INDEX('Compliance Database'!$O$2:$O$622,MATCH(155,Engine!$C$2:$C$622,0)))</f>
        <v/>
      </c>
    </row>
    <row r="169">
      <c r="A169">
        <f>IF(ISNA(MATCH(156,Engine!$C$2:$C$622,0)),"",INDEX('Compliance Database'!$A$2:$A$622,MATCH(156,Engine!$C$2:$C$622,0)))</f>
        <v/>
      </c>
      <c r="B169">
        <f>IF(ISNA(MATCH(156,Engine!$C$2:$C$622,0)),"",INDEX('Compliance Database'!$B$2:$B$622,MATCH(156,Engine!$C$2:$C$622,0)))</f>
        <v/>
      </c>
      <c r="C169">
        <f>IF(ISNA(MATCH(156,Engine!$C$2:$C$622,0)),"",INDEX('Compliance Database'!$C$2:$C$622,MATCH(156,Engine!$C$2:$C$622,0)))</f>
        <v/>
      </c>
      <c r="D169" s="8">
        <f>IF(ISNA(MATCH(156,Engine!$C$2:$C$622,0)),"",INDEX('Compliance Database'!$D$2:$D$622,MATCH(156,Engine!$C$2:$C$622,0)))</f>
        <v/>
      </c>
      <c r="E169">
        <f>IF(ISNA(MATCH(156,Engine!$C$2:$C$622,0)),"",INDEX('Compliance Database'!$E$2:$E$622,MATCH(156,Engine!$C$2:$C$622,0)))</f>
        <v/>
      </c>
      <c r="F169">
        <f>IF(ISNA(MATCH(156,Engine!$C$2:$C$622,0)),"",INDEX('Compliance Database'!$F$2:$F$622,MATCH(156,Engine!$C$2:$C$622,0)))</f>
        <v/>
      </c>
      <c r="G169">
        <f>IF(ISNA(MATCH(156,Engine!$C$2:$C$622,0)),"",INDEX('Compliance Database'!$G$2:$G$622,MATCH(156,Engine!$C$2:$C$622,0)))</f>
        <v/>
      </c>
      <c r="H169">
        <f>IF(ISNA(MATCH(156,Engine!$C$2:$C$622,0)),"",INDEX('Compliance Database'!$H$2:$H$622,MATCH(156,Engine!$C$2:$C$622,0)))</f>
        <v/>
      </c>
      <c r="I169" s="8">
        <f>IF(ISNA(MATCH(156,Engine!$C$2:$C$622,0)),"",INDEX('Compliance Database'!$I$2:$I$622,MATCH(156,Engine!$C$2:$C$622,0)))</f>
        <v/>
      </c>
      <c r="J169" s="8">
        <f>IF(ISNA(MATCH(156,Engine!$C$2:$C$622,0)),"",INDEX('Compliance Database'!$J$2:$J$622,MATCH(156,Engine!$C$2:$C$622,0)))</f>
        <v/>
      </c>
      <c r="K169">
        <f>IF(ISNA(MATCH(156,Engine!$C$2:$C$622,0)),"",INDEX('Compliance Database'!$K$2:$K$622,MATCH(156,Engine!$C$2:$C$622,0)))</f>
        <v/>
      </c>
      <c r="L169" s="8">
        <f>IF(ISNA(MATCH(156,Engine!$C$2:$C$622,0)),"",INDEX('Compliance Database'!$L$2:$L$622,MATCH(156,Engine!$C$2:$C$622,0)))</f>
        <v/>
      </c>
      <c r="M169" s="8">
        <f>IF(ISNA(MATCH(156,Engine!$C$2:$C$622,0)),"",INDEX('Compliance Database'!$M$2:$M$622,MATCH(156,Engine!$C$2:$C$622,0)))</f>
        <v/>
      </c>
      <c r="N169" s="8">
        <f>IF(ISNA(MATCH(156,Engine!$C$2:$C$622,0)),"",INDEX('Compliance Database'!$N$2:$N$622,MATCH(156,Engine!$C$2:$C$622,0)))</f>
        <v/>
      </c>
      <c r="O169" s="8">
        <f>IF(ISNA(MATCH(156,Engine!$C$2:$C$622,0)),"",INDEX('Compliance Database'!$O$2:$O$622,MATCH(156,Engine!$C$2:$C$622,0)))</f>
        <v/>
      </c>
    </row>
    <row r="170">
      <c r="A170">
        <f>IF(ISNA(MATCH(157,Engine!$C$2:$C$622,0)),"",INDEX('Compliance Database'!$A$2:$A$622,MATCH(157,Engine!$C$2:$C$622,0)))</f>
        <v/>
      </c>
      <c r="B170">
        <f>IF(ISNA(MATCH(157,Engine!$C$2:$C$622,0)),"",INDEX('Compliance Database'!$B$2:$B$622,MATCH(157,Engine!$C$2:$C$622,0)))</f>
        <v/>
      </c>
      <c r="C170">
        <f>IF(ISNA(MATCH(157,Engine!$C$2:$C$622,0)),"",INDEX('Compliance Database'!$C$2:$C$622,MATCH(157,Engine!$C$2:$C$622,0)))</f>
        <v/>
      </c>
      <c r="D170" s="8">
        <f>IF(ISNA(MATCH(157,Engine!$C$2:$C$622,0)),"",INDEX('Compliance Database'!$D$2:$D$622,MATCH(157,Engine!$C$2:$C$622,0)))</f>
        <v/>
      </c>
      <c r="E170">
        <f>IF(ISNA(MATCH(157,Engine!$C$2:$C$622,0)),"",INDEX('Compliance Database'!$E$2:$E$622,MATCH(157,Engine!$C$2:$C$622,0)))</f>
        <v/>
      </c>
      <c r="F170">
        <f>IF(ISNA(MATCH(157,Engine!$C$2:$C$622,0)),"",INDEX('Compliance Database'!$F$2:$F$622,MATCH(157,Engine!$C$2:$C$622,0)))</f>
        <v/>
      </c>
      <c r="G170">
        <f>IF(ISNA(MATCH(157,Engine!$C$2:$C$622,0)),"",INDEX('Compliance Database'!$G$2:$G$622,MATCH(157,Engine!$C$2:$C$622,0)))</f>
        <v/>
      </c>
      <c r="H170">
        <f>IF(ISNA(MATCH(157,Engine!$C$2:$C$622,0)),"",INDEX('Compliance Database'!$H$2:$H$622,MATCH(157,Engine!$C$2:$C$622,0)))</f>
        <v/>
      </c>
      <c r="I170" s="8">
        <f>IF(ISNA(MATCH(157,Engine!$C$2:$C$622,0)),"",INDEX('Compliance Database'!$I$2:$I$622,MATCH(157,Engine!$C$2:$C$622,0)))</f>
        <v/>
      </c>
      <c r="J170" s="8">
        <f>IF(ISNA(MATCH(157,Engine!$C$2:$C$622,0)),"",INDEX('Compliance Database'!$J$2:$J$622,MATCH(157,Engine!$C$2:$C$622,0)))</f>
        <v/>
      </c>
      <c r="K170">
        <f>IF(ISNA(MATCH(157,Engine!$C$2:$C$622,0)),"",INDEX('Compliance Database'!$K$2:$K$622,MATCH(157,Engine!$C$2:$C$622,0)))</f>
        <v/>
      </c>
      <c r="L170" s="8">
        <f>IF(ISNA(MATCH(157,Engine!$C$2:$C$622,0)),"",INDEX('Compliance Database'!$L$2:$L$622,MATCH(157,Engine!$C$2:$C$622,0)))</f>
        <v/>
      </c>
      <c r="M170" s="8">
        <f>IF(ISNA(MATCH(157,Engine!$C$2:$C$622,0)),"",INDEX('Compliance Database'!$M$2:$M$622,MATCH(157,Engine!$C$2:$C$622,0)))</f>
        <v/>
      </c>
      <c r="N170" s="8">
        <f>IF(ISNA(MATCH(157,Engine!$C$2:$C$622,0)),"",INDEX('Compliance Database'!$N$2:$N$622,MATCH(157,Engine!$C$2:$C$622,0)))</f>
        <v/>
      </c>
      <c r="O170" s="8">
        <f>IF(ISNA(MATCH(157,Engine!$C$2:$C$622,0)),"",INDEX('Compliance Database'!$O$2:$O$622,MATCH(157,Engine!$C$2:$C$622,0)))</f>
        <v/>
      </c>
    </row>
    <row r="171">
      <c r="A171">
        <f>IF(ISNA(MATCH(158,Engine!$C$2:$C$622,0)),"",INDEX('Compliance Database'!$A$2:$A$622,MATCH(158,Engine!$C$2:$C$622,0)))</f>
        <v/>
      </c>
      <c r="B171">
        <f>IF(ISNA(MATCH(158,Engine!$C$2:$C$622,0)),"",INDEX('Compliance Database'!$B$2:$B$622,MATCH(158,Engine!$C$2:$C$622,0)))</f>
        <v/>
      </c>
      <c r="C171">
        <f>IF(ISNA(MATCH(158,Engine!$C$2:$C$622,0)),"",INDEX('Compliance Database'!$C$2:$C$622,MATCH(158,Engine!$C$2:$C$622,0)))</f>
        <v/>
      </c>
      <c r="D171" s="8">
        <f>IF(ISNA(MATCH(158,Engine!$C$2:$C$622,0)),"",INDEX('Compliance Database'!$D$2:$D$622,MATCH(158,Engine!$C$2:$C$622,0)))</f>
        <v/>
      </c>
      <c r="E171">
        <f>IF(ISNA(MATCH(158,Engine!$C$2:$C$622,0)),"",INDEX('Compliance Database'!$E$2:$E$622,MATCH(158,Engine!$C$2:$C$622,0)))</f>
        <v/>
      </c>
      <c r="F171">
        <f>IF(ISNA(MATCH(158,Engine!$C$2:$C$622,0)),"",INDEX('Compliance Database'!$F$2:$F$622,MATCH(158,Engine!$C$2:$C$622,0)))</f>
        <v/>
      </c>
      <c r="G171">
        <f>IF(ISNA(MATCH(158,Engine!$C$2:$C$622,0)),"",INDEX('Compliance Database'!$G$2:$G$622,MATCH(158,Engine!$C$2:$C$622,0)))</f>
        <v/>
      </c>
      <c r="H171">
        <f>IF(ISNA(MATCH(158,Engine!$C$2:$C$622,0)),"",INDEX('Compliance Database'!$H$2:$H$622,MATCH(158,Engine!$C$2:$C$622,0)))</f>
        <v/>
      </c>
      <c r="I171" s="8">
        <f>IF(ISNA(MATCH(158,Engine!$C$2:$C$622,0)),"",INDEX('Compliance Database'!$I$2:$I$622,MATCH(158,Engine!$C$2:$C$622,0)))</f>
        <v/>
      </c>
      <c r="J171" s="8">
        <f>IF(ISNA(MATCH(158,Engine!$C$2:$C$622,0)),"",INDEX('Compliance Database'!$J$2:$J$622,MATCH(158,Engine!$C$2:$C$622,0)))</f>
        <v/>
      </c>
      <c r="K171">
        <f>IF(ISNA(MATCH(158,Engine!$C$2:$C$622,0)),"",INDEX('Compliance Database'!$K$2:$K$622,MATCH(158,Engine!$C$2:$C$622,0)))</f>
        <v/>
      </c>
      <c r="L171" s="8">
        <f>IF(ISNA(MATCH(158,Engine!$C$2:$C$622,0)),"",INDEX('Compliance Database'!$L$2:$L$622,MATCH(158,Engine!$C$2:$C$622,0)))</f>
        <v/>
      </c>
      <c r="M171" s="8">
        <f>IF(ISNA(MATCH(158,Engine!$C$2:$C$622,0)),"",INDEX('Compliance Database'!$M$2:$M$622,MATCH(158,Engine!$C$2:$C$622,0)))</f>
        <v/>
      </c>
      <c r="N171" s="8">
        <f>IF(ISNA(MATCH(158,Engine!$C$2:$C$622,0)),"",INDEX('Compliance Database'!$N$2:$N$622,MATCH(158,Engine!$C$2:$C$622,0)))</f>
        <v/>
      </c>
      <c r="O171" s="8">
        <f>IF(ISNA(MATCH(158,Engine!$C$2:$C$622,0)),"",INDEX('Compliance Database'!$O$2:$O$622,MATCH(158,Engine!$C$2:$C$622,0)))</f>
        <v/>
      </c>
    </row>
    <row r="172">
      <c r="A172">
        <f>IF(ISNA(MATCH(159,Engine!$C$2:$C$622,0)),"",INDEX('Compliance Database'!$A$2:$A$622,MATCH(159,Engine!$C$2:$C$622,0)))</f>
        <v/>
      </c>
      <c r="B172">
        <f>IF(ISNA(MATCH(159,Engine!$C$2:$C$622,0)),"",INDEX('Compliance Database'!$B$2:$B$622,MATCH(159,Engine!$C$2:$C$622,0)))</f>
        <v/>
      </c>
      <c r="C172">
        <f>IF(ISNA(MATCH(159,Engine!$C$2:$C$622,0)),"",INDEX('Compliance Database'!$C$2:$C$622,MATCH(159,Engine!$C$2:$C$622,0)))</f>
        <v/>
      </c>
      <c r="D172" s="8">
        <f>IF(ISNA(MATCH(159,Engine!$C$2:$C$622,0)),"",INDEX('Compliance Database'!$D$2:$D$622,MATCH(159,Engine!$C$2:$C$622,0)))</f>
        <v/>
      </c>
      <c r="E172">
        <f>IF(ISNA(MATCH(159,Engine!$C$2:$C$622,0)),"",INDEX('Compliance Database'!$E$2:$E$622,MATCH(159,Engine!$C$2:$C$622,0)))</f>
        <v/>
      </c>
      <c r="F172">
        <f>IF(ISNA(MATCH(159,Engine!$C$2:$C$622,0)),"",INDEX('Compliance Database'!$F$2:$F$622,MATCH(159,Engine!$C$2:$C$622,0)))</f>
        <v/>
      </c>
      <c r="G172">
        <f>IF(ISNA(MATCH(159,Engine!$C$2:$C$622,0)),"",INDEX('Compliance Database'!$G$2:$G$622,MATCH(159,Engine!$C$2:$C$622,0)))</f>
        <v/>
      </c>
      <c r="H172">
        <f>IF(ISNA(MATCH(159,Engine!$C$2:$C$622,0)),"",INDEX('Compliance Database'!$H$2:$H$622,MATCH(159,Engine!$C$2:$C$622,0)))</f>
        <v/>
      </c>
      <c r="I172" s="8">
        <f>IF(ISNA(MATCH(159,Engine!$C$2:$C$622,0)),"",INDEX('Compliance Database'!$I$2:$I$622,MATCH(159,Engine!$C$2:$C$622,0)))</f>
        <v/>
      </c>
      <c r="J172" s="8">
        <f>IF(ISNA(MATCH(159,Engine!$C$2:$C$622,0)),"",INDEX('Compliance Database'!$J$2:$J$622,MATCH(159,Engine!$C$2:$C$622,0)))</f>
        <v/>
      </c>
      <c r="K172">
        <f>IF(ISNA(MATCH(159,Engine!$C$2:$C$622,0)),"",INDEX('Compliance Database'!$K$2:$K$622,MATCH(159,Engine!$C$2:$C$622,0)))</f>
        <v/>
      </c>
      <c r="L172" s="8">
        <f>IF(ISNA(MATCH(159,Engine!$C$2:$C$622,0)),"",INDEX('Compliance Database'!$L$2:$L$622,MATCH(159,Engine!$C$2:$C$622,0)))</f>
        <v/>
      </c>
      <c r="M172" s="8">
        <f>IF(ISNA(MATCH(159,Engine!$C$2:$C$622,0)),"",INDEX('Compliance Database'!$M$2:$M$622,MATCH(159,Engine!$C$2:$C$622,0)))</f>
        <v/>
      </c>
      <c r="N172" s="8">
        <f>IF(ISNA(MATCH(159,Engine!$C$2:$C$622,0)),"",INDEX('Compliance Database'!$N$2:$N$622,MATCH(159,Engine!$C$2:$C$622,0)))</f>
        <v/>
      </c>
      <c r="O172" s="8">
        <f>IF(ISNA(MATCH(159,Engine!$C$2:$C$622,0)),"",INDEX('Compliance Database'!$O$2:$O$622,MATCH(159,Engine!$C$2:$C$622,0)))</f>
        <v/>
      </c>
    </row>
    <row r="173">
      <c r="A173">
        <f>IF(ISNA(MATCH(160,Engine!$C$2:$C$622,0)),"",INDEX('Compliance Database'!$A$2:$A$622,MATCH(160,Engine!$C$2:$C$622,0)))</f>
        <v/>
      </c>
      <c r="B173">
        <f>IF(ISNA(MATCH(160,Engine!$C$2:$C$622,0)),"",INDEX('Compliance Database'!$B$2:$B$622,MATCH(160,Engine!$C$2:$C$622,0)))</f>
        <v/>
      </c>
      <c r="C173">
        <f>IF(ISNA(MATCH(160,Engine!$C$2:$C$622,0)),"",INDEX('Compliance Database'!$C$2:$C$622,MATCH(160,Engine!$C$2:$C$622,0)))</f>
        <v/>
      </c>
      <c r="D173" s="8">
        <f>IF(ISNA(MATCH(160,Engine!$C$2:$C$622,0)),"",INDEX('Compliance Database'!$D$2:$D$622,MATCH(160,Engine!$C$2:$C$622,0)))</f>
        <v/>
      </c>
      <c r="E173">
        <f>IF(ISNA(MATCH(160,Engine!$C$2:$C$622,0)),"",INDEX('Compliance Database'!$E$2:$E$622,MATCH(160,Engine!$C$2:$C$622,0)))</f>
        <v/>
      </c>
      <c r="F173">
        <f>IF(ISNA(MATCH(160,Engine!$C$2:$C$622,0)),"",INDEX('Compliance Database'!$F$2:$F$622,MATCH(160,Engine!$C$2:$C$622,0)))</f>
        <v/>
      </c>
      <c r="G173">
        <f>IF(ISNA(MATCH(160,Engine!$C$2:$C$622,0)),"",INDEX('Compliance Database'!$G$2:$G$622,MATCH(160,Engine!$C$2:$C$622,0)))</f>
        <v/>
      </c>
      <c r="H173">
        <f>IF(ISNA(MATCH(160,Engine!$C$2:$C$622,0)),"",INDEX('Compliance Database'!$H$2:$H$622,MATCH(160,Engine!$C$2:$C$622,0)))</f>
        <v/>
      </c>
      <c r="I173" s="8">
        <f>IF(ISNA(MATCH(160,Engine!$C$2:$C$622,0)),"",INDEX('Compliance Database'!$I$2:$I$622,MATCH(160,Engine!$C$2:$C$622,0)))</f>
        <v/>
      </c>
      <c r="J173" s="8">
        <f>IF(ISNA(MATCH(160,Engine!$C$2:$C$622,0)),"",INDEX('Compliance Database'!$J$2:$J$622,MATCH(160,Engine!$C$2:$C$622,0)))</f>
        <v/>
      </c>
      <c r="K173">
        <f>IF(ISNA(MATCH(160,Engine!$C$2:$C$622,0)),"",INDEX('Compliance Database'!$K$2:$K$622,MATCH(160,Engine!$C$2:$C$622,0)))</f>
        <v/>
      </c>
      <c r="L173" s="8">
        <f>IF(ISNA(MATCH(160,Engine!$C$2:$C$622,0)),"",INDEX('Compliance Database'!$L$2:$L$622,MATCH(160,Engine!$C$2:$C$622,0)))</f>
        <v/>
      </c>
      <c r="M173" s="8">
        <f>IF(ISNA(MATCH(160,Engine!$C$2:$C$622,0)),"",INDEX('Compliance Database'!$M$2:$M$622,MATCH(160,Engine!$C$2:$C$622,0)))</f>
        <v/>
      </c>
      <c r="N173" s="8">
        <f>IF(ISNA(MATCH(160,Engine!$C$2:$C$622,0)),"",INDEX('Compliance Database'!$N$2:$N$622,MATCH(160,Engine!$C$2:$C$622,0)))</f>
        <v/>
      </c>
      <c r="O173" s="8">
        <f>IF(ISNA(MATCH(160,Engine!$C$2:$C$622,0)),"",INDEX('Compliance Database'!$O$2:$O$622,MATCH(160,Engine!$C$2:$C$622,0)))</f>
        <v/>
      </c>
    </row>
    <row r="174">
      <c r="A174">
        <f>IF(ISNA(MATCH(161,Engine!$C$2:$C$622,0)),"",INDEX('Compliance Database'!$A$2:$A$622,MATCH(161,Engine!$C$2:$C$622,0)))</f>
        <v/>
      </c>
      <c r="B174">
        <f>IF(ISNA(MATCH(161,Engine!$C$2:$C$622,0)),"",INDEX('Compliance Database'!$B$2:$B$622,MATCH(161,Engine!$C$2:$C$622,0)))</f>
        <v/>
      </c>
      <c r="C174">
        <f>IF(ISNA(MATCH(161,Engine!$C$2:$C$622,0)),"",INDEX('Compliance Database'!$C$2:$C$622,MATCH(161,Engine!$C$2:$C$622,0)))</f>
        <v/>
      </c>
      <c r="D174" s="8">
        <f>IF(ISNA(MATCH(161,Engine!$C$2:$C$622,0)),"",INDEX('Compliance Database'!$D$2:$D$622,MATCH(161,Engine!$C$2:$C$622,0)))</f>
        <v/>
      </c>
      <c r="E174">
        <f>IF(ISNA(MATCH(161,Engine!$C$2:$C$622,0)),"",INDEX('Compliance Database'!$E$2:$E$622,MATCH(161,Engine!$C$2:$C$622,0)))</f>
        <v/>
      </c>
      <c r="F174">
        <f>IF(ISNA(MATCH(161,Engine!$C$2:$C$622,0)),"",INDEX('Compliance Database'!$F$2:$F$622,MATCH(161,Engine!$C$2:$C$622,0)))</f>
        <v/>
      </c>
      <c r="G174">
        <f>IF(ISNA(MATCH(161,Engine!$C$2:$C$622,0)),"",INDEX('Compliance Database'!$G$2:$G$622,MATCH(161,Engine!$C$2:$C$622,0)))</f>
        <v/>
      </c>
      <c r="H174">
        <f>IF(ISNA(MATCH(161,Engine!$C$2:$C$622,0)),"",INDEX('Compliance Database'!$H$2:$H$622,MATCH(161,Engine!$C$2:$C$622,0)))</f>
        <v/>
      </c>
      <c r="I174" s="8">
        <f>IF(ISNA(MATCH(161,Engine!$C$2:$C$622,0)),"",INDEX('Compliance Database'!$I$2:$I$622,MATCH(161,Engine!$C$2:$C$622,0)))</f>
        <v/>
      </c>
      <c r="J174" s="8">
        <f>IF(ISNA(MATCH(161,Engine!$C$2:$C$622,0)),"",INDEX('Compliance Database'!$J$2:$J$622,MATCH(161,Engine!$C$2:$C$622,0)))</f>
        <v/>
      </c>
      <c r="K174">
        <f>IF(ISNA(MATCH(161,Engine!$C$2:$C$622,0)),"",INDEX('Compliance Database'!$K$2:$K$622,MATCH(161,Engine!$C$2:$C$622,0)))</f>
        <v/>
      </c>
      <c r="L174" s="8">
        <f>IF(ISNA(MATCH(161,Engine!$C$2:$C$622,0)),"",INDEX('Compliance Database'!$L$2:$L$622,MATCH(161,Engine!$C$2:$C$622,0)))</f>
        <v/>
      </c>
      <c r="M174" s="8">
        <f>IF(ISNA(MATCH(161,Engine!$C$2:$C$622,0)),"",INDEX('Compliance Database'!$M$2:$M$622,MATCH(161,Engine!$C$2:$C$622,0)))</f>
        <v/>
      </c>
      <c r="N174" s="8">
        <f>IF(ISNA(MATCH(161,Engine!$C$2:$C$622,0)),"",INDEX('Compliance Database'!$N$2:$N$622,MATCH(161,Engine!$C$2:$C$622,0)))</f>
        <v/>
      </c>
      <c r="O174" s="8">
        <f>IF(ISNA(MATCH(161,Engine!$C$2:$C$622,0)),"",INDEX('Compliance Database'!$O$2:$O$622,MATCH(161,Engine!$C$2:$C$622,0)))</f>
        <v/>
      </c>
    </row>
    <row r="175">
      <c r="A175">
        <f>IF(ISNA(MATCH(162,Engine!$C$2:$C$622,0)),"",INDEX('Compliance Database'!$A$2:$A$622,MATCH(162,Engine!$C$2:$C$622,0)))</f>
        <v/>
      </c>
      <c r="B175">
        <f>IF(ISNA(MATCH(162,Engine!$C$2:$C$622,0)),"",INDEX('Compliance Database'!$B$2:$B$622,MATCH(162,Engine!$C$2:$C$622,0)))</f>
        <v/>
      </c>
      <c r="C175">
        <f>IF(ISNA(MATCH(162,Engine!$C$2:$C$622,0)),"",INDEX('Compliance Database'!$C$2:$C$622,MATCH(162,Engine!$C$2:$C$622,0)))</f>
        <v/>
      </c>
      <c r="D175" s="8">
        <f>IF(ISNA(MATCH(162,Engine!$C$2:$C$622,0)),"",INDEX('Compliance Database'!$D$2:$D$622,MATCH(162,Engine!$C$2:$C$622,0)))</f>
        <v/>
      </c>
      <c r="E175">
        <f>IF(ISNA(MATCH(162,Engine!$C$2:$C$622,0)),"",INDEX('Compliance Database'!$E$2:$E$622,MATCH(162,Engine!$C$2:$C$622,0)))</f>
        <v/>
      </c>
      <c r="F175">
        <f>IF(ISNA(MATCH(162,Engine!$C$2:$C$622,0)),"",INDEX('Compliance Database'!$F$2:$F$622,MATCH(162,Engine!$C$2:$C$622,0)))</f>
        <v/>
      </c>
      <c r="G175">
        <f>IF(ISNA(MATCH(162,Engine!$C$2:$C$622,0)),"",INDEX('Compliance Database'!$G$2:$G$622,MATCH(162,Engine!$C$2:$C$622,0)))</f>
        <v/>
      </c>
      <c r="H175">
        <f>IF(ISNA(MATCH(162,Engine!$C$2:$C$622,0)),"",INDEX('Compliance Database'!$H$2:$H$622,MATCH(162,Engine!$C$2:$C$622,0)))</f>
        <v/>
      </c>
      <c r="I175" s="8">
        <f>IF(ISNA(MATCH(162,Engine!$C$2:$C$622,0)),"",INDEX('Compliance Database'!$I$2:$I$622,MATCH(162,Engine!$C$2:$C$622,0)))</f>
        <v/>
      </c>
      <c r="J175" s="8">
        <f>IF(ISNA(MATCH(162,Engine!$C$2:$C$622,0)),"",INDEX('Compliance Database'!$J$2:$J$622,MATCH(162,Engine!$C$2:$C$622,0)))</f>
        <v/>
      </c>
      <c r="K175">
        <f>IF(ISNA(MATCH(162,Engine!$C$2:$C$622,0)),"",INDEX('Compliance Database'!$K$2:$K$622,MATCH(162,Engine!$C$2:$C$622,0)))</f>
        <v/>
      </c>
      <c r="L175" s="8">
        <f>IF(ISNA(MATCH(162,Engine!$C$2:$C$622,0)),"",INDEX('Compliance Database'!$L$2:$L$622,MATCH(162,Engine!$C$2:$C$622,0)))</f>
        <v/>
      </c>
      <c r="M175" s="8">
        <f>IF(ISNA(MATCH(162,Engine!$C$2:$C$622,0)),"",INDEX('Compliance Database'!$M$2:$M$622,MATCH(162,Engine!$C$2:$C$622,0)))</f>
        <v/>
      </c>
      <c r="N175" s="8">
        <f>IF(ISNA(MATCH(162,Engine!$C$2:$C$622,0)),"",INDEX('Compliance Database'!$N$2:$N$622,MATCH(162,Engine!$C$2:$C$622,0)))</f>
        <v/>
      </c>
      <c r="O175" s="8">
        <f>IF(ISNA(MATCH(162,Engine!$C$2:$C$622,0)),"",INDEX('Compliance Database'!$O$2:$O$622,MATCH(162,Engine!$C$2:$C$622,0)))</f>
        <v/>
      </c>
    </row>
    <row r="176">
      <c r="A176">
        <f>IF(ISNA(MATCH(163,Engine!$C$2:$C$622,0)),"",INDEX('Compliance Database'!$A$2:$A$622,MATCH(163,Engine!$C$2:$C$622,0)))</f>
        <v/>
      </c>
      <c r="B176">
        <f>IF(ISNA(MATCH(163,Engine!$C$2:$C$622,0)),"",INDEX('Compliance Database'!$B$2:$B$622,MATCH(163,Engine!$C$2:$C$622,0)))</f>
        <v/>
      </c>
      <c r="C176">
        <f>IF(ISNA(MATCH(163,Engine!$C$2:$C$622,0)),"",INDEX('Compliance Database'!$C$2:$C$622,MATCH(163,Engine!$C$2:$C$622,0)))</f>
        <v/>
      </c>
      <c r="D176" s="8">
        <f>IF(ISNA(MATCH(163,Engine!$C$2:$C$622,0)),"",INDEX('Compliance Database'!$D$2:$D$622,MATCH(163,Engine!$C$2:$C$622,0)))</f>
        <v/>
      </c>
      <c r="E176">
        <f>IF(ISNA(MATCH(163,Engine!$C$2:$C$622,0)),"",INDEX('Compliance Database'!$E$2:$E$622,MATCH(163,Engine!$C$2:$C$622,0)))</f>
        <v/>
      </c>
      <c r="F176">
        <f>IF(ISNA(MATCH(163,Engine!$C$2:$C$622,0)),"",INDEX('Compliance Database'!$F$2:$F$622,MATCH(163,Engine!$C$2:$C$622,0)))</f>
        <v/>
      </c>
      <c r="G176">
        <f>IF(ISNA(MATCH(163,Engine!$C$2:$C$622,0)),"",INDEX('Compliance Database'!$G$2:$G$622,MATCH(163,Engine!$C$2:$C$622,0)))</f>
        <v/>
      </c>
      <c r="H176">
        <f>IF(ISNA(MATCH(163,Engine!$C$2:$C$622,0)),"",INDEX('Compliance Database'!$H$2:$H$622,MATCH(163,Engine!$C$2:$C$622,0)))</f>
        <v/>
      </c>
      <c r="I176" s="8">
        <f>IF(ISNA(MATCH(163,Engine!$C$2:$C$622,0)),"",INDEX('Compliance Database'!$I$2:$I$622,MATCH(163,Engine!$C$2:$C$622,0)))</f>
        <v/>
      </c>
      <c r="J176" s="8">
        <f>IF(ISNA(MATCH(163,Engine!$C$2:$C$622,0)),"",INDEX('Compliance Database'!$J$2:$J$622,MATCH(163,Engine!$C$2:$C$622,0)))</f>
        <v/>
      </c>
      <c r="K176">
        <f>IF(ISNA(MATCH(163,Engine!$C$2:$C$622,0)),"",INDEX('Compliance Database'!$K$2:$K$622,MATCH(163,Engine!$C$2:$C$622,0)))</f>
        <v/>
      </c>
      <c r="L176" s="8">
        <f>IF(ISNA(MATCH(163,Engine!$C$2:$C$622,0)),"",INDEX('Compliance Database'!$L$2:$L$622,MATCH(163,Engine!$C$2:$C$622,0)))</f>
        <v/>
      </c>
      <c r="M176" s="8">
        <f>IF(ISNA(MATCH(163,Engine!$C$2:$C$622,0)),"",INDEX('Compliance Database'!$M$2:$M$622,MATCH(163,Engine!$C$2:$C$622,0)))</f>
        <v/>
      </c>
      <c r="N176" s="8">
        <f>IF(ISNA(MATCH(163,Engine!$C$2:$C$622,0)),"",INDEX('Compliance Database'!$N$2:$N$622,MATCH(163,Engine!$C$2:$C$622,0)))</f>
        <v/>
      </c>
      <c r="O176" s="8">
        <f>IF(ISNA(MATCH(163,Engine!$C$2:$C$622,0)),"",INDEX('Compliance Database'!$O$2:$O$622,MATCH(163,Engine!$C$2:$C$622,0)))</f>
        <v/>
      </c>
    </row>
    <row r="177">
      <c r="A177">
        <f>IF(ISNA(MATCH(164,Engine!$C$2:$C$622,0)),"",INDEX('Compliance Database'!$A$2:$A$622,MATCH(164,Engine!$C$2:$C$622,0)))</f>
        <v/>
      </c>
      <c r="B177">
        <f>IF(ISNA(MATCH(164,Engine!$C$2:$C$622,0)),"",INDEX('Compliance Database'!$B$2:$B$622,MATCH(164,Engine!$C$2:$C$622,0)))</f>
        <v/>
      </c>
      <c r="C177">
        <f>IF(ISNA(MATCH(164,Engine!$C$2:$C$622,0)),"",INDEX('Compliance Database'!$C$2:$C$622,MATCH(164,Engine!$C$2:$C$622,0)))</f>
        <v/>
      </c>
      <c r="D177" s="8">
        <f>IF(ISNA(MATCH(164,Engine!$C$2:$C$622,0)),"",INDEX('Compliance Database'!$D$2:$D$622,MATCH(164,Engine!$C$2:$C$622,0)))</f>
        <v/>
      </c>
      <c r="E177">
        <f>IF(ISNA(MATCH(164,Engine!$C$2:$C$622,0)),"",INDEX('Compliance Database'!$E$2:$E$622,MATCH(164,Engine!$C$2:$C$622,0)))</f>
        <v/>
      </c>
      <c r="F177">
        <f>IF(ISNA(MATCH(164,Engine!$C$2:$C$622,0)),"",INDEX('Compliance Database'!$F$2:$F$622,MATCH(164,Engine!$C$2:$C$622,0)))</f>
        <v/>
      </c>
      <c r="G177">
        <f>IF(ISNA(MATCH(164,Engine!$C$2:$C$622,0)),"",INDEX('Compliance Database'!$G$2:$G$622,MATCH(164,Engine!$C$2:$C$622,0)))</f>
        <v/>
      </c>
      <c r="H177">
        <f>IF(ISNA(MATCH(164,Engine!$C$2:$C$622,0)),"",INDEX('Compliance Database'!$H$2:$H$622,MATCH(164,Engine!$C$2:$C$622,0)))</f>
        <v/>
      </c>
      <c r="I177" s="8">
        <f>IF(ISNA(MATCH(164,Engine!$C$2:$C$622,0)),"",INDEX('Compliance Database'!$I$2:$I$622,MATCH(164,Engine!$C$2:$C$622,0)))</f>
        <v/>
      </c>
      <c r="J177" s="8">
        <f>IF(ISNA(MATCH(164,Engine!$C$2:$C$622,0)),"",INDEX('Compliance Database'!$J$2:$J$622,MATCH(164,Engine!$C$2:$C$622,0)))</f>
        <v/>
      </c>
      <c r="K177">
        <f>IF(ISNA(MATCH(164,Engine!$C$2:$C$622,0)),"",INDEX('Compliance Database'!$K$2:$K$622,MATCH(164,Engine!$C$2:$C$622,0)))</f>
        <v/>
      </c>
      <c r="L177" s="8">
        <f>IF(ISNA(MATCH(164,Engine!$C$2:$C$622,0)),"",INDEX('Compliance Database'!$L$2:$L$622,MATCH(164,Engine!$C$2:$C$622,0)))</f>
        <v/>
      </c>
      <c r="M177" s="8">
        <f>IF(ISNA(MATCH(164,Engine!$C$2:$C$622,0)),"",INDEX('Compliance Database'!$M$2:$M$622,MATCH(164,Engine!$C$2:$C$622,0)))</f>
        <v/>
      </c>
      <c r="N177" s="8">
        <f>IF(ISNA(MATCH(164,Engine!$C$2:$C$622,0)),"",INDEX('Compliance Database'!$N$2:$N$622,MATCH(164,Engine!$C$2:$C$622,0)))</f>
        <v/>
      </c>
      <c r="O177" s="8">
        <f>IF(ISNA(MATCH(164,Engine!$C$2:$C$622,0)),"",INDEX('Compliance Database'!$O$2:$O$622,MATCH(164,Engine!$C$2:$C$622,0)))</f>
        <v/>
      </c>
    </row>
    <row r="178">
      <c r="A178">
        <f>IF(ISNA(MATCH(165,Engine!$C$2:$C$622,0)),"",INDEX('Compliance Database'!$A$2:$A$622,MATCH(165,Engine!$C$2:$C$622,0)))</f>
        <v/>
      </c>
      <c r="B178">
        <f>IF(ISNA(MATCH(165,Engine!$C$2:$C$622,0)),"",INDEX('Compliance Database'!$B$2:$B$622,MATCH(165,Engine!$C$2:$C$622,0)))</f>
        <v/>
      </c>
      <c r="C178">
        <f>IF(ISNA(MATCH(165,Engine!$C$2:$C$622,0)),"",INDEX('Compliance Database'!$C$2:$C$622,MATCH(165,Engine!$C$2:$C$622,0)))</f>
        <v/>
      </c>
      <c r="D178" s="8">
        <f>IF(ISNA(MATCH(165,Engine!$C$2:$C$622,0)),"",INDEX('Compliance Database'!$D$2:$D$622,MATCH(165,Engine!$C$2:$C$622,0)))</f>
        <v/>
      </c>
      <c r="E178">
        <f>IF(ISNA(MATCH(165,Engine!$C$2:$C$622,0)),"",INDEX('Compliance Database'!$E$2:$E$622,MATCH(165,Engine!$C$2:$C$622,0)))</f>
        <v/>
      </c>
      <c r="F178">
        <f>IF(ISNA(MATCH(165,Engine!$C$2:$C$622,0)),"",INDEX('Compliance Database'!$F$2:$F$622,MATCH(165,Engine!$C$2:$C$622,0)))</f>
        <v/>
      </c>
      <c r="G178">
        <f>IF(ISNA(MATCH(165,Engine!$C$2:$C$622,0)),"",INDEX('Compliance Database'!$G$2:$G$622,MATCH(165,Engine!$C$2:$C$622,0)))</f>
        <v/>
      </c>
      <c r="H178">
        <f>IF(ISNA(MATCH(165,Engine!$C$2:$C$622,0)),"",INDEX('Compliance Database'!$H$2:$H$622,MATCH(165,Engine!$C$2:$C$622,0)))</f>
        <v/>
      </c>
      <c r="I178" s="8">
        <f>IF(ISNA(MATCH(165,Engine!$C$2:$C$622,0)),"",INDEX('Compliance Database'!$I$2:$I$622,MATCH(165,Engine!$C$2:$C$622,0)))</f>
        <v/>
      </c>
      <c r="J178" s="8">
        <f>IF(ISNA(MATCH(165,Engine!$C$2:$C$622,0)),"",INDEX('Compliance Database'!$J$2:$J$622,MATCH(165,Engine!$C$2:$C$622,0)))</f>
        <v/>
      </c>
      <c r="K178">
        <f>IF(ISNA(MATCH(165,Engine!$C$2:$C$622,0)),"",INDEX('Compliance Database'!$K$2:$K$622,MATCH(165,Engine!$C$2:$C$622,0)))</f>
        <v/>
      </c>
      <c r="L178" s="8">
        <f>IF(ISNA(MATCH(165,Engine!$C$2:$C$622,0)),"",INDEX('Compliance Database'!$L$2:$L$622,MATCH(165,Engine!$C$2:$C$622,0)))</f>
        <v/>
      </c>
      <c r="M178" s="8">
        <f>IF(ISNA(MATCH(165,Engine!$C$2:$C$622,0)),"",INDEX('Compliance Database'!$M$2:$M$622,MATCH(165,Engine!$C$2:$C$622,0)))</f>
        <v/>
      </c>
      <c r="N178" s="8">
        <f>IF(ISNA(MATCH(165,Engine!$C$2:$C$622,0)),"",INDEX('Compliance Database'!$N$2:$N$622,MATCH(165,Engine!$C$2:$C$622,0)))</f>
        <v/>
      </c>
      <c r="O178" s="8">
        <f>IF(ISNA(MATCH(165,Engine!$C$2:$C$622,0)),"",INDEX('Compliance Database'!$O$2:$O$622,MATCH(165,Engine!$C$2:$C$622,0)))</f>
        <v/>
      </c>
    </row>
    <row r="179">
      <c r="A179">
        <f>IF(ISNA(MATCH(166,Engine!$C$2:$C$622,0)),"",INDEX('Compliance Database'!$A$2:$A$622,MATCH(166,Engine!$C$2:$C$622,0)))</f>
        <v/>
      </c>
      <c r="B179">
        <f>IF(ISNA(MATCH(166,Engine!$C$2:$C$622,0)),"",INDEX('Compliance Database'!$B$2:$B$622,MATCH(166,Engine!$C$2:$C$622,0)))</f>
        <v/>
      </c>
      <c r="C179">
        <f>IF(ISNA(MATCH(166,Engine!$C$2:$C$622,0)),"",INDEX('Compliance Database'!$C$2:$C$622,MATCH(166,Engine!$C$2:$C$622,0)))</f>
        <v/>
      </c>
      <c r="D179" s="8">
        <f>IF(ISNA(MATCH(166,Engine!$C$2:$C$622,0)),"",INDEX('Compliance Database'!$D$2:$D$622,MATCH(166,Engine!$C$2:$C$622,0)))</f>
        <v/>
      </c>
      <c r="E179">
        <f>IF(ISNA(MATCH(166,Engine!$C$2:$C$622,0)),"",INDEX('Compliance Database'!$E$2:$E$622,MATCH(166,Engine!$C$2:$C$622,0)))</f>
        <v/>
      </c>
      <c r="F179">
        <f>IF(ISNA(MATCH(166,Engine!$C$2:$C$622,0)),"",INDEX('Compliance Database'!$F$2:$F$622,MATCH(166,Engine!$C$2:$C$622,0)))</f>
        <v/>
      </c>
      <c r="G179">
        <f>IF(ISNA(MATCH(166,Engine!$C$2:$C$622,0)),"",INDEX('Compliance Database'!$G$2:$G$622,MATCH(166,Engine!$C$2:$C$622,0)))</f>
        <v/>
      </c>
      <c r="H179">
        <f>IF(ISNA(MATCH(166,Engine!$C$2:$C$622,0)),"",INDEX('Compliance Database'!$H$2:$H$622,MATCH(166,Engine!$C$2:$C$622,0)))</f>
        <v/>
      </c>
      <c r="I179" s="8">
        <f>IF(ISNA(MATCH(166,Engine!$C$2:$C$622,0)),"",INDEX('Compliance Database'!$I$2:$I$622,MATCH(166,Engine!$C$2:$C$622,0)))</f>
        <v/>
      </c>
      <c r="J179" s="8">
        <f>IF(ISNA(MATCH(166,Engine!$C$2:$C$622,0)),"",INDEX('Compliance Database'!$J$2:$J$622,MATCH(166,Engine!$C$2:$C$622,0)))</f>
        <v/>
      </c>
      <c r="K179">
        <f>IF(ISNA(MATCH(166,Engine!$C$2:$C$622,0)),"",INDEX('Compliance Database'!$K$2:$K$622,MATCH(166,Engine!$C$2:$C$622,0)))</f>
        <v/>
      </c>
      <c r="L179" s="8">
        <f>IF(ISNA(MATCH(166,Engine!$C$2:$C$622,0)),"",INDEX('Compliance Database'!$L$2:$L$622,MATCH(166,Engine!$C$2:$C$622,0)))</f>
        <v/>
      </c>
      <c r="M179" s="8">
        <f>IF(ISNA(MATCH(166,Engine!$C$2:$C$622,0)),"",INDEX('Compliance Database'!$M$2:$M$622,MATCH(166,Engine!$C$2:$C$622,0)))</f>
        <v/>
      </c>
      <c r="N179" s="8">
        <f>IF(ISNA(MATCH(166,Engine!$C$2:$C$622,0)),"",INDEX('Compliance Database'!$N$2:$N$622,MATCH(166,Engine!$C$2:$C$622,0)))</f>
        <v/>
      </c>
      <c r="O179" s="8">
        <f>IF(ISNA(MATCH(166,Engine!$C$2:$C$622,0)),"",INDEX('Compliance Database'!$O$2:$O$622,MATCH(166,Engine!$C$2:$C$622,0)))</f>
        <v/>
      </c>
    </row>
    <row r="180">
      <c r="A180">
        <f>IF(ISNA(MATCH(167,Engine!$C$2:$C$622,0)),"",INDEX('Compliance Database'!$A$2:$A$622,MATCH(167,Engine!$C$2:$C$622,0)))</f>
        <v/>
      </c>
      <c r="B180">
        <f>IF(ISNA(MATCH(167,Engine!$C$2:$C$622,0)),"",INDEX('Compliance Database'!$B$2:$B$622,MATCH(167,Engine!$C$2:$C$622,0)))</f>
        <v/>
      </c>
      <c r="C180">
        <f>IF(ISNA(MATCH(167,Engine!$C$2:$C$622,0)),"",INDEX('Compliance Database'!$C$2:$C$622,MATCH(167,Engine!$C$2:$C$622,0)))</f>
        <v/>
      </c>
      <c r="D180" s="8">
        <f>IF(ISNA(MATCH(167,Engine!$C$2:$C$622,0)),"",INDEX('Compliance Database'!$D$2:$D$622,MATCH(167,Engine!$C$2:$C$622,0)))</f>
        <v/>
      </c>
      <c r="E180">
        <f>IF(ISNA(MATCH(167,Engine!$C$2:$C$622,0)),"",INDEX('Compliance Database'!$E$2:$E$622,MATCH(167,Engine!$C$2:$C$622,0)))</f>
        <v/>
      </c>
      <c r="F180">
        <f>IF(ISNA(MATCH(167,Engine!$C$2:$C$622,0)),"",INDEX('Compliance Database'!$F$2:$F$622,MATCH(167,Engine!$C$2:$C$622,0)))</f>
        <v/>
      </c>
      <c r="G180">
        <f>IF(ISNA(MATCH(167,Engine!$C$2:$C$622,0)),"",INDEX('Compliance Database'!$G$2:$G$622,MATCH(167,Engine!$C$2:$C$622,0)))</f>
        <v/>
      </c>
      <c r="H180">
        <f>IF(ISNA(MATCH(167,Engine!$C$2:$C$622,0)),"",INDEX('Compliance Database'!$H$2:$H$622,MATCH(167,Engine!$C$2:$C$622,0)))</f>
        <v/>
      </c>
      <c r="I180" s="8">
        <f>IF(ISNA(MATCH(167,Engine!$C$2:$C$622,0)),"",INDEX('Compliance Database'!$I$2:$I$622,MATCH(167,Engine!$C$2:$C$622,0)))</f>
        <v/>
      </c>
      <c r="J180" s="8">
        <f>IF(ISNA(MATCH(167,Engine!$C$2:$C$622,0)),"",INDEX('Compliance Database'!$J$2:$J$622,MATCH(167,Engine!$C$2:$C$622,0)))</f>
        <v/>
      </c>
      <c r="K180">
        <f>IF(ISNA(MATCH(167,Engine!$C$2:$C$622,0)),"",INDEX('Compliance Database'!$K$2:$K$622,MATCH(167,Engine!$C$2:$C$622,0)))</f>
        <v/>
      </c>
      <c r="L180" s="8">
        <f>IF(ISNA(MATCH(167,Engine!$C$2:$C$622,0)),"",INDEX('Compliance Database'!$L$2:$L$622,MATCH(167,Engine!$C$2:$C$622,0)))</f>
        <v/>
      </c>
      <c r="M180" s="8">
        <f>IF(ISNA(MATCH(167,Engine!$C$2:$C$622,0)),"",INDEX('Compliance Database'!$M$2:$M$622,MATCH(167,Engine!$C$2:$C$622,0)))</f>
        <v/>
      </c>
      <c r="N180" s="8">
        <f>IF(ISNA(MATCH(167,Engine!$C$2:$C$622,0)),"",INDEX('Compliance Database'!$N$2:$N$622,MATCH(167,Engine!$C$2:$C$622,0)))</f>
        <v/>
      </c>
      <c r="O180" s="8">
        <f>IF(ISNA(MATCH(167,Engine!$C$2:$C$622,0)),"",INDEX('Compliance Database'!$O$2:$O$622,MATCH(167,Engine!$C$2:$C$622,0)))</f>
        <v/>
      </c>
    </row>
    <row r="181">
      <c r="A181">
        <f>IF(ISNA(MATCH(168,Engine!$C$2:$C$622,0)),"",INDEX('Compliance Database'!$A$2:$A$622,MATCH(168,Engine!$C$2:$C$622,0)))</f>
        <v/>
      </c>
      <c r="B181">
        <f>IF(ISNA(MATCH(168,Engine!$C$2:$C$622,0)),"",INDEX('Compliance Database'!$B$2:$B$622,MATCH(168,Engine!$C$2:$C$622,0)))</f>
        <v/>
      </c>
      <c r="C181">
        <f>IF(ISNA(MATCH(168,Engine!$C$2:$C$622,0)),"",INDEX('Compliance Database'!$C$2:$C$622,MATCH(168,Engine!$C$2:$C$622,0)))</f>
        <v/>
      </c>
      <c r="D181" s="8">
        <f>IF(ISNA(MATCH(168,Engine!$C$2:$C$622,0)),"",INDEX('Compliance Database'!$D$2:$D$622,MATCH(168,Engine!$C$2:$C$622,0)))</f>
        <v/>
      </c>
      <c r="E181">
        <f>IF(ISNA(MATCH(168,Engine!$C$2:$C$622,0)),"",INDEX('Compliance Database'!$E$2:$E$622,MATCH(168,Engine!$C$2:$C$622,0)))</f>
        <v/>
      </c>
      <c r="F181">
        <f>IF(ISNA(MATCH(168,Engine!$C$2:$C$622,0)),"",INDEX('Compliance Database'!$F$2:$F$622,MATCH(168,Engine!$C$2:$C$622,0)))</f>
        <v/>
      </c>
      <c r="G181">
        <f>IF(ISNA(MATCH(168,Engine!$C$2:$C$622,0)),"",INDEX('Compliance Database'!$G$2:$G$622,MATCH(168,Engine!$C$2:$C$622,0)))</f>
        <v/>
      </c>
      <c r="H181">
        <f>IF(ISNA(MATCH(168,Engine!$C$2:$C$622,0)),"",INDEX('Compliance Database'!$H$2:$H$622,MATCH(168,Engine!$C$2:$C$622,0)))</f>
        <v/>
      </c>
      <c r="I181" s="8">
        <f>IF(ISNA(MATCH(168,Engine!$C$2:$C$622,0)),"",INDEX('Compliance Database'!$I$2:$I$622,MATCH(168,Engine!$C$2:$C$622,0)))</f>
        <v/>
      </c>
      <c r="J181" s="8">
        <f>IF(ISNA(MATCH(168,Engine!$C$2:$C$622,0)),"",INDEX('Compliance Database'!$J$2:$J$622,MATCH(168,Engine!$C$2:$C$622,0)))</f>
        <v/>
      </c>
      <c r="K181">
        <f>IF(ISNA(MATCH(168,Engine!$C$2:$C$622,0)),"",INDEX('Compliance Database'!$K$2:$K$622,MATCH(168,Engine!$C$2:$C$622,0)))</f>
        <v/>
      </c>
      <c r="L181" s="8">
        <f>IF(ISNA(MATCH(168,Engine!$C$2:$C$622,0)),"",INDEX('Compliance Database'!$L$2:$L$622,MATCH(168,Engine!$C$2:$C$622,0)))</f>
        <v/>
      </c>
      <c r="M181" s="8">
        <f>IF(ISNA(MATCH(168,Engine!$C$2:$C$622,0)),"",INDEX('Compliance Database'!$M$2:$M$622,MATCH(168,Engine!$C$2:$C$622,0)))</f>
        <v/>
      </c>
      <c r="N181" s="8">
        <f>IF(ISNA(MATCH(168,Engine!$C$2:$C$622,0)),"",INDEX('Compliance Database'!$N$2:$N$622,MATCH(168,Engine!$C$2:$C$622,0)))</f>
        <v/>
      </c>
      <c r="O181" s="8">
        <f>IF(ISNA(MATCH(168,Engine!$C$2:$C$622,0)),"",INDEX('Compliance Database'!$O$2:$O$622,MATCH(168,Engine!$C$2:$C$622,0)))</f>
        <v/>
      </c>
    </row>
    <row r="182">
      <c r="A182">
        <f>IF(ISNA(MATCH(169,Engine!$C$2:$C$622,0)),"",INDEX('Compliance Database'!$A$2:$A$622,MATCH(169,Engine!$C$2:$C$622,0)))</f>
        <v/>
      </c>
      <c r="B182">
        <f>IF(ISNA(MATCH(169,Engine!$C$2:$C$622,0)),"",INDEX('Compliance Database'!$B$2:$B$622,MATCH(169,Engine!$C$2:$C$622,0)))</f>
        <v/>
      </c>
      <c r="C182">
        <f>IF(ISNA(MATCH(169,Engine!$C$2:$C$622,0)),"",INDEX('Compliance Database'!$C$2:$C$622,MATCH(169,Engine!$C$2:$C$622,0)))</f>
        <v/>
      </c>
      <c r="D182" s="8">
        <f>IF(ISNA(MATCH(169,Engine!$C$2:$C$622,0)),"",INDEX('Compliance Database'!$D$2:$D$622,MATCH(169,Engine!$C$2:$C$622,0)))</f>
        <v/>
      </c>
      <c r="E182">
        <f>IF(ISNA(MATCH(169,Engine!$C$2:$C$622,0)),"",INDEX('Compliance Database'!$E$2:$E$622,MATCH(169,Engine!$C$2:$C$622,0)))</f>
        <v/>
      </c>
      <c r="F182">
        <f>IF(ISNA(MATCH(169,Engine!$C$2:$C$622,0)),"",INDEX('Compliance Database'!$F$2:$F$622,MATCH(169,Engine!$C$2:$C$622,0)))</f>
        <v/>
      </c>
      <c r="G182">
        <f>IF(ISNA(MATCH(169,Engine!$C$2:$C$622,0)),"",INDEX('Compliance Database'!$G$2:$G$622,MATCH(169,Engine!$C$2:$C$622,0)))</f>
        <v/>
      </c>
      <c r="H182">
        <f>IF(ISNA(MATCH(169,Engine!$C$2:$C$622,0)),"",INDEX('Compliance Database'!$H$2:$H$622,MATCH(169,Engine!$C$2:$C$622,0)))</f>
        <v/>
      </c>
      <c r="I182" s="8">
        <f>IF(ISNA(MATCH(169,Engine!$C$2:$C$622,0)),"",INDEX('Compliance Database'!$I$2:$I$622,MATCH(169,Engine!$C$2:$C$622,0)))</f>
        <v/>
      </c>
      <c r="J182" s="8">
        <f>IF(ISNA(MATCH(169,Engine!$C$2:$C$622,0)),"",INDEX('Compliance Database'!$J$2:$J$622,MATCH(169,Engine!$C$2:$C$622,0)))</f>
        <v/>
      </c>
      <c r="K182">
        <f>IF(ISNA(MATCH(169,Engine!$C$2:$C$622,0)),"",INDEX('Compliance Database'!$K$2:$K$622,MATCH(169,Engine!$C$2:$C$622,0)))</f>
        <v/>
      </c>
      <c r="L182" s="8">
        <f>IF(ISNA(MATCH(169,Engine!$C$2:$C$622,0)),"",INDEX('Compliance Database'!$L$2:$L$622,MATCH(169,Engine!$C$2:$C$622,0)))</f>
        <v/>
      </c>
      <c r="M182" s="8">
        <f>IF(ISNA(MATCH(169,Engine!$C$2:$C$622,0)),"",INDEX('Compliance Database'!$M$2:$M$622,MATCH(169,Engine!$C$2:$C$622,0)))</f>
        <v/>
      </c>
      <c r="N182" s="8">
        <f>IF(ISNA(MATCH(169,Engine!$C$2:$C$622,0)),"",INDEX('Compliance Database'!$N$2:$N$622,MATCH(169,Engine!$C$2:$C$622,0)))</f>
        <v/>
      </c>
      <c r="O182" s="8">
        <f>IF(ISNA(MATCH(169,Engine!$C$2:$C$622,0)),"",INDEX('Compliance Database'!$O$2:$O$622,MATCH(169,Engine!$C$2:$C$622,0)))</f>
        <v/>
      </c>
    </row>
    <row r="183">
      <c r="A183">
        <f>IF(ISNA(MATCH(170,Engine!$C$2:$C$622,0)),"",INDEX('Compliance Database'!$A$2:$A$622,MATCH(170,Engine!$C$2:$C$622,0)))</f>
        <v/>
      </c>
      <c r="B183">
        <f>IF(ISNA(MATCH(170,Engine!$C$2:$C$622,0)),"",INDEX('Compliance Database'!$B$2:$B$622,MATCH(170,Engine!$C$2:$C$622,0)))</f>
        <v/>
      </c>
      <c r="C183">
        <f>IF(ISNA(MATCH(170,Engine!$C$2:$C$622,0)),"",INDEX('Compliance Database'!$C$2:$C$622,MATCH(170,Engine!$C$2:$C$622,0)))</f>
        <v/>
      </c>
      <c r="D183" s="8">
        <f>IF(ISNA(MATCH(170,Engine!$C$2:$C$622,0)),"",INDEX('Compliance Database'!$D$2:$D$622,MATCH(170,Engine!$C$2:$C$622,0)))</f>
        <v/>
      </c>
      <c r="E183">
        <f>IF(ISNA(MATCH(170,Engine!$C$2:$C$622,0)),"",INDEX('Compliance Database'!$E$2:$E$622,MATCH(170,Engine!$C$2:$C$622,0)))</f>
        <v/>
      </c>
      <c r="F183">
        <f>IF(ISNA(MATCH(170,Engine!$C$2:$C$622,0)),"",INDEX('Compliance Database'!$F$2:$F$622,MATCH(170,Engine!$C$2:$C$622,0)))</f>
        <v/>
      </c>
      <c r="G183">
        <f>IF(ISNA(MATCH(170,Engine!$C$2:$C$622,0)),"",INDEX('Compliance Database'!$G$2:$G$622,MATCH(170,Engine!$C$2:$C$622,0)))</f>
        <v/>
      </c>
      <c r="H183">
        <f>IF(ISNA(MATCH(170,Engine!$C$2:$C$622,0)),"",INDEX('Compliance Database'!$H$2:$H$622,MATCH(170,Engine!$C$2:$C$622,0)))</f>
        <v/>
      </c>
      <c r="I183" s="8">
        <f>IF(ISNA(MATCH(170,Engine!$C$2:$C$622,0)),"",INDEX('Compliance Database'!$I$2:$I$622,MATCH(170,Engine!$C$2:$C$622,0)))</f>
        <v/>
      </c>
      <c r="J183" s="8">
        <f>IF(ISNA(MATCH(170,Engine!$C$2:$C$622,0)),"",INDEX('Compliance Database'!$J$2:$J$622,MATCH(170,Engine!$C$2:$C$622,0)))</f>
        <v/>
      </c>
      <c r="K183">
        <f>IF(ISNA(MATCH(170,Engine!$C$2:$C$622,0)),"",INDEX('Compliance Database'!$K$2:$K$622,MATCH(170,Engine!$C$2:$C$622,0)))</f>
        <v/>
      </c>
      <c r="L183" s="8">
        <f>IF(ISNA(MATCH(170,Engine!$C$2:$C$622,0)),"",INDEX('Compliance Database'!$L$2:$L$622,MATCH(170,Engine!$C$2:$C$622,0)))</f>
        <v/>
      </c>
      <c r="M183" s="8">
        <f>IF(ISNA(MATCH(170,Engine!$C$2:$C$622,0)),"",INDEX('Compliance Database'!$M$2:$M$622,MATCH(170,Engine!$C$2:$C$622,0)))</f>
        <v/>
      </c>
      <c r="N183" s="8">
        <f>IF(ISNA(MATCH(170,Engine!$C$2:$C$622,0)),"",INDEX('Compliance Database'!$N$2:$N$622,MATCH(170,Engine!$C$2:$C$622,0)))</f>
        <v/>
      </c>
      <c r="O183" s="8">
        <f>IF(ISNA(MATCH(170,Engine!$C$2:$C$622,0)),"",INDEX('Compliance Database'!$O$2:$O$622,MATCH(170,Engine!$C$2:$C$622,0)))</f>
        <v/>
      </c>
    </row>
    <row r="184">
      <c r="A184">
        <f>IF(ISNA(MATCH(171,Engine!$C$2:$C$622,0)),"",INDEX('Compliance Database'!$A$2:$A$622,MATCH(171,Engine!$C$2:$C$622,0)))</f>
        <v/>
      </c>
      <c r="B184">
        <f>IF(ISNA(MATCH(171,Engine!$C$2:$C$622,0)),"",INDEX('Compliance Database'!$B$2:$B$622,MATCH(171,Engine!$C$2:$C$622,0)))</f>
        <v/>
      </c>
      <c r="C184">
        <f>IF(ISNA(MATCH(171,Engine!$C$2:$C$622,0)),"",INDEX('Compliance Database'!$C$2:$C$622,MATCH(171,Engine!$C$2:$C$622,0)))</f>
        <v/>
      </c>
      <c r="D184" s="8">
        <f>IF(ISNA(MATCH(171,Engine!$C$2:$C$622,0)),"",INDEX('Compliance Database'!$D$2:$D$622,MATCH(171,Engine!$C$2:$C$622,0)))</f>
        <v/>
      </c>
      <c r="E184">
        <f>IF(ISNA(MATCH(171,Engine!$C$2:$C$622,0)),"",INDEX('Compliance Database'!$E$2:$E$622,MATCH(171,Engine!$C$2:$C$622,0)))</f>
        <v/>
      </c>
      <c r="F184">
        <f>IF(ISNA(MATCH(171,Engine!$C$2:$C$622,0)),"",INDEX('Compliance Database'!$F$2:$F$622,MATCH(171,Engine!$C$2:$C$622,0)))</f>
        <v/>
      </c>
      <c r="G184">
        <f>IF(ISNA(MATCH(171,Engine!$C$2:$C$622,0)),"",INDEX('Compliance Database'!$G$2:$G$622,MATCH(171,Engine!$C$2:$C$622,0)))</f>
        <v/>
      </c>
      <c r="H184">
        <f>IF(ISNA(MATCH(171,Engine!$C$2:$C$622,0)),"",INDEX('Compliance Database'!$H$2:$H$622,MATCH(171,Engine!$C$2:$C$622,0)))</f>
        <v/>
      </c>
      <c r="I184" s="8">
        <f>IF(ISNA(MATCH(171,Engine!$C$2:$C$622,0)),"",INDEX('Compliance Database'!$I$2:$I$622,MATCH(171,Engine!$C$2:$C$622,0)))</f>
        <v/>
      </c>
      <c r="J184" s="8">
        <f>IF(ISNA(MATCH(171,Engine!$C$2:$C$622,0)),"",INDEX('Compliance Database'!$J$2:$J$622,MATCH(171,Engine!$C$2:$C$622,0)))</f>
        <v/>
      </c>
      <c r="K184">
        <f>IF(ISNA(MATCH(171,Engine!$C$2:$C$622,0)),"",INDEX('Compliance Database'!$K$2:$K$622,MATCH(171,Engine!$C$2:$C$622,0)))</f>
        <v/>
      </c>
      <c r="L184" s="8">
        <f>IF(ISNA(MATCH(171,Engine!$C$2:$C$622,0)),"",INDEX('Compliance Database'!$L$2:$L$622,MATCH(171,Engine!$C$2:$C$622,0)))</f>
        <v/>
      </c>
      <c r="M184" s="8">
        <f>IF(ISNA(MATCH(171,Engine!$C$2:$C$622,0)),"",INDEX('Compliance Database'!$M$2:$M$622,MATCH(171,Engine!$C$2:$C$622,0)))</f>
        <v/>
      </c>
      <c r="N184" s="8">
        <f>IF(ISNA(MATCH(171,Engine!$C$2:$C$622,0)),"",INDEX('Compliance Database'!$N$2:$N$622,MATCH(171,Engine!$C$2:$C$622,0)))</f>
        <v/>
      </c>
      <c r="O184" s="8">
        <f>IF(ISNA(MATCH(171,Engine!$C$2:$C$622,0)),"",INDEX('Compliance Database'!$O$2:$O$622,MATCH(171,Engine!$C$2:$C$622,0)))</f>
        <v/>
      </c>
    </row>
    <row r="185">
      <c r="A185">
        <f>IF(ISNA(MATCH(172,Engine!$C$2:$C$622,0)),"",INDEX('Compliance Database'!$A$2:$A$622,MATCH(172,Engine!$C$2:$C$622,0)))</f>
        <v/>
      </c>
      <c r="B185">
        <f>IF(ISNA(MATCH(172,Engine!$C$2:$C$622,0)),"",INDEX('Compliance Database'!$B$2:$B$622,MATCH(172,Engine!$C$2:$C$622,0)))</f>
        <v/>
      </c>
      <c r="C185">
        <f>IF(ISNA(MATCH(172,Engine!$C$2:$C$622,0)),"",INDEX('Compliance Database'!$C$2:$C$622,MATCH(172,Engine!$C$2:$C$622,0)))</f>
        <v/>
      </c>
      <c r="D185" s="8">
        <f>IF(ISNA(MATCH(172,Engine!$C$2:$C$622,0)),"",INDEX('Compliance Database'!$D$2:$D$622,MATCH(172,Engine!$C$2:$C$622,0)))</f>
        <v/>
      </c>
      <c r="E185">
        <f>IF(ISNA(MATCH(172,Engine!$C$2:$C$622,0)),"",INDEX('Compliance Database'!$E$2:$E$622,MATCH(172,Engine!$C$2:$C$622,0)))</f>
        <v/>
      </c>
      <c r="F185">
        <f>IF(ISNA(MATCH(172,Engine!$C$2:$C$622,0)),"",INDEX('Compliance Database'!$F$2:$F$622,MATCH(172,Engine!$C$2:$C$622,0)))</f>
        <v/>
      </c>
      <c r="G185">
        <f>IF(ISNA(MATCH(172,Engine!$C$2:$C$622,0)),"",INDEX('Compliance Database'!$G$2:$G$622,MATCH(172,Engine!$C$2:$C$622,0)))</f>
        <v/>
      </c>
      <c r="H185">
        <f>IF(ISNA(MATCH(172,Engine!$C$2:$C$622,0)),"",INDEX('Compliance Database'!$H$2:$H$622,MATCH(172,Engine!$C$2:$C$622,0)))</f>
        <v/>
      </c>
      <c r="I185" s="8">
        <f>IF(ISNA(MATCH(172,Engine!$C$2:$C$622,0)),"",INDEX('Compliance Database'!$I$2:$I$622,MATCH(172,Engine!$C$2:$C$622,0)))</f>
        <v/>
      </c>
      <c r="J185" s="8">
        <f>IF(ISNA(MATCH(172,Engine!$C$2:$C$622,0)),"",INDEX('Compliance Database'!$J$2:$J$622,MATCH(172,Engine!$C$2:$C$622,0)))</f>
        <v/>
      </c>
      <c r="K185">
        <f>IF(ISNA(MATCH(172,Engine!$C$2:$C$622,0)),"",INDEX('Compliance Database'!$K$2:$K$622,MATCH(172,Engine!$C$2:$C$622,0)))</f>
        <v/>
      </c>
      <c r="L185" s="8">
        <f>IF(ISNA(MATCH(172,Engine!$C$2:$C$622,0)),"",INDEX('Compliance Database'!$L$2:$L$622,MATCH(172,Engine!$C$2:$C$622,0)))</f>
        <v/>
      </c>
      <c r="M185" s="8">
        <f>IF(ISNA(MATCH(172,Engine!$C$2:$C$622,0)),"",INDEX('Compliance Database'!$M$2:$M$622,MATCH(172,Engine!$C$2:$C$622,0)))</f>
        <v/>
      </c>
      <c r="N185" s="8">
        <f>IF(ISNA(MATCH(172,Engine!$C$2:$C$622,0)),"",INDEX('Compliance Database'!$N$2:$N$622,MATCH(172,Engine!$C$2:$C$622,0)))</f>
        <v/>
      </c>
      <c r="O185" s="8">
        <f>IF(ISNA(MATCH(172,Engine!$C$2:$C$622,0)),"",INDEX('Compliance Database'!$O$2:$O$622,MATCH(172,Engine!$C$2:$C$622,0)))</f>
        <v/>
      </c>
    </row>
    <row r="186">
      <c r="A186">
        <f>IF(ISNA(MATCH(173,Engine!$C$2:$C$622,0)),"",INDEX('Compliance Database'!$A$2:$A$622,MATCH(173,Engine!$C$2:$C$622,0)))</f>
        <v/>
      </c>
      <c r="B186">
        <f>IF(ISNA(MATCH(173,Engine!$C$2:$C$622,0)),"",INDEX('Compliance Database'!$B$2:$B$622,MATCH(173,Engine!$C$2:$C$622,0)))</f>
        <v/>
      </c>
      <c r="C186">
        <f>IF(ISNA(MATCH(173,Engine!$C$2:$C$622,0)),"",INDEX('Compliance Database'!$C$2:$C$622,MATCH(173,Engine!$C$2:$C$622,0)))</f>
        <v/>
      </c>
      <c r="D186" s="8">
        <f>IF(ISNA(MATCH(173,Engine!$C$2:$C$622,0)),"",INDEX('Compliance Database'!$D$2:$D$622,MATCH(173,Engine!$C$2:$C$622,0)))</f>
        <v/>
      </c>
      <c r="E186">
        <f>IF(ISNA(MATCH(173,Engine!$C$2:$C$622,0)),"",INDEX('Compliance Database'!$E$2:$E$622,MATCH(173,Engine!$C$2:$C$622,0)))</f>
        <v/>
      </c>
      <c r="F186">
        <f>IF(ISNA(MATCH(173,Engine!$C$2:$C$622,0)),"",INDEX('Compliance Database'!$F$2:$F$622,MATCH(173,Engine!$C$2:$C$622,0)))</f>
        <v/>
      </c>
      <c r="G186">
        <f>IF(ISNA(MATCH(173,Engine!$C$2:$C$622,0)),"",INDEX('Compliance Database'!$G$2:$G$622,MATCH(173,Engine!$C$2:$C$622,0)))</f>
        <v/>
      </c>
      <c r="H186">
        <f>IF(ISNA(MATCH(173,Engine!$C$2:$C$622,0)),"",INDEX('Compliance Database'!$H$2:$H$622,MATCH(173,Engine!$C$2:$C$622,0)))</f>
        <v/>
      </c>
      <c r="I186" s="8">
        <f>IF(ISNA(MATCH(173,Engine!$C$2:$C$622,0)),"",INDEX('Compliance Database'!$I$2:$I$622,MATCH(173,Engine!$C$2:$C$622,0)))</f>
        <v/>
      </c>
      <c r="J186" s="8">
        <f>IF(ISNA(MATCH(173,Engine!$C$2:$C$622,0)),"",INDEX('Compliance Database'!$J$2:$J$622,MATCH(173,Engine!$C$2:$C$622,0)))</f>
        <v/>
      </c>
      <c r="K186">
        <f>IF(ISNA(MATCH(173,Engine!$C$2:$C$622,0)),"",INDEX('Compliance Database'!$K$2:$K$622,MATCH(173,Engine!$C$2:$C$622,0)))</f>
        <v/>
      </c>
      <c r="L186" s="8">
        <f>IF(ISNA(MATCH(173,Engine!$C$2:$C$622,0)),"",INDEX('Compliance Database'!$L$2:$L$622,MATCH(173,Engine!$C$2:$C$622,0)))</f>
        <v/>
      </c>
      <c r="M186" s="8">
        <f>IF(ISNA(MATCH(173,Engine!$C$2:$C$622,0)),"",INDEX('Compliance Database'!$M$2:$M$622,MATCH(173,Engine!$C$2:$C$622,0)))</f>
        <v/>
      </c>
      <c r="N186" s="8">
        <f>IF(ISNA(MATCH(173,Engine!$C$2:$C$622,0)),"",INDEX('Compliance Database'!$N$2:$N$622,MATCH(173,Engine!$C$2:$C$622,0)))</f>
        <v/>
      </c>
      <c r="O186" s="8">
        <f>IF(ISNA(MATCH(173,Engine!$C$2:$C$622,0)),"",INDEX('Compliance Database'!$O$2:$O$622,MATCH(173,Engine!$C$2:$C$622,0)))</f>
        <v/>
      </c>
    </row>
    <row r="187">
      <c r="A187">
        <f>IF(ISNA(MATCH(174,Engine!$C$2:$C$622,0)),"",INDEX('Compliance Database'!$A$2:$A$622,MATCH(174,Engine!$C$2:$C$622,0)))</f>
        <v/>
      </c>
      <c r="B187">
        <f>IF(ISNA(MATCH(174,Engine!$C$2:$C$622,0)),"",INDEX('Compliance Database'!$B$2:$B$622,MATCH(174,Engine!$C$2:$C$622,0)))</f>
        <v/>
      </c>
      <c r="C187">
        <f>IF(ISNA(MATCH(174,Engine!$C$2:$C$622,0)),"",INDEX('Compliance Database'!$C$2:$C$622,MATCH(174,Engine!$C$2:$C$622,0)))</f>
        <v/>
      </c>
      <c r="D187" s="8">
        <f>IF(ISNA(MATCH(174,Engine!$C$2:$C$622,0)),"",INDEX('Compliance Database'!$D$2:$D$622,MATCH(174,Engine!$C$2:$C$622,0)))</f>
        <v/>
      </c>
      <c r="E187">
        <f>IF(ISNA(MATCH(174,Engine!$C$2:$C$622,0)),"",INDEX('Compliance Database'!$E$2:$E$622,MATCH(174,Engine!$C$2:$C$622,0)))</f>
        <v/>
      </c>
      <c r="F187">
        <f>IF(ISNA(MATCH(174,Engine!$C$2:$C$622,0)),"",INDEX('Compliance Database'!$F$2:$F$622,MATCH(174,Engine!$C$2:$C$622,0)))</f>
        <v/>
      </c>
      <c r="G187">
        <f>IF(ISNA(MATCH(174,Engine!$C$2:$C$622,0)),"",INDEX('Compliance Database'!$G$2:$G$622,MATCH(174,Engine!$C$2:$C$622,0)))</f>
        <v/>
      </c>
      <c r="H187">
        <f>IF(ISNA(MATCH(174,Engine!$C$2:$C$622,0)),"",INDEX('Compliance Database'!$H$2:$H$622,MATCH(174,Engine!$C$2:$C$622,0)))</f>
        <v/>
      </c>
      <c r="I187" s="8">
        <f>IF(ISNA(MATCH(174,Engine!$C$2:$C$622,0)),"",INDEX('Compliance Database'!$I$2:$I$622,MATCH(174,Engine!$C$2:$C$622,0)))</f>
        <v/>
      </c>
      <c r="J187" s="8">
        <f>IF(ISNA(MATCH(174,Engine!$C$2:$C$622,0)),"",INDEX('Compliance Database'!$J$2:$J$622,MATCH(174,Engine!$C$2:$C$622,0)))</f>
        <v/>
      </c>
      <c r="K187">
        <f>IF(ISNA(MATCH(174,Engine!$C$2:$C$622,0)),"",INDEX('Compliance Database'!$K$2:$K$622,MATCH(174,Engine!$C$2:$C$622,0)))</f>
        <v/>
      </c>
      <c r="L187" s="8">
        <f>IF(ISNA(MATCH(174,Engine!$C$2:$C$622,0)),"",INDEX('Compliance Database'!$L$2:$L$622,MATCH(174,Engine!$C$2:$C$622,0)))</f>
        <v/>
      </c>
      <c r="M187" s="8">
        <f>IF(ISNA(MATCH(174,Engine!$C$2:$C$622,0)),"",INDEX('Compliance Database'!$M$2:$M$622,MATCH(174,Engine!$C$2:$C$622,0)))</f>
        <v/>
      </c>
      <c r="N187" s="8">
        <f>IF(ISNA(MATCH(174,Engine!$C$2:$C$622,0)),"",INDEX('Compliance Database'!$N$2:$N$622,MATCH(174,Engine!$C$2:$C$622,0)))</f>
        <v/>
      </c>
      <c r="O187" s="8">
        <f>IF(ISNA(MATCH(174,Engine!$C$2:$C$622,0)),"",INDEX('Compliance Database'!$O$2:$O$622,MATCH(174,Engine!$C$2:$C$622,0)))</f>
        <v/>
      </c>
    </row>
    <row r="188">
      <c r="A188">
        <f>IF(ISNA(MATCH(175,Engine!$C$2:$C$622,0)),"",INDEX('Compliance Database'!$A$2:$A$622,MATCH(175,Engine!$C$2:$C$622,0)))</f>
        <v/>
      </c>
      <c r="B188">
        <f>IF(ISNA(MATCH(175,Engine!$C$2:$C$622,0)),"",INDEX('Compliance Database'!$B$2:$B$622,MATCH(175,Engine!$C$2:$C$622,0)))</f>
        <v/>
      </c>
      <c r="C188">
        <f>IF(ISNA(MATCH(175,Engine!$C$2:$C$622,0)),"",INDEX('Compliance Database'!$C$2:$C$622,MATCH(175,Engine!$C$2:$C$622,0)))</f>
        <v/>
      </c>
      <c r="D188" s="8">
        <f>IF(ISNA(MATCH(175,Engine!$C$2:$C$622,0)),"",INDEX('Compliance Database'!$D$2:$D$622,MATCH(175,Engine!$C$2:$C$622,0)))</f>
        <v/>
      </c>
      <c r="E188">
        <f>IF(ISNA(MATCH(175,Engine!$C$2:$C$622,0)),"",INDEX('Compliance Database'!$E$2:$E$622,MATCH(175,Engine!$C$2:$C$622,0)))</f>
        <v/>
      </c>
      <c r="F188">
        <f>IF(ISNA(MATCH(175,Engine!$C$2:$C$622,0)),"",INDEX('Compliance Database'!$F$2:$F$622,MATCH(175,Engine!$C$2:$C$622,0)))</f>
        <v/>
      </c>
      <c r="G188">
        <f>IF(ISNA(MATCH(175,Engine!$C$2:$C$622,0)),"",INDEX('Compliance Database'!$G$2:$G$622,MATCH(175,Engine!$C$2:$C$622,0)))</f>
        <v/>
      </c>
      <c r="H188">
        <f>IF(ISNA(MATCH(175,Engine!$C$2:$C$622,0)),"",INDEX('Compliance Database'!$H$2:$H$622,MATCH(175,Engine!$C$2:$C$622,0)))</f>
        <v/>
      </c>
      <c r="I188" s="8">
        <f>IF(ISNA(MATCH(175,Engine!$C$2:$C$622,0)),"",INDEX('Compliance Database'!$I$2:$I$622,MATCH(175,Engine!$C$2:$C$622,0)))</f>
        <v/>
      </c>
      <c r="J188" s="8">
        <f>IF(ISNA(MATCH(175,Engine!$C$2:$C$622,0)),"",INDEX('Compliance Database'!$J$2:$J$622,MATCH(175,Engine!$C$2:$C$622,0)))</f>
        <v/>
      </c>
      <c r="K188">
        <f>IF(ISNA(MATCH(175,Engine!$C$2:$C$622,0)),"",INDEX('Compliance Database'!$K$2:$K$622,MATCH(175,Engine!$C$2:$C$622,0)))</f>
        <v/>
      </c>
      <c r="L188" s="8">
        <f>IF(ISNA(MATCH(175,Engine!$C$2:$C$622,0)),"",INDEX('Compliance Database'!$L$2:$L$622,MATCH(175,Engine!$C$2:$C$622,0)))</f>
        <v/>
      </c>
      <c r="M188" s="8">
        <f>IF(ISNA(MATCH(175,Engine!$C$2:$C$622,0)),"",INDEX('Compliance Database'!$M$2:$M$622,MATCH(175,Engine!$C$2:$C$622,0)))</f>
        <v/>
      </c>
      <c r="N188" s="8">
        <f>IF(ISNA(MATCH(175,Engine!$C$2:$C$622,0)),"",INDEX('Compliance Database'!$N$2:$N$622,MATCH(175,Engine!$C$2:$C$622,0)))</f>
        <v/>
      </c>
      <c r="O188" s="8">
        <f>IF(ISNA(MATCH(175,Engine!$C$2:$C$622,0)),"",INDEX('Compliance Database'!$O$2:$O$622,MATCH(175,Engine!$C$2:$C$622,0)))</f>
        <v/>
      </c>
    </row>
    <row r="189">
      <c r="A189">
        <f>IF(ISNA(MATCH(176,Engine!$C$2:$C$622,0)),"",INDEX('Compliance Database'!$A$2:$A$622,MATCH(176,Engine!$C$2:$C$622,0)))</f>
        <v/>
      </c>
      <c r="B189">
        <f>IF(ISNA(MATCH(176,Engine!$C$2:$C$622,0)),"",INDEX('Compliance Database'!$B$2:$B$622,MATCH(176,Engine!$C$2:$C$622,0)))</f>
        <v/>
      </c>
      <c r="C189">
        <f>IF(ISNA(MATCH(176,Engine!$C$2:$C$622,0)),"",INDEX('Compliance Database'!$C$2:$C$622,MATCH(176,Engine!$C$2:$C$622,0)))</f>
        <v/>
      </c>
      <c r="D189" s="8">
        <f>IF(ISNA(MATCH(176,Engine!$C$2:$C$622,0)),"",INDEX('Compliance Database'!$D$2:$D$622,MATCH(176,Engine!$C$2:$C$622,0)))</f>
        <v/>
      </c>
      <c r="E189">
        <f>IF(ISNA(MATCH(176,Engine!$C$2:$C$622,0)),"",INDEX('Compliance Database'!$E$2:$E$622,MATCH(176,Engine!$C$2:$C$622,0)))</f>
        <v/>
      </c>
      <c r="F189">
        <f>IF(ISNA(MATCH(176,Engine!$C$2:$C$622,0)),"",INDEX('Compliance Database'!$F$2:$F$622,MATCH(176,Engine!$C$2:$C$622,0)))</f>
        <v/>
      </c>
      <c r="G189">
        <f>IF(ISNA(MATCH(176,Engine!$C$2:$C$622,0)),"",INDEX('Compliance Database'!$G$2:$G$622,MATCH(176,Engine!$C$2:$C$622,0)))</f>
        <v/>
      </c>
      <c r="H189">
        <f>IF(ISNA(MATCH(176,Engine!$C$2:$C$622,0)),"",INDEX('Compliance Database'!$H$2:$H$622,MATCH(176,Engine!$C$2:$C$622,0)))</f>
        <v/>
      </c>
      <c r="I189" s="8">
        <f>IF(ISNA(MATCH(176,Engine!$C$2:$C$622,0)),"",INDEX('Compliance Database'!$I$2:$I$622,MATCH(176,Engine!$C$2:$C$622,0)))</f>
        <v/>
      </c>
      <c r="J189" s="8">
        <f>IF(ISNA(MATCH(176,Engine!$C$2:$C$622,0)),"",INDEX('Compliance Database'!$J$2:$J$622,MATCH(176,Engine!$C$2:$C$622,0)))</f>
        <v/>
      </c>
      <c r="K189">
        <f>IF(ISNA(MATCH(176,Engine!$C$2:$C$622,0)),"",INDEX('Compliance Database'!$K$2:$K$622,MATCH(176,Engine!$C$2:$C$622,0)))</f>
        <v/>
      </c>
      <c r="L189" s="8">
        <f>IF(ISNA(MATCH(176,Engine!$C$2:$C$622,0)),"",INDEX('Compliance Database'!$L$2:$L$622,MATCH(176,Engine!$C$2:$C$622,0)))</f>
        <v/>
      </c>
      <c r="M189" s="8">
        <f>IF(ISNA(MATCH(176,Engine!$C$2:$C$622,0)),"",INDEX('Compliance Database'!$M$2:$M$622,MATCH(176,Engine!$C$2:$C$622,0)))</f>
        <v/>
      </c>
      <c r="N189" s="8">
        <f>IF(ISNA(MATCH(176,Engine!$C$2:$C$622,0)),"",INDEX('Compliance Database'!$N$2:$N$622,MATCH(176,Engine!$C$2:$C$622,0)))</f>
        <v/>
      </c>
      <c r="O189" s="8">
        <f>IF(ISNA(MATCH(176,Engine!$C$2:$C$622,0)),"",INDEX('Compliance Database'!$O$2:$O$622,MATCH(176,Engine!$C$2:$C$622,0)))</f>
        <v/>
      </c>
    </row>
    <row r="190">
      <c r="A190">
        <f>IF(ISNA(MATCH(177,Engine!$C$2:$C$622,0)),"",INDEX('Compliance Database'!$A$2:$A$622,MATCH(177,Engine!$C$2:$C$622,0)))</f>
        <v/>
      </c>
      <c r="B190">
        <f>IF(ISNA(MATCH(177,Engine!$C$2:$C$622,0)),"",INDEX('Compliance Database'!$B$2:$B$622,MATCH(177,Engine!$C$2:$C$622,0)))</f>
        <v/>
      </c>
      <c r="C190">
        <f>IF(ISNA(MATCH(177,Engine!$C$2:$C$622,0)),"",INDEX('Compliance Database'!$C$2:$C$622,MATCH(177,Engine!$C$2:$C$622,0)))</f>
        <v/>
      </c>
      <c r="D190" s="8">
        <f>IF(ISNA(MATCH(177,Engine!$C$2:$C$622,0)),"",INDEX('Compliance Database'!$D$2:$D$622,MATCH(177,Engine!$C$2:$C$622,0)))</f>
        <v/>
      </c>
      <c r="E190">
        <f>IF(ISNA(MATCH(177,Engine!$C$2:$C$622,0)),"",INDEX('Compliance Database'!$E$2:$E$622,MATCH(177,Engine!$C$2:$C$622,0)))</f>
        <v/>
      </c>
      <c r="F190">
        <f>IF(ISNA(MATCH(177,Engine!$C$2:$C$622,0)),"",INDEX('Compliance Database'!$F$2:$F$622,MATCH(177,Engine!$C$2:$C$622,0)))</f>
        <v/>
      </c>
      <c r="G190">
        <f>IF(ISNA(MATCH(177,Engine!$C$2:$C$622,0)),"",INDEX('Compliance Database'!$G$2:$G$622,MATCH(177,Engine!$C$2:$C$622,0)))</f>
        <v/>
      </c>
      <c r="H190">
        <f>IF(ISNA(MATCH(177,Engine!$C$2:$C$622,0)),"",INDEX('Compliance Database'!$H$2:$H$622,MATCH(177,Engine!$C$2:$C$622,0)))</f>
        <v/>
      </c>
      <c r="I190" s="8">
        <f>IF(ISNA(MATCH(177,Engine!$C$2:$C$622,0)),"",INDEX('Compliance Database'!$I$2:$I$622,MATCH(177,Engine!$C$2:$C$622,0)))</f>
        <v/>
      </c>
      <c r="J190" s="8">
        <f>IF(ISNA(MATCH(177,Engine!$C$2:$C$622,0)),"",INDEX('Compliance Database'!$J$2:$J$622,MATCH(177,Engine!$C$2:$C$622,0)))</f>
        <v/>
      </c>
      <c r="K190">
        <f>IF(ISNA(MATCH(177,Engine!$C$2:$C$622,0)),"",INDEX('Compliance Database'!$K$2:$K$622,MATCH(177,Engine!$C$2:$C$622,0)))</f>
        <v/>
      </c>
      <c r="L190" s="8">
        <f>IF(ISNA(MATCH(177,Engine!$C$2:$C$622,0)),"",INDEX('Compliance Database'!$L$2:$L$622,MATCH(177,Engine!$C$2:$C$622,0)))</f>
        <v/>
      </c>
      <c r="M190" s="8">
        <f>IF(ISNA(MATCH(177,Engine!$C$2:$C$622,0)),"",INDEX('Compliance Database'!$M$2:$M$622,MATCH(177,Engine!$C$2:$C$622,0)))</f>
        <v/>
      </c>
      <c r="N190" s="8">
        <f>IF(ISNA(MATCH(177,Engine!$C$2:$C$622,0)),"",INDEX('Compliance Database'!$N$2:$N$622,MATCH(177,Engine!$C$2:$C$622,0)))</f>
        <v/>
      </c>
      <c r="O190" s="8">
        <f>IF(ISNA(MATCH(177,Engine!$C$2:$C$622,0)),"",INDEX('Compliance Database'!$O$2:$O$622,MATCH(177,Engine!$C$2:$C$622,0)))</f>
        <v/>
      </c>
    </row>
    <row r="191">
      <c r="A191">
        <f>IF(ISNA(MATCH(178,Engine!$C$2:$C$622,0)),"",INDEX('Compliance Database'!$A$2:$A$622,MATCH(178,Engine!$C$2:$C$622,0)))</f>
        <v/>
      </c>
      <c r="B191">
        <f>IF(ISNA(MATCH(178,Engine!$C$2:$C$622,0)),"",INDEX('Compliance Database'!$B$2:$B$622,MATCH(178,Engine!$C$2:$C$622,0)))</f>
        <v/>
      </c>
      <c r="C191">
        <f>IF(ISNA(MATCH(178,Engine!$C$2:$C$622,0)),"",INDEX('Compliance Database'!$C$2:$C$622,MATCH(178,Engine!$C$2:$C$622,0)))</f>
        <v/>
      </c>
      <c r="D191" s="8">
        <f>IF(ISNA(MATCH(178,Engine!$C$2:$C$622,0)),"",INDEX('Compliance Database'!$D$2:$D$622,MATCH(178,Engine!$C$2:$C$622,0)))</f>
        <v/>
      </c>
      <c r="E191">
        <f>IF(ISNA(MATCH(178,Engine!$C$2:$C$622,0)),"",INDEX('Compliance Database'!$E$2:$E$622,MATCH(178,Engine!$C$2:$C$622,0)))</f>
        <v/>
      </c>
      <c r="F191">
        <f>IF(ISNA(MATCH(178,Engine!$C$2:$C$622,0)),"",INDEX('Compliance Database'!$F$2:$F$622,MATCH(178,Engine!$C$2:$C$622,0)))</f>
        <v/>
      </c>
      <c r="G191">
        <f>IF(ISNA(MATCH(178,Engine!$C$2:$C$622,0)),"",INDEX('Compliance Database'!$G$2:$G$622,MATCH(178,Engine!$C$2:$C$622,0)))</f>
        <v/>
      </c>
      <c r="H191">
        <f>IF(ISNA(MATCH(178,Engine!$C$2:$C$622,0)),"",INDEX('Compliance Database'!$H$2:$H$622,MATCH(178,Engine!$C$2:$C$622,0)))</f>
        <v/>
      </c>
      <c r="I191" s="8">
        <f>IF(ISNA(MATCH(178,Engine!$C$2:$C$622,0)),"",INDEX('Compliance Database'!$I$2:$I$622,MATCH(178,Engine!$C$2:$C$622,0)))</f>
        <v/>
      </c>
      <c r="J191" s="8">
        <f>IF(ISNA(MATCH(178,Engine!$C$2:$C$622,0)),"",INDEX('Compliance Database'!$J$2:$J$622,MATCH(178,Engine!$C$2:$C$622,0)))</f>
        <v/>
      </c>
      <c r="K191">
        <f>IF(ISNA(MATCH(178,Engine!$C$2:$C$622,0)),"",INDEX('Compliance Database'!$K$2:$K$622,MATCH(178,Engine!$C$2:$C$622,0)))</f>
        <v/>
      </c>
      <c r="L191" s="8">
        <f>IF(ISNA(MATCH(178,Engine!$C$2:$C$622,0)),"",INDEX('Compliance Database'!$L$2:$L$622,MATCH(178,Engine!$C$2:$C$622,0)))</f>
        <v/>
      </c>
      <c r="M191" s="8">
        <f>IF(ISNA(MATCH(178,Engine!$C$2:$C$622,0)),"",INDEX('Compliance Database'!$M$2:$M$622,MATCH(178,Engine!$C$2:$C$622,0)))</f>
        <v/>
      </c>
      <c r="N191" s="8">
        <f>IF(ISNA(MATCH(178,Engine!$C$2:$C$622,0)),"",INDEX('Compliance Database'!$N$2:$N$622,MATCH(178,Engine!$C$2:$C$622,0)))</f>
        <v/>
      </c>
      <c r="O191" s="8">
        <f>IF(ISNA(MATCH(178,Engine!$C$2:$C$622,0)),"",INDEX('Compliance Database'!$O$2:$O$622,MATCH(178,Engine!$C$2:$C$622,0)))</f>
        <v/>
      </c>
    </row>
    <row r="192">
      <c r="A192">
        <f>IF(ISNA(MATCH(179,Engine!$C$2:$C$622,0)),"",INDEX('Compliance Database'!$A$2:$A$622,MATCH(179,Engine!$C$2:$C$622,0)))</f>
        <v/>
      </c>
      <c r="B192">
        <f>IF(ISNA(MATCH(179,Engine!$C$2:$C$622,0)),"",INDEX('Compliance Database'!$B$2:$B$622,MATCH(179,Engine!$C$2:$C$622,0)))</f>
        <v/>
      </c>
      <c r="C192">
        <f>IF(ISNA(MATCH(179,Engine!$C$2:$C$622,0)),"",INDEX('Compliance Database'!$C$2:$C$622,MATCH(179,Engine!$C$2:$C$622,0)))</f>
        <v/>
      </c>
      <c r="D192" s="8">
        <f>IF(ISNA(MATCH(179,Engine!$C$2:$C$622,0)),"",INDEX('Compliance Database'!$D$2:$D$622,MATCH(179,Engine!$C$2:$C$622,0)))</f>
        <v/>
      </c>
      <c r="E192">
        <f>IF(ISNA(MATCH(179,Engine!$C$2:$C$622,0)),"",INDEX('Compliance Database'!$E$2:$E$622,MATCH(179,Engine!$C$2:$C$622,0)))</f>
        <v/>
      </c>
      <c r="F192">
        <f>IF(ISNA(MATCH(179,Engine!$C$2:$C$622,0)),"",INDEX('Compliance Database'!$F$2:$F$622,MATCH(179,Engine!$C$2:$C$622,0)))</f>
        <v/>
      </c>
      <c r="G192">
        <f>IF(ISNA(MATCH(179,Engine!$C$2:$C$622,0)),"",INDEX('Compliance Database'!$G$2:$G$622,MATCH(179,Engine!$C$2:$C$622,0)))</f>
        <v/>
      </c>
      <c r="H192">
        <f>IF(ISNA(MATCH(179,Engine!$C$2:$C$622,0)),"",INDEX('Compliance Database'!$H$2:$H$622,MATCH(179,Engine!$C$2:$C$622,0)))</f>
        <v/>
      </c>
      <c r="I192" s="8">
        <f>IF(ISNA(MATCH(179,Engine!$C$2:$C$622,0)),"",INDEX('Compliance Database'!$I$2:$I$622,MATCH(179,Engine!$C$2:$C$622,0)))</f>
        <v/>
      </c>
      <c r="J192" s="8">
        <f>IF(ISNA(MATCH(179,Engine!$C$2:$C$622,0)),"",INDEX('Compliance Database'!$J$2:$J$622,MATCH(179,Engine!$C$2:$C$622,0)))</f>
        <v/>
      </c>
      <c r="K192">
        <f>IF(ISNA(MATCH(179,Engine!$C$2:$C$622,0)),"",INDEX('Compliance Database'!$K$2:$K$622,MATCH(179,Engine!$C$2:$C$622,0)))</f>
        <v/>
      </c>
      <c r="L192" s="8">
        <f>IF(ISNA(MATCH(179,Engine!$C$2:$C$622,0)),"",INDEX('Compliance Database'!$L$2:$L$622,MATCH(179,Engine!$C$2:$C$622,0)))</f>
        <v/>
      </c>
      <c r="M192" s="8">
        <f>IF(ISNA(MATCH(179,Engine!$C$2:$C$622,0)),"",INDEX('Compliance Database'!$M$2:$M$622,MATCH(179,Engine!$C$2:$C$622,0)))</f>
        <v/>
      </c>
      <c r="N192" s="8">
        <f>IF(ISNA(MATCH(179,Engine!$C$2:$C$622,0)),"",INDEX('Compliance Database'!$N$2:$N$622,MATCH(179,Engine!$C$2:$C$622,0)))</f>
        <v/>
      </c>
      <c r="O192" s="8">
        <f>IF(ISNA(MATCH(179,Engine!$C$2:$C$622,0)),"",INDEX('Compliance Database'!$O$2:$O$622,MATCH(179,Engine!$C$2:$C$622,0)))</f>
        <v/>
      </c>
    </row>
    <row r="193">
      <c r="A193">
        <f>IF(ISNA(MATCH(180,Engine!$C$2:$C$622,0)),"",INDEX('Compliance Database'!$A$2:$A$622,MATCH(180,Engine!$C$2:$C$622,0)))</f>
        <v/>
      </c>
      <c r="B193">
        <f>IF(ISNA(MATCH(180,Engine!$C$2:$C$622,0)),"",INDEX('Compliance Database'!$B$2:$B$622,MATCH(180,Engine!$C$2:$C$622,0)))</f>
        <v/>
      </c>
      <c r="C193">
        <f>IF(ISNA(MATCH(180,Engine!$C$2:$C$622,0)),"",INDEX('Compliance Database'!$C$2:$C$622,MATCH(180,Engine!$C$2:$C$622,0)))</f>
        <v/>
      </c>
      <c r="D193" s="8">
        <f>IF(ISNA(MATCH(180,Engine!$C$2:$C$622,0)),"",INDEX('Compliance Database'!$D$2:$D$622,MATCH(180,Engine!$C$2:$C$622,0)))</f>
        <v/>
      </c>
      <c r="E193">
        <f>IF(ISNA(MATCH(180,Engine!$C$2:$C$622,0)),"",INDEX('Compliance Database'!$E$2:$E$622,MATCH(180,Engine!$C$2:$C$622,0)))</f>
        <v/>
      </c>
      <c r="F193">
        <f>IF(ISNA(MATCH(180,Engine!$C$2:$C$622,0)),"",INDEX('Compliance Database'!$F$2:$F$622,MATCH(180,Engine!$C$2:$C$622,0)))</f>
        <v/>
      </c>
      <c r="G193">
        <f>IF(ISNA(MATCH(180,Engine!$C$2:$C$622,0)),"",INDEX('Compliance Database'!$G$2:$G$622,MATCH(180,Engine!$C$2:$C$622,0)))</f>
        <v/>
      </c>
      <c r="H193">
        <f>IF(ISNA(MATCH(180,Engine!$C$2:$C$622,0)),"",INDEX('Compliance Database'!$H$2:$H$622,MATCH(180,Engine!$C$2:$C$622,0)))</f>
        <v/>
      </c>
      <c r="I193" s="8">
        <f>IF(ISNA(MATCH(180,Engine!$C$2:$C$622,0)),"",INDEX('Compliance Database'!$I$2:$I$622,MATCH(180,Engine!$C$2:$C$622,0)))</f>
        <v/>
      </c>
      <c r="J193" s="8">
        <f>IF(ISNA(MATCH(180,Engine!$C$2:$C$622,0)),"",INDEX('Compliance Database'!$J$2:$J$622,MATCH(180,Engine!$C$2:$C$622,0)))</f>
        <v/>
      </c>
      <c r="K193">
        <f>IF(ISNA(MATCH(180,Engine!$C$2:$C$622,0)),"",INDEX('Compliance Database'!$K$2:$K$622,MATCH(180,Engine!$C$2:$C$622,0)))</f>
        <v/>
      </c>
      <c r="L193" s="8">
        <f>IF(ISNA(MATCH(180,Engine!$C$2:$C$622,0)),"",INDEX('Compliance Database'!$L$2:$L$622,MATCH(180,Engine!$C$2:$C$622,0)))</f>
        <v/>
      </c>
      <c r="M193" s="8">
        <f>IF(ISNA(MATCH(180,Engine!$C$2:$C$622,0)),"",INDEX('Compliance Database'!$M$2:$M$622,MATCH(180,Engine!$C$2:$C$622,0)))</f>
        <v/>
      </c>
      <c r="N193" s="8">
        <f>IF(ISNA(MATCH(180,Engine!$C$2:$C$622,0)),"",INDEX('Compliance Database'!$N$2:$N$622,MATCH(180,Engine!$C$2:$C$622,0)))</f>
        <v/>
      </c>
      <c r="O193" s="8">
        <f>IF(ISNA(MATCH(180,Engine!$C$2:$C$622,0)),"",INDEX('Compliance Database'!$O$2:$O$622,MATCH(180,Engine!$C$2:$C$622,0)))</f>
        <v/>
      </c>
    </row>
    <row r="194">
      <c r="A194">
        <f>IF(ISNA(MATCH(181,Engine!$C$2:$C$622,0)),"",INDEX('Compliance Database'!$A$2:$A$622,MATCH(181,Engine!$C$2:$C$622,0)))</f>
        <v/>
      </c>
      <c r="B194">
        <f>IF(ISNA(MATCH(181,Engine!$C$2:$C$622,0)),"",INDEX('Compliance Database'!$B$2:$B$622,MATCH(181,Engine!$C$2:$C$622,0)))</f>
        <v/>
      </c>
      <c r="C194">
        <f>IF(ISNA(MATCH(181,Engine!$C$2:$C$622,0)),"",INDEX('Compliance Database'!$C$2:$C$622,MATCH(181,Engine!$C$2:$C$622,0)))</f>
        <v/>
      </c>
      <c r="D194" s="8">
        <f>IF(ISNA(MATCH(181,Engine!$C$2:$C$622,0)),"",INDEX('Compliance Database'!$D$2:$D$622,MATCH(181,Engine!$C$2:$C$622,0)))</f>
        <v/>
      </c>
      <c r="E194">
        <f>IF(ISNA(MATCH(181,Engine!$C$2:$C$622,0)),"",INDEX('Compliance Database'!$E$2:$E$622,MATCH(181,Engine!$C$2:$C$622,0)))</f>
        <v/>
      </c>
      <c r="F194">
        <f>IF(ISNA(MATCH(181,Engine!$C$2:$C$622,0)),"",INDEX('Compliance Database'!$F$2:$F$622,MATCH(181,Engine!$C$2:$C$622,0)))</f>
        <v/>
      </c>
      <c r="G194">
        <f>IF(ISNA(MATCH(181,Engine!$C$2:$C$622,0)),"",INDEX('Compliance Database'!$G$2:$G$622,MATCH(181,Engine!$C$2:$C$622,0)))</f>
        <v/>
      </c>
      <c r="H194">
        <f>IF(ISNA(MATCH(181,Engine!$C$2:$C$622,0)),"",INDEX('Compliance Database'!$H$2:$H$622,MATCH(181,Engine!$C$2:$C$622,0)))</f>
        <v/>
      </c>
      <c r="I194" s="8">
        <f>IF(ISNA(MATCH(181,Engine!$C$2:$C$622,0)),"",INDEX('Compliance Database'!$I$2:$I$622,MATCH(181,Engine!$C$2:$C$622,0)))</f>
        <v/>
      </c>
      <c r="J194" s="8">
        <f>IF(ISNA(MATCH(181,Engine!$C$2:$C$622,0)),"",INDEX('Compliance Database'!$J$2:$J$622,MATCH(181,Engine!$C$2:$C$622,0)))</f>
        <v/>
      </c>
      <c r="K194">
        <f>IF(ISNA(MATCH(181,Engine!$C$2:$C$622,0)),"",INDEX('Compliance Database'!$K$2:$K$622,MATCH(181,Engine!$C$2:$C$622,0)))</f>
        <v/>
      </c>
      <c r="L194" s="8">
        <f>IF(ISNA(MATCH(181,Engine!$C$2:$C$622,0)),"",INDEX('Compliance Database'!$L$2:$L$622,MATCH(181,Engine!$C$2:$C$622,0)))</f>
        <v/>
      </c>
      <c r="M194" s="8">
        <f>IF(ISNA(MATCH(181,Engine!$C$2:$C$622,0)),"",INDEX('Compliance Database'!$M$2:$M$622,MATCH(181,Engine!$C$2:$C$622,0)))</f>
        <v/>
      </c>
      <c r="N194" s="8">
        <f>IF(ISNA(MATCH(181,Engine!$C$2:$C$622,0)),"",INDEX('Compliance Database'!$N$2:$N$622,MATCH(181,Engine!$C$2:$C$622,0)))</f>
        <v/>
      </c>
      <c r="O194" s="8">
        <f>IF(ISNA(MATCH(181,Engine!$C$2:$C$622,0)),"",INDEX('Compliance Database'!$O$2:$O$622,MATCH(181,Engine!$C$2:$C$622,0)))</f>
        <v/>
      </c>
    </row>
    <row r="195">
      <c r="A195">
        <f>IF(ISNA(MATCH(182,Engine!$C$2:$C$622,0)),"",INDEX('Compliance Database'!$A$2:$A$622,MATCH(182,Engine!$C$2:$C$622,0)))</f>
        <v/>
      </c>
      <c r="B195">
        <f>IF(ISNA(MATCH(182,Engine!$C$2:$C$622,0)),"",INDEX('Compliance Database'!$B$2:$B$622,MATCH(182,Engine!$C$2:$C$622,0)))</f>
        <v/>
      </c>
      <c r="C195">
        <f>IF(ISNA(MATCH(182,Engine!$C$2:$C$622,0)),"",INDEX('Compliance Database'!$C$2:$C$622,MATCH(182,Engine!$C$2:$C$622,0)))</f>
        <v/>
      </c>
      <c r="D195" s="8">
        <f>IF(ISNA(MATCH(182,Engine!$C$2:$C$622,0)),"",INDEX('Compliance Database'!$D$2:$D$622,MATCH(182,Engine!$C$2:$C$622,0)))</f>
        <v/>
      </c>
      <c r="E195">
        <f>IF(ISNA(MATCH(182,Engine!$C$2:$C$622,0)),"",INDEX('Compliance Database'!$E$2:$E$622,MATCH(182,Engine!$C$2:$C$622,0)))</f>
        <v/>
      </c>
      <c r="F195">
        <f>IF(ISNA(MATCH(182,Engine!$C$2:$C$622,0)),"",INDEX('Compliance Database'!$F$2:$F$622,MATCH(182,Engine!$C$2:$C$622,0)))</f>
        <v/>
      </c>
      <c r="G195">
        <f>IF(ISNA(MATCH(182,Engine!$C$2:$C$622,0)),"",INDEX('Compliance Database'!$G$2:$G$622,MATCH(182,Engine!$C$2:$C$622,0)))</f>
        <v/>
      </c>
      <c r="H195">
        <f>IF(ISNA(MATCH(182,Engine!$C$2:$C$622,0)),"",INDEX('Compliance Database'!$H$2:$H$622,MATCH(182,Engine!$C$2:$C$622,0)))</f>
        <v/>
      </c>
      <c r="I195" s="8">
        <f>IF(ISNA(MATCH(182,Engine!$C$2:$C$622,0)),"",INDEX('Compliance Database'!$I$2:$I$622,MATCH(182,Engine!$C$2:$C$622,0)))</f>
        <v/>
      </c>
      <c r="J195" s="8">
        <f>IF(ISNA(MATCH(182,Engine!$C$2:$C$622,0)),"",INDEX('Compliance Database'!$J$2:$J$622,MATCH(182,Engine!$C$2:$C$622,0)))</f>
        <v/>
      </c>
      <c r="K195">
        <f>IF(ISNA(MATCH(182,Engine!$C$2:$C$622,0)),"",INDEX('Compliance Database'!$K$2:$K$622,MATCH(182,Engine!$C$2:$C$622,0)))</f>
        <v/>
      </c>
      <c r="L195" s="8">
        <f>IF(ISNA(MATCH(182,Engine!$C$2:$C$622,0)),"",INDEX('Compliance Database'!$L$2:$L$622,MATCH(182,Engine!$C$2:$C$622,0)))</f>
        <v/>
      </c>
      <c r="M195" s="8">
        <f>IF(ISNA(MATCH(182,Engine!$C$2:$C$622,0)),"",INDEX('Compliance Database'!$M$2:$M$622,MATCH(182,Engine!$C$2:$C$622,0)))</f>
        <v/>
      </c>
      <c r="N195" s="8">
        <f>IF(ISNA(MATCH(182,Engine!$C$2:$C$622,0)),"",INDEX('Compliance Database'!$N$2:$N$622,MATCH(182,Engine!$C$2:$C$622,0)))</f>
        <v/>
      </c>
      <c r="O195" s="8">
        <f>IF(ISNA(MATCH(182,Engine!$C$2:$C$622,0)),"",INDEX('Compliance Database'!$O$2:$O$622,MATCH(182,Engine!$C$2:$C$622,0)))</f>
        <v/>
      </c>
    </row>
    <row r="196">
      <c r="A196">
        <f>IF(ISNA(MATCH(183,Engine!$C$2:$C$622,0)),"",INDEX('Compliance Database'!$A$2:$A$622,MATCH(183,Engine!$C$2:$C$622,0)))</f>
        <v/>
      </c>
      <c r="B196">
        <f>IF(ISNA(MATCH(183,Engine!$C$2:$C$622,0)),"",INDEX('Compliance Database'!$B$2:$B$622,MATCH(183,Engine!$C$2:$C$622,0)))</f>
        <v/>
      </c>
      <c r="C196">
        <f>IF(ISNA(MATCH(183,Engine!$C$2:$C$622,0)),"",INDEX('Compliance Database'!$C$2:$C$622,MATCH(183,Engine!$C$2:$C$622,0)))</f>
        <v/>
      </c>
      <c r="D196" s="8">
        <f>IF(ISNA(MATCH(183,Engine!$C$2:$C$622,0)),"",INDEX('Compliance Database'!$D$2:$D$622,MATCH(183,Engine!$C$2:$C$622,0)))</f>
        <v/>
      </c>
      <c r="E196">
        <f>IF(ISNA(MATCH(183,Engine!$C$2:$C$622,0)),"",INDEX('Compliance Database'!$E$2:$E$622,MATCH(183,Engine!$C$2:$C$622,0)))</f>
        <v/>
      </c>
      <c r="F196">
        <f>IF(ISNA(MATCH(183,Engine!$C$2:$C$622,0)),"",INDEX('Compliance Database'!$F$2:$F$622,MATCH(183,Engine!$C$2:$C$622,0)))</f>
        <v/>
      </c>
      <c r="G196">
        <f>IF(ISNA(MATCH(183,Engine!$C$2:$C$622,0)),"",INDEX('Compliance Database'!$G$2:$G$622,MATCH(183,Engine!$C$2:$C$622,0)))</f>
        <v/>
      </c>
      <c r="H196">
        <f>IF(ISNA(MATCH(183,Engine!$C$2:$C$622,0)),"",INDEX('Compliance Database'!$H$2:$H$622,MATCH(183,Engine!$C$2:$C$622,0)))</f>
        <v/>
      </c>
      <c r="I196" s="8">
        <f>IF(ISNA(MATCH(183,Engine!$C$2:$C$622,0)),"",INDEX('Compliance Database'!$I$2:$I$622,MATCH(183,Engine!$C$2:$C$622,0)))</f>
        <v/>
      </c>
      <c r="J196" s="8">
        <f>IF(ISNA(MATCH(183,Engine!$C$2:$C$622,0)),"",INDEX('Compliance Database'!$J$2:$J$622,MATCH(183,Engine!$C$2:$C$622,0)))</f>
        <v/>
      </c>
      <c r="K196">
        <f>IF(ISNA(MATCH(183,Engine!$C$2:$C$622,0)),"",INDEX('Compliance Database'!$K$2:$K$622,MATCH(183,Engine!$C$2:$C$622,0)))</f>
        <v/>
      </c>
      <c r="L196" s="8">
        <f>IF(ISNA(MATCH(183,Engine!$C$2:$C$622,0)),"",INDEX('Compliance Database'!$L$2:$L$622,MATCH(183,Engine!$C$2:$C$622,0)))</f>
        <v/>
      </c>
      <c r="M196" s="8">
        <f>IF(ISNA(MATCH(183,Engine!$C$2:$C$622,0)),"",INDEX('Compliance Database'!$M$2:$M$622,MATCH(183,Engine!$C$2:$C$622,0)))</f>
        <v/>
      </c>
      <c r="N196" s="8">
        <f>IF(ISNA(MATCH(183,Engine!$C$2:$C$622,0)),"",INDEX('Compliance Database'!$N$2:$N$622,MATCH(183,Engine!$C$2:$C$622,0)))</f>
        <v/>
      </c>
      <c r="O196" s="8">
        <f>IF(ISNA(MATCH(183,Engine!$C$2:$C$622,0)),"",INDEX('Compliance Database'!$O$2:$O$622,MATCH(183,Engine!$C$2:$C$622,0)))</f>
        <v/>
      </c>
    </row>
    <row r="197">
      <c r="A197">
        <f>IF(ISNA(MATCH(184,Engine!$C$2:$C$622,0)),"",INDEX('Compliance Database'!$A$2:$A$622,MATCH(184,Engine!$C$2:$C$622,0)))</f>
        <v/>
      </c>
      <c r="B197">
        <f>IF(ISNA(MATCH(184,Engine!$C$2:$C$622,0)),"",INDEX('Compliance Database'!$B$2:$B$622,MATCH(184,Engine!$C$2:$C$622,0)))</f>
        <v/>
      </c>
      <c r="C197">
        <f>IF(ISNA(MATCH(184,Engine!$C$2:$C$622,0)),"",INDEX('Compliance Database'!$C$2:$C$622,MATCH(184,Engine!$C$2:$C$622,0)))</f>
        <v/>
      </c>
      <c r="D197" s="8">
        <f>IF(ISNA(MATCH(184,Engine!$C$2:$C$622,0)),"",INDEX('Compliance Database'!$D$2:$D$622,MATCH(184,Engine!$C$2:$C$622,0)))</f>
        <v/>
      </c>
      <c r="E197">
        <f>IF(ISNA(MATCH(184,Engine!$C$2:$C$622,0)),"",INDEX('Compliance Database'!$E$2:$E$622,MATCH(184,Engine!$C$2:$C$622,0)))</f>
        <v/>
      </c>
      <c r="F197">
        <f>IF(ISNA(MATCH(184,Engine!$C$2:$C$622,0)),"",INDEX('Compliance Database'!$F$2:$F$622,MATCH(184,Engine!$C$2:$C$622,0)))</f>
        <v/>
      </c>
      <c r="G197">
        <f>IF(ISNA(MATCH(184,Engine!$C$2:$C$622,0)),"",INDEX('Compliance Database'!$G$2:$G$622,MATCH(184,Engine!$C$2:$C$622,0)))</f>
        <v/>
      </c>
      <c r="H197">
        <f>IF(ISNA(MATCH(184,Engine!$C$2:$C$622,0)),"",INDEX('Compliance Database'!$H$2:$H$622,MATCH(184,Engine!$C$2:$C$622,0)))</f>
        <v/>
      </c>
      <c r="I197" s="8">
        <f>IF(ISNA(MATCH(184,Engine!$C$2:$C$622,0)),"",INDEX('Compliance Database'!$I$2:$I$622,MATCH(184,Engine!$C$2:$C$622,0)))</f>
        <v/>
      </c>
      <c r="J197" s="8">
        <f>IF(ISNA(MATCH(184,Engine!$C$2:$C$622,0)),"",INDEX('Compliance Database'!$J$2:$J$622,MATCH(184,Engine!$C$2:$C$622,0)))</f>
        <v/>
      </c>
      <c r="K197">
        <f>IF(ISNA(MATCH(184,Engine!$C$2:$C$622,0)),"",INDEX('Compliance Database'!$K$2:$K$622,MATCH(184,Engine!$C$2:$C$622,0)))</f>
        <v/>
      </c>
      <c r="L197" s="8">
        <f>IF(ISNA(MATCH(184,Engine!$C$2:$C$622,0)),"",INDEX('Compliance Database'!$L$2:$L$622,MATCH(184,Engine!$C$2:$C$622,0)))</f>
        <v/>
      </c>
      <c r="M197" s="8">
        <f>IF(ISNA(MATCH(184,Engine!$C$2:$C$622,0)),"",INDEX('Compliance Database'!$M$2:$M$622,MATCH(184,Engine!$C$2:$C$622,0)))</f>
        <v/>
      </c>
      <c r="N197" s="8">
        <f>IF(ISNA(MATCH(184,Engine!$C$2:$C$622,0)),"",INDEX('Compliance Database'!$N$2:$N$622,MATCH(184,Engine!$C$2:$C$622,0)))</f>
        <v/>
      </c>
      <c r="O197" s="8">
        <f>IF(ISNA(MATCH(184,Engine!$C$2:$C$622,0)),"",INDEX('Compliance Database'!$O$2:$O$622,MATCH(184,Engine!$C$2:$C$622,0)))</f>
        <v/>
      </c>
    </row>
    <row r="198">
      <c r="A198">
        <f>IF(ISNA(MATCH(185,Engine!$C$2:$C$622,0)),"",INDEX('Compliance Database'!$A$2:$A$622,MATCH(185,Engine!$C$2:$C$622,0)))</f>
        <v/>
      </c>
      <c r="B198">
        <f>IF(ISNA(MATCH(185,Engine!$C$2:$C$622,0)),"",INDEX('Compliance Database'!$B$2:$B$622,MATCH(185,Engine!$C$2:$C$622,0)))</f>
        <v/>
      </c>
      <c r="C198">
        <f>IF(ISNA(MATCH(185,Engine!$C$2:$C$622,0)),"",INDEX('Compliance Database'!$C$2:$C$622,MATCH(185,Engine!$C$2:$C$622,0)))</f>
        <v/>
      </c>
      <c r="D198" s="8">
        <f>IF(ISNA(MATCH(185,Engine!$C$2:$C$622,0)),"",INDEX('Compliance Database'!$D$2:$D$622,MATCH(185,Engine!$C$2:$C$622,0)))</f>
        <v/>
      </c>
      <c r="E198">
        <f>IF(ISNA(MATCH(185,Engine!$C$2:$C$622,0)),"",INDEX('Compliance Database'!$E$2:$E$622,MATCH(185,Engine!$C$2:$C$622,0)))</f>
        <v/>
      </c>
      <c r="F198">
        <f>IF(ISNA(MATCH(185,Engine!$C$2:$C$622,0)),"",INDEX('Compliance Database'!$F$2:$F$622,MATCH(185,Engine!$C$2:$C$622,0)))</f>
        <v/>
      </c>
      <c r="G198">
        <f>IF(ISNA(MATCH(185,Engine!$C$2:$C$622,0)),"",INDEX('Compliance Database'!$G$2:$G$622,MATCH(185,Engine!$C$2:$C$622,0)))</f>
        <v/>
      </c>
      <c r="H198">
        <f>IF(ISNA(MATCH(185,Engine!$C$2:$C$622,0)),"",INDEX('Compliance Database'!$H$2:$H$622,MATCH(185,Engine!$C$2:$C$622,0)))</f>
        <v/>
      </c>
      <c r="I198" s="8">
        <f>IF(ISNA(MATCH(185,Engine!$C$2:$C$622,0)),"",INDEX('Compliance Database'!$I$2:$I$622,MATCH(185,Engine!$C$2:$C$622,0)))</f>
        <v/>
      </c>
      <c r="J198" s="8">
        <f>IF(ISNA(MATCH(185,Engine!$C$2:$C$622,0)),"",INDEX('Compliance Database'!$J$2:$J$622,MATCH(185,Engine!$C$2:$C$622,0)))</f>
        <v/>
      </c>
      <c r="K198">
        <f>IF(ISNA(MATCH(185,Engine!$C$2:$C$622,0)),"",INDEX('Compliance Database'!$K$2:$K$622,MATCH(185,Engine!$C$2:$C$622,0)))</f>
        <v/>
      </c>
      <c r="L198" s="8">
        <f>IF(ISNA(MATCH(185,Engine!$C$2:$C$622,0)),"",INDEX('Compliance Database'!$L$2:$L$622,MATCH(185,Engine!$C$2:$C$622,0)))</f>
        <v/>
      </c>
      <c r="M198" s="8">
        <f>IF(ISNA(MATCH(185,Engine!$C$2:$C$622,0)),"",INDEX('Compliance Database'!$M$2:$M$622,MATCH(185,Engine!$C$2:$C$622,0)))</f>
        <v/>
      </c>
      <c r="N198" s="8">
        <f>IF(ISNA(MATCH(185,Engine!$C$2:$C$622,0)),"",INDEX('Compliance Database'!$N$2:$N$622,MATCH(185,Engine!$C$2:$C$622,0)))</f>
        <v/>
      </c>
      <c r="O198" s="8">
        <f>IF(ISNA(MATCH(185,Engine!$C$2:$C$622,0)),"",INDEX('Compliance Database'!$O$2:$O$622,MATCH(185,Engine!$C$2:$C$622,0)))</f>
        <v/>
      </c>
    </row>
    <row r="199">
      <c r="A199">
        <f>IF(ISNA(MATCH(186,Engine!$C$2:$C$622,0)),"",INDEX('Compliance Database'!$A$2:$A$622,MATCH(186,Engine!$C$2:$C$622,0)))</f>
        <v/>
      </c>
      <c r="B199">
        <f>IF(ISNA(MATCH(186,Engine!$C$2:$C$622,0)),"",INDEX('Compliance Database'!$B$2:$B$622,MATCH(186,Engine!$C$2:$C$622,0)))</f>
        <v/>
      </c>
      <c r="C199">
        <f>IF(ISNA(MATCH(186,Engine!$C$2:$C$622,0)),"",INDEX('Compliance Database'!$C$2:$C$622,MATCH(186,Engine!$C$2:$C$622,0)))</f>
        <v/>
      </c>
      <c r="D199" s="8">
        <f>IF(ISNA(MATCH(186,Engine!$C$2:$C$622,0)),"",INDEX('Compliance Database'!$D$2:$D$622,MATCH(186,Engine!$C$2:$C$622,0)))</f>
        <v/>
      </c>
      <c r="E199">
        <f>IF(ISNA(MATCH(186,Engine!$C$2:$C$622,0)),"",INDEX('Compliance Database'!$E$2:$E$622,MATCH(186,Engine!$C$2:$C$622,0)))</f>
        <v/>
      </c>
      <c r="F199">
        <f>IF(ISNA(MATCH(186,Engine!$C$2:$C$622,0)),"",INDEX('Compliance Database'!$F$2:$F$622,MATCH(186,Engine!$C$2:$C$622,0)))</f>
        <v/>
      </c>
      <c r="G199">
        <f>IF(ISNA(MATCH(186,Engine!$C$2:$C$622,0)),"",INDEX('Compliance Database'!$G$2:$G$622,MATCH(186,Engine!$C$2:$C$622,0)))</f>
        <v/>
      </c>
      <c r="H199">
        <f>IF(ISNA(MATCH(186,Engine!$C$2:$C$622,0)),"",INDEX('Compliance Database'!$H$2:$H$622,MATCH(186,Engine!$C$2:$C$622,0)))</f>
        <v/>
      </c>
      <c r="I199" s="8">
        <f>IF(ISNA(MATCH(186,Engine!$C$2:$C$622,0)),"",INDEX('Compliance Database'!$I$2:$I$622,MATCH(186,Engine!$C$2:$C$622,0)))</f>
        <v/>
      </c>
      <c r="J199" s="8">
        <f>IF(ISNA(MATCH(186,Engine!$C$2:$C$622,0)),"",INDEX('Compliance Database'!$J$2:$J$622,MATCH(186,Engine!$C$2:$C$622,0)))</f>
        <v/>
      </c>
      <c r="K199">
        <f>IF(ISNA(MATCH(186,Engine!$C$2:$C$622,0)),"",INDEX('Compliance Database'!$K$2:$K$622,MATCH(186,Engine!$C$2:$C$622,0)))</f>
        <v/>
      </c>
      <c r="L199" s="8">
        <f>IF(ISNA(MATCH(186,Engine!$C$2:$C$622,0)),"",INDEX('Compliance Database'!$L$2:$L$622,MATCH(186,Engine!$C$2:$C$622,0)))</f>
        <v/>
      </c>
      <c r="M199" s="8">
        <f>IF(ISNA(MATCH(186,Engine!$C$2:$C$622,0)),"",INDEX('Compliance Database'!$M$2:$M$622,MATCH(186,Engine!$C$2:$C$622,0)))</f>
        <v/>
      </c>
      <c r="N199" s="8">
        <f>IF(ISNA(MATCH(186,Engine!$C$2:$C$622,0)),"",INDEX('Compliance Database'!$N$2:$N$622,MATCH(186,Engine!$C$2:$C$622,0)))</f>
        <v/>
      </c>
      <c r="O199" s="8">
        <f>IF(ISNA(MATCH(186,Engine!$C$2:$C$622,0)),"",INDEX('Compliance Database'!$O$2:$O$622,MATCH(186,Engine!$C$2:$C$622,0)))</f>
        <v/>
      </c>
    </row>
    <row r="200">
      <c r="A200">
        <f>IF(ISNA(MATCH(187,Engine!$C$2:$C$622,0)),"",INDEX('Compliance Database'!$A$2:$A$622,MATCH(187,Engine!$C$2:$C$622,0)))</f>
        <v/>
      </c>
      <c r="B200">
        <f>IF(ISNA(MATCH(187,Engine!$C$2:$C$622,0)),"",INDEX('Compliance Database'!$B$2:$B$622,MATCH(187,Engine!$C$2:$C$622,0)))</f>
        <v/>
      </c>
      <c r="C200">
        <f>IF(ISNA(MATCH(187,Engine!$C$2:$C$622,0)),"",INDEX('Compliance Database'!$C$2:$C$622,MATCH(187,Engine!$C$2:$C$622,0)))</f>
        <v/>
      </c>
      <c r="D200" s="8">
        <f>IF(ISNA(MATCH(187,Engine!$C$2:$C$622,0)),"",INDEX('Compliance Database'!$D$2:$D$622,MATCH(187,Engine!$C$2:$C$622,0)))</f>
        <v/>
      </c>
      <c r="E200">
        <f>IF(ISNA(MATCH(187,Engine!$C$2:$C$622,0)),"",INDEX('Compliance Database'!$E$2:$E$622,MATCH(187,Engine!$C$2:$C$622,0)))</f>
        <v/>
      </c>
      <c r="F200">
        <f>IF(ISNA(MATCH(187,Engine!$C$2:$C$622,0)),"",INDEX('Compliance Database'!$F$2:$F$622,MATCH(187,Engine!$C$2:$C$622,0)))</f>
        <v/>
      </c>
      <c r="G200">
        <f>IF(ISNA(MATCH(187,Engine!$C$2:$C$622,0)),"",INDEX('Compliance Database'!$G$2:$G$622,MATCH(187,Engine!$C$2:$C$622,0)))</f>
        <v/>
      </c>
      <c r="H200">
        <f>IF(ISNA(MATCH(187,Engine!$C$2:$C$622,0)),"",INDEX('Compliance Database'!$H$2:$H$622,MATCH(187,Engine!$C$2:$C$622,0)))</f>
        <v/>
      </c>
      <c r="I200" s="8">
        <f>IF(ISNA(MATCH(187,Engine!$C$2:$C$622,0)),"",INDEX('Compliance Database'!$I$2:$I$622,MATCH(187,Engine!$C$2:$C$622,0)))</f>
        <v/>
      </c>
      <c r="J200" s="8">
        <f>IF(ISNA(MATCH(187,Engine!$C$2:$C$622,0)),"",INDEX('Compliance Database'!$J$2:$J$622,MATCH(187,Engine!$C$2:$C$622,0)))</f>
        <v/>
      </c>
      <c r="K200">
        <f>IF(ISNA(MATCH(187,Engine!$C$2:$C$622,0)),"",INDEX('Compliance Database'!$K$2:$K$622,MATCH(187,Engine!$C$2:$C$622,0)))</f>
        <v/>
      </c>
      <c r="L200" s="8">
        <f>IF(ISNA(MATCH(187,Engine!$C$2:$C$622,0)),"",INDEX('Compliance Database'!$L$2:$L$622,MATCH(187,Engine!$C$2:$C$622,0)))</f>
        <v/>
      </c>
      <c r="M200" s="8">
        <f>IF(ISNA(MATCH(187,Engine!$C$2:$C$622,0)),"",INDEX('Compliance Database'!$M$2:$M$622,MATCH(187,Engine!$C$2:$C$622,0)))</f>
        <v/>
      </c>
      <c r="N200" s="8">
        <f>IF(ISNA(MATCH(187,Engine!$C$2:$C$622,0)),"",INDEX('Compliance Database'!$N$2:$N$622,MATCH(187,Engine!$C$2:$C$622,0)))</f>
        <v/>
      </c>
      <c r="O200" s="8">
        <f>IF(ISNA(MATCH(187,Engine!$C$2:$C$622,0)),"",INDEX('Compliance Database'!$O$2:$O$622,MATCH(187,Engine!$C$2:$C$622,0)))</f>
        <v/>
      </c>
    </row>
    <row r="201">
      <c r="A201">
        <f>IF(ISNA(MATCH(188,Engine!$C$2:$C$622,0)),"",INDEX('Compliance Database'!$A$2:$A$622,MATCH(188,Engine!$C$2:$C$622,0)))</f>
        <v/>
      </c>
      <c r="B201">
        <f>IF(ISNA(MATCH(188,Engine!$C$2:$C$622,0)),"",INDEX('Compliance Database'!$B$2:$B$622,MATCH(188,Engine!$C$2:$C$622,0)))</f>
        <v/>
      </c>
      <c r="C201">
        <f>IF(ISNA(MATCH(188,Engine!$C$2:$C$622,0)),"",INDEX('Compliance Database'!$C$2:$C$622,MATCH(188,Engine!$C$2:$C$622,0)))</f>
        <v/>
      </c>
      <c r="D201" s="8">
        <f>IF(ISNA(MATCH(188,Engine!$C$2:$C$622,0)),"",INDEX('Compliance Database'!$D$2:$D$622,MATCH(188,Engine!$C$2:$C$622,0)))</f>
        <v/>
      </c>
      <c r="E201">
        <f>IF(ISNA(MATCH(188,Engine!$C$2:$C$622,0)),"",INDEX('Compliance Database'!$E$2:$E$622,MATCH(188,Engine!$C$2:$C$622,0)))</f>
        <v/>
      </c>
      <c r="F201">
        <f>IF(ISNA(MATCH(188,Engine!$C$2:$C$622,0)),"",INDEX('Compliance Database'!$F$2:$F$622,MATCH(188,Engine!$C$2:$C$622,0)))</f>
        <v/>
      </c>
      <c r="G201">
        <f>IF(ISNA(MATCH(188,Engine!$C$2:$C$622,0)),"",INDEX('Compliance Database'!$G$2:$G$622,MATCH(188,Engine!$C$2:$C$622,0)))</f>
        <v/>
      </c>
      <c r="H201">
        <f>IF(ISNA(MATCH(188,Engine!$C$2:$C$622,0)),"",INDEX('Compliance Database'!$H$2:$H$622,MATCH(188,Engine!$C$2:$C$622,0)))</f>
        <v/>
      </c>
      <c r="I201" s="8">
        <f>IF(ISNA(MATCH(188,Engine!$C$2:$C$622,0)),"",INDEX('Compliance Database'!$I$2:$I$622,MATCH(188,Engine!$C$2:$C$622,0)))</f>
        <v/>
      </c>
      <c r="J201" s="8">
        <f>IF(ISNA(MATCH(188,Engine!$C$2:$C$622,0)),"",INDEX('Compliance Database'!$J$2:$J$622,MATCH(188,Engine!$C$2:$C$622,0)))</f>
        <v/>
      </c>
      <c r="K201">
        <f>IF(ISNA(MATCH(188,Engine!$C$2:$C$622,0)),"",INDEX('Compliance Database'!$K$2:$K$622,MATCH(188,Engine!$C$2:$C$622,0)))</f>
        <v/>
      </c>
      <c r="L201" s="8">
        <f>IF(ISNA(MATCH(188,Engine!$C$2:$C$622,0)),"",INDEX('Compliance Database'!$L$2:$L$622,MATCH(188,Engine!$C$2:$C$622,0)))</f>
        <v/>
      </c>
      <c r="M201" s="8">
        <f>IF(ISNA(MATCH(188,Engine!$C$2:$C$622,0)),"",INDEX('Compliance Database'!$M$2:$M$622,MATCH(188,Engine!$C$2:$C$622,0)))</f>
        <v/>
      </c>
      <c r="N201" s="8">
        <f>IF(ISNA(MATCH(188,Engine!$C$2:$C$622,0)),"",INDEX('Compliance Database'!$N$2:$N$622,MATCH(188,Engine!$C$2:$C$622,0)))</f>
        <v/>
      </c>
      <c r="O201" s="8">
        <f>IF(ISNA(MATCH(188,Engine!$C$2:$C$622,0)),"",INDEX('Compliance Database'!$O$2:$O$622,MATCH(188,Engine!$C$2:$C$622,0)))</f>
        <v/>
      </c>
    </row>
    <row r="202">
      <c r="A202">
        <f>IF(ISNA(MATCH(189,Engine!$C$2:$C$622,0)),"",INDEX('Compliance Database'!$A$2:$A$622,MATCH(189,Engine!$C$2:$C$622,0)))</f>
        <v/>
      </c>
      <c r="B202">
        <f>IF(ISNA(MATCH(189,Engine!$C$2:$C$622,0)),"",INDEX('Compliance Database'!$B$2:$B$622,MATCH(189,Engine!$C$2:$C$622,0)))</f>
        <v/>
      </c>
      <c r="C202">
        <f>IF(ISNA(MATCH(189,Engine!$C$2:$C$622,0)),"",INDEX('Compliance Database'!$C$2:$C$622,MATCH(189,Engine!$C$2:$C$622,0)))</f>
        <v/>
      </c>
      <c r="D202" s="8">
        <f>IF(ISNA(MATCH(189,Engine!$C$2:$C$622,0)),"",INDEX('Compliance Database'!$D$2:$D$622,MATCH(189,Engine!$C$2:$C$622,0)))</f>
        <v/>
      </c>
      <c r="E202">
        <f>IF(ISNA(MATCH(189,Engine!$C$2:$C$622,0)),"",INDEX('Compliance Database'!$E$2:$E$622,MATCH(189,Engine!$C$2:$C$622,0)))</f>
        <v/>
      </c>
      <c r="F202">
        <f>IF(ISNA(MATCH(189,Engine!$C$2:$C$622,0)),"",INDEX('Compliance Database'!$F$2:$F$622,MATCH(189,Engine!$C$2:$C$622,0)))</f>
        <v/>
      </c>
      <c r="G202">
        <f>IF(ISNA(MATCH(189,Engine!$C$2:$C$622,0)),"",INDEX('Compliance Database'!$G$2:$G$622,MATCH(189,Engine!$C$2:$C$622,0)))</f>
        <v/>
      </c>
      <c r="H202">
        <f>IF(ISNA(MATCH(189,Engine!$C$2:$C$622,0)),"",INDEX('Compliance Database'!$H$2:$H$622,MATCH(189,Engine!$C$2:$C$622,0)))</f>
        <v/>
      </c>
      <c r="I202" s="8">
        <f>IF(ISNA(MATCH(189,Engine!$C$2:$C$622,0)),"",INDEX('Compliance Database'!$I$2:$I$622,MATCH(189,Engine!$C$2:$C$622,0)))</f>
        <v/>
      </c>
      <c r="J202" s="8">
        <f>IF(ISNA(MATCH(189,Engine!$C$2:$C$622,0)),"",INDEX('Compliance Database'!$J$2:$J$622,MATCH(189,Engine!$C$2:$C$622,0)))</f>
        <v/>
      </c>
      <c r="K202">
        <f>IF(ISNA(MATCH(189,Engine!$C$2:$C$622,0)),"",INDEX('Compliance Database'!$K$2:$K$622,MATCH(189,Engine!$C$2:$C$622,0)))</f>
        <v/>
      </c>
      <c r="L202" s="8">
        <f>IF(ISNA(MATCH(189,Engine!$C$2:$C$622,0)),"",INDEX('Compliance Database'!$L$2:$L$622,MATCH(189,Engine!$C$2:$C$622,0)))</f>
        <v/>
      </c>
      <c r="M202" s="8">
        <f>IF(ISNA(MATCH(189,Engine!$C$2:$C$622,0)),"",INDEX('Compliance Database'!$M$2:$M$622,MATCH(189,Engine!$C$2:$C$622,0)))</f>
        <v/>
      </c>
      <c r="N202" s="8">
        <f>IF(ISNA(MATCH(189,Engine!$C$2:$C$622,0)),"",INDEX('Compliance Database'!$N$2:$N$622,MATCH(189,Engine!$C$2:$C$622,0)))</f>
        <v/>
      </c>
      <c r="O202" s="8">
        <f>IF(ISNA(MATCH(189,Engine!$C$2:$C$622,0)),"",INDEX('Compliance Database'!$O$2:$O$622,MATCH(189,Engine!$C$2:$C$622,0)))</f>
        <v/>
      </c>
    </row>
    <row r="203">
      <c r="A203">
        <f>IF(ISNA(MATCH(190,Engine!$C$2:$C$622,0)),"",INDEX('Compliance Database'!$A$2:$A$622,MATCH(190,Engine!$C$2:$C$622,0)))</f>
        <v/>
      </c>
      <c r="B203">
        <f>IF(ISNA(MATCH(190,Engine!$C$2:$C$622,0)),"",INDEX('Compliance Database'!$B$2:$B$622,MATCH(190,Engine!$C$2:$C$622,0)))</f>
        <v/>
      </c>
      <c r="C203">
        <f>IF(ISNA(MATCH(190,Engine!$C$2:$C$622,0)),"",INDEX('Compliance Database'!$C$2:$C$622,MATCH(190,Engine!$C$2:$C$622,0)))</f>
        <v/>
      </c>
      <c r="D203" s="8">
        <f>IF(ISNA(MATCH(190,Engine!$C$2:$C$622,0)),"",INDEX('Compliance Database'!$D$2:$D$622,MATCH(190,Engine!$C$2:$C$622,0)))</f>
        <v/>
      </c>
      <c r="E203">
        <f>IF(ISNA(MATCH(190,Engine!$C$2:$C$622,0)),"",INDEX('Compliance Database'!$E$2:$E$622,MATCH(190,Engine!$C$2:$C$622,0)))</f>
        <v/>
      </c>
      <c r="F203">
        <f>IF(ISNA(MATCH(190,Engine!$C$2:$C$622,0)),"",INDEX('Compliance Database'!$F$2:$F$622,MATCH(190,Engine!$C$2:$C$622,0)))</f>
        <v/>
      </c>
      <c r="G203">
        <f>IF(ISNA(MATCH(190,Engine!$C$2:$C$622,0)),"",INDEX('Compliance Database'!$G$2:$G$622,MATCH(190,Engine!$C$2:$C$622,0)))</f>
        <v/>
      </c>
      <c r="H203">
        <f>IF(ISNA(MATCH(190,Engine!$C$2:$C$622,0)),"",INDEX('Compliance Database'!$H$2:$H$622,MATCH(190,Engine!$C$2:$C$622,0)))</f>
        <v/>
      </c>
      <c r="I203" s="8">
        <f>IF(ISNA(MATCH(190,Engine!$C$2:$C$622,0)),"",INDEX('Compliance Database'!$I$2:$I$622,MATCH(190,Engine!$C$2:$C$622,0)))</f>
        <v/>
      </c>
      <c r="J203" s="8">
        <f>IF(ISNA(MATCH(190,Engine!$C$2:$C$622,0)),"",INDEX('Compliance Database'!$J$2:$J$622,MATCH(190,Engine!$C$2:$C$622,0)))</f>
        <v/>
      </c>
      <c r="K203">
        <f>IF(ISNA(MATCH(190,Engine!$C$2:$C$622,0)),"",INDEX('Compliance Database'!$K$2:$K$622,MATCH(190,Engine!$C$2:$C$622,0)))</f>
        <v/>
      </c>
      <c r="L203" s="8">
        <f>IF(ISNA(MATCH(190,Engine!$C$2:$C$622,0)),"",INDEX('Compliance Database'!$L$2:$L$622,MATCH(190,Engine!$C$2:$C$622,0)))</f>
        <v/>
      </c>
      <c r="M203" s="8">
        <f>IF(ISNA(MATCH(190,Engine!$C$2:$C$622,0)),"",INDEX('Compliance Database'!$M$2:$M$622,MATCH(190,Engine!$C$2:$C$622,0)))</f>
        <v/>
      </c>
      <c r="N203" s="8">
        <f>IF(ISNA(MATCH(190,Engine!$C$2:$C$622,0)),"",INDEX('Compliance Database'!$N$2:$N$622,MATCH(190,Engine!$C$2:$C$622,0)))</f>
        <v/>
      </c>
      <c r="O203" s="8">
        <f>IF(ISNA(MATCH(190,Engine!$C$2:$C$622,0)),"",INDEX('Compliance Database'!$O$2:$O$622,MATCH(190,Engine!$C$2:$C$622,0)))</f>
        <v/>
      </c>
    </row>
    <row r="204">
      <c r="A204">
        <f>IF(ISNA(MATCH(191,Engine!$C$2:$C$622,0)),"",INDEX('Compliance Database'!$A$2:$A$622,MATCH(191,Engine!$C$2:$C$622,0)))</f>
        <v/>
      </c>
      <c r="B204">
        <f>IF(ISNA(MATCH(191,Engine!$C$2:$C$622,0)),"",INDEX('Compliance Database'!$B$2:$B$622,MATCH(191,Engine!$C$2:$C$622,0)))</f>
        <v/>
      </c>
      <c r="C204">
        <f>IF(ISNA(MATCH(191,Engine!$C$2:$C$622,0)),"",INDEX('Compliance Database'!$C$2:$C$622,MATCH(191,Engine!$C$2:$C$622,0)))</f>
        <v/>
      </c>
      <c r="D204" s="8">
        <f>IF(ISNA(MATCH(191,Engine!$C$2:$C$622,0)),"",INDEX('Compliance Database'!$D$2:$D$622,MATCH(191,Engine!$C$2:$C$622,0)))</f>
        <v/>
      </c>
      <c r="E204">
        <f>IF(ISNA(MATCH(191,Engine!$C$2:$C$622,0)),"",INDEX('Compliance Database'!$E$2:$E$622,MATCH(191,Engine!$C$2:$C$622,0)))</f>
        <v/>
      </c>
      <c r="F204">
        <f>IF(ISNA(MATCH(191,Engine!$C$2:$C$622,0)),"",INDEX('Compliance Database'!$F$2:$F$622,MATCH(191,Engine!$C$2:$C$622,0)))</f>
        <v/>
      </c>
      <c r="G204">
        <f>IF(ISNA(MATCH(191,Engine!$C$2:$C$622,0)),"",INDEX('Compliance Database'!$G$2:$G$622,MATCH(191,Engine!$C$2:$C$622,0)))</f>
        <v/>
      </c>
      <c r="H204">
        <f>IF(ISNA(MATCH(191,Engine!$C$2:$C$622,0)),"",INDEX('Compliance Database'!$H$2:$H$622,MATCH(191,Engine!$C$2:$C$622,0)))</f>
        <v/>
      </c>
      <c r="I204" s="8">
        <f>IF(ISNA(MATCH(191,Engine!$C$2:$C$622,0)),"",INDEX('Compliance Database'!$I$2:$I$622,MATCH(191,Engine!$C$2:$C$622,0)))</f>
        <v/>
      </c>
      <c r="J204" s="8">
        <f>IF(ISNA(MATCH(191,Engine!$C$2:$C$622,0)),"",INDEX('Compliance Database'!$J$2:$J$622,MATCH(191,Engine!$C$2:$C$622,0)))</f>
        <v/>
      </c>
      <c r="K204">
        <f>IF(ISNA(MATCH(191,Engine!$C$2:$C$622,0)),"",INDEX('Compliance Database'!$K$2:$K$622,MATCH(191,Engine!$C$2:$C$622,0)))</f>
        <v/>
      </c>
      <c r="L204" s="8">
        <f>IF(ISNA(MATCH(191,Engine!$C$2:$C$622,0)),"",INDEX('Compliance Database'!$L$2:$L$622,MATCH(191,Engine!$C$2:$C$622,0)))</f>
        <v/>
      </c>
      <c r="M204" s="8">
        <f>IF(ISNA(MATCH(191,Engine!$C$2:$C$622,0)),"",INDEX('Compliance Database'!$M$2:$M$622,MATCH(191,Engine!$C$2:$C$622,0)))</f>
        <v/>
      </c>
      <c r="N204" s="8">
        <f>IF(ISNA(MATCH(191,Engine!$C$2:$C$622,0)),"",INDEX('Compliance Database'!$N$2:$N$622,MATCH(191,Engine!$C$2:$C$622,0)))</f>
        <v/>
      </c>
      <c r="O204" s="8">
        <f>IF(ISNA(MATCH(191,Engine!$C$2:$C$622,0)),"",INDEX('Compliance Database'!$O$2:$O$622,MATCH(191,Engine!$C$2:$C$622,0)))</f>
        <v/>
      </c>
    </row>
    <row r="205">
      <c r="A205">
        <f>IF(ISNA(MATCH(192,Engine!$C$2:$C$622,0)),"",INDEX('Compliance Database'!$A$2:$A$622,MATCH(192,Engine!$C$2:$C$622,0)))</f>
        <v/>
      </c>
      <c r="B205">
        <f>IF(ISNA(MATCH(192,Engine!$C$2:$C$622,0)),"",INDEX('Compliance Database'!$B$2:$B$622,MATCH(192,Engine!$C$2:$C$622,0)))</f>
        <v/>
      </c>
      <c r="C205">
        <f>IF(ISNA(MATCH(192,Engine!$C$2:$C$622,0)),"",INDEX('Compliance Database'!$C$2:$C$622,MATCH(192,Engine!$C$2:$C$622,0)))</f>
        <v/>
      </c>
      <c r="D205" s="8">
        <f>IF(ISNA(MATCH(192,Engine!$C$2:$C$622,0)),"",INDEX('Compliance Database'!$D$2:$D$622,MATCH(192,Engine!$C$2:$C$622,0)))</f>
        <v/>
      </c>
      <c r="E205">
        <f>IF(ISNA(MATCH(192,Engine!$C$2:$C$622,0)),"",INDEX('Compliance Database'!$E$2:$E$622,MATCH(192,Engine!$C$2:$C$622,0)))</f>
        <v/>
      </c>
      <c r="F205">
        <f>IF(ISNA(MATCH(192,Engine!$C$2:$C$622,0)),"",INDEX('Compliance Database'!$F$2:$F$622,MATCH(192,Engine!$C$2:$C$622,0)))</f>
        <v/>
      </c>
      <c r="G205">
        <f>IF(ISNA(MATCH(192,Engine!$C$2:$C$622,0)),"",INDEX('Compliance Database'!$G$2:$G$622,MATCH(192,Engine!$C$2:$C$622,0)))</f>
        <v/>
      </c>
      <c r="H205">
        <f>IF(ISNA(MATCH(192,Engine!$C$2:$C$622,0)),"",INDEX('Compliance Database'!$H$2:$H$622,MATCH(192,Engine!$C$2:$C$622,0)))</f>
        <v/>
      </c>
      <c r="I205" s="8">
        <f>IF(ISNA(MATCH(192,Engine!$C$2:$C$622,0)),"",INDEX('Compliance Database'!$I$2:$I$622,MATCH(192,Engine!$C$2:$C$622,0)))</f>
        <v/>
      </c>
      <c r="J205" s="8">
        <f>IF(ISNA(MATCH(192,Engine!$C$2:$C$622,0)),"",INDEX('Compliance Database'!$J$2:$J$622,MATCH(192,Engine!$C$2:$C$622,0)))</f>
        <v/>
      </c>
      <c r="K205">
        <f>IF(ISNA(MATCH(192,Engine!$C$2:$C$622,0)),"",INDEX('Compliance Database'!$K$2:$K$622,MATCH(192,Engine!$C$2:$C$622,0)))</f>
        <v/>
      </c>
      <c r="L205" s="8">
        <f>IF(ISNA(MATCH(192,Engine!$C$2:$C$622,0)),"",INDEX('Compliance Database'!$L$2:$L$622,MATCH(192,Engine!$C$2:$C$622,0)))</f>
        <v/>
      </c>
      <c r="M205" s="8">
        <f>IF(ISNA(MATCH(192,Engine!$C$2:$C$622,0)),"",INDEX('Compliance Database'!$M$2:$M$622,MATCH(192,Engine!$C$2:$C$622,0)))</f>
        <v/>
      </c>
      <c r="N205" s="8">
        <f>IF(ISNA(MATCH(192,Engine!$C$2:$C$622,0)),"",INDEX('Compliance Database'!$N$2:$N$622,MATCH(192,Engine!$C$2:$C$622,0)))</f>
        <v/>
      </c>
      <c r="O205" s="8">
        <f>IF(ISNA(MATCH(192,Engine!$C$2:$C$622,0)),"",INDEX('Compliance Database'!$O$2:$O$622,MATCH(192,Engine!$C$2:$C$622,0)))</f>
        <v/>
      </c>
    </row>
    <row r="206">
      <c r="A206">
        <f>IF(ISNA(MATCH(193,Engine!$C$2:$C$622,0)),"",INDEX('Compliance Database'!$A$2:$A$622,MATCH(193,Engine!$C$2:$C$622,0)))</f>
        <v/>
      </c>
      <c r="B206">
        <f>IF(ISNA(MATCH(193,Engine!$C$2:$C$622,0)),"",INDEX('Compliance Database'!$B$2:$B$622,MATCH(193,Engine!$C$2:$C$622,0)))</f>
        <v/>
      </c>
      <c r="C206">
        <f>IF(ISNA(MATCH(193,Engine!$C$2:$C$622,0)),"",INDEX('Compliance Database'!$C$2:$C$622,MATCH(193,Engine!$C$2:$C$622,0)))</f>
        <v/>
      </c>
      <c r="D206" s="8">
        <f>IF(ISNA(MATCH(193,Engine!$C$2:$C$622,0)),"",INDEX('Compliance Database'!$D$2:$D$622,MATCH(193,Engine!$C$2:$C$622,0)))</f>
        <v/>
      </c>
      <c r="E206">
        <f>IF(ISNA(MATCH(193,Engine!$C$2:$C$622,0)),"",INDEX('Compliance Database'!$E$2:$E$622,MATCH(193,Engine!$C$2:$C$622,0)))</f>
        <v/>
      </c>
      <c r="F206">
        <f>IF(ISNA(MATCH(193,Engine!$C$2:$C$622,0)),"",INDEX('Compliance Database'!$F$2:$F$622,MATCH(193,Engine!$C$2:$C$622,0)))</f>
        <v/>
      </c>
      <c r="G206">
        <f>IF(ISNA(MATCH(193,Engine!$C$2:$C$622,0)),"",INDEX('Compliance Database'!$G$2:$G$622,MATCH(193,Engine!$C$2:$C$622,0)))</f>
        <v/>
      </c>
      <c r="H206">
        <f>IF(ISNA(MATCH(193,Engine!$C$2:$C$622,0)),"",INDEX('Compliance Database'!$H$2:$H$622,MATCH(193,Engine!$C$2:$C$622,0)))</f>
        <v/>
      </c>
      <c r="I206" s="8">
        <f>IF(ISNA(MATCH(193,Engine!$C$2:$C$622,0)),"",INDEX('Compliance Database'!$I$2:$I$622,MATCH(193,Engine!$C$2:$C$622,0)))</f>
        <v/>
      </c>
      <c r="J206" s="8">
        <f>IF(ISNA(MATCH(193,Engine!$C$2:$C$622,0)),"",INDEX('Compliance Database'!$J$2:$J$622,MATCH(193,Engine!$C$2:$C$622,0)))</f>
        <v/>
      </c>
      <c r="K206">
        <f>IF(ISNA(MATCH(193,Engine!$C$2:$C$622,0)),"",INDEX('Compliance Database'!$K$2:$K$622,MATCH(193,Engine!$C$2:$C$622,0)))</f>
        <v/>
      </c>
      <c r="L206" s="8">
        <f>IF(ISNA(MATCH(193,Engine!$C$2:$C$622,0)),"",INDEX('Compliance Database'!$L$2:$L$622,MATCH(193,Engine!$C$2:$C$622,0)))</f>
        <v/>
      </c>
      <c r="M206" s="8">
        <f>IF(ISNA(MATCH(193,Engine!$C$2:$C$622,0)),"",INDEX('Compliance Database'!$M$2:$M$622,MATCH(193,Engine!$C$2:$C$622,0)))</f>
        <v/>
      </c>
      <c r="N206" s="8">
        <f>IF(ISNA(MATCH(193,Engine!$C$2:$C$622,0)),"",INDEX('Compliance Database'!$N$2:$N$622,MATCH(193,Engine!$C$2:$C$622,0)))</f>
        <v/>
      </c>
      <c r="O206" s="8">
        <f>IF(ISNA(MATCH(193,Engine!$C$2:$C$622,0)),"",INDEX('Compliance Database'!$O$2:$O$622,MATCH(193,Engine!$C$2:$C$622,0)))</f>
        <v/>
      </c>
    </row>
    <row r="207">
      <c r="A207">
        <f>IF(ISNA(MATCH(194,Engine!$C$2:$C$622,0)),"",INDEX('Compliance Database'!$A$2:$A$622,MATCH(194,Engine!$C$2:$C$622,0)))</f>
        <v/>
      </c>
      <c r="B207">
        <f>IF(ISNA(MATCH(194,Engine!$C$2:$C$622,0)),"",INDEX('Compliance Database'!$B$2:$B$622,MATCH(194,Engine!$C$2:$C$622,0)))</f>
        <v/>
      </c>
      <c r="C207">
        <f>IF(ISNA(MATCH(194,Engine!$C$2:$C$622,0)),"",INDEX('Compliance Database'!$C$2:$C$622,MATCH(194,Engine!$C$2:$C$622,0)))</f>
        <v/>
      </c>
      <c r="D207" s="8">
        <f>IF(ISNA(MATCH(194,Engine!$C$2:$C$622,0)),"",INDEX('Compliance Database'!$D$2:$D$622,MATCH(194,Engine!$C$2:$C$622,0)))</f>
        <v/>
      </c>
      <c r="E207">
        <f>IF(ISNA(MATCH(194,Engine!$C$2:$C$622,0)),"",INDEX('Compliance Database'!$E$2:$E$622,MATCH(194,Engine!$C$2:$C$622,0)))</f>
        <v/>
      </c>
      <c r="F207">
        <f>IF(ISNA(MATCH(194,Engine!$C$2:$C$622,0)),"",INDEX('Compliance Database'!$F$2:$F$622,MATCH(194,Engine!$C$2:$C$622,0)))</f>
        <v/>
      </c>
      <c r="G207">
        <f>IF(ISNA(MATCH(194,Engine!$C$2:$C$622,0)),"",INDEX('Compliance Database'!$G$2:$G$622,MATCH(194,Engine!$C$2:$C$622,0)))</f>
        <v/>
      </c>
      <c r="H207">
        <f>IF(ISNA(MATCH(194,Engine!$C$2:$C$622,0)),"",INDEX('Compliance Database'!$H$2:$H$622,MATCH(194,Engine!$C$2:$C$622,0)))</f>
        <v/>
      </c>
      <c r="I207" s="8">
        <f>IF(ISNA(MATCH(194,Engine!$C$2:$C$622,0)),"",INDEX('Compliance Database'!$I$2:$I$622,MATCH(194,Engine!$C$2:$C$622,0)))</f>
        <v/>
      </c>
      <c r="J207" s="8">
        <f>IF(ISNA(MATCH(194,Engine!$C$2:$C$622,0)),"",INDEX('Compliance Database'!$J$2:$J$622,MATCH(194,Engine!$C$2:$C$622,0)))</f>
        <v/>
      </c>
      <c r="K207">
        <f>IF(ISNA(MATCH(194,Engine!$C$2:$C$622,0)),"",INDEX('Compliance Database'!$K$2:$K$622,MATCH(194,Engine!$C$2:$C$622,0)))</f>
        <v/>
      </c>
      <c r="L207" s="8">
        <f>IF(ISNA(MATCH(194,Engine!$C$2:$C$622,0)),"",INDEX('Compliance Database'!$L$2:$L$622,MATCH(194,Engine!$C$2:$C$622,0)))</f>
        <v/>
      </c>
      <c r="M207" s="8">
        <f>IF(ISNA(MATCH(194,Engine!$C$2:$C$622,0)),"",INDEX('Compliance Database'!$M$2:$M$622,MATCH(194,Engine!$C$2:$C$622,0)))</f>
        <v/>
      </c>
      <c r="N207" s="8">
        <f>IF(ISNA(MATCH(194,Engine!$C$2:$C$622,0)),"",INDEX('Compliance Database'!$N$2:$N$622,MATCH(194,Engine!$C$2:$C$622,0)))</f>
        <v/>
      </c>
      <c r="O207" s="8">
        <f>IF(ISNA(MATCH(194,Engine!$C$2:$C$622,0)),"",INDEX('Compliance Database'!$O$2:$O$622,MATCH(194,Engine!$C$2:$C$622,0)))</f>
        <v/>
      </c>
    </row>
    <row r="208">
      <c r="A208">
        <f>IF(ISNA(MATCH(195,Engine!$C$2:$C$622,0)),"",INDEX('Compliance Database'!$A$2:$A$622,MATCH(195,Engine!$C$2:$C$622,0)))</f>
        <v/>
      </c>
      <c r="B208">
        <f>IF(ISNA(MATCH(195,Engine!$C$2:$C$622,0)),"",INDEX('Compliance Database'!$B$2:$B$622,MATCH(195,Engine!$C$2:$C$622,0)))</f>
        <v/>
      </c>
      <c r="C208">
        <f>IF(ISNA(MATCH(195,Engine!$C$2:$C$622,0)),"",INDEX('Compliance Database'!$C$2:$C$622,MATCH(195,Engine!$C$2:$C$622,0)))</f>
        <v/>
      </c>
      <c r="D208" s="8">
        <f>IF(ISNA(MATCH(195,Engine!$C$2:$C$622,0)),"",INDEX('Compliance Database'!$D$2:$D$622,MATCH(195,Engine!$C$2:$C$622,0)))</f>
        <v/>
      </c>
      <c r="E208">
        <f>IF(ISNA(MATCH(195,Engine!$C$2:$C$622,0)),"",INDEX('Compliance Database'!$E$2:$E$622,MATCH(195,Engine!$C$2:$C$622,0)))</f>
        <v/>
      </c>
      <c r="F208">
        <f>IF(ISNA(MATCH(195,Engine!$C$2:$C$622,0)),"",INDEX('Compliance Database'!$F$2:$F$622,MATCH(195,Engine!$C$2:$C$622,0)))</f>
        <v/>
      </c>
      <c r="G208">
        <f>IF(ISNA(MATCH(195,Engine!$C$2:$C$622,0)),"",INDEX('Compliance Database'!$G$2:$G$622,MATCH(195,Engine!$C$2:$C$622,0)))</f>
        <v/>
      </c>
      <c r="H208">
        <f>IF(ISNA(MATCH(195,Engine!$C$2:$C$622,0)),"",INDEX('Compliance Database'!$H$2:$H$622,MATCH(195,Engine!$C$2:$C$622,0)))</f>
        <v/>
      </c>
      <c r="I208" s="8">
        <f>IF(ISNA(MATCH(195,Engine!$C$2:$C$622,0)),"",INDEX('Compliance Database'!$I$2:$I$622,MATCH(195,Engine!$C$2:$C$622,0)))</f>
        <v/>
      </c>
      <c r="J208" s="8">
        <f>IF(ISNA(MATCH(195,Engine!$C$2:$C$622,0)),"",INDEX('Compliance Database'!$J$2:$J$622,MATCH(195,Engine!$C$2:$C$622,0)))</f>
        <v/>
      </c>
      <c r="K208">
        <f>IF(ISNA(MATCH(195,Engine!$C$2:$C$622,0)),"",INDEX('Compliance Database'!$K$2:$K$622,MATCH(195,Engine!$C$2:$C$622,0)))</f>
        <v/>
      </c>
      <c r="L208" s="8">
        <f>IF(ISNA(MATCH(195,Engine!$C$2:$C$622,0)),"",INDEX('Compliance Database'!$L$2:$L$622,MATCH(195,Engine!$C$2:$C$622,0)))</f>
        <v/>
      </c>
      <c r="M208" s="8">
        <f>IF(ISNA(MATCH(195,Engine!$C$2:$C$622,0)),"",INDEX('Compliance Database'!$M$2:$M$622,MATCH(195,Engine!$C$2:$C$622,0)))</f>
        <v/>
      </c>
      <c r="N208" s="8">
        <f>IF(ISNA(MATCH(195,Engine!$C$2:$C$622,0)),"",INDEX('Compliance Database'!$N$2:$N$622,MATCH(195,Engine!$C$2:$C$622,0)))</f>
        <v/>
      </c>
      <c r="O208" s="8">
        <f>IF(ISNA(MATCH(195,Engine!$C$2:$C$622,0)),"",INDEX('Compliance Database'!$O$2:$O$622,MATCH(195,Engine!$C$2:$C$622,0)))</f>
        <v/>
      </c>
    </row>
    <row r="209">
      <c r="A209">
        <f>IF(ISNA(MATCH(196,Engine!$C$2:$C$622,0)),"",INDEX('Compliance Database'!$A$2:$A$622,MATCH(196,Engine!$C$2:$C$622,0)))</f>
        <v/>
      </c>
      <c r="B209">
        <f>IF(ISNA(MATCH(196,Engine!$C$2:$C$622,0)),"",INDEX('Compliance Database'!$B$2:$B$622,MATCH(196,Engine!$C$2:$C$622,0)))</f>
        <v/>
      </c>
      <c r="C209">
        <f>IF(ISNA(MATCH(196,Engine!$C$2:$C$622,0)),"",INDEX('Compliance Database'!$C$2:$C$622,MATCH(196,Engine!$C$2:$C$622,0)))</f>
        <v/>
      </c>
      <c r="D209" s="8">
        <f>IF(ISNA(MATCH(196,Engine!$C$2:$C$622,0)),"",INDEX('Compliance Database'!$D$2:$D$622,MATCH(196,Engine!$C$2:$C$622,0)))</f>
        <v/>
      </c>
      <c r="E209">
        <f>IF(ISNA(MATCH(196,Engine!$C$2:$C$622,0)),"",INDEX('Compliance Database'!$E$2:$E$622,MATCH(196,Engine!$C$2:$C$622,0)))</f>
        <v/>
      </c>
      <c r="F209">
        <f>IF(ISNA(MATCH(196,Engine!$C$2:$C$622,0)),"",INDEX('Compliance Database'!$F$2:$F$622,MATCH(196,Engine!$C$2:$C$622,0)))</f>
        <v/>
      </c>
      <c r="G209">
        <f>IF(ISNA(MATCH(196,Engine!$C$2:$C$622,0)),"",INDEX('Compliance Database'!$G$2:$G$622,MATCH(196,Engine!$C$2:$C$622,0)))</f>
        <v/>
      </c>
      <c r="H209">
        <f>IF(ISNA(MATCH(196,Engine!$C$2:$C$622,0)),"",INDEX('Compliance Database'!$H$2:$H$622,MATCH(196,Engine!$C$2:$C$622,0)))</f>
        <v/>
      </c>
      <c r="I209" s="8">
        <f>IF(ISNA(MATCH(196,Engine!$C$2:$C$622,0)),"",INDEX('Compliance Database'!$I$2:$I$622,MATCH(196,Engine!$C$2:$C$622,0)))</f>
        <v/>
      </c>
      <c r="J209" s="8">
        <f>IF(ISNA(MATCH(196,Engine!$C$2:$C$622,0)),"",INDEX('Compliance Database'!$J$2:$J$622,MATCH(196,Engine!$C$2:$C$622,0)))</f>
        <v/>
      </c>
      <c r="K209">
        <f>IF(ISNA(MATCH(196,Engine!$C$2:$C$622,0)),"",INDEX('Compliance Database'!$K$2:$K$622,MATCH(196,Engine!$C$2:$C$622,0)))</f>
        <v/>
      </c>
      <c r="L209" s="8">
        <f>IF(ISNA(MATCH(196,Engine!$C$2:$C$622,0)),"",INDEX('Compliance Database'!$L$2:$L$622,MATCH(196,Engine!$C$2:$C$622,0)))</f>
        <v/>
      </c>
      <c r="M209" s="8">
        <f>IF(ISNA(MATCH(196,Engine!$C$2:$C$622,0)),"",INDEX('Compliance Database'!$M$2:$M$622,MATCH(196,Engine!$C$2:$C$622,0)))</f>
        <v/>
      </c>
      <c r="N209" s="8">
        <f>IF(ISNA(MATCH(196,Engine!$C$2:$C$622,0)),"",INDEX('Compliance Database'!$N$2:$N$622,MATCH(196,Engine!$C$2:$C$622,0)))</f>
        <v/>
      </c>
      <c r="O209" s="8">
        <f>IF(ISNA(MATCH(196,Engine!$C$2:$C$622,0)),"",INDEX('Compliance Database'!$O$2:$O$622,MATCH(196,Engine!$C$2:$C$622,0)))</f>
        <v/>
      </c>
    </row>
    <row r="210">
      <c r="A210">
        <f>IF(ISNA(MATCH(197,Engine!$C$2:$C$622,0)),"",INDEX('Compliance Database'!$A$2:$A$622,MATCH(197,Engine!$C$2:$C$622,0)))</f>
        <v/>
      </c>
      <c r="B210">
        <f>IF(ISNA(MATCH(197,Engine!$C$2:$C$622,0)),"",INDEX('Compliance Database'!$B$2:$B$622,MATCH(197,Engine!$C$2:$C$622,0)))</f>
        <v/>
      </c>
      <c r="C210">
        <f>IF(ISNA(MATCH(197,Engine!$C$2:$C$622,0)),"",INDEX('Compliance Database'!$C$2:$C$622,MATCH(197,Engine!$C$2:$C$622,0)))</f>
        <v/>
      </c>
      <c r="D210" s="8">
        <f>IF(ISNA(MATCH(197,Engine!$C$2:$C$622,0)),"",INDEX('Compliance Database'!$D$2:$D$622,MATCH(197,Engine!$C$2:$C$622,0)))</f>
        <v/>
      </c>
      <c r="E210">
        <f>IF(ISNA(MATCH(197,Engine!$C$2:$C$622,0)),"",INDEX('Compliance Database'!$E$2:$E$622,MATCH(197,Engine!$C$2:$C$622,0)))</f>
        <v/>
      </c>
      <c r="F210">
        <f>IF(ISNA(MATCH(197,Engine!$C$2:$C$622,0)),"",INDEX('Compliance Database'!$F$2:$F$622,MATCH(197,Engine!$C$2:$C$622,0)))</f>
        <v/>
      </c>
      <c r="G210">
        <f>IF(ISNA(MATCH(197,Engine!$C$2:$C$622,0)),"",INDEX('Compliance Database'!$G$2:$G$622,MATCH(197,Engine!$C$2:$C$622,0)))</f>
        <v/>
      </c>
      <c r="H210">
        <f>IF(ISNA(MATCH(197,Engine!$C$2:$C$622,0)),"",INDEX('Compliance Database'!$H$2:$H$622,MATCH(197,Engine!$C$2:$C$622,0)))</f>
        <v/>
      </c>
      <c r="I210" s="8">
        <f>IF(ISNA(MATCH(197,Engine!$C$2:$C$622,0)),"",INDEX('Compliance Database'!$I$2:$I$622,MATCH(197,Engine!$C$2:$C$622,0)))</f>
        <v/>
      </c>
      <c r="J210" s="8">
        <f>IF(ISNA(MATCH(197,Engine!$C$2:$C$622,0)),"",INDEX('Compliance Database'!$J$2:$J$622,MATCH(197,Engine!$C$2:$C$622,0)))</f>
        <v/>
      </c>
      <c r="K210">
        <f>IF(ISNA(MATCH(197,Engine!$C$2:$C$622,0)),"",INDEX('Compliance Database'!$K$2:$K$622,MATCH(197,Engine!$C$2:$C$622,0)))</f>
        <v/>
      </c>
      <c r="L210" s="8">
        <f>IF(ISNA(MATCH(197,Engine!$C$2:$C$622,0)),"",INDEX('Compliance Database'!$L$2:$L$622,MATCH(197,Engine!$C$2:$C$622,0)))</f>
        <v/>
      </c>
      <c r="M210" s="8">
        <f>IF(ISNA(MATCH(197,Engine!$C$2:$C$622,0)),"",INDEX('Compliance Database'!$M$2:$M$622,MATCH(197,Engine!$C$2:$C$622,0)))</f>
        <v/>
      </c>
      <c r="N210" s="8">
        <f>IF(ISNA(MATCH(197,Engine!$C$2:$C$622,0)),"",INDEX('Compliance Database'!$N$2:$N$622,MATCH(197,Engine!$C$2:$C$622,0)))</f>
        <v/>
      </c>
      <c r="O210" s="8">
        <f>IF(ISNA(MATCH(197,Engine!$C$2:$C$622,0)),"",INDEX('Compliance Database'!$O$2:$O$622,MATCH(197,Engine!$C$2:$C$622,0)))</f>
        <v/>
      </c>
    </row>
    <row r="211">
      <c r="A211">
        <f>IF(ISNA(MATCH(198,Engine!$C$2:$C$622,0)),"",INDEX('Compliance Database'!$A$2:$A$622,MATCH(198,Engine!$C$2:$C$622,0)))</f>
        <v/>
      </c>
      <c r="B211">
        <f>IF(ISNA(MATCH(198,Engine!$C$2:$C$622,0)),"",INDEX('Compliance Database'!$B$2:$B$622,MATCH(198,Engine!$C$2:$C$622,0)))</f>
        <v/>
      </c>
      <c r="C211">
        <f>IF(ISNA(MATCH(198,Engine!$C$2:$C$622,0)),"",INDEX('Compliance Database'!$C$2:$C$622,MATCH(198,Engine!$C$2:$C$622,0)))</f>
        <v/>
      </c>
      <c r="D211" s="8">
        <f>IF(ISNA(MATCH(198,Engine!$C$2:$C$622,0)),"",INDEX('Compliance Database'!$D$2:$D$622,MATCH(198,Engine!$C$2:$C$622,0)))</f>
        <v/>
      </c>
      <c r="E211">
        <f>IF(ISNA(MATCH(198,Engine!$C$2:$C$622,0)),"",INDEX('Compliance Database'!$E$2:$E$622,MATCH(198,Engine!$C$2:$C$622,0)))</f>
        <v/>
      </c>
      <c r="F211">
        <f>IF(ISNA(MATCH(198,Engine!$C$2:$C$622,0)),"",INDEX('Compliance Database'!$F$2:$F$622,MATCH(198,Engine!$C$2:$C$622,0)))</f>
        <v/>
      </c>
      <c r="G211">
        <f>IF(ISNA(MATCH(198,Engine!$C$2:$C$622,0)),"",INDEX('Compliance Database'!$G$2:$G$622,MATCH(198,Engine!$C$2:$C$622,0)))</f>
        <v/>
      </c>
      <c r="H211">
        <f>IF(ISNA(MATCH(198,Engine!$C$2:$C$622,0)),"",INDEX('Compliance Database'!$H$2:$H$622,MATCH(198,Engine!$C$2:$C$622,0)))</f>
        <v/>
      </c>
      <c r="I211" s="8">
        <f>IF(ISNA(MATCH(198,Engine!$C$2:$C$622,0)),"",INDEX('Compliance Database'!$I$2:$I$622,MATCH(198,Engine!$C$2:$C$622,0)))</f>
        <v/>
      </c>
      <c r="J211" s="8">
        <f>IF(ISNA(MATCH(198,Engine!$C$2:$C$622,0)),"",INDEX('Compliance Database'!$J$2:$J$622,MATCH(198,Engine!$C$2:$C$622,0)))</f>
        <v/>
      </c>
      <c r="K211">
        <f>IF(ISNA(MATCH(198,Engine!$C$2:$C$622,0)),"",INDEX('Compliance Database'!$K$2:$K$622,MATCH(198,Engine!$C$2:$C$622,0)))</f>
        <v/>
      </c>
      <c r="L211" s="8">
        <f>IF(ISNA(MATCH(198,Engine!$C$2:$C$622,0)),"",INDEX('Compliance Database'!$L$2:$L$622,MATCH(198,Engine!$C$2:$C$622,0)))</f>
        <v/>
      </c>
      <c r="M211" s="8">
        <f>IF(ISNA(MATCH(198,Engine!$C$2:$C$622,0)),"",INDEX('Compliance Database'!$M$2:$M$622,MATCH(198,Engine!$C$2:$C$622,0)))</f>
        <v/>
      </c>
      <c r="N211" s="8">
        <f>IF(ISNA(MATCH(198,Engine!$C$2:$C$622,0)),"",INDEX('Compliance Database'!$N$2:$N$622,MATCH(198,Engine!$C$2:$C$622,0)))</f>
        <v/>
      </c>
      <c r="O211" s="8">
        <f>IF(ISNA(MATCH(198,Engine!$C$2:$C$622,0)),"",INDEX('Compliance Database'!$O$2:$O$622,MATCH(198,Engine!$C$2:$C$622,0)))</f>
        <v/>
      </c>
    </row>
    <row r="212">
      <c r="A212">
        <f>IF(ISNA(MATCH(199,Engine!$C$2:$C$622,0)),"",INDEX('Compliance Database'!$A$2:$A$622,MATCH(199,Engine!$C$2:$C$622,0)))</f>
        <v/>
      </c>
      <c r="B212">
        <f>IF(ISNA(MATCH(199,Engine!$C$2:$C$622,0)),"",INDEX('Compliance Database'!$B$2:$B$622,MATCH(199,Engine!$C$2:$C$622,0)))</f>
        <v/>
      </c>
      <c r="C212">
        <f>IF(ISNA(MATCH(199,Engine!$C$2:$C$622,0)),"",INDEX('Compliance Database'!$C$2:$C$622,MATCH(199,Engine!$C$2:$C$622,0)))</f>
        <v/>
      </c>
      <c r="D212" s="8">
        <f>IF(ISNA(MATCH(199,Engine!$C$2:$C$622,0)),"",INDEX('Compliance Database'!$D$2:$D$622,MATCH(199,Engine!$C$2:$C$622,0)))</f>
        <v/>
      </c>
      <c r="E212">
        <f>IF(ISNA(MATCH(199,Engine!$C$2:$C$622,0)),"",INDEX('Compliance Database'!$E$2:$E$622,MATCH(199,Engine!$C$2:$C$622,0)))</f>
        <v/>
      </c>
      <c r="F212">
        <f>IF(ISNA(MATCH(199,Engine!$C$2:$C$622,0)),"",INDEX('Compliance Database'!$F$2:$F$622,MATCH(199,Engine!$C$2:$C$622,0)))</f>
        <v/>
      </c>
      <c r="G212">
        <f>IF(ISNA(MATCH(199,Engine!$C$2:$C$622,0)),"",INDEX('Compliance Database'!$G$2:$G$622,MATCH(199,Engine!$C$2:$C$622,0)))</f>
        <v/>
      </c>
      <c r="H212">
        <f>IF(ISNA(MATCH(199,Engine!$C$2:$C$622,0)),"",INDEX('Compliance Database'!$H$2:$H$622,MATCH(199,Engine!$C$2:$C$622,0)))</f>
        <v/>
      </c>
      <c r="I212" s="8">
        <f>IF(ISNA(MATCH(199,Engine!$C$2:$C$622,0)),"",INDEX('Compliance Database'!$I$2:$I$622,MATCH(199,Engine!$C$2:$C$622,0)))</f>
        <v/>
      </c>
      <c r="J212" s="8">
        <f>IF(ISNA(MATCH(199,Engine!$C$2:$C$622,0)),"",INDEX('Compliance Database'!$J$2:$J$622,MATCH(199,Engine!$C$2:$C$622,0)))</f>
        <v/>
      </c>
      <c r="K212">
        <f>IF(ISNA(MATCH(199,Engine!$C$2:$C$622,0)),"",INDEX('Compliance Database'!$K$2:$K$622,MATCH(199,Engine!$C$2:$C$622,0)))</f>
        <v/>
      </c>
      <c r="L212" s="8">
        <f>IF(ISNA(MATCH(199,Engine!$C$2:$C$622,0)),"",INDEX('Compliance Database'!$L$2:$L$622,MATCH(199,Engine!$C$2:$C$622,0)))</f>
        <v/>
      </c>
      <c r="M212" s="8">
        <f>IF(ISNA(MATCH(199,Engine!$C$2:$C$622,0)),"",INDEX('Compliance Database'!$M$2:$M$622,MATCH(199,Engine!$C$2:$C$622,0)))</f>
        <v/>
      </c>
      <c r="N212" s="8">
        <f>IF(ISNA(MATCH(199,Engine!$C$2:$C$622,0)),"",INDEX('Compliance Database'!$N$2:$N$622,MATCH(199,Engine!$C$2:$C$622,0)))</f>
        <v/>
      </c>
      <c r="O212" s="8">
        <f>IF(ISNA(MATCH(199,Engine!$C$2:$C$622,0)),"",INDEX('Compliance Database'!$O$2:$O$622,MATCH(199,Engine!$C$2:$C$622,0)))</f>
        <v/>
      </c>
    </row>
    <row r="213">
      <c r="A213">
        <f>IF(ISNA(MATCH(200,Engine!$C$2:$C$622,0)),"",INDEX('Compliance Database'!$A$2:$A$622,MATCH(200,Engine!$C$2:$C$622,0)))</f>
        <v/>
      </c>
      <c r="B213">
        <f>IF(ISNA(MATCH(200,Engine!$C$2:$C$622,0)),"",INDEX('Compliance Database'!$B$2:$B$622,MATCH(200,Engine!$C$2:$C$622,0)))</f>
        <v/>
      </c>
      <c r="C213">
        <f>IF(ISNA(MATCH(200,Engine!$C$2:$C$622,0)),"",INDEX('Compliance Database'!$C$2:$C$622,MATCH(200,Engine!$C$2:$C$622,0)))</f>
        <v/>
      </c>
      <c r="D213" s="8">
        <f>IF(ISNA(MATCH(200,Engine!$C$2:$C$622,0)),"",INDEX('Compliance Database'!$D$2:$D$622,MATCH(200,Engine!$C$2:$C$622,0)))</f>
        <v/>
      </c>
      <c r="E213">
        <f>IF(ISNA(MATCH(200,Engine!$C$2:$C$622,0)),"",INDEX('Compliance Database'!$E$2:$E$622,MATCH(200,Engine!$C$2:$C$622,0)))</f>
        <v/>
      </c>
      <c r="F213">
        <f>IF(ISNA(MATCH(200,Engine!$C$2:$C$622,0)),"",INDEX('Compliance Database'!$F$2:$F$622,MATCH(200,Engine!$C$2:$C$622,0)))</f>
        <v/>
      </c>
      <c r="G213">
        <f>IF(ISNA(MATCH(200,Engine!$C$2:$C$622,0)),"",INDEX('Compliance Database'!$G$2:$G$622,MATCH(200,Engine!$C$2:$C$622,0)))</f>
        <v/>
      </c>
      <c r="H213">
        <f>IF(ISNA(MATCH(200,Engine!$C$2:$C$622,0)),"",INDEX('Compliance Database'!$H$2:$H$622,MATCH(200,Engine!$C$2:$C$622,0)))</f>
        <v/>
      </c>
      <c r="I213" s="8">
        <f>IF(ISNA(MATCH(200,Engine!$C$2:$C$622,0)),"",INDEX('Compliance Database'!$I$2:$I$622,MATCH(200,Engine!$C$2:$C$622,0)))</f>
        <v/>
      </c>
      <c r="J213" s="8">
        <f>IF(ISNA(MATCH(200,Engine!$C$2:$C$622,0)),"",INDEX('Compliance Database'!$J$2:$J$622,MATCH(200,Engine!$C$2:$C$622,0)))</f>
        <v/>
      </c>
      <c r="K213">
        <f>IF(ISNA(MATCH(200,Engine!$C$2:$C$622,0)),"",INDEX('Compliance Database'!$K$2:$K$622,MATCH(200,Engine!$C$2:$C$622,0)))</f>
        <v/>
      </c>
      <c r="L213" s="8">
        <f>IF(ISNA(MATCH(200,Engine!$C$2:$C$622,0)),"",INDEX('Compliance Database'!$L$2:$L$622,MATCH(200,Engine!$C$2:$C$622,0)))</f>
        <v/>
      </c>
      <c r="M213" s="8">
        <f>IF(ISNA(MATCH(200,Engine!$C$2:$C$622,0)),"",INDEX('Compliance Database'!$M$2:$M$622,MATCH(200,Engine!$C$2:$C$622,0)))</f>
        <v/>
      </c>
      <c r="N213" s="8">
        <f>IF(ISNA(MATCH(200,Engine!$C$2:$C$622,0)),"",INDEX('Compliance Database'!$N$2:$N$622,MATCH(200,Engine!$C$2:$C$622,0)))</f>
        <v/>
      </c>
      <c r="O213" s="8">
        <f>IF(ISNA(MATCH(200,Engine!$C$2:$C$622,0)),"",INDEX('Compliance Database'!$O$2:$O$622,MATCH(200,Engine!$C$2:$C$622,0)))</f>
        <v/>
      </c>
    </row>
    <row r="214">
      <c r="A214">
        <f>IF(ISNA(MATCH(201,Engine!$C$2:$C$622,0)),"",INDEX('Compliance Database'!$A$2:$A$622,MATCH(201,Engine!$C$2:$C$622,0)))</f>
        <v/>
      </c>
      <c r="B214">
        <f>IF(ISNA(MATCH(201,Engine!$C$2:$C$622,0)),"",INDEX('Compliance Database'!$B$2:$B$622,MATCH(201,Engine!$C$2:$C$622,0)))</f>
        <v/>
      </c>
      <c r="C214">
        <f>IF(ISNA(MATCH(201,Engine!$C$2:$C$622,0)),"",INDEX('Compliance Database'!$C$2:$C$622,MATCH(201,Engine!$C$2:$C$622,0)))</f>
        <v/>
      </c>
      <c r="D214" s="8">
        <f>IF(ISNA(MATCH(201,Engine!$C$2:$C$622,0)),"",INDEX('Compliance Database'!$D$2:$D$622,MATCH(201,Engine!$C$2:$C$622,0)))</f>
        <v/>
      </c>
      <c r="E214">
        <f>IF(ISNA(MATCH(201,Engine!$C$2:$C$622,0)),"",INDEX('Compliance Database'!$E$2:$E$622,MATCH(201,Engine!$C$2:$C$622,0)))</f>
        <v/>
      </c>
      <c r="F214">
        <f>IF(ISNA(MATCH(201,Engine!$C$2:$C$622,0)),"",INDEX('Compliance Database'!$F$2:$F$622,MATCH(201,Engine!$C$2:$C$622,0)))</f>
        <v/>
      </c>
      <c r="G214">
        <f>IF(ISNA(MATCH(201,Engine!$C$2:$C$622,0)),"",INDEX('Compliance Database'!$G$2:$G$622,MATCH(201,Engine!$C$2:$C$622,0)))</f>
        <v/>
      </c>
      <c r="H214">
        <f>IF(ISNA(MATCH(201,Engine!$C$2:$C$622,0)),"",INDEX('Compliance Database'!$H$2:$H$622,MATCH(201,Engine!$C$2:$C$622,0)))</f>
        <v/>
      </c>
      <c r="I214" s="8">
        <f>IF(ISNA(MATCH(201,Engine!$C$2:$C$622,0)),"",INDEX('Compliance Database'!$I$2:$I$622,MATCH(201,Engine!$C$2:$C$622,0)))</f>
        <v/>
      </c>
      <c r="J214" s="8">
        <f>IF(ISNA(MATCH(201,Engine!$C$2:$C$622,0)),"",INDEX('Compliance Database'!$J$2:$J$622,MATCH(201,Engine!$C$2:$C$622,0)))</f>
        <v/>
      </c>
      <c r="K214">
        <f>IF(ISNA(MATCH(201,Engine!$C$2:$C$622,0)),"",INDEX('Compliance Database'!$K$2:$K$622,MATCH(201,Engine!$C$2:$C$622,0)))</f>
        <v/>
      </c>
      <c r="L214" s="8">
        <f>IF(ISNA(MATCH(201,Engine!$C$2:$C$622,0)),"",INDEX('Compliance Database'!$L$2:$L$622,MATCH(201,Engine!$C$2:$C$622,0)))</f>
        <v/>
      </c>
      <c r="M214" s="8">
        <f>IF(ISNA(MATCH(201,Engine!$C$2:$C$622,0)),"",INDEX('Compliance Database'!$M$2:$M$622,MATCH(201,Engine!$C$2:$C$622,0)))</f>
        <v/>
      </c>
      <c r="N214" s="8">
        <f>IF(ISNA(MATCH(201,Engine!$C$2:$C$622,0)),"",INDEX('Compliance Database'!$N$2:$N$622,MATCH(201,Engine!$C$2:$C$622,0)))</f>
        <v/>
      </c>
      <c r="O214" s="8">
        <f>IF(ISNA(MATCH(201,Engine!$C$2:$C$622,0)),"",INDEX('Compliance Database'!$O$2:$O$622,MATCH(201,Engine!$C$2:$C$622,0)))</f>
        <v/>
      </c>
    </row>
    <row r="215">
      <c r="A215">
        <f>IF(ISNA(MATCH(202,Engine!$C$2:$C$622,0)),"",INDEX('Compliance Database'!$A$2:$A$622,MATCH(202,Engine!$C$2:$C$622,0)))</f>
        <v/>
      </c>
      <c r="B215">
        <f>IF(ISNA(MATCH(202,Engine!$C$2:$C$622,0)),"",INDEX('Compliance Database'!$B$2:$B$622,MATCH(202,Engine!$C$2:$C$622,0)))</f>
        <v/>
      </c>
      <c r="C215">
        <f>IF(ISNA(MATCH(202,Engine!$C$2:$C$622,0)),"",INDEX('Compliance Database'!$C$2:$C$622,MATCH(202,Engine!$C$2:$C$622,0)))</f>
        <v/>
      </c>
      <c r="D215" s="8">
        <f>IF(ISNA(MATCH(202,Engine!$C$2:$C$622,0)),"",INDEX('Compliance Database'!$D$2:$D$622,MATCH(202,Engine!$C$2:$C$622,0)))</f>
        <v/>
      </c>
      <c r="E215">
        <f>IF(ISNA(MATCH(202,Engine!$C$2:$C$622,0)),"",INDEX('Compliance Database'!$E$2:$E$622,MATCH(202,Engine!$C$2:$C$622,0)))</f>
        <v/>
      </c>
      <c r="F215">
        <f>IF(ISNA(MATCH(202,Engine!$C$2:$C$622,0)),"",INDEX('Compliance Database'!$F$2:$F$622,MATCH(202,Engine!$C$2:$C$622,0)))</f>
        <v/>
      </c>
      <c r="G215">
        <f>IF(ISNA(MATCH(202,Engine!$C$2:$C$622,0)),"",INDEX('Compliance Database'!$G$2:$G$622,MATCH(202,Engine!$C$2:$C$622,0)))</f>
        <v/>
      </c>
      <c r="H215">
        <f>IF(ISNA(MATCH(202,Engine!$C$2:$C$622,0)),"",INDEX('Compliance Database'!$H$2:$H$622,MATCH(202,Engine!$C$2:$C$622,0)))</f>
        <v/>
      </c>
      <c r="I215" s="8">
        <f>IF(ISNA(MATCH(202,Engine!$C$2:$C$622,0)),"",INDEX('Compliance Database'!$I$2:$I$622,MATCH(202,Engine!$C$2:$C$622,0)))</f>
        <v/>
      </c>
      <c r="J215" s="8">
        <f>IF(ISNA(MATCH(202,Engine!$C$2:$C$622,0)),"",INDEX('Compliance Database'!$J$2:$J$622,MATCH(202,Engine!$C$2:$C$622,0)))</f>
        <v/>
      </c>
      <c r="K215">
        <f>IF(ISNA(MATCH(202,Engine!$C$2:$C$622,0)),"",INDEX('Compliance Database'!$K$2:$K$622,MATCH(202,Engine!$C$2:$C$622,0)))</f>
        <v/>
      </c>
      <c r="L215" s="8">
        <f>IF(ISNA(MATCH(202,Engine!$C$2:$C$622,0)),"",INDEX('Compliance Database'!$L$2:$L$622,MATCH(202,Engine!$C$2:$C$622,0)))</f>
        <v/>
      </c>
      <c r="M215" s="8">
        <f>IF(ISNA(MATCH(202,Engine!$C$2:$C$622,0)),"",INDEX('Compliance Database'!$M$2:$M$622,MATCH(202,Engine!$C$2:$C$622,0)))</f>
        <v/>
      </c>
      <c r="N215" s="8">
        <f>IF(ISNA(MATCH(202,Engine!$C$2:$C$622,0)),"",INDEX('Compliance Database'!$N$2:$N$622,MATCH(202,Engine!$C$2:$C$622,0)))</f>
        <v/>
      </c>
      <c r="O215" s="8">
        <f>IF(ISNA(MATCH(202,Engine!$C$2:$C$622,0)),"",INDEX('Compliance Database'!$O$2:$O$622,MATCH(202,Engine!$C$2:$C$622,0)))</f>
        <v/>
      </c>
    </row>
    <row r="216">
      <c r="A216">
        <f>IF(ISNA(MATCH(203,Engine!$C$2:$C$622,0)),"",INDEX('Compliance Database'!$A$2:$A$622,MATCH(203,Engine!$C$2:$C$622,0)))</f>
        <v/>
      </c>
      <c r="B216">
        <f>IF(ISNA(MATCH(203,Engine!$C$2:$C$622,0)),"",INDEX('Compliance Database'!$B$2:$B$622,MATCH(203,Engine!$C$2:$C$622,0)))</f>
        <v/>
      </c>
      <c r="C216">
        <f>IF(ISNA(MATCH(203,Engine!$C$2:$C$622,0)),"",INDEX('Compliance Database'!$C$2:$C$622,MATCH(203,Engine!$C$2:$C$622,0)))</f>
        <v/>
      </c>
      <c r="D216" s="8">
        <f>IF(ISNA(MATCH(203,Engine!$C$2:$C$622,0)),"",INDEX('Compliance Database'!$D$2:$D$622,MATCH(203,Engine!$C$2:$C$622,0)))</f>
        <v/>
      </c>
      <c r="E216">
        <f>IF(ISNA(MATCH(203,Engine!$C$2:$C$622,0)),"",INDEX('Compliance Database'!$E$2:$E$622,MATCH(203,Engine!$C$2:$C$622,0)))</f>
        <v/>
      </c>
      <c r="F216">
        <f>IF(ISNA(MATCH(203,Engine!$C$2:$C$622,0)),"",INDEX('Compliance Database'!$F$2:$F$622,MATCH(203,Engine!$C$2:$C$622,0)))</f>
        <v/>
      </c>
      <c r="G216">
        <f>IF(ISNA(MATCH(203,Engine!$C$2:$C$622,0)),"",INDEX('Compliance Database'!$G$2:$G$622,MATCH(203,Engine!$C$2:$C$622,0)))</f>
        <v/>
      </c>
      <c r="H216">
        <f>IF(ISNA(MATCH(203,Engine!$C$2:$C$622,0)),"",INDEX('Compliance Database'!$H$2:$H$622,MATCH(203,Engine!$C$2:$C$622,0)))</f>
        <v/>
      </c>
      <c r="I216" s="8">
        <f>IF(ISNA(MATCH(203,Engine!$C$2:$C$622,0)),"",INDEX('Compliance Database'!$I$2:$I$622,MATCH(203,Engine!$C$2:$C$622,0)))</f>
        <v/>
      </c>
      <c r="J216" s="8">
        <f>IF(ISNA(MATCH(203,Engine!$C$2:$C$622,0)),"",INDEX('Compliance Database'!$J$2:$J$622,MATCH(203,Engine!$C$2:$C$622,0)))</f>
        <v/>
      </c>
      <c r="K216">
        <f>IF(ISNA(MATCH(203,Engine!$C$2:$C$622,0)),"",INDEX('Compliance Database'!$K$2:$K$622,MATCH(203,Engine!$C$2:$C$622,0)))</f>
        <v/>
      </c>
      <c r="L216" s="8">
        <f>IF(ISNA(MATCH(203,Engine!$C$2:$C$622,0)),"",INDEX('Compliance Database'!$L$2:$L$622,MATCH(203,Engine!$C$2:$C$622,0)))</f>
        <v/>
      </c>
      <c r="M216" s="8">
        <f>IF(ISNA(MATCH(203,Engine!$C$2:$C$622,0)),"",INDEX('Compliance Database'!$M$2:$M$622,MATCH(203,Engine!$C$2:$C$622,0)))</f>
        <v/>
      </c>
      <c r="N216" s="8">
        <f>IF(ISNA(MATCH(203,Engine!$C$2:$C$622,0)),"",INDEX('Compliance Database'!$N$2:$N$622,MATCH(203,Engine!$C$2:$C$622,0)))</f>
        <v/>
      </c>
      <c r="O216" s="8">
        <f>IF(ISNA(MATCH(203,Engine!$C$2:$C$622,0)),"",INDEX('Compliance Database'!$O$2:$O$622,MATCH(203,Engine!$C$2:$C$622,0)))</f>
        <v/>
      </c>
    </row>
    <row r="217">
      <c r="A217">
        <f>IF(ISNA(MATCH(204,Engine!$C$2:$C$622,0)),"",INDEX('Compliance Database'!$A$2:$A$622,MATCH(204,Engine!$C$2:$C$622,0)))</f>
        <v/>
      </c>
      <c r="B217">
        <f>IF(ISNA(MATCH(204,Engine!$C$2:$C$622,0)),"",INDEX('Compliance Database'!$B$2:$B$622,MATCH(204,Engine!$C$2:$C$622,0)))</f>
        <v/>
      </c>
      <c r="C217">
        <f>IF(ISNA(MATCH(204,Engine!$C$2:$C$622,0)),"",INDEX('Compliance Database'!$C$2:$C$622,MATCH(204,Engine!$C$2:$C$622,0)))</f>
        <v/>
      </c>
      <c r="D217" s="8">
        <f>IF(ISNA(MATCH(204,Engine!$C$2:$C$622,0)),"",INDEX('Compliance Database'!$D$2:$D$622,MATCH(204,Engine!$C$2:$C$622,0)))</f>
        <v/>
      </c>
      <c r="E217">
        <f>IF(ISNA(MATCH(204,Engine!$C$2:$C$622,0)),"",INDEX('Compliance Database'!$E$2:$E$622,MATCH(204,Engine!$C$2:$C$622,0)))</f>
        <v/>
      </c>
      <c r="F217">
        <f>IF(ISNA(MATCH(204,Engine!$C$2:$C$622,0)),"",INDEX('Compliance Database'!$F$2:$F$622,MATCH(204,Engine!$C$2:$C$622,0)))</f>
        <v/>
      </c>
      <c r="G217">
        <f>IF(ISNA(MATCH(204,Engine!$C$2:$C$622,0)),"",INDEX('Compliance Database'!$G$2:$G$622,MATCH(204,Engine!$C$2:$C$622,0)))</f>
        <v/>
      </c>
      <c r="H217">
        <f>IF(ISNA(MATCH(204,Engine!$C$2:$C$622,0)),"",INDEX('Compliance Database'!$H$2:$H$622,MATCH(204,Engine!$C$2:$C$622,0)))</f>
        <v/>
      </c>
      <c r="I217" s="8">
        <f>IF(ISNA(MATCH(204,Engine!$C$2:$C$622,0)),"",INDEX('Compliance Database'!$I$2:$I$622,MATCH(204,Engine!$C$2:$C$622,0)))</f>
        <v/>
      </c>
      <c r="J217" s="8">
        <f>IF(ISNA(MATCH(204,Engine!$C$2:$C$622,0)),"",INDEX('Compliance Database'!$J$2:$J$622,MATCH(204,Engine!$C$2:$C$622,0)))</f>
        <v/>
      </c>
      <c r="K217">
        <f>IF(ISNA(MATCH(204,Engine!$C$2:$C$622,0)),"",INDEX('Compliance Database'!$K$2:$K$622,MATCH(204,Engine!$C$2:$C$622,0)))</f>
        <v/>
      </c>
      <c r="L217" s="8">
        <f>IF(ISNA(MATCH(204,Engine!$C$2:$C$622,0)),"",INDEX('Compliance Database'!$L$2:$L$622,MATCH(204,Engine!$C$2:$C$622,0)))</f>
        <v/>
      </c>
      <c r="M217" s="8">
        <f>IF(ISNA(MATCH(204,Engine!$C$2:$C$622,0)),"",INDEX('Compliance Database'!$M$2:$M$622,MATCH(204,Engine!$C$2:$C$622,0)))</f>
        <v/>
      </c>
      <c r="N217" s="8">
        <f>IF(ISNA(MATCH(204,Engine!$C$2:$C$622,0)),"",INDEX('Compliance Database'!$N$2:$N$622,MATCH(204,Engine!$C$2:$C$622,0)))</f>
        <v/>
      </c>
      <c r="O217" s="8">
        <f>IF(ISNA(MATCH(204,Engine!$C$2:$C$622,0)),"",INDEX('Compliance Database'!$O$2:$O$622,MATCH(204,Engine!$C$2:$C$622,0)))</f>
        <v/>
      </c>
    </row>
    <row r="218">
      <c r="A218">
        <f>IF(ISNA(MATCH(205,Engine!$C$2:$C$622,0)),"",INDEX('Compliance Database'!$A$2:$A$622,MATCH(205,Engine!$C$2:$C$622,0)))</f>
        <v/>
      </c>
      <c r="B218">
        <f>IF(ISNA(MATCH(205,Engine!$C$2:$C$622,0)),"",INDEX('Compliance Database'!$B$2:$B$622,MATCH(205,Engine!$C$2:$C$622,0)))</f>
        <v/>
      </c>
      <c r="C218">
        <f>IF(ISNA(MATCH(205,Engine!$C$2:$C$622,0)),"",INDEX('Compliance Database'!$C$2:$C$622,MATCH(205,Engine!$C$2:$C$622,0)))</f>
        <v/>
      </c>
      <c r="D218" s="8">
        <f>IF(ISNA(MATCH(205,Engine!$C$2:$C$622,0)),"",INDEX('Compliance Database'!$D$2:$D$622,MATCH(205,Engine!$C$2:$C$622,0)))</f>
        <v/>
      </c>
      <c r="E218">
        <f>IF(ISNA(MATCH(205,Engine!$C$2:$C$622,0)),"",INDEX('Compliance Database'!$E$2:$E$622,MATCH(205,Engine!$C$2:$C$622,0)))</f>
        <v/>
      </c>
      <c r="F218">
        <f>IF(ISNA(MATCH(205,Engine!$C$2:$C$622,0)),"",INDEX('Compliance Database'!$F$2:$F$622,MATCH(205,Engine!$C$2:$C$622,0)))</f>
        <v/>
      </c>
      <c r="G218">
        <f>IF(ISNA(MATCH(205,Engine!$C$2:$C$622,0)),"",INDEX('Compliance Database'!$G$2:$G$622,MATCH(205,Engine!$C$2:$C$622,0)))</f>
        <v/>
      </c>
      <c r="H218">
        <f>IF(ISNA(MATCH(205,Engine!$C$2:$C$622,0)),"",INDEX('Compliance Database'!$H$2:$H$622,MATCH(205,Engine!$C$2:$C$622,0)))</f>
        <v/>
      </c>
      <c r="I218" s="8">
        <f>IF(ISNA(MATCH(205,Engine!$C$2:$C$622,0)),"",INDEX('Compliance Database'!$I$2:$I$622,MATCH(205,Engine!$C$2:$C$622,0)))</f>
        <v/>
      </c>
      <c r="J218" s="8">
        <f>IF(ISNA(MATCH(205,Engine!$C$2:$C$622,0)),"",INDEX('Compliance Database'!$J$2:$J$622,MATCH(205,Engine!$C$2:$C$622,0)))</f>
        <v/>
      </c>
      <c r="K218">
        <f>IF(ISNA(MATCH(205,Engine!$C$2:$C$622,0)),"",INDEX('Compliance Database'!$K$2:$K$622,MATCH(205,Engine!$C$2:$C$622,0)))</f>
        <v/>
      </c>
      <c r="L218" s="8">
        <f>IF(ISNA(MATCH(205,Engine!$C$2:$C$622,0)),"",INDEX('Compliance Database'!$L$2:$L$622,MATCH(205,Engine!$C$2:$C$622,0)))</f>
        <v/>
      </c>
      <c r="M218" s="8">
        <f>IF(ISNA(MATCH(205,Engine!$C$2:$C$622,0)),"",INDEX('Compliance Database'!$M$2:$M$622,MATCH(205,Engine!$C$2:$C$622,0)))</f>
        <v/>
      </c>
      <c r="N218" s="8">
        <f>IF(ISNA(MATCH(205,Engine!$C$2:$C$622,0)),"",INDEX('Compliance Database'!$N$2:$N$622,MATCH(205,Engine!$C$2:$C$622,0)))</f>
        <v/>
      </c>
      <c r="O218" s="8">
        <f>IF(ISNA(MATCH(205,Engine!$C$2:$C$622,0)),"",INDEX('Compliance Database'!$O$2:$O$622,MATCH(205,Engine!$C$2:$C$622,0)))</f>
        <v/>
      </c>
    </row>
    <row r="219">
      <c r="A219">
        <f>IF(ISNA(MATCH(206,Engine!$C$2:$C$622,0)),"",INDEX('Compliance Database'!$A$2:$A$622,MATCH(206,Engine!$C$2:$C$622,0)))</f>
        <v/>
      </c>
      <c r="B219">
        <f>IF(ISNA(MATCH(206,Engine!$C$2:$C$622,0)),"",INDEX('Compliance Database'!$B$2:$B$622,MATCH(206,Engine!$C$2:$C$622,0)))</f>
        <v/>
      </c>
      <c r="C219">
        <f>IF(ISNA(MATCH(206,Engine!$C$2:$C$622,0)),"",INDEX('Compliance Database'!$C$2:$C$622,MATCH(206,Engine!$C$2:$C$622,0)))</f>
        <v/>
      </c>
      <c r="D219" s="8">
        <f>IF(ISNA(MATCH(206,Engine!$C$2:$C$622,0)),"",INDEX('Compliance Database'!$D$2:$D$622,MATCH(206,Engine!$C$2:$C$622,0)))</f>
        <v/>
      </c>
      <c r="E219">
        <f>IF(ISNA(MATCH(206,Engine!$C$2:$C$622,0)),"",INDEX('Compliance Database'!$E$2:$E$622,MATCH(206,Engine!$C$2:$C$622,0)))</f>
        <v/>
      </c>
      <c r="F219">
        <f>IF(ISNA(MATCH(206,Engine!$C$2:$C$622,0)),"",INDEX('Compliance Database'!$F$2:$F$622,MATCH(206,Engine!$C$2:$C$622,0)))</f>
        <v/>
      </c>
      <c r="G219">
        <f>IF(ISNA(MATCH(206,Engine!$C$2:$C$622,0)),"",INDEX('Compliance Database'!$G$2:$G$622,MATCH(206,Engine!$C$2:$C$622,0)))</f>
        <v/>
      </c>
      <c r="H219">
        <f>IF(ISNA(MATCH(206,Engine!$C$2:$C$622,0)),"",INDEX('Compliance Database'!$H$2:$H$622,MATCH(206,Engine!$C$2:$C$622,0)))</f>
        <v/>
      </c>
      <c r="I219" s="8">
        <f>IF(ISNA(MATCH(206,Engine!$C$2:$C$622,0)),"",INDEX('Compliance Database'!$I$2:$I$622,MATCH(206,Engine!$C$2:$C$622,0)))</f>
        <v/>
      </c>
      <c r="J219" s="8">
        <f>IF(ISNA(MATCH(206,Engine!$C$2:$C$622,0)),"",INDEX('Compliance Database'!$J$2:$J$622,MATCH(206,Engine!$C$2:$C$622,0)))</f>
        <v/>
      </c>
      <c r="K219">
        <f>IF(ISNA(MATCH(206,Engine!$C$2:$C$622,0)),"",INDEX('Compliance Database'!$K$2:$K$622,MATCH(206,Engine!$C$2:$C$622,0)))</f>
        <v/>
      </c>
      <c r="L219" s="8">
        <f>IF(ISNA(MATCH(206,Engine!$C$2:$C$622,0)),"",INDEX('Compliance Database'!$L$2:$L$622,MATCH(206,Engine!$C$2:$C$622,0)))</f>
        <v/>
      </c>
      <c r="M219" s="8">
        <f>IF(ISNA(MATCH(206,Engine!$C$2:$C$622,0)),"",INDEX('Compliance Database'!$M$2:$M$622,MATCH(206,Engine!$C$2:$C$622,0)))</f>
        <v/>
      </c>
      <c r="N219" s="8">
        <f>IF(ISNA(MATCH(206,Engine!$C$2:$C$622,0)),"",INDEX('Compliance Database'!$N$2:$N$622,MATCH(206,Engine!$C$2:$C$622,0)))</f>
        <v/>
      </c>
      <c r="O219" s="8">
        <f>IF(ISNA(MATCH(206,Engine!$C$2:$C$622,0)),"",INDEX('Compliance Database'!$O$2:$O$622,MATCH(206,Engine!$C$2:$C$622,0)))</f>
        <v/>
      </c>
    </row>
    <row r="220">
      <c r="A220">
        <f>IF(ISNA(MATCH(207,Engine!$C$2:$C$622,0)),"",INDEX('Compliance Database'!$A$2:$A$622,MATCH(207,Engine!$C$2:$C$622,0)))</f>
        <v/>
      </c>
      <c r="B220">
        <f>IF(ISNA(MATCH(207,Engine!$C$2:$C$622,0)),"",INDEX('Compliance Database'!$B$2:$B$622,MATCH(207,Engine!$C$2:$C$622,0)))</f>
        <v/>
      </c>
      <c r="C220">
        <f>IF(ISNA(MATCH(207,Engine!$C$2:$C$622,0)),"",INDEX('Compliance Database'!$C$2:$C$622,MATCH(207,Engine!$C$2:$C$622,0)))</f>
        <v/>
      </c>
      <c r="D220" s="8">
        <f>IF(ISNA(MATCH(207,Engine!$C$2:$C$622,0)),"",INDEX('Compliance Database'!$D$2:$D$622,MATCH(207,Engine!$C$2:$C$622,0)))</f>
        <v/>
      </c>
      <c r="E220">
        <f>IF(ISNA(MATCH(207,Engine!$C$2:$C$622,0)),"",INDEX('Compliance Database'!$E$2:$E$622,MATCH(207,Engine!$C$2:$C$622,0)))</f>
        <v/>
      </c>
      <c r="F220">
        <f>IF(ISNA(MATCH(207,Engine!$C$2:$C$622,0)),"",INDEX('Compliance Database'!$F$2:$F$622,MATCH(207,Engine!$C$2:$C$622,0)))</f>
        <v/>
      </c>
      <c r="G220">
        <f>IF(ISNA(MATCH(207,Engine!$C$2:$C$622,0)),"",INDEX('Compliance Database'!$G$2:$G$622,MATCH(207,Engine!$C$2:$C$622,0)))</f>
        <v/>
      </c>
      <c r="H220">
        <f>IF(ISNA(MATCH(207,Engine!$C$2:$C$622,0)),"",INDEX('Compliance Database'!$H$2:$H$622,MATCH(207,Engine!$C$2:$C$622,0)))</f>
        <v/>
      </c>
      <c r="I220" s="8">
        <f>IF(ISNA(MATCH(207,Engine!$C$2:$C$622,0)),"",INDEX('Compliance Database'!$I$2:$I$622,MATCH(207,Engine!$C$2:$C$622,0)))</f>
        <v/>
      </c>
      <c r="J220" s="8">
        <f>IF(ISNA(MATCH(207,Engine!$C$2:$C$622,0)),"",INDEX('Compliance Database'!$J$2:$J$622,MATCH(207,Engine!$C$2:$C$622,0)))</f>
        <v/>
      </c>
      <c r="K220">
        <f>IF(ISNA(MATCH(207,Engine!$C$2:$C$622,0)),"",INDEX('Compliance Database'!$K$2:$K$622,MATCH(207,Engine!$C$2:$C$622,0)))</f>
        <v/>
      </c>
      <c r="L220" s="8">
        <f>IF(ISNA(MATCH(207,Engine!$C$2:$C$622,0)),"",INDEX('Compliance Database'!$L$2:$L$622,MATCH(207,Engine!$C$2:$C$622,0)))</f>
        <v/>
      </c>
      <c r="M220" s="8">
        <f>IF(ISNA(MATCH(207,Engine!$C$2:$C$622,0)),"",INDEX('Compliance Database'!$M$2:$M$622,MATCH(207,Engine!$C$2:$C$622,0)))</f>
        <v/>
      </c>
      <c r="N220" s="8">
        <f>IF(ISNA(MATCH(207,Engine!$C$2:$C$622,0)),"",INDEX('Compliance Database'!$N$2:$N$622,MATCH(207,Engine!$C$2:$C$622,0)))</f>
        <v/>
      </c>
      <c r="O220" s="8">
        <f>IF(ISNA(MATCH(207,Engine!$C$2:$C$622,0)),"",INDEX('Compliance Database'!$O$2:$O$622,MATCH(207,Engine!$C$2:$C$622,0)))</f>
        <v/>
      </c>
    </row>
    <row r="221">
      <c r="A221">
        <f>IF(ISNA(MATCH(208,Engine!$C$2:$C$622,0)),"",INDEX('Compliance Database'!$A$2:$A$622,MATCH(208,Engine!$C$2:$C$622,0)))</f>
        <v/>
      </c>
      <c r="B221">
        <f>IF(ISNA(MATCH(208,Engine!$C$2:$C$622,0)),"",INDEX('Compliance Database'!$B$2:$B$622,MATCH(208,Engine!$C$2:$C$622,0)))</f>
        <v/>
      </c>
      <c r="C221">
        <f>IF(ISNA(MATCH(208,Engine!$C$2:$C$622,0)),"",INDEX('Compliance Database'!$C$2:$C$622,MATCH(208,Engine!$C$2:$C$622,0)))</f>
        <v/>
      </c>
      <c r="D221" s="8">
        <f>IF(ISNA(MATCH(208,Engine!$C$2:$C$622,0)),"",INDEX('Compliance Database'!$D$2:$D$622,MATCH(208,Engine!$C$2:$C$622,0)))</f>
        <v/>
      </c>
      <c r="E221">
        <f>IF(ISNA(MATCH(208,Engine!$C$2:$C$622,0)),"",INDEX('Compliance Database'!$E$2:$E$622,MATCH(208,Engine!$C$2:$C$622,0)))</f>
        <v/>
      </c>
      <c r="F221">
        <f>IF(ISNA(MATCH(208,Engine!$C$2:$C$622,0)),"",INDEX('Compliance Database'!$F$2:$F$622,MATCH(208,Engine!$C$2:$C$622,0)))</f>
        <v/>
      </c>
      <c r="G221">
        <f>IF(ISNA(MATCH(208,Engine!$C$2:$C$622,0)),"",INDEX('Compliance Database'!$G$2:$G$622,MATCH(208,Engine!$C$2:$C$622,0)))</f>
        <v/>
      </c>
      <c r="H221">
        <f>IF(ISNA(MATCH(208,Engine!$C$2:$C$622,0)),"",INDEX('Compliance Database'!$H$2:$H$622,MATCH(208,Engine!$C$2:$C$622,0)))</f>
        <v/>
      </c>
      <c r="I221" s="8">
        <f>IF(ISNA(MATCH(208,Engine!$C$2:$C$622,0)),"",INDEX('Compliance Database'!$I$2:$I$622,MATCH(208,Engine!$C$2:$C$622,0)))</f>
        <v/>
      </c>
      <c r="J221" s="8">
        <f>IF(ISNA(MATCH(208,Engine!$C$2:$C$622,0)),"",INDEX('Compliance Database'!$J$2:$J$622,MATCH(208,Engine!$C$2:$C$622,0)))</f>
        <v/>
      </c>
      <c r="K221">
        <f>IF(ISNA(MATCH(208,Engine!$C$2:$C$622,0)),"",INDEX('Compliance Database'!$K$2:$K$622,MATCH(208,Engine!$C$2:$C$622,0)))</f>
        <v/>
      </c>
      <c r="L221" s="8">
        <f>IF(ISNA(MATCH(208,Engine!$C$2:$C$622,0)),"",INDEX('Compliance Database'!$L$2:$L$622,MATCH(208,Engine!$C$2:$C$622,0)))</f>
        <v/>
      </c>
      <c r="M221" s="8">
        <f>IF(ISNA(MATCH(208,Engine!$C$2:$C$622,0)),"",INDEX('Compliance Database'!$M$2:$M$622,MATCH(208,Engine!$C$2:$C$622,0)))</f>
        <v/>
      </c>
      <c r="N221" s="8">
        <f>IF(ISNA(MATCH(208,Engine!$C$2:$C$622,0)),"",INDEX('Compliance Database'!$N$2:$N$622,MATCH(208,Engine!$C$2:$C$622,0)))</f>
        <v/>
      </c>
      <c r="O221" s="8">
        <f>IF(ISNA(MATCH(208,Engine!$C$2:$C$622,0)),"",INDEX('Compliance Database'!$O$2:$O$622,MATCH(208,Engine!$C$2:$C$622,0)))</f>
        <v/>
      </c>
    </row>
    <row r="222">
      <c r="A222">
        <f>IF(ISNA(MATCH(209,Engine!$C$2:$C$622,0)),"",INDEX('Compliance Database'!$A$2:$A$622,MATCH(209,Engine!$C$2:$C$622,0)))</f>
        <v/>
      </c>
      <c r="B222">
        <f>IF(ISNA(MATCH(209,Engine!$C$2:$C$622,0)),"",INDEX('Compliance Database'!$B$2:$B$622,MATCH(209,Engine!$C$2:$C$622,0)))</f>
        <v/>
      </c>
      <c r="C222">
        <f>IF(ISNA(MATCH(209,Engine!$C$2:$C$622,0)),"",INDEX('Compliance Database'!$C$2:$C$622,MATCH(209,Engine!$C$2:$C$622,0)))</f>
        <v/>
      </c>
      <c r="D222" s="8">
        <f>IF(ISNA(MATCH(209,Engine!$C$2:$C$622,0)),"",INDEX('Compliance Database'!$D$2:$D$622,MATCH(209,Engine!$C$2:$C$622,0)))</f>
        <v/>
      </c>
      <c r="E222">
        <f>IF(ISNA(MATCH(209,Engine!$C$2:$C$622,0)),"",INDEX('Compliance Database'!$E$2:$E$622,MATCH(209,Engine!$C$2:$C$622,0)))</f>
        <v/>
      </c>
      <c r="F222">
        <f>IF(ISNA(MATCH(209,Engine!$C$2:$C$622,0)),"",INDEX('Compliance Database'!$F$2:$F$622,MATCH(209,Engine!$C$2:$C$622,0)))</f>
        <v/>
      </c>
      <c r="G222">
        <f>IF(ISNA(MATCH(209,Engine!$C$2:$C$622,0)),"",INDEX('Compliance Database'!$G$2:$G$622,MATCH(209,Engine!$C$2:$C$622,0)))</f>
        <v/>
      </c>
      <c r="H222">
        <f>IF(ISNA(MATCH(209,Engine!$C$2:$C$622,0)),"",INDEX('Compliance Database'!$H$2:$H$622,MATCH(209,Engine!$C$2:$C$622,0)))</f>
        <v/>
      </c>
      <c r="I222" s="8">
        <f>IF(ISNA(MATCH(209,Engine!$C$2:$C$622,0)),"",INDEX('Compliance Database'!$I$2:$I$622,MATCH(209,Engine!$C$2:$C$622,0)))</f>
        <v/>
      </c>
      <c r="J222" s="8">
        <f>IF(ISNA(MATCH(209,Engine!$C$2:$C$622,0)),"",INDEX('Compliance Database'!$J$2:$J$622,MATCH(209,Engine!$C$2:$C$622,0)))</f>
        <v/>
      </c>
      <c r="K222">
        <f>IF(ISNA(MATCH(209,Engine!$C$2:$C$622,0)),"",INDEX('Compliance Database'!$K$2:$K$622,MATCH(209,Engine!$C$2:$C$622,0)))</f>
        <v/>
      </c>
      <c r="L222" s="8">
        <f>IF(ISNA(MATCH(209,Engine!$C$2:$C$622,0)),"",INDEX('Compliance Database'!$L$2:$L$622,MATCH(209,Engine!$C$2:$C$622,0)))</f>
        <v/>
      </c>
      <c r="M222" s="8">
        <f>IF(ISNA(MATCH(209,Engine!$C$2:$C$622,0)),"",INDEX('Compliance Database'!$M$2:$M$622,MATCH(209,Engine!$C$2:$C$622,0)))</f>
        <v/>
      </c>
      <c r="N222" s="8">
        <f>IF(ISNA(MATCH(209,Engine!$C$2:$C$622,0)),"",INDEX('Compliance Database'!$N$2:$N$622,MATCH(209,Engine!$C$2:$C$622,0)))</f>
        <v/>
      </c>
      <c r="O222" s="8">
        <f>IF(ISNA(MATCH(209,Engine!$C$2:$C$622,0)),"",INDEX('Compliance Database'!$O$2:$O$622,MATCH(209,Engine!$C$2:$C$622,0)))</f>
        <v/>
      </c>
    </row>
    <row r="223">
      <c r="A223">
        <f>IF(ISNA(MATCH(210,Engine!$C$2:$C$622,0)),"",INDEX('Compliance Database'!$A$2:$A$622,MATCH(210,Engine!$C$2:$C$622,0)))</f>
        <v/>
      </c>
      <c r="B223">
        <f>IF(ISNA(MATCH(210,Engine!$C$2:$C$622,0)),"",INDEX('Compliance Database'!$B$2:$B$622,MATCH(210,Engine!$C$2:$C$622,0)))</f>
        <v/>
      </c>
      <c r="C223">
        <f>IF(ISNA(MATCH(210,Engine!$C$2:$C$622,0)),"",INDEX('Compliance Database'!$C$2:$C$622,MATCH(210,Engine!$C$2:$C$622,0)))</f>
        <v/>
      </c>
      <c r="D223" s="8">
        <f>IF(ISNA(MATCH(210,Engine!$C$2:$C$622,0)),"",INDEX('Compliance Database'!$D$2:$D$622,MATCH(210,Engine!$C$2:$C$622,0)))</f>
        <v/>
      </c>
      <c r="E223">
        <f>IF(ISNA(MATCH(210,Engine!$C$2:$C$622,0)),"",INDEX('Compliance Database'!$E$2:$E$622,MATCH(210,Engine!$C$2:$C$622,0)))</f>
        <v/>
      </c>
      <c r="F223">
        <f>IF(ISNA(MATCH(210,Engine!$C$2:$C$622,0)),"",INDEX('Compliance Database'!$F$2:$F$622,MATCH(210,Engine!$C$2:$C$622,0)))</f>
        <v/>
      </c>
      <c r="G223">
        <f>IF(ISNA(MATCH(210,Engine!$C$2:$C$622,0)),"",INDEX('Compliance Database'!$G$2:$G$622,MATCH(210,Engine!$C$2:$C$622,0)))</f>
        <v/>
      </c>
      <c r="H223">
        <f>IF(ISNA(MATCH(210,Engine!$C$2:$C$622,0)),"",INDEX('Compliance Database'!$H$2:$H$622,MATCH(210,Engine!$C$2:$C$622,0)))</f>
        <v/>
      </c>
      <c r="I223" s="8">
        <f>IF(ISNA(MATCH(210,Engine!$C$2:$C$622,0)),"",INDEX('Compliance Database'!$I$2:$I$622,MATCH(210,Engine!$C$2:$C$622,0)))</f>
        <v/>
      </c>
      <c r="J223" s="8">
        <f>IF(ISNA(MATCH(210,Engine!$C$2:$C$622,0)),"",INDEX('Compliance Database'!$J$2:$J$622,MATCH(210,Engine!$C$2:$C$622,0)))</f>
        <v/>
      </c>
      <c r="K223">
        <f>IF(ISNA(MATCH(210,Engine!$C$2:$C$622,0)),"",INDEX('Compliance Database'!$K$2:$K$622,MATCH(210,Engine!$C$2:$C$622,0)))</f>
        <v/>
      </c>
      <c r="L223" s="8">
        <f>IF(ISNA(MATCH(210,Engine!$C$2:$C$622,0)),"",INDEX('Compliance Database'!$L$2:$L$622,MATCH(210,Engine!$C$2:$C$622,0)))</f>
        <v/>
      </c>
      <c r="M223" s="8">
        <f>IF(ISNA(MATCH(210,Engine!$C$2:$C$622,0)),"",INDEX('Compliance Database'!$M$2:$M$622,MATCH(210,Engine!$C$2:$C$622,0)))</f>
        <v/>
      </c>
      <c r="N223" s="8">
        <f>IF(ISNA(MATCH(210,Engine!$C$2:$C$622,0)),"",INDEX('Compliance Database'!$N$2:$N$622,MATCH(210,Engine!$C$2:$C$622,0)))</f>
        <v/>
      </c>
      <c r="O223" s="8">
        <f>IF(ISNA(MATCH(210,Engine!$C$2:$C$622,0)),"",INDEX('Compliance Database'!$O$2:$O$622,MATCH(210,Engine!$C$2:$C$622,0)))</f>
        <v/>
      </c>
    </row>
    <row r="224">
      <c r="A224">
        <f>IF(ISNA(MATCH(211,Engine!$C$2:$C$622,0)),"",INDEX('Compliance Database'!$A$2:$A$622,MATCH(211,Engine!$C$2:$C$622,0)))</f>
        <v/>
      </c>
      <c r="B224">
        <f>IF(ISNA(MATCH(211,Engine!$C$2:$C$622,0)),"",INDEX('Compliance Database'!$B$2:$B$622,MATCH(211,Engine!$C$2:$C$622,0)))</f>
        <v/>
      </c>
      <c r="C224">
        <f>IF(ISNA(MATCH(211,Engine!$C$2:$C$622,0)),"",INDEX('Compliance Database'!$C$2:$C$622,MATCH(211,Engine!$C$2:$C$622,0)))</f>
        <v/>
      </c>
      <c r="D224" s="8">
        <f>IF(ISNA(MATCH(211,Engine!$C$2:$C$622,0)),"",INDEX('Compliance Database'!$D$2:$D$622,MATCH(211,Engine!$C$2:$C$622,0)))</f>
        <v/>
      </c>
      <c r="E224">
        <f>IF(ISNA(MATCH(211,Engine!$C$2:$C$622,0)),"",INDEX('Compliance Database'!$E$2:$E$622,MATCH(211,Engine!$C$2:$C$622,0)))</f>
        <v/>
      </c>
      <c r="F224">
        <f>IF(ISNA(MATCH(211,Engine!$C$2:$C$622,0)),"",INDEX('Compliance Database'!$F$2:$F$622,MATCH(211,Engine!$C$2:$C$622,0)))</f>
        <v/>
      </c>
      <c r="G224">
        <f>IF(ISNA(MATCH(211,Engine!$C$2:$C$622,0)),"",INDEX('Compliance Database'!$G$2:$G$622,MATCH(211,Engine!$C$2:$C$622,0)))</f>
        <v/>
      </c>
      <c r="H224">
        <f>IF(ISNA(MATCH(211,Engine!$C$2:$C$622,0)),"",INDEX('Compliance Database'!$H$2:$H$622,MATCH(211,Engine!$C$2:$C$622,0)))</f>
        <v/>
      </c>
      <c r="I224" s="8">
        <f>IF(ISNA(MATCH(211,Engine!$C$2:$C$622,0)),"",INDEX('Compliance Database'!$I$2:$I$622,MATCH(211,Engine!$C$2:$C$622,0)))</f>
        <v/>
      </c>
      <c r="J224" s="8">
        <f>IF(ISNA(MATCH(211,Engine!$C$2:$C$622,0)),"",INDEX('Compliance Database'!$J$2:$J$622,MATCH(211,Engine!$C$2:$C$622,0)))</f>
        <v/>
      </c>
      <c r="K224">
        <f>IF(ISNA(MATCH(211,Engine!$C$2:$C$622,0)),"",INDEX('Compliance Database'!$K$2:$K$622,MATCH(211,Engine!$C$2:$C$622,0)))</f>
        <v/>
      </c>
      <c r="L224" s="8">
        <f>IF(ISNA(MATCH(211,Engine!$C$2:$C$622,0)),"",INDEX('Compliance Database'!$L$2:$L$622,MATCH(211,Engine!$C$2:$C$622,0)))</f>
        <v/>
      </c>
      <c r="M224" s="8">
        <f>IF(ISNA(MATCH(211,Engine!$C$2:$C$622,0)),"",INDEX('Compliance Database'!$M$2:$M$622,MATCH(211,Engine!$C$2:$C$622,0)))</f>
        <v/>
      </c>
      <c r="N224" s="8">
        <f>IF(ISNA(MATCH(211,Engine!$C$2:$C$622,0)),"",INDEX('Compliance Database'!$N$2:$N$622,MATCH(211,Engine!$C$2:$C$622,0)))</f>
        <v/>
      </c>
      <c r="O224" s="8">
        <f>IF(ISNA(MATCH(211,Engine!$C$2:$C$622,0)),"",INDEX('Compliance Database'!$O$2:$O$622,MATCH(211,Engine!$C$2:$C$622,0)))</f>
        <v/>
      </c>
    </row>
    <row r="225">
      <c r="A225">
        <f>IF(ISNA(MATCH(212,Engine!$C$2:$C$622,0)),"",INDEX('Compliance Database'!$A$2:$A$622,MATCH(212,Engine!$C$2:$C$622,0)))</f>
        <v/>
      </c>
      <c r="B225">
        <f>IF(ISNA(MATCH(212,Engine!$C$2:$C$622,0)),"",INDEX('Compliance Database'!$B$2:$B$622,MATCH(212,Engine!$C$2:$C$622,0)))</f>
        <v/>
      </c>
      <c r="C225">
        <f>IF(ISNA(MATCH(212,Engine!$C$2:$C$622,0)),"",INDEX('Compliance Database'!$C$2:$C$622,MATCH(212,Engine!$C$2:$C$622,0)))</f>
        <v/>
      </c>
      <c r="D225" s="8">
        <f>IF(ISNA(MATCH(212,Engine!$C$2:$C$622,0)),"",INDEX('Compliance Database'!$D$2:$D$622,MATCH(212,Engine!$C$2:$C$622,0)))</f>
        <v/>
      </c>
      <c r="E225">
        <f>IF(ISNA(MATCH(212,Engine!$C$2:$C$622,0)),"",INDEX('Compliance Database'!$E$2:$E$622,MATCH(212,Engine!$C$2:$C$622,0)))</f>
        <v/>
      </c>
      <c r="F225">
        <f>IF(ISNA(MATCH(212,Engine!$C$2:$C$622,0)),"",INDEX('Compliance Database'!$F$2:$F$622,MATCH(212,Engine!$C$2:$C$622,0)))</f>
        <v/>
      </c>
      <c r="G225">
        <f>IF(ISNA(MATCH(212,Engine!$C$2:$C$622,0)),"",INDEX('Compliance Database'!$G$2:$G$622,MATCH(212,Engine!$C$2:$C$622,0)))</f>
        <v/>
      </c>
      <c r="H225">
        <f>IF(ISNA(MATCH(212,Engine!$C$2:$C$622,0)),"",INDEX('Compliance Database'!$H$2:$H$622,MATCH(212,Engine!$C$2:$C$622,0)))</f>
        <v/>
      </c>
      <c r="I225" s="8">
        <f>IF(ISNA(MATCH(212,Engine!$C$2:$C$622,0)),"",INDEX('Compliance Database'!$I$2:$I$622,MATCH(212,Engine!$C$2:$C$622,0)))</f>
        <v/>
      </c>
      <c r="J225" s="8">
        <f>IF(ISNA(MATCH(212,Engine!$C$2:$C$622,0)),"",INDEX('Compliance Database'!$J$2:$J$622,MATCH(212,Engine!$C$2:$C$622,0)))</f>
        <v/>
      </c>
      <c r="K225">
        <f>IF(ISNA(MATCH(212,Engine!$C$2:$C$622,0)),"",INDEX('Compliance Database'!$K$2:$K$622,MATCH(212,Engine!$C$2:$C$622,0)))</f>
        <v/>
      </c>
      <c r="L225" s="8">
        <f>IF(ISNA(MATCH(212,Engine!$C$2:$C$622,0)),"",INDEX('Compliance Database'!$L$2:$L$622,MATCH(212,Engine!$C$2:$C$622,0)))</f>
        <v/>
      </c>
      <c r="M225" s="8">
        <f>IF(ISNA(MATCH(212,Engine!$C$2:$C$622,0)),"",INDEX('Compliance Database'!$M$2:$M$622,MATCH(212,Engine!$C$2:$C$622,0)))</f>
        <v/>
      </c>
      <c r="N225" s="8">
        <f>IF(ISNA(MATCH(212,Engine!$C$2:$C$622,0)),"",INDEX('Compliance Database'!$N$2:$N$622,MATCH(212,Engine!$C$2:$C$622,0)))</f>
        <v/>
      </c>
      <c r="O225" s="8">
        <f>IF(ISNA(MATCH(212,Engine!$C$2:$C$622,0)),"",INDEX('Compliance Database'!$O$2:$O$622,MATCH(212,Engine!$C$2:$C$622,0)))</f>
        <v/>
      </c>
    </row>
    <row r="226">
      <c r="A226">
        <f>IF(ISNA(MATCH(213,Engine!$C$2:$C$622,0)),"",INDEX('Compliance Database'!$A$2:$A$622,MATCH(213,Engine!$C$2:$C$622,0)))</f>
        <v/>
      </c>
      <c r="B226">
        <f>IF(ISNA(MATCH(213,Engine!$C$2:$C$622,0)),"",INDEX('Compliance Database'!$B$2:$B$622,MATCH(213,Engine!$C$2:$C$622,0)))</f>
        <v/>
      </c>
      <c r="C226">
        <f>IF(ISNA(MATCH(213,Engine!$C$2:$C$622,0)),"",INDEX('Compliance Database'!$C$2:$C$622,MATCH(213,Engine!$C$2:$C$622,0)))</f>
        <v/>
      </c>
      <c r="D226" s="8">
        <f>IF(ISNA(MATCH(213,Engine!$C$2:$C$622,0)),"",INDEX('Compliance Database'!$D$2:$D$622,MATCH(213,Engine!$C$2:$C$622,0)))</f>
        <v/>
      </c>
      <c r="E226">
        <f>IF(ISNA(MATCH(213,Engine!$C$2:$C$622,0)),"",INDEX('Compliance Database'!$E$2:$E$622,MATCH(213,Engine!$C$2:$C$622,0)))</f>
        <v/>
      </c>
      <c r="F226">
        <f>IF(ISNA(MATCH(213,Engine!$C$2:$C$622,0)),"",INDEX('Compliance Database'!$F$2:$F$622,MATCH(213,Engine!$C$2:$C$622,0)))</f>
        <v/>
      </c>
      <c r="G226">
        <f>IF(ISNA(MATCH(213,Engine!$C$2:$C$622,0)),"",INDEX('Compliance Database'!$G$2:$G$622,MATCH(213,Engine!$C$2:$C$622,0)))</f>
        <v/>
      </c>
      <c r="H226">
        <f>IF(ISNA(MATCH(213,Engine!$C$2:$C$622,0)),"",INDEX('Compliance Database'!$H$2:$H$622,MATCH(213,Engine!$C$2:$C$622,0)))</f>
        <v/>
      </c>
      <c r="I226" s="8">
        <f>IF(ISNA(MATCH(213,Engine!$C$2:$C$622,0)),"",INDEX('Compliance Database'!$I$2:$I$622,MATCH(213,Engine!$C$2:$C$622,0)))</f>
        <v/>
      </c>
      <c r="J226" s="8">
        <f>IF(ISNA(MATCH(213,Engine!$C$2:$C$622,0)),"",INDEX('Compliance Database'!$J$2:$J$622,MATCH(213,Engine!$C$2:$C$622,0)))</f>
        <v/>
      </c>
      <c r="K226">
        <f>IF(ISNA(MATCH(213,Engine!$C$2:$C$622,0)),"",INDEX('Compliance Database'!$K$2:$K$622,MATCH(213,Engine!$C$2:$C$622,0)))</f>
        <v/>
      </c>
      <c r="L226" s="8">
        <f>IF(ISNA(MATCH(213,Engine!$C$2:$C$622,0)),"",INDEX('Compliance Database'!$L$2:$L$622,MATCH(213,Engine!$C$2:$C$622,0)))</f>
        <v/>
      </c>
      <c r="M226" s="8">
        <f>IF(ISNA(MATCH(213,Engine!$C$2:$C$622,0)),"",INDEX('Compliance Database'!$M$2:$M$622,MATCH(213,Engine!$C$2:$C$622,0)))</f>
        <v/>
      </c>
      <c r="N226" s="8">
        <f>IF(ISNA(MATCH(213,Engine!$C$2:$C$622,0)),"",INDEX('Compliance Database'!$N$2:$N$622,MATCH(213,Engine!$C$2:$C$622,0)))</f>
        <v/>
      </c>
      <c r="O226" s="8">
        <f>IF(ISNA(MATCH(213,Engine!$C$2:$C$622,0)),"",INDEX('Compliance Database'!$O$2:$O$622,MATCH(213,Engine!$C$2:$C$622,0)))</f>
        <v/>
      </c>
    </row>
    <row r="227">
      <c r="A227">
        <f>IF(ISNA(MATCH(214,Engine!$C$2:$C$622,0)),"",INDEX('Compliance Database'!$A$2:$A$622,MATCH(214,Engine!$C$2:$C$622,0)))</f>
        <v/>
      </c>
      <c r="B227">
        <f>IF(ISNA(MATCH(214,Engine!$C$2:$C$622,0)),"",INDEX('Compliance Database'!$B$2:$B$622,MATCH(214,Engine!$C$2:$C$622,0)))</f>
        <v/>
      </c>
      <c r="C227">
        <f>IF(ISNA(MATCH(214,Engine!$C$2:$C$622,0)),"",INDEX('Compliance Database'!$C$2:$C$622,MATCH(214,Engine!$C$2:$C$622,0)))</f>
        <v/>
      </c>
      <c r="D227" s="8">
        <f>IF(ISNA(MATCH(214,Engine!$C$2:$C$622,0)),"",INDEX('Compliance Database'!$D$2:$D$622,MATCH(214,Engine!$C$2:$C$622,0)))</f>
        <v/>
      </c>
      <c r="E227">
        <f>IF(ISNA(MATCH(214,Engine!$C$2:$C$622,0)),"",INDEX('Compliance Database'!$E$2:$E$622,MATCH(214,Engine!$C$2:$C$622,0)))</f>
        <v/>
      </c>
      <c r="F227">
        <f>IF(ISNA(MATCH(214,Engine!$C$2:$C$622,0)),"",INDEX('Compliance Database'!$F$2:$F$622,MATCH(214,Engine!$C$2:$C$622,0)))</f>
        <v/>
      </c>
      <c r="G227">
        <f>IF(ISNA(MATCH(214,Engine!$C$2:$C$622,0)),"",INDEX('Compliance Database'!$G$2:$G$622,MATCH(214,Engine!$C$2:$C$622,0)))</f>
        <v/>
      </c>
      <c r="H227">
        <f>IF(ISNA(MATCH(214,Engine!$C$2:$C$622,0)),"",INDEX('Compliance Database'!$H$2:$H$622,MATCH(214,Engine!$C$2:$C$622,0)))</f>
        <v/>
      </c>
      <c r="I227" s="8">
        <f>IF(ISNA(MATCH(214,Engine!$C$2:$C$622,0)),"",INDEX('Compliance Database'!$I$2:$I$622,MATCH(214,Engine!$C$2:$C$622,0)))</f>
        <v/>
      </c>
      <c r="J227" s="8">
        <f>IF(ISNA(MATCH(214,Engine!$C$2:$C$622,0)),"",INDEX('Compliance Database'!$J$2:$J$622,MATCH(214,Engine!$C$2:$C$622,0)))</f>
        <v/>
      </c>
      <c r="K227">
        <f>IF(ISNA(MATCH(214,Engine!$C$2:$C$622,0)),"",INDEX('Compliance Database'!$K$2:$K$622,MATCH(214,Engine!$C$2:$C$622,0)))</f>
        <v/>
      </c>
      <c r="L227" s="8">
        <f>IF(ISNA(MATCH(214,Engine!$C$2:$C$622,0)),"",INDEX('Compliance Database'!$L$2:$L$622,MATCH(214,Engine!$C$2:$C$622,0)))</f>
        <v/>
      </c>
      <c r="M227" s="8">
        <f>IF(ISNA(MATCH(214,Engine!$C$2:$C$622,0)),"",INDEX('Compliance Database'!$M$2:$M$622,MATCH(214,Engine!$C$2:$C$622,0)))</f>
        <v/>
      </c>
      <c r="N227" s="8">
        <f>IF(ISNA(MATCH(214,Engine!$C$2:$C$622,0)),"",INDEX('Compliance Database'!$N$2:$N$622,MATCH(214,Engine!$C$2:$C$622,0)))</f>
        <v/>
      </c>
      <c r="O227" s="8">
        <f>IF(ISNA(MATCH(214,Engine!$C$2:$C$622,0)),"",INDEX('Compliance Database'!$O$2:$O$622,MATCH(214,Engine!$C$2:$C$622,0)))</f>
        <v/>
      </c>
    </row>
    <row r="228">
      <c r="A228">
        <f>IF(ISNA(MATCH(215,Engine!$C$2:$C$622,0)),"",INDEX('Compliance Database'!$A$2:$A$622,MATCH(215,Engine!$C$2:$C$622,0)))</f>
        <v/>
      </c>
      <c r="B228">
        <f>IF(ISNA(MATCH(215,Engine!$C$2:$C$622,0)),"",INDEX('Compliance Database'!$B$2:$B$622,MATCH(215,Engine!$C$2:$C$622,0)))</f>
        <v/>
      </c>
      <c r="C228">
        <f>IF(ISNA(MATCH(215,Engine!$C$2:$C$622,0)),"",INDEX('Compliance Database'!$C$2:$C$622,MATCH(215,Engine!$C$2:$C$622,0)))</f>
        <v/>
      </c>
      <c r="D228" s="8">
        <f>IF(ISNA(MATCH(215,Engine!$C$2:$C$622,0)),"",INDEX('Compliance Database'!$D$2:$D$622,MATCH(215,Engine!$C$2:$C$622,0)))</f>
        <v/>
      </c>
      <c r="E228">
        <f>IF(ISNA(MATCH(215,Engine!$C$2:$C$622,0)),"",INDEX('Compliance Database'!$E$2:$E$622,MATCH(215,Engine!$C$2:$C$622,0)))</f>
        <v/>
      </c>
      <c r="F228">
        <f>IF(ISNA(MATCH(215,Engine!$C$2:$C$622,0)),"",INDEX('Compliance Database'!$F$2:$F$622,MATCH(215,Engine!$C$2:$C$622,0)))</f>
        <v/>
      </c>
      <c r="G228">
        <f>IF(ISNA(MATCH(215,Engine!$C$2:$C$622,0)),"",INDEX('Compliance Database'!$G$2:$G$622,MATCH(215,Engine!$C$2:$C$622,0)))</f>
        <v/>
      </c>
      <c r="H228">
        <f>IF(ISNA(MATCH(215,Engine!$C$2:$C$622,0)),"",INDEX('Compliance Database'!$H$2:$H$622,MATCH(215,Engine!$C$2:$C$622,0)))</f>
        <v/>
      </c>
      <c r="I228" s="8">
        <f>IF(ISNA(MATCH(215,Engine!$C$2:$C$622,0)),"",INDEX('Compliance Database'!$I$2:$I$622,MATCH(215,Engine!$C$2:$C$622,0)))</f>
        <v/>
      </c>
      <c r="J228" s="8">
        <f>IF(ISNA(MATCH(215,Engine!$C$2:$C$622,0)),"",INDEX('Compliance Database'!$J$2:$J$622,MATCH(215,Engine!$C$2:$C$622,0)))</f>
        <v/>
      </c>
      <c r="K228">
        <f>IF(ISNA(MATCH(215,Engine!$C$2:$C$622,0)),"",INDEX('Compliance Database'!$K$2:$K$622,MATCH(215,Engine!$C$2:$C$622,0)))</f>
        <v/>
      </c>
      <c r="L228" s="8">
        <f>IF(ISNA(MATCH(215,Engine!$C$2:$C$622,0)),"",INDEX('Compliance Database'!$L$2:$L$622,MATCH(215,Engine!$C$2:$C$622,0)))</f>
        <v/>
      </c>
      <c r="M228" s="8">
        <f>IF(ISNA(MATCH(215,Engine!$C$2:$C$622,0)),"",INDEX('Compliance Database'!$M$2:$M$622,MATCH(215,Engine!$C$2:$C$622,0)))</f>
        <v/>
      </c>
      <c r="N228" s="8">
        <f>IF(ISNA(MATCH(215,Engine!$C$2:$C$622,0)),"",INDEX('Compliance Database'!$N$2:$N$622,MATCH(215,Engine!$C$2:$C$622,0)))</f>
        <v/>
      </c>
      <c r="O228" s="8">
        <f>IF(ISNA(MATCH(215,Engine!$C$2:$C$622,0)),"",INDEX('Compliance Database'!$O$2:$O$622,MATCH(215,Engine!$C$2:$C$622,0)))</f>
        <v/>
      </c>
    </row>
    <row r="229">
      <c r="A229">
        <f>IF(ISNA(MATCH(216,Engine!$C$2:$C$622,0)),"",INDEX('Compliance Database'!$A$2:$A$622,MATCH(216,Engine!$C$2:$C$622,0)))</f>
        <v/>
      </c>
      <c r="B229">
        <f>IF(ISNA(MATCH(216,Engine!$C$2:$C$622,0)),"",INDEX('Compliance Database'!$B$2:$B$622,MATCH(216,Engine!$C$2:$C$622,0)))</f>
        <v/>
      </c>
      <c r="C229">
        <f>IF(ISNA(MATCH(216,Engine!$C$2:$C$622,0)),"",INDEX('Compliance Database'!$C$2:$C$622,MATCH(216,Engine!$C$2:$C$622,0)))</f>
        <v/>
      </c>
      <c r="D229" s="8">
        <f>IF(ISNA(MATCH(216,Engine!$C$2:$C$622,0)),"",INDEX('Compliance Database'!$D$2:$D$622,MATCH(216,Engine!$C$2:$C$622,0)))</f>
        <v/>
      </c>
      <c r="E229">
        <f>IF(ISNA(MATCH(216,Engine!$C$2:$C$622,0)),"",INDEX('Compliance Database'!$E$2:$E$622,MATCH(216,Engine!$C$2:$C$622,0)))</f>
        <v/>
      </c>
      <c r="F229">
        <f>IF(ISNA(MATCH(216,Engine!$C$2:$C$622,0)),"",INDEX('Compliance Database'!$F$2:$F$622,MATCH(216,Engine!$C$2:$C$622,0)))</f>
        <v/>
      </c>
      <c r="G229">
        <f>IF(ISNA(MATCH(216,Engine!$C$2:$C$622,0)),"",INDEX('Compliance Database'!$G$2:$G$622,MATCH(216,Engine!$C$2:$C$622,0)))</f>
        <v/>
      </c>
      <c r="H229">
        <f>IF(ISNA(MATCH(216,Engine!$C$2:$C$622,0)),"",INDEX('Compliance Database'!$H$2:$H$622,MATCH(216,Engine!$C$2:$C$622,0)))</f>
        <v/>
      </c>
      <c r="I229" s="8">
        <f>IF(ISNA(MATCH(216,Engine!$C$2:$C$622,0)),"",INDEX('Compliance Database'!$I$2:$I$622,MATCH(216,Engine!$C$2:$C$622,0)))</f>
        <v/>
      </c>
      <c r="J229" s="8">
        <f>IF(ISNA(MATCH(216,Engine!$C$2:$C$622,0)),"",INDEX('Compliance Database'!$J$2:$J$622,MATCH(216,Engine!$C$2:$C$622,0)))</f>
        <v/>
      </c>
      <c r="K229">
        <f>IF(ISNA(MATCH(216,Engine!$C$2:$C$622,0)),"",INDEX('Compliance Database'!$K$2:$K$622,MATCH(216,Engine!$C$2:$C$622,0)))</f>
        <v/>
      </c>
      <c r="L229" s="8">
        <f>IF(ISNA(MATCH(216,Engine!$C$2:$C$622,0)),"",INDEX('Compliance Database'!$L$2:$L$622,MATCH(216,Engine!$C$2:$C$622,0)))</f>
        <v/>
      </c>
      <c r="M229" s="8">
        <f>IF(ISNA(MATCH(216,Engine!$C$2:$C$622,0)),"",INDEX('Compliance Database'!$M$2:$M$622,MATCH(216,Engine!$C$2:$C$622,0)))</f>
        <v/>
      </c>
      <c r="N229" s="8">
        <f>IF(ISNA(MATCH(216,Engine!$C$2:$C$622,0)),"",INDEX('Compliance Database'!$N$2:$N$622,MATCH(216,Engine!$C$2:$C$622,0)))</f>
        <v/>
      </c>
      <c r="O229" s="8">
        <f>IF(ISNA(MATCH(216,Engine!$C$2:$C$622,0)),"",INDEX('Compliance Database'!$O$2:$O$622,MATCH(216,Engine!$C$2:$C$622,0)))</f>
        <v/>
      </c>
    </row>
    <row r="230">
      <c r="A230">
        <f>IF(ISNA(MATCH(217,Engine!$C$2:$C$622,0)),"",INDEX('Compliance Database'!$A$2:$A$622,MATCH(217,Engine!$C$2:$C$622,0)))</f>
        <v/>
      </c>
      <c r="B230">
        <f>IF(ISNA(MATCH(217,Engine!$C$2:$C$622,0)),"",INDEX('Compliance Database'!$B$2:$B$622,MATCH(217,Engine!$C$2:$C$622,0)))</f>
        <v/>
      </c>
      <c r="C230">
        <f>IF(ISNA(MATCH(217,Engine!$C$2:$C$622,0)),"",INDEX('Compliance Database'!$C$2:$C$622,MATCH(217,Engine!$C$2:$C$622,0)))</f>
        <v/>
      </c>
      <c r="D230" s="8">
        <f>IF(ISNA(MATCH(217,Engine!$C$2:$C$622,0)),"",INDEX('Compliance Database'!$D$2:$D$622,MATCH(217,Engine!$C$2:$C$622,0)))</f>
        <v/>
      </c>
      <c r="E230">
        <f>IF(ISNA(MATCH(217,Engine!$C$2:$C$622,0)),"",INDEX('Compliance Database'!$E$2:$E$622,MATCH(217,Engine!$C$2:$C$622,0)))</f>
        <v/>
      </c>
      <c r="F230">
        <f>IF(ISNA(MATCH(217,Engine!$C$2:$C$622,0)),"",INDEX('Compliance Database'!$F$2:$F$622,MATCH(217,Engine!$C$2:$C$622,0)))</f>
        <v/>
      </c>
      <c r="G230">
        <f>IF(ISNA(MATCH(217,Engine!$C$2:$C$622,0)),"",INDEX('Compliance Database'!$G$2:$G$622,MATCH(217,Engine!$C$2:$C$622,0)))</f>
        <v/>
      </c>
      <c r="H230">
        <f>IF(ISNA(MATCH(217,Engine!$C$2:$C$622,0)),"",INDEX('Compliance Database'!$H$2:$H$622,MATCH(217,Engine!$C$2:$C$622,0)))</f>
        <v/>
      </c>
      <c r="I230" s="8">
        <f>IF(ISNA(MATCH(217,Engine!$C$2:$C$622,0)),"",INDEX('Compliance Database'!$I$2:$I$622,MATCH(217,Engine!$C$2:$C$622,0)))</f>
        <v/>
      </c>
      <c r="J230" s="8">
        <f>IF(ISNA(MATCH(217,Engine!$C$2:$C$622,0)),"",INDEX('Compliance Database'!$J$2:$J$622,MATCH(217,Engine!$C$2:$C$622,0)))</f>
        <v/>
      </c>
      <c r="K230">
        <f>IF(ISNA(MATCH(217,Engine!$C$2:$C$622,0)),"",INDEX('Compliance Database'!$K$2:$K$622,MATCH(217,Engine!$C$2:$C$622,0)))</f>
        <v/>
      </c>
      <c r="L230" s="8">
        <f>IF(ISNA(MATCH(217,Engine!$C$2:$C$622,0)),"",INDEX('Compliance Database'!$L$2:$L$622,MATCH(217,Engine!$C$2:$C$622,0)))</f>
        <v/>
      </c>
      <c r="M230" s="8">
        <f>IF(ISNA(MATCH(217,Engine!$C$2:$C$622,0)),"",INDEX('Compliance Database'!$M$2:$M$622,MATCH(217,Engine!$C$2:$C$622,0)))</f>
        <v/>
      </c>
      <c r="N230" s="8">
        <f>IF(ISNA(MATCH(217,Engine!$C$2:$C$622,0)),"",INDEX('Compliance Database'!$N$2:$N$622,MATCH(217,Engine!$C$2:$C$622,0)))</f>
        <v/>
      </c>
      <c r="O230" s="8">
        <f>IF(ISNA(MATCH(217,Engine!$C$2:$C$622,0)),"",INDEX('Compliance Database'!$O$2:$O$622,MATCH(217,Engine!$C$2:$C$622,0)))</f>
        <v/>
      </c>
    </row>
    <row r="231">
      <c r="A231">
        <f>IF(ISNA(MATCH(218,Engine!$C$2:$C$622,0)),"",INDEX('Compliance Database'!$A$2:$A$622,MATCH(218,Engine!$C$2:$C$622,0)))</f>
        <v/>
      </c>
      <c r="B231">
        <f>IF(ISNA(MATCH(218,Engine!$C$2:$C$622,0)),"",INDEX('Compliance Database'!$B$2:$B$622,MATCH(218,Engine!$C$2:$C$622,0)))</f>
        <v/>
      </c>
      <c r="C231">
        <f>IF(ISNA(MATCH(218,Engine!$C$2:$C$622,0)),"",INDEX('Compliance Database'!$C$2:$C$622,MATCH(218,Engine!$C$2:$C$622,0)))</f>
        <v/>
      </c>
      <c r="D231" s="8">
        <f>IF(ISNA(MATCH(218,Engine!$C$2:$C$622,0)),"",INDEX('Compliance Database'!$D$2:$D$622,MATCH(218,Engine!$C$2:$C$622,0)))</f>
        <v/>
      </c>
      <c r="E231">
        <f>IF(ISNA(MATCH(218,Engine!$C$2:$C$622,0)),"",INDEX('Compliance Database'!$E$2:$E$622,MATCH(218,Engine!$C$2:$C$622,0)))</f>
        <v/>
      </c>
      <c r="F231">
        <f>IF(ISNA(MATCH(218,Engine!$C$2:$C$622,0)),"",INDEX('Compliance Database'!$F$2:$F$622,MATCH(218,Engine!$C$2:$C$622,0)))</f>
        <v/>
      </c>
      <c r="G231">
        <f>IF(ISNA(MATCH(218,Engine!$C$2:$C$622,0)),"",INDEX('Compliance Database'!$G$2:$G$622,MATCH(218,Engine!$C$2:$C$622,0)))</f>
        <v/>
      </c>
      <c r="H231">
        <f>IF(ISNA(MATCH(218,Engine!$C$2:$C$622,0)),"",INDEX('Compliance Database'!$H$2:$H$622,MATCH(218,Engine!$C$2:$C$622,0)))</f>
        <v/>
      </c>
      <c r="I231" s="8">
        <f>IF(ISNA(MATCH(218,Engine!$C$2:$C$622,0)),"",INDEX('Compliance Database'!$I$2:$I$622,MATCH(218,Engine!$C$2:$C$622,0)))</f>
        <v/>
      </c>
      <c r="J231" s="8">
        <f>IF(ISNA(MATCH(218,Engine!$C$2:$C$622,0)),"",INDEX('Compliance Database'!$J$2:$J$622,MATCH(218,Engine!$C$2:$C$622,0)))</f>
        <v/>
      </c>
      <c r="K231">
        <f>IF(ISNA(MATCH(218,Engine!$C$2:$C$622,0)),"",INDEX('Compliance Database'!$K$2:$K$622,MATCH(218,Engine!$C$2:$C$622,0)))</f>
        <v/>
      </c>
      <c r="L231" s="8">
        <f>IF(ISNA(MATCH(218,Engine!$C$2:$C$622,0)),"",INDEX('Compliance Database'!$L$2:$L$622,MATCH(218,Engine!$C$2:$C$622,0)))</f>
        <v/>
      </c>
      <c r="M231" s="8">
        <f>IF(ISNA(MATCH(218,Engine!$C$2:$C$622,0)),"",INDEX('Compliance Database'!$M$2:$M$622,MATCH(218,Engine!$C$2:$C$622,0)))</f>
        <v/>
      </c>
      <c r="N231" s="8">
        <f>IF(ISNA(MATCH(218,Engine!$C$2:$C$622,0)),"",INDEX('Compliance Database'!$N$2:$N$622,MATCH(218,Engine!$C$2:$C$622,0)))</f>
        <v/>
      </c>
      <c r="O231" s="8">
        <f>IF(ISNA(MATCH(218,Engine!$C$2:$C$622,0)),"",INDEX('Compliance Database'!$O$2:$O$622,MATCH(218,Engine!$C$2:$C$622,0)))</f>
        <v/>
      </c>
    </row>
    <row r="232">
      <c r="A232">
        <f>IF(ISNA(MATCH(219,Engine!$C$2:$C$622,0)),"",INDEX('Compliance Database'!$A$2:$A$622,MATCH(219,Engine!$C$2:$C$622,0)))</f>
        <v/>
      </c>
      <c r="B232">
        <f>IF(ISNA(MATCH(219,Engine!$C$2:$C$622,0)),"",INDEX('Compliance Database'!$B$2:$B$622,MATCH(219,Engine!$C$2:$C$622,0)))</f>
        <v/>
      </c>
      <c r="C232">
        <f>IF(ISNA(MATCH(219,Engine!$C$2:$C$622,0)),"",INDEX('Compliance Database'!$C$2:$C$622,MATCH(219,Engine!$C$2:$C$622,0)))</f>
        <v/>
      </c>
      <c r="D232" s="8">
        <f>IF(ISNA(MATCH(219,Engine!$C$2:$C$622,0)),"",INDEX('Compliance Database'!$D$2:$D$622,MATCH(219,Engine!$C$2:$C$622,0)))</f>
        <v/>
      </c>
      <c r="E232">
        <f>IF(ISNA(MATCH(219,Engine!$C$2:$C$622,0)),"",INDEX('Compliance Database'!$E$2:$E$622,MATCH(219,Engine!$C$2:$C$622,0)))</f>
        <v/>
      </c>
      <c r="F232">
        <f>IF(ISNA(MATCH(219,Engine!$C$2:$C$622,0)),"",INDEX('Compliance Database'!$F$2:$F$622,MATCH(219,Engine!$C$2:$C$622,0)))</f>
        <v/>
      </c>
      <c r="G232">
        <f>IF(ISNA(MATCH(219,Engine!$C$2:$C$622,0)),"",INDEX('Compliance Database'!$G$2:$G$622,MATCH(219,Engine!$C$2:$C$622,0)))</f>
        <v/>
      </c>
      <c r="H232">
        <f>IF(ISNA(MATCH(219,Engine!$C$2:$C$622,0)),"",INDEX('Compliance Database'!$H$2:$H$622,MATCH(219,Engine!$C$2:$C$622,0)))</f>
        <v/>
      </c>
      <c r="I232" s="8">
        <f>IF(ISNA(MATCH(219,Engine!$C$2:$C$622,0)),"",INDEX('Compliance Database'!$I$2:$I$622,MATCH(219,Engine!$C$2:$C$622,0)))</f>
        <v/>
      </c>
      <c r="J232" s="8">
        <f>IF(ISNA(MATCH(219,Engine!$C$2:$C$622,0)),"",INDEX('Compliance Database'!$J$2:$J$622,MATCH(219,Engine!$C$2:$C$622,0)))</f>
        <v/>
      </c>
      <c r="K232">
        <f>IF(ISNA(MATCH(219,Engine!$C$2:$C$622,0)),"",INDEX('Compliance Database'!$K$2:$K$622,MATCH(219,Engine!$C$2:$C$622,0)))</f>
        <v/>
      </c>
      <c r="L232" s="8">
        <f>IF(ISNA(MATCH(219,Engine!$C$2:$C$622,0)),"",INDEX('Compliance Database'!$L$2:$L$622,MATCH(219,Engine!$C$2:$C$622,0)))</f>
        <v/>
      </c>
      <c r="M232" s="8">
        <f>IF(ISNA(MATCH(219,Engine!$C$2:$C$622,0)),"",INDEX('Compliance Database'!$M$2:$M$622,MATCH(219,Engine!$C$2:$C$622,0)))</f>
        <v/>
      </c>
      <c r="N232" s="8">
        <f>IF(ISNA(MATCH(219,Engine!$C$2:$C$622,0)),"",INDEX('Compliance Database'!$N$2:$N$622,MATCH(219,Engine!$C$2:$C$622,0)))</f>
        <v/>
      </c>
      <c r="O232" s="8">
        <f>IF(ISNA(MATCH(219,Engine!$C$2:$C$622,0)),"",INDEX('Compliance Database'!$O$2:$O$622,MATCH(219,Engine!$C$2:$C$622,0)))</f>
        <v/>
      </c>
    </row>
    <row r="233">
      <c r="A233">
        <f>IF(ISNA(MATCH(220,Engine!$C$2:$C$622,0)),"",INDEX('Compliance Database'!$A$2:$A$622,MATCH(220,Engine!$C$2:$C$622,0)))</f>
        <v/>
      </c>
      <c r="B233">
        <f>IF(ISNA(MATCH(220,Engine!$C$2:$C$622,0)),"",INDEX('Compliance Database'!$B$2:$B$622,MATCH(220,Engine!$C$2:$C$622,0)))</f>
        <v/>
      </c>
      <c r="C233">
        <f>IF(ISNA(MATCH(220,Engine!$C$2:$C$622,0)),"",INDEX('Compliance Database'!$C$2:$C$622,MATCH(220,Engine!$C$2:$C$622,0)))</f>
        <v/>
      </c>
      <c r="D233" s="8">
        <f>IF(ISNA(MATCH(220,Engine!$C$2:$C$622,0)),"",INDEX('Compliance Database'!$D$2:$D$622,MATCH(220,Engine!$C$2:$C$622,0)))</f>
        <v/>
      </c>
      <c r="E233">
        <f>IF(ISNA(MATCH(220,Engine!$C$2:$C$622,0)),"",INDEX('Compliance Database'!$E$2:$E$622,MATCH(220,Engine!$C$2:$C$622,0)))</f>
        <v/>
      </c>
      <c r="F233">
        <f>IF(ISNA(MATCH(220,Engine!$C$2:$C$622,0)),"",INDEX('Compliance Database'!$F$2:$F$622,MATCH(220,Engine!$C$2:$C$622,0)))</f>
        <v/>
      </c>
      <c r="G233">
        <f>IF(ISNA(MATCH(220,Engine!$C$2:$C$622,0)),"",INDEX('Compliance Database'!$G$2:$G$622,MATCH(220,Engine!$C$2:$C$622,0)))</f>
        <v/>
      </c>
      <c r="H233">
        <f>IF(ISNA(MATCH(220,Engine!$C$2:$C$622,0)),"",INDEX('Compliance Database'!$H$2:$H$622,MATCH(220,Engine!$C$2:$C$622,0)))</f>
        <v/>
      </c>
      <c r="I233" s="8">
        <f>IF(ISNA(MATCH(220,Engine!$C$2:$C$622,0)),"",INDEX('Compliance Database'!$I$2:$I$622,MATCH(220,Engine!$C$2:$C$622,0)))</f>
        <v/>
      </c>
      <c r="J233" s="8">
        <f>IF(ISNA(MATCH(220,Engine!$C$2:$C$622,0)),"",INDEX('Compliance Database'!$J$2:$J$622,MATCH(220,Engine!$C$2:$C$622,0)))</f>
        <v/>
      </c>
      <c r="K233">
        <f>IF(ISNA(MATCH(220,Engine!$C$2:$C$622,0)),"",INDEX('Compliance Database'!$K$2:$K$622,MATCH(220,Engine!$C$2:$C$622,0)))</f>
        <v/>
      </c>
      <c r="L233" s="8">
        <f>IF(ISNA(MATCH(220,Engine!$C$2:$C$622,0)),"",INDEX('Compliance Database'!$L$2:$L$622,MATCH(220,Engine!$C$2:$C$622,0)))</f>
        <v/>
      </c>
      <c r="M233" s="8">
        <f>IF(ISNA(MATCH(220,Engine!$C$2:$C$622,0)),"",INDEX('Compliance Database'!$M$2:$M$622,MATCH(220,Engine!$C$2:$C$622,0)))</f>
        <v/>
      </c>
      <c r="N233" s="8">
        <f>IF(ISNA(MATCH(220,Engine!$C$2:$C$622,0)),"",INDEX('Compliance Database'!$N$2:$N$622,MATCH(220,Engine!$C$2:$C$622,0)))</f>
        <v/>
      </c>
      <c r="O233" s="8">
        <f>IF(ISNA(MATCH(220,Engine!$C$2:$C$622,0)),"",INDEX('Compliance Database'!$O$2:$O$622,MATCH(220,Engine!$C$2:$C$622,0)))</f>
        <v/>
      </c>
    </row>
    <row r="234">
      <c r="A234">
        <f>IF(ISNA(MATCH(221,Engine!$C$2:$C$622,0)),"",INDEX('Compliance Database'!$A$2:$A$622,MATCH(221,Engine!$C$2:$C$622,0)))</f>
        <v/>
      </c>
      <c r="B234">
        <f>IF(ISNA(MATCH(221,Engine!$C$2:$C$622,0)),"",INDEX('Compliance Database'!$B$2:$B$622,MATCH(221,Engine!$C$2:$C$622,0)))</f>
        <v/>
      </c>
      <c r="C234">
        <f>IF(ISNA(MATCH(221,Engine!$C$2:$C$622,0)),"",INDEX('Compliance Database'!$C$2:$C$622,MATCH(221,Engine!$C$2:$C$622,0)))</f>
        <v/>
      </c>
      <c r="D234" s="8">
        <f>IF(ISNA(MATCH(221,Engine!$C$2:$C$622,0)),"",INDEX('Compliance Database'!$D$2:$D$622,MATCH(221,Engine!$C$2:$C$622,0)))</f>
        <v/>
      </c>
      <c r="E234">
        <f>IF(ISNA(MATCH(221,Engine!$C$2:$C$622,0)),"",INDEX('Compliance Database'!$E$2:$E$622,MATCH(221,Engine!$C$2:$C$622,0)))</f>
        <v/>
      </c>
      <c r="F234">
        <f>IF(ISNA(MATCH(221,Engine!$C$2:$C$622,0)),"",INDEX('Compliance Database'!$F$2:$F$622,MATCH(221,Engine!$C$2:$C$622,0)))</f>
        <v/>
      </c>
      <c r="G234">
        <f>IF(ISNA(MATCH(221,Engine!$C$2:$C$622,0)),"",INDEX('Compliance Database'!$G$2:$G$622,MATCH(221,Engine!$C$2:$C$622,0)))</f>
        <v/>
      </c>
      <c r="H234">
        <f>IF(ISNA(MATCH(221,Engine!$C$2:$C$622,0)),"",INDEX('Compliance Database'!$H$2:$H$622,MATCH(221,Engine!$C$2:$C$622,0)))</f>
        <v/>
      </c>
      <c r="I234" s="8">
        <f>IF(ISNA(MATCH(221,Engine!$C$2:$C$622,0)),"",INDEX('Compliance Database'!$I$2:$I$622,MATCH(221,Engine!$C$2:$C$622,0)))</f>
        <v/>
      </c>
      <c r="J234" s="8">
        <f>IF(ISNA(MATCH(221,Engine!$C$2:$C$622,0)),"",INDEX('Compliance Database'!$J$2:$J$622,MATCH(221,Engine!$C$2:$C$622,0)))</f>
        <v/>
      </c>
      <c r="K234">
        <f>IF(ISNA(MATCH(221,Engine!$C$2:$C$622,0)),"",INDEX('Compliance Database'!$K$2:$K$622,MATCH(221,Engine!$C$2:$C$622,0)))</f>
        <v/>
      </c>
      <c r="L234" s="8">
        <f>IF(ISNA(MATCH(221,Engine!$C$2:$C$622,0)),"",INDEX('Compliance Database'!$L$2:$L$622,MATCH(221,Engine!$C$2:$C$622,0)))</f>
        <v/>
      </c>
      <c r="M234" s="8">
        <f>IF(ISNA(MATCH(221,Engine!$C$2:$C$622,0)),"",INDEX('Compliance Database'!$M$2:$M$622,MATCH(221,Engine!$C$2:$C$622,0)))</f>
        <v/>
      </c>
      <c r="N234" s="8">
        <f>IF(ISNA(MATCH(221,Engine!$C$2:$C$622,0)),"",INDEX('Compliance Database'!$N$2:$N$622,MATCH(221,Engine!$C$2:$C$622,0)))</f>
        <v/>
      </c>
      <c r="O234" s="8">
        <f>IF(ISNA(MATCH(221,Engine!$C$2:$C$622,0)),"",INDEX('Compliance Database'!$O$2:$O$622,MATCH(221,Engine!$C$2:$C$622,0)))</f>
        <v/>
      </c>
    </row>
    <row r="235">
      <c r="A235">
        <f>IF(ISNA(MATCH(222,Engine!$C$2:$C$622,0)),"",INDEX('Compliance Database'!$A$2:$A$622,MATCH(222,Engine!$C$2:$C$622,0)))</f>
        <v/>
      </c>
      <c r="B235">
        <f>IF(ISNA(MATCH(222,Engine!$C$2:$C$622,0)),"",INDEX('Compliance Database'!$B$2:$B$622,MATCH(222,Engine!$C$2:$C$622,0)))</f>
        <v/>
      </c>
      <c r="C235">
        <f>IF(ISNA(MATCH(222,Engine!$C$2:$C$622,0)),"",INDEX('Compliance Database'!$C$2:$C$622,MATCH(222,Engine!$C$2:$C$622,0)))</f>
        <v/>
      </c>
      <c r="D235" s="8">
        <f>IF(ISNA(MATCH(222,Engine!$C$2:$C$622,0)),"",INDEX('Compliance Database'!$D$2:$D$622,MATCH(222,Engine!$C$2:$C$622,0)))</f>
        <v/>
      </c>
      <c r="E235">
        <f>IF(ISNA(MATCH(222,Engine!$C$2:$C$622,0)),"",INDEX('Compliance Database'!$E$2:$E$622,MATCH(222,Engine!$C$2:$C$622,0)))</f>
        <v/>
      </c>
      <c r="F235">
        <f>IF(ISNA(MATCH(222,Engine!$C$2:$C$622,0)),"",INDEX('Compliance Database'!$F$2:$F$622,MATCH(222,Engine!$C$2:$C$622,0)))</f>
        <v/>
      </c>
      <c r="G235">
        <f>IF(ISNA(MATCH(222,Engine!$C$2:$C$622,0)),"",INDEX('Compliance Database'!$G$2:$G$622,MATCH(222,Engine!$C$2:$C$622,0)))</f>
        <v/>
      </c>
      <c r="H235">
        <f>IF(ISNA(MATCH(222,Engine!$C$2:$C$622,0)),"",INDEX('Compliance Database'!$H$2:$H$622,MATCH(222,Engine!$C$2:$C$622,0)))</f>
        <v/>
      </c>
      <c r="I235" s="8">
        <f>IF(ISNA(MATCH(222,Engine!$C$2:$C$622,0)),"",INDEX('Compliance Database'!$I$2:$I$622,MATCH(222,Engine!$C$2:$C$622,0)))</f>
        <v/>
      </c>
      <c r="J235" s="8">
        <f>IF(ISNA(MATCH(222,Engine!$C$2:$C$622,0)),"",INDEX('Compliance Database'!$J$2:$J$622,MATCH(222,Engine!$C$2:$C$622,0)))</f>
        <v/>
      </c>
      <c r="K235">
        <f>IF(ISNA(MATCH(222,Engine!$C$2:$C$622,0)),"",INDEX('Compliance Database'!$K$2:$K$622,MATCH(222,Engine!$C$2:$C$622,0)))</f>
        <v/>
      </c>
      <c r="L235" s="8">
        <f>IF(ISNA(MATCH(222,Engine!$C$2:$C$622,0)),"",INDEX('Compliance Database'!$L$2:$L$622,MATCH(222,Engine!$C$2:$C$622,0)))</f>
        <v/>
      </c>
      <c r="M235" s="8">
        <f>IF(ISNA(MATCH(222,Engine!$C$2:$C$622,0)),"",INDEX('Compliance Database'!$M$2:$M$622,MATCH(222,Engine!$C$2:$C$622,0)))</f>
        <v/>
      </c>
      <c r="N235" s="8">
        <f>IF(ISNA(MATCH(222,Engine!$C$2:$C$622,0)),"",INDEX('Compliance Database'!$N$2:$N$622,MATCH(222,Engine!$C$2:$C$622,0)))</f>
        <v/>
      </c>
      <c r="O235" s="8">
        <f>IF(ISNA(MATCH(222,Engine!$C$2:$C$622,0)),"",INDEX('Compliance Database'!$O$2:$O$622,MATCH(222,Engine!$C$2:$C$622,0)))</f>
        <v/>
      </c>
    </row>
    <row r="236">
      <c r="A236">
        <f>IF(ISNA(MATCH(223,Engine!$C$2:$C$622,0)),"",INDEX('Compliance Database'!$A$2:$A$622,MATCH(223,Engine!$C$2:$C$622,0)))</f>
        <v/>
      </c>
      <c r="B236">
        <f>IF(ISNA(MATCH(223,Engine!$C$2:$C$622,0)),"",INDEX('Compliance Database'!$B$2:$B$622,MATCH(223,Engine!$C$2:$C$622,0)))</f>
        <v/>
      </c>
      <c r="C236">
        <f>IF(ISNA(MATCH(223,Engine!$C$2:$C$622,0)),"",INDEX('Compliance Database'!$C$2:$C$622,MATCH(223,Engine!$C$2:$C$622,0)))</f>
        <v/>
      </c>
      <c r="D236" s="8">
        <f>IF(ISNA(MATCH(223,Engine!$C$2:$C$622,0)),"",INDEX('Compliance Database'!$D$2:$D$622,MATCH(223,Engine!$C$2:$C$622,0)))</f>
        <v/>
      </c>
      <c r="E236">
        <f>IF(ISNA(MATCH(223,Engine!$C$2:$C$622,0)),"",INDEX('Compliance Database'!$E$2:$E$622,MATCH(223,Engine!$C$2:$C$622,0)))</f>
        <v/>
      </c>
      <c r="F236">
        <f>IF(ISNA(MATCH(223,Engine!$C$2:$C$622,0)),"",INDEX('Compliance Database'!$F$2:$F$622,MATCH(223,Engine!$C$2:$C$622,0)))</f>
        <v/>
      </c>
      <c r="G236">
        <f>IF(ISNA(MATCH(223,Engine!$C$2:$C$622,0)),"",INDEX('Compliance Database'!$G$2:$G$622,MATCH(223,Engine!$C$2:$C$622,0)))</f>
        <v/>
      </c>
      <c r="H236">
        <f>IF(ISNA(MATCH(223,Engine!$C$2:$C$622,0)),"",INDEX('Compliance Database'!$H$2:$H$622,MATCH(223,Engine!$C$2:$C$622,0)))</f>
        <v/>
      </c>
      <c r="I236" s="8">
        <f>IF(ISNA(MATCH(223,Engine!$C$2:$C$622,0)),"",INDEX('Compliance Database'!$I$2:$I$622,MATCH(223,Engine!$C$2:$C$622,0)))</f>
        <v/>
      </c>
      <c r="J236" s="8">
        <f>IF(ISNA(MATCH(223,Engine!$C$2:$C$622,0)),"",INDEX('Compliance Database'!$J$2:$J$622,MATCH(223,Engine!$C$2:$C$622,0)))</f>
        <v/>
      </c>
      <c r="K236">
        <f>IF(ISNA(MATCH(223,Engine!$C$2:$C$622,0)),"",INDEX('Compliance Database'!$K$2:$K$622,MATCH(223,Engine!$C$2:$C$622,0)))</f>
        <v/>
      </c>
      <c r="L236" s="8">
        <f>IF(ISNA(MATCH(223,Engine!$C$2:$C$622,0)),"",INDEX('Compliance Database'!$L$2:$L$622,MATCH(223,Engine!$C$2:$C$622,0)))</f>
        <v/>
      </c>
      <c r="M236" s="8">
        <f>IF(ISNA(MATCH(223,Engine!$C$2:$C$622,0)),"",INDEX('Compliance Database'!$M$2:$M$622,MATCH(223,Engine!$C$2:$C$622,0)))</f>
        <v/>
      </c>
      <c r="N236" s="8">
        <f>IF(ISNA(MATCH(223,Engine!$C$2:$C$622,0)),"",INDEX('Compliance Database'!$N$2:$N$622,MATCH(223,Engine!$C$2:$C$622,0)))</f>
        <v/>
      </c>
      <c r="O236" s="8">
        <f>IF(ISNA(MATCH(223,Engine!$C$2:$C$622,0)),"",INDEX('Compliance Database'!$O$2:$O$622,MATCH(223,Engine!$C$2:$C$622,0)))</f>
        <v/>
      </c>
    </row>
    <row r="237">
      <c r="A237">
        <f>IF(ISNA(MATCH(224,Engine!$C$2:$C$622,0)),"",INDEX('Compliance Database'!$A$2:$A$622,MATCH(224,Engine!$C$2:$C$622,0)))</f>
        <v/>
      </c>
      <c r="B237">
        <f>IF(ISNA(MATCH(224,Engine!$C$2:$C$622,0)),"",INDEX('Compliance Database'!$B$2:$B$622,MATCH(224,Engine!$C$2:$C$622,0)))</f>
        <v/>
      </c>
      <c r="C237">
        <f>IF(ISNA(MATCH(224,Engine!$C$2:$C$622,0)),"",INDEX('Compliance Database'!$C$2:$C$622,MATCH(224,Engine!$C$2:$C$622,0)))</f>
        <v/>
      </c>
      <c r="D237" s="8">
        <f>IF(ISNA(MATCH(224,Engine!$C$2:$C$622,0)),"",INDEX('Compliance Database'!$D$2:$D$622,MATCH(224,Engine!$C$2:$C$622,0)))</f>
        <v/>
      </c>
      <c r="E237">
        <f>IF(ISNA(MATCH(224,Engine!$C$2:$C$622,0)),"",INDEX('Compliance Database'!$E$2:$E$622,MATCH(224,Engine!$C$2:$C$622,0)))</f>
        <v/>
      </c>
      <c r="F237">
        <f>IF(ISNA(MATCH(224,Engine!$C$2:$C$622,0)),"",INDEX('Compliance Database'!$F$2:$F$622,MATCH(224,Engine!$C$2:$C$622,0)))</f>
        <v/>
      </c>
      <c r="G237">
        <f>IF(ISNA(MATCH(224,Engine!$C$2:$C$622,0)),"",INDEX('Compliance Database'!$G$2:$G$622,MATCH(224,Engine!$C$2:$C$622,0)))</f>
        <v/>
      </c>
      <c r="H237">
        <f>IF(ISNA(MATCH(224,Engine!$C$2:$C$622,0)),"",INDEX('Compliance Database'!$H$2:$H$622,MATCH(224,Engine!$C$2:$C$622,0)))</f>
        <v/>
      </c>
      <c r="I237" s="8">
        <f>IF(ISNA(MATCH(224,Engine!$C$2:$C$622,0)),"",INDEX('Compliance Database'!$I$2:$I$622,MATCH(224,Engine!$C$2:$C$622,0)))</f>
        <v/>
      </c>
      <c r="J237" s="8">
        <f>IF(ISNA(MATCH(224,Engine!$C$2:$C$622,0)),"",INDEX('Compliance Database'!$J$2:$J$622,MATCH(224,Engine!$C$2:$C$622,0)))</f>
        <v/>
      </c>
      <c r="K237">
        <f>IF(ISNA(MATCH(224,Engine!$C$2:$C$622,0)),"",INDEX('Compliance Database'!$K$2:$K$622,MATCH(224,Engine!$C$2:$C$622,0)))</f>
        <v/>
      </c>
      <c r="L237" s="8">
        <f>IF(ISNA(MATCH(224,Engine!$C$2:$C$622,0)),"",INDEX('Compliance Database'!$L$2:$L$622,MATCH(224,Engine!$C$2:$C$622,0)))</f>
        <v/>
      </c>
      <c r="M237" s="8">
        <f>IF(ISNA(MATCH(224,Engine!$C$2:$C$622,0)),"",INDEX('Compliance Database'!$M$2:$M$622,MATCH(224,Engine!$C$2:$C$622,0)))</f>
        <v/>
      </c>
      <c r="N237" s="8">
        <f>IF(ISNA(MATCH(224,Engine!$C$2:$C$622,0)),"",INDEX('Compliance Database'!$N$2:$N$622,MATCH(224,Engine!$C$2:$C$622,0)))</f>
        <v/>
      </c>
      <c r="O237" s="8">
        <f>IF(ISNA(MATCH(224,Engine!$C$2:$C$622,0)),"",INDEX('Compliance Database'!$O$2:$O$622,MATCH(224,Engine!$C$2:$C$622,0)))</f>
        <v/>
      </c>
    </row>
    <row r="238">
      <c r="A238">
        <f>IF(ISNA(MATCH(225,Engine!$C$2:$C$622,0)),"",INDEX('Compliance Database'!$A$2:$A$622,MATCH(225,Engine!$C$2:$C$622,0)))</f>
        <v/>
      </c>
      <c r="B238">
        <f>IF(ISNA(MATCH(225,Engine!$C$2:$C$622,0)),"",INDEX('Compliance Database'!$B$2:$B$622,MATCH(225,Engine!$C$2:$C$622,0)))</f>
        <v/>
      </c>
      <c r="C238">
        <f>IF(ISNA(MATCH(225,Engine!$C$2:$C$622,0)),"",INDEX('Compliance Database'!$C$2:$C$622,MATCH(225,Engine!$C$2:$C$622,0)))</f>
        <v/>
      </c>
      <c r="D238" s="8">
        <f>IF(ISNA(MATCH(225,Engine!$C$2:$C$622,0)),"",INDEX('Compliance Database'!$D$2:$D$622,MATCH(225,Engine!$C$2:$C$622,0)))</f>
        <v/>
      </c>
      <c r="E238">
        <f>IF(ISNA(MATCH(225,Engine!$C$2:$C$622,0)),"",INDEX('Compliance Database'!$E$2:$E$622,MATCH(225,Engine!$C$2:$C$622,0)))</f>
        <v/>
      </c>
      <c r="F238">
        <f>IF(ISNA(MATCH(225,Engine!$C$2:$C$622,0)),"",INDEX('Compliance Database'!$F$2:$F$622,MATCH(225,Engine!$C$2:$C$622,0)))</f>
        <v/>
      </c>
      <c r="G238">
        <f>IF(ISNA(MATCH(225,Engine!$C$2:$C$622,0)),"",INDEX('Compliance Database'!$G$2:$G$622,MATCH(225,Engine!$C$2:$C$622,0)))</f>
        <v/>
      </c>
      <c r="H238">
        <f>IF(ISNA(MATCH(225,Engine!$C$2:$C$622,0)),"",INDEX('Compliance Database'!$H$2:$H$622,MATCH(225,Engine!$C$2:$C$622,0)))</f>
        <v/>
      </c>
      <c r="I238" s="8">
        <f>IF(ISNA(MATCH(225,Engine!$C$2:$C$622,0)),"",INDEX('Compliance Database'!$I$2:$I$622,MATCH(225,Engine!$C$2:$C$622,0)))</f>
        <v/>
      </c>
      <c r="J238" s="8">
        <f>IF(ISNA(MATCH(225,Engine!$C$2:$C$622,0)),"",INDEX('Compliance Database'!$J$2:$J$622,MATCH(225,Engine!$C$2:$C$622,0)))</f>
        <v/>
      </c>
      <c r="K238">
        <f>IF(ISNA(MATCH(225,Engine!$C$2:$C$622,0)),"",INDEX('Compliance Database'!$K$2:$K$622,MATCH(225,Engine!$C$2:$C$622,0)))</f>
        <v/>
      </c>
      <c r="L238" s="8">
        <f>IF(ISNA(MATCH(225,Engine!$C$2:$C$622,0)),"",INDEX('Compliance Database'!$L$2:$L$622,MATCH(225,Engine!$C$2:$C$622,0)))</f>
        <v/>
      </c>
      <c r="M238" s="8">
        <f>IF(ISNA(MATCH(225,Engine!$C$2:$C$622,0)),"",INDEX('Compliance Database'!$M$2:$M$622,MATCH(225,Engine!$C$2:$C$622,0)))</f>
        <v/>
      </c>
      <c r="N238" s="8">
        <f>IF(ISNA(MATCH(225,Engine!$C$2:$C$622,0)),"",INDEX('Compliance Database'!$N$2:$N$622,MATCH(225,Engine!$C$2:$C$622,0)))</f>
        <v/>
      </c>
      <c r="O238" s="8">
        <f>IF(ISNA(MATCH(225,Engine!$C$2:$C$622,0)),"",INDEX('Compliance Database'!$O$2:$O$622,MATCH(225,Engine!$C$2:$C$622,0)))</f>
        <v/>
      </c>
    </row>
    <row r="239">
      <c r="A239">
        <f>IF(ISNA(MATCH(226,Engine!$C$2:$C$622,0)),"",INDEX('Compliance Database'!$A$2:$A$622,MATCH(226,Engine!$C$2:$C$622,0)))</f>
        <v/>
      </c>
      <c r="B239">
        <f>IF(ISNA(MATCH(226,Engine!$C$2:$C$622,0)),"",INDEX('Compliance Database'!$B$2:$B$622,MATCH(226,Engine!$C$2:$C$622,0)))</f>
        <v/>
      </c>
      <c r="C239">
        <f>IF(ISNA(MATCH(226,Engine!$C$2:$C$622,0)),"",INDEX('Compliance Database'!$C$2:$C$622,MATCH(226,Engine!$C$2:$C$622,0)))</f>
        <v/>
      </c>
      <c r="D239" s="8">
        <f>IF(ISNA(MATCH(226,Engine!$C$2:$C$622,0)),"",INDEX('Compliance Database'!$D$2:$D$622,MATCH(226,Engine!$C$2:$C$622,0)))</f>
        <v/>
      </c>
      <c r="E239">
        <f>IF(ISNA(MATCH(226,Engine!$C$2:$C$622,0)),"",INDEX('Compliance Database'!$E$2:$E$622,MATCH(226,Engine!$C$2:$C$622,0)))</f>
        <v/>
      </c>
      <c r="F239">
        <f>IF(ISNA(MATCH(226,Engine!$C$2:$C$622,0)),"",INDEX('Compliance Database'!$F$2:$F$622,MATCH(226,Engine!$C$2:$C$622,0)))</f>
        <v/>
      </c>
      <c r="G239">
        <f>IF(ISNA(MATCH(226,Engine!$C$2:$C$622,0)),"",INDEX('Compliance Database'!$G$2:$G$622,MATCH(226,Engine!$C$2:$C$622,0)))</f>
        <v/>
      </c>
      <c r="H239">
        <f>IF(ISNA(MATCH(226,Engine!$C$2:$C$622,0)),"",INDEX('Compliance Database'!$H$2:$H$622,MATCH(226,Engine!$C$2:$C$622,0)))</f>
        <v/>
      </c>
      <c r="I239" s="8">
        <f>IF(ISNA(MATCH(226,Engine!$C$2:$C$622,0)),"",INDEX('Compliance Database'!$I$2:$I$622,MATCH(226,Engine!$C$2:$C$622,0)))</f>
        <v/>
      </c>
      <c r="J239" s="8">
        <f>IF(ISNA(MATCH(226,Engine!$C$2:$C$622,0)),"",INDEX('Compliance Database'!$J$2:$J$622,MATCH(226,Engine!$C$2:$C$622,0)))</f>
        <v/>
      </c>
      <c r="K239">
        <f>IF(ISNA(MATCH(226,Engine!$C$2:$C$622,0)),"",INDEX('Compliance Database'!$K$2:$K$622,MATCH(226,Engine!$C$2:$C$622,0)))</f>
        <v/>
      </c>
      <c r="L239" s="8">
        <f>IF(ISNA(MATCH(226,Engine!$C$2:$C$622,0)),"",INDEX('Compliance Database'!$L$2:$L$622,MATCH(226,Engine!$C$2:$C$622,0)))</f>
        <v/>
      </c>
      <c r="M239" s="8">
        <f>IF(ISNA(MATCH(226,Engine!$C$2:$C$622,0)),"",INDEX('Compliance Database'!$M$2:$M$622,MATCH(226,Engine!$C$2:$C$622,0)))</f>
        <v/>
      </c>
      <c r="N239" s="8">
        <f>IF(ISNA(MATCH(226,Engine!$C$2:$C$622,0)),"",INDEX('Compliance Database'!$N$2:$N$622,MATCH(226,Engine!$C$2:$C$622,0)))</f>
        <v/>
      </c>
      <c r="O239" s="8">
        <f>IF(ISNA(MATCH(226,Engine!$C$2:$C$622,0)),"",INDEX('Compliance Database'!$O$2:$O$622,MATCH(226,Engine!$C$2:$C$622,0)))</f>
        <v/>
      </c>
    </row>
    <row r="240">
      <c r="A240">
        <f>IF(ISNA(MATCH(227,Engine!$C$2:$C$622,0)),"",INDEX('Compliance Database'!$A$2:$A$622,MATCH(227,Engine!$C$2:$C$622,0)))</f>
        <v/>
      </c>
      <c r="B240">
        <f>IF(ISNA(MATCH(227,Engine!$C$2:$C$622,0)),"",INDEX('Compliance Database'!$B$2:$B$622,MATCH(227,Engine!$C$2:$C$622,0)))</f>
        <v/>
      </c>
      <c r="C240">
        <f>IF(ISNA(MATCH(227,Engine!$C$2:$C$622,0)),"",INDEX('Compliance Database'!$C$2:$C$622,MATCH(227,Engine!$C$2:$C$622,0)))</f>
        <v/>
      </c>
      <c r="D240" s="8">
        <f>IF(ISNA(MATCH(227,Engine!$C$2:$C$622,0)),"",INDEX('Compliance Database'!$D$2:$D$622,MATCH(227,Engine!$C$2:$C$622,0)))</f>
        <v/>
      </c>
      <c r="E240">
        <f>IF(ISNA(MATCH(227,Engine!$C$2:$C$622,0)),"",INDEX('Compliance Database'!$E$2:$E$622,MATCH(227,Engine!$C$2:$C$622,0)))</f>
        <v/>
      </c>
      <c r="F240">
        <f>IF(ISNA(MATCH(227,Engine!$C$2:$C$622,0)),"",INDEX('Compliance Database'!$F$2:$F$622,MATCH(227,Engine!$C$2:$C$622,0)))</f>
        <v/>
      </c>
      <c r="G240">
        <f>IF(ISNA(MATCH(227,Engine!$C$2:$C$622,0)),"",INDEX('Compliance Database'!$G$2:$G$622,MATCH(227,Engine!$C$2:$C$622,0)))</f>
        <v/>
      </c>
      <c r="H240">
        <f>IF(ISNA(MATCH(227,Engine!$C$2:$C$622,0)),"",INDEX('Compliance Database'!$H$2:$H$622,MATCH(227,Engine!$C$2:$C$622,0)))</f>
        <v/>
      </c>
      <c r="I240" s="8">
        <f>IF(ISNA(MATCH(227,Engine!$C$2:$C$622,0)),"",INDEX('Compliance Database'!$I$2:$I$622,MATCH(227,Engine!$C$2:$C$622,0)))</f>
        <v/>
      </c>
      <c r="J240" s="8">
        <f>IF(ISNA(MATCH(227,Engine!$C$2:$C$622,0)),"",INDEX('Compliance Database'!$J$2:$J$622,MATCH(227,Engine!$C$2:$C$622,0)))</f>
        <v/>
      </c>
      <c r="K240">
        <f>IF(ISNA(MATCH(227,Engine!$C$2:$C$622,0)),"",INDEX('Compliance Database'!$K$2:$K$622,MATCH(227,Engine!$C$2:$C$622,0)))</f>
        <v/>
      </c>
      <c r="L240" s="8">
        <f>IF(ISNA(MATCH(227,Engine!$C$2:$C$622,0)),"",INDEX('Compliance Database'!$L$2:$L$622,MATCH(227,Engine!$C$2:$C$622,0)))</f>
        <v/>
      </c>
      <c r="M240" s="8">
        <f>IF(ISNA(MATCH(227,Engine!$C$2:$C$622,0)),"",INDEX('Compliance Database'!$M$2:$M$622,MATCH(227,Engine!$C$2:$C$622,0)))</f>
        <v/>
      </c>
      <c r="N240" s="8">
        <f>IF(ISNA(MATCH(227,Engine!$C$2:$C$622,0)),"",INDEX('Compliance Database'!$N$2:$N$622,MATCH(227,Engine!$C$2:$C$622,0)))</f>
        <v/>
      </c>
      <c r="O240" s="8">
        <f>IF(ISNA(MATCH(227,Engine!$C$2:$C$622,0)),"",INDEX('Compliance Database'!$O$2:$O$622,MATCH(227,Engine!$C$2:$C$622,0)))</f>
        <v/>
      </c>
    </row>
    <row r="241">
      <c r="A241">
        <f>IF(ISNA(MATCH(228,Engine!$C$2:$C$622,0)),"",INDEX('Compliance Database'!$A$2:$A$622,MATCH(228,Engine!$C$2:$C$622,0)))</f>
        <v/>
      </c>
      <c r="B241">
        <f>IF(ISNA(MATCH(228,Engine!$C$2:$C$622,0)),"",INDEX('Compliance Database'!$B$2:$B$622,MATCH(228,Engine!$C$2:$C$622,0)))</f>
        <v/>
      </c>
      <c r="C241">
        <f>IF(ISNA(MATCH(228,Engine!$C$2:$C$622,0)),"",INDEX('Compliance Database'!$C$2:$C$622,MATCH(228,Engine!$C$2:$C$622,0)))</f>
        <v/>
      </c>
      <c r="D241" s="8">
        <f>IF(ISNA(MATCH(228,Engine!$C$2:$C$622,0)),"",INDEX('Compliance Database'!$D$2:$D$622,MATCH(228,Engine!$C$2:$C$622,0)))</f>
        <v/>
      </c>
      <c r="E241">
        <f>IF(ISNA(MATCH(228,Engine!$C$2:$C$622,0)),"",INDEX('Compliance Database'!$E$2:$E$622,MATCH(228,Engine!$C$2:$C$622,0)))</f>
        <v/>
      </c>
      <c r="F241">
        <f>IF(ISNA(MATCH(228,Engine!$C$2:$C$622,0)),"",INDEX('Compliance Database'!$F$2:$F$622,MATCH(228,Engine!$C$2:$C$622,0)))</f>
        <v/>
      </c>
      <c r="G241">
        <f>IF(ISNA(MATCH(228,Engine!$C$2:$C$622,0)),"",INDEX('Compliance Database'!$G$2:$G$622,MATCH(228,Engine!$C$2:$C$622,0)))</f>
        <v/>
      </c>
      <c r="H241">
        <f>IF(ISNA(MATCH(228,Engine!$C$2:$C$622,0)),"",INDEX('Compliance Database'!$H$2:$H$622,MATCH(228,Engine!$C$2:$C$622,0)))</f>
        <v/>
      </c>
      <c r="I241" s="8">
        <f>IF(ISNA(MATCH(228,Engine!$C$2:$C$622,0)),"",INDEX('Compliance Database'!$I$2:$I$622,MATCH(228,Engine!$C$2:$C$622,0)))</f>
        <v/>
      </c>
      <c r="J241" s="8">
        <f>IF(ISNA(MATCH(228,Engine!$C$2:$C$622,0)),"",INDEX('Compliance Database'!$J$2:$J$622,MATCH(228,Engine!$C$2:$C$622,0)))</f>
        <v/>
      </c>
      <c r="K241">
        <f>IF(ISNA(MATCH(228,Engine!$C$2:$C$622,0)),"",INDEX('Compliance Database'!$K$2:$K$622,MATCH(228,Engine!$C$2:$C$622,0)))</f>
        <v/>
      </c>
      <c r="L241" s="8">
        <f>IF(ISNA(MATCH(228,Engine!$C$2:$C$622,0)),"",INDEX('Compliance Database'!$L$2:$L$622,MATCH(228,Engine!$C$2:$C$622,0)))</f>
        <v/>
      </c>
      <c r="M241" s="8">
        <f>IF(ISNA(MATCH(228,Engine!$C$2:$C$622,0)),"",INDEX('Compliance Database'!$M$2:$M$622,MATCH(228,Engine!$C$2:$C$622,0)))</f>
        <v/>
      </c>
      <c r="N241" s="8">
        <f>IF(ISNA(MATCH(228,Engine!$C$2:$C$622,0)),"",INDEX('Compliance Database'!$N$2:$N$622,MATCH(228,Engine!$C$2:$C$622,0)))</f>
        <v/>
      </c>
      <c r="O241" s="8">
        <f>IF(ISNA(MATCH(228,Engine!$C$2:$C$622,0)),"",INDEX('Compliance Database'!$O$2:$O$622,MATCH(228,Engine!$C$2:$C$622,0)))</f>
        <v/>
      </c>
    </row>
    <row r="242">
      <c r="A242">
        <f>IF(ISNA(MATCH(229,Engine!$C$2:$C$622,0)),"",INDEX('Compliance Database'!$A$2:$A$622,MATCH(229,Engine!$C$2:$C$622,0)))</f>
        <v/>
      </c>
      <c r="B242">
        <f>IF(ISNA(MATCH(229,Engine!$C$2:$C$622,0)),"",INDEX('Compliance Database'!$B$2:$B$622,MATCH(229,Engine!$C$2:$C$622,0)))</f>
        <v/>
      </c>
      <c r="C242">
        <f>IF(ISNA(MATCH(229,Engine!$C$2:$C$622,0)),"",INDEX('Compliance Database'!$C$2:$C$622,MATCH(229,Engine!$C$2:$C$622,0)))</f>
        <v/>
      </c>
      <c r="D242" s="8">
        <f>IF(ISNA(MATCH(229,Engine!$C$2:$C$622,0)),"",INDEX('Compliance Database'!$D$2:$D$622,MATCH(229,Engine!$C$2:$C$622,0)))</f>
        <v/>
      </c>
      <c r="E242">
        <f>IF(ISNA(MATCH(229,Engine!$C$2:$C$622,0)),"",INDEX('Compliance Database'!$E$2:$E$622,MATCH(229,Engine!$C$2:$C$622,0)))</f>
        <v/>
      </c>
      <c r="F242">
        <f>IF(ISNA(MATCH(229,Engine!$C$2:$C$622,0)),"",INDEX('Compliance Database'!$F$2:$F$622,MATCH(229,Engine!$C$2:$C$622,0)))</f>
        <v/>
      </c>
      <c r="G242">
        <f>IF(ISNA(MATCH(229,Engine!$C$2:$C$622,0)),"",INDEX('Compliance Database'!$G$2:$G$622,MATCH(229,Engine!$C$2:$C$622,0)))</f>
        <v/>
      </c>
      <c r="H242">
        <f>IF(ISNA(MATCH(229,Engine!$C$2:$C$622,0)),"",INDEX('Compliance Database'!$H$2:$H$622,MATCH(229,Engine!$C$2:$C$622,0)))</f>
        <v/>
      </c>
      <c r="I242" s="8">
        <f>IF(ISNA(MATCH(229,Engine!$C$2:$C$622,0)),"",INDEX('Compliance Database'!$I$2:$I$622,MATCH(229,Engine!$C$2:$C$622,0)))</f>
        <v/>
      </c>
      <c r="J242" s="8">
        <f>IF(ISNA(MATCH(229,Engine!$C$2:$C$622,0)),"",INDEX('Compliance Database'!$J$2:$J$622,MATCH(229,Engine!$C$2:$C$622,0)))</f>
        <v/>
      </c>
      <c r="K242">
        <f>IF(ISNA(MATCH(229,Engine!$C$2:$C$622,0)),"",INDEX('Compliance Database'!$K$2:$K$622,MATCH(229,Engine!$C$2:$C$622,0)))</f>
        <v/>
      </c>
      <c r="L242" s="8">
        <f>IF(ISNA(MATCH(229,Engine!$C$2:$C$622,0)),"",INDEX('Compliance Database'!$L$2:$L$622,MATCH(229,Engine!$C$2:$C$622,0)))</f>
        <v/>
      </c>
      <c r="M242" s="8">
        <f>IF(ISNA(MATCH(229,Engine!$C$2:$C$622,0)),"",INDEX('Compliance Database'!$M$2:$M$622,MATCH(229,Engine!$C$2:$C$622,0)))</f>
        <v/>
      </c>
      <c r="N242" s="8">
        <f>IF(ISNA(MATCH(229,Engine!$C$2:$C$622,0)),"",INDEX('Compliance Database'!$N$2:$N$622,MATCH(229,Engine!$C$2:$C$622,0)))</f>
        <v/>
      </c>
      <c r="O242" s="8">
        <f>IF(ISNA(MATCH(229,Engine!$C$2:$C$622,0)),"",INDEX('Compliance Database'!$O$2:$O$622,MATCH(229,Engine!$C$2:$C$622,0)))</f>
        <v/>
      </c>
    </row>
    <row r="243">
      <c r="A243">
        <f>IF(ISNA(MATCH(230,Engine!$C$2:$C$622,0)),"",INDEX('Compliance Database'!$A$2:$A$622,MATCH(230,Engine!$C$2:$C$622,0)))</f>
        <v/>
      </c>
      <c r="B243">
        <f>IF(ISNA(MATCH(230,Engine!$C$2:$C$622,0)),"",INDEX('Compliance Database'!$B$2:$B$622,MATCH(230,Engine!$C$2:$C$622,0)))</f>
        <v/>
      </c>
      <c r="C243">
        <f>IF(ISNA(MATCH(230,Engine!$C$2:$C$622,0)),"",INDEX('Compliance Database'!$C$2:$C$622,MATCH(230,Engine!$C$2:$C$622,0)))</f>
        <v/>
      </c>
      <c r="D243" s="8">
        <f>IF(ISNA(MATCH(230,Engine!$C$2:$C$622,0)),"",INDEX('Compliance Database'!$D$2:$D$622,MATCH(230,Engine!$C$2:$C$622,0)))</f>
        <v/>
      </c>
      <c r="E243">
        <f>IF(ISNA(MATCH(230,Engine!$C$2:$C$622,0)),"",INDEX('Compliance Database'!$E$2:$E$622,MATCH(230,Engine!$C$2:$C$622,0)))</f>
        <v/>
      </c>
      <c r="F243">
        <f>IF(ISNA(MATCH(230,Engine!$C$2:$C$622,0)),"",INDEX('Compliance Database'!$F$2:$F$622,MATCH(230,Engine!$C$2:$C$622,0)))</f>
        <v/>
      </c>
      <c r="G243">
        <f>IF(ISNA(MATCH(230,Engine!$C$2:$C$622,0)),"",INDEX('Compliance Database'!$G$2:$G$622,MATCH(230,Engine!$C$2:$C$622,0)))</f>
        <v/>
      </c>
      <c r="H243">
        <f>IF(ISNA(MATCH(230,Engine!$C$2:$C$622,0)),"",INDEX('Compliance Database'!$H$2:$H$622,MATCH(230,Engine!$C$2:$C$622,0)))</f>
        <v/>
      </c>
      <c r="I243" s="8">
        <f>IF(ISNA(MATCH(230,Engine!$C$2:$C$622,0)),"",INDEX('Compliance Database'!$I$2:$I$622,MATCH(230,Engine!$C$2:$C$622,0)))</f>
        <v/>
      </c>
      <c r="J243" s="8">
        <f>IF(ISNA(MATCH(230,Engine!$C$2:$C$622,0)),"",INDEX('Compliance Database'!$J$2:$J$622,MATCH(230,Engine!$C$2:$C$622,0)))</f>
        <v/>
      </c>
      <c r="K243">
        <f>IF(ISNA(MATCH(230,Engine!$C$2:$C$622,0)),"",INDEX('Compliance Database'!$K$2:$K$622,MATCH(230,Engine!$C$2:$C$622,0)))</f>
        <v/>
      </c>
      <c r="L243" s="8">
        <f>IF(ISNA(MATCH(230,Engine!$C$2:$C$622,0)),"",INDEX('Compliance Database'!$L$2:$L$622,MATCH(230,Engine!$C$2:$C$622,0)))</f>
        <v/>
      </c>
      <c r="M243" s="8">
        <f>IF(ISNA(MATCH(230,Engine!$C$2:$C$622,0)),"",INDEX('Compliance Database'!$M$2:$M$622,MATCH(230,Engine!$C$2:$C$622,0)))</f>
        <v/>
      </c>
      <c r="N243" s="8">
        <f>IF(ISNA(MATCH(230,Engine!$C$2:$C$622,0)),"",INDEX('Compliance Database'!$N$2:$N$622,MATCH(230,Engine!$C$2:$C$622,0)))</f>
        <v/>
      </c>
      <c r="O243" s="8">
        <f>IF(ISNA(MATCH(230,Engine!$C$2:$C$622,0)),"",INDEX('Compliance Database'!$O$2:$O$622,MATCH(230,Engine!$C$2:$C$622,0)))</f>
        <v/>
      </c>
    </row>
    <row r="244">
      <c r="A244">
        <f>IF(ISNA(MATCH(231,Engine!$C$2:$C$622,0)),"",INDEX('Compliance Database'!$A$2:$A$622,MATCH(231,Engine!$C$2:$C$622,0)))</f>
        <v/>
      </c>
      <c r="B244">
        <f>IF(ISNA(MATCH(231,Engine!$C$2:$C$622,0)),"",INDEX('Compliance Database'!$B$2:$B$622,MATCH(231,Engine!$C$2:$C$622,0)))</f>
        <v/>
      </c>
      <c r="C244">
        <f>IF(ISNA(MATCH(231,Engine!$C$2:$C$622,0)),"",INDEX('Compliance Database'!$C$2:$C$622,MATCH(231,Engine!$C$2:$C$622,0)))</f>
        <v/>
      </c>
      <c r="D244" s="8">
        <f>IF(ISNA(MATCH(231,Engine!$C$2:$C$622,0)),"",INDEX('Compliance Database'!$D$2:$D$622,MATCH(231,Engine!$C$2:$C$622,0)))</f>
        <v/>
      </c>
      <c r="E244">
        <f>IF(ISNA(MATCH(231,Engine!$C$2:$C$622,0)),"",INDEX('Compliance Database'!$E$2:$E$622,MATCH(231,Engine!$C$2:$C$622,0)))</f>
        <v/>
      </c>
      <c r="F244">
        <f>IF(ISNA(MATCH(231,Engine!$C$2:$C$622,0)),"",INDEX('Compliance Database'!$F$2:$F$622,MATCH(231,Engine!$C$2:$C$622,0)))</f>
        <v/>
      </c>
      <c r="G244">
        <f>IF(ISNA(MATCH(231,Engine!$C$2:$C$622,0)),"",INDEX('Compliance Database'!$G$2:$G$622,MATCH(231,Engine!$C$2:$C$622,0)))</f>
        <v/>
      </c>
      <c r="H244">
        <f>IF(ISNA(MATCH(231,Engine!$C$2:$C$622,0)),"",INDEX('Compliance Database'!$H$2:$H$622,MATCH(231,Engine!$C$2:$C$622,0)))</f>
        <v/>
      </c>
      <c r="I244" s="8">
        <f>IF(ISNA(MATCH(231,Engine!$C$2:$C$622,0)),"",INDEX('Compliance Database'!$I$2:$I$622,MATCH(231,Engine!$C$2:$C$622,0)))</f>
        <v/>
      </c>
      <c r="J244" s="8">
        <f>IF(ISNA(MATCH(231,Engine!$C$2:$C$622,0)),"",INDEX('Compliance Database'!$J$2:$J$622,MATCH(231,Engine!$C$2:$C$622,0)))</f>
        <v/>
      </c>
      <c r="K244">
        <f>IF(ISNA(MATCH(231,Engine!$C$2:$C$622,0)),"",INDEX('Compliance Database'!$K$2:$K$622,MATCH(231,Engine!$C$2:$C$622,0)))</f>
        <v/>
      </c>
      <c r="L244" s="8">
        <f>IF(ISNA(MATCH(231,Engine!$C$2:$C$622,0)),"",INDEX('Compliance Database'!$L$2:$L$622,MATCH(231,Engine!$C$2:$C$622,0)))</f>
        <v/>
      </c>
      <c r="M244" s="8">
        <f>IF(ISNA(MATCH(231,Engine!$C$2:$C$622,0)),"",INDEX('Compliance Database'!$M$2:$M$622,MATCH(231,Engine!$C$2:$C$622,0)))</f>
        <v/>
      </c>
      <c r="N244" s="8">
        <f>IF(ISNA(MATCH(231,Engine!$C$2:$C$622,0)),"",INDEX('Compliance Database'!$N$2:$N$622,MATCH(231,Engine!$C$2:$C$622,0)))</f>
        <v/>
      </c>
      <c r="O244" s="8">
        <f>IF(ISNA(MATCH(231,Engine!$C$2:$C$622,0)),"",INDEX('Compliance Database'!$O$2:$O$622,MATCH(231,Engine!$C$2:$C$622,0)))</f>
        <v/>
      </c>
    </row>
    <row r="245">
      <c r="A245">
        <f>IF(ISNA(MATCH(232,Engine!$C$2:$C$622,0)),"",INDEX('Compliance Database'!$A$2:$A$622,MATCH(232,Engine!$C$2:$C$622,0)))</f>
        <v/>
      </c>
      <c r="B245">
        <f>IF(ISNA(MATCH(232,Engine!$C$2:$C$622,0)),"",INDEX('Compliance Database'!$B$2:$B$622,MATCH(232,Engine!$C$2:$C$622,0)))</f>
        <v/>
      </c>
      <c r="C245">
        <f>IF(ISNA(MATCH(232,Engine!$C$2:$C$622,0)),"",INDEX('Compliance Database'!$C$2:$C$622,MATCH(232,Engine!$C$2:$C$622,0)))</f>
        <v/>
      </c>
      <c r="D245" s="8">
        <f>IF(ISNA(MATCH(232,Engine!$C$2:$C$622,0)),"",INDEX('Compliance Database'!$D$2:$D$622,MATCH(232,Engine!$C$2:$C$622,0)))</f>
        <v/>
      </c>
      <c r="E245">
        <f>IF(ISNA(MATCH(232,Engine!$C$2:$C$622,0)),"",INDEX('Compliance Database'!$E$2:$E$622,MATCH(232,Engine!$C$2:$C$622,0)))</f>
        <v/>
      </c>
      <c r="F245">
        <f>IF(ISNA(MATCH(232,Engine!$C$2:$C$622,0)),"",INDEX('Compliance Database'!$F$2:$F$622,MATCH(232,Engine!$C$2:$C$622,0)))</f>
        <v/>
      </c>
      <c r="G245">
        <f>IF(ISNA(MATCH(232,Engine!$C$2:$C$622,0)),"",INDEX('Compliance Database'!$G$2:$G$622,MATCH(232,Engine!$C$2:$C$622,0)))</f>
        <v/>
      </c>
      <c r="H245">
        <f>IF(ISNA(MATCH(232,Engine!$C$2:$C$622,0)),"",INDEX('Compliance Database'!$H$2:$H$622,MATCH(232,Engine!$C$2:$C$622,0)))</f>
        <v/>
      </c>
      <c r="I245" s="8">
        <f>IF(ISNA(MATCH(232,Engine!$C$2:$C$622,0)),"",INDEX('Compliance Database'!$I$2:$I$622,MATCH(232,Engine!$C$2:$C$622,0)))</f>
        <v/>
      </c>
      <c r="J245" s="8">
        <f>IF(ISNA(MATCH(232,Engine!$C$2:$C$622,0)),"",INDEX('Compliance Database'!$J$2:$J$622,MATCH(232,Engine!$C$2:$C$622,0)))</f>
        <v/>
      </c>
      <c r="K245">
        <f>IF(ISNA(MATCH(232,Engine!$C$2:$C$622,0)),"",INDEX('Compliance Database'!$K$2:$K$622,MATCH(232,Engine!$C$2:$C$622,0)))</f>
        <v/>
      </c>
      <c r="L245" s="8">
        <f>IF(ISNA(MATCH(232,Engine!$C$2:$C$622,0)),"",INDEX('Compliance Database'!$L$2:$L$622,MATCH(232,Engine!$C$2:$C$622,0)))</f>
        <v/>
      </c>
      <c r="M245" s="8">
        <f>IF(ISNA(MATCH(232,Engine!$C$2:$C$622,0)),"",INDEX('Compliance Database'!$M$2:$M$622,MATCH(232,Engine!$C$2:$C$622,0)))</f>
        <v/>
      </c>
      <c r="N245" s="8">
        <f>IF(ISNA(MATCH(232,Engine!$C$2:$C$622,0)),"",INDEX('Compliance Database'!$N$2:$N$622,MATCH(232,Engine!$C$2:$C$622,0)))</f>
        <v/>
      </c>
      <c r="O245" s="8">
        <f>IF(ISNA(MATCH(232,Engine!$C$2:$C$622,0)),"",INDEX('Compliance Database'!$O$2:$O$622,MATCH(232,Engine!$C$2:$C$622,0)))</f>
        <v/>
      </c>
    </row>
    <row r="246">
      <c r="A246">
        <f>IF(ISNA(MATCH(233,Engine!$C$2:$C$622,0)),"",INDEX('Compliance Database'!$A$2:$A$622,MATCH(233,Engine!$C$2:$C$622,0)))</f>
        <v/>
      </c>
      <c r="B246">
        <f>IF(ISNA(MATCH(233,Engine!$C$2:$C$622,0)),"",INDEX('Compliance Database'!$B$2:$B$622,MATCH(233,Engine!$C$2:$C$622,0)))</f>
        <v/>
      </c>
      <c r="C246">
        <f>IF(ISNA(MATCH(233,Engine!$C$2:$C$622,0)),"",INDEX('Compliance Database'!$C$2:$C$622,MATCH(233,Engine!$C$2:$C$622,0)))</f>
        <v/>
      </c>
      <c r="D246" s="8">
        <f>IF(ISNA(MATCH(233,Engine!$C$2:$C$622,0)),"",INDEX('Compliance Database'!$D$2:$D$622,MATCH(233,Engine!$C$2:$C$622,0)))</f>
        <v/>
      </c>
      <c r="E246">
        <f>IF(ISNA(MATCH(233,Engine!$C$2:$C$622,0)),"",INDEX('Compliance Database'!$E$2:$E$622,MATCH(233,Engine!$C$2:$C$622,0)))</f>
        <v/>
      </c>
      <c r="F246">
        <f>IF(ISNA(MATCH(233,Engine!$C$2:$C$622,0)),"",INDEX('Compliance Database'!$F$2:$F$622,MATCH(233,Engine!$C$2:$C$622,0)))</f>
        <v/>
      </c>
      <c r="G246">
        <f>IF(ISNA(MATCH(233,Engine!$C$2:$C$622,0)),"",INDEX('Compliance Database'!$G$2:$G$622,MATCH(233,Engine!$C$2:$C$622,0)))</f>
        <v/>
      </c>
      <c r="H246">
        <f>IF(ISNA(MATCH(233,Engine!$C$2:$C$622,0)),"",INDEX('Compliance Database'!$H$2:$H$622,MATCH(233,Engine!$C$2:$C$622,0)))</f>
        <v/>
      </c>
      <c r="I246" s="8">
        <f>IF(ISNA(MATCH(233,Engine!$C$2:$C$622,0)),"",INDEX('Compliance Database'!$I$2:$I$622,MATCH(233,Engine!$C$2:$C$622,0)))</f>
        <v/>
      </c>
      <c r="J246" s="8">
        <f>IF(ISNA(MATCH(233,Engine!$C$2:$C$622,0)),"",INDEX('Compliance Database'!$J$2:$J$622,MATCH(233,Engine!$C$2:$C$622,0)))</f>
        <v/>
      </c>
      <c r="K246">
        <f>IF(ISNA(MATCH(233,Engine!$C$2:$C$622,0)),"",INDEX('Compliance Database'!$K$2:$K$622,MATCH(233,Engine!$C$2:$C$622,0)))</f>
        <v/>
      </c>
      <c r="L246" s="8">
        <f>IF(ISNA(MATCH(233,Engine!$C$2:$C$622,0)),"",INDEX('Compliance Database'!$L$2:$L$622,MATCH(233,Engine!$C$2:$C$622,0)))</f>
        <v/>
      </c>
      <c r="M246" s="8">
        <f>IF(ISNA(MATCH(233,Engine!$C$2:$C$622,0)),"",INDEX('Compliance Database'!$M$2:$M$622,MATCH(233,Engine!$C$2:$C$622,0)))</f>
        <v/>
      </c>
      <c r="N246" s="8">
        <f>IF(ISNA(MATCH(233,Engine!$C$2:$C$622,0)),"",INDEX('Compliance Database'!$N$2:$N$622,MATCH(233,Engine!$C$2:$C$622,0)))</f>
        <v/>
      </c>
      <c r="O246" s="8">
        <f>IF(ISNA(MATCH(233,Engine!$C$2:$C$622,0)),"",INDEX('Compliance Database'!$O$2:$O$622,MATCH(233,Engine!$C$2:$C$622,0)))</f>
        <v/>
      </c>
    </row>
    <row r="247">
      <c r="A247">
        <f>IF(ISNA(MATCH(234,Engine!$C$2:$C$622,0)),"",INDEX('Compliance Database'!$A$2:$A$622,MATCH(234,Engine!$C$2:$C$622,0)))</f>
        <v/>
      </c>
      <c r="B247">
        <f>IF(ISNA(MATCH(234,Engine!$C$2:$C$622,0)),"",INDEX('Compliance Database'!$B$2:$B$622,MATCH(234,Engine!$C$2:$C$622,0)))</f>
        <v/>
      </c>
      <c r="C247">
        <f>IF(ISNA(MATCH(234,Engine!$C$2:$C$622,0)),"",INDEX('Compliance Database'!$C$2:$C$622,MATCH(234,Engine!$C$2:$C$622,0)))</f>
        <v/>
      </c>
      <c r="D247" s="8">
        <f>IF(ISNA(MATCH(234,Engine!$C$2:$C$622,0)),"",INDEX('Compliance Database'!$D$2:$D$622,MATCH(234,Engine!$C$2:$C$622,0)))</f>
        <v/>
      </c>
      <c r="E247">
        <f>IF(ISNA(MATCH(234,Engine!$C$2:$C$622,0)),"",INDEX('Compliance Database'!$E$2:$E$622,MATCH(234,Engine!$C$2:$C$622,0)))</f>
        <v/>
      </c>
      <c r="F247">
        <f>IF(ISNA(MATCH(234,Engine!$C$2:$C$622,0)),"",INDEX('Compliance Database'!$F$2:$F$622,MATCH(234,Engine!$C$2:$C$622,0)))</f>
        <v/>
      </c>
      <c r="G247">
        <f>IF(ISNA(MATCH(234,Engine!$C$2:$C$622,0)),"",INDEX('Compliance Database'!$G$2:$G$622,MATCH(234,Engine!$C$2:$C$622,0)))</f>
        <v/>
      </c>
      <c r="H247">
        <f>IF(ISNA(MATCH(234,Engine!$C$2:$C$622,0)),"",INDEX('Compliance Database'!$H$2:$H$622,MATCH(234,Engine!$C$2:$C$622,0)))</f>
        <v/>
      </c>
      <c r="I247" s="8">
        <f>IF(ISNA(MATCH(234,Engine!$C$2:$C$622,0)),"",INDEX('Compliance Database'!$I$2:$I$622,MATCH(234,Engine!$C$2:$C$622,0)))</f>
        <v/>
      </c>
      <c r="J247" s="8">
        <f>IF(ISNA(MATCH(234,Engine!$C$2:$C$622,0)),"",INDEX('Compliance Database'!$J$2:$J$622,MATCH(234,Engine!$C$2:$C$622,0)))</f>
        <v/>
      </c>
      <c r="K247">
        <f>IF(ISNA(MATCH(234,Engine!$C$2:$C$622,0)),"",INDEX('Compliance Database'!$K$2:$K$622,MATCH(234,Engine!$C$2:$C$622,0)))</f>
        <v/>
      </c>
      <c r="L247" s="8">
        <f>IF(ISNA(MATCH(234,Engine!$C$2:$C$622,0)),"",INDEX('Compliance Database'!$L$2:$L$622,MATCH(234,Engine!$C$2:$C$622,0)))</f>
        <v/>
      </c>
      <c r="M247" s="8">
        <f>IF(ISNA(MATCH(234,Engine!$C$2:$C$622,0)),"",INDEX('Compliance Database'!$M$2:$M$622,MATCH(234,Engine!$C$2:$C$622,0)))</f>
        <v/>
      </c>
      <c r="N247" s="8">
        <f>IF(ISNA(MATCH(234,Engine!$C$2:$C$622,0)),"",INDEX('Compliance Database'!$N$2:$N$622,MATCH(234,Engine!$C$2:$C$622,0)))</f>
        <v/>
      </c>
      <c r="O247" s="8">
        <f>IF(ISNA(MATCH(234,Engine!$C$2:$C$622,0)),"",INDEX('Compliance Database'!$O$2:$O$622,MATCH(234,Engine!$C$2:$C$622,0)))</f>
        <v/>
      </c>
    </row>
    <row r="248">
      <c r="A248">
        <f>IF(ISNA(MATCH(235,Engine!$C$2:$C$622,0)),"",INDEX('Compliance Database'!$A$2:$A$622,MATCH(235,Engine!$C$2:$C$622,0)))</f>
        <v/>
      </c>
      <c r="B248">
        <f>IF(ISNA(MATCH(235,Engine!$C$2:$C$622,0)),"",INDEX('Compliance Database'!$B$2:$B$622,MATCH(235,Engine!$C$2:$C$622,0)))</f>
        <v/>
      </c>
      <c r="C248">
        <f>IF(ISNA(MATCH(235,Engine!$C$2:$C$622,0)),"",INDEX('Compliance Database'!$C$2:$C$622,MATCH(235,Engine!$C$2:$C$622,0)))</f>
        <v/>
      </c>
      <c r="D248" s="8">
        <f>IF(ISNA(MATCH(235,Engine!$C$2:$C$622,0)),"",INDEX('Compliance Database'!$D$2:$D$622,MATCH(235,Engine!$C$2:$C$622,0)))</f>
        <v/>
      </c>
      <c r="E248">
        <f>IF(ISNA(MATCH(235,Engine!$C$2:$C$622,0)),"",INDEX('Compliance Database'!$E$2:$E$622,MATCH(235,Engine!$C$2:$C$622,0)))</f>
        <v/>
      </c>
      <c r="F248">
        <f>IF(ISNA(MATCH(235,Engine!$C$2:$C$622,0)),"",INDEX('Compliance Database'!$F$2:$F$622,MATCH(235,Engine!$C$2:$C$622,0)))</f>
        <v/>
      </c>
      <c r="G248">
        <f>IF(ISNA(MATCH(235,Engine!$C$2:$C$622,0)),"",INDEX('Compliance Database'!$G$2:$G$622,MATCH(235,Engine!$C$2:$C$622,0)))</f>
        <v/>
      </c>
      <c r="H248">
        <f>IF(ISNA(MATCH(235,Engine!$C$2:$C$622,0)),"",INDEX('Compliance Database'!$H$2:$H$622,MATCH(235,Engine!$C$2:$C$622,0)))</f>
        <v/>
      </c>
      <c r="I248" s="8">
        <f>IF(ISNA(MATCH(235,Engine!$C$2:$C$622,0)),"",INDEX('Compliance Database'!$I$2:$I$622,MATCH(235,Engine!$C$2:$C$622,0)))</f>
        <v/>
      </c>
      <c r="J248" s="8">
        <f>IF(ISNA(MATCH(235,Engine!$C$2:$C$622,0)),"",INDEX('Compliance Database'!$J$2:$J$622,MATCH(235,Engine!$C$2:$C$622,0)))</f>
        <v/>
      </c>
      <c r="K248">
        <f>IF(ISNA(MATCH(235,Engine!$C$2:$C$622,0)),"",INDEX('Compliance Database'!$K$2:$K$622,MATCH(235,Engine!$C$2:$C$622,0)))</f>
        <v/>
      </c>
      <c r="L248" s="8">
        <f>IF(ISNA(MATCH(235,Engine!$C$2:$C$622,0)),"",INDEX('Compliance Database'!$L$2:$L$622,MATCH(235,Engine!$C$2:$C$622,0)))</f>
        <v/>
      </c>
      <c r="M248" s="8">
        <f>IF(ISNA(MATCH(235,Engine!$C$2:$C$622,0)),"",INDEX('Compliance Database'!$M$2:$M$622,MATCH(235,Engine!$C$2:$C$622,0)))</f>
        <v/>
      </c>
      <c r="N248" s="8">
        <f>IF(ISNA(MATCH(235,Engine!$C$2:$C$622,0)),"",INDEX('Compliance Database'!$N$2:$N$622,MATCH(235,Engine!$C$2:$C$622,0)))</f>
        <v/>
      </c>
      <c r="O248" s="8">
        <f>IF(ISNA(MATCH(235,Engine!$C$2:$C$622,0)),"",INDEX('Compliance Database'!$O$2:$O$622,MATCH(235,Engine!$C$2:$C$622,0)))</f>
        <v/>
      </c>
    </row>
    <row r="249">
      <c r="A249">
        <f>IF(ISNA(MATCH(236,Engine!$C$2:$C$622,0)),"",INDEX('Compliance Database'!$A$2:$A$622,MATCH(236,Engine!$C$2:$C$622,0)))</f>
        <v/>
      </c>
      <c r="B249">
        <f>IF(ISNA(MATCH(236,Engine!$C$2:$C$622,0)),"",INDEX('Compliance Database'!$B$2:$B$622,MATCH(236,Engine!$C$2:$C$622,0)))</f>
        <v/>
      </c>
      <c r="C249">
        <f>IF(ISNA(MATCH(236,Engine!$C$2:$C$622,0)),"",INDEX('Compliance Database'!$C$2:$C$622,MATCH(236,Engine!$C$2:$C$622,0)))</f>
        <v/>
      </c>
      <c r="D249" s="8">
        <f>IF(ISNA(MATCH(236,Engine!$C$2:$C$622,0)),"",INDEX('Compliance Database'!$D$2:$D$622,MATCH(236,Engine!$C$2:$C$622,0)))</f>
        <v/>
      </c>
      <c r="E249">
        <f>IF(ISNA(MATCH(236,Engine!$C$2:$C$622,0)),"",INDEX('Compliance Database'!$E$2:$E$622,MATCH(236,Engine!$C$2:$C$622,0)))</f>
        <v/>
      </c>
      <c r="F249">
        <f>IF(ISNA(MATCH(236,Engine!$C$2:$C$622,0)),"",INDEX('Compliance Database'!$F$2:$F$622,MATCH(236,Engine!$C$2:$C$622,0)))</f>
        <v/>
      </c>
      <c r="G249">
        <f>IF(ISNA(MATCH(236,Engine!$C$2:$C$622,0)),"",INDEX('Compliance Database'!$G$2:$G$622,MATCH(236,Engine!$C$2:$C$622,0)))</f>
        <v/>
      </c>
      <c r="H249">
        <f>IF(ISNA(MATCH(236,Engine!$C$2:$C$622,0)),"",INDEX('Compliance Database'!$H$2:$H$622,MATCH(236,Engine!$C$2:$C$622,0)))</f>
        <v/>
      </c>
      <c r="I249" s="8">
        <f>IF(ISNA(MATCH(236,Engine!$C$2:$C$622,0)),"",INDEX('Compliance Database'!$I$2:$I$622,MATCH(236,Engine!$C$2:$C$622,0)))</f>
        <v/>
      </c>
      <c r="J249" s="8">
        <f>IF(ISNA(MATCH(236,Engine!$C$2:$C$622,0)),"",INDEX('Compliance Database'!$J$2:$J$622,MATCH(236,Engine!$C$2:$C$622,0)))</f>
        <v/>
      </c>
      <c r="K249">
        <f>IF(ISNA(MATCH(236,Engine!$C$2:$C$622,0)),"",INDEX('Compliance Database'!$K$2:$K$622,MATCH(236,Engine!$C$2:$C$622,0)))</f>
        <v/>
      </c>
      <c r="L249" s="8">
        <f>IF(ISNA(MATCH(236,Engine!$C$2:$C$622,0)),"",INDEX('Compliance Database'!$L$2:$L$622,MATCH(236,Engine!$C$2:$C$622,0)))</f>
        <v/>
      </c>
      <c r="M249" s="8">
        <f>IF(ISNA(MATCH(236,Engine!$C$2:$C$622,0)),"",INDEX('Compliance Database'!$M$2:$M$622,MATCH(236,Engine!$C$2:$C$622,0)))</f>
        <v/>
      </c>
      <c r="N249" s="8">
        <f>IF(ISNA(MATCH(236,Engine!$C$2:$C$622,0)),"",INDEX('Compliance Database'!$N$2:$N$622,MATCH(236,Engine!$C$2:$C$622,0)))</f>
        <v/>
      </c>
      <c r="O249" s="8">
        <f>IF(ISNA(MATCH(236,Engine!$C$2:$C$622,0)),"",INDEX('Compliance Database'!$O$2:$O$622,MATCH(236,Engine!$C$2:$C$622,0)))</f>
        <v/>
      </c>
    </row>
    <row r="250">
      <c r="A250">
        <f>IF(ISNA(MATCH(237,Engine!$C$2:$C$622,0)),"",INDEX('Compliance Database'!$A$2:$A$622,MATCH(237,Engine!$C$2:$C$622,0)))</f>
        <v/>
      </c>
      <c r="B250">
        <f>IF(ISNA(MATCH(237,Engine!$C$2:$C$622,0)),"",INDEX('Compliance Database'!$B$2:$B$622,MATCH(237,Engine!$C$2:$C$622,0)))</f>
        <v/>
      </c>
      <c r="C250">
        <f>IF(ISNA(MATCH(237,Engine!$C$2:$C$622,0)),"",INDEX('Compliance Database'!$C$2:$C$622,MATCH(237,Engine!$C$2:$C$622,0)))</f>
        <v/>
      </c>
      <c r="D250" s="8">
        <f>IF(ISNA(MATCH(237,Engine!$C$2:$C$622,0)),"",INDEX('Compliance Database'!$D$2:$D$622,MATCH(237,Engine!$C$2:$C$622,0)))</f>
        <v/>
      </c>
      <c r="E250">
        <f>IF(ISNA(MATCH(237,Engine!$C$2:$C$622,0)),"",INDEX('Compliance Database'!$E$2:$E$622,MATCH(237,Engine!$C$2:$C$622,0)))</f>
        <v/>
      </c>
      <c r="F250">
        <f>IF(ISNA(MATCH(237,Engine!$C$2:$C$622,0)),"",INDEX('Compliance Database'!$F$2:$F$622,MATCH(237,Engine!$C$2:$C$622,0)))</f>
        <v/>
      </c>
      <c r="G250">
        <f>IF(ISNA(MATCH(237,Engine!$C$2:$C$622,0)),"",INDEX('Compliance Database'!$G$2:$G$622,MATCH(237,Engine!$C$2:$C$622,0)))</f>
        <v/>
      </c>
      <c r="H250">
        <f>IF(ISNA(MATCH(237,Engine!$C$2:$C$622,0)),"",INDEX('Compliance Database'!$H$2:$H$622,MATCH(237,Engine!$C$2:$C$622,0)))</f>
        <v/>
      </c>
      <c r="I250" s="8">
        <f>IF(ISNA(MATCH(237,Engine!$C$2:$C$622,0)),"",INDEX('Compliance Database'!$I$2:$I$622,MATCH(237,Engine!$C$2:$C$622,0)))</f>
        <v/>
      </c>
      <c r="J250" s="8">
        <f>IF(ISNA(MATCH(237,Engine!$C$2:$C$622,0)),"",INDEX('Compliance Database'!$J$2:$J$622,MATCH(237,Engine!$C$2:$C$622,0)))</f>
        <v/>
      </c>
      <c r="K250">
        <f>IF(ISNA(MATCH(237,Engine!$C$2:$C$622,0)),"",INDEX('Compliance Database'!$K$2:$K$622,MATCH(237,Engine!$C$2:$C$622,0)))</f>
        <v/>
      </c>
      <c r="L250" s="8">
        <f>IF(ISNA(MATCH(237,Engine!$C$2:$C$622,0)),"",INDEX('Compliance Database'!$L$2:$L$622,MATCH(237,Engine!$C$2:$C$622,0)))</f>
        <v/>
      </c>
      <c r="M250" s="8">
        <f>IF(ISNA(MATCH(237,Engine!$C$2:$C$622,0)),"",INDEX('Compliance Database'!$M$2:$M$622,MATCH(237,Engine!$C$2:$C$622,0)))</f>
        <v/>
      </c>
      <c r="N250" s="8">
        <f>IF(ISNA(MATCH(237,Engine!$C$2:$C$622,0)),"",INDEX('Compliance Database'!$N$2:$N$622,MATCH(237,Engine!$C$2:$C$622,0)))</f>
        <v/>
      </c>
      <c r="O250" s="8">
        <f>IF(ISNA(MATCH(237,Engine!$C$2:$C$622,0)),"",INDEX('Compliance Database'!$O$2:$O$622,MATCH(237,Engine!$C$2:$C$622,0)))</f>
        <v/>
      </c>
    </row>
    <row r="251">
      <c r="A251">
        <f>IF(ISNA(MATCH(238,Engine!$C$2:$C$622,0)),"",INDEX('Compliance Database'!$A$2:$A$622,MATCH(238,Engine!$C$2:$C$622,0)))</f>
        <v/>
      </c>
      <c r="B251">
        <f>IF(ISNA(MATCH(238,Engine!$C$2:$C$622,0)),"",INDEX('Compliance Database'!$B$2:$B$622,MATCH(238,Engine!$C$2:$C$622,0)))</f>
        <v/>
      </c>
      <c r="C251">
        <f>IF(ISNA(MATCH(238,Engine!$C$2:$C$622,0)),"",INDEX('Compliance Database'!$C$2:$C$622,MATCH(238,Engine!$C$2:$C$622,0)))</f>
        <v/>
      </c>
      <c r="D251" s="8">
        <f>IF(ISNA(MATCH(238,Engine!$C$2:$C$622,0)),"",INDEX('Compliance Database'!$D$2:$D$622,MATCH(238,Engine!$C$2:$C$622,0)))</f>
        <v/>
      </c>
      <c r="E251">
        <f>IF(ISNA(MATCH(238,Engine!$C$2:$C$622,0)),"",INDEX('Compliance Database'!$E$2:$E$622,MATCH(238,Engine!$C$2:$C$622,0)))</f>
        <v/>
      </c>
      <c r="F251">
        <f>IF(ISNA(MATCH(238,Engine!$C$2:$C$622,0)),"",INDEX('Compliance Database'!$F$2:$F$622,MATCH(238,Engine!$C$2:$C$622,0)))</f>
        <v/>
      </c>
      <c r="G251">
        <f>IF(ISNA(MATCH(238,Engine!$C$2:$C$622,0)),"",INDEX('Compliance Database'!$G$2:$G$622,MATCH(238,Engine!$C$2:$C$622,0)))</f>
        <v/>
      </c>
      <c r="H251">
        <f>IF(ISNA(MATCH(238,Engine!$C$2:$C$622,0)),"",INDEX('Compliance Database'!$H$2:$H$622,MATCH(238,Engine!$C$2:$C$622,0)))</f>
        <v/>
      </c>
      <c r="I251" s="8">
        <f>IF(ISNA(MATCH(238,Engine!$C$2:$C$622,0)),"",INDEX('Compliance Database'!$I$2:$I$622,MATCH(238,Engine!$C$2:$C$622,0)))</f>
        <v/>
      </c>
      <c r="J251" s="8">
        <f>IF(ISNA(MATCH(238,Engine!$C$2:$C$622,0)),"",INDEX('Compliance Database'!$J$2:$J$622,MATCH(238,Engine!$C$2:$C$622,0)))</f>
        <v/>
      </c>
      <c r="K251">
        <f>IF(ISNA(MATCH(238,Engine!$C$2:$C$622,0)),"",INDEX('Compliance Database'!$K$2:$K$622,MATCH(238,Engine!$C$2:$C$622,0)))</f>
        <v/>
      </c>
      <c r="L251" s="8">
        <f>IF(ISNA(MATCH(238,Engine!$C$2:$C$622,0)),"",INDEX('Compliance Database'!$L$2:$L$622,MATCH(238,Engine!$C$2:$C$622,0)))</f>
        <v/>
      </c>
      <c r="M251" s="8">
        <f>IF(ISNA(MATCH(238,Engine!$C$2:$C$622,0)),"",INDEX('Compliance Database'!$M$2:$M$622,MATCH(238,Engine!$C$2:$C$622,0)))</f>
        <v/>
      </c>
      <c r="N251" s="8">
        <f>IF(ISNA(MATCH(238,Engine!$C$2:$C$622,0)),"",INDEX('Compliance Database'!$N$2:$N$622,MATCH(238,Engine!$C$2:$C$622,0)))</f>
        <v/>
      </c>
      <c r="O251" s="8">
        <f>IF(ISNA(MATCH(238,Engine!$C$2:$C$622,0)),"",INDEX('Compliance Database'!$O$2:$O$622,MATCH(238,Engine!$C$2:$C$622,0)))</f>
        <v/>
      </c>
    </row>
    <row r="252">
      <c r="A252">
        <f>IF(ISNA(MATCH(239,Engine!$C$2:$C$622,0)),"",INDEX('Compliance Database'!$A$2:$A$622,MATCH(239,Engine!$C$2:$C$622,0)))</f>
        <v/>
      </c>
      <c r="B252">
        <f>IF(ISNA(MATCH(239,Engine!$C$2:$C$622,0)),"",INDEX('Compliance Database'!$B$2:$B$622,MATCH(239,Engine!$C$2:$C$622,0)))</f>
        <v/>
      </c>
      <c r="C252">
        <f>IF(ISNA(MATCH(239,Engine!$C$2:$C$622,0)),"",INDEX('Compliance Database'!$C$2:$C$622,MATCH(239,Engine!$C$2:$C$622,0)))</f>
        <v/>
      </c>
      <c r="D252" s="8">
        <f>IF(ISNA(MATCH(239,Engine!$C$2:$C$622,0)),"",INDEX('Compliance Database'!$D$2:$D$622,MATCH(239,Engine!$C$2:$C$622,0)))</f>
        <v/>
      </c>
      <c r="E252">
        <f>IF(ISNA(MATCH(239,Engine!$C$2:$C$622,0)),"",INDEX('Compliance Database'!$E$2:$E$622,MATCH(239,Engine!$C$2:$C$622,0)))</f>
        <v/>
      </c>
      <c r="F252">
        <f>IF(ISNA(MATCH(239,Engine!$C$2:$C$622,0)),"",INDEX('Compliance Database'!$F$2:$F$622,MATCH(239,Engine!$C$2:$C$622,0)))</f>
        <v/>
      </c>
      <c r="G252">
        <f>IF(ISNA(MATCH(239,Engine!$C$2:$C$622,0)),"",INDEX('Compliance Database'!$G$2:$G$622,MATCH(239,Engine!$C$2:$C$622,0)))</f>
        <v/>
      </c>
      <c r="H252">
        <f>IF(ISNA(MATCH(239,Engine!$C$2:$C$622,0)),"",INDEX('Compliance Database'!$H$2:$H$622,MATCH(239,Engine!$C$2:$C$622,0)))</f>
        <v/>
      </c>
      <c r="I252" s="8">
        <f>IF(ISNA(MATCH(239,Engine!$C$2:$C$622,0)),"",INDEX('Compliance Database'!$I$2:$I$622,MATCH(239,Engine!$C$2:$C$622,0)))</f>
        <v/>
      </c>
      <c r="J252" s="8">
        <f>IF(ISNA(MATCH(239,Engine!$C$2:$C$622,0)),"",INDEX('Compliance Database'!$J$2:$J$622,MATCH(239,Engine!$C$2:$C$622,0)))</f>
        <v/>
      </c>
      <c r="K252">
        <f>IF(ISNA(MATCH(239,Engine!$C$2:$C$622,0)),"",INDEX('Compliance Database'!$K$2:$K$622,MATCH(239,Engine!$C$2:$C$622,0)))</f>
        <v/>
      </c>
      <c r="L252" s="8">
        <f>IF(ISNA(MATCH(239,Engine!$C$2:$C$622,0)),"",INDEX('Compliance Database'!$L$2:$L$622,MATCH(239,Engine!$C$2:$C$622,0)))</f>
        <v/>
      </c>
      <c r="M252" s="8">
        <f>IF(ISNA(MATCH(239,Engine!$C$2:$C$622,0)),"",INDEX('Compliance Database'!$M$2:$M$622,MATCH(239,Engine!$C$2:$C$622,0)))</f>
        <v/>
      </c>
      <c r="N252" s="8">
        <f>IF(ISNA(MATCH(239,Engine!$C$2:$C$622,0)),"",INDEX('Compliance Database'!$N$2:$N$622,MATCH(239,Engine!$C$2:$C$622,0)))</f>
        <v/>
      </c>
      <c r="O252" s="8">
        <f>IF(ISNA(MATCH(239,Engine!$C$2:$C$622,0)),"",INDEX('Compliance Database'!$O$2:$O$622,MATCH(239,Engine!$C$2:$C$622,0)))</f>
        <v/>
      </c>
    </row>
    <row r="253">
      <c r="A253">
        <f>IF(ISNA(MATCH(240,Engine!$C$2:$C$622,0)),"",INDEX('Compliance Database'!$A$2:$A$622,MATCH(240,Engine!$C$2:$C$622,0)))</f>
        <v/>
      </c>
      <c r="B253">
        <f>IF(ISNA(MATCH(240,Engine!$C$2:$C$622,0)),"",INDEX('Compliance Database'!$B$2:$B$622,MATCH(240,Engine!$C$2:$C$622,0)))</f>
        <v/>
      </c>
      <c r="C253">
        <f>IF(ISNA(MATCH(240,Engine!$C$2:$C$622,0)),"",INDEX('Compliance Database'!$C$2:$C$622,MATCH(240,Engine!$C$2:$C$622,0)))</f>
        <v/>
      </c>
      <c r="D253" s="8">
        <f>IF(ISNA(MATCH(240,Engine!$C$2:$C$622,0)),"",INDEX('Compliance Database'!$D$2:$D$622,MATCH(240,Engine!$C$2:$C$622,0)))</f>
        <v/>
      </c>
      <c r="E253">
        <f>IF(ISNA(MATCH(240,Engine!$C$2:$C$622,0)),"",INDEX('Compliance Database'!$E$2:$E$622,MATCH(240,Engine!$C$2:$C$622,0)))</f>
        <v/>
      </c>
      <c r="F253">
        <f>IF(ISNA(MATCH(240,Engine!$C$2:$C$622,0)),"",INDEX('Compliance Database'!$F$2:$F$622,MATCH(240,Engine!$C$2:$C$622,0)))</f>
        <v/>
      </c>
      <c r="G253">
        <f>IF(ISNA(MATCH(240,Engine!$C$2:$C$622,0)),"",INDEX('Compliance Database'!$G$2:$G$622,MATCH(240,Engine!$C$2:$C$622,0)))</f>
        <v/>
      </c>
      <c r="H253">
        <f>IF(ISNA(MATCH(240,Engine!$C$2:$C$622,0)),"",INDEX('Compliance Database'!$H$2:$H$622,MATCH(240,Engine!$C$2:$C$622,0)))</f>
        <v/>
      </c>
      <c r="I253" s="8">
        <f>IF(ISNA(MATCH(240,Engine!$C$2:$C$622,0)),"",INDEX('Compliance Database'!$I$2:$I$622,MATCH(240,Engine!$C$2:$C$622,0)))</f>
        <v/>
      </c>
      <c r="J253" s="8">
        <f>IF(ISNA(MATCH(240,Engine!$C$2:$C$622,0)),"",INDEX('Compliance Database'!$J$2:$J$622,MATCH(240,Engine!$C$2:$C$622,0)))</f>
        <v/>
      </c>
      <c r="K253">
        <f>IF(ISNA(MATCH(240,Engine!$C$2:$C$622,0)),"",INDEX('Compliance Database'!$K$2:$K$622,MATCH(240,Engine!$C$2:$C$622,0)))</f>
        <v/>
      </c>
      <c r="L253" s="8">
        <f>IF(ISNA(MATCH(240,Engine!$C$2:$C$622,0)),"",INDEX('Compliance Database'!$L$2:$L$622,MATCH(240,Engine!$C$2:$C$622,0)))</f>
        <v/>
      </c>
      <c r="M253" s="8">
        <f>IF(ISNA(MATCH(240,Engine!$C$2:$C$622,0)),"",INDEX('Compliance Database'!$M$2:$M$622,MATCH(240,Engine!$C$2:$C$622,0)))</f>
        <v/>
      </c>
      <c r="N253" s="8">
        <f>IF(ISNA(MATCH(240,Engine!$C$2:$C$622,0)),"",INDEX('Compliance Database'!$N$2:$N$622,MATCH(240,Engine!$C$2:$C$622,0)))</f>
        <v/>
      </c>
      <c r="O253" s="8">
        <f>IF(ISNA(MATCH(240,Engine!$C$2:$C$622,0)),"",INDEX('Compliance Database'!$O$2:$O$622,MATCH(240,Engine!$C$2:$C$622,0)))</f>
        <v/>
      </c>
    </row>
    <row r="254">
      <c r="A254">
        <f>IF(ISNA(MATCH(241,Engine!$C$2:$C$622,0)),"",INDEX('Compliance Database'!$A$2:$A$622,MATCH(241,Engine!$C$2:$C$622,0)))</f>
        <v/>
      </c>
      <c r="B254">
        <f>IF(ISNA(MATCH(241,Engine!$C$2:$C$622,0)),"",INDEX('Compliance Database'!$B$2:$B$622,MATCH(241,Engine!$C$2:$C$622,0)))</f>
        <v/>
      </c>
      <c r="C254">
        <f>IF(ISNA(MATCH(241,Engine!$C$2:$C$622,0)),"",INDEX('Compliance Database'!$C$2:$C$622,MATCH(241,Engine!$C$2:$C$622,0)))</f>
        <v/>
      </c>
      <c r="D254" s="8">
        <f>IF(ISNA(MATCH(241,Engine!$C$2:$C$622,0)),"",INDEX('Compliance Database'!$D$2:$D$622,MATCH(241,Engine!$C$2:$C$622,0)))</f>
        <v/>
      </c>
      <c r="E254">
        <f>IF(ISNA(MATCH(241,Engine!$C$2:$C$622,0)),"",INDEX('Compliance Database'!$E$2:$E$622,MATCH(241,Engine!$C$2:$C$622,0)))</f>
        <v/>
      </c>
      <c r="F254">
        <f>IF(ISNA(MATCH(241,Engine!$C$2:$C$622,0)),"",INDEX('Compliance Database'!$F$2:$F$622,MATCH(241,Engine!$C$2:$C$622,0)))</f>
        <v/>
      </c>
      <c r="G254">
        <f>IF(ISNA(MATCH(241,Engine!$C$2:$C$622,0)),"",INDEX('Compliance Database'!$G$2:$G$622,MATCH(241,Engine!$C$2:$C$622,0)))</f>
        <v/>
      </c>
      <c r="H254">
        <f>IF(ISNA(MATCH(241,Engine!$C$2:$C$622,0)),"",INDEX('Compliance Database'!$H$2:$H$622,MATCH(241,Engine!$C$2:$C$622,0)))</f>
        <v/>
      </c>
      <c r="I254" s="8">
        <f>IF(ISNA(MATCH(241,Engine!$C$2:$C$622,0)),"",INDEX('Compliance Database'!$I$2:$I$622,MATCH(241,Engine!$C$2:$C$622,0)))</f>
        <v/>
      </c>
      <c r="J254" s="8">
        <f>IF(ISNA(MATCH(241,Engine!$C$2:$C$622,0)),"",INDEX('Compliance Database'!$J$2:$J$622,MATCH(241,Engine!$C$2:$C$622,0)))</f>
        <v/>
      </c>
      <c r="K254">
        <f>IF(ISNA(MATCH(241,Engine!$C$2:$C$622,0)),"",INDEX('Compliance Database'!$K$2:$K$622,MATCH(241,Engine!$C$2:$C$622,0)))</f>
        <v/>
      </c>
      <c r="L254" s="8">
        <f>IF(ISNA(MATCH(241,Engine!$C$2:$C$622,0)),"",INDEX('Compliance Database'!$L$2:$L$622,MATCH(241,Engine!$C$2:$C$622,0)))</f>
        <v/>
      </c>
      <c r="M254" s="8">
        <f>IF(ISNA(MATCH(241,Engine!$C$2:$C$622,0)),"",INDEX('Compliance Database'!$M$2:$M$622,MATCH(241,Engine!$C$2:$C$622,0)))</f>
        <v/>
      </c>
      <c r="N254" s="8">
        <f>IF(ISNA(MATCH(241,Engine!$C$2:$C$622,0)),"",INDEX('Compliance Database'!$N$2:$N$622,MATCH(241,Engine!$C$2:$C$622,0)))</f>
        <v/>
      </c>
      <c r="O254" s="8">
        <f>IF(ISNA(MATCH(241,Engine!$C$2:$C$622,0)),"",INDEX('Compliance Database'!$O$2:$O$622,MATCH(241,Engine!$C$2:$C$622,0)))</f>
        <v/>
      </c>
    </row>
    <row r="255">
      <c r="A255">
        <f>IF(ISNA(MATCH(242,Engine!$C$2:$C$622,0)),"",INDEX('Compliance Database'!$A$2:$A$622,MATCH(242,Engine!$C$2:$C$622,0)))</f>
        <v/>
      </c>
      <c r="B255">
        <f>IF(ISNA(MATCH(242,Engine!$C$2:$C$622,0)),"",INDEX('Compliance Database'!$B$2:$B$622,MATCH(242,Engine!$C$2:$C$622,0)))</f>
        <v/>
      </c>
      <c r="C255">
        <f>IF(ISNA(MATCH(242,Engine!$C$2:$C$622,0)),"",INDEX('Compliance Database'!$C$2:$C$622,MATCH(242,Engine!$C$2:$C$622,0)))</f>
        <v/>
      </c>
      <c r="D255" s="8">
        <f>IF(ISNA(MATCH(242,Engine!$C$2:$C$622,0)),"",INDEX('Compliance Database'!$D$2:$D$622,MATCH(242,Engine!$C$2:$C$622,0)))</f>
        <v/>
      </c>
      <c r="E255">
        <f>IF(ISNA(MATCH(242,Engine!$C$2:$C$622,0)),"",INDEX('Compliance Database'!$E$2:$E$622,MATCH(242,Engine!$C$2:$C$622,0)))</f>
        <v/>
      </c>
      <c r="F255">
        <f>IF(ISNA(MATCH(242,Engine!$C$2:$C$622,0)),"",INDEX('Compliance Database'!$F$2:$F$622,MATCH(242,Engine!$C$2:$C$622,0)))</f>
        <v/>
      </c>
      <c r="G255">
        <f>IF(ISNA(MATCH(242,Engine!$C$2:$C$622,0)),"",INDEX('Compliance Database'!$G$2:$G$622,MATCH(242,Engine!$C$2:$C$622,0)))</f>
        <v/>
      </c>
      <c r="H255">
        <f>IF(ISNA(MATCH(242,Engine!$C$2:$C$622,0)),"",INDEX('Compliance Database'!$H$2:$H$622,MATCH(242,Engine!$C$2:$C$622,0)))</f>
        <v/>
      </c>
      <c r="I255" s="8">
        <f>IF(ISNA(MATCH(242,Engine!$C$2:$C$622,0)),"",INDEX('Compliance Database'!$I$2:$I$622,MATCH(242,Engine!$C$2:$C$622,0)))</f>
        <v/>
      </c>
      <c r="J255" s="8">
        <f>IF(ISNA(MATCH(242,Engine!$C$2:$C$622,0)),"",INDEX('Compliance Database'!$J$2:$J$622,MATCH(242,Engine!$C$2:$C$622,0)))</f>
        <v/>
      </c>
      <c r="K255">
        <f>IF(ISNA(MATCH(242,Engine!$C$2:$C$622,0)),"",INDEX('Compliance Database'!$K$2:$K$622,MATCH(242,Engine!$C$2:$C$622,0)))</f>
        <v/>
      </c>
      <c r="L255" s="8">
        <f>IF(ISNA(MATCH(242,Engine!$C$2:$C$622,0)),"",INDEX('Compliance Database'!$L$2:$L$622,MATCH(242,Engine!$C$2:$C$622,0)))</f>
        <v/>
      </c>
      <c r="M255" s="8">
        <f>IF(ISNA(MATCH(242,Engine!$C$2:$C$622,0)),"",INDEX('Compliance Database'!$M$2:$M$622,MATCH(242,Engine!$C$2:$C$622,0)))</f>
        <v/>
      </c>
      <c r="N255" s="8">
        <f>IF(ISNA(MATCH(242,Engine!$C$2:$C$622,0)),"",INDEX('Compliance Database'!$N$2:$N$622,MATCH(242,Engine!$C$2:$C$622,0)))</f>
        <v/>
      </c>
      <c r="O255" s="8">
        <f>IF(ISNA(MATCH(242,Engine!$C$2:$C$622,0)),"",INDEX('Compliance Database'!$O$2:$O$622,MATCH(242,Engine!$C$2:$C$622,0)))</f>
        <v/>
      </c>
    </row>
    <row r="256">
      <c r="A256">
        <f>IF(ISNA(MATCH(243,Engine!$C$2:$C$622,0)),"",INDEX('Compliance Database'!$A$2:$A$622,MATCH(243,Engine!$C$2:$C$622,0)))</f>
        <v/>
      </c>
      <c r="B256">
        <f>IF(ISNA(MATCH(243,Engine!$C$2:$C$622,0)),"",INDEX('Compliance Database'!$B$2:$B$622,MATCH(243,Engine!$C$2:$C$622,0)))</f>
        <v/>
      </c>
      <c r="C256">
        <f>IF(ISNA(MATCH(243,Engine!$C$2:$C$622,0)),"",INDEX('Compliance Database'!$C$2:$C$622,MATCH(243,Engine!$C$2:$C$622,0)))</f>
        <v/>
      </c>
      <c r="D256" s="8">
        <f>IF(ISNA(MATCH(243,Engine!$C$2:$C$622,0)),"",INDEX('Compliance Database'!$D$2:$D$622,MATCH(243,Engine!$C$2:$C$622,0)))</f>
        <v/>
      </c>
      <c r="E256">
        <f>IF(ISNA(MATCH(243,Engine!$C$2:$C$622,0)),"",INDEX('Compliance Database'!$E$2:$E$622,MATCH(243,Engine!$C$2:$C$622,0)))</f>
        <v/>
      </c>
      <c r="F256">
        <f>IF(ISNA(MATCH(243,Engine!$C$2:$C$622,0)),"",INDEX('Compliance Database'!$F$2:$F$622,MATCH(243,Engine!$C$2:$C$622,0)))</f>
        <v/>
      </c>
      <c r="G256">
        <f>IF(ISNA(MATCH(243,Engine!$C$2:$C$622,0)),"",INDEX('Compliance Database'!$G$2:$G$622,MATCH(243,Engine!$C$2:$C$622,0)))</f>
        <v/>
      </c>
      <c r="H256">
        <f>IF(ISNA(MATCH(243,Engine!$C$2:$C$622,0)),"",INDEX('Compliance Database'!$H$2:$H$622,MATCH(243,Engine!$C$2:$C$622,0)))</f>
        <v/>
      </c>
      <c r="I256" s="8">
        <f>IF(ISNA(MATCH(243,Engine!$C$2:$C$622,0)),"",INDEX('Compliance Database'!$I$2:$I$622,MATCH(243,Engine!$C$2:$C$622,0)))</f>
        <v/>
      </c>
      <c r="J256" s="8">
        <f>IF(ISNA(MATCH(243,Engine!$C$2:$C$622,0)),"",INDEX('Compliance Database'!$J$2:$J$622,MATCH(243,Engine!$C$2:$C$622,0)))</f>
        <v/>
      </c>
      <c r="K256">
        <f>IF(ISNA(MATCH(243,Engine!$C$2:$C$622,0)),"",INDEX('Compliance Database'!$K$2:$K$622,MATCH(243,Engine!$C$2:$C$622,0)))</f>
        <v/>
      </c>
      <c r="L256" s="8">
        <f>IF(ISNA(MATCH(243,Engine!$C$2:$C$622,0)),"",INDEX('Compliance Database'!$L$2:$L$622,MATCH(243,Engine!$C$2:$C$622,0)))</f>
        <v/>
      </c>
      <c r="M256" s="8">
        <f>IF(ISNA(MATCH(243,Engine!$C$2:$C$622,0)),"",INDEX('Compliance Database'!$M$2:$M$622,MATCH(243,Engine!$C$2:$C$622,0)))</f>
        <v/>
      </c>
      <c r="N256" s="8">
        <f>IF(ISNA(MATCH(243,Engine!$C$2:$C$622,0)),"",INDEX('Compliance Database'!$N$2:$N$622,MATCH(243,Engine!$C$2:$C$622,0)))</f>
        <v/>
      </c>
      <c r="O256" s="8">
        <f>IF(ISNA(MATCH(243,Engine!$C$2:$C$622,0)),"",INDEX('Compliance Database'!$O$2:$O$622,MATCH(243,Engine!$C$2:$C$622,0)))</f>
        <v/>
      </c>
    </row>
    <row r="257">
      <c r="A257">
        <f>IF(ISNA(MATCH(244,Engine!$C$2:$C$622,0)),"",INDEX('Compliance Database'!$A$2:$A$622,MATCH(244,Engine!$C$2:$C$622,0)))</f>
        <v/>
      </c>
      <c r="B257">
        <f>IF(ISNA(MATCH(244,Engine!$C$2:$C$622,0)),"",INDEX('Compliance Database'!$B$2:$B$622,MATCH(244,Engine!$C$2:$C$622,0)))</f>
        <v/>
      </c>
      <c r="C257">
        <f>IF(ISNA(MATCH(244,Engine!$C$2:$C$622,0)),"",INDEX('Compliance Database'!$C$2:$C$622,MATCH(244,Engine!$C$2:$C$622,0)))</f>
        <v/>
      </c>
      <c r="D257" s="8">
        <f>IF(ISNA(MATCH(244,Engine!$C$2:$C$622,0)),"",INDEX('Compliance Database'!$D$2:$D$622,MATCH(244,Engine!$C$2:$C$622,0)))</f>
        <v/>
      </c>
      <c r="E257">
        <f>IF(ISNA(MATCH(244,Engine!$C$2:$C$622,0)),"",INDEX('Compliance Database'!$E$2:$E$622,MATCH(244,Engine!$C$2:$C$622,0)))</f>
        <v/>
      </c>
      <c r="F257">
        <f>IF(ISNA(MATCH(244,Engine!$C$2:$C$622,0)),"",INDEX('Compliance Database'!$F$2:$F$622,MATCH(244,Engine!$C$2:$C$622,0)))</f>
        <v/>
      </c>
      <c r="G257">
        <f>IF(ISNA(MATCH(244,Engine!$C$2:$C$622,0)),"",INDEX('Compliance Database'!$G$2:$G$622,MATCH(244,Engine!$C$2:$C$622,0)))</f>
        <v/>
      </c>
      <c r="H257">
        <f>IF(ISNA(MATCH(244,Engine!$C$2:$C$622,0)),"",INDEX('Compliance Database'!$H$2:$H$622,MATCH(244,Engine!$C$2:$C$622,0)))</f>
        <v/>
      </c>
      <c r="I257" s="8">
        <f>IF(ISNA(MATCH(244,Engine!$C$2:$C$622,0)),"",INDEX('Compliance Database'!$I$2:$I$622,MATCH(244,Engine!$C$2:$C$622,0)))</f>
        <v/>
      </c>
      <c r="J257" s="8">
        <f>IF(ISNA(MATCH(244,Engine!$C$2:$C$622,0)),"",INDEX('Compliance Database'!$J$2:$J$622,MATCH(244,Engine!$C$2:$C$622,0)))</f>
        <v/>
      </c>
      <c r="K257">
        <f>IF(ISNA(MATCH(244,Engine!$C$2:$C$622,0)),"",INDEX('Compliance Database'!$K$2:$K$622,MATCH(244,Engine!$C$2:$C$622,0)))</f>
        <v/>
      </c>
      <c r="L257" s="8">
        <f>IF(ISNA(MATCH(244,Engine!$C$2:$C$622,0)),"",INDEX('Compliance Database'!$L$2:$L$622,MATCH(244,Engine!$C$2:$C$622,0)))</f>
        <v/>
      </c>
      <c r="M257" s="8">
        <f>IF(ISNA(MATCH(244,Engine!$C$2:$C$622,0)),"",INDEX('Compliance Database'!$M$2:$M$622,MATCH(244,Engine!$C$2:$C$622,0)))</f>
        <v/>
      </c>
      <c r="N257" s="8">
        <f>IF(ISNA(MATCH(244,Engine!$C$2:$C$622,0)),"",INDEX('Compliance Database'!$N$2:$N$622,MATCH(244,Engine!$C$2:$C$622,0)))</f>
        <v/>
      </c>
      <c r="O257" s="8">
        <f>IF(ISNA(MATCH(244,Engine!$C$2:$C$622,0)),"",INDEX('Compliance Database'!$O$2:$O$622,MATCH(244,Engine!$C$2:$C$622,0)))</f>
        <v/>
      </c>
    </row>
    <row r="258">
      <c r="A258">
        <f>IF(ISNA(MATCH(245,Engine!$C$2:$C$622,0)),"",INDEX('Compliance Database'!$A$2:$A$622,MATCH(245,Engine!$C$2:$C$622,0)))</f>
        <v/>
      </c>
      <c r="B258">
        <f>IF(ISNA(MATCH(245,Engine!$C$2:$C$622,0)),"",INDEX('Compliance Database'!$B$2:$B$622,MATCH(245,Engine!$C$2:$C$622,0)))</f>
        <v/>
      </c>
      <c r="C258">
        <f>IF(ISNA(MATCH(245,Engine!$C$2:$C$622,0)),"",INDEX('Compliance Database'!$C$2:$C$622,MATCH(245,Engine!$C$2:$C$622,0)))</f>
        <v/>
      </c>
      <c r="D258" s="8">
        <f>IF(ISNA(MATCH(245,Engine!$C$2:$C$622,0)),"",INDEX('Compliance Database'!$D$2:$D$622,MATCH(245,Engine!$C$2:$C$622,0)))</f>
        <v/>
      </c>
      <c r="E258">
        <f>IF(ISNA(MATCH(245,Engine!$C$2:$C$622,0)),"",INDEX('Compliance Database'!$E$2:$E$622,MATCH(245,Engine!$C$2:$C$622,0)))</f>
        <v/>
      </c>
      <c r="F258">
        <f>IF(ISNA(MATCH(245,Engine!$C$2:$C$622,0)),"",INDEX('Compliance Database'!$F$2:$F$622,MATCH(245,Engine!$C$2:$C$622,0)))</f>
        <v/>
      </c>
      <c r="G258">
        <f>IF(ISNA(MATCH(245,Engine!$C$2:$C$622,0)),"",INDEX('Compliance Database'!$G$2:$G$622,MATCH(245,Engine!$C$2:$C$622,0)))</f>
        <v/>
      </c>
      <c r="H258">
        <f>IF(ISNA(MATCH(245,Engine!$C$2:$C$622,0)),"",INDEX('Compliance Database'!$H$2:$H$622,MATCH(245,Engine!$C$2:$C$622,0)))</f>
        <v/>
      </c>
      <c r="I258" s="8">
        <f>IF(ISNA(MATCH(245,Engine!$C$2:$C$622,0)),"",INDEX('Compliance Database'!$I$2:$I$622,MATCH(245,Engine!$C$2:$C$622,0)))</f>
        <v/>
      </c>
      <c r="J258" s="8">
        <f>IF(ISNA(MATCH(245,Engine!$C$2:$C$622,0)),"",INDEX('Compliance Database'!$J$2:$J$622,MATCH(245,Engine!$C$2:$C$622,0)))</f>
        <v/>
      </c>
      <c r="K258">
        <f>IF(ISNA(MATCH(245,Engine!$C$2:$C$622,0)),"",INDEX('Compliance Database'!$K$2:$K$622,MATCH(245,Engine!$C$2:$C$622,0)))</f>
        <v/>
      </c>
      <c r="L258" s="8">
        <f>IF(ISNA(MATCH(245,Engine!$C$2:$C$622,0)),"",INDEX('Compliance Database'!$L$2:$L$622,MATCH(245,Engine!$C$2:$C$622,0)))</f>
        <v/>
      </c>
      <c r="M258" s="8">
        <f>IF(ISNA(MATCH(245,Engine!$C$2:$C$622,0)),"",INDEX('Compliance Database'!$M$2:$M$622,MATCH(245,Engine!$C$2:$C$622,0)))</f>
        <v/>
      </c>
      <c r="N258" s="8">
        <f>IF(ISNA(MATCH(245,Engine!$C$2:$C$622,0)),"",INDEX('Compliance Database'!$N$2:$N$622,MATCH(245,Engine!$C$2:$C$622,0)))</f>
        <v/>
      </c>
      <c r="O258" s="8">
        <f>IF(ISNA(MATCH(245,Engine!$C$2:$C$622,0)),"",INDEX('Compliance Database'!$O$2:$O$622,MATCH(245,Engine!$C$2:$C$622,0)))</f>
        <v/>
      </c>
    </row>
    <row r="259">
      <c r="A259">
        <f>IF(ISNA(MATCH(246,Engine!$C$2:$C$622,0)),"",INDEX('Compliance Database'!$A$2:$A$622,MATCH(246,Engine!$C$2:$C$622,0)))</f>
        <v/>
      </c>
      <c r="B259">
        <f>IF(ISNA(MATCH(246,Engine!$C$2:$C$622,0)),"",INDEX('Compliance Database'!$B$2:$B$622,MATCH(246,Engine!$C$2:$C$622,0)))</f>
        <v/>
      </c>
      <c r="C259">
        <f>IF(ISNA(MATCH(246,Engine!$C$2:$C$622,0)),"",INDEX('Compliance Database'!$C$2:$C$622,MATCH(246,Engine!$C$2:$C$622,0)))</f>
        <v/>
      </c>
      <c r="D259" s="8">
        <f>IF(ISNA(MATCH(246,Engine!$C$2:$C$622,0)),"",INDEX('Compliance Database'!$D$2:$D$622,MATCH(246,Engine!$C$2:$C$622,0)))</f>
        <v/>
      </c>
      <c r="E259">
        <f>IF(ISNA(MATCH(246,Engine!$C$2:$C$622,0)),"",INDEX('Compliance Database'!$E$2:$E$622,MATCH(246,Engine!$C$2:$C$622,0)))</f>
        <v/>
      </c>
      <c r="F259">
        <f>IF(ISNA(MATCH(246,Engine!$C$2:$C$622,0)),"",INDEX('Compliance Database'!$F$2:$F$622,MATCH(246,Engine!$C$2:$C$622,0)))</f>
        <v/>
      </c>
      <c r="G259">
        <f>IF(ISNA(MATCH(246,Engine!$C$2:$C$622,0)),"",INDEX('Compliance Database'!$G$2:$G$622,MATCH(246,Engine!$C$2:$C$622,0)))</f>
        <v/>
      </c>
      <c r="H259">
        <f>IF(ISNA(MATCH(246,Engine!$C$2:$C$622,0)),"",INDEX('Compliance Database'!$H$2:$H$622,MATCH(246,Engine!$C$2:$C$622,0)))</f>
        <v/>
      </c>
      <c r="I259" s="8">
        <f>IF(ISNA(MATCH(246,Engine!$C$2:$C$622,0)),"",INDEX('Compliance Database'!$I$2:$I$622,MATCH(246,Engine!$C$2:$C$622,0)))</f>
        <v/>
      </c>
      <c r="J259" s="8">
        <f>IF(ISNA(MATCH(246,Engine!$C$2:$C$622,0)),"",INDEX('Compliance Database'!$J$2:$J$622,MATCH(246,Engine!$C$2:$C$622,0)))</f>
        <v/>
      </c>
      <c r="K259">
        <f>IF(ISNA(MATCH(246,Engine!$C$2:$C$622,0)),"",INDEX('Compliance Database'!$K$2:$K$622,MATCH(246,Engine!$C$2:$C$622,0)))</f>
        <v/>
      </c>
      <c r="L259" s="8">
        <f>IF(ISNA(MATCH(246,Engine!$C$2:$C$622,0)),"",INDEX('Compliance Database'!$L$2:$L$622,MATCH(246,Engine!$C$2:$C$622,0)))</f>
        <v/>
      </c>
      <c r="M259" s="8">
        <f>IF(ISNA(MATCH(246,Engine!$C$2:$C$622,0)),"",INDEX('Compliance Database'!$M$2:$M$622,MATCH(246,Engine!$C$2:$C$622,0)))</f>
        <v/>
      </c>
      <c r="N259" s="8">
        <f>IF(ISNA(MATCH(246,Engine!$C$2:$C$622,0)),"",INDEX('Compliance Database'!$N$2:$N$622,MATCH(246,Engine!$C$2:$C$622,0)))</f>
        <v/>
      </c>
      <c r="O259" s="8">
        <f>IF(ISNA(MATCH(246,Engine!$C$2:$C$622,0)),"",INDEX('Compliance Database'!$O$2:$O$622,MATCH(246,Engine!$C$2:$C$622,0)))</f>
        <v/>
      </c>
    </row>
    <row r="260">
      <c r="A260">
        <f>IF(ISNA(MATCH(247,Engine!$C$2:$C$622,0)),"",INDEX('Compliance Database'!$A$2:$A$622,MATCH(247,Engine!$C$2:$C$622,0)))</f>
        <v/>
      </c>
      <c r="B260">
        <f>IF(ISNA(MATCH(247,Engine!$C$2:$C$622,0)),"",INDEX('Compliance Database'!$B$2:$B$622,MATCH(247,Engine!$C$2:$C$622,0)))</f>
        <v/>
      </c>
      <c r="C260">
        <f>IF(ISNA(MATCH(247,Engine!$C$2:$C$622,0)),"",INDEX('Compliance Database'!$C$2:$C$622,MATCH(247,Engine!$C$2:$C$622,0)))</f>
        <v/>
      </c>
      <c r="D260" s="8">
        <f>IF(ISNA(MATCH(247,Engine!$C$2:$C$622,0)),"",INDEX('Compliance Database'!$D$2:$D$622,MATCH(247,Engine!$C$2:$C$622,0)))</f>
        <v/>
      </c>
      <c r="E260">
        <f>IF(ISNA(MATCH(247,Engine!$C$2:$C$622,0)),"",INDEX('Compliance Database'!$E$2:$E$622,MATCH(247,Engine!$C$2:$C$622,0)))</f>
        <v/>
      </c>
      <c r="F260">
        <f>IF(ISNA(MATCH(247,Engine!$C$2:$C$622,0)),"",INDEX('Compliance Database'!$F$2:$F$622,MATCH(247,Engine!$C$2:$C$622,0)))</f>
        <v/>
      </c>
      <c r="G260">
        <f>IF(ISNA(MATCH(247,Engine!$C$2:$C$622,0)),"",INDEX('Compliance Database'!$G$2:$G$622,MATCH(247,Engine!$C$2:$C$622,0)))</f>
        <v/>
      </c>
      <c r="H260">
        <f>IF(ISNA(MATCH(247,Engine!$C$2:$C$622,0)),"",INDEX('Compliance Database'!$H$2:$H$622,MATCH(247,Engine!$C$2:$C$622,0)))</f>
        <v/>
      </c>
      <c r="I260" s="8">
        <f>IF(ISNA(MATCH(247,Engine!$C$2:$C$622,0)),"",INDEX('Compliance Database'!$I$2:$I$622,MATCH(247,Engine!$C$2:$C$622,0)))</f>
        <v/>
      </c>
      <c r="J260" s="8">
        <f>IF(ISNA(MATCH(247,Engine!$C$2:$C$622,0)),"",INDEX('Compliance Database'!$J$2:$J$622,MATCH(247,Engine!$C$2:$C$622,0)))</f>
        <v/>
      </c>
      <c r="K260">
        <f>IF(ISNA(MATCH(247,Engine!$C$2:$C$622,0)),"",INDEX('Compliance Database'!$K$2:$K$622,MATCH(247,Engine!$C$2:$C$622,0)))</f>
        <v/>
      </c>
      <c r="L260" s="8">
        <f>IF(ISNA(MATCH(247,Engine!$C$2:$C$622,0)),"",INDEX('Compliance Database'!$L$2:$L$622,MATCH(247,Engine!$C$2:$C$622,0)))</f>
        <v/>
      </c>
      <c r="M260" s="8">
        <f>IF(ISNA(MATCH(247,Engine!$C$2:$C$622,0)),"",INDEX('Compliance Database'!$M$2:$M$622,MATCH(247,Engine!$C$2:$C$622,0)))</f>
        <v/>
      </c>
      <c r="N260" s="8">
        <f>IF(ISNA(MATCH(247,Engine!$C$2:$C$622,0)),"",INDEX('Compliance Database'!$N$2:$N$622,MATCH(247,Engine!$C$2:$C$622,0)))</f>
        <v/>
      </c>
      <c r="O260" s="8">
        <f>IF(ISNA(MATCH(247,Engine!$C$2:$C$622,0)),"",INDEX('Compliance Database'!$O$2:$O$622,MATCH(247,Engine!$C$2:$C$622,0)))</f>
        <v/>
      </c>
    </row>
    <row r="261">
      <c r="A261">
        <f>IF(ISNA(MATCH(248,Engine!$C$2:$C$622,0)),"",INDEX('Compliance Database'!$A$2:$A$622,MATCH(248,Engine!$C$2:$C$622,0)))</f>
        <v/>
      </c>
      <c r="B261">
        <f>IF(ISNA(MATCH(248,Engine!$C$2:$C$622,0)),"",INDEX('Compliance Database'!$B$2:$B$622,MATCH(248,Engine!$C$2:$C$622,0)))</f>
        <v/>
      </c>
      <c r="C261">
        <f>IF(ISNA(MATCH(248,Engine!$C$2:$C$622,0)),"",INDEX('Compliance Database'!$C$2:$C$622,MATCH(248,Engine!$C$2:$C$622,0)))</f>
        <v/>
      </c>
      <c r="D261" s="8">
        <f>IF(ISNA(MATCH(248,Engine!$C$2:$C$622,0)),"",INDEX('Compliance Database'!$D$2:$D$622,MATCH(248,Engine!$C$2:$C$622,0)))</f>
        <v/>
      </c>
      <c r="E261">
        <f>IF(ISNA(MATCH(248,Engine!$C$2:$C$622,0)),"",INDEX('Compliance Database'!$E$2:$E$622,MATCH(248,Engine!$C$2:$C$622,0)))</f>
        <v/>
      </c>
      <c r="F261">
        <f>IF(ISNA(MATCH(248,Engine!$C$2:$C$622,0)),"",INDEX('Compliance Database'!$F$2:$F$622,MATCH(248,Engine!$C$2:$C$622,0)))</f>
        <v/>
      </c>
      <c r="G261">
        <f>IF(ISNA(MATCH(248,Engine!$C$2:$C$622,0)),"",INDEX('Compliance Database'!$G$2:$G$622,MATCH(248,Engine!$C$2:$C$622,0)))</f>
        <v/>
      </c>
      <c r="H261">
        <f>IF(ISNA(MATCH(248,Engine!$C$2:$C$622,0)),"",INDEX('Compliance Database'!$H$2:$H$622,MATCH(248,Engine!$C$2:$C$622,0)))</f>
        <v/>
      </c>
      <c r="I261" s="8">
        <f>IF(ISNA(MATCH(248,Engine!$C$2:$C$622,0)),"",INDEX('Compliance Database'!$I$2:$I$622,MATCH(248,Engine!$C$2:$C$622,0)))</f>
        <v/>
      </c>
      <c r="J261" s="8">
        <f>IF(ISNA(MATCH(248,Engine!$C$2:$C$622,0)),"",INDEX('Compliance Database'!$J$2:$J$622,MATCH(248,Engine!$C$2:$C$622,0)))</f>
        <v/>
      </c>
      <c r="K261">
        <f>IF(ISNA(MATCH(248,Engine!$C$2:$C$622,0)),"",INDEX('Compliance Database'!$K$2:$K$622,MATCH(248,Engine!$C$2:$C$622,0)))</f>
        <v/>
      </c>
      <c r="L261" s="8">
        <f>IF(ISNA(MATCH(248,Engine!$C$2:$C$622,0)),"",INDEX('Compliance Database'!$L$2:$L$622,MATCH(248,Engine!$C$2:$C$622,0)))</f>
        <v/>
      </c>
      <c r="M261" s="8">
        <f>IF(ISNA(MATCH(248,Engine!$C$2:$C$622,0)),"",INDEX('Compliance Database'!$M$2:$M$622,MATCH(248,Engine!$C$2:$C$622,0)))</f>
        <v/>
      </c>
      <c r="N261" s="8">
        <f>IF(ISNA(MATCH(248,Engine!$C$2:$C$622,0)),"",INDEX('Compliance Database'!$N$2:$N$622,MATCH(248,Engine!$C$2:$C$622,0)))</f>
        <v/>
      </c>
      <c r="O261" s="8">
        <f>IF(ISNA(MATCH(248,Engine!$C$2:$C$622,0)),"",INDEX('Compliance Database'!$O$2:$O$622,MATCH(248,Engine!$C$2:$C$622,0)))</f>
        <v/>
      </c>
    </row>
    <row r="262">
      <c r="A262">
        <f>IF(ISNA(MATCH(249,Engine!$C$2:$C$622,0)),"",INDEX('Compliance Database'!$A$2:$A$622,MATCH(249,Engine!$C$2:$C$622,0)))</f>
        <v/>
      </c>
      <c r="B262">
        <f>IF(ISNA(MATCH(249,Engine!$C$2:$C$622,0)),"",INDEX('Compliance Database'!$B$2:$B$622,MATCH(249,Engine!$C$2:$C$622,0)))</f>
        <v/>
      </c>
      <c r="C262">
        <f>IF(ISNA(MATCH(249,Engine!$C$2:$C$622,0)),"",INDEX('Compliance Database'!$C$2:$C$622,MATCH(249,Engine!$C$2:$C$622,0)))</f>
        <v/>
      </c>
      <c r="D262" s="8">
        <f>IF(ISNA(MATCH(249,Engine!$C$2:$C$622,0)),"",INDEX('Compliance Database'!$D$2:$D$622,MATCH(249,Engine!$C$2:$C$622,0)))</f>
        <v/>
      </c>
      <c r="E262">
        <f>IF(ISNA(MATCH(249,Engine!$C$2:$C$622,0)),"",INDEX('Compliance Database'!$E$2:$E$622,MATCH(249,Engine!$C$2:$C$622,0)))</f>
        <v/>
      </c>
      <c r="F262">
        <f>IF(ISNA(MATCH(249,Engine!$C$2:$C$622,0)),"",INDEX('Compliance Database'!$F$2:$F$622,MATCH(249,Engine!$C$2:$C$622,0)))</f>
        <v/>
      </c>
      <c r="G262">
        <f>IF(ISNA(MATCH(249,Engine!$C$2:$C$622,0)),"",INDEX('Compliance Database'!$G$2:$G$622,MATCH(249,Engine!$C$2:$C$622,0)))</f>
        <v/>
      </c>
      <c r="H262">
        <f>IF(ISNA(MATCH(249,Engine!$C$2:$C$622,0)),"",INDEX('Compliance Database'!$H$2:$H$622,MATCH(249,Engine!$C$2:$C$622,0)))</f>
        <v/>
      </c>
      <c r="I262" s="8">
        <f>IF(ISNA(MATCH(249,Engine!$C$2:$C$622,0)),"",INDEX('Compliance Database'!$I$2:$I$622,MATCH(249,Engine!$C$2:$C$622,0)))</f>
        <v/>
      </c>
      <c r="J262" s="8">
        <f>IF(ISNA(MATCH(249,Engine!$C$2:$C$622,0)),"",INDEX('Compliance Database'!$J$2:$J$622,MATCH(249,Engine!$C$2:$C$622,0)))</f>
        <v/>
      </c>
      <c r="K262">
        <f>IF(ISNA(MATCH(249,Engine!$C$2:$C$622,0)),"",INDEX('Compliance Database'!$K$2:$K$622,MATCH(249,Engine!$C$2:$C$622,0)))</f>
        <v/>
      </c>
      <c r="L262" s="8">
        <f>IF(ISNA(MATCH(249,Engine!$C$2:$C$622,0)),"",INDEX('Compliance Database'!$L$2:$L$622,MATCH(249,Engine!$C$2:$C$622,0)))</f>
        <v/>
      </c>
      <c r="M262" s="8">
        <f>IF(ISNA(MATCH(249,Engine!$C$2:$C$622,0)),"",INDEX('Compliance Database'!$M$2:$M$622,MATCH(249,Engine!$C$2:$C$622,0)))</f>
        <v/>
      </c>
      <c r="N262" s="8">
        <f>IF(ISNA(MATCH(249,Engine!$C$2:$C$622,0)),"",INDEX('Compliance Database'!$N$2:$N$622,MATCH(249,Engine!$C$2:$C$622,0)))</f>
        <v/>
      </c>
      <c r="O262" s="8">
        <f>IF(ISNA(MATCH(249,Engine!$C$2:$C$622,0)),"",INDEX('Compliance Database'!$O$2:$O$622,MATCH(249,Engine!$C$2:$C$622,0)))</f>
        <v/>
      </c>
    </row>
    <row r="263">
      <c r="A263">
        <f>IF(ISNA(MATCH(250,Engine!$C$2:$C$622,0)),"",INDEX('Compliance Database'!$A$2:$A$622,MATCH(250,Engine!$C$2:$C$622,0)))</f>
        <v/>
      </c>
      <c r="B263">
        <f>IF(ISNA(MATCH(250,Engine!$C$2:$C$622,0)),"",INDEX('Compliance Database'!$B$2:$B$622,MATCH(250,Engine!$C$2:$C$622,0)))</f>
        <v/>
      </c>
      <c r="C263">
        <f>IF(ISNA(MATCH(250,Engine!$C$2:$C$622,0)),"",INDEX('Compliance Database'!$C$2:$C$622,MATCH(250,Engine!$C$2:$C$622,0)))</f>
        <v/>
      </c>
      <c r="D263" s="8">
        <f>IF(ISNA(MATCH(250,Engine!$C$2:$C$622,0)),"",INDEX('Compliance Database'!$D$2:$D$622,MATCH(250,Engine!$C$2:$C$622,0)))</f>
        <v/>
      </c>
      <c r="E263">
        <f>IF(ISNA(MATCH(250,Engine!$C$2:$C$622,0)),"",INDEX('Compliance Database'!$E$2:$E$622,MATCH(250,Engine!$C$2:$C$622,0)))</f>
        <v/>
      </c>
      <c r="F263">
        <f>IF(ISNA(MATCH(250,Engine!$C$2:$C$622,0)),"",INDEX('Compliance Database'!$F$2:$F$622,MATCH(250,Engine!$C$2:$C$622,0)))</f>
        <v/>
      </c>
      <c r="G263">
        <f>IF(ISNA(MATCH(250,Engine!$C$2:$C$622,0)),"",INDEX('Compliance Database'!$G$2:$G$622,MATCH(250,Engine!$C$2:$C$622,0)))</f>
        <v/>
      </c>
      <c r="H263">
        <f>IF(ISNA(MATCH(250,Engine!$C$2:$C$622,0)),"",INDEX('Compliance Database'!$H$2:$H$622,MATCH(250,Engine!$C$2:$C$622,0)))</f>
        <v/>
      </c>
      <c r="I263" s="8">
        <f>IF(ISNA(MATCH(250,Engine!$C$2:$C$622,0)),"",INDEX('Compliance Database'!$I$2:$I$622,MATCH(250,Engine!$C$2:$C$622,0)))</f>
        <v/>
      </c>
      <c r="J263" s="8">
        <f>IF(ISNA(MATCH(250,Engine!$C$2:$C$622,0)),"",INDEX('Compliance Database'!$J$2:$J$622,MATCH(250,Engine!$C$2:$C$622,0)))</f>
        <v/>
      </c>
      <c r="K263">
        <f>IF(ISNA(MATCH(250,Engine!$C$2:$C$622,0)),"",INDEX('Compliance Database'!$K$2:$K$622,MATCH(250,Engine!$C$2:$C$622,0)))</f>
        <v/>
      </c>
      <c r="L263" s="8">
        <f>IF(ISNA(MATCH(250,Engine!$C$2:$C$622,0)),"",INDEX('Compliance Database'!$L$2:$L$622,MATCH(250,Engine!$C$2:$C$622,0)))</f>
        <v/>
      </c>
      <c r="M263" s="8">
        <f>IF(ISNA(MATCH(250,Engine!$C$2:$C$622,0)),"",INDEX('Compliance Database'!$M$2:$M$622,MATCH(250,Engine!$C$2:$C$622,0)))</f>
        <v/>
      </c>
      <c r="N263" s="8">
        <f>IF(ISNA(MATCH(250,Engine!$C$2:$C$622,0)),"",INDEX('Compliance Database'!$N$2:$N$622,MATCH(250,Engine!$C$2:$C$622,0)))</f>
        <v/>
      </c>
      <c r="O263" s="8">
        <f>IF(ISNA(MATCH(250,Engine!$C$2:$C$622,0)),"",INDEX('Compliance Database'!$O$2:$O$622,MATCH(250,Engine!$C$2:$C$622,0)))</f>
        <v/>
      </c>
    </row>
    <row r="264">
      <c r="A264">
        <f>IF(ISNA(MATCH(251,Engine!$C$2:$C$622,0)),"",INDEX('Compliance Database'!$A$2:$A$622,MATCH(251,Engine!$C$2:$C$622,0)))</f>
        <v/>
      </c>
      <c r="B264">
        <f>IF(ISNA(MATCH(251,Engine!$C$2:$C$622,0)),"",INDEX('Compliance Database'!$B$2:$B$622,MATCH(251,Engine!$C$2:$C$622,0)))</f>
        <v/>
      </c>
      <c r="C264">
        <f>IF(ISNA(MATCH(251,Engine!$C$2:$C$622,0)),"",INDEX('Compliance Database'!$C$2:$C$622,MATCH(251,Engine!$C$2:$C$622,0)))</f>
        <v/>
      </c>
      <c r="D264" s="8">
        <f>IF(ISNA(MATCH(251,Engine!$C$2:$C$622,0)),"",INDEX('Compliance Database'!$D$2:$D$622,MATCH(251,Engine!$C$2:$C$622,0)))</f>
        <v/>
      </c>
      <c r="E264">
        <f>IF(ISNA(MATCH(251,Engine!$C$2:$C$622,0)),"",INDEX('Compliance Database'!$E$2:$E$622,MATCH(251,Engine!$C$2:$C$622,0)))</f>
        <v/>
      </c>
      <c r="F264">
        <f>IF(ISNA(MATCH(251,Engine!$C$2:$C$622,0)),"",INDEX('Compliance Database'!$F$2:$F$622,MATCH(251,Engine!$C$2:$C$622,0)))</f>
        <v/>
      </c>
      <c r="G264">
        <f>IF(ISNA(MATCH(251,Engine!$C$2:$C$622,0)),"",INDEX('Compliance Database'!$G$2:$G$622,MATCH(251,Engine!$C$2:$C$622,0)))</f>
        <v/>
      </c>
      <c r="H264">
        <f>IF(ISNA(MATCH(251,Engine!$C$2:$C$622,0)),"",INDEX('Compliance Database'!$H$2:$H$622,MATCH(251,Engine!$C$2:$C$622,0)))</f>
        <v/>
      </c>
      <c r="I264" s="8">
        <f>IF(ISNA(MATCH(251,Engine!$C$2:$C$622,0)),"",INDEX('Compliance Database'!$I$2:$I$622,MATCH(251,Engine!$C$2:$C$622,0)))</f>
        <v/>
      </c>
      <c r="J264" s="8">
        <f>IF(ISNA(MATCH(251,Engine!$C$2:$C$622,0)),"",INDEX('Compliance Database'!$J$2:$J$622,MATCH(251,Engine!$C$2:$C$622,0)))</f>
        <v/>
      </c>
      <c r="K264">
        <f>IF(ISNA(MATCH(251,Engine!$C$2:$C$622,0)),"",INDEX('Compliance Database'!$K$2:$K$622,MATCH(251,Engine!$C$2:$C$622,0)))</f>
        <v/>
      </c>
      <c r="L264" s="8">
        <f>IF(ISNA(MATCH(251,Engine!$C$2:$C$622,0)),"",INDEX('Compliance Database'!$L$2:$L$622,MATCH(251,Engine!$C$2:$C$622,0)))</f>
        <v/>
      </c>
      <c r="M264" s="8">
        <f>IF(ISNA(MATCH(251,Engine!$C$2:$C$622,0)),"",INDEX('Compliance Database'!$M$2:$M$622,MATCH(251,Engine!$C$2:$C$622,0)))</f>
        <v/>
      </c>
      <c r="N264" s="8">
        <f>IF(ISNA(MATCH(251,Engine!$C$2:$C$622,0)),"",INDEX('Compliance Database'!$N$2:$N$622,MATCH(251,Engine!$C$2:$C$622,0)))</f>
        <v/>
      </c>
      <c r="O264" s="8">
        <f>IF(ISNA(MATCH(251,Engine!$C$2:$C$622,0)),"",INDEX('Compliance Database'!$O$2:$O$622,MATCH(251,Engine!$C$2:$C$622,0)))</f>
        <v/>
      </c>
    </row>
    <row r="265">
      <c r="A265">
        <f>IF(ISNA(MATCH(252,Engine!$C$2:$C$622,0)),"",INDEX('Compliance Database'!$A$2:$A$622,MATCH(252,Engine!$C$2:$C$622,0)))</f>
        <v/>
      </c>
      <c r="B265">
        <f>IF(ISNA(MATCH(252,Engine!$C$2:$C$622,0)),"",INDEX('Compliance Database'!$B$2:$B$622,MATCH(252,Engine!$C$2:$C$622,0)))</f>
        <v/>
      </c>
      <c r="C265">
        <f>IF(ISNA(MATCH(252,Engine!$C$2:$C$622,0)),"",INDEX('Compliance Database'!$C$2:$C$622,MATCH(252,Engine!$C$2:$C$622,0)))</f>
        <v/>
      </c>
      <c r="D265" s="8">
        <f>IF(ISNA(MATCH(252,Engine!$C$2:$C$622,0)),"",INDEX('Compliance Database'!$D$2:$D$622,MATCH(252,Engine!$C$2:$C$622,0)))</f>
        <v/>
      </c>
      <c r="E265">
        <f>IF(ISNA(MATCH(252,Engine!$C$2:$C$622,0)),"",INDEX('Compliance Database'!$E$2:$E$622,MATCH(252,Engine!$C$2:$C$622,0)))</f>
        <v/>
      </c>
      <c r="F265">
        <f>IF(ISNA(MATCH(252,Engine!$C$2:$C$622,0)),"",INDEX('Compliance Database'!$F$2:$F$622,MATCH(252,Engine!$C$2:$C$622,0)))</f>
        <v/>
      </c>
      <c r="G265">
        <f>IF(ISNA(MATCH(252,Engine!$C$2:$C$622,0)),"",INDEX('Compliance Database'!$G$2:$G$622,MATCH(252,Engine!$C$2:$C$622,0)))</f>
        <v/>
      </c>
      <c r="H265">
        <f>IF(ISNA(MATCH(252,Engine!$C$2:$C$622,0)),"",INDEX('Compliance Database'!$H$2:$H$622,MATCH(252,Engine!$C$2:$C$622,0)))</f>
        <v/>
      </c>
      <c r="I265" s="8">
        <f>IF(ISNA(MATCH(252,Engine!$C$2:$C$622,0)),"",INDEX('Compliance Database'!$I$2:$I$622,MATCH(252,Engine!$C$2:$C$622,0)))</f>
        <v/>
      </c>
      <c r="J265" s="8">
        <f>IF(ISNA(MATCH(252,Engine!$C$2:$C$622,0)),"",INDEX('Compliance Database'!$J$2:$J$622,MATCH(252,Engine!$C$2:$C$622,0)))</f>
        <v/>
      </c>
      <c r="K265">
        <f>IF(ISNA(MATCH(252,Engine!$C$2:$C$622,0)),"",INDEX('Compliance Database'!$K$2:$K$622,MATCH(252,Engine!$C$2:$C$622,0)))</f>
        <v/>
      </c>
      <c r="L265" s="8">
        <f>IF(ISNA(MATCH(252,Engine!$C$2:$C$622,0)),"",INDEX('Compliance Database'!$L$2:$L$622,MATCH(252,Engine!$C$2:$C$622,0)))</f>
        <v/>
      </c>
      <c r="M265" s="8">
        <f>IF(ISNA(MATCH(252,Engine!$C$2:$C$622,0)),"",INDEX('Compliance Database'!$M$2:$M$622,MATCH(252,Engine!$C$2:$C$622,0)))</f>
        <v/>
      </c>
      <c r="N265" s="8">
        <f>IF(ISNA(MATCH(252,Engine!$C$2:$C$622,0)),"",INDEX('Compliance Database'!$N$2:$N$622,MATCH(252,Engine!$C$2:$C$622,0)))</f>
        <v/>
      </c>
      <c r="O265" s="8">
        <f>IF(ISNA(MATCH(252,Engine!$C$2:$C$622,0)),"",INDEX('Compliance Database'!$O$2:$O$622,MATCH(252,Engine!$C$2:$C$622,0)))</f>
        <v/>
      </c>
    </row>
    <row r="266">
      <c r="A266">
        <f>IF(ISNA(MATCH(253,Engine!$C$2:$C$622,0)),"",INDEX('Compliance Database'!$A$2:$A$622,MATCH(253,Engine!$C$2:$C$622,0)))</f>
        <v/>
      </c>
      <c r="B266">
        <f>IF(ISNA(MATCH(253,Engine!$C$2:$C$622,0)),"",INDEX('Compliance Database'!$B$2:$B$622,MATCH(253,Engine!$C$2:$C$622,0)))</f>
        <v/>
      </c>
      <c r="C266">
        <f>IF(ISNA(MATCH(253,Engine!$C$2:$C$622,0)),"",INDEX('Compliance Database'!$C$2:$C$622,MATCH(253,Engine!$C$2:$C$622,0)))</f>
        <v/>
      </c>
      <c r="D266" s="8">
        <f>IF(ISNA(MATCH(253,Engine!$C$2:$C$622,0)),"",INDEX('Compliance Database'!$D$2:$D$622,MATCH(253,Engine!$C$2:$C$622,0)))</f>
        <v/>
      </c>
      <c r="E266">
        <f>IF(ISNA(MATCH(253,Engine!$C$2:$C$622,0)),"",INDEX('Compliance Database'!$E$2:$E$622,MATCH(253,Engine!$C$2:$C$622,0)))</f>
        <v/>
      </c>
      <c r="F266">
        <f>IF(ISNA(MATCH(253,Engine!$C$2:$C$622,0)),"",INDEX('Compliance Database'!$F$2:$F$622,MATCH(253,Engine!$C$2:$C$622,0)))</f>
        <v/>
      </c>
      <c r="G266">
        <f>IF(ISNA(MATCH(253,Engine!$C$2:$C$622,0)),"",INDEX('Compliance Database'!$G$2:$G$622,MATCH(253,Engine!$C$2:$C$622,0)))</f>
        <v/>
      </c>
      <c r="H266">
        <f>IF(ISNA(MATCH(253,Engine!$C$2:$C$622,0)),"",INDEX('Compliance Database'!$H$2:$H$622,MATCH(253,Engine!$C$2:$C$622,0)))</f>
        <v/>
      </c>
      <c r="I266" s="8">
        <f>IF(ISNA(MATCH(253,Engine!$C$2:$C$622,0)),"",INDEX('Compliance Database'!$I$2:$I$622,MATCH(253,Engine!$C$2:$C$622,0)))</f>
        <v/>
      </c>
      <c r="J266" s="8">
        <f>IF(ISNA(MATCH(253,Engine!$C$2:$C$622,0)),"",INDEX('Compliance Database'!$J$2:$J$622,MATCH(253,Engine!$C$2:$C$622,0)))</f>
        <v/>
      </c>
      <c r="K266">
        <f>IF(ISNA(MATCH(253,Engine!$C$2:$C$622,0)),"",INDEX('Compliance Database'!$K$2:$K$622,MATCH(253,Engine!$C$2:$C$622,0)))</f>
        <v/>
      </c>
      <c r="L266" s="8">
        <f>IF(ISNA(MATCH(253,Engine!$C$2:$C$622,0)),"",INDEX('Compliance Database'!$L$2:$L$622,MATCH(253,Engine!$C$2:$C$622,0)))</f>
        <v/>
      </c>
      <c r="M266" s="8">
        <f>IF(ISNA(MATCH(253,Engine!$C$2:$C$622,0)),"",INDEX('Compliance Database'!$M$2:$M$622,MATCH(253,Engine!$C$2:$C$622,0)))</f>
        <v/>
      </c>
      <c r="N266" s="8">
        <f>IF(ISNA(MATCH(253,Engine!$C$2:$C$622,0)),"",INDEX('Compliance Database'!$N$2:$N$622,MATCH(253,Engine!$C$2:$C$622,0)))</f>
        <v/>
      </c>
      <c r="O266" s="8">
        <f>IF(ISNA(MATCH(253,Engine!$C$2:$C$622,0)),"",INDEX('Compliance Database'!$O$2:$O$622,MATCH(253,Engine!$C$2:$C$622,0)))</f>
        <v/>
      </c>
    </row>
    <row r="267">
      <c r="A267">
        <f>IF(ISNA(MATCH(254,Engine!$C$2:$C$622,0)),"",INDEX('Compliance Database'!$A$2:$A$622,MATCH(254,Engine!$C$2:$C$622,0)))</f>
        <v/>
      </c>
      <c r="B267">
        <f>IF(ISNA(MATCH(254,Engine!$C$2:$C$622,0)),"",INDEX('Compliance Database'!$B$2:$B$622,MATCH(254,Engine!$C$2:$C$622,0)))</f>
        <v/>
      </c>
      <c r="C267">
        <f>IF(ISNA(MATCH(254,Engine!$C$2:$C$622,0)),"",INDEX('Compliance Database'!$C$2:$C$622,MATCH(254,Engine!$C$2:$C$622,0)))</f>
        <v/>
      </c>
      <c r="D267" s="8">
        <f>IF(ISNA(MATCH(254,Engine!$C$2:$C$622,0)),"",INDEX('Compliance Database'!$D$2:$D$622,MATCH(254,Engine!$C$2:$C$622,0)))</f>
        <v/>
      </c>
      <c r="E267">
        <f>IF(ISNA(MATCH(254,Engine!$C$2:$C$622,0)),"",INDEX('Compliance Database'!$E$2:$E$622,MATCH(254,Engine!$C$2:$C$622,0)))</f>
        <v/>
      </c>
      <c r="F267">
        <f>IF(ISNA(MATCH(254,Engine!$C$2:$C$622,0)),"",INDEX('Compliance Database'!$F$2:$F$622,MATCH(254,Engine!$C$2:$C$622,0)))</f>
        <v/>
      </c>
      <c r="G267">
        <f>IF(ISNA(MATCH(254,Engine!$C$2:$C$622,0)),"",INDEX('Compliance Database'!$G$2:$G$622,MATCH(254,Engine!$C$2:$C$622,0)))</f>
        <v/>
      </c>
      <c r="H267">
        <f>IF(ISNA(MATCH(254,Engine!$C$2:$C$622,0)),"",INDEX('Compliance Database'!$H$2:$H$622,MATCH(254,Engine!$C$2:$C$622,0)))</f>
        <v/>
      </c>
      <c r="I267" s="8">
        <f>IF(ISNA(MATCH(254,Engine!$C$2:$C$622,0)),"",INDEX('Compliance Database'!$I$2:$I$622,MATCH(254,Engine!$C$2:$C$622,0)))</f>
        <v/>
      </c>
      <c r="J267" s="8">
        <f>IF(ISNA(MATCH(254,Engine!$C$2:$C$622,0)),"",INDEX('Compliance Database'!$J$2:$J$622,MATCH(254,Engine!$C$2:$C$622,0)))</f>
        <v/>
      </c>
      <c r="K267">
        <f>IF(ISNA(MATCH(254,Engine!$C$2:$C$622,0)),"",INDEX('Compliance Database'!$K$2:$K$622,MATCH(254,Engine!$C$2:$C$622,0)))</f>
        <v/>
      </c>
      <c r="L267" s="8">
        <f>IF(ISNA(MATCH(254,Engine!$C$2:$C$622,0)),"",INDEX('Compliance Database'!$L$2:$L$622,MATCH(254,Engine!$C$2:$C$622,0)))</f>
        <v/>
      </c>
      <c r="M267" s="8">
        <f>IF(ISNA(MATCH(254,Engine!$C$2:$C$622,0)),"",INDEX('Compliance Database'!$M$2:$M$622,MATCH(254,Engine!$C$2:$C$622,0)))</f>
        <v/>
      </c>
      <c r="N267" s="8">
        <f>IF(ISNA(MATCH(254,Engine!$C$2:$C$622,0)),"",INDEX('Compliance Database'!$N$2:$N$622,MATCH(254,Engine!$C$2:$C$622,0)))</f>
        <v/>
      </c>
      <c r="O267" s="8">
        <f>IF(ISNA(MATCH(254,Engine!$C$2:$C$622,0)),"",INDEX('Compliance Database'!$O$2:$O$622,MATCH(254,Engine!$C$2:$C$622,0)))</f>
        <v/>
      </c>
    </row>
    <row r="268">
      <c r="A268">
        <f>IF(ISNA(MATCH(255,Engine!$C$2:$C$622,0)),"",INDEX('Compliance Database'!$A$2:$A$622,MATCH(255,Engine!$C$2:$C$622,0)))</f>
        <v/>
      </c>
      <c r="B268">
        <f>IF(ISNA(MATCH(255,Engine!$C$2:$C$622,0)),"",INDEX('Compliance Database'!$B$2:$B$622,MATCH(255,Engine!$C$2:$C$622,0)))</f>
        <v/>
      </c>
      <c r="C268">
        <f>IF(ISNA(MATCH(255,Engine!$C$2:$C$622,0)),"",INDEX('Compliance Database'!$C$2:$C$622,MATCH(255,Engine!$C$2:$C$622,0)))</f>
        <v/>
      </c>
      <c r="D268" s="8">
        <f>IF(ISNA(MATCH(255,Engine!$C$2:$C$622,0)),"",INDEX('Compliance Database'!$D$2:$D$622,MATCH(255,Engine!$C$2:$C$622,0)))</f>
        <v/>
      </c>
      <c r="E268">
        <f>IF(ISNA(MATCH(255,Engine!$C$2:$C$622,0)),"",INDEX('Compliance Database'!$E$2:$E$622,MATCH(255,Engine!$C$2:$C$622,0)))</f>
        <v/>
      </c>
      <c r="F268">
        <f>IF(ISNA(MATCH(255,Engine!$C$2:$C$622,0)),"",INDEX('Compliance Database'!$F$2:$F$622,MATCH(255,Engine!$C$2:$C$622,0)))</f>
        <v/>
      </c>
      <c r="G268">
        <f>IF(ISNA(MATCH(255,Engine!$C$2:$C$622,0)),"",INDEX('Compliance Database'!$G$2:$G$622,MATCH(255,Engine!$C$2:$C$622,0)))</f>
        <v/>
      </c>
      <c r="H268">
        <f>IF(ISNA(MATCH(255,Engine!$C$2:$C$622,0)),"",INDEX('Compliance Database'!$H$2:$H$622,MATCH(255,Engine!$C$2:$C$622,0)))</f>
        <v/>
      </c>
      <c r="I268" s="8">
        <f>IF(ISNA(MATCH(255,Engine!$C$2:$C$622,0)),"",INDEX('Compliance Database'!$I$2:$I$622,MATCH(255,Engine!$C$2:$C$622,0)))</f>
        <v/>
      </c>
      <c r="J268" s="8">
        <f>IF(ISNA(MATCH(255,Engine!$C$2:$C$622,0)),"",INDEX('Compliance Database'!$J$2:$J$622,MATCH(255,Engine!$C$2:$C$622,0)))</f>
        <v/>
      </c>
      <c r="K268">
        <f>IF(ISNA(MATCH(255,Engine!$C$2:$C$622,0)),"",INDEX('Compliance Database'!$K$2:$K$622,MATCH(255,Engine!$C$2:$C$622,0)))</f>
        <v/>
      </c>
      <c r="L268" s="8">
        <f>IF(ISNA(MATCH(255,Engine!$C$2:$C$622,0)),"",INDEX('Compliance Database'!$L$2:$L$622,MATCH(255,Engine!$C$2:$C$622,0)))</f>
        <v/>
      </c>
      <c r="M268" s="8">
        <f>IF(ISNA(MATCH(255,Engine!$C$2:$C$622,0)),"",INDEX('Compliance Database'!$M$2:$M$622,MATCH(255,Engine!$C$2:$C$622,0)))</f>
        <v/>
      </c>
      <c r="N268" s="8">
        <f>IF(ISNA(MATCH(255,Engine!$C$2:$C$622,0)),"",INDEX('Compliance Database'!$N$2:$N$622,MATCH(255,Engine!$C$2:$C$622,0)))</f>
        <v/>
      </c>
      <c r="O268" s="8">
        <f>IF(ISNA(MATCH(255,Engine!$C$2:$C$622,0)),"",INDEX('Compliance Database'!$O$2:$O$622,MATCH(255,Engine!$C$2:$C$622,0)))</f>
        <v/>
      </c>
    </row>
    <row r="269">
      <c r="A269">
        <f>IF(ISNA(MATCH(256,Engine!$C$2:$C$622,0)),"",INDEX('Compliance Database'!$A$2:$A$622,MATCH(256,Engine!$C$2:$C$622,0)))</f>
        <v/>
      </c>
      <c r="B269">
        <f>IF(ISNA(MATCH(256,Engine!$C$2:$C$622,0)),"",INDEX('Compliance Database'!$B$2:$B$622,MATCH(256,Engine!$C$2:$C$622,0)))</f>
        <v/>
      </c>
      <c r="C269">
        <f>IF(ISNA(MATCH(256,Engine!$C$2:$C$622,0)),"",INDEX('Compliance Database'!$C$2:$C$622,MATCH(256,Engine!$C$2:$C$622,0)))</f>
        <v/>
      </c>
      <c r="D269" s="8">
        <f>IF(ISNA(MATCH(256,Engine!$C$2:$C$622,0)),"",INDEX('Compliance Database'!$D$2:$D$622,MATCH(256,Engine!$C$2:$C$622,0)))</f>
        <v/>
      </c>
      <c r="E269">
        <f>IF(ISNA(MATCH(256,Engine!$C$2:$C$622,0)),"",INDEX('Compliance Database'!$E$2:$E$622,MATCH(256,Engine!$C$2:$C$622,0)))</f>
        <v/>
      </c>
      <c r="F269">
        <f>IF(ISNA(MATCH(256,Engine!$C$2:$C$622,0)),"",INDEX('Compliance Database'!$F$2:$F$622,MATCH(256,Engine!$C$2:$C$622,0)))</f>
        <v/>
      </c>
      <c r="G269">
        <f>IF(ISNA(MATCH(256,Engine!$C$2:$C$622,0)),"",INDEX('Compliance Database'!$G$2:$G$622,MATCH(256,Engine!$C$2:$C$622,0)))</f>
        <v/>
      </c>
      <c r="H269">
        <f>IF(ISNA(MATCH(256,Engine!$C$2:$C$622,0)),"",INDEX('Compliance Database'!$H$2:$H$622,MATCH(256,Engine!$C$2:$C$622,0)))</f>
        <v/>
      </c>
      <c r="I269" s="8">
        <f>IF(ISNA(MATCH(256,Engine!$C$2:$C$622,0)),"",INDEX('Compliance Database'!$I$2:$I$622,MATCH(256,Engine!$C$2:$C$622,0)))</f>
        <v/>
      </c>
      <c r="J269" s="8">
        <f>IF(ISNA(MATCH(256,Engine!$C$2:$C$622,0)),"",INDEX('Compliance Database'!$J$2:$J$622,MATCH(256,Engine!$C$2:$C$622,0)))</f>
        <v/>
      </c>
      <c r="K269">
        <f>IF(ISNA(MATCH(256,Engine!$C$2:$C$622,0)),"",INDEX('Compliance Database'!$K$2:$K$622,MATCH(256,Engine!$C$2:$C$622,0)))</f>
        <v/>
      </c>
      <c r="L269" s="8">
        <f>IF(ISNA(MATCH(256,Engine!$C$2:$C$622,0)),"",INDEX('Compliance Database'!$L$2:$L$622,MATCH(256,Engine!$C$2:$C$622,0)))</f>
        <v/>
      </c>
      <c r="M269" s="8">
        <f>IF(ISNA(MATCH(256,Engine!$C$2:$C$622,0)),"",INDEX('Compliance Database'!$M$2:$M$622,MATCH(256,Engine!$C$2:$C$622,0)))</f>
        <v/>
      </c>
      <c r="N269" s="8">
        <f>IF(ISNA(MATCH(256,Engine!$C$2:$C$622,0)),"",INDEX('Compliance Database'!$N$2:$N$622,MATCH(256,Engine!$C$2:$C$622,0)))</f>
        <v/>
      </c>
      <c r="O269" s="8">
        <f>IF(ISNA(MATCH(256,Engine!$C$2:$C$622,0)),"",INDEX('Compliance Database'!$O$2:$O$622,MATCH(256,Engine!$C$2:$C$622,0)))</f>
        <v/>
      </c>
    </row>
    <row r="270">
      <c r="A270">
        <f>IF(ISNA(MATCH(257,Engine!$C$2:$C$622,0)),"",INDEX('Compliance Database'!$A$2:$A$622,MATCH(257,Engine!$C$2:$C$622,0)))</f>
        <v/>
      </c>
      <c r="B270">
        <f>IF(ISNA(MATCH(257,Engine!$C$2:$C$622,0)),"",INDEX('Compliance Database'!$B$2:$B$622,MATCH(257,Engine!$C$2:$C$622,0)))</f>
        <v/>
      </c>
      <c r="C270">
        <f>IF(ISNA(MATCH(257,Engine!$C$2:$C$622,0)),"",INDEX('Compliance Database'!$C$2:$C$622,MATCH(257,Engine!$C$2:$C$622,0)))</f>
        <v/>
      </c>
      <c r="D270" s="8">
        <f>IF(ISNA(MATCH(257,Engine!$C$2:$C$622,0)),"",INDEX('Compliance Database'!$D$2:$D$622,MATCH(257,Engine!$C$2:$C$622,0)))</f>
        <v/>
      </c>
      <c r="E270">
        <f>IF(ISNA(MATCH(257,Engine!$C$2:$C$622,0)),"",INDEX('Compliance Database'!$E$2:$E$622,MATCH(257,Engine!$C$2:$C$622,0)))</f>
        <v/>
      </c>
      <c r="F270">
        <f>IF(ISNA(MATCH(257,Engine!$C$2:$C$622,0)),"",INDEX('Compliance Database'!$F$2:$F$622,MATCH(257,Engine!$C$2:$C$622,0)))</f>
        <v/>
      </c>
      <c r="G270">
        <f>IF(ISNA(MATCH(257,Engine!$C$2:$C$622,0)),"",INDEX('Compliance Database'!$G$2:$G$622,MATCH(257,Engine!$C$2:$C$622,0)))</f>
        <v/>
      </c>
      <c r="H270">
        <f>IF(ISNA(MATCH(257,Engine!$C$2:$C$622,0)),"",INDEX('Compliance Database'!$H$2:$H$622,MATCH(257,Engine!$C$2:$C$622,0)))</f>
        <v/>
      </c>
      <c r="I270" s="8">
        <f>IF(ISNA(MATCH(257,Engine!$C$2:$C$622,0)),"",INDEX('Compliance Database'!$I$2:$I$622,MATCH(257,Engine!$C$2:$C$622,0)))</f>
        <v/>
      </c>
      <c r="J270" s="8">
        <f>IF(ISNA(MATCH(257,Engine!$C$2:$C$622,0)),"",INDEX('Compliance Database'!$J$2:$J$622,MATCH(257,Engine!$C$2:$C$622,0)))</f>
        <v/>
      </c>
      <c r="K270">
        <f>IF(ISNA(MATCH(257,Engine!$C$2:$C$622,0)),"",INDEX('Compliance Database'!$K$2:$K$622,MATCH(257,Engine!$C$2:$C$622,0)))</f>
        <v/>
      </c>
      <c r="L270" s="8">
        <f>IF(ISNA(MATCH(257,Engine!$C$2:$C$622,0)),"",INDEX('Compliance Database'!$L$2:$L$622,MATCH(257,Engine!$C$2:$C$622,0)))</f>
        <v/>
      </c>
      <c r="M270" s="8">
        <f>IF(ISNA(MATCH(257,Engine!$C$2:$C$622,0)),"",INDEX('Compliance Database'!$M$2:$M$622,MATCH(257,Engine!$C$2:$C$622,0)))</f>
        <v/>
      </c>
      <c r="N270" s="8">
        <f>IF(ISNA(MATCH(257,Engine!$C$2:$C$622,0)),"",INDEX('Compliance Database'!$N$2:$N$622,MATCH(257,Engine!$C$2:$C$622,0)))</f>
        <v/>
      </c>
      <c r="O270" s="8">
        <f>IF(ISNA(MATCH(257,Engine!$C$2:$C$622,0)),"",INDEX('Compliance Database'!$O$2:$O$622,MATCH(257,Engine!$C$2:$C$622,0)))</f>
        <v/>
      </c>
    </row>
    <row r="271">
      <c r="A271">
        <f>IF(ISNA(MATCH(258,Engine!$C$2:$C$622,0)),"",INDEX('Compliance Database'!$A$2:$A$622,MATCH(258,Engine!$C$2:$C$622,0)))</f>
        <v/>
      </c>
      <c r="B271">
        <f>IF(ISNA(MATCH(258,Engine!$C$2:$C$622,0)),"",INDEX('Compliance Database'!$B$2:$B$622,MATCH(258,Engine!$C$2:$C$622,0)))</f>
        <v/>
      </c>
      <c r="C271">
        <f>IF(ISNA(MATCH(258,Engine!$C$2:$C$622,0)),"",INDEX('Compliance Database'!$C$2:$C$622,MATCH(258,Engine!$C$2:$C$622,0)))</f>
        <v/>
      </c>
      <c r="D271" s="8">
        <f>IF(ISNA(MATCH(258,Engine!$C$2:$C$622,0)),"",INDEX('Compliance Database'!$D$2:$D$622,MATCH(258,Engine!$C$2:$C$622,0)))</f>
        <v/>
      </c>
      <c r="E271">
        <f>IF(ISNA(MATCH(258,Engine!$C$2:$C$622,0)),"",INDEX('Compliance Database'!$E$2:$E$622,MATCH(258,Engine!$C$2:$C$622,0)))</f>
        <v/>
      </c>
      <c r="F271">
        <f>IF(ISNA(MATCH(258,Engine!$C$2:$C$622,0)),"",INDEX('Compliance Database'!$F$2:$F$622,MATCH(258,Engine!$C$2:$C$622,0)))</f>
        <v/>
      </c>
      <c r="G271">
        <f>IF(ISNA(MATCH(258,Engine!$C$2:$C$622,0)),"",INDEX('Compliance Database'!$G$2:$G$622,MATCH(258,Engine!$C$2:$C$622,0)))</f>
        <v/>
      </c>
      <c r="H271">
        <f>IF(ISNA(MATCH(258,Engine!$C$2:$C$622,0)),"",INDEX('Compliance Database'!$H$2:$H$622,MATCH(258,Engine!$C$2:$C$622,0)))</f>
        <v/>
      </c>
      <c r="I271" s="8">
        <f>IF(ISNA(MATCH(258,Engine!$C$2:$C$622,0)),"",INDEX('Compliance Database'!$I$2:$I$622,MATCH(258,Engine!$C$2:$C$622,0)))</f>
        <v/>
      </c>
      <c r="J271" s="8">
        <f>IF(ISNA(MATCH(258,Engine!$C$2:$C$622,0)),"",INDEX('Compliance Database'!$J$2:$J$622,MATCH(258,Engine!$C$2:$C$622,0)))</f>
        <v/>
      </c>
      <c r="K271">
        <f>IF(ISNA(MATCH(258,Engine!$C$2:$C$622,0)),"",INDEX('Compliance Database'!$K$2:$K$622,MATCH(258,Engine!$C$2:$C$622,0)))</f>
        <v/>
      </c>
      <c r="L271" s="8">
        <f>IF(ISNA(MATCH(258,Engine!$C$2:$C$622,0)),"",INDEX('Compliance Database'!$L$2:$L$622,MATCH(258,Engine!$C$2:$C$622,0)))</f>
        <v/>
      </c>
      <c r="M271" s="8">
        <f>IF(ISNA(MATCH(258,Engine!$C$2:$C$622,0)),"",INDEX('Compliance Database'!$M$2:$M$622,MATCH(258,Engine!$C$2:$C$622,0)))</f>
        <v/>
      </c>
      <c r="N271" s="8">
        <f>IF(ISNA(MATCH(258,Engine!$C$2:$C$622,0)),"",INDEX('Compliance Database'!$N$2:$N$622,MATCH(258,Engine!$C$2:$C$622,0)))</f>
        <v/>
      </c>
      <c r="O271" s="8">
        <f>IF(ISNA(MATCH(258,Engine!$C$2:$C$622,0)),"",INDEX('Compliance Database'!$O$2:$O$622,MATCH(258,Engine!$C$2:$C$622,0)))</f>
        <v/>
      </c>
    </row>
    <row r="272">
      <c r="A272">
        <f>IF(ISNA(MATCH(259,Engine!$C$2:$C$622,0)),"",INDEX('Compliance Database'!$A$2:$A$622,MATCH(259,Engine!$C$2:$C$622,0)))</f>
        <v/>
      </c>
      <c r="B272">
        <f>IF(ISNA(MATCH(259,Engine!$C$2:$C$622,0)),"",INDEX('Compliance Database'!$B$2:$B$622,MATCH(259,Engine!$C$2:$C$622,0)))</f>
        <v/>
      </c>
      <c r="C272">
        <f>IF(ISNA(MATCH(259,Engine!$C$2:$C$622,0)),"",INDEX('Compliance Database'!$C$2:$C$622,MATCH(259,Engine!$C$2:$C$622,0)))</f>
        <v/>
      </c>
      <c r="D272" s="8">
        <f>IF(ISNA(MATCH(259,Engine!$C$2:$C$622,0)),"",INDEX('Compliance Database'!$D$2:$D$622,MATCH(259,Engine!$C$2:$C$622,0)))</f>
        <v/>
      </c>
      <c r="E272">
        <f>IF(ISNA(MATCH(259,Engine!$C$2:$C$622,0)),"",INDEX('Compliance Database'!$E$2:$E$622,MATCH(259,Engine!$C$2:$C$622,0)))</f>
        <v/>
      </c>
      <c r="F272">
        <f>IF(ISNA(MATCH(259,Engine!$C$2:$C$622,0)),"",INDEX('Compliance Database'!$F$2:$F$622,MATCH(259,Engine!$C$2:$C$622,0)))</f>
        <v/>
      </c>
      <c r="G272">
        <f>IF(ISNA(MATCH(259,Engine!$C$2:$C$622,0)),"",INDEX('Compliance Database'!$G$2:$G$622,MATCH(259,Engine!$C$2:$C$622,0)))</f>
        <v/>
      </c>
      <c r="H272">
        <f>IF(ISNA(MATCH(259,Engine!$C$2:$C$622,0)),"",INDEX('Compliance Database'!$H$2:$H$622,MATCH(259,Engine!$C$2:$C$622,0)))</f>
        <v/>
      </c>
      <c r="I272" s="8">
        <f>IF(ISNA(MATCH(259,Engine!$C$2:$C$622,0)),"",INDEX('Compliance Database'!$I$2:$I$622,MATCH(259,Engine!$C$2:$C$622,0)))</f>
        <v/>
      </c>
      <c r="J272" s="8">
        <f>IF(ISNA(MATCH(259,Engine!$C$2:$C$622,0)),"",INDEX('Compliance Database'!$J$2:$J$622,MATCH(259,Engine!$C$2:$C$622,0)))</f>
        <v/>
      </c>
      <c r="K272">
        <f>IF(ISNA(MATCH(259,Engine!$C$2:$C$622,0)),"",INDEX('Compliance Database'!$K$2:$K$622,MATCH(259,Engine!$C$2:$C$622,0)))</f>
        <v/>
      </c>
      <c r="L272" s="8">
        <f>IF(ISNA(MATCH(259,Engine!$C$2:$C$622,0)),"",INDEX('Compliance Database'!$L$2:$L$622,MATCH(259,Engine!$C$2:$C$622,0)))</f>
        <v/>
      </c>
      <c r="M272" s="8">
        <f>IF(ISNA(MATCH(259,Engine!$C$2:$C$622,0)),"",INDEX('Compliance Database'!$M$2:$M$622,MATCH(259,Engine!$C$2:$C$622,0)))</f>
        <v/>
      </c>
      <c r="N272" s="8">
        <f>IF(ISNA(MATCH(259,Engine!$C$2:$C$622,0)),"",INDEX('Compliance Database'!$N$2:$N$622,MATCH(259,Engine!$C$2:$C$622,0)))</f>
        <v/>
      </c>
      <c r="O272" s="8">
        <f>IF(ISNA(MATCH(259,Engine!$C$2:$C$622,0)),"",INDEX('Compliance Database'!$O$2:$O$622,MATCH(259,Engine!$C$2:$C$622,0)))</f>
        <v/>
      </c>
    </row>
    <row r="273">
      <c r="A273">
        <f>IF(ISNA(MATCH(260,Engine!$C$2:$C$622,0)),"",INDEX('Compliance Database'!$A$2:$A$622,MATCH(260,Engine!$C$2:$C$622,0)))</f>
        <v/>
      </c>
      <c r="B273">
        <f>IF(ISNA(MATCH(260,Engine!$C$2:$C$622,0)),"",INDEX('Compliance Database'!$B$2:$B$622,MATCH(260,Engine!$C$2:$C$622,0)))</f>
        <v/>
      </c>
      <c r="C273">
        <f>IF(ISNA(MATCH(260,Engine!$C$2:$C$622,0)),"",INDEX('Compliance Database'!$C$2:$C$622,MATCH(260,Engine!$C$2:$C$622,0)))</f>
        <v/>
      </c>
      <c r="D273" s="8">
        <f>IF(ISNA(MATCH(260,Engine!$C$2:$C$622,0)),"",INDEX('Compliance Database'!$D$2:$D$622,MATCH(260,Engine!$C$2:$C$622,0)))</f>
        <v/>
      </c>
      <c r="E273">
        <f>IF(ISNA(MATCH(260,Engine!$C$2:$C$622,0)),"",INDEX('Compliance Database'!$E$2:$E$622,MATCH(260,Engine!$C$2:$C$622,0)))</f>
        <v/>
      </c>
      <c r="F273">
        <f>IF(ISNA(MATCH(260,Engine!$C$2:$C$622,0)),"",INDEX('Compliance Database'!$F$2:$F$622,MATCH(260,Engine!$C$2:$C$622,0)))</f>
        <v/>
      </c>
      <c r="G273">
        <f>IF(ISNA(MATCH(260,Engine!$C$2:$C$622,0)),"",INDEX('Compliance Database'!$G$2:$G$622,MATCH(260,Engine!$C$2:$C$622,0)))</f>
        <v/>
      </c>
      <c r="H273">
        <f>IF(ISNA(MATCH(260,Engine!$C$2:$C$622,0)),"",INDEX('Compliance Database'!$H$2:$H$622,MATCH(260,Engine!$C$2:$C$622,0)))</f>
        <v/>
      </c>
      <c r="I273" s="8">
        <f>IF(ISNA(MATCH(260,Engine!$C$2:$C$622,0)),"",INDEX('Compliance Database'!$I$2:$I$622,MATCH(260,Engine!$C$2:$C$622,0)))</f>
        <v/>
      </c>
      <c r="J273" s="8">
        <f>IF(ISNA(MATCH(260,Engine!$C$2:$C$622,0)),"",INDEX('Compliance Database'!$J$2:$J$622,MATCH(260,Engine!$C$2:$C$622,0)))</f>
        <v/>
      </c>
      <c r="K273">
        <f>IF(ISNA(MATCH(260,Engine!$C$2:$C$622,0)),"",INDEX('Compliance Database'!$K$2:$K$622,MATCH(260,Engine!$C$2:$C$622,0)))</f>
        <v/>
      </c>
      <c r="L273" s="8">
        <f>IF(ISNA(MATCH(260,Engine!$C$2:$C$622,0)),"",INDEX('Compliance Database'!$L$2:$L$622,MATCH(260,Engine!$C$2:$C$622,0)))</f>
        <v/>
      </c>
      <c r="M273" s="8">
        <f>IF(ISNA(MATCH(260,Engine!$C$2:$C$622,0)),"",INDEX('Compliance Database'!$M$2:$M$622,MATCH(260,Engine!$C$2:$C$622,0)))</f>
        <v/>
      </c>
      <c r="N273" s="8">
        <f>IF(ISNA(MATCH(260,Engine!$C$2:$C$622,0)),"",INDEX('Compliance Database'!$N$2:$N$622,MATCH(260,Engine!$C$2:$C$622,0)))</f>
        <v/>
      </c>
      <c r="O273" s="8">
        <f>IF(ISNA(MATCH(260,Engine!$C$2:$C$622,0)),"",INDEX('Compliance Database'!$O$2:$O$622,MATCH(260,Engine!$C$2:$C$622,0)))</f>
        <v/>
      </c>
    </row>
    <row r="274">
      <c r="A274">
        <f>IF(ISNA(MATCH(261,Engine!$C$2:$C$622,0)),"",INDEX('Compliance Database'!$A$2:$A$622,MATCH(261,Engine!$C$2:$C$622,0)))</f>
        <v/>
      </c>
      <c r="B274">
        <f>IF(ISNA(MATCH(261,Engine!$C$2:$C$622,0)),"",INDEX('Compliance Database'!$B$2:$B$622,MATCH(261,Engine!$C$2:$C$622,0)))</f>
        <v/>
      </c>
      <c r="C274">
        <f>IF(ISNA(MATCH(261,Engine!$C$2:$C$622,0)),"",INDEX('Compliance Database'!$C$2:$C$622,MATCH(261,Engine!$C$2:$C$622,0)))</f>
        <v/>
      </c>
      <c r="D274" s="8">
        <f>IF(ISNA(MATCH(261,Engine!$C$2:$C$622,0)),"",INDEX('Compliance Database'!$D$2:$D$622,MATCH(261,Engine!$C$2:$C$622,0)))</f>
        <v/>
      </c>
      <c r="E274">
        <f>IF(ISNA(MATCH(261,Engine!$C$2:$C$622,0)),"",INDEX('Compliance Database'!$E$2:$E$622,MATCH(261,Engine!$C$2:$C$622,0)))</f>
        <v/>
      </c>
      <c r="F274">
        <f>IF(ISNA(MATCH(261,Engine!$C$2:$C$622,0)),"",INDEX('Compliance Database'!$F$2:$F$622,MATCH(261,Engine!$C$2:$C$622,0)))</f>
        <v/>
      </c>
      <c r="G274">
        <f>IF(ISNA(MATCH(261,Engine!$C$2:$C$622,0)),"",INDEX('Compliance Database'!$G$2:$G$622,MATCH(261,Engine!$C$2:$C$622,0)))</f>
        <v/>
      </c>
      <c r="H274">
        <f>IF(ISNA(MATCH(261,Engine!$C$2:$C$622,0)),"",INDEX('Compliance Database'!$H$2:$H$622,MATCH(261,Engine!$C$2:$C$622,0)))</f>
        <v/>
      </c>
      <c r="I274" s="8">
        <f>IF(ISNA(MATCH(261,Engine!$C$2:$C$622,0)),"",INDEX('Compliance Database'!$I$2:$I$622,MATCH(261,Engine!$C$2:$C$622,0)))</f>
        <v/>
      </c>
      <c r="J274" s="8">
        <f>IF(ISNA(MATCH(261,Engine!$C$2:$C$622,0)),"",INDEX('Compliance Database'!$J$2:$J$622,MATCH(261,Engine!$C$2:$C$622,0)))</f>
        <v/>
      </c>
      <c r="K274">
        <f>IF(ISNA(MATCH(261,Engine!$C$2:$C$622,0)),"",INDEX('Compliance Database'!$K$2:$K$622,MATCH(261,Engine!$C$2:$C$622,0)))</f>
        <v/>
      </c>
      <c r="L274" s="8">
        <f>IF(ISNA(MATCH(261,Engine!$C$2:$C$622,0)),"",INDEX('Compliance Database'!$L$2:$L$622,MATCH(261,Engine!$C$2:$C$622,0)))</f>
        <v/>
      </c>
      <c r="M274" s="8">
        <f>IF(ISNA(MATCH(261,Engine!$C$2:$C$622,0)),"",INDEX('Compliance Database'!$M$2:$M$622,MATCH(261,Engine!$C$2:$C$622,0)))</f>
        <v/>
      </c>
      <c r="N274" s="8">
        <f>IF(ISNA(MATCH(261,Engine!$C$2:$C$622,0)),"",INDEX('Compliance Database'!$N$2:$N$622,MATCH(261,Engine!$C$2:$C$622,0)))</f>
        <v/>
      </c>
      <c r="O274" s="8">
        <f>IF(ISNA(MATCH(261,Engine!$C$2:$C$622,0)),"",INDEX('Compliance Database'!$O$2:$O$622,MATCH(261,Engine!$C$2:$C$622,0)))</f>
        <v/>
      </c>
    </row>
    <row r="275">
      <c r="A275">
        <f>IF(ISNA(MATCH(262,Engine!$C$2:$C$622,0)),"",INDEX('Compliance Database'!$A$2:$A$622,MATCH(262,Engine!$C$2:$C$622,0)))</f>
        <v/>
      </c>
      <c r="B275">
        <f>IF(ISNA(MATCH(262,Engine!$C$2:$C$622,0)),"",INDEX('Compliance Database'!$B$2:$B$622,MATCH(262,Engine!$C$2:$C$622,0)))</f>
        <v/>
      </c>
      <c r="C275">
        <f>IF(ISNA(MATCH(262,Engine!$C$2:$C$622,0)),"",INDEX('Compliance Database'!$C$2:$C$622,MATCH(262,Engine!$C$2:$C$622,0)))</f>
        <v/>
      </c>
      <c r="D275" s="8">
        <f>IF(ISNA(MATCH(262,Engine!$C$2:$C$622,0)),"",INDEX('Compliance Database'!$D$2:$D$622,MATCH(262,Engine!$C$2:$C$622,0)))</f>
        <v/>
      </c>
      <c r="E275">
        <f>IF(ISNA(MATCH(262,Engine!$C$2:$C$622,0)),"",INDEX('Compliance Database'!$E$2:$E$622,MATCH(262,Engine!$C$2:$C$622,0)))</f>
        <v/>
      </c>
      <c r="F275">
        <f>IF(ISNA(MATCH(262,Engine!$C$2:$C$622,0)),"",INDEX('Compliance Database'!$F$2:$F$622,MATCH(262,Engine!$C$2:$C$622,0)))</f>
        <v/>
      </c>
      <c r="G275">
        <f>IF(ISNA(MATCH(262,Engine!$C$2:$C$622,0)),"",INDEX('Compliance Database'!$G$2:$G$622,MATCH(262,Engine!$C$2:$C$622,0)))</f>
        <v/>
      </c>
      <c r="H275">
        <f>IF(ISNA(MATCH(262,Engine!$C$2:$C$622,0)),"",INDEX('Compliance Database'!$H$2:$H$622,MATCH(262,Engine!$C$2:$C$622,0)))</f>
        <v/>
      </c>
      <c r="I275" s="8">
        <f>IF(ISNA(MATCH(262,Engine!$C$2:$C$622,0)),"",INDEX('Compliance Database'!$I$2:$I$622,MATCH(262,Engine!$C$2:$C$622,0)))</f>
        <v/>
      </c>
      <c r="J275" s="8">
        <f>IF(ISNA(MATCH(262,Engine!$C$2:$C$622,0)),"",INDEX('Compliance Database'!$J$2:$J$622,MATCH(262,Engine!$C$2:$C$622,0)))</f>
        <v/>
      </c>
      <c r="K275">
        <f>IF(ISNA(MATCH(262,Engine!$C$2:$C$622,0)),"",INDEX('Compliance Database'!$K$2:$K$622,MATCH(262,Engine!$C$2:$C$622,0)))</f>
        <v/>
      </c>
      <c r="L275" s="8">
        <f>IF(ISNA(MATCH(262,Engine!$C$2:$C$622,0)),"",INDEX('Compliance Database'!$L$2:$L$622,MATCH(262,Engine!$C$2:$C$622,0)))</f>
        <v/>
      </c>
      <c r="M275" s="8">
        <f>IF(ISNA(MATCH(262,Engine!$C$2:$C$622,0)),"",INDEX('Compliance Database'!$M$2:$M$622,MATCH(262,Engine!$C$2:$C$622,0)))</f>
        <v/>
      </c>
      <c r="N275" s="8">
        <f>IF(ISNA(MATCH(262,Engine!$C$2:$C$622,0)),"",INDEX('Compliance Database'!$N$2:$N$622,MATCH(262,Engine!$C$2:$C$622,0)))</f>
        <v/>
      </c>
      <c r="O275" s="8">
        <f>IF(ISNA(MATCH(262,Engine!$C$2:$C$622,0)),"",INDEX('Compliance Database'!$O$2:$O$622,MATCH(262,Engine!$C$2:$C$622,0)))</f>
        <v/>
      </c>
    </row>
    <row r="276">
      <c r="A276">
        <f>IF(ISNA(MATCH(263,Engine!$C$2:$C$622,0)),"",INDEX('Compliance Database'!$A$2:$A$622,MATCH(263,Engine!$C$2:$C$622,0)))</f>
        <v/>
      </c>
      <c r="B276">
        <f>IF(ISNA(MATCH(263,Engine!$C$2:$C$622,0)),"",INDEX('Compliance Database'!$B$2:$B$622,MATCH(263,Engine!$C$2:$C$622,0)))</f>
        <v/>
      </c>
      <c r="C276">
        <f>IF(ISNA(MATCH(263,Engine!$C$2:$C$622,0)),"",INDEX('Compliance Database'!$C$2:$C$622,MATCH(263,Engine!$C$2:$C$622,0)))</f>
        <v/>
      </c>
      <c r="D276" s="8">
        <f>IF(ISNA(MATCH(263,Engine!$C$2:$C$622,0)),"",INDEX('Compliance Database'!$D$2:$D$622,MATCH(263,Engine!$C$2:$C$622,0)))</f>
        <v/>
      </c>
      <c r="E276">
        <f>IF(ISNA(MATCH(263,Engine!$C$2:$C$622,0)),"",INDEX('Compliance Database'!$E$2:$E$622,MATCH(263,Engine!$C$2:$C$622,0)))</f>
        <v/>
      </c>
      <c r="F276">
        <f>IF(ISNA(MATCH(263,Engine!$C$2:$C$622,0)),"",INDEX('Compliance Database'!$F$2:$F$622,MATCH(263,Engine!$C$2:$C$622,0)))</f>
        <v/>
      </c>
      <c r="G276">
        <f>IF(ISNA(MATCH(263,Engine!$C$2:$C$622,0)),"",INDEX('Compliance Database'!$G$2:$G$622,MATCH(263,Engine!$C$2:$C$622,0)))</f>
        <v/>
      </c>
      <c r="H276">
        <f>IF(ISNA(MATCH(263,Engine!$C$2:$C$622,0)),"",INDEX('Compliance Database'!$H$2:$H$622,MATCH(263,Engine!$C$2:$C$622,0)))</f>
        <v/>
      </c>
      <c r="I276" s="8">
        <f>IF(ISNA(MATCH(263,Engine!$C$2:$C$622,0)),"",INDEX('Compliance Database'!$I$2:$I$622,MATCH(263,Engine!$C$2:$C$622,0)))</f>
        <v/>
      </c>
      <c r="J276" s="8">
        <f>IF(ISNA(MATCH(263,Engine!$C$2:$C$622,0)),"",INDEX('Compliance Database'!$J$2:$J$622,MATCH(263,Engine!$C$2:$C$622,0)))</f>
        <v/>
      </c>
      <c r="K276">
        <f>IF(ISNA(MATCH(263,Engine!$C$2:$C$622,0)),"",INDEX('Compliance Database'!$K$2:$K$622,MATCH(263,Engine!$C$2:$C$622,0)))</f>
        <v/>
      </c>
      <c r="L276" s="8">
        <f>IF(ISNA(MATCH(263,Engine!$C$2:$C$622,0)),"",INDEX('Compliance Database'!$L$2:$L$622,MATCH(263,Engine!$C$2:$C$622,0)))</f>
        <v/>
      </c>
      <c r="M276" s="8">
        <f>IF(ISNA(MATCH(263,Engine!$C$2:$C$622,0)),"",INDEX('Compliance Database'!$M$2:$M$622,MATCH(263,Engine!$C$2:$C$622,0)))</f>
        <v/>
      </c>
      <c r="N276" s="8">
        <f>IF(ISNA(MATCH(263,Engine!$C$2:$C$622,0)),"",INDEX('Compliance Database'!$N$2:$N$622,MATCH(263,Engine!$C$2:$C$622,0)))</f>
        <v/>
      </c>
      <c r="O276" s="8">
        <f>IF(ISNA(MATCH(263,Engine!$C$2:$C$622,0)),"",INDEX('Compliance Database'!$O$2:$O$622,MATCH(263,Engine!$C$2:$C$622,0)))</f>
        <v/>
      </c>
    </row>
    <row r="277">
      <c r="A277">
        <f>IF(ISNA(MATCH(264,Engine!$C$2:$C$622,0)),"",INDEX('Compliance Database'!$A$2:$A$622,MATCH(264,Engine!$C$2:$C$622,0)))</f>
        <v/>
      </c>
      <c r="B277">
        <f>IF(ISNA(MATCH(264,Engine!$C$2:$C$622,0)),"",INDEX('Compliance Database'!$B$2:$B$622,MATCH(264,Engine!$C$2:$C$622,0)))</f>
        <v/>
      </c>
      <c r="C277">
        <f>IF(ISNA(MATCH(264,Engine!$C$2:$C$622,0)),"",INDEX('Compliance Database'!$C$2:$C$622,MATCH(264,Engine!$C$2:$C$622,0)))</f>
        <v/>
      </c>
      <c r="D277" s="8">
        <f>IF(ISNA(MATCH(264,Engine!$C$2:$C$622,0)),"",INDEX('Compliance Database'!$D$2:$D$622,MATCH(264,Engine!$C$2:$C$622,0)))</f>
        <v/>
      </c>
      <c r="E277">
        <f>IF(ISNA(MATCH(264,Engine!$C$2:$C$622,0)),"",INDEX('Compliance Database'!$E$2:$E$622,MATCH(264,Engine!$C$2:$C$622,0)))</f>
        <v/>
      </c>
      <c r="F277">
        <f>IF(ISNA(MATCH(264,Engine!$C$2:$C$622,0)),"",INDEX('Compliance Database'!$F$2:$F$622,MATCH(264,Engine!$C$2:$C$622,0)))</f>
        <v/>
      </c>
      <c r="G277">
        <f>IF(ISNA(MATCH(264,Engine!$C$2:$C$622,0)),"",INDEX('Compliance Database'!$G$2:$G$622,MATCH(264,Engine!$C$2:$C$622,0)))</f>
        <v/>
      </c>
      <c r="H277">
        <f>IF(ISNA(MATCH(264,Engine!$C$2:$C$622,0)),"",INDEX('Compliance Database'!$H$2:$H$622,MATCH(264,Engine!$C$2:$C$622,0)))</f>
        <v/>
      </c>
      <c r="I277" s="8">
        <f>IF(ISNA(MATCH(264,Engine!$C$2:$C$622,0)),"",INDEX('Compliance Database'!$I$2:$I$622,MATCH(264,Engine!$C$2:$C$622,0)))</f>
        <v/>
      </c>
      <c r="J277" s="8">
        <f>IF(ISNA(MATCH(264,Engine!$C$2:$C$622,0)),"",INDEX('Compliance Database'!$J$2:$J$622,MATCH(264,Engine!$C$2:$C$622,0)))</f>
        <v/>
      </c>
      <c r="K277">
        <f>IF(ISNA(MATCH(264,Engine!$C$2:$C$622,0)),"",INDEX('Compliance Database'!$K$2:$K$622,MATCH(264,Engine!$C$2:$C$622,0)))</f>
        <v/>
      </c>
      <c r="L277" s="8">
        <f>IF(ISNA(MATCH(264,Engine!$C$2:$C$622,0)),"",INDEX('Compliance Database'!$L$2:$L$622,MATCH(264,Engine!$C$2:$C$622,0)))</f>
        <v/>
      </c>
      <c r="M277" s="8">
        <f>IF(ISNA(MATCH(264,Engine!$C$2:$C$622,0)),"",INDEX('Compliance Database'!$M$2:$M$622,MATCH(264,Engine!$C$2:$C$622,0)))</f>
        <v/>
      </c>
      <c r="N277" s="8">
        <f>IF(ISNA(MATCH(264,Engine!$C$2:$C$622,0)),"",INDEX('Compliance Database'!$N$2:$N$622,MATCH(264,Engine!$C$2:$C$622,0)))</f>
        <v/>
      </c>
      <c r="O277" s="8">
        <f>IF(ISNA(MATCH(264,Engine!$C$2:$C$622,0)),"",INDEX('Compliance Database'!$O$2:$O$622,MATCH(264,Engine!$C$2:$C$622,0)))</f>
        <v/>
      </c>
    </row>
    <row r="278">
      <c r="A278">
        <f>IF(ISNA(MATCH(265,Engine!$C$2:$C$622,0)),"",INDEX('Compliance Database'!$A$2:$A$622,MATCH(265,Engine!$C$2:$C$622,0)))</f>
        <v/>
      </c>
      <c r="B278">
        <f>IF(ISNA(MATCH(265,Engine!$C$2:$C$622,0)),"",INDEX('Compliance Database'!$B$2:$B$622,MATCH(265,Engine!$C$2:$C$622,0)))</f>
        <v/>
      </c>
      <c r="C278">
        <f>IF(ISNA(MATCH(265,Engine!$C$2:$C$622,0)),"",INDEX('Compliance Database'!$C$2:$C$622,MATCH(265,Engine!$C$2:$C$622,0)))</f>
        <v/>
      </c>
      <c r="D278" s="8">
        <f>IF(ISNA(MATCH(265,Engine!$C$2:$C$622,0)),"",INDEX('Compliance Database'!$D$2:$D$622,MATCH(265,Engine!$C$2:$C$622,0)))</f>
        <v/>
      </c>
      <c r="E278">
        <f>IF(ISNA(MATCH(265,Engine!$C$2:$C$622,0)),"",INDEX('Compliance Database'!$E$2:$E$622,MATCH(265,Engine!$C$2:$C$622,0)))</f>
        <v/>
      </c>
      <c r="F278">
        <f>IF(ISNA(MATCH(265,Engine!$C$2:$C$622,0)),"",INDEX('Compliance Database'!$F$2:$F$622,MATCH(265,Engine!$C$2:$C$622,0)))</f>
        <v/>
      </c>
      <c r="G278">
        <f>IF(ISNA(MATCH(265,Engine!$C$2:$C$622,0)),"",INDEX('Compliance Database'!$G$2:$G$622,MATCH(265,Engine!$C$2:$C$622,0)))</f>
        <v/>
      </c>
      <c r="H278">
        <f>IF(ISNA(MATCH(265,Engine!$C$2:$C$622,0)),"",INDEX('Compliance Database'!$H$2:$H$622,MATCH(265,Engine!$C$2:$C$622,0)))</f>
        <v/>
      </c>
      <c r="I278" s="8">
        <f>IF(ISNA(MATCH(265,Engine!$C$2:$C$622,0)),"",INDEX('Compliance Database'!$I$2:$I$622,MATCH(265,Engine!$C$2:$C$622,0)))</f>
        <v/>
      </c>
      <c r="J278" s="8">
        <f>IF(ISNA(MATCH(265,Engine!$C$2:$C$622,0)),"",INDEX('Compliance Database'!$J$2:$J$622,MATCH(265,Engine!$C$2:$C$622,0)))</f>
        <v/>
      </c>
      <c r="K278">
        <f>IF(ISNA(MATCH(265,Engine!$C$2:$C$622,0)),"",INDEX('Compliance Database'!$K$2:$K$622,MATCH(265,Engine!$C$2:$C$622,0)))</f>
        <v/>
      </c>
      <c r="L278" s="8">
        <f>IF(ISNA(MATCH(265,Engine!$C$2:$C$622,0)),"",INDEX('Compliance Database'!$L$2:$L$622,MATCH(265,Engine!$C$2:$C$622,0)))</f>
        <v/>
      </c>
      <c r="M278" s="8">
        <f>IF(ISNA(MATCH(265,Engine!$C$2:$C$622,0)),"",INDEX('Compliance Database'!$M$2:$M$622,MATCH(265,Engine!$C$2:$C$622,0)))</f>
        <v/>
      </c>
      <c r="N278" s="8">
        <f>IF(ISNA(MATCH(265,Engine!$C$2:$C$622,0)),"",INDEX('Compliance Database'!$N$2:$N$622,MATCH(265,Engine!$C$2:$C$622,0)))</f>
        <v/>
      </c>
      <c r="O278" s="8">
        <f>IF(ISNA(MATCH(265,Engine!$C$2:$C$622,0)),"",INDEX('Compliance Database'!$O$2:$O$622,MATCH(265,Engine!$C$2:$C$622,0)))</f>
        <v/>
      </c>
    </row>
    <row r="279">
      <c r="A279">
        <f>IF(ISNA(MATCH(266,Engine!$C$2:$C$622,0)),"",INDEX('Compliance Database'!$A$2:$A$622,MATCH(266,Engine!$C$2:$C$622,0)))</f>
        <v/>
      </c>
      <c r="B279">
        <f>IF(ISNA(MATCH(266,Engine!$C$2:$C$622,0)),"",INDEX('Compliance Database'!$B$2:$B$622,MATCH(266,Engine!$C$2:$C$622,0)))</f>
        <v/>
      </c>
      <c r="C279">
        <f>IF(ISNA(MATCH(266,Engine!$C$2:$C$622,0)),"",INDEX('Compliance Database'!$C$2:$C$622,MATCH(266,Engine!$C$2:$C$622,0)))</f>
        <v/>
      </c>
      <c r="D279" s="8">
        <f>IF(ISNA(MATCH(266,Engine!$C$2:$C$622,0)),"",INDEX('Compliance Database'!$D$2:$D$622,MATCH(266,Engine!$C$2:$C$622,0)))</f>
        <v/>
      </c>
      <c r="E279">
        <f>IF(ISNA(MATCH(266,Engine!$C$2:$C$622,0)),"",INDEX('Compliance Database'!$E$2:$E$622,MATCH(266,Engine!$C$2:$C$622,0)))</f>
        <v/>
      </c>
      <c r="F279">
        <f>IF(ISNA(MATCH(266,Engine!$C$2:$C$622,0)),"",INDEX('Compliance Database'!$F$2:$F$622,MATCH(266,Engine!$C$2:$C$622,0)))</f>
        <v/>
      </c>
      <c r="G279">
        <f>IF(ISNA(MATCH(266,Engine!$C$2:$C$622,0)),"",INDEX('Compliance Database'!$G$2:$G$622,MATCH(266,Engine!$C$2:$C$622,0)))</f>
        <v/>
      </c>
      <c r="H279">
        <f>IF(ISNA(MATCH(266,Engine!$C$2:$C$622,0)),"",INDEX('Compliance Database'!$H$2:$H$622,MATCH(266,Engine!$C$2:$C$622,0)))</f>
        <v/>
      </c>
      <c r="I279" s="8">
        <f>IF(ISNA(MATCH(266,Engine!$C$2:$C$622,0)),"",INDEX('Compliance Database'!$I$2:$I$622,MATCH(266,Engine!$C$2:$C$622,0)))</f>
        <v/>
      </c>
      <c r="J279" s="8">
        <f>IF(ISNA(MATCH(266,Engine!$C$2:$C$622,0)),"",INDEX('Compliance Database'!$J$2:$J$622,MATCH(266,Engine!$C$2:$C$622,0)))</f>
        <v/>
      </c>
      <c r="K279">
        <f>IF(ISNA(MATCH(266,Engine!$C$2:$C$622,0)),"",INDEX('Compliance Database'!$K$2:$K$622,MATCH(266,Engine!$C$2:$C$622,0)))</f>
        <v/>
      </c>
      <c r="L279" s="8">
        <f>IF(ISNA(MATCH(266,Engine!$C$2:$C$622,0)),"",INDEX('Compliance Database'!$L$2:$L$622,MATCH(266,Engine!$C$2:$C$622,0)))</f>
        <v/>
      </c>
      <c r="M279" s="8">
        <f>IF(ISNA(MATCH(266,Engine!$C$2:$C$622,0)),"",INDEX('Compliance Database'!$M$2:$M$622,MATCH(266,Engine!$C$2:$C$622,0)))</f>
        <v/>
      </c>
      <c r="N279" s="8">
        <f>IF(ISNA(MATCH(266,Engine!$C$2:$C$622,0)),"",INDEX('Compliance Database'!$N$2:$N$622,MATCH(266,Engine!$C$2:$C$622,0)))</f>
        <v/>
      </c>
      <c r="O279" s="8">
        <f>IF(ISNA(MATCH(266,Engine!$C$2:$C$622,0)),"",INDEX('Compliance Database'!$O$2:$O$622,MATCH(266,Engine!$C$2:$C$622,0)))</f>
        <v/>
      </c>
    </row>
    <row r="280">
      <c r="A280">
        <f>IF(ISNA(MATCH(267,Engine!$C$2:$C$622,0)),"",INDEX('Compliance Database'!$A$2:$A$622,MATCH(267,Engine!$C$2:$C$622,0)))</f>
        <v/>
      </c>
      <c r="B280">
        <f>IF(ISNA(MATCH(267,Engine!$C$2:$C$622,0)),"",INDEX('Compliance Database'!$B$2:$B$622,MATCH(267,Engine!$C$2:$C$622,0)))</f>
        <v/>
      </c>
      <c r="C280">
        <f>IF(ISNA(MATCH(267,Engine!$C$2:$C$622,0)),"",INDEX('Compliance Database'!$C$2:$C$622,MATCH(267,Engine!$C$2:$C$622,0)))</f>
        <v/>
      </c>
      <c r="D280" s="8">
        <f>IF(ISNA(MATCH(267,Engine!$C$2:$C$622,0)),"",INDEX('Compliance Database'!$D$2:$D$622,MATCH(267,Engine!$C$2:$C$622,0)))</f>
        <v/>
      </c>
      <c r="E280">
        <f>IF(ISNA(MATCH(267,Engine!$C$2:$C$622,0)),"",INDEX('Compliance Database'!$E$2:$E$622,MATCH(267,Engine!$C$2:$C$622,0)))</f>
        <v/>
      </c>
      <c r="F280">
        <f>IF(ISNA(MATCH(267,Engine!$C$2:$C$622,0)),"",INDEX('Compliance Database'!$F$2:$F$622,MATCH(267,Engine!$C$2:$C$622,0)))</f>
        <v/>
      </c>
      <c r="G280">
        <f>IF(ISNA(MATCH(267,Engine!$C$2:$C$622,0)),"",INDEX('Compliance Database'!$G$2:$G$622,MATCH(267,Engine!$C$2:$C$622,0)))</f>
        <v/>
      </c>
      <c r="H280">
        <f>IF(ISNA(MATCH(267,Engine!$C$2:$C$622,0)),"",INDEX('Compliance Database'!$H$2:$H$622,MATCH(267,Engine!$C$2:$C$622,0)))</f>
        <v/>
      </c>
      <c r="I280" s="8">
        <f>IF(ISNA(MATCH(267,Engine!$C$2:$C$622,0)),"",INDEX('Compliance Database'!$I$2:$I$622,MATCH(267,Engine!$C$2:$C$622,0)))</f>
        <v/>
      </c>
      <c r="J280" s="8">
        <f>IF(ISNA(MATCH(267,Engine!$C$2:$C$622,0)),"",INDEX('Compliance Database'!$J$2:$J$622,MATCH(267,Engine!$C$2:$C$622,0)))</f>
        <v/>
      </c>
      <c r="K280">
        <f>IF(ISNA(MATCH(267,Engine!$C$2:$C$622,0)),"",INDEX('Compliance Database'!$K$2:$K$622,MATCH(267,Engine!$C$2:$C$622,0)))</f>
        <v/>
      </c>
      <c r="L280" s="8">
        <f>IF(ISNA(MATCH(267,Engine!$C$2:$C$622,0)),"",INDEX('Compliance Database'!$L$2:$L$622,MATCH(267,Engine!$C$2:$C$622,0)))</f>
        <v/>
      </c>
      <c r="M280" s="8">
        <f>IF(ISNA(MATCH(267,Engine!$C$2:$C$622,0)),"",INDEX('Compliance Database'!$M$2:$M$622,MATCH(267,Engine!$C$2:$C$622,0)))</f>
        <v/>
      </c>
      <c r="N280" s="8">
        <f>IF(ISNA(MATCH(267,Engine!$C$2:$C$622,0)),"",INDEX('Compliance Database'!$N$2:$N$622,MATCH(267,Engine!$C$2:$C$622,0)))</f>
        <v/>
      </c>
      <c r="O280" s="8">
        <f>IF(ISNA(MATCH(267,Engine!$C$2:$C$622,0)),"",INDEX('Compliance Database'!$O$2:$O$622,MATCH(267,Engine!$C$2:$C$622,0)))</f>
        <v/>
      </c>
    </row>
    <row r="281">
      <c r="A281">
        <f>IF(ISNA(MATCH(268,Engine!$C$2:$C$622,0)),"",INDEX('Compliance Database'!$A$2:$A$622,MATCH(268,Engine!$C$2:$C$622,0)))</f>
        <v/>
      </c>
      <c r="B281">
        <f>IF(ISNA(MATCH(268,Engine!$C$2:$C$622,0)),"",INDEX('Compliance Database'!$B$2:$B$622,MATCH(268,Engine!$C$2:$C$622,0)))</f>
        <v/>
      </c>
      <c r="C281">
        <f>IF(ISNA(MATCH(268,Engine!$C$2:$C$622,0)),"",INDEX('Compliance Database'!$C$2:$C$622,MATCH(268,Engine!$C$2:$C$622,0)))</f>
        <v/>
      </c>
      <c r="D281" s="8">
        <f>IF(ISNA(MATCH(268,Engine!$C$2:$C$622,0)),"",INDEX('Compliance Database'!$D$2:$D$622,MATCH(268,Engine!$C$2:$C$622,0)))</f>
        <v/>
      </c>
      <c r="E281">
        <f>IF(ISNA(MATCH(268,Engine!$C$2:$C$622,0)),"",INDEX('Compliance Database'!$E$2:$E$622,MATCH(268,Engine!$C$2:$C$622,0)))</f>
        <v/>
      </c>
      <c r="F281">
        <f>IF(ISNA(MATCH(268,Engine!$C$2:$C$622,0)),"",INDEX('Compliance Database'!$F$2:$F$622,MATCH(268,Engine!$C$2:$C$622,0)))</f>
        <v/>
      </c>
      <c r="G281">
        <f>IF(ISNA(MATCH(268,Engine!$C$2:$C$622,0)),"",INDEX('Compliance Database'!$G$2:$G$622,MATCH(268,Engine!$C$2:$C$622,0)))</f>
        <v/>
      </c>
      <c r="H281">
        <f>IF(ISNA(MATCH(268,Engine!$C$2:$C$622,0)),"",INDEX('Compliance Database'!$H$2:$H$622,MATCH(268,Engine!$C$2:$C$622,0)))</f>
        <v/>
      </c>
      <c r="I281" s="8">
        <f>IF(ISNA(MATCH(268,Engine!$C$2:$C$622,0)),"",INDEX('Compliance Database'!$I$2:$I$622,MATCH(268,Engine!$C$2:$C$622,0)))</f>
        <v/>
      </c>
      <c r="J281" s="8">
        <f>IF(ISNA(MATCH(268,Engine!$C$2:$C$622,0)),"",INDEX('Compliance Database'!$J$2:$J$622,MATCH(268,Engine!$C$2:$C$622,0)))</f>
        <v/>
      </c>
      <c r="K281">
        <f>IF(ISNA(MATCH(268,Engine!$C$2:$C$622,0)),"",INDEX('Compliance Database'!$K$2:$K$622,MATCH(268,Engine!$C$2:$C$622,0)))</f>
        <v/>
      </c>
      <c r="L281" s="8">
        <f>IF(ISNA(MATCH(268,Engine!$C$2:$C$622,0)),"",INDEX('Compliance Database'!$L$2:$L$622,MATCH(268,Engine!$C$2:$C$622,0)))</f>
        <v/>
      </c>
      <c r="M281" s="8">
        <f>IF(ISNA(MATCH(268,Engine!$C$2:$C$622,0)),"",INDEX('Compliance Database'!$M$2:$M$622,MATCH(268,Engine!$C$2:$C$622,0)))</f>
        <v/>
      </c>
      <c r="N281" s="8">
        <f>IF(ISNA(MATCH(268,Engine!$C$2:$C$622,0)),"",INDEX('Compliance Database'!$N$2:$N$622,MATCH(268,Engine!$C$2:$C$622,0)))</f>
        <v/>
      </c>
      <c r="O281" s="8">
        <f>IF(ISNA(MATCH(268,Engine!$C$2:$C$622,0)),"",INDEX('Compliance Database'!$O$2:$O$622,MATCH(268,Engine!$C$2:$C$622,0)))</f>
        <v/>
      </c>
    </row>
    <row r="282">
      <c r="A282">
        <f>IF(ISNA(MATCH(269,Engine!$C$2:$C$622,0)),"",INDEX('Compliance Database'!$A$2:$A$622,MATCH(269,Engine!$C$2:$C$622,0)))</f>
        <v/>
      </c>
      <c r="B282">
        <f>IF(ISNA(MATCH(269,Engine!$C$2:$C$622,0)),"",INDEX('Compliance Database'!$B$2:$B$622,MATCH(269,Engine!$C$2:$C$622,0)))</f>
        <v/>
      </c>
      <c r="C282">
        <f>IF(ISNA(MATCH(269,Engine!$C$2:$C$622,0)),"",INDEX('Compliance Database'!$C$2:$C$622,MATCH(269,Engine!$C$2:$C$622,0)))</f>
        <v/>
      </c>
      <c r="D282" s="8">
        <f>IF(ISNA(MATCH(269,Engine!$C$2:$C$622,0)),"",INDEX('Compliance Database'!$D$2:$D$622,MATCH(269,Engine!$C$2:$C$622,0)))</f>
        <v/>
      </c>
      <c r="E282">
        <f>IF(ISNA(MATCH(269,Engine!$C$2:$C$622,0)),"",INDEX('Compliance Database'!$E$2:$E$622,MATCH(269,Engine!$C$2:$C$622,0)))</f>
        <v/>
      </c>
      <c r="F282">
        <f>IF(ISNA(MATCH(269,Engine!$C$2:$C$622,0)),"",INDEX('Compliance Database'!$F$2:$F$622,MATCH(269,Engine!$C$2:$C$622,0)))</f>
        <v/>
      </c>
      <c r="G282">
        <f>IF(ISNA(MATCH(269,Engine!$C$2:$C$622,0)),"",INDEX('Compliance Database'!$G$2:$G$622,MATCH(269,Engine!$C$2:$C$622,0)))</f>
        <v/>
      </c>
      <c r="H282">
        <f>IF(ISNA(MATCH(269,Engine!$C$2:$C$622,0)),"",INDEX('Compliance Database'!$H$2:$H$622,MATCH(269,Engine!$C$2:$C$622,0)))</f>
        <v/>
      </c>
      <c r="I282" s="8">
        <f>IF(ISNA(MATCH(269,Engine!$C$2:$C$622,0)),"",INDEX('Compliance Database'!$I$2:$I$622,MATCH(269,Engine!$C$2:$C$622,0)))</f>
        <v/>
      </c>
      <c r="J282" s="8">
        <f>IF(ISNA(MATCH(269,Engine!$C$2:$C$622,0)),"",INDEX('Compliance Database'!$J$2:$J$622,MATCH(269,Engine!$C$2:$C$622,0)))</f>
        <v/>
      </c>
      <c r="K282">
        <f>IF(ISNA(MATCH(269,Engine!$C$2:$C$622,0)),"",INDEX('Compliance Database'!$K$2:$K$622,MATCH(269,Engine!$C$2:$C$622,0)))</f>
        <v/>
      </c>
      <c r="L282" s="8">
        <f>IF(ISNA(MATCH(269,Engine!$C$2:$C$622,0)),"",INDEX('Compliance Database'!$L$2:$L$622,MATCH(269,Engine!$C$2:$C$622,0)))</f>
        <v/>
      </c>
      <c r="M282" s="8">
        <f>IF(ISNA(MATCH(269,Engine!$C$2:$C$622,0)),"",INDEX('Compliance Database'!$M$2:$M$622,MATCH(269,Engine!$C$2:$C$622,0)))</f>
        <v/>
      </c>
      <c r="N282" s="8">
        <f>IF(ISNA(MATCH(269,Engine!$C$2:$C$622,0)),"",INDEX('Compliance Database'!$N$2:$N$622,MATCH(269,Engine!$C$2:$C$622,0)))</f>
        <v/>
      </c>
      <c r="O282" s="8">
        <f>IF(ISNA(MATCH(269,Engine!$C$2:$C$622,0)),"",INDEX('Compliance Database'!$O$2:$O$622,MATCH(269,Engine!$C$2:$C$622,0)))</f>
        <v/>
      </c>
    </row>
    <row r="283">
      <c r="A283">
        <f>IF(ISNA(MATCH(270,Engine!$C$2:$C$622,0)),"",INDEX('Compliance Database'!$A$2:$A$622,MATCH(270,Engine!$C$2:$C$622,0)))</f>
        <v/>
      </c>
      <c r="B283">
        <f>IF(ISNA(MATCH(270,Engine!$C$2:$C$622,0)),"",INDEX('Compliance Database'!$B$2:$B$622,MATCH(270,Engine!$C$2:$C$622,0)))</f>
        <v/>
      </c>
      <c r="C283">
        <f>IF(ISNA(MATCH(270,Engine!$C$2:$C$622,0)),"",INDEX('Compliance Database'!$C$2:$C$622,MATCH(270,Engine!$C$2:$C$622,0)))</f>
        <v/>
      </c>
      <c r="D283" s="8">
        <f>IF(ISNA(MATCH(270,Engine!$C$2:$C$622,0)),"",INDEX('Compliance Database'!$D$2:$D$622,MATCH(270,Engine!$C$2:$C$622,0)))</f>
        <v/>
      </c>
      <c r="E283">
        <f>IF(ISNA(MATCH(270,Engine!$C$2:$C$622,0)),"",INDEX('Compliance Database'!$E$2:$E$622,MATCH(270,Engine!$C$2:$C$622,0)))</f>
        <v/>
      </c>
      <c r="F283">
        <f>IF(ISNA(MATCH(270,Engine!$C$2:$C$622,0)),"",INDEX('Compliance Database'!$F$2:$F$622,MATCH(270,Engine!$C$2:$C$622,0)))</f>
        <v/>
      </c>
      <c r="G283">
        <f>IF(ISNA(MATCH(270,Engine!$C$2:$C$622,0)),"",INDEX('Compliance Database'!$G$2:$G$622,MATCH(270,Engine!$C$2:$C$622,0)))</f>
        <v/>
      </c>
      <c r="H283">
        <f>IF(ISNA(MATCH(270,Engine!$C$2:$C$622,0)),"",INDEX('Compliance Database'!$H$2:$H$622,MATCH(270,Engine!$C$2:$C$622,0)))</f>
        <v/>
      </c>
      <c r="I283" s="8">
        <f>IF(ISNA(MATCH(270,Engine!$C$2:$C$622,0)),"",INDEX('Compliance Database'!$I$2:$I$622,MATCH(270,Engine!$C$2:$C$622,0)))</f>
        <v/>
      </c>
      <c r="J283" s="8">
        <f>IF(ISNA(MATCH(270,Engine!$C$2:$C$622,0)),"",INDEX('Compliance Database'!$J$2:$J$622,MATCH(270,Engine!$C$2:$C$622,0)))</f>
        <v/>
      </c>
      <c r="K283">
        <f>IF(ISNA(MATCH(270,Engine!$C$2:$C$622,0)),"",INDEX('Compliance Database'!$K$2:$K$622,MATCH(270,Engine!$C$2:$C$622,0)))</f>
        <v/>
      </c>
      <c r="L283" s="8">
        <f>IF(ISNA(MATCH(270,Engine!$C$2:$C$622,0)),"",INDEX('Compliance Database'!$L$2:$L$622,MATCH(270,Engine!$C$2:$C$622,0)))</f>
        <v/>
      </c>
      <c r="M283" s="8">
        <f>IF(ISNA(MATCH(270,Engine!$C$2:$C$622,0)),"",INDEX('Compliance Database'!$M$2:$M$622,MATCH(270,Engine!$C$2:$C$622,0)))</f>
        <v/>
      </c>
      <c r="N283" s="8">
        <f>IF(ISNA(MATCH(270,Engine!$C$2:$C$622,0)),"",INDEX('Compliance Database'!$N$2:$N$622,MATCH(270,Engine!$C$2:$C$622,0)))</f>
        <v/>
      </c>
      <c r="O283" s="8">
        <f>IF(ISNA(MATCH(270,Engine!$C$2:$C$622,0)),"",INDEX('Compliance Database'!$O$2:$O$622,MATCH(270,Engine!$C$2:$C$622,0)))</f>
        <v/>
      </c>
    </row>
    <row r="284">
      <c r="A284">
        <f>IF(ISNA(MATCH(271,Engine!$C$2:$C$622,0)),"",INDEX('Compliance Database'!$A$2:$A$622,MATCH(271,Engine!$C$2:$C$622,0)))</f>
        <v/>
      </c>
      <c r="B284">
        <f>IF(ISNA(MATCH(271,Engine!$C$2:$C$622,0)),"",INDEX('Compliance Database'!$B$2:$B$622,MATCH(271,Engine!$C$2:$C$622,0)))</f>
        <v/>
      </c>
      <c r="C284">
        <f>IF(ISNA(MATCH(271,Engine!$C$2:$C$622,0)),"",INDEX('Compliance Database'!$C$2:$C$622,MATCH(271,Engine!$C$2:$C$622,0)))</f>
        <v/>
      </c>
      <c r="D284" s="8">
        <f>IF(ISNA(MATCH(271,Engine!$C$2:$C$622,0)),"",INDEX('Compliance Database'!$D$2:$D$622,MATCH(271,Engine!$C$2:$C$622,0)))</f>
        <v/>
      </c>
      <c r="E284">
        <f>IF(ISNA(MATCH(271,Engine!$C$2:$C$622,0)),"",INDEX('Compliance Database'!$E$2:$E$622,MATCH(271,Engine!$C$2:$C$622,0)))</f>
        <v/>
      </c>
      <c r="F284">
        <f>IF(ISNA(MATCH(271,Engine!$C$2:$C$622,0)),"",INDEX('Compliance Database'!$F$2:$F$622,MATCH(271,Engine!$C$2:$C$622,0)))</f>
        <v/>
      </c>
      <c r="G284">
        <f>IF(ISNA(MATCH(271,Engine!$C$2:$C$622,0)),"",INDEX('Compliance Database'!$G$2:$G$622,MATCH(271,Engine!$C$2:$C$622,0)))</f>
        <v/>
      </c>
      <c r="H284">
        <f>IF(ISNA(MATCH(271,Engine!$C$2:$C$622,0)),"",INDEX('Compliance Database'!$H$2:$H$622,MATCH(271,Engine!$C$2:$C$622,0)))</f>
        <v/>
      </c>
      <c r="I284" s="8">
        <f>IF(ISNA(MATCH(271,Engine!$C$2:$C$622,0)),"",INDEX('Compliance Database'!$I$2:$I$622,MATCH(271,Engine!$C$2:$C$622,0)))</f>
        <v/>
      </c>
      <c r="J284" s="8">
        <f>IF(ISNA(MATCH(271,Engine!$C$2:$C$622,0)),"",INDEX('Compliance Database'!$J$2:$J$622,MATCH(271,Engine!$C$2:$C$622,0)))</f>
        <v/>
      </c>
      <c r="K284">
        <f>IF(ISNA(MATCH(271,Engine!$C$2:$C$622,0)),"",INDEX('Compliance Database'!$K$2:$K$622,MATCH(271,Engine!$C$2:$C$622,0)))</f>
        <v/>
      </c>
      <c r="L284" s="8">
        <f>IF(ISNA(MATCH(271,Engine!$C$2:$C$622,0)),"",INDEX('Compliance Database'!$L$2:$L$622,MATCH(271,Engine!$C$2:$C$622,0)))</f>
        <v/>
      </c>
      <c r="M284" s="8">
        <f>IF(ISNA(MATCH(271,Engine!$C$2:$C$622,0)),"",INDEX('Compliance Database'!$M$2:$M$622,MATCH(271,Engine!$C$2:$C$622,0)))</f>
        <v/>
      </c>
      <c r="N284" s="8">
        <f>IF(ISNA(MATCH(271,Engine!$C$2:$C$622,0)),"",INDEX('Compliance Database'!$N$2:$N$622,MATCH(271,Engine!$C$2:$C$622,0)))</f>
        <v/>
      </c>
      <c r="O284" s="8">
        <f>IF(ISNA(MATCH(271,Engine!$C$2:$C$622,0)),"",INDEX('Compliance Database'!$O$2:$O$622,MATCH(271,Engine!$C$2:$C$622,0)))</f>
        <v/>
      </c>
    </row>
    <row r="285">
      <c r="A285">
        <f>IF(ISNA(MATCH(272,Engine!$C$2:$C$622,0)),"",INDEX('Compliance Database'!$A$2:$A$622,MATCH(272,Engine!$C$2:$C$622,0)))</f>
        <v/>
      </c>
      <c r="B285">
        <f>IF(ISNA(MATCH(272,Engine!$C$2:$C$622,0)),"",INDEX('Compliance Database'!$B$2:$B$622,MATCH(272,Engine!$C$2:$C$622,0)))</f>
        <v/>
      </c>
      <c r="C285">
        <f>IF(ISNA(MATCH(272,Engine!$C$2:$C$622,0)),"",INDEX('Compliance Database'!$C$2:$C$622,MATCH(272,Engine!$C$2:$C$622,0)))</f>
        <v/>
      </c>
      <c r="D285" s="8">
        <f>IF(ISNA(MATCH(272,Engine!$C$2:$C$622,0)),"",INDEX('Compliance Database'!$D$2:$D$622,MATCH(272,Engine!$C$2:$C$622,0)))</f>
        <v/>
      </c>
      <c r="E285">
        <f>IF(ISNA(MATCH(272,Engine!$C$2:$C$622,0)),"",INDEX('Compliance Database'!$E$2:$E$622,MATCH(272,Engine!$C$2:$C$622,0)))</f>
        <v/>
      </c>
      <c r="F285">
        <f>IF(ISNA(MATCH(272,Engine!$C$2:$C$622,0)),"",INDEX('Compliance Database'!$F$2:$F$622,MATCH(272,Engine!$C$2:$C$622,0)))</f>
        <v/>
      </c>
      <c r="G285">
        <f>IF(ISNA(MATCH(272,Engine!$C$2:$C$622,0)),"",INDEX('Compliance Database'!$G$2:$G$622,MATCH(272,Engine!$C$2:$C$622,0)))</f>
        <v/>
      </c>
      <c r="H285">
        <f>IF(ISNA(MATCH(272,Engine!$C$2:$C$622,0)),"",INDEX('Compliance Database'!$H$2:$H$622,MATCH(272,Engine!$C$2:$C$622,0)))</f>
        <v/>
      </c>
      <c r="I285" s="8">
        <f>IF(ISNA(MATCH(272,Engine!$C$2:$C$622,0)),"",INDEX('Compliance Database'!$I$2:$I$622,MATCH(272,Engine!$C$2:$C$622,0)))</f>
        <v/>
      </c>
      <c r="J285" s="8">
        <f>IF(ISNA(MATCH(272,Engine!$C$2:$C$622,0)),"",INDEX('Compliance Database'!$J$2:$J$622,MATCH(272,Engine!$C$2:$C$622,0)))</f>
        <v/>
      </c>
      <c r="K285">
        <f>IF(ISNA(MATCH(272,Engine!$C$2:$C$622,0)),"",INDEX('Compliance Database'!$K$2:$K$622,MATCH(272,Engine!$C$2:$C$622,0)))</f>
        <v/>
      </c>
      <c r="L285" s="8">
        <f>IF(ISNA(MATCH(272,Engine!$C$2:$C$622,0)),"",INDEX('Compliance Database'!$L$2:$L$622,MATCH(272,Engine!$C$2:$C$622,0)))</f>
        <v/>
      </c>
      <c r="M285" s="8">
        <f>IF(ISNA(MATCH(272,Engine!$C$2:$C$622,0)),"",INDEX('Compliance Database'!$M$2:$M$622,MATCH(272,Engine!$C$2:$C$622,0)))</f>
        <v/>
      </c>
      <c r="N285" s="8">
        <f>IF(ISNA(MATCH(272,Engine!$C$2:$C$622,0)),"",INDEX('Compliance Database'!$N$2:$N$622,MATCH(272,Engine!$C$2:$C$622,0)))</f>
        <v/>
      </c>
      <c r="O285" s="8">
        <f>IF(ISNA(MATCH(272,Engine!$C$2:$C$622,0)),"",INDEX('Compliance Database'!$O$2:$O$622,MATCH(272,Engine!$C$2:$C$622,0)))</f>
        <v/>
      </c>
    </row>
    <row r="286">
      <c r="A286">
        <f>IF(ISNA(MATCH(273,Engine!$C$2:$C$622,0)),"",INDEX('Compliance Database'!$A$2:$A$622,MATCH(273,Engine!$C$2:$C$622,0)))</f>
        <v/>
      </c>
      <c r="B286">
        <f>IF(ISNA(MATCH(273,Engine!$C$2:$C$622,0)),"",INDEX('Compliance Database'!$B$2:$B$622,MATCH(273,Engine!$C$2:$C$622,0)))</f>
        <v/>
      </c>
      <c r="C286">
        <f>IF(ISNA(MATCH(273,Engine!$C$2:$C$622,0)),"",INDEX('Compliance Database'!$C$2:$C$622,MATCH(273,Engine!$C$2:$C$622,0)))</f>
        <v/>
      </c>
      <c r="D286" s="8">
        <f>IF(ISNA(MATCH(273,Engine!$C$2:$C$622,0)),"",INDEX('Compliance Database'!$D$2:$D$622,MATCH(273,Engine!$C$2:$C$622,0)))</f>
        <v/>
      </c>
      <c r="E286">
        <f>IF(ISNA(MATCH(273,Engine!$C$2:$C$622,0)),"",INDEX('Compliance Database'!$E$2:$E$622,MATCH(273,Engine!$C$2:$C$622,0)))</f>
        <v/>
      </c>
      <c r="F286">
        <f>IF(ISNA(MATCH(273,Engine!$C$2:$C$622,0)),"",INDEX('Compliance Database'!$F$2:$F$622,MATCH(273,Engine!$C$2:$C$622,0)))</f>
        <v/>
      </c>
      <c r="G286">
        <f>IF(ISNA(MATCH(273,Engine!$C$2:$C$622,0)),"",INDEX('Compliance Database'!$G$2:$G$622,MATCH(273,Engine!$C$2:$C$622,0)))</f>
        <v/>
      </c>
      <c r="H286">
        <f>IF(ISNA(MATCH(273,Engine!$C$2:$C$622,0)),"",INDEX('Compliance Database'!$H$2:$H$622,MATCH(273,Engine!$C$2:$C$622,0)))</f>
        <v/>
      </c>
      <c r="I286" s="8">
        <f>IF(ISNA(MATCH(273,Engine!$C$2:$C$622,0)),"",INDEX('Compliance Database'!$I$2:$I$622,MATCH(273,Engine!$C$2:$C$622,0)))</f>
        <v/>
      </c>
      <c r="J286" s="8">
        <f>IF(ISNA(MATCH(273,Engine!$C$2:$C$622,0)),"",INDEX('Compliance Database'!$J$2:$J$622,MATCH(273,Engine!$C$2:$C$622,0)))</f>
        <v/>
      </c>
      <c r="K286">
        <f>IF(ISNA(MATCH(273,Engine!$C$2:$C$622,0)),"",INDEX('Compliance Database'!$K$2:$K$622,MATCH(273,Engine!$C$2:$C$622,0)))</f>
        <v/>
      </c>
      <c r="L286" s="8">
        <f>IF(ISNA(MATCH(273,Engine!$C$2:$C$622,0)),"",INDEX('Compliance Database'!$L$2:$L$622,MATCH(273,Engine!$C$2:$C$622,0)))</f>
        <v/>
      </c>
      <c r="M286" s="8">
        <f>IF(ISNA(MATCH(273,Engine!$C$2:$C$622,0)),"",INDEX('Compliance Database'!$M$2:$M$622,MATCH(273,Engine!$C$2:$C$622,0)))</f>
        <v/>
      </c>
      <c r="N286" s="8">
        <f>IF(ISNA(MATCH(273,Engine!$C$2:$C$622,0)),"",INDEX('Compliance Database'!$N$2:$N$622,MATCH(273,Engine!$C$2:$C$622,0)))</f>
        <v/>
      </c>
      <c r="O286" s="8">
        <f>IF(ISNA(MATCH(273,Engine!$C$2:$C$622,0)),"",INDEX('Compliance Database'!$O$2:$O$622,MATCH(273,Engine!$C$2:$C$622,0)))</f>
        <v/>
      </c>
    </row>
    <row r="287">
      <c r="A287">
        <f>IF(ISNA(MATCH(274,Engine!$C$2:$C$622,0)),"",INDEX('Compliance Database'!$A$2:$A$622,MATCH(274,Engine!$C$2:$C$622,0)))</f>
        <v/>
      </c>
      <c r="B287">
        <f>IF(ISNA(MATCH(274,Engine!$C$2:$C$622,0)),"",INDEX('Compliance Database'!$B$2:$B$622,MATCH(274,Engine!$C$2:$C$622,0)))</f>
        <v/>
      </c>
      <c r="C287">
        <f>IF(ISNA(MATCH(274,Engine!$C$2:$C$622,0)),"",INDEX('Compliance Database'!$C$2:$C$622,MATCH(274,Engine!$C$2:$C$622,0)))</f>
        <v/>
      </c>
      <c r="D287" s="8">
        <f>IF(ISNA(MATCH(274,Engine!$C$2:$C$622,0)),"",INDEX('Compliance Database'!$D$2:$D$622,MATCH(274,Engine!$C$2:$C$622,0)))</f>
        <v/>
      </c>
      <c r="E287">
        <f>IF(ISNA(MATCH(274,Engine!$C$2:$C$622,0)),"",INDEX('Compliance Database'!$E$2:$E$622,MATCH(274,Engine!$C$2:$C$622,0)))</f>
        <v/>
      </c>
      <c r="F287">
        <f>IF(ISNA(MATCH(274,Engine!$C$2:$C$622,0)),"",INDEX('Compliance Database'!$F$2:$F$622,MATCH(274,Engine!$C$2:$C$622,0)))</f>
        <v/>
      </c>
      <c r="G287">
        <f>IF(ISNA(MATCH(274,Engine!$C$2:$C$622,0)),"",INDEX('Compliance Database'!$G$2:$G$622,MATCH(274,Engine!$C$2:$C$622,0)))</f>
        <v/>
      </c>
      <c r="H287">
        <f>IF(ISNA(MATCH(274,Engine!$C$2:$C$622,0)),"",INDEX('Compliance Database'!$H$2:$H$622,MATCH(274,Engine!$C$2:$C$622,0)))</f>
        <v/>
      </c>
      <c r="I287" s="8">
        <f>IF(ISNA(MATCH(274,Engine!$C$2:$C$622,0)),"",INDEX('Compliance Database'!$I$2:$I$622,MATCH(274,Engine!$C$2:$C$622,0)))</f>
        <v/>
      </c>
      <c r="J287" s="8">
        <f>IF(ISNA(MATCH(274,Engine!$C$2:$C$622,0)),"",INDEX('Compliance Database'!$J$2:$J$622,MATCH(274,Engine!$C$2:$C$622,0)))</f>
        <v/>
      </c>
      <c r="K287">
        <f>IF(ISNA(MATCH(274,Engine!$C$2:$C$622,0)),"",INDEX('Compliance Database'!$K$2:$K$622,MATCH(274,Engine!$C$2:$C$622,0)))</f>
        <v/>
      </c>
      <c r="L287" s="8">
        <f>IF(ISNA(MATCH(274,Engine!$C$2:$C$622,0)),"",INDEX('Compliance Database'!$L$2:$L$622,MATCH(274,Engine!$C$2:$C$622,0)))</f>
        <v/>
      </c>
      <c r="M287" s="8">
        <f>IF(ISNA(MATCH(274,Engine!$C$2:$C$622,0)),"",INDEX('Compliance Database'!$M$2:$M$622,MATCH(274,Engine!$C$2:$C$622,0)))</f>
        <v/>
      </c>
      <c r="N287" s="8">
        <f>IF(ISNA(MATCH(274,Engine!$C$2:$C$622,0)),"",INDEX('Compliance Database'!$N$2:$N$622,MATCH(274,Engine!$C$2:$C$622,0)))</f>
        <v/>
      </c>
      <c r="O287" s="8">
        <f>IF(ISNA(MATCH(274,Engine!$C$2:$C$622,0)),"",INDEX('Compliance Database'!$O$2:$O$622,MATCH(274,Engine!$C$2:$C$622,0)))</f>
        <v/>
      </c>
    </row>
    <row r="288">
      <c r="A288">
        <f>IF(ISNA(MATCH(275,Engine!$C$2:$C$622,0)),"",INDEX('Compliance Database'!$A$2:$A$622,MATCH(275,Engine!$C$2:$C$622,0)))</f>
        <v/>
      </c>
      <c r="B288">
        <f>IF(ISNA(MATCH(275,Engine!$C$2:$C$622,0)),"",INDEX('Compliance Database'!$B$2:$B$622,MATCH(275,Engine!$C$2:$C$622,0)))</f>
        <v/>
      </c>
      <c r="C288">
        <f>IF(ISNA(MATCH(275,Engine!$C$2:$C$622,0)),"",INDEX('Compliance Database'!$C$2:$C$622,MATCH(275,Engine!$C$2:$C$622,0)))</f>
        <v/>
      </c>
      <c r="D288" s="8">
        <f>IF(ISNA(MATCH(275,Engine!$C$2:$C$622,0)),"",INDEX('Compliance Database'!$D$2:$D$622,MATCH(275,Engine!$C$2:$C$622,0)))</f>
        <v/>
      </c>
      <c r="E288">
        <f>IF(ISNA(MATCH(275,Engine!$C$2:$C$622,0)),"",INDEX('Compliance Database'!$E$2:$E$622,MATCH(275,Engine!$C$2:$C$622,0)))</f>
        <v/>
      </c>
      <c r="F288">
        <f>IF(ISNA(MATCH(275,Engine!$C$2:$C$622,0)),"",INDEX('Compliance Database'!$F$2:$F$622,MATCH(275,Engine!$C$2:$C$622,0)))</f>
        <v/>
      </c>
      <c r="G288">
        <f>IF(ISNA(MATCH(275,Engine!$C$2:$C$622,0)),"",INDEX('Compliance Database'!$G$2:$G$622,MATCH(275,Engine!$C$2:$C$622,0)))</f>
        <v/>
      </c>
      <c r="H288">
        <f>IF(ISNA(MATCH(275,Engine!$C$2:$C$622,0)),"",INDEX('Compliance Database'!$H$2:$H$622,MATCH(275,Engine!$C$2:$C$622,0)))</f>
        <v/>
      </c>
      <c r="I288" s="8">
        <f>IF(ISNA(MATCH(275,Engine!$C$2:$C$622,0)),"",INDEX('Compliance Database'!$I$2:$I$622,MATCH(275,Engine!$C$2:$C$622,0)))</f>
        <v/>
      </c>
      <c r="J288" s="8">
        <f>IF(ISNA(MATCH(275,Engine!$C$2:$C$622,0)),"",INDEX('Compliance Database'!$J$2:$J$622,MATCH(275,Engine!$C$2:$C$622,0)))</f>
        <v/>
      </c>
      <c r="K288">
        <f>IF(ISNA(MATCH(275,Engine!$C$2:$C$622,0)),"",INDEX('Compliance Database'!$K$2:$K$622,MATCH(275,Engine!$C$2:$C$622,0)))</f>
        <v/>
      </c>
      <c r="L288" s="8">
        <f>IF(ISNA(MATCH(275,Engine!$C$2:$C$622,0)),"",INDEX('Compliance Database'!$L$2:$L$622,MATCH(275,Engine!$C$2:$C$622,0)))</f>
        <v/>
      </c>
      <c r="M288" s="8">
        <f>IF(ISNA(MATCH(275,Engine!$C$2:$C$622,0)),"",INDEX('Compliance Database'!$M$2:$M$622,MATCH(275,Engine!$C$2:$C$622,0)))</f>
        <v/>
      </c>
      <c r="N288" s="8">
        <f>IF(ISNA(MATCH(275,Engine!$C$2:$C$622,0)),"",INDEX('Compliance Database'!$N$2:$N$622,MATCH(275,Engine!$C$2:$C$622,0)))</f>
        <v/>
      </c>
      <c r="O288" s="8">
        <f>IF(ISNA(MATCH(275,Engine!$C$2:$C$622,0)),"",INDEX('Compliance Database'!$O$2:$O$622,MATCH(275,Engine!$C$2:$C$622,0)))</f>
        <v/>
      </c>
    </row>
    <row r="289">
      <c r="A289">
        <f>IF(ISNA(MATCH(276,Engine!$C$2:$C$622,0)),"",INDEX('Compliance Database'!$A$2:$A$622,MATCH(276,Engine!$C$2:$C$622,0)))</f>
        <v/>
      </c>
      <c r="B289">
        <f>IF(ISNA(MATCH(276,Engine!$C$2:$C$622,0)),"",INDEX('Compliance Database'!$B$2:$B$622,MATCH(276,Engine!$C$2:$C$622,0)))</f>
        <v/>
      </c>
      <c r="C289">
        <f>IF(ISNA(MATCH(276,Engine!$C$2:$C$622,0)),"",INDEX('Compliance Database'!$C$2:$C$622,MATCH(276,Engine!$C$2:$C$622,0)))</f>
        <v/>
      </c>
      <c r="D289" s="8">
        <f>IF(ISNA(MATCH(276,Engine!$C$2:$C$622,0)),"",INDEX('Compliance Database'!$D$2:$D$622,MATCH(276,Engine!$C$2:$C$622,0)))</f>
        <v/>
      </c>
      <c r="E289">
        <f>IF(ISNA(MATCH(276,Engine!$C$2:$C$622,0)),"",INDEX('Compliance Database'!$E$2:$E$622,MATCH(276,Engine!$C$2:$C$622,0)))</f>
        <v/>
      </c>
      <c r="F289">
        <f>IF(ISNA(MATCH(276,Engine!$C$2:$C$622,0)),"",INDEX('Compliance Database'!$F$2:$F$622,MATCH(276,Engine!$C$2:$C$622,0)))</f>
        <v/>
      </c>
      <c r="G289">
        <f>IF(ISNA(MATCH(276,Engine!$C$2:$C$622,0)),"",INDEX('Compliance Database'!$G$2:$G$622,MATCH(276,Engine!$C$2:$C$622,0)))</f>
        <v/>
      </c>
      <c r="H289">
        <f>IF(ISNA(MATCH(276,Engine!$C$2:$C$622,0)),"",INDEX('Compliance Database'!$H$2:$H$622,MATCH(276,Engine!$C$2:$C$622,0)))</f>
        <v/>
      </c>
      <c r="I289" s="8">
        <f>IF(ISNA(MATCH(276,Engine!$C$2:$C$622,0)),"",INDEX('Compliance Database'!$I$2:$I$622,MATCH(276,Engine!$C$2:$C$622,0)))</f>
        <v/>
      </c>
      <c r="J289" s="8">
        <f>IF(ISNA(MATCH(276,Engine!$C$2:$C$622,0)),"",INDEX('Compliance Database'!$J$2:$J$622,MATCH(276,Engine!$C$2:$C$622,0)))</f>
        <v/>
      </c>
      <c r="K289">
        <f>IF(ISNA(MATCH(276,Engine!$C$2:$C$622,0)),"",INDEX('Compliance Database'!$K$2:$K$622,MATCH(276,Engine!$C$2:$C$622,0)))</f>
        <v/>
      </c>
      <c r="L289" s="8">
        <f>IF(ISNA(MATCH(276,Engine!$C$2:$C$622,0)),"",INDEX('Compliance Database'!$L$2:$L$622,MATCH(276,Engine!$C$2:$C$622,0)))</f>
        <v/>
      </c>
      <c r="M289" s="8">
        <f>IF(ISNA(MATCH(276,Engine!$C$2:$C$622,0)),"",INDEX('Compliance Database'!$M$2:$M$622,MATCH(276,Engine!$C$2:$C$622,0)))</f>
        <v/>
      </c>
      <c r="N289" s="8">
        <f>IF(ISNA(MATCH(276,Engine!$C$2:$C$622,0)),"",INDEX('Compliance Database'!$N$2:$N$622,MATCH(276,Engine!$C$2:$C$622,0)))</f>
        <v/>
      </c>
      <c r="O289" s="8">
        <f>IF(ISNA(MATCH(276,Engine!$C$2:$C$622,0)),"",INDEX('Compliance Database'!$O$2:$O$622,MATCH(276,Engine!$C$2:$C$622,0)))</f>
        <v/>
      </c>
    </row>
    <row r="290">
      <c r="A290">
        <f>IF(ISNA(MATCH(277,Engine!$C$2:$C$622,0)),"",INDEX('Compliance Database'!$A$2:$A$622,MATCH(277,Engine!$C$2:$C$622,0)))</f>
        <v/>
      </c>
      <c r="B290">
        <f>IF(ISNA(MATCH(277,Engine!$C$2:$C$622,0)),"",INDEX('Compliance Database'!$B$2:$B$622,MATCH(277,Engine!$C$2:$C$622,0)))</f>
        <v/>
      </c>
      <c r="C290">
        <f>IF(ISNA(MATCH(277,Engine!$C$2:$C$622,0)),"",INDEX('Compliance Database'!$C$2:$C$622,MATCH(277,Engine!$C$2:$C$622,0)))</f>
        <v/>
      </c>
      <c r="D290" s="8">
        <f>IF(ISNA(MATCH(277,Engine!$C$2:$C$622,0)),"",INDEX('Compliance Database'!$D$2:$D$622,MATCH(277,Engine!$C$2:$C$622,0)))</f>
        <v/>
      </c>
      <c r="E290">
        <f>IF(ISNA(MATCH(277,Engine!$C$2:$C$622,0)),"",INDEX('Compliance Database'!$E$2:$E$622,MATCH(277,Engine!$C$2:$C$622,0)))</f>
        <v/>
      </c>
      <c r="F290">
        <f>IF(ISNA(MATCH(277,Engine!$C$2:$C$622,0)),"",INDEX('Compliance Database'!$F$2:$F$622,MATCH(277,Engine!$C$2:$C$622,0)))</f>
        <v/>
      </c>
      <c r="G290">
        <f>IF(ISNA(MATCH(277,Engine!$C$2:$C$622,0)),"",INDEX('Compliance Database'!$G$2:$G$622,MATCH(277,Engine!$C$2:$C$622,0)))</f>
        <v/>
      </c>
      <c r="H290">
        <f>IF(ISNA(MATCH(277,Engine!$C$2:$C$622,0)),"",INDEX('Compliance Database'!$H$2:$H$622,MATCH(277,Engine!$C$2:$C$622,0)))</f>
        <v/>
      </c>
      <c r="I290" s="8">
        <f>IF(ISNA(MATCH(277,Engine!$C$2:$C$622,0)),"",INDEX('Compliance Database'!$I$2:$I$622,MATCH(277,Engine!$C$2:$C$622,0)))</f>
        <v/>
      </c>
      <c r="J290" s="8">
        <f>IF(ISNA(MATCH(277,Engine!$C$2:$C$622,0)),"",INDEX('Compliance Database'!$J$2:$J$622,MATCH(277,Engine!$C$2:$C$622,0)))</f>
        <v/>
      </c>
      <c r="K290">
        <f>IF(ISNA(MATCH(277,Engine!$C$2:$C$622,0)),"",INDEX('Compliance Database'!$K$2:$K$622,MATCH(277,Engine!$C$2:$C$622,0)))</f>
        <v/>
      </c>
      <c r="L290" s="8">
        <f>IF(ISNA(MATCH(277,Engine!$C$2:$C$622,0)),"",INDEX('Compliance Database'!$L$2:$L$622,MATCH(277,Engine!$C$2:$C$622,0)))</f>
        <v/>
      </c>
      <c r="M290" s="8">
        <f>IF(ISNA(MATCH(277,Engine!$C$2:$C$622,0)),"",INDEX('Compliance Database'!$M$2:$M$622,MATCH(277,Engine!$C$2:$C$622,0)))</f>
        <v/>
      </c>
      <c r="N290" s="8">
        <f>IF(ISNA(MATCH(277,Engine!$C$2:$C$622,0)),"",INDEX('Compliance Database'!$N$2:$N$622,MATCH(277,Engine!$C$2:$C$622,0)))</f>
        <v/>
      </c>
      <c r="O290" s="8">
        <f>IF(ISNA(MATCH(277,Engine!$C$2:$C$622,0)),"",INDEX('Compliance Database'!$O$2:$O$622,MATCH(277,Engine!$C$2:$C$622,0)))</f>
        <v/>
      </c>
    </row>
    <row r="291">
      <c r="A291">
        <f>IF(ISNA(MATCH(278,Engine!$C$2:$C$622,0)),"",INDEX('Compliance Database'!$A$2:$A$622,MATCH(278,Engine!$C$2:$C$622,0)))</f>
        <v/>
      </c>
      <c r="B291">
        <f>IF(ISNA(MATCH(278,Engine!$C$2:$C$622,0)),"",INDEX('Compliance Database'!$B$2:$B$622,MATCH(278,Engine!$C$2:$C$622,0)))</f>
        <v/>
      </c>
      <c r="C291">
        <f>IF(ISNA(MATCH(278,Engine!$C$2:$C$622,0)),"",INDEX('Compliance Database'!$C$2:$C$622,MATCH(278,Engine!$C$2:$C$622,0)))</f>
        <v/>
      </c>
      <c r="D291" s="8">
        <f>IF(ISNA(MATCH(278,Engine!$C$2:$C$622,0)),"",INDEX('Compliance Database'!$D$2:$D$622,MATCH(278,Engine!$C$2:$C$622,0)))</f>
        <v/>
      </c>
      <c r="E291">
        <f>IF(ISNA(MATCH(278,Engine!$C$2:$C$622,0)),"",INDEX('Compliance Database'!$E$2:$E$622,MATCH(278,Engine!$C$2:$C$622,0)))</f>
        <v/>
      </c>
      <c r="F291">
        <f>IF(ISNA(MATCH(278,Engine!$C$2:$C$622,0)),"",INDEX('Compliance Database'!$F$2:$F$622,MATCH(278,Engine!$C$2:$C$622,0)))</f>
        <v/>
      </c>
      <c r="G291">
        <f>IF(ISNA(MATCH(278,Engine!$C$2:$C$622,0)),"",INDEX('Compliance Database'!$G$2:$G$622,MATCH(278,Engine!$C$2:$C$622,0)))</f>
        <v/>
      </c>
      <c r="H291">
        <f>IF(ISNA(MATCH(278,Engine!$C$2:$C$622,0)),"",INDEX('Compliance Database'!$H$2:$H$622,MATCH(278,Engine!$C$2:$C$622,0)))</f>
        <v/>
      </c>
      <c r="I291" s="8">
        <f>IF(ISNA(MATCH(278,Engine!$C$2:$C$622,0)),"",INDEX('Compliance Database'!$I$2:$I$622,MATCH(278,Engine!$C$2:$C$622,0)))</f>
        <v/>
      </c>
      <c r="J291" s="8">
        <f>IF(ISNA(MATCH(278,Engine!$C$2:$C$622,0)),"",INDEX('Compliance Database'!$J$2:$J$622,MATCH(278,Engine!$C$2:$C$622,0)))</f>
        <v/>
      </c>
      <c r="K291">
        <f>IF(ISNA(MATCH(278,Engine!$C$2:$C$622,0)),"",INDEX('Compliance Database'!$K$2:$K$622,MATCH(278,Engine!$C$2:$C$622,0)))</f>
        <v/>
      </c>
      <c r="L291" s="8">
        <f>IF(ISNA(MATCH(278,Engine!$C$2:$C$622,0)),"",INDEX('Compliance Database'!$L$2:$L$622,MATCH(278,Engine!$C$2:$C$622,0)))</f>
        <v/>
      </c>
      <c r="M291" s="8">
        <f>IF(ISNA(MATCH(278,Engine!$C$2:$C$622,0)),"",INDEX('Compliance Database'!$M$2:$M$622,MATCH(278,Engine!$C$2:$C$622,0)))</f>
        <v/>
      </c>
      <c r="N291" s="8">
        <f>IF(ISNA(MATCH(278,Engine!$C$2:$C$622,0)),"",INDEX('Compliance Database'!$N$2:$N$622,MATCH(278,Engine!$C$2:$C$622,0)))</f>
        <v/>
      </c>
      <c r="O291" s="8">
        <f>IF(ISNA(MATCH(278,Engine!$C$2:$C$622,0)),"",INDEX('Compliance Database'!$O$2:$O$622,MATCH(278,Engine!$C$2:$C$622,0)))</f>
        <v/>
      </c>
    </row>
    <row r="292">
      <c r="A292">
        <f>IF(ISNA(MATCH(279,Engine!$C$2:$C$622,0)),"",INDEX('Compliance Database'!$A$2:$A$622,MATCH(279,Engine!$C$2:$C$622,0)))</f>
        <v/>
      </c>
      <c r="B292">
        <f>IF(ISNA(MATCH(279,Engine!$C$2:$C$622,0)),"",INDEX('Compliance Database'!$B$2:$B$622,MATCH(279,Engine!$C$2:$C$622,0)))</f>
        <v/>
      </c>
      <c r="C292">
        <f>IF(ISNA(MATCH(279,Engine!$C$2:$C$622,0)),"",INDEX('Compliance Database'!$C$2:$C$622,MATCH(279,Engine!$C$2:$C$622,0)))</f>
        <v/>
      </c>
      <c r="D292" s="8">
        <f>IF(ISNA(MATCH(279,Engine!$C$2:$C$622,0)),"",INDEX('Compliance Database'!$D$2:$D$622,MATCH(279,Engine!$C$2:$C$622,0)))</f>
        <v/>
      </c>
      <c r="E292">
        <f>IF(ISNA(MATCH(279,Engine!$C$2:$C$622,0)),"",INDEX('Compliance Database'!$E$2:$E$622,MATCH(279,Engine!$C$2:$C$622,0)))</f>
        <v/>
      </c>
      <c r="F292">
        <f>IF(ISNA(MATCH(279,Engine!$C$2:$C$622,0)),"",INDEX('Compliance Database'!$F$2:$F$622,MATCH(279,Engine!$C$2:$C$622,0)))</f>
        <v/>
      </c>
      <c r="G292">
        <f>IF(ISNA(MATCH(279,Engine!$C$2:$C$622,0)),"",INDEX('Compliance Database'!$G$2:$G$622,MATCH(279,Engine!$C$2:$C$622,0)))</f>
        <v/>
      </c>
      <c r="H292">
        <f>IF(ISNA(MATCH(279,Engine!$C$2:$C$622,0)),"",INDEX('Compliance Database'!$H$2:$H$622,MATCH(279,Engine!$C$2:$C$622,0)))</f>
        <v/>
      </c>
      <c r="I292" s="8">
        <f>IF(ISNA(MATCH(279,Engine!$C$2:$C$622,0)),"",INDEX('Compliance Database'!$I$2:$I$622,MATCH(279,Engine!$C$2:$C$622,0)))</f>
        <v/>
      </c>
      <c r="J292" s="8">
        <f>IF(ISNA(MATCH(279,Engine!$C$2:$C$622,0)),"",INDEX('Compliance Database'!$J$2:$J$622,MATCH(279,Engine!$C$2:$C$622,0)))</f>
        <v/>
      </c>
      <c r="K292">
        <f>IF(ISNA(MATCH(279,Engine!$C$2:$C$622,0)),"",INDEX('Compliance Database'!$K$2:$K$622,MATCH(279,Engine!$C$2:$C$622,0)))</f>
        <v/>
      </c>
      <c r="L292" s="8">
        <f>IF(ISNA(MATCH(279,Engine!$C$2:$C$622,0)),"",INDEX('Compliance Database'!$L$2:$L$622,MATCH(279,Engine!$C$2:$C$622,0)))</f>
        <v/>
      </c>
      <c r="M292" s="8">
        <f>IF(ISNA(MATCH(279,Engine!$C$2:$C$622,0)),"",INDEX('Compliance Database'!$M$2:$M$622,MATCH(279,Engine!$C$2:$C$622,0)))</f>
        <v/>
      </c>
      <c r="N292" s="8">
        <f>IF(ISNA(MATCH(279,Engine!$C$2:$C$622,0)),"",INDEX('Compliance Database'!$N$2:$N$622,MATCH(279,Engine!$C$2:$C$622,0)))</f>
        <v/>
      </c>
      <c r="O292" s="8">
        <f>IF(ISNA(MATCH(279,Engine!$C$2:$C$622,0)),"",INDEX('Compliance Database'!$O$2:$O$622,MATCH(279,Engine!$C$2:$C$622,0)))</f>
        <v/>
      </c>
    </row>
    <row r="293">
      <c r="A293">
        <f>IF(ISNA(MATCH(280,Engine!$C$2:$C$622,0)),"",INDEX('Compliance Database'!$A$2:$A$622,MATCH(280,Engine!$C$2:$C$622,0)))</f>
        <v/>
      </c>
      <c r="B293">
        <f>IF(ISNA(MATCH(280,Engine!$C$2:$C$622,0)),"",INDEX('Compliance Database'!$B$2:$B$622,MATCH(280,Engine!$C$2:$C$622,0)))</f>
        <v/>
      </c>
      <c r="C293">
        <f>IF(ISNA(MATCH(280,Engine!$C$2:$C$622,0)),"",INDEX('Compliance Database'!$C$2:$C$622,MATCH(280,Engine!$C$2:$C$622,0)))</f>
        <v/>
      </c>
      <c r="D293" s="8">
        <f>IF(ISNA(MATCH(280,Engine!$C$2:$C$622,0)),"",INDEX('Compliance Database'!$D$2:$D$622,MATCH(280,Engine!$C$2:$C$622,0)))</f>
        <v/>
      </c>
      <c r="E293">
        <f>IF(ISNA(MATCH(280,Engine!$C$2:$C$622,0)),"",INDEX('Compliance Database'!$E$2:$E$622,MATCH(280,Engine!$C$2:$C$622,0)))</f>
        <v/>
      </c>
      <c r="F293">
        <f>IF(ISNA(MATCH(280,Engine!$C$2:$C$622,0)),"",INDEX('Compliance Database'!$F$2:$F$622,MATCH(280,Engine!$C$2:$C$622,0)))</f>
        <v/>
      </c>
      <c r="G293">
        <f>IF(ISNA(MATCH(280,Engine!$C$2:$C$622,0)),"",INDEX('Compliance Database'!$G$2:$G$622,MATCH(280,Engine!$C$2:$C$622,0)))</f>
        <v/>
      </c>
      <c r="H293">
        <f>IF(ISNA(MATCH(280,Engine!$C$2:$C$622,0)),"",INDEX('Compliance Database'!$H$2:$H$622,MATCH(280,Engine!$C$2:$C$622,0)))</f>
        <v/>
      </c>
      <c r="I293" s="8">
        <f>IF(ISNA(MATCH(280,Engine!$C$2:$C$622,0)),"",INDEX('Compliance Database'!$I$2:$I$622,MATCH(280,Engine!$C$2:$C$622,0)))</f>
        <v/>
      </c>
      <c r="J293" s="8">
        <f>IF(ISNA(MATCH(280,Engine!$C$2:$C$622,0)),"",INDEX('Compliance Database'!$J$2:$J$622,MATCH(280,Engine!$C$2:$C$622,0)))</f>
        <v/>
      </c>
      <c r="K293">
        <f>IF(ISNA(MATCH(280,Engine!$C$2:$C$622,0)),"",INDEX('Compliance Database'!$K$2:$K$622,MATCH(280,Engine!$C$2:$C$622,0)))</f>
        <v/>
      </c>
      <c r="L293" s="8">
        <f>IF(ISNA(MATCH(280,Engine!$C$2:$C$622,0)),"",INDEX('Compliance Database'!$L$2:$L$622,MATCH(280,Engine!$C$2:$C$622,0)))</f>
        <v/>
      </c>
      <c r="M293" s="8">
        <f>IF(ISNA(MATCH(280,Engine!$C$2:$C$622,0)),"",INDEX('Compliance Database'!$M$2:$M$622,MATCH(280,Engine!$C$2:$C$622,0)))</f>
        <v/>
      </c>
      <c r="N293" s="8">
        <f>IF(ISNA(MATCH(280,Engine!$C$2:$C$622,0)),"",INDEX('Compliance Database'!$N$2:$N$622,MATCH(280,Engine!$C$2:$C$622,0)))</f>
        <v/>
      </c>
      <c r="O293" s="8">
        <f>IF(ISNA(MATCH(280,Engine!$C$2:$C$622,0)),"",INDEX('Compliance Database'!$O$2:$O$622,MATCH(280,Engine!$C$2:$C$622,0)))</f>
        <v/>
      </c>
    </row>
    <row r="294">
      <c r="A294">
        <f>IF(ISNA(MATCH(281,Engine!$C$2:$C$622,0)),"",INDEX('Compliance Database'!$A$2:$A$622,MATCH(281,Engine!$C$2:$C$622,0)))</f>
        <v/>
      </c>
      <c r="B294">
        <f>IF(ISNA(MATCH(281,Engine!$C$2:$C$622,0)),"",INDEX('Compliance Database'!$B$2:$B$622,MATCH(281,Engine!$C$2:$C$622,0)))</f>
        <v/>
      </c>
      <c r="C294">
        <f>IF(ISNA(MATCH(281,Engine!$C$2:$C$622,0)),"",INDEX('Compliance Database'!$C$2:$C$622,MATCH(281,Engine!$C$2:$C$622,0)))</f>
        <v/>
      </c>
      <c r="D294" s="8">
        <f>IF(ISNA(MATCH(281,Engine!$C$2:$C$622,0)),"",INDEX('Compliance Database'!$D$2:$D$622,MATCH(281,Engine!$C$2:$C$622,0)))</f>
        <v/>
      </c>
      <c r="E294">
        <f>IF(ISNA(MATCH(281,Engine!$C$2:$C$622,0)),"",INDEX('Compliance Database'!$E$2:$E$622,MATCH(281,Engine!$C$2:$C$622,0)))</f>
        <v/>
      </c>
      <c r="F294">
        <f>IF(ISNA(MATCH(281,Engine!$C$2:$C$622,0)),"",INDEX('Compliance Database'!$F$2:$F$622,MATCH(281,Engine!$C$2:$C$622,0)))</f>
        <v/>
      </c>
      <c r="G294">
        <f>IF(ISNA(MATCH(281,Engine!$C$2:$C$622,0)),"",INDEX('Compliance Database'!$G$2:$G$622,MATCH(281,Engine!$C$2:$C$622,0)))</f>
        <v/>
      </c>
      <c r="H294">
        <f>IF(ISNA(MATCH(281,Engine!$C$2:$C$622,0)),"",INDEX('Compliance Database'!$H$2:$H$622,MATCH(281,Engine!$C$2:$C$622,0)))</f>
        <v/>
      </c>
      <c r="I294" s="8">
        <f>IF(ISNA(MATCH(281,Engine!$C$2:$C$622,0)),"",INDEX('Compliance Database'!$I$2:$I$622,MATCH(281,Engine!$C$2:$C$622,0)))</f>
        <v/>
      </c>
      <c r="J294" s="8">
        <f>IF(ISNA(MATCH(281,Engine!$C$2:$C$622,0)),"",INDEX('Compliance Database'!$J$2:$J$622,MATCH(281,Engine!$C$2:$C$622,0)))</f>
        <v/>
      </c>
      <c r="K294">
        <f>IF(ISNA(MATCH(281,Engine!$C$2:$C$622,0)),"",INDEX('Compliance Database'!$K$2:$K$622,MATCH(281,Engine!$C$2:$C$622,0)))</f>
        <v/>
      </c>
      <c r="L294" s="8">
        <f>IF(ISNA(MATCH(281,Engine!$C$2:$C$622,0)),"",INDEX('Compliance Database'!$L$2:$L$622,MATCH(281,Engine!$C$2:$C$622,0)))</f>
        <v/>
      </c>
      <c r="M294" s="8">
        <f>IF(ISNA(MATCH(281,Engine!$C$2:$C$622,0)),"",INDEX('Compliance Database'!$M$2:$M$622,MATCH(281,Engine!$C$2:$C$622,0)))</f>
        <v/>
      </c>
      <c r="N294" s="8">
        <f>IF(ISNA(MATCH(281,Engine!$C$2:$C$622,0)),"",INDEX('Compliance Database'!$N$2:$N$622,MATCH(281,Engine!$C$2:$C$622,0)))</f>
        <v/>
      </c>
      <c r="O294" s="8">
        <f>IF(ISNA(MATCH(281,Engine!$C$2:$C$622,0)),"",INDEX('Compliance Database'!$O$2:$O$622,MATCH(281,Engine!$C$2:$C$622,0)))</f>
        <v/>
      </c>
    </row>
    <row r="295">
      <c r="A295">
        <f>IF(ISNA(MATCH(282,Engine!$C$2:$C$622,0)),"",INDEX('Compliance Database'!$A$2:$A$622,MATCH(282,Engine!$C$2:$C$622,0)))</f>
        <v/>
      </c>
      <c r="B295">
        <f>IF(ISNA(MATCH(282,Engine!$C$2:$C$622,0)),"",INDEX('Compliance Database'!$B$2:$B$622,MATCH(282,Engine!$C$2:$C$622,0)))</f>
        <v/>
      </c>
      <c r="C295">
        <f>IF(ISNA(MATCH(282,Engine!$C$2:$C$622,0)),"",INDEX('Compliance Database'!$C$2:$C$622,MATCH(282,Engine!$C$2:$C$622,0)))</f>
        <v/>
      </c>
      <c r="D295" s="8">
        <f>IF(ISNA(MATCH(282,Engine!$C$2:$C$622,0)),"",INDEX('Compliance Database'!$D$2:$D$622,MATCH(282,Engine!$C$2:$C$622,0)))</f>
        <v/>
      </c>
      <c r="E295">
        <f>IF(ISNA(MATCH(282,Engine!$C$2:$C$622,0)),"",INDEX('Compliance Database'!$E$2:$E$622,MATCH(282,Engine!$C$2:$C$622,0)))</f>
        <v/>
      </c>
      <c r="F295">
        <f>IF(ISNA(MATCH(282,Engine!$C$2:$C$622,0)),"",INDEX('Compliance Database'!$F$2:$F$622,MATCH(282,Engine!$C$2:$C$622,0)))</f>
        <v/>
      </c>
      <c r="G295">
        <f>IF(ISNA(MATCH(282,Engine!$C$2:$C$622,0)),"",INDEX('Compliance Database'!$G$2:$G$622,MATCH(282,Engine!$C$2:$C$622,0)))</f>
        <v/>
      </c>
      <c r="H295">
        <f>IF(ISNA(MATCH(282,Engine!$C$2:$C$622,0)),"",INDEX('Compliance Database'!$H$2:$H$622,MATCH(282,Engine!$C$2:$C$622,0)))</f>
        <v/>
      </c>
      <c r="I295" s="8">
        <f>IF(ISNA(MATCH(282,Engine!$C$2:$C$622,0)),"",INDEX('Compliance Database'!$I$2:$I$622,MATCH(282,Engine!$C$2:$C$622,0)))</f>
        <v/>
      </c>
      <c r="J295" s="8">
        <f>IF(ISNA(MATCH(282,Engine!$C$2:$C$622,0)),"",INDEX('Compliance Database'!$J$2:$J$622,MATCH(282,Engine!$C$2:$C$622,0)))</f>
        <v/>
      </c>
      <c r="K295">
        <f>IF(ISNA(MATCH(282,Engine!$C$2:$C$622,0)),"",INDEX('Compliance Database'!$K$2:$K$622,MATCH(282,Engine!$C$2:$C$622,0)))</f>
        <v/>
      </c>
      <c r="L295" s="8">
        <f>IF(ISNA(MATCH(282,Engine!$C$2:$C$622,0)),"",INDEX('Compliance Database'!$L$2:$L$622,MATCH(282,Engine!$C$2:$C$622,0)))</f>
        <v/>
      </c>
      <c r="M295" s="8">
        <f>IF(ISNA(MATCH(282,Engine!$C$2:$C$622,0)),"",INDEX('Compliance Database'!$M$2:$M$622,MATCH(282,Engine!$C$2:$C$622,0)))</f>
        <v/>
      </c>
      <c r="N295" s="8">
        <f>IF(ISNA(MATCH(282,Engine!$C$2:$C$622,0)),"",INDEX('Compliance Database'!$N$2:$N$622,MATCH(282,Engine!$C$2:$C$622,0)))</f>
        <v/>
      </c>
      <c r="O295" s="8">
        <f>IF(ISNA(MATCH(282,Engine!$C$2:$C$622,0)),"",INDEX('Compliance Database'!$O$2:$O$622,MATCH(282,Engine!$C$2:$C$622,0)))</f>
        <v/>
      </c>
    </row>
    <row r="296">
      <c r="A296">
        <f>IF(ISNA(MATCH(283,Engine!$C$2:$C$622,0)),"",INDEX('Compliance Database'!$A$2:$A$622,MATCH(283,Engine!$C$2:$C$622,0)))</f>
        <v/>
      </c>
      <c r="B296">
        <f>IF(ISNA(MATCH(283,Engine!$C$2:$C$622,0)),"",INDEX('Compliance Database'!$B$2:$B$622,MATCH(283,Engine!$C$2:$C$622,0)))</f>
        <v/>
      </c>
      <c r="C296">
        <f>IF(ISNA(MATCH(283,Engine!$C$2:$C$622,0)),"",INDEX('Compliance Database'!$C$2:$C$622,MATCH(283,Engine!$C$2:$C$622,0)))</f>
        <v/>
      </c>
      <c r="D296" s="8">
        <f>IF(ISNA(MATCH(283,Engine!$C$2:$C$622,0)),"",INDEX('Compliance Database'!$D$2:$D$622,MATCH(283,Engine!$C$2:$C$622,0)))</f>
        <v/>
      </c>
      <c r="E296">
        <f>IF(ISNA(MATCH(283,Engine!$C$2:$C$622,0)),"",INDEX('Compliance Database'!$E$2:$E$622,MATCH(283,Engine!$C$2:$C$622,0)))</f>
        <v/>
      </c>
      <c r="F296">
        <f>IF(ISNA(MATCH(283,Engine!$C$2:$C$622,0)),"",INDEX('Compliance Database'!$F$2:$F$622,MATCH(283,Engine!$C$2:$C$622,0)))</f>
        <v/>
      </c>
      <c r="G296">
        <f>IF(ISNA(MATCH(283,Engine!$C$2:$C$622,0)),"",INDEX('Compliance Database'!$G$2:$G$622,MATCH(283,Engine!$C$2:$C$622,0)))</f>
        <v/>
      </c>
      <c r="H296">
        <f>IF(ISNA(MATCH(283,Engine!$C$2:$C$622,0)),"",INDEX('Compliance Database'!$H$2:$H$622,MATCH(283,Engine!$C$2:$C$622,0)))</f>
        <v/>
      </c>
      <c r="I296" s="8">
        <f>IF(ISNA(MATCH(283,Engine!$C$2:$C$622,0)),"",INDEX('Compliance Database'!$I$2:$I$622,MATCH(283,Engine!$C$2:$C$622,0)))</f>
        <v/>
      </c>
      <c r="J296" s="8">
        <f>IF(ISNA(MATCH(283,Engine!$C$2:$C$622,0)),"",INDEX('Compliance Database'!$J$2:$J$622,MATCH(283,Engine!$C$2:$C$622,0)))</f>
        <v/>
      </c>
      <c r="K296">
        <f>IF(ISNA(MATCH(283,Engine!$C$2:$C$622,0)),"",INDEX('Compliance Database'!$K$2:$K$622,MATCH(283,Engine!$C$2:$C$622,0)))</f>
        <v/>
      </c>
      <c r="L296" s="8">
        <f>IF(ISNA(MATCH(283,Engine!$C$2:$C$622,0)),"",INDEX('Compliance Database'!$L$2:$L$622,MATCH(283,Engine!$C$2:$C$622,0)))</f>
        <v/>
      </c>
      <c r="M296" s="8">
        <f>IF(ISNA(MATCH(283,Engine!$C$2:$C$622,0)),"",INDEX('Compliance Database'!$M$2:$M$622,MATCH(283,Engine!$C$2:$C$622,0)))</f>
        <v/>
      </c>
      <c r="N296" s="8">
        <f>IF(ISNA(MATCH(283,Engine!$C$2:$C$622,0)),"",INDEX('Compliance Database'!$N$2:$N$622,MATCH(283,Engine!$C$2:$C$622,0)))</f>
        <v/>
      </c>
      <c r="O296" s="8">
        <f>IF(ISNA(MATCH(283,Engine!$C$2:$C$622,0)),"",INDEX('Compliance Database'!$O$2:$O$622,MATCH(283,Engine!$C$2:$C$622,0)))</f>
        <v/>
      </c>
    </row>
    <row r="297">
      <c r="A297">
        <f>IF(ISNA(MATCH(284,Engine!$C$2:$C$622,0)),"",INDEX('Compliance Database'!$A$2:$A$622,MATCH(284,Engine!$C$2:$C$622,0)))</f>
        <v/>
      </c>
      <c r="B297">
        <f>IF(ISNA(MATCH(284,Engine!$C$2:$C$622,0)),"",INDEX('Compliance Database'!$B$2:$B$622,MATCH(284,Engine!$C$2:$C$622,0)))</f>
        <v/>
      </c>
      <c r="C297">
        <f>IF(ISNA(MATCH(284,Engine!$C$2:$C$622,0)),"",INDEX('Compliance Database'!$C$2:$C$622,MATCH(284,Engine!$C$2:$C$622,0)))</f>
        <v/>
      </c>
      <c r="D297" s="8">
        <f>IF(ISNA(MATCH(284,Engine!$C$2:$C$622,0)),"",INDEX('Compliance Database'!$D$2:$D$622,MATCH(284,Engine!$C$2:$C$622,0)))</f>
        <v/>
      </c>
      <c r="E297">
        <f>IF(ISNA(MATCH(284,Engine!$C$2:$C$622,0)),"",INDEX('Compliance Database'!$E$2:$E$622,MATCH(284,Engine!$C$2:$C$622,0)))</f>
        <v/>
      </c>
      <c r="F297">
        <f>IF(ISNA(MATCH(284,Engine!$C$2:$C$622,0)),"",INDEX('Compliance Database'!$F$2:$F$622,MATCH(284,Engine!$C$2:$C$622,0)))</f>
        <v/>
      </c>
      <c r="G297">
        <f>IF(ISNA(MATCH(284,Engine!$C$2:$C$622,0)),"",INDEX('Compliance Database'!$G$2:$G$622,MATCH(284,Engine!$C$2:$C$622,0)))</f>
        <v/>
      </c>
      <c r="H297">
        <f>IF(ISNA(MATCH(284,Engine!$C$2:$C$622,0)),"",INDEX('Compliance Database'!$H$2:$H$622,MATCH(284,Engine!$C$2:$C$622,0)))</f>
        <v/>
      </c>
      <c r="I297" s="8">
        <f>IF(ISNA(MATCH(284,Engine!$C$2:$C$622,0)),"",INDEX('Compliance Database'!$I$2:$I$622,MATCH(284,Engine!$C$2:$C$622,0)))</f>
        <v/>
      </c>
      <c r="J297" s="8">
        <f>IF(ISNA(MATCH(284,Engine!$C$2:$C$622,0)),"",INDEX('Compliance Database'!$J$2:$J$622,MATCH(284,Engine!$C$2:$C$622,0)))</f>
        <v/>
      </c>
      <c r="K297">
        <f>IF(ISNA(MATCH(284,Engine!$C$2:$C$622,0)),"",INDEX('Compliance Database'!$K$2:$K$622,MATCH(284,Engine!$C$2:$C$622,0)))</f>
        <v/>
      </c>
      <c r="L297" s="8">
        <f>IF(ISNA(MATCH(284,Engine!$C$2:$C$622,0)),"",INDEX('Compliance Database'!$L$2:$L$622,MATCH(284,Engine!$C$2:$C$622,0)))</f>
        <v/>
      </c>
      <c r="M297" s="8">
        <f>IF(ISNA(MATCH(284,Engine!$C$2:$C$622,0)),"",INDEX('Compliance Database'!$M$2:$M$622,MATCH(284,Engine!$C$2:$C$622,0)))</f>
        <v/>
      </c>
      <c r="N297" s="8">
        <f>IF(ISNA(MATCH(284,Engine!$C$2:$C$622,0)),"",INDEX('Compliance Database'!$N$2:$N$622,MATCH(284,Engine!$C$2:$C$622,0)))</f>
        <v/>
      </c>
      <c r="O297" s="8">
        <f>IF(ISNA(MATCH(284,Engine!$C$2:$C$622,0)),"",INDEX('Compliance Database'!$O$2:$O$622,MATCH(284,Engine!$C$2:$C$622,0)))</f>
        <v/>
      </c>
    </row>
    <row r="298">
      <c r="A298">
        <f>IF(ISNA(MATCH(285,Engine!$C$2:$C$622,0)),"",INDEX('Compliance Database'!$A$2:$A$622,MATCH(285,Engine!$C$2:$C$622,0)))</f>
        <v/>
      </c>
      <c r="B298">
        <f>IF(ISNA(MATCH(285,Engine!$C$2:$C$622,0)),"",INDEX('Compliance Database'!$B$2:$B$622,MATCH(285,Engine!$C$2:$C$622,0)))</f>
        <v/>
      </c>
      <c r="C298">
        <f>IF(ISNA(MATCH(285,Engine!$C$2:$C$622,0)),"",INDEX('Compliance Database'!$C$2:$C$622,MATCH(285,Engine!$C$2:$C$622,0)))</f>
        <v/>
      </c>
      <c r="D298" s="8">
        <f>IF(ISNA(MATCH(285,Engine!$C$2:$C$622,0)),"",INDEX('Compliance Database'!$D$2:$D$622,MATCH(285,Engine!$C$2:$C$622,0)))</f>
        <v/>
      </c>
      <c r="E298">
        <f>IF(ISNA(MATCH(285,Engine!$C$2:$C$622,0)),"",INDEX('Compliance Database'!$E$2:$E$622,MATCH(285,Engine!$C$2:$C$622,0)))</f>
        <v/>
      </c>
      <c r="F298">
        <f>IF(ISNA(MATCH(285,Engine!$C$2:$C$622,0)),"",INDEX('Compliance Database'!$F$2:$F$622,MATCH(285,Engine!$C$2:$C$622,0)))</f>
        <v/>
      </c>
      <c r="G298">
        <f>IF(ISNA(MATCH(285,Engine!$C$2:$C$622,0)),"",INDEX('Compliance Database'!$G$2:$G$622,MATCH(285,Engine!$C$2:$C$622,0)))</f>
        <v/>
      </c>
      <c r="H298">
        <f>IF(ISNA(MATCH(285,Engine!$C$2:$C$622,0)),"",INDEX('Compliance Database'!$H$2:$H$622,MATCH(285,Engine!$C$2:$C$622,0)))</f>
        <v/>
      </c>
      <c r="I298" s="8">
        <f>IF(ISNA(MATCH(285,Engine!$C$2:$C$622,0)),"",INDEX('Compliance Database'!$I$2:$I$622,MATCH(285,Engine!$C$2:$C$622,0)))</f>
        <v/>
      </c>
      <c r="J298" s="8">
        <f>IF(ISNA(MATCH(285,Engine!$C$2:$C$622,0)),"",INDEX('Compliance Database'!$J$2:$J$622,MATCH(285,Engine!$C$2:$C$622,0)))</f>
        <v/>
      </c>
      <c r="K298">
        <f>IF(ISNA(MATCH(285,Engine!$C$2:$C$622,0)),"",INDEX('Compliance Database'!$K$2:$K$622,MATCH(285,Engine!$C$2:$C$622,0)))</f>
        <v/>
      </c>
      <c r="L298" s="8">
        <f>IF(ISNA(MATCH(285,Engine!$C$2:$C$622,0)),"",INDEX('Compliance Database'!$L$2:$L$622,MATCH(285,Engine!$C$2:$C$622,0)))</f>
        <v/>
      </c>
      <c r="M298" s="8">
        <f>IF(ISNA(MATCH(285,Engine!$C$2:$C$622,0)),"",INDEX('Compliance Database'!$M$2:$M$622,MATCH(285,Engine!$C$2:$C$622,0)))</f>
        <v/>
      </c>
      <c r="N298" s="8">
        <f>IF(ISNA(MATCH(285,Engine!$C$2:$C$622,0)),"",INDEX('Compliance Database'!$N$2:$N$622,MATCH(285,Engine!$C$2:$C$622,0)))</f>
        <v/>
      </c>
      <c r="O298" s="8">
        <f>IF(ISNA(MATCH(285,Engine!$C$2:$C$622,0)),"",INDEX('Compliance Database'!$O$2:$O$622,MATCH(285,Engine!$C$2:$C$622,0)))</f>
        <v/>
      </c>
    </row>
    <row r="299">
      <c r="A299">
        <f>IF(ISNA(MATCH(286,Engine!$C$2:$C$622,0)),"",INDEX('Compliance Database'!$A$2:$A$622,MATCH(286,Engine!$C$2:$C$622,0)))</f>
        <v/>
      </c>
      <c r="B299">
        <f>IF(ISNA(MATCH(286,Engine!$C$2:$C$622,0)),"",INDEX('Compliance Database'!$B$2:$B$622,MATCH(286,Engine!$C$2:$C$622,0)))</f>
        <v/>
      </c>
      <c r="C299">
        <f>IF(ISNA(MATCH(286,Engine!$C$2:$C$622,0)),"",INDEX('Compliance Database'!$C$2:$C$622,MATCH(286,Engine!$C$2:$C$622,0)))</f>
        <v/>
      </c>
      <c r="D299" s="8">
        <f>IF(ISNA(MATCH(286,Engine!$C$2:$C$622,0)),"",INDEX('Compliance Database'!$D$2:$D$622,MATCH(286,Engine!$C$2:$C$622,0)))</f>
        <v/>
      </c>
      <c r="E299">
        <f>IF(ISNA(MATCH(286,Engine!$C$2:$C$622,0)),"",INDEX('Compliance Database'!$E$2:$E$622,MATCH(286,Engine!$C$2:$C$622,0)))</f>
        <v/>
      </c>
      <c r="F299">
        <f>IF(ISNA(MATCH(286,Engine!$C$2:$C$622,0)),"",INDEX('Compliance Database'!$F$2:$F$622,MATCH(286,Engine!$C$2:$C$622,0)))</f>
        <v/>
      </c>
      <c r="G299">
        <f>IF(ISNA(MATCH(286,Engine!$C$2:$C$622,0)),"",INDEX('Compliance Database'!$G$2:$G$622,MATCH(286,Engine!$C$2:$C$622,0)))</f>
        <v/>
      </c>
      <c r="H299">
        <f>IF(ISNA(MATCH(286,Engine!$C$2:$C$622,0)),"",INDEX('Compliance Database'!$H$2:$H$622,MATCH(286,Engine!$C$2:$C$622,0)))</f>
        <v/>
      </c>
      <c r="I299" s="8">
        <f>IF(ISNA(MATCH(286,Engine!$C$2:$C$622,0)),"",INDEX('Compliance Database'!$I$2:$I$622,MATCH(286,Engine!$C$2:$C$622,0)))</f>
        <v/>
      </c>
      <c r="J299" s="8">
        <f>IF(ISNA(MATCH(286,Engine!$C$2:$C$622,0)),"",INDEX('Compliance Database'!$J$2:$J$622,MATCH(286,Engine!$C$2:$C$622,0)))</f>
        <v/>
      </c>
      <c r="K299">
        <f>IF(ISNA(MATCH(286,Engine!$C$2:$C$622,0)),"",INDEX('Compliance Database'!$K$2:$K$622,MATCH(286,Engine!$C$2:$C$622,0)))</f>
        <v/>
      </c>
      <c r="L299" s="8">
        <f>IF(ISNA(MATCH(286,Engine!$C$2:$C$622,0)),"",INDEX('Compliance Database'!$L$2:$L$622,MATCH(286,Engine!$C$2:$C$622,0)))</f>
        <v/>
      </c>
      <c r="M299" s="8">
        <f>IF(ISNA(MATCH(286,Engine!$C$2:$C$622,0)),"",INDEX('Compliance Database'!$M$2:$M$622,MATCH(286,Engine!$C$2:$C$622,0)))</f>
        <v/>
      </c>
      <c r="N299" s="8">
        <f>IF(ISNA(MATCH(286,Engine!$C$2:$C$622,0)),"",INDEX('Compliance Database'!$N$2:$N$622,MATCH(286,Engine!$C$2:$C$622,0)))</f>
        <v/>
      </c>
      <c r="O299" s="8">
        <f>IF(ISNA(MATCH(286,Engine!$C$2:$C$622,0)),"",INDEX('Compliance Database'!$O$2:$O$622,MATCH(286,Engine!$C$2:$C$622,0)))</f>
        <v/>
      </c>
    </row>
    <row r="300">
      <c r="A300">
        <f>IF(ISNA(MATCH(287,Engine!$C$2:$C$622,0)),"",INDEX('Compliance Database'!$A$2:$A$622,MATCH(287,Engine!$C$2:$C$622,0)))</f>
        <v/>
      </c>
      <c r="B300">
        <f>IF(ISNA(MATCH(287,Engine!$C$2:$C$622,0)),"",INDEX('Compliance Database'!$B$2:$B$622,MATCH(287,Engine!$C$2:$C$622,0)))</f>
        <v/>
      </c>
      <c r="C300">
        <f>IF(ISNA(MATCH(287,Engine!$C$2:$C$622,0)),"",INDEX('Compliance Database'!$C$2:$C$622,MATCH(287,Engine!$C$2:$C$622,0)))</f>
        <v/>
      </c>
      <c r="D300" s="8">
        <f>IF(ISNA(MATCH(287,Engine!$C$2:$C$622,0)),"",INDEX('Compliance Database'!$D$2:$D$622,MATCH(287,Engine!$C$2:$C$622,0)))</f>
        <v/>
      </c>
      <c r="E300">
        <f>IF(ISNA(MATCH(287,Engine!$C$2:$C$622,0)),"",INDEX('Compliance Database'!$E$2:$E$622,MATCH(287,Engine!$C$2:$C$622,0)))</f>
        <v/>
      </c>
      <c r="F300">
        <f>IF(ISNA(MATCH(287,Engine!$C$2:$C$622,0)),"",INDEX('Compliance Database'!$F$2:$F$622,MATCH(287,Engine!$C$2:$C$622,0)))</f>
        <v/>
      </c>
      <c r="G300">
        <f>IF(ISNA(MATCH(287,Engine!$C$2:$C$622,0)),"",INDEX('Compliance Database'!$G$2:$G$622,MATCH(287,Engine!$C$2:$C$622,0)))</f>
        <v/>
      </c>
      <c r="H300">
        <f>IF(ISNA(MATCH(287,Engine!$C$2:$C$622,0)),"",INDEX('Compliance Database'!$H$2:$H$622,MATCH(287,Engine!$C$2:$C$622,0)))</f>
        <v/>
      </c>
      <c r="I300" s="8">
        <f>IF(ISNA(MATCH(287,Engine!$C$2:$C$622,0)),"",INDEX('Compliance Database'!$I$2:$I$622,MATCH(287,Engine!$C$2:$C$622,0)))</f>
        <v/>
      </c>
      <c r="J300" s="8">
        <f>IF(ISNA(MATCH(287,Engine!$C$2:$C$622,0)),"",INDEX('Compliance Database'!$J$2:$J$622,MATCH(287,Engine!$C$2:$C$622,0)))</f>
        <v/>
      </c>
      <c r="K300">
        <f>IF(ISNA(MATCH(287,Engine!$C$2:$C$622,0)),"",INDEX('Compliance Database'!$K$2:$K$622,MATCH(287,Engine!$C$2:$C$622,0)))</f>
        <v/>
      </c>
      <c r="L300" s="8">
        <f>IF(ISNA(MATCH(287,Engine!$C$2:$C$622,0)),"",INDEX('Compliance Database'!$L$2:$L$622,MATCH(287,Engine!$C$2:$C$622,0)))</f>
        <v/>
      </c>
      <c r="M300" s="8">
        <f>IF(ISNA(MATCH(287,Engine!$C$2:$C$622,0)),"",INDEX('Compliance Database'!$M$2:$M$622,MATCH(287,Engine!$C$2:$C$622,0)))</f>
        <v/>
      </c>
      <c r="N300" s="8">
        <f>IF(ISNA(MATCH(287,Engine!$C$2:$C$622,0)),"",INDEX('Compliance Database'!$N$2:$N$622,MATCH(287,Engine!$C$2:$C$622,0)))</f>
        <v/>
      </c>
      <c r="O300" s="8">
        <f>IF(ISNA(MATCH(287,Engine!$C$2:$C$622,0)),"",INDEX('Compliance Database'!$O$2:$O$622,MATCH(287,Engine!$C$2:$C$622,0)))</f>
        <v/>
      </c>
    </row>
    <row r="301">
      <c r="A301">
        <f>IF(ISNA(MATCH(288,Engine!$C$2:$C$622,0)),"",INDEX('Compliance Database'!$A$2:$A$622,MATCH(288,Engine!$C$2:$C$622,0)))</f>
        <v/>
      </c>
      <c r="B301">
        <f>IF(ISNA(MATCH(288,Engine!$C$2:$C$622,0)),"",INDEX('Compliance Database'!$B$2:$B$622,MATCH(288,Engine!$C$2:$C$622,0)))</f>
        <v/>
      </c>
      <c r="C301">
        <f>IF(ISNA(MATCH(288,Engine!$C$2:$C$622,0)),"",INDEX('Compliance Database'!$C$2:$C$622,MATCH(288,Engine!$C$2:$C$622,0)))</f>
        <v/>
      </c>
      <c r="D301" s="8">
        <f>IF(ISNA(MATCH(288,Engine!$C$2:$C$622,0)),"",INDEX('Compliance Database'!$D$2:$D$622,MATCH(288,Engine!$C$2:$C$622,0)))</f>
        <v/>
      </c>
      <c r="E301">
        <f>IF(ISNA(MATCH(288,Engine!$C$2:$C$622,0)),"",INDEX('Compliance Database'!$E$2:$E$622,MATCH(288,Engine!$C$2:$C$622,0)))</f>
        <v/>
      </c>
      <c r="F301">
        <f>IF(ISNA(MATCH(288,Engine!$C$2:$C$622,0)),"",INDEX('Compliance Database'!$F$2:$F$622,MATCH(288,Engine!$C$2:$C$622,0)))</f>
        <v/>
      </c>
      <c r="G301">
        <f>IF(ISNA(MATCH(288,Engine!$C$2:$C$622,0)),"",INDEX('Compliance Database'!$G$2:$G$622,MATCH(288,Engine!$C$2:$C$622,0)))</f>
        <v/>
      </c>
      <c r="H301">
        <f>IF(ISNA(MATCH(288,Engine!$C$2:$C$622,0)),"",INDEX('Compliance Database'!$H$2:$H$622,MATCH(288,Engine!$C$2:$C$622,0)))</f>
        <v/>
      </c>
      <c r="I301" s="8">
        <f>IF(ISNA(MATCH(288,Engine!$C$2:$C$622,0)),"",INDEX('Compliance Database'!$I$2:$I$622,MATCH(288,Engine!$C$2:$C$622,0)))</f>
        <v/>
      </c>
      <c r="J301" s="8">
        <f>IF(ISNA(MATCH(288,Engine!$C$2:$C$622,0)),"",INDEX('Compliance Database'!$J$2:$J$622,MATCH(288,Engine!$C$2:$C$622,0)))</f>
        <v/>
      </c>
      <c r="K301">
        <f>IF(ISNA(MATCH(288,Engine!$C$2:$C$622,0)),"",INDEX('Compliance Database'!$K$2:$K$622,MATCH(288,Engine!$C$2:$C$622,0)))</f>
        <v/>
      </c>
      <c r="L301" s="8">
        <f>IF(ISNA(MATCH(288,Engine!$C$2:$C$622,0)),"",INDEX('Compliance Database'!$L$2:$L$622,MATCH(288,Engine!$C$2:$C$622,0)))</f>
        <v/>
      </c>
      <c r="M301" s="8">
        <f>IF(ISNA(MATCH(288,Engine!$C$2:$C$622,0)),"",INDEX('Compliance Database'!$M$2:$M$622,MATCH(288,Engine!$C$2:$C$622,0)))</f>
        <v/>
      </c>
      <c r="N301" s="8">
        <f>IF(ISNA(MATCH(288,Engine!$C$2:$C$622,0)),"",INDEX('Compliance Database'!$N$2:$N$622,MATCH(288,Engine!$C$2:$C$622,0)))</f>
        <v/>
      </c>
      <c r="O301" s="8">
        <f>IF(ISNA(MATCH(288,Engine!$C$2:$C$622,0)),"",INDEX('Compliance Database'!$O$2:$O$622,MATCH(288,Engine!$C$2:$C$622,0)))</f>
        <v/>
      </c>
    </row>
    <row r="302">
      <c r="A302">
        <f>IF(ISNA(MATCH(289,Engine!$C$2:$C$622,0)),"",INDEX('Compliance Database'!$A$2:$A$622,MATCH(289,Engine!$C$2:$C$622,0)))</f>
        <v/>
      </c>
      <c r="B302">
        <f>IF(ISNA(MATCH(289,Engine!$C$2:$C$622,0)),"",INDEX('Compliance Database'!$B$2:$B$622,MATCH(289,Engine!$C$2:$C$622,0)))</f>
        <v/>
      </c>
      <c r="C302">
        <f>IF(ISNA(MATCH(289,Engine!$C$2:$C$622,0)),"",INDEX('Compliance Database'!$C$2:$C$622,MATCH(289,Engine!$C$2:$C$622,0)))</f>
        <v/>
      </c>
      <c r="D302" s="8">
        <f>IF(ISNA(MATCH(289,Engine!$C$2:$C$622,0)),"",INDEX('Compliance Database'!$D$2:$D$622,MATCH(289,Engine!$C$2:$C$622,0)))</f>
        <v/>
      </c>
      <c r="E302">
        <f>IF(ISNA(MATCH(289,Engine!$C$2:$C$622,0)),"",INDEX('Compliance Database'!$E$2:$E$622,MATCH(289,Engine!$C$2:$C$622,0)))</f>
        <v/>
      </c>
      <c r="F302">
        <f>IF(ISNA(MATCH(289,Engine!$C$2:$C$622,0)),"",INDEX('Compliance Database'!$F$2:$F$622,MATCH(289,Engine!$C$2:$C$622,0)))</f>
        <v/>
      </c>
      <c r="G302">
        <f>IF(ISNA(MATCH(289,Engine!$C$2:$C$622,0)),"",INDEX('Compliance Database'!$G$2:$G$622,MATCH(289,Engine!$C$2:$C$622,0)))</f>
        <v/>
      </c>
      <c r="H302">
        <f>IF(ISNA(MATCH(289,Engine!$C$2:$C$622,0)),"",INDEX('Compliance Database'!$H$2:$H$622,MATCH(289,Engine!$C$2:$C$622,0)))</f>
        <v/>
      </c>
      <c r="I302" s="8">
        <f>IF(ISNA(MATCH(289,Engine!$C$2:$C$622,0)),"",INDEX('Compliance Database'!$I$2:$I$622,MATCH(289,Engine!$C$2:$C$622,0)))</f>
        <v/>
      </c>
      <c r="J302" s="8">
        <f>IF(ISNA(MATCH(289,Engine!$C$2:$C$622,0)),"",INDEX('Compliance Database'!$J$2:$J$622,MATCH(289,Engine!$C$2:$C$622,0)))</f>
        <v/>
      </c>
      <c r="K302">
        <f>IF(ISNA(MATCH(289,Engine!$C$2:$C$622,0)),"",INDEX('Compliance Database'!$K$2:$K$622,MATCH(289,Engine!$C$2:$C$622,0)))</f>
        <v/>
      </c>
      <c r="L302" s="8">
        <f>IF(ISNA(MATCH(289,Engine!$C$2:$C$622,0)),"",INDEX('Compliance Database'!$L$2:$L$622,MATCH(289,Engine!$C$2:$C$622,0)))</f>
        <v/>
      </c>
      <c r="M302" s="8">
        <f>IF(ISNA(MATCH(289,Engine!$C$2:$C$622,0)),"",INDEX('Compliance Database'!$M$2:$M$622,MATCH(289,Engine!$C$2:$C$622,0)))</f>
        <v/>
      </c>
      <c r="N302" s="8">
        <f>IF(ISNA(MATCH(289,Engine!$C$2:$C$622,0)),"",INDEX('Compliance Database'!$N$2:$N$622,MATCH(289,Engine!$C$2:$C$622,0)))</f>
        <v/>
      </c>
      <c r="O302" s="8">
        <f>IF(ISNA(MATCH(289,Engine!$C$2:$C$622,0)),"",INDEX('Compliance Database'!$O$2:$O$622,MATCH(289,Engine!$C$2:$C$622,0)))</f>
        <v/>
      </c>
    </row>
    <row r="303">
      <c r="A303">
        <f>IF(ISNA(MATCH(290,Engine!$C$2:$C$622,0)),"",INDEX('Compliance Database'!$A$2:$A$622,MATCH(290,Engine!$C$2:$C$622,0)))</f>
        <v/>
      </c>
      <c r="B303">
        <f>IF(ISNA(MATCH(290,Engine!$C$2:$C$622,0)),"",INDEX('Compliance Database'!$B$2:$B$622,MATCH(290,Engine!$C$2:$C$622,0)))</f>
        <v/>
      </c>
      <c r="C303">
        <f>IF(ISNA(MATCH(290,Engine!$C$2:$C$622,0)),"",INDEX('Compliance Database'!$C$2:$C$622,MATCH(290,Engine!$C$2:$C$622,0)))</f>
        <v/>
      </c>
      <c r="D303" s="8">
        <f>IF(ISNA(MATCH(290,Engine!$C$2:$C$622,0)),"",INDEX('Compliance Database'!$D$2:$D$622,MATCH(290,Engine!$C$2:$C$622,0)))</f>
        <v/>
      </c>
      <c r="E303">
        <f>IF(ISNA(MATCH(290,Engine!$C$2:$C$622,0)),"",INDEX('Compliance Database'!$E$2:$E$622,MATCH(290,Engine!$C$2:$C$622,0)))</f>
        <v/>
      </c>
      <c r="F303">
        <f>IF(ISNA(MATCH(290,Engine!$C$2:$C$622,0)),"",INDEX('Compliance Database'!$F$2:$F$622,MATCH(290,Engine!$C$2:$C$622,0)))</f>
        <v/>
      </c>
      <c r="G303">
        <f>IF(ISNA(MATCH(290,Engine!$C$2:$C$622,0)),"",INDEX('Compliance Database'!$G$2:$G$622,MATCH(290,Engine!$C$2:$C$622,0)))</f>
        <v/>
      </c>
      <c r="H303">
        <f>IF(ISNA(MATCH(290,Engine!$C$2:$C$622,0)),"",INDEX('Compliance Database'!$H$2:$H$622,MATCH(290,Engine!$C$2:$C$622,0)))</f>
        <v/>
      </c>
      <c r="I303" s="8">
        <f>IF(ISNA(MATCH(290,Engine!$C$2:$C$622,0)),"",INDEX('Compliance Database'!$I$2:$I$622,MATCH(290,Engine!$C$2:$C$622,0)))</f>
        <v/>
      </c>
      <c r="J303" s="8">
        <f>IF(ISNA(MATCH(290,Engine!$C$2:$C$622,0)),"",INDEX('Compliance Database'!$J$2:$J$622,MATCH(290,Engine!$C$2:$C$622,0)))</f>
        <v/>
      </c>
      <c r="K303">
        <f>IF(ISNA(MATCH(290,Engine!$C$2:$C$622,0)),"",INDEX('Compliance Database'!$K$2:$K$622,MATCH(290,Engine!$C$2:$C$622,0)))</f>
        <v/>
      </c>
      <c r="L303" s="8">
        <f>IF(ISNA(MATCH(290,Engine!$C$2:$C$622,0)),"",INDEX('Compliance Database'!$L$2:$L$622,MATCH(290,Engine!$C$2:$C$622,0)))</f>
        <v/>
      </c>
      <c r="M303" s="8">
        <f>IF(ISNA(MATCH(290,Engine!$C$2:$C$622,0)),"",INDEX('Compliance Database'!$M$2:$M$622,MATCH(290,Engine!$C$2:$C$622,0)))</f>
        <v/>
      </c>
      <c r="N303" s="8">
        <f>IF(ISNA(MATCH(290,Engine!$C$2:$C$622,0)),"",INDEX('Compliance Database'!$N$2:$N$622,MATCH(290,Engine!$C$2:$C$622,0)))</f>
        <v/>
      </c>
      <c r="O303" s="8">
        <f>IF(ISNA(MATCH(290,Engine!$C$2:$C$622,0)),"",INDEX('Compliance Database'!$O$2:$O$622,MATCH(290,Engine!$C$2:$C$622,0)))</f>
        <v/>
      </c>
    </row>
    <row r="304">
      <c r="A304">
        <f>IF(ISNA(MATCH(291,Engine!$C$2:$C$622,0)),"",INDEX('Compliance Database'!$A$2:$A$622,MATCH(291,Engine!$C$2:$C$622,0)))</f>
        <v/>
      </c>
      <c r="B304">
        <f>IF(ISNA(MATCH(291,Engine!$C$2:$C$622,0)),"",INDEX('Compliance Database'!$B$2:$B$622,MATCH(291,Engine!$C$2:$C$622,0)))</f>
        <v/>
      </c>
      <c r="C304">
        <f>IF(ISNA(MATCH(291,Engine!$C$2:$C$622,0)),"",INDEX('Compliance Database'!$C$2:$C$622,MATCH(291,Engine!$C$2:$C$622,0)))</f>
        <v/>
      </c>
      <c r="D304" s="8">
        <f>IF(ISNA(MATCH(291,Engine!$C$2:$C$622,0)),"",INDEX('Compliance Database'!$D$2:$D$622,MATCH(291,Engine!$C$2:$C$622,0)))</f>
        <v/>
      </c>
      <c r="E304">
        <f>IF(ISNA(MATCH(291,Engine!$C$2:$C$622,0)),"",INDEX('Compliance Database'!$E$2:$E$622,MATCH(291,Engine!$C$2:$C$622,0)))</f>
        <v/>
      </c>
      <c r="F304">
        <f>IF(ISNA(MATCH(291,Engine!$C$2:$C$622,0)),"",INDEX('Compliance Database'!$F$2:$F$622,MATCH(291,Engine!$C$2:$C$622,0)))</f>
        <v/>
      </c>
      <c r="G304">
        <f>IF(ISNA(MATCH(291,Engine!$C$2:$C$622,0)),"",INDEX('Compliance Database'!$G$2:$G$622,MATCH(291,Engine!$C$2:$C$622,0)))</f>
        <v/>
      </c>
      <c r="H304">
        <f>IF(ISNA(MATCH(291,Engine!$C$2:$C$622,0)),"",INDEX('Compliance Database'!$H$2:$H$622,MATCH(291,Engine!$C$2:$C$622,0)))</f>
        <v/>
      </c>
      <c r="I304" s="8">
        <f>IF(ISNA(MATCH(291,Engine!$C$2:$C$622,0)),"",INDEX('Compliance Database'!$I$2:$I$622,MATCH(291,Engine!$C$2:$C$622,0)))</f>
        <v/>
      </c>
      <c r="J304" s="8">
        <f>IF(ISNA(MATCH(291,Engine!$C$2:$C$622,0)),"",INDEX('Compliance Database'!$J$2:$J$622,MATCH(291,Engine!$C$2:$C$622,0)))</f>
        <v/>
      </c>
      <c r="K304">
        <f>IF(ISNA(MATCH(291,Engine!$C$2:$C$622,0)),"",INDEX('Compliance Database'!$K$2:$K$622,MATCH(291,Engine!$C$2:$C$622,0)))</f>
        <v/>
      </c>
      <c r="L304" s="8">
        <f>IF(ISNA(MATCH(291,Engine!$C$2:$C$622,0)),"",INDEX('Compliance Database'!$L$2:$L$622,MATCH(291,Engine!$C$2:$C$622,0)))</f>
        <v/>
      </c>
      <c r="M304" s="8">
        <f>IF(ISNA(MATCH(291,Engine!$C$2:$C$622,0)),"",INDEX('Compliance Database'!$M$2:$M$622,MATCH(291,Engine!$C$2:$C$622,0)))</f>
        <v/>
      </c>
      <c r="N304" s="8">
        <f>IF(ISNA(MATCH(291,Engine!$C$2:$C$622,0)),"",INDEX('Compliance Database'!$N$2:$N$622,MATCH(291,Engine!$C$2:$C$622,0)))</f>
        <v/>
      </c>
      <c r="O304" s="8">
        <f>IF(ISNA(MATCH(291,Engine!$C$2:$C$622,0)),"",INDEX('Compliance Database'!$O$2:$O$622,MATCH(291,Engine!$C$2:$C$622,0)))</f>
        <v/>
      </c>
    </row>
    <row r="305">
      <c r="A305">
        <f>IF(ISNA(MATCH(292,Engine!$C$2:$C$622,0)),"",INDEX('Compliance Database'!$A$2:$A$622,MATCH(292,Engine!$C$2:$C$622,0)))</f>
        <v/>
      </c>
      <c r="B305">
        <f>IF(ISNA(MATCH(292,Engine!$C$2:$C$622,0)),"",INDEX('Compliance Database'!$B$2:$B$622,MATCH(292,Engine!$C$2:$C$622,0)))</f>
        <v/>
      </c>
      <c r="C305">
        <f>IF(ISNA(MATCH(292,Engine!$C$2:$C$622,0)),"",INDEX('Compliance Database'!$C$2:$C$622,MATCH(292,Engine!$C$2:$C$622,0)))</f>
        <v/>
      </c>
      <c r="D305" s="8">
        <f>IF(ISNA(MATCH(292,Engine!$C$2:$C$622,0)),"",INDEX('Compliance Database'!$D$2:$D$622,MATCH(292,Engine!$C$2:$C$622,0)))</f>
        <v/>
      </c>
      <c r="E305">
        <f>IF(ISNA(MATCH(292,Engine!$C$2:$C$622,0)),"",INDEX('Compliance Database'!$E$2:$E$622,MATCH(292,Engine!$C$2:$C$622,0)))</f>
        <v/>
      </c>
      <c r="F305">
        <f>IF(ISNA(MATCH(292,Engine!$C$2:$C$622,0)),"",INDEX('Compliance Database'!$F$2:$F$622,MATCH(292,Engine!$C$2:$C$622,0)))</f>
        <v/>
      </c>
      <c r="G305">
        <f>IF(ISNA(MATCH(292,Engine!$C$2:$C$622,0)),"",INDEX('Compliance Database'!$G$2:$G$622,MATCH(292,Engine!$C$2:$C$622,0)))</f>
        <v/>
      </c>
      <c r="H305">
        <f>IF(ISNA(MATCH(292,Engine!$C$2:$C$622,0)),"",INDEX('Compliance Database'!$H$2:$H$622,MATCH(292,Engine!$C$2:$C$622,0)))</f>
        <v/>
      </c>
      <c r="I305" s="8">
        <f>IF(ISNA(MATCH(292,Engine!$C$2:$C$622,0)),"",INDEX('Compliance Database'!$I$2:$I$622,MATCH(292,Engine!$C$2:$C$622,0)))</f>
        <v/>
      </c>
      <c r="J305" s="8">
        <f>IF(ISNA(MATCH(292,Engine!$C$2:$C$622,0)),"",INDEX('Compliance Database'!$J$2:$J$622,MATCH(292,Engine!$C$2:$C$622,0)))</f>
        <v/>
      </c>
      <c r="K305">
        <f>IF(ISNA(MATCH(292,Engine!$C$2:$C$622,0)),"",INDEX('Compliance Database'!$K$2:$K$622,MATCH(292,Engine!$C$2:$C$622,0)))</f>
        <v/>
      </c>
      <c r="L305" s="8">
        <f>IF(ISNA(MATCH(292,Engine!$C$2:$C$622,0)),"",INDEX('Compliance Database'!$L$2:$L$622,MATCH(292,Engine!$C$2:$C$622,0)))</f>
        <v/>
      </c>
      <c r="M305" s="8">
        <f>IF(ISNA(MATCH(292,Engine!$C$2:$C$622,0)),"",INDEX('Compliance Database'!$M$2:$M$622,MATCH(292,Engine!$C$2:$C$622,0)))</f>
        <v/>
      </c>
      <c r="N305" s="8">
        <f>IF(ISNA(MATCH(292,Engine!$C$2:$C$622,0)),"",INDEX('Compliance Database'!$N$2:$N$622,MATCH(292,Engine!$C$2:$C$622,0)))</f>
        <v/>
      </c>
      <c r="O305" s="8">
        <f>IF(ISNA(MATCH(292,Engine!$C$2:$C$622,0)),"",INDEX('Compliance Database'!$O$2:$O$622,MATCH(292,Engine!$C$2:$C$622,0)))</f>
        <v/>
      </c>
    </row>
    <row r="306">
      <c r="A306">
        <f>IF(ISNA(MATCH(293,Engine!$C$2:$C$622,0)),"",INDEX('Compliance Database'!$A$2:$A$622,MATCH(293,Engine!$C$2:$C$622,0)))</f>
        <v/>
      </c>
      <c r="B306">
        <f>IF(ISNA(MATCH(293,Engine!$C$2:$C$622,0)),"",INDEX('Compliance Database'!$B$2:$B$622,MATCH(293,Engine!$C$2:$C$622,0)))</f>
        <v/>
      </c>
      <c r="C306">
        <f>IF(ISNA(MATCH(293,Engine!$C$2:$C$622,0)),"",INDEX('Compliance Database'!$C$2:$C$622,MATCH(293,Engine!$C$2:$C$622,0)))</f>
        <v/>
      </c>
      <c r="D306" s="8">
        <f>IF(ISNA(MATCH(293,Engine!$C$2:$C$622,0)),"",INDEX('Compliance Database'!$D$2:$D$622,MATCH(293,Engine!$C$2:$C$622,0)))</f>
        <v/>
      </c>
      <c r="E306">
        <f>IF(ISNA(MATCH(293,Engine!$C$2:$C$622,0)),"",INDEX('Compliance Database'!$E$2:$E$622,MATCH(293,Engine!$C$2:$C$622,0)))</f>
        <v/>
      </c>
      <c r="F306">
        <f>IF(ISNA(MATCH(293,Engine!$C$2:$C$622,0)),"",INDEX('Compliance Database'!$F$2:$F$622,MATCH(293,Engine!$C$2:$C$622,0)))</f>
        <v/>
      </c>
      <c r="G306">
        <f>IF(ISNA(MATCH(293,Engine!$C$2:$C$622,0)),"",INDEX('Compliance Database'!$G$2:$G$622,MATCH(293,Engine!$C$2:$C$622,0)))</f>
        <v/>
      </c>
      <c r="H306">
        <f>IF(ISNA(MATCH(293,Engine!$C$2:$C$622,0)),"",INDEX('Compliance Database'!$H$2:$H$622,MATCH(293,Engine!$C$2:$C$622,0)))</f>
        <v/>
      </c>
      <c r="I306" s="8">
        <f>IF(ISNA(MATCH(293,Engine!$C$2:$C$622,0)),"",INDEX('Compliance Database'!$I$2:$I$622,MATCH(293,Engine!$C$2:$C$622,0)))</f>
        <v/>
      </c>
      <c r="J306" s="8">
        <f>IF(ISNA(MATCH(293,Engine!$C$2:$C$622,0)),"",INDEX('Compliance Database'!$J$2:$J$622,MATCH(293,Engine!$C$2:$C$622,0)))</f>
        <v/>
      </c>
      <c r="K306">
        <f>IF(ISNA(MATCH(293,Engine!$C$2:$C$622,0)),"",INDEX('Compliance Database'!$K$2:$K$622,MATCH(293,Engine!$C$2:$C$622,0)))</f>
        <v/>
      </c>
      <c r="L306" s="8">
        <f>IF(ISNA(MATCH(293,Engine!$C$2:$C$622,0)),"",INDEX('Compliance Database'!$L$2:$L$622,MATCH(293,Engine!$C$2:$C$622,0)))</f>
        <v/>
      </c>
      <c r="M306" s="8">
        <f>IF(ISNA(MATCH(293,Engine!$C$2:$C$622,0)),"",INDEX('Compliance Database'!$M$2:$M$622,MATCH(293,Engine!$C$2:$C$622,0)))</f>
        <v/>
      </c>
      <c r="N306" s="8">
        <f>IF(ISNA(MATCH(293,Engine!$C$2:$C$622,0)),"",INDEX('Compliance Database'!$N$2:$N$622,MATCH(293,Engine!$C$2:$C$622,0)))</f>
        <v/>
      </c>
      <c r="O306" s="8">
        <f>IF(ISNA(MATCH(293,Engine!$C$2:$C$622,0)),"",INDEX('Compliance Database'!$O$2:$O$622,MATCH(293,Engine!$C$2:$C$622,0)))</f>
        <v/>
      </c>
    </row>
    <row r="307">
      <c r="A307">
        <f>IF(ISNA(MATCH(294,Engine!$C$2:$C$622,0)),"",INDEX('Compliance Database'!$A$2:$A$622,MATCH(294,Engine!$C$2:$C$622,0)))</f>
        <v/>
      </c>
      <c r="B307">
        <f>IF(ISNA(MATCH(294,Engine!$C$2:$C$622,0)),"",INDEX('Compliance Database'!$B$2:$B$622,MATCH(294,Engine!$C$2:$C$622,0)))</f>
        <v/>
      </c>
      <c r="C307">
        <f>IF(ISNA(MATCH(294,Engine!$C$2:$C$622,0)),"",INDEX('Compliance Database'!$C$2:$C$622,MATCH(294,Engine!$C$2:$C$622,0)))</f>
        <v/>
      </c>
      <c r="D307" s="8">
        <f>IF(ISNA(MATCH(294,Engine!$C$2:$C$622,0)),"",INDEX('Compliance Database'!$D$2:$D$622,MATCH(294,Engine!$C$2:$C$622,0)))</f>
        <v/>
      </c>
      <c r="E307">
        <f>IF(ISNA(MATCH(294,Engine!$C$2:$C$622,0)),"",INDEX('Compliance Database'!$E$2:$E$622,MATCH(294,Engine!$C$2:$C$622,0)))</f>
        <v/>
      </c>
      <c r="F307">
        <f>IF(ISNA(MATCH(294,Engine!$C$2:$C$622,0)),"",INDEX('Compliance Database'!$F$2:$F$622,MATCH(294,Engine!$C$2:$C$622,0)))</f>
        <v/>
      </c>
      <c r="G307">
        <f>IF(ISNA(MATCH(294,Engine!$C$2:$C$622,0)),"",INDEX('Compliance Database'!$G$2:$G$622,MATCH(294,Engine!$C$2:$C$622,0)))</f>
        <v/>
      </c>
      <c r="H307">
        <f>IF(ISNA(MATCH(294,Engine!$C$2:$C$622,0)),"",INDEX('Compliance Database'!$H$2:$H$622,MATCH(294,Engine!$C$2:$C$622,0)))</f>
        <v/>
      </c>
      <c r="I307" s="8">
        <f>IF(ISNA(MATCH(294,Engine!$C$2:$C$622,0)),"",INDEX('Compliance Database'!$I$2:$I$622,MATCH(294,Engine!$C$2:$C$622,0)))</f>
        <v/>
      </c>
      <c r="J307" s="8">
        <f>IF(ISNA(MATCH(294,Engine!$C$2:$C$622,0)),"",INDEX('Compliance Database'!$J$2:$J$622,MATCH(294,Engine!$C$2:$C$622,0)))</f>
        <v/>
      </c>
      <c r="K307">
        <f>IF(ISNA(MATCH(294,Engine!$C$2:$C$622,0)),"",INDEX('Compliance Database'!$K$2:$K$622,MATCH(294,Engine!$C$2:$C$622,0)))</f>
        <v/>
      </c>
      <c r="L307" s="8">
        <f>IF(ISNA(MATCH(294,Engine!$C$2:$C$622,0)),"",INDEX('Compliance Database'!$L$2:$L$622,MATCH(294,Engine!$C$2:$C$622,0)))</f>
        <v/>
      </c>
      <c r="M307" s="8">
        <f>IF(ISNA(MATCH(294,Engine!$C$2:$C$622,0)),"",INDEX('Compliance Database'!$M$2:$M$622,MATCH(294,Engine!$C$2:$C$622,0)))</f>
        <v/>
      </c>
      <c r="N307" s="8">
        <f>IF(ISNA(MATCH(294,Engine!$C$2:$C$622,0)),"",INDEX('Compliance Database'!$N$2:$N$622,MATCH(294,Engine!$C$2:$C$622,0)))</f>
        <v/>
      </c>
      <c r="O307" s="8">
        <f>IF(ISNA(MATCH(294,Engine!$C$2:$C$622,0)),"",INDEX('Compliance Database'!$O$2:$O$622,MATCH(294,Engine!$C$2:$C$622,0)))</f>
        <v/>
      </c>
    </row>
    <row r="308">
      <c r="A308">
        <f>IF(ISNA(MATCH(295,Engine!$C$2:$C$622,0)),"",INDEX('Compliance Database'!$A$2:$A$622,MATCH(295,Engine!$C$2:$C$622,0)))</f>
        <v/>
      </c>
      <c r="B308">
        <f>IF(ISNA(MATCH(295,Engine!$C$2:$C$622,0)),"",INDEX('Compliance Database'!$B$2:$B$622,MATCH(295,Engine!$C$2:$C$622,0)))</f>
        <v/>
      </c>
      <c r="C308">
        <f>IF(ISNA(MATCH(295,Engine!$C$2:$C$622,0)),"",INDEX('Compliance Database'!$C$2:$C$622,MATCH(295,Engine!$C$2:$C$622,0)))</f>
        <v/>
      </c>
      <c r="D308" s="8">
        <f>IF(ISNA(MATCH(295,Engine!$C$2:$C$622,0)),"",INDEX('Compliance Database'!$D$2:$D$622,MATCH(295,Engine!$C$2:$C$622,0)))</f>
        <v/>
      </c>
      <c r="E308">
        <f>IF(ISNA(MATCH(295,Engine!$C$2:$C$622,0)),"",INDEX('Compliance Database'!$E$2:$E$622,MATCH(295,Engine!$C$2:$C$622,0)))</f>
        <v/>
      </c>
      <c r="F308">
        <f>IF(ISNA(MATCH(295,Engine!$C$2:$C$622,0)),"",INDEX('Compliance Database'!$F$2:$F$622,MATCH(295,Engine!$C$2:$C$622,0)))</f>
        <v/>
      </c>
      <c r="G308">
        <f>IF(ISNA(MATCH(295,Engine!$C$2:$C$622,0)),"",INDEX('Compliance Database'!$G$2:$G$622,MATCH(295,Engine!$C$2:$C$622,0)))</f>
        <v/>
      </c>
      <c r="H308">
        <f>IF(ISNA(MATCH(295,Engine!$C$2:$C$622,0)),"",INDEX('Compliance Database'!$H$2:$H$622,MATCH(295,Engine!$C$2:$C$622,0)))</f>
        <v/>
      </c>
      <c r="I308" s="8">
        <f>IF(ISNA(MATCH(295,Engine!$C$2:$C$622,0)),"",INDEX('Compliance Database'!$I$2:$I$622,MATCH(295,Engine!$C$2:$C$622,0)))</f>
        <v/>
      </c>
      <c r="J308" s="8">
        <f>IF(ISNA(MATCH(295,Engine!$C$2:$C$622,0)),"",INDEX('Compliance Database'!$J$2:$J$622,MATCH(295,Engine!$C$2:$C$622,0)))</f>
        <v/>
      </c>
      <c r="K308">
        <f>IF(ISNA(MATCH(295,Engine!$C$2:$C$622,0)),"",INDEX('Compliance Database'!$K$2:$K$622,MATCH(295,Engine!$C$2:$C$622,0)))</f>
        <v/>
      </c>
      <c r="L308" s="8">
        <f>IF(ISNA(MATCH(295,Engine!$C$2:$C$622,0)),"",INDEX('Compliance Database'!$L$2:$L$622,MATCH(295,Engine!$C$2:$C$622,0)))</f>
        <v/>
      </c>
      <c r="M308" s="8">
        <f>IF(ISNA(MATCH(295,Engine!$C$2:$C$622,0)),"",INDEX('Compliance Database'!$M$2:$M$622,MATCH(295,Engine!$C$2:$C$622,0)))</f>
        <v/>
      </c>
      <c r="N308" s="8">
        <f>IF(ISNA(MATCH(295,Engine!$C$2:$C$622,0)),"",INDEX('Compliance Database'!$N$2:$N$622,MATCH(295,Engine!$C$2:$C$622,0)))</f>
        <v/>
      </c>
      <c r="O308" s="8">
        <f>IF(ISNA(MATCH(295,Engine!$C$2:$C$622,0)),"",INDEX('Compliance Database'!$O$2:$O$622,MATCH(295,Engine!$C$2:$C$622,0)))</f>
        <v/>
      </c>
    </row>
    <row r="309">
      <c r="A309">
        <f>IF(ISNA(MATCH(296,Engine!$C$2:$C$622,0)),"",INDEX('Compliance Database'!$A$2:$A$622,MATCH(296,Engine!$C$2:$C$622,0)))</f>
        <v/>
      </c>
      <c r="B309">
        <f>IF(ISNA(MATCH(296,Engine!$C$2:$C$622,0)),"",INDEX('Compliance Database'!$B$2:$B$622,MATCH(296,Engine!$C$2:$C$622,0)))</f>
        <v/>
      </c>
      <c r="C309">
        <f>IF(ISNA(MATCH(296,Engine!$C$2:$C$622,0)),"",INDEX('Compliance Database'!$C$2:$C$622,MATCH(296,Engine!$C$2:$C$622,0)))</f>
        <v/>
      </c>
      <c r="D309" s="8">
        <f>IF(ISNA(MATCH(296,Engine!$C$2:$C$622,0)),"",INDEX('Compliance Database'!$D$2:$D$622,MATCH(296,Engine!$C$2:$C$622,0)))</f>
        <v/>
      </c>
      <c r="E309">
        <f>IF(ISNA(MATCH(296,Engine!$C$2:$C$622,0)),"",INDEX('Compliance Database'!$E$2:$E$622,MATCH(296,Engine!$C$2:$C$622,0)))</f>
        <v/>
      </c>
      <c r="F309">
        <f>IF(ISNA(MATCH(296,Engine!$C$2:$C$622,0)),"",INDEX('Compliance Database'!$F$2:$F$622,MATCH(296,Engine!$C$2:$C$622,0)))</f>
        <v/>
      </c>
      <c r="G309">
        <f>IF(ISNA(MATCH(296,Engine!$C$2:$C$622,0)),"",INDEX('Compliance Database'!$G$2:$G$622,MATCH(296,Engine!$C$2:$C$622,0)))</f>
        <v/>
      </c>
      <c r="H309">
        <f>IF(ISNA(MATCH(296,Engine!$C$2:$C$622,0)),"",INDEX('Compliance Database'!$H$2:$H$622,MATCH(296,Engine!$C$2:$C$622,0)))</f>
        <v/>
      </c>
      <c r="I309" s="8">
        <f>IF(ISNA(MATCH(296,Engine!$C$2:$C$622,0)),"",INDEX('Compliance Database'!$I$2:$I$622,MATCH(296,Engine!$C$2:$C$622,0)))</f>
        <v/>
      </c>
      <c r="J309" s="8">
        <f>IF(ISNA(MATCH(296,Engine!$C$2:$C$622,0)),"",INDEX('Compliance Database'!$J$2:$J$622,MATCH(296,Engine!$C$2:$C$622,0)))</f>
        <v/>
      </c>
      <c r="K309">
        <f>IF(ISNA(MATCH(296,Engine!$C$2:$C$622,0)),"",INDEX('Compliance Database'!$K$2:$K$622,MATCH(296,Engine!$C$2:$C$622,0)))</f>
        <v/>
      </c>
      <c r="L309" s="8">
        <f>IF(ISNA(MATCH(296,Engine!$C$2:$C$622,0)),"",INDEX('Compliance Database'!$L$2:$L$622,MATCH(296,Engine!$C$2:$C$622,0)))</f>
        <v/>
      </c>
      <c r="M309" s="8">
        <f>IF(ISNA(MATCH(296,Engine!$C$2:$C$622,0)),"",INDEX('Compliance Database'!$M$2:$M$622,MATCH(296,Engine!$C$2:$C$622,0)))</f>
        <v/>
      </c>
      <c r="N309" s="8">
        <f>IF(ISNA(MATCH(296,Engine!$C$2:$C$622,0)),"",INDEX('Compliance Database'!$N$2:$N$622,MATCH(296,Engine!$C$2:$C$622,0)))</f>
        <v/>
      </c>
      <c r="O309" s="8">
        <f>IF(ISNA(MATCH(296,Engine!$C$2:$C$622,0)),"",INDEX('Compliance Database'!$O$2:$O$622,MATCH(296,Engine!$C$2:$C$622,0)))</f>
        <v/>
      </c>
    </row>
    <row r="310">
      <c r="A310">
        <f>IF(ISNA(MATCH(297,Engine!$C$2:$C$622,0)),"",INDEX('Compliance Database'!$A$2:$A$622,MATCH(297,Engine!$C$2:$C$622,0)))</f>
        <v/>
      </c>
      <c r="B310">
        <f>IF(ISNA(MATCH(297,Engine!$C$2:$C$622,0)),"",INDEX('Compliance Database'!$B$2:$B$622,MATCH(297,Engine!$C$2:$C$622,0)))</f>
        <v/>
      </c>
      <c r="C310">
        <f>IF(ISNA(MATCH(297,Engine!$C$2:$C$622,0)),"",INDEX('Compliance Database'!$C$2:$C$622,MATCH(297,Engine!$C$2:$C$622,0)))</f>
        <v/>
      </c>
      <c r="D310" s="8">
        <f>IF(ISNA(MATCH(297,Engine!$C$2:$C$622,0)),"",INDEX('Compliance Database'!$D$2:$D$622,MATCH(297,Engine!$C$2:$C$622,0)))</f>
        <v/>
      </c>
      <c r="E310">
        <f>IF(ISNA(MATCH(297,Engine!$C$2:$C$622,0)),"",INDEX('Compliance Database'!$E$2:$E$622,MATCH(297,Engine!$C$2:$C$622,0)))</f>
        <v/>
      </c>
      <c r="F310">
        <f>IF(ISNA(MATCH(297,Engine!$C$2:$C$622,0)),"",INDEX('Compliance Database'!$F$2:$F$622,MATCH(297,Engine!$C$2:$C$622,0)))</f>
        <v/>
      </c>
      <c r="G310">
        <f>IF(ISNA(MATCH(297,Engine!$C$2:$C$622,0)),"",INDEX('Compliance Database'!$G$2:$G$622,MATCH(297,Engine!$C$2:$C$622,0)))</f>
        <v/>
      </c>
      <c r="H310">
        <f>IF(ISNA(MATCH(297,Engine!$C$2:$C$622,0)),"",INDEX('Compliance Database'!$H$2:$H$622,MATCH(297,Engine!$C$2:$C$622,0)))</f>
        <v/>
      </c>
      <c r="I310" s="8">
        <f>IF(ISNA(MATCH(297,Engine!$C$2:$C$622,0)),"",INDEX('Compliance Database'!$I$2:$I$622,MATCH(297,Engine!$C$2:$C$622,0)))</f>
        <v/>
      </c>
      <c r="J310" s="8">
        <f>IF(ISNA(MATCH(297,Engine!$C$2:$C$622,0)),"",INDEX('Compliance Database'!$J$2:$J$622,MATCH(297,Engine!$C$2:$C$622,0)))</f>
        <v/>
      </c>
      <c r="K310">
        <f>IF(ISNA(MATCH(297,Engine!$C$2:$C$622,0)),"",INDEX('Compliance Database'!$K$2:$K$622,MATCH(297,Engine!$C$2:$C$622,0)))</f>
        <v/>
      </c>
      <c r="L310" s="8">
        <f>IF(ISNA(MATCH(297,Engine!$C$2:$C$622,0)),"",INDEX('Compliance Database'!$L$2:$L$622,MATCH(297,Engine!$C$2:$C$622,0)))</f>
        <v/>
      </c>
      <c r="M310" s="8">
        <f>IF(ISNA(MATCH(297,Engine!$C$2:$C$622,0)),"",INDEX('Compliance Database'!$M$2:$M$622,MATCH(297,Engine!$C$2:$C$622,0)))</f>
        <v/>
      </c>
      <c r="N310" s="8">
        <f>IF(ISNA(MATCH(297,Engine!$C$2:$C$622,0)),"",INDEX('Compliance Database'!$N$2:$N$622,MATCH(297,Engine!$C$2:$C$622,0)))</f>
        <v/>
      </c>
      <c r="O310" s="8">
        <f>IF(ISNA(MATCH(297,Engine!$C$2:$C$622,0)),"",INDEX('Compliance Database'!$O$2:$O$622,MATCH(297,Engine!$C$2:$C$622,0)))</f>
        <v/>
      </c>
    </row>
    <row r="311">
      <c r="A311">
        <f>IF(ISNA(MATCH(298,Engine!$C$2:$C$622,0)),"",INDEX('Compliance Database'!$A$2:$A$622,MATCH(298,Engine!$C$2:$C$622,0)))</f>
        <v/>
      </c>
      <c r="B311">
        <f>IF(ISNA(MATCH(298,Engine!$C$2:$C$622,0)),"",INDEX('Compliance Database'!$B$2:$B$622,MATCH(298,Engine!$C$2:$C$622,0)))</f>
        <v/>
      </c>
      <c r="C311">
        <f>IF(ISNA(MATCH(298,Engine!$C$2:$C$622,0)),"",INDEX('Compliance Database'!$C$2:$C$622,MATCH(298,Engine!$C$2:$C$622,0)))</f>
        <v/>
      </c>
      <c r="D311" s="8">
        <f>IF(ISNA(MATCH(298,Engine!$C$2:$C$622,0)),"",INDEX('Compliance Database'!$D$2:$D$622,MATCH(298,Engine!$C$2:$C$622,0)))</f>
        <v/>
      </c>
      <c r="E311">
        <f>IF(ISNA(MATCH(298,Engine!$C$2:$C$622,0)),"",INDEX('Compliance Database'!$E$2:$E$622,MATCH(298,Engine!$C$2:$C$622,0)))</f>
        <v/>
      </c>
      <c r="F311">
        <f>IF(ISNA(MATCH(298,Engine!$C$2:$C$622,0)),"",INDEX('Compliance Database'!$F$2:$F$622,MATCH(298,Engine!$C$2:$C$622,0)))</f>
        <v/>
      </c>
      <c r="G311">
        <f>IF(ISNA(MATCH(298,Engine!$C$2:$C$622,0)),"",INDEX('Compliance Database'!$G$2:$G$622,MATCH(298,Engine!$C$2:$C$622,0)))</f>
        <v/>
      </c>
      <c r="H311">
        <f>IF(ISNA(MATCH(298,Engine!$C$2:$C$622,0)),"",INDEX('Compliance Database'!$H$2:$H$622,MATCH(298,Engine!$C$2:$C$622,0)))</f>
        <v/>
      </c>
      <c r="I311" s="8">
        <f>IF(ISNA(MATCH(298,Engine!$C$2:$C$622,0)),"",INDEX('Compliance Database'!$I$2:$I$622,MATCH(298,Engine!$C$2:$C$622,0)))</f>
        <v/>
      </c>
      <c r="J311" s="8">
        <f>IF(ISNA(MATCH(298,Engine!$C$2:$C$622,0)),"",INDEX('Compliance Database'!$J$2:$J$622,MATCH(298,Engine!$C$2:$C$622,0)))</f>
        <v/>
      </c>
      <c r="K311">
        <f>IF(ISNA(MATCH(298,Engine!$C$2:$C$622,0)),"",INDEX('Compliance Database'!$K$2:$K$622,MATCH(298,Engine!$C$2:$C$622,0)))</f>
        <v/>
      </c>
      <c r="L311" s="8">
        <f>IF(ISNA(MATCH(298,Engine!$C$2:$C$622,0)),"",INDEX('Compliance Database'!$L$2:$L$622,MATCH(298,Engine!$C$2:$C$622,0)))</f>
        <v/>
      </c>
      <c r="M311" s="8">
        <f>IF(ISNA(MATCH(298,Engine!$C$2:$C$622,0)),"",INDEX('Compliance Database'!$M$2:$M$622,MATCH(298,Engine!$C$2:$C$622,0)))</f>
        <v/>
      </c>
      <c r="N311" s="8">
        <f>IF(ISNA(MATCH(298,Engine!$C$2:$C$622,0)),"",INDEX('Compliance Database'!$N$2:$N$622,MATCH(298,Engine!$C$2:$C$622,0)))</f>
        <v/>
      </c>
      <c r="O311" s="8">
        <f>IF(ISNA(MATCH(298,Engine!$C$2:$C$622,0)),"",INDEX('Compliance Database'!$O$2:$O$622,MATCH(298,Engine!$C$2:$C$622,0)))</f>
        <v/>
      </c>
    </row>
    <row r="312">
      <c r="A312">
        <f>IF(ISNA(MATCH(299,Engine!$C$2:$C$622,0)),"",INDEX('Compliance Database'!$A$2:$A$622,MATCH(299,Engine!$C$2:$C$622,0)))</f>
        <v/>
      </c>
      <c r="B312">
        <f>IF(ISNA(MATCH(299,Engine!$C$2:$C$622,0)),"",INDEX('Compliance Database'!$B$2:$B$622,MATCH(299,Engine!$C$2:$C$622,0)))</f>
        <v/>
      </c>
      <c r="C312">
        <f>IF(ISNA(MATCH(299,Engine!$C$2:$C$622,0)),"",INDEX('Compliance Database'!$C$2:$C$622,MATCH(299,Engine!$C$2:$C$622,0)))</f>
        <v/>
      </c>
      <c r="D312" s="8">
        <f>IF(ISNA(MATCH(299,Engine!$C$2:$C$622,0)),"",INDEX('Compliance Database'!$D$2:$D$622,MATCH(299,Engine!$C$2:$C$622,0)))</f>
        <v/>
      </c>
      <c r="E312">
        <f>IF(ISNA(MATCH(299,Engine!$C$2:$C$622,0)),"",INDEX('Compliance Database'!$E$2:$E$622,MATCH(299,Engine!$C$2:$C$622,0)))</f>
        <v/>
      </c>
      <c r="F312">
        <f>IF(ISNA(MATCH(299,Engine!$C$2:$C$622,0)),"",INDEX('Compliance Database'!$F$2:$F$622,MATCH(299,Engine!$C$2:$C$622,0)))</f>
        <v/>
      </c>
      <c r="G312">
        <f>IF(ISNA(MATCH(299,Engine!$C$2:$C$622,0)),"",INDEX('Compliance Database'!$G$2:$G$622,MATCH(299,Engine!$C$2:$C$622,0)))</f>
        <v/>
      </c>
      <c r="H312">
        <f>IF(ISNA(MATCH(299,Engine!$C$2:$C$622,0)),"",INDEX('Compliance Database'!$H$2:$H$622,MATCH(299,Engine!$C$2:$C$622,0)))</f>
        <v/>
      </c>
      <c r="I312" s="8">
        <f>IF(ISNA(MATCH(299,Engine!$C$2:$C$622,0)),"",INDEX('Compliance Database'!$I$2:$I$622,MATCH(299,Engine!$C$2:$C$622,0)))</f>
        <v/>
      </c>
      <c r="J312" s="8">
        <f>IF(ISNA(MATCH(299,Engine!$C$2:$C$622,0)),"",INDEX('Compliance Database'!$J$2:$J$622,MATCH(299,Engine!$C$2:$C$622,0)))</f>
        <v/>
      </c>
      <c r="K312">
        <f>IF(ISNA(MATCH(299,Engine!$C$2:$C$622,0)),"",INDEX('Compliance Database'!$K$2:$K$622,MATCH(299,Engine!$C$2:$C$622,0)))</f>
        <v/>
      </c>
      <c r="L312" s="8">
        <f>IF(ISNA(MATCH(299,Engine!$C$2:$C$622,0)),"",INDEX('Compliance Database'!$L$2:$L$622,MATCH(299,Engine!$C$2:$C$622,0)))</f>
        <v/>
      </c>
      <c r="M312" s="8">
        <f>IF(ISNA(MATCH(299,Engine!$C$2:$C$622,0)),"",INDEX('Compliance Database'!$M$2:$M$622,MATCH(299,Engine!$C$2:$C$622,0)))</f>
        <v/>
      </c>
      <c r="N312" s="8">
        <f>IF(ISNA(MATCH(299,Engine!$C$2:$C$622,0)),"",INDEX('Compliance Database'!$N$2:$N$622,MATCH(299,Engine!$C$2:$C$622,0)))</f>
        <v/>
      </c>
      <c r="O312" s="8">
        <f>IF(ISNA(MATCH(299,Engine!$C$2:$C$622,0)),"",INDEX('Compliance Database'!$O$2:$O$622,MATCH(299,Engine!$C$2:$C$622,0)))</f>
        <v/>
      </c>
    </row>
    <row r="313">
      <c r="A313">
        <f>IF(ISNA(MATCH(300,Engine!$C$2:$C$622,0)),"",INDEX('Compliance Database'!$A$2:$A$622,MATCH(300,Engine!$C$2:$C$622,0)))</f>
        <v/>
      </c>
      <c r="B313">
        <f>IF(ISNA(MATCH(300,Engine!$C$2:$C$622,0)),"",INDEX('Compliance Database'!$B$2:$B$622,MATCH(300,Engine!$C$2:$C$622,0)))</f>
        <v/>
      </c>
      <c r="C313">
        <f>IF(ISNA(MATCH(300,Engine!$C$2:$C$622,0)),"",INDEX('Compliance Database'!$C$2:$C$622,MATCH(300,Engine!$C$2:$C$622,0)))</f>
        <v/>
      </c>
      <c r="D313" s="8">
        <f>IF(ISNA(MATCH(300,Engine!$C$2:$C$622,0)),"",INDEX('Compliance Database'!$D$2:$D$622,MATCH(300,Engine!$C$2:$C$622,0)))</f>
        <v/>
      </c>
      <c r="E313">
        <f>IF(ISNA(MATCH(300,Engine!$C$2:$C$622,0)),"",INDEX('Compliance Database'!$E$2:$E$622,MATCH(300,Engine!$C$2:$C$622,0)))</f>
        <v/>
      </c>
      <c r="F313">
        <f>IF(ISNA(MATCH(300,Engine!$C$2:$C$622,0)),"",INDEX('Compliance Database'!$F$2:$F$622,MATCH(300,Engine!$C$2:$C$622,0)))</f>
        <v/>
      </c>
      <c r="G313">
        <f>IF(ISNA(MATCH(300,Engine!$C$2:$C$622,0)),"",INDEX('Compliance Database'!$G$2:$G$622,MATCH(300,Engine!$C$2:$C$622,0)))</f>
        <v/>
      </c>
      <c r="H313">
        <f>IF(ISNA(MATCH(300,Engine!$C$2:$C$622,0)),"",INDEX('Compliance Database'!$H$2:$H$622,MATCH(300,Engine!$C$2:$C$622,0)))</f>
        <v/>
      </c>
      <c r="I313" s="8">
        <f>IF(ISNA(MATCH(300,Engine!$C$2:$C$622,0)),"",INDEX('Compliance Database'!$I$2:$I$622,MATCH(300,Engine!$C$2:$C$622,0)))</f>
        <v/>
      </c>
      <c r="J313" s="8">
        <f>IF(ISNA(MATCH(300,Engine!$C$2:$C$622,0)),"",INDEX('Compliance Database'!$J$2:$J$622,MATCH(300,Engine!$C$2:$C$622,0)))</f>
        <v/>
      </c>
      <c r="K313">
        <f>IF(ISNA(MATCH(300,Engine!$C$2:$C$622,0)),"",INDEX('Compliance Database'!$K$2:$K$622,MATCH(300,Engine!$C$2:$C$622,0)))</f>
        <v/>
      </c>
      <c r="L313" s="8">
        <f>IF(ISNA(MATCH(300,Engine!$C$2:$C$622,0)),"",INDEX('Compliance Database'!$L$2:$L$622,MATCH(300,Engine!$C$2:$C$622,0)))</f>
        <v/>
      </c>
      <c r="M313" s="8">
        <f>IF(ISNA(MATCH(300,Engine!$C$2:$C$622,0)),"",INDEX('Compliance Database'!$M$2:$M$622,MATCH(300,Engine!$C$2:$C$622,0)))</f>
        <v/>
      </c>
      <c r="N313" s="8">
        <f>IF(ISNA(MATCH(300,Engine!$C$2:$C$622,0)),"",INDEX('Compliance Database'!$N$2:$N$622,MATCH(300,Engine!$C$2:$C$622,0)))</f>
        <v/>
      </c>
      <c r="O313" s="8">
        <f>IF(ISNA(MATCH(300,Engine!$C$2:$C$622,0)),"",INDEX('Compliance Database'!$O$2:$O$622,MATCH(300,Engine!$C$2:$C$622,0)))</f>
        <v/>
      </c>
    </row>
    <row r="314">
      <c r="A314">
        <f>IF(ISNA(MATCH(301,Engine!$C$2:$C$622,0)),"",INDEX('Compliance Database'!$A$2:$A$622,MATCH(301,Engine!$C$2:$C$622,0)))</f>
        <v/>
      </c>
      <c r="B314">
        <f>IF(ISNA(MATCH(301,Engine!$C$2:$C$622,0)),"",INDEX('Compliance Database'!$B$2:$B$622,MATCH(301,Engine!$C$2:$C$622,0)))</f>
        <v/>
      </c>
      <c r="C314">
        <f>IF(ISNA(MATCH(301,Engine!$C$2:$C$622,0)),"",INDEX('Compliance Database'!$C$2:$C$622,MATCH(301,Engine!$C$2:$C$622,0)))</f>
        <v/>
      </c>
      <c r="D314" s="8">
        <f>IF(ISNA(MATCH(301,Engine!$C$2:$C$622,0)),"",INDEX('Compliance Database'!$D$2:$D$622,MATCH(301,Engine!$C$2:$C$622,0)))</f>
        <v/>
      </c>
      <c r="E314">
        <f>IF(ISNA(MATCH(301,Engine!$C$2:$C$622,0)),"",INDEX('Compliance Database'!$E$2:$E$622,MATCH(301,Engine!$C$2:$C$622,0)))</f>
        <v/>
      </c>
      <c r="F314">
        <f>IF(ISNA(MATCH(301,Engine!$C$2:$C$622,0)),"",INDEX('Compliance Database'!$F$2:$F$622,MATCH(301,Engine!$C$2:$C$622,0)))</f>
        <v/>
      </c>
      <c r="G314">
        <f>IF(ISNA(MATCH(301,Engine!$C$2:$C$622,0)),"",INDEX('Compliance Database'!$G$2:$G$622,MATCH(301,Engine!$C$2:$C$622,0)))</f>
        <v/>
      </c>
      <c r="H314">
        <f>IF(ISNA(MATCH(301,Engine!$C$2:$C$622,0)),"",INDEX('Compliance Database'!$H$2:$H$622,MATCH(301,Engine!$C$2:$C$622,0)))</f>
        <v/>
      </c>
      <c r="I314" s="8">
        <f>IF(ISNA(MATCH(301,Engine!$C$2:$C$622,0)),"",INDEX('Compliance Database'!$I$2:$I$622,MATCH(301,Engine!$C$2:$C$622,0)))</f>
        <v/>
      </c>
      <c r="J314" s="8">
        <f>IF(ISNA(MATCH(301,Engine!$C$2:$C$622,0)),"",INDEX('Compliance Database'!$J$2:$J$622,MATCH(301,Engine!$C$2:$C$622,0)))</f>
        <v/>
      </c>
      <c r="K314">
        <f>IF(ISNA(MATCH(301,Engine!$C$2:$C$622,0)),"",INDEX('Compliance Database'!$K$2:$K$622,MATCH(301,Engine!$C$2:$C$622,0)))</f>
        <v/>
      </c>
      <c r="L314" s="8">
        <f>IF(ISNA(MATCH(301,Engine!$C$2:$C$622,0)),"",INDEX('Compliance Database'!$L$2:$L$622,MATCH(301,Engine!$C$2:$C$622,0)))</f>
        <v/>
      </c>
      <c r="M314" s="8">
        <f>IF(ISNA(MATCH(301,Engine!$C$2:$C$622,0)),"",INDEX('Compliance Database'!$M$2:$M$622,MATCH(301,Engine!$C$2:$C$622,0)))</f>
        <v/>
      </c>
      <c r="N314" s="8">
        <f>IF(ISNA(MATCH(301,Engine!$C$2:$C$622,0)),"",INDEX('Compliance Database'!$N$2:$N$622,MATCH(301,Engine!$C$2:$C$622,0)))</f>
        <v/>
      </c>
      <c r="O314" s="8">
        <f>IF(ISNA(MATCH(301,Engine!$C$2:$C$622,0)),"",INDEX('Compliance Database'!$O$2:$O$622,MATCH(301,Engine!$C$2:$C$622,0)))</f>
        <v/>
      </c>
    </row>
    <row r="315">
      <c r="A315">
        <f>IF(ISNA(MATCH(302,Engine!$C$2:$C$622,0)),"",INDEX('Compliance Database'!$A$2:$A$622,MATCH(302,Engine!$C$2:$C$622,0)))</f>
        <v/>
      </c>
      <c r="B315">
        <f>IF(ISNA(MATCH(302,Engine!$C$2:$C$622,0)),"",INDEX('Compliance Database'!$B$2:$B$622,MATCH(302,Engine!$C$2:$C$622,0)))</f>
        <v/>
      </c>
      <c r="C315">
        <f>IF(ISNA(MATCH(302,Engine!$C$2:$C$622,0)),"",INDEX('Compliance Database'!$C$2:$C$622,MATCH(302,Engine!$C$2:$C$622,0)))</f>
        <v/>
      </c>
      <c r="D315" s="8">
        <f>IF(ISNA(MATCH(302,Engine!$C$2:$C$622,0)),"",INDEX('Compliance Database'!$D$2:$D$622,MATCH(302,Engine!$C$2:$C$622,0)))</f>
        <v/>
      </c>
      <c r="E315">
        <f>IF(ISNA(MATCH(302,Engine!$C$2:$C$622,0)),"",INDEX('Compliance Database'!$E$2:$E$622,MATCH(302,Engine!$C$2:$C$622,0)))</f>
        <v/>
      </c>
      <c r="F315">
        <f>IF(ISNA(MATCH(302,Engine!$C$2:$C$622,0)),"",INDEX('Compliance Database'!$F$2:$F$622,MATCH(302,Engine!$C$2:$C$622,0)))</f>
        <v/>
      </c>
      <c r="G315">
        <f>IF(ISNA(MATCH(302,Engine!$C$2:$C$622,0)),"",INDEX('Compliance Database'!$G$2:$G$622,MATCH(302,Engine!$C$2:$C$622,0)))</f>
        <v/>
      </c>
      <c r="H315">
        <f>IF(ISNA(MATCH(302,Engine!$C$2:$C$622,0)),"",INDEX('Compliance Database'!$H$2:$H$622,MATCH(302,Engine!$C$2:$C$622,0)))</f>
        <v/>
      </c>
      <c r="I315" s="8">
        <f>IF(ISNA(MATCH(302,Engine!$C$2:$C$622,0)),"",INDEX('Compliance Database'!$I$2:$I$622,MATCH(302,Engine!$C$2:$C$622,0)))</f>
        <v/>
      </c>
      <c r="J315" s="8">
        <f>IF(ISNA(MATCH(302,Engine!$C$2:$C$622,0)),"",INDEX('Compliance Database'!$J$2:$J$622,MATCH(302,Engine!$C$2:$C$622,0)))</f>
        <v/>
      </c>
      <c r="K315">
        <f>IF(ISNA(MATCH(302,Engine!$C$2:$C$622,0)),"",INDEX('Compliance Database'!$K$2:$K$622,MATCH(302,Engine!$C$2:$C$622,0)))</f>
        <v/>
      </c>
      <c r="L315" s="8">
        <f>IF(ISNA(MATCH(302,Engine!$C$2:$C$622,0)),"",INDEX('Compliance Database'!$L$2:$L$622,MATCH(302,Engine!$C$2:$C$622,0)))</f>
        <v/>
      </c>
      <c r="M315" s="8">
        <f>IF(ISNA(MATCH(302,Engine!$C$2:$C$622,0)),"",INDEX('Compliance Database'!$M$2:$M$622,MATCH(302,Engine!$C$2:$C$622,0)))</f>
        <v/>
      </c>
      <c r="N315" s="8">
        <f>IF(ISNA(MATCH(302,Engine!$C$2:$C$622,0)),"",INDEX('Compliance Database'!$N$2:$N$622,MATCH(302,Engine!$C$2:$C$622,0)))</f>
        <v/>
      </c>
      <c r="O315" s="8">
        <f>IF(ISNA(MATCH(302,Engine!$C$2:$C$622,0)),"",INDEX('Compliance Database'!$O$2:$O$622,MATCH(302,Engine!$C$2:$C$622,0)))</f>
        <v/>
      </c>
    </row>
    <row r="316">
      <c r="A316">
        <f>IF(ISNA(MATCH(303,Engine!$C$2:$C$622,0)),"",INDEX('Compliance Database'!$A$2:$A$622,MATCH(303,Engine!$C$2:$C$622,0)))</f>
        <v/>
      </c>
      <c r="B316">
        <f>IF(ISNA(MATCH(303,Engine!$C$2:$C$622,0)),"",INDEX('Compliance Database'!$B$2:$B$622,MATCH(303,Engine!$C$2:$C$622,0)))</f>
        <v/>
      </c>
      <c r="C316">
        <f>IF(ISNA(MATCH(303,Engine!$C$2:$C$622,0)),"",INDEX('Compliance Database'!$C$2:$C$622,MATCH(303,Engine!$C$2:$C$622,0)))</f>
        <v/>
      </c>
      <c r="D316" s="8">
        <f>IF(ISNA(MATCH(303,Engine!$C$2:$C$622,0)),"",INDEX('Compliance Database'!$D$2:$D$622,MATCH(303,Engine!$C$2:$C$622,0)))</f>
        <v/>
      </c>
      <c r="E316">
        <f>IF(ISNA(MATCH(303,Engine!$C$2:$C$622,0)),"",INDEX('Compliance Database'!$E$2:$E$622,MATCH(303,Engine!$C$2:$C$622,0)))</f>
        <v/>
      </c>
      <c r="F316">
        <f>IF(ISNA(MATCH(303,Engine!$C$2:$C$622,0)),"",INDEX('Compliance Database'!$F$2:$F$622,MATCH(303,Engine!$C$2:$C$622,0)))</f>
        <v/>
      </c>
      <c r="G316">
        <f>IF(ISNA(MATCH(303,Engine!$C$2:$C$622,0)),"",INDEX('Compliance Database'!$G$2:$G$622,MATCH(303,Engine!$C$2:$C$622,0)))</f>
        <v/>
      </c>
      <c r="H316">
        <f>IF(ISNA(MATCH(303,Engine!$C$2:$C$622,0)),"",INDEX('Compliance Database'!$H$2:$H$622,MATCH(303,Engine!$C$2:$C$622,0)))</f>
        <v/>
      </c>
      <c r="I316" s="8">
        <f>IF(ISNA(MATCH(303,Engine!$C$2:$C$622,0)),"",INDEX('Compliance Database'!$I$2:$I$622,MATCH(303,Engine!$C$2:$C$622,0)))</f>
        <v/>
      </c>
      <c r="J316" s="8">
        <f>IF(ISNA(MATCH(303,Engine!$C$2:$C$622,0)),"",INDEX('Compliance Database'!$J$2:$J$622,MATCH(303,Engine!$C$2:$C$622,0)))</f>
        <v/>
      </c>
      <c r="K316">
        <f>IF(ISNA(MATCH(303,Engine!$C$2:$C$622,0)),"",INDEX('Compliance Database'!$K$2:$K$622,MATCH(303,Engine!$C$2:$C$622,0)))</f>
        <v/>
      </c>
      <c r="L316" s="8">
        <f>IF(ISNA(MATCH(303,Engine!$C$2:$C$622,0)),"",INDEX('Compliance Database'!$L$2:$L$622,MATCH(303,Engine!$C$2:$C$622,0)))</f>
        <v/>
      </c>
      <c r="M316" s="8">
        <f>IF(ISNA(MATCH(303,Engine!$C$2:$C$622,0)),"",INDEX('Compliance Database'!$M$2:$M$622,MATCH(303,Engine!$C$2:$C$622,0)))</f>
        <v/>
      </c>
      <c r="N316" s="8">
        <f>IF(ISNA(MATCH(303,Engine!$C$2:$C$622,0)),"",INDEX('Compliance Database'!$N$2:$N$622,MATCH(303,Engine!$C$2:$C$622,0)))</f>
        <v/>
      </c>
      <c r="O316" s="8">
        <f>IF(ISNA(MATCH(303,Engine!$C$2:$C$622,0)),"",INDEX('Compliance Database'!$O$2:$O$622,MATCH(303,Engine!$C$2:$C$622,0)))</f>
        <v/>
      </c>
    </row>
    <row r="317">
      <c r="A317">
        <f>IF(ISNA(MATCH(304,Engine!$C$2:$C$622,0)),"",INDEX('Compliance Database'!$A$2:$A$622,MATCH(304,Engine!$C$2:$C$622,0)))</f>
        <v/>
      </c>
      <c r="B317">
        <f>IF(ISNA(MATCH(304,Engine!$C$2:$C$622,0)),"",INDEX('Compliance Database'!$B$2:$B$622,MATCH(304,Engine!$C$2:$C$622,0)))</f>
        <v/>
      </c>
      <c r="C317">
        <f>IF(ISNA(MATCH(304,Engine!$C$2:$C$622,0)),"",INDEX('Compliance Database'!$C$2:$C$622,MATCH(304,Engine!$C$2:$C$622,0)))</f>
        <v/>
      </c>
      <c r="D317" s="8">
        <f>IF(ISNA(MATCH(304,Engine!$C$2:$C$622,0)),"",INDEX('Compliance Database'!$D$2:$D$622,MATCH(304,Engine!$C$2:$C$622,0)))</f>
        <v/>
      </c>
      <c r="E317">
        <f>IF(ISNA(MATCH(304,Engine!$C$2:$C$622,0)),"",INDEX('Compliance Database'!$E$2:$E$622,MATCH(304,Engine!$C$2:$C$622,0)))</f>
        <v/>
      </c>
      <c r="F317">
        <f>IF(ISNA(MATCH(304,Engine!$C$2:$C$622,0)),"",INDEX('Compliance Database'!$F$2:$F$622,MATCH(304,Engine!$C$2:$C$622,0)))</f>
        <v/>
      </c>
      <c r="G317">
        <f>IF(ISNA(MATCH(304,Engine!$C$2:$C$622,0)),"",INDEX('Compliance Database'!$G$2:$G$622,MATCH(304,Engine!$C$2:$C$622,0)))</f>
        <v/>
      </c>
      <c r="H317">
        <f>IF(ISNA(MATCH(304,Engine!$C$2:$C$622,0)),"",INDEX('Compliance Database'!$H$2:$H$622,MATCH(304,Engine!$C$2:$C$622,0)))</f>
        <v/>
      </c>
      <c r="I317" s="8">
        <f>IF(ISNA(MATCH(304,Engine!$C$2:$C$622,0)),"",INDEX('Compliance Database'!$I$2:$I$622,MATCH(304,Engine!$C$2:$C$622,0)))</f>
        <v/>
      </c>
      <c r="J317" s="8">
        <f>IF(ISNA(MATCH(304,Engine!$C$2:$C$622,0)),"",INDEX('Compliance Database'!$J$2:$J$622,MATCH(304,Engine!$C$2:$C$622,0)))</f>
        <v/>
      </c>
      <c r="K317">
        <f>IF(ISNA(MATCH(304,Engine!$C$2:$C$622,0)),"",INDEX('Compliance Database'!$K$2:$K$622,MATCH(304,Engine!$C$2:$C$622,0)))</f>
        <v/>
      </c>
      <c r="L317" s="8">
        <f>IF(ISNA(MATCH(304,Engine!$C$2:$C$622,0)),"",INDEX('Compliance Database'!$L$2:$L$622,MATCH(304,Engine!$C$2:$C$622,0)))</f>
        <v/>
      </c>
      <c r="M317" s="8">
        <f>IF(ISNA(MATCH(304,Engine!$C$2:$C$622,0)),"",INDEX('Compliance Database'!$M$2:$M$622,MATCH(304,Engine!$C$2:$C$622,0)))</f>
        <v/>
      </c>
      <c r="N317" s="8">
        <f>IF(ISNA(MATCH(304,Engine!$C$2:$C$622,0)),"",INDEX('Compliance Database'!$N$2:$N$622,MATCH(304,Engine!$C$2:$C$622,0)))</f>
        <v/>
      </c>
      <c r="O317" s="8">
        <f>IF(ISNA(MATCH(304,Engine!$C$2:$C$622,0)),"",INDEX('Compliance Database'!$O$2:$O$622,MATCH(304,Engine!$C$2:$C$622,0)))</f>
        <v/>
      </c>
    </row>
    <row r="318">
      <c r="A318">
        <f>IF(ISNA(MATCH(305,Engine!$C$2:$C$622,0)),"",INDEX('Compliance Database'!$A$2:$A$622,MATCH(305,Engine!$C$2:$C$622,0)))</f>
        <v/>
      </c>
      <c r="B318">
        <f>IF(ISNA(MATCH(305,Engine!$C$2:$C$622,0)),"",INDEX('Compliance Database'!$B$2:$B$622,MATCH(305,Engine!$C$2:$C$622,0)))</f>
        <v/>
      </c>
      <c r="C318">
        <f>IF(ISNA(MATCH(305,Engine!$C$2:$C$622,0)),"",INDEX('Compliance Database'!$C$2:$C$622,MATCH(305,Engine!$C$2:$C$622,0)))</f>
        <v/>
      </c>
      <c r="D318" s="8">
        <f>IF(ISNA(MATCH(305,Engine!$C$2:$C$622,0)),"",INDEX('Compliance Database'!$D$2:$D$622,MATCH(305,Engine!$C$2:$C$622,0)))</f>
        <v/>
      </c>
      <c r="E318">
        <f>IF(ISNA(MATCH(305,Engine!$C$2:$C$622,0)),"",INDEX('Compliance Database'!$E$2:$E$622,MATCH(305,Engine!$C$2:$C$622,0)))</f>
        <v/>
      </c>
      <c r="F318">
        <f>IF(ISNA(MATCH(305,Engine!$C$2:$C$622,0)),"",INDEX('Compliance Database'!$F$2:$F$622,MATCH(305,Engine!$C$2:$C$622,0)))</f>
        <v/>
      </c>
      <c r="G318">
        <f>IF(ISNA(MATCH(305,Engine!$C$2:$C$622,0)),"",INDEX('Compliance Database'!$G$2:$G$622,MATCH(305,Engine!$C$2:$C$622,0)))</f>
        <v/>
      </c>
      <c r="H318">
        <f>IF(ISNA(MATCH(305,Engine!$C$2:$C$622,0)),"",INDEX('Compliance Database'!$H$2:$H$622,MATCH(305,Engine!$C$2:$C$622,0)))</f>
        <v/>
      </c>
      <c r="I318" s="8">
        <f>IF(ISNA(MATCH(305,Engine!$C$2:$C$622,0)),"",INDEX('Compliance Database'!$I$2:$I$622,MATCH(305,Engine!$C$2:$C$622,0)))</f>
        <v/>
      </c>
      <c r="J318" s="8">
        <f>IF(ISNA(MATCH(305,Engine!$C$2:$C$622,0)),"",INDEX('Compliance Database'!$J$2:$J$622,MATCH(305,Engine!$C$2:$C$622,0)))</f>
        <v/>
      </c>
      <c r="K318">
        <f>IF(ISNA(MATCH(305,Engine!$C$2:$C$622,0)),"",INDEX('Compliance Database'!$K$2:$K$622,MATCH(305,Engine!$C$2:$C$622,0)))</f>
        <v/>
      </c>
      <c r="L318" s="8">
        <f>IF(ISNA(MATCH(305,Engine!$C$2:$C$622,0)),"",INDEX('Compliance Database'!$L$2:$L$622,MATCH(305,Engine!$C$2:$C$622,0)))</f>
        <v/>
      </c>
      <c r="M318" s="8">
        <f>IF(ISNA(MATCH(305,Engine!$C$2:$C$622,0)),"",INDEX('Compliance Database'!$M$2:$M$622,MATCH(305,Engine!$C$2:$C$622,0)))</f>
        <v/>
      </c>
      <c r="N318" s="8">
        <f>IF(ISNA(MATCH(305,Engine!$C$2:$C$622,0)),"",INDEX('Compliance Database'!$N$2:$N$622,MATCH(305,Engine!$C$2:$C$622,0)))</f>
        <v/>
      </c>
      <c r="O318" s="8">
        <f>IF(ISNA(MATCH(305,Engine!$C$2:$C$622,0)),"",INDEX('Compliance Database'!$O$2:$O$622,MATCH(305,Engine!$C$2:$C$622,0)))</f>
        <v/>
      </c>
    </row>
    <row r="319">
      <c r="A319">
        <f>IF(ISNA(MATCH(306,Engine!$C$2:$C$622,0)),"",INDEX('Compliance Database'!$A$2:$A$622,MATCH(306,Engine!$C$2:$C$622,0)))</f>
        <v/>
      </c>
      <c r="B319">
        <f>IF(ISNA(MATCH(306,Engine!$C$2:$C$622,0)),"",INDEX('Compliance Database'!$B$2:$B$622,MATCH(306,Engine!$C$2:$C$622,0)))</f>
        <v/>
      </c>
      <c r="C319">
        <f>IF(ISNA(MATCH(306,Engine!$C$2:$C$622,0)),"",INDEX('Compliance Database'!$C$2:$C$622,MATCH(306,Engine!$C$2:$C$622,0)))</f>
        <v/>
      </c>
      <c r="D319" s="8">
        <f>IF(ISNA(MATCH(306,Engine!$C$2:$C$622,0)),"",INDEX('Compliance Database'!$D$2:$D$622,MATCH(306,Engine!$C$2:$C$622,0)))</f>
        <v/>
      </c>
      <c r="E319">
        <f>IF(ISNA(MATCH(306,Engine!$C$2:$C$622,0)),"",INDEX('Compliance Database'!$E$2:$E$622,MATCH(306,Engine!$C$2:$C$622,0)))</f>
        <v/>
      </c>
      <c r="F319">
        <f>IF(ISNA(MATCH(306,Engine!$C$2:$C$622,0)),"",INDEX('Compliance Database'!$F$2:$F$622,MATCH(306,Engine!$C$2:$C$622,0)))</f>
        <v/>
      </c>
      <c r="G319">
        <f>IF(ISNA(MATCH(306,Engine!$C$2:$C$622,0)),"",INDEX('Compliance Database'!$G$2:$G$622,MATCH(306,Engine!$C$2:$C$622,0)))</f>
        <v/>
      </c>
      <c r="H319">
        <f>IF(ISNA(MATCH(306,Engine!$C$2:$C$622,0)),"",INDEX('Compliance Database'!$H$2:$H$622,MATCH(306,Engine!$C$2:$C$622,0)))</f>
        <v/>
      </c>
      <c r="I319" s="8">
        <f>IF(ISNA(MATCH(306,Engine!$C$2:$C$622,0)),"",INDEX('Compliance Database'!$I$2:$I$622,MATCH(306,Engine!$C$2:$C$622,0)))</f>
        <v/>
      </c>
      <c r="J319" s="8">
        <f>IF(ISNA(MATCH(306,Engine!$C$2:$C$622,0)),"",INDEX('Compliance Database'!$J$2:$J$622,MATCH(306,Engine!$C$2:$C$622,0)))</f>
        <v/>
      </c>
      <c r="K319">
        <f>IF(ISNA(MATCH(306,Engine!$C$2:$C$622,0)),"",INDEX('Compliance Database'!$K$2:$K$622,MATCH(306,Engine!$C$2:$C$622,0)))</f>
        <v/>
      </c>
      <c r="L319" s="8">
        <f>IF(ISNA(MATCH(306,Engine!$C$2:$C$622,0)),"",INDEX('Compliance Database'!$L$2:$L$622,MATCH(306,Engine!$C$2:$C$622,0)))</f>
        <v/>
      </c>
      <c r="M319" s="8">
        <f>IF(ISNA(MATCH(306,Engine!$C$2:$C$622,0)),"",INDEX('Compliance Database'!$M$2:$M$622,MATCH(306,Engine!$C$2:$C$622,0)))</f>
        <v/>
      </c>
      <c r="N319" s="8">
        <f>IF(ISNA(MATCH(306,Engine!$C$2:$C$622,0)),"",INDEX('Compliance Database'!$N$2:$N$622,MATCH(306,Engine!$C$2:$C$622,0)))</f>
        <v/>
      </c>
      <c r="O319" s="8">
        <f>IF(ISNA(MATCH(306,Engine!$C$2:$C$622,0)),"",INDEX('Compliance Database'!$O$2:$O$622,MATCH(306,Engine!$C$2:$C$622,0)))</f>
        <v/>
      </c>
    </row>
    <row r="320">
      <c r="A320">
        <f>IF(ISNA(MATCH(307,Engine!$C$2:$C$622,0)),"",INDEX('Compliance Database'!$A$2:$A$622,MATCH(307,Engine!$C$2:$C$622,0)))</f>
        <v/>
      </c>
      <c r="B320">
        <f>IF(ISNA(MATCH(307,Engine!$C$2:$C$622,0)),"",INDEX('Compliance Database'!$B$2:$B$622,MATCH(307,Engine!$C$2:$C$622,0)))</f>
        <v/>
      </c>
      <c r="C320">
        <f>IF(ISNA(MATCH(307,Engine!$C$2:$C$622,0)),"",INDEX('Compliance Database'!$C$2:$C$622,MATCH(307,Engine!$C$2:$C$622,0)))</f>
        <v/>
      </c>
      <c r="D320" s="8">
        <f>IF(ISNA(MATCH(307,Engine!$C$2:$C$622,0)),"",INDEX('Compliance Database'!$D$2:$D$622,MATCH(307,Engine!$C$2:$C$622,0)))</f>
        <v/>
      </c>
      <c r="E320">
        <f>IF(ISNA(MATCH(307,Engine!$C$2:$C$622,0)),"",INDEX('Compliance Database'!$E$2:$E$622,MATCH(307,Engine!$C$2:$C$622,0)))</f>
        <v/>
      </c>
      <c r="F320">
        <f>IF(ISNA(MATCH(307,Engine!$C$2:$C$622,0)),"",INDEX('Compliance Database'!$F$2:$F$622,MATCH(307,Engine!$C$2:$C$622,0)))</f>
        <v/>
      </c>
      <c r="G320">
        <f>IF(ISNA(MATCH(307,Engine!$C$2:$C$622,0)),"",INDEX('Compliance Database'!$G$2:$G$622,MATCH(307,Engine!$C$2:$C$622,0)))</f>
        <v/>
      </c>
      <c r="H320">
        <f>IF(ISNA(MATCH(307,Engine!$C$2:$C$622,0)),"",INDEX('Compliance Database'!$H$2:$H$622,MATCH(307,Engine!$C$2:$C$622,0)))</f>
        <v/>
      </c>
      <c r="I320" s="8">
        <f>IF(ISNA(MATCH(307,Engine!$C$2:$C$622,0)),"",INDEX('Compliance Database'!$I$2:$I$622,MATCH(307,Engine!$C$2:$C$622,0)))</f>
        <v/>
      </c>
      <c r="J320" s="8">
        <f>IF(ISNA(MATCH(307,Engine!$C$2:$C$622,0)),"",INDEX('Compliance Database'!$J$2:$J$622,MATCH(307,Engine!$C$2:$C$622,0)))</f>
        <v/>
      </c>
      <c r="K320">
        <f>IF(ISNA(MATCH(307,Engine!$C$2:$C$622,0)),"",INDEX('Compliance Database'!$K$2:$K$622,MATCH(307,Engine!$C$2:$C$622,0)))</f>
        <v/>
      </c>
      <c r="L320" s="8">
        <f>IF(ISNA(MATCH(307,Engine!$C$2:$C$622,0)),"",INDEX('Compliance Database'!$L$2:$L$622,MATCH(307,Engine!$C$2:$C$622,0)))</f>
        <v/>
      </c>
      <c r="M320" s="8">
        <f>IF(ISNA(MATCH(307,Engine!$C$2:$C$622,0)),"",INDEX('Compliance Database'!$M$2:$M$622,MATCH(307,Engine!$C$2:$C$622,0)))</f>
        <v/>
      </c>
      <c r="N320" s="8">
        <f>IF(ISNA(MATCH(307,Engine!$C$2:$C$622,0)),"",INDEX('Compliance Database'!$N$2:$N$622,MATCH(307,Engine!$C$2:$C$622,0)))</f>
        <v/>
      </c>
      <c r="O320" s="8">
        <f>IF(ISNA(MATCH(307,Engine!$C$2:$C$622,0)),"",INDEX('Compliance Database'!$O$2:$O$622,MATCH(307,Engine!$C$2:$C$622,0)))</f>
        <v/>
      </c>
    </row>
    <row r="321">
      <c r="A321">
        <f>IF(ISNA(MATCH(308,Engine!$C$2:$C$622,0)),"",INDEX('Compliance Database'!$A$2:$A$622,MATCH(308,Engine!$C$2:$C$622,0)))</f>
        <v/>
      </c>
      <c r="B321">
        <f>IF(ISNA(MATCH(308,Engine!$C$2:$C$622,0)),"",INDEX('Compliance Database'!$B$2:$B$622,MATCH(308,Engine!$C$2:$C$622,0)))</f>
        <v/>
      </c>
      <c r="C321">
        <f>IF(ISNA(MATCH(308,Engine!$C$2:$C$622,0)),"",INDEX('Compliance Database'!$C$2:$C$622,MATCH(308,Engine!$C$2:$C$622,0)))</f>
        <v/>
      </c>
      <c r="D321" s="8">
        <f>IF(ISNA(MATCH(308,Engine!$C$2:$C$622,0)),"",INDEX('Compliance Database'!$D$2:$D$622,MATCH(308,Engine!$C$2:$C$622,0)))</f>
        <v/>
      </c>
      <c r="E321">
        <f>IF(ISNA(MATCH(308,Engine!$C$2:$C$622,0)),"",INDEX('Compliance Database'!$E$2:$E$622,MATCH(308,Engine!$C$2:$C$622,0)))</f>
        <v/>
      </c>
      <c r="F321">
        <f>IF(ISNA(MATCH(308,Engine!$C$2:$C$622,0)),"",INDEX('Compliance Database'!$F$2:$F$622,MATCH(308,Engine!$C$2:$C$622,0)))</f>
        <v/>
      </c>
      <c r="G321">
        <f>IF(ISNA(MATCH(308,Engine!$C$2:$C$622,0)),"",INDEX('Compliance Database'!$G$2:$G$622,MATCH(308,Engine!$C$2:$C$622,0)))</f>
        <v/>
      </c>
      <c r="H321">
        <f>IF(ISNA(MATCH(308,Engine!$C$2:$C$622,0)),"",INDEX('Compliance Database'!$H$2:$H$622,MATCH(308,Engine!$C$2:$C$622,0)))</f>
        <v/>
      </c>
      <c r="I321" s="8">
        <f>IF(ISNA(MATCH(308,Engine!$C$2:$C$622,0)),"",INDEX('Compliance Database'!$I$2:$I$622,MATCH(308,Engine!$C$2:$C$622,0)))</f>
        <v/>
      </c>
      <c r="J321" s="8">
        <f>IF(ISNA(MATCH(308,Engine!$C$2:$C$622,0)),"",INDEX('Compliance Database'!$J$2:$J$622,MATCH(308,Engine!$C$2:$C$622,0)))</f>
        <v/>
      </c>
      <c r="K321">
        <f>IF(ISNA(MATCH(308,Engine!$C$2:$C$622,0)),"",INDEX('Compliance Database'!$K$2:$K$622,MATCH(308,Engine!$C$2:$C$622,0)))</f>
        <v/>
      </c>
      <c r="L321" s="8">
        <f>IF(ISNA(MATCH(308,Engine!$C$2:$C$622,0)),"",INDEX('Compliance Database'!$L$2:$L$622,MATCH(308,Engine!$C$2:$C$622,0)))</f>
        <v/>
      </c>
      <c r="M321" s="8">
        <f>IF(ISNA(MATCH(308,Engine!$C$2:$C$622,0)),"",INDEX('Compliance Database'!$M$2:$M$622,MATCH(308,Engine!$C$2:$C$622,0)))</f>
        <v/>
      </c>
      <c r="N321" s="8">
        <f>IF(ISNA(MATCH(308,Engine!$C$2:$C$622,0)),"",INDEX('Compliance Database'!$N$2:$N$622,MATCH(308,Engine!$C$2:$C$622,0)))</f>
        <v/>
      </c>
      <c r="O321" s="8">
        <f>IF(ISNA(MATCH(308,Engine!$C$2:$C$622,0)),"",INDEX('Compliance Database'!$O$2:$O$622,MATCH(308,Engine!$C$2:$C$622,0)))</f>
        <v/>
      </c>
    </row>
    <row r="322">
      <c r="A322">
        <f>IF(ISNA(MATCH(309,Engine!$C$2:$C$622,0)),"",INDEX('Compliance Database'!$A$2:$A$622,MATCH(309,Engine!$C$2:$C$622,0)))</f>
        <v/>
      </c>
      <c r="B322">
        <f>IF(ISNA(MATCH(309,Engine!$C$2:$C$622,0)),"",INDEX('Compliance Database'!$B$2:$B$622,MATCH(309,Engine!$C$2:$C$622,0)))</f>
        <v/>
      </c>
      <c r="C322">
        <f>IF(ISNA(MATCH(309,Engine!$C$2:$C$622,0)),"",INDEX('Compliance Database'!$C$2:$C$622,MATCH(309,Engine!$C$2:$C$622,0)))</f>
        <v/>
      </c>
      <c r="D322" s="8">
        <f>IF(ISNA(MATCH(309,Engine!$C$2:$C$622,0)),"",INDEX('Compliance Database'!$D$2:$D$622,MATCH(309,Engine!$C$2:$C$622,0)))</f>
        <v/>
      </c>
      <c r="E322">
        <f>IF(ISNA(MATCH(309,Engine!$C$2:$C$622,0)),"",INDEX('Compliance Database'!$E$2:$E$622,MATCH(309,Engine!$C$2:$C$622,0)))</f>
        <v/>
      </c>
      <c r="F322">
        <f>IF(ISNA(MATCH(309,Engine!$C$2:$C$622,0)),"",INDEX('Compliance Database'!$F$2:$F$622,MATCH(309,Engine!$C$2:$C$622,0)))</f>
        <v/>
      </c>
      <c r="G322">
        <f>IF(ISNA(MATCH(309,Engine!$C$2:$C$622,0)),"",INDEX('Compliance Database'!$G$2:$G$622,MATCH(309,Engine!$C$2:$C$622,0)))</f>
        <v/>
      </c>
      <c r="H322">
        <f>IF(ISNA(MATCH(309,Engine!$C$2:$C$622,0)),"",INDEX('Compliance Database'!$H$2:$H$622,MATCH(309,Engine!$C$2:$C$622,0)))</f>
        <v/>
      </c>
      <c r="I322" s="8">
        <f>IF(ISNA(MATCH(309,Engine!$C$2:$C$622,0)),"",INDEX('Compliance Database'!$I$2:$I$622,MATCH(309,Engine!$C$2:$C$622,0)))</f>
        <v/>
      </c>
      <c r="J322" s="8">
        <f>IF(ISNA(MATCH(309,Engine!$C$2:$C$622,0)),"",INDEX('Compliance Database'!$J$2:$J$622,MATCH(309,Engine!$C$2:$C$622,0)))</f>
        <v/>
      </c>
      <c r="K322">
        <f>IF(ISNA(MATCH(309,Engine!$C$2:$C$622,0)),"",INDEX('Compliance Database'!$K$2:$K$622,MATCH(309,Engine!$C$2:$C$622,0)))</f>
        <v/>
      </c>
      <c r="L322" s="8">
        <f>IF(ISNA(MATCH(309,Engine!$C$2:$C$622,0)),"",INDEX('Compliance Database'!$L$2:$L$622,MATCH(309,Engine!$C$2:$C$622,0)))</f>
        <v/>
      </c>
      <c r="M322" s="8">
        <f>IF(ISNA(MATCH(309,Engine!$C$2:$C$622,0)),"",INDEX('Compliance Database'!$M$2:$M$622,MATCH(309,Engine!$C$2:$C$622,0)))</f>
        <v/>
      </c>
      <c r="N322" s="8">
        <f>IF(ISNA(MATCH(309,Engine!$C$2:$C$622,0)),"",INDEX('Compliance Database'!$N$2:$N$622,MATCH(309,Engine!$C$2:$C$622,0)))</f>
        <v/>
      </c>
      <c r="O322" s="8">
        <f>IF(ISNA(MATCH(309,Engine!$C$2:$C$622,0)),"",INDEX('Compliance Database'!$O$2:$O$622,MATCH(309,Engine!$C$2:$C$622,0)))</f>
        <v/>
      </c>
    </row>
    <row r="323">
      <c r="A323">
        <f>IF(ISNA(MATCH(310,Engine!$C$2:$C$622,0)),"",INDEX('Compliance Database'!$A$2:$A$622,MATCH(310,Engine!$C$2:$C$622,0)))</f>
        <v/>
      </c>
      <c r="B323">
        <f>IF(ISNA(MATCH(310,Engine!$C$2:$C$622,0)),"",INDEX('Compliance Database'!$B$2:$B$622,MATCH(310,Engine!$C$2:$C$622,0)))</f>
        <v/>
      </c>
      <c r="C323">
        <f>IF(ISNA(MATCH(310,Engine!$C$2:$C$622,0)),"",INDEX('Compliance Database'!$C$2:$C$622,MATCH(310,Engine!$C$2:$C$622,0)))</f>
        <v/>
      </c>
      <c r="D323" s="8">
        <f>IF(ISNA(MATCH(310,Engine!$C$2:$C$622,0)),"",INDEX('Compliance Database'!$D$2:$D$622,MATCH(310,Engine!$C$2:$C$622,0)))</f>
        <v/>
      </c>
      <c r="E323">
        <f>IF(ISNA(MATCH(310,Engine!$C$2:$C$622,0)),"",INDEX('Compliance Database'!$E$2:$E$622,MATCH(310,Engine!$C$2:$C$622,0)))</f>
        <v/>
      </c>
      <c r="F323">
        <f>IF(ISNA(MATCH(310,Engine!$C$2:$C$622,0)),"",INDEX('Compliance Database'!$F$2:$F$622,MATCH(310,Engine!$C$2:$C$622,0)))</f>
        <v/>
      </c>
      <c r="G323">
        <f>IF(ISNA(MATCH(310,Engine!$C$2:$C$622,0)),"",INDEX('Compliance Database'!$G$2:$G$622,MATCH(310,Engine!$C$2:$C$622,0)))</f>
        <v/>
      </c>
      <c r="H323">
        <f>IF(ISNA(MATCH(310,Engine!$C$2:$C$622,0)),"",INDEX('Compliance Database'!$H$2:$H$622,MATCH(310,Engine!$C$2:$C$622,0)))</f>
        <v/>
      </c>
      <c r="I323" s="8">
        <f>IF(ISNA(MATCH(310,Engine!$C$2:$C$622,0)),"",INDEX('Compliance Database'!$I$2:$I$622,MATCH(310,Engine!$C$2:$C$622,0)))</f>
        <v/>
      </c>
      <c r="J323" s="8">
        <f>IF(ISNA(MATCH(310,Engine!$C$2:$C$622,0)),"",INDEX('Compliance Database'!$J$2:$J$622,MATCH(310,Engine!$C$2:$C$622,0)))</f>
        <v/>
      </c>
      <c r="K323">
        <f>IF(ISNA(MATCH(310,Engine!$C$2:$C$622,0)),"",INDEX('Compliance Database'!$K$2:$K$622,MATCH(310,Engine!$C$2:$C$622,0)))</f>
        <v/>
      </c>
      <c r="L323" s="8">
        <f>IF(ISNA(MATCH(310,Engine!$C$2:$C$622,0)),"",INDEX('Compliance Database'!$L$2:$L$622,MATCH(310,Engine!$C$2:$C$622,0)))</f>
        <v/>
      </c>
      <c r="M323" s="8">
        <f>IF(ISNA(MATCH(310,Engine!$C$2:$C$622,0)),"",INDEX('Compliance Database'!$M$2:$M$622,MATCH(310,Engine!$C$2:$C$622,0)))</f>
        <v/>
      </c>
      <c r="N323" s="8">
        <f>IF(ISNA(MATCH(310,Engine!$C$2:$C$622,0)),"",INDEX('Compliance Database'!$N$2:$N$622,MATCH(310,Engine!$C$2:$C$622,0)))</f>
        <v/>
      </c>
      <c r="O323" s="8">
        <f>IF(ISNA(MATCH(310,Engine!$C$2:$C$622,0)),"",INDEX('Compliance Database'!$O$2:$O$622,MATCH(310,Engine!$C$2:$C$622,0)))</f>
        <v/>
      </c>
    </row>
    <row r="324">
      <c r="A324">
        <f>IF(ISNA(MATCH(311,Engine!$C$2:$C$622,0)),"",INDEX('Compliance Database'!$A$2:$A$622,MATCH(311,Engine!$C$2:$C$622,0)))</f>
        <v/>
      </c>
      <c r="B324">
        <f>IF(ISNA(MATCH(311,Engine!$C$2:$C$622,0)),"",INDEX('Compliance Database'!$B$2:$B$622,MATCH(311,Engine!$C$2:$C$622,0)))</f>
        <v/>
      </c>
      <c r="C324">
        <f>IF(ISNA(MATCH(311,Engine!$C$2:$C$622,0)),"",INDEX('Compliance Database'!$C$2:$C$622,MATCH(311,Engine!$C$2:$C$622,0)))</f>
        <v/>
      </c>
      <c r="D324" s="8">
        <f>IF(ISNA(MATCH(311,Engine!$C$2:$C$622,0)),"",INDEX('Compliance Database'!$D$2:$D$622,MATCH(311,Engine!$C$2:$C$622,0)))</f>
        <v/>
      </c>
      <c r="E324">
        <f>IF(ISNA(MATCH(311,Engine!$C$2:$C$622,0)),"",INDEX('Compliance Database'!$E$2:$E$622,MATCH(311,Engine!$C$2:$C$622,0)))</f>
        <v/>
      </c>
      <c r="F324">
        <f>IF(ISNA(MATCH(311,Engine!$C$2:$C$622,0)),"",INDEX('Compliance Database'!$F$2:$F$622,MATCH(311,Engine!$C$2:$C$622,0)))</f>
        <v/>
      </c>
      <c r="G324">
        <f>IF(ISNA(MATCH(311,Engine!$C$2:$C$622,0)),"",INDEX('Compliance Database'!$G$2:$G$622,MATCH(311,Engine!$C$2:$C$622,0)))</f>
        <v/>
      </c>
      <c r="H324">
        <f>IF(ISNA(MATCH(311,Engine!$C$2:$C$622,0)),"",INDEX('Compliance Database'!$H$2:$H$622,MATCH(311,Engine!$C$2:$C$622,0)))</f>
        <v/>
      </c>
      <c r="I324" s="8">
        <f>IF(ISNA(MATCH(311,Engine!$C$2:$C$622,0)),"",INDEX('Compliance Database'!$I$2:$I$622,MATCH(311,Engine!$C$2:$C$622,0)))</f>
        <v/>
      </c>
      <c r="J324" s="8">
        <f>IF(ISNA(MATCH(311,Engine!$C$2:$C$622,0)),"",INDEX('Compliance Database'!$J$2:$J$622,MATCH(311,Engine!$C$2:$C$622,0)))</f>
        <v/>
      </c>
      <c r="K324">
        <f>IF(ISNA(MATCH(311,Engine!$C$2:$C$622,0)),"",INDEX('Compliance Database'!$K$2:$K$622,MATCH(311,Engine!$C$2:$C$622,0)))</f>
        <v/>
      </c>
      <c r="L324" s="8">
        <f>IF(ISNA(MATCH(311,Engine!$C$2:$C$622,0)),"",INDEX('Compliance Database'!$L$2:$L$622,MATCH(311,Engine!$C$2:$C$622,0)))</f>
        <v/>
      </c>
      <c r="M324" s="8">
        <f>IF(ISNA(MATCH(311,Engine!$C$2:$C$622,0)),"",INDEX('Compliance Database'!$M$2:$M$622,MATCH(311,Engine!$C$2:$C$622,0)))</f>
        <v/>
      </c>
      <c r="N324" s="8">
        <f>IF(ISNA(MATCH(311,Engine!$C$2:$C$622,0)),"",INDEX('Compliance Database'!$N$2:$N$622,MATCH(311,Engine!$C$2:$C$622,0)))</f>
        <v/>
      </c>
      <c r="O324" s="8">
        <f>IF(ISNA(MATCH(311,Engine!$C$2:$C$622,0)),"",INDEX('Compliance Database'!$O$2:$O$622,MATCH(311,Engine!$C$2:$C$622,0)))</f>
        <v/>
      </c>
    </row>
    <row r="325">
      <c r="A325">
        <f>IF(ISNA(MATCH(312,Engine!$C$2:$C$622,0)),"",INDEX('Compliance Database'!$A$2:$A$622,MATCH(312,Engine!$C$2:$C$622,0)))</f>
        <v/>
      </c>
      <c r="B325">
        <f>IF(ISNA(MATCH(312,Engine!$C$2:$C$622,0)),"",INDEX('Compliance Database'!$B$2:$B$622,MATCH(312,Engine!$C$2:$C$622,0)))</f>
        <v/>
      </c>
      <c r="C325">
        <f>IF(ISNA(MATCH(312,Engine!$C$2:$C$622,0)),"",INDEX('Compliance Database'!$C$2:$C$622,MATCH(312,Engine!$C$2:$C$622,0)))</f>
        <v/>
      </c>
      <c r="D325" s="8">
        <f>IF(ISNA(MATCH(312,Engine!$C$2:$C$622,0)),"",INDEX('Compliance Database'!$D$2:$D$622,MATCH(312,Engine!$C$2:$C$622,0)))</f>
        <v/>
      </c>
      <c r="E325">
        <f>IF(ISNA(MATCH(312,Engine!$C$2:$C$622,0)),"",INDEX('Compliance Database'!$E$2:$E$622,MATCH(312,Engine!$C$2:$C$622,0)))</f>
        <v/>
      </c>
      <c r="F325">
        <f>IF(ISNA(MATCH(312,Engine!$C$2:$C$622,0)),"",INDEX('Compliance Database'!$F$2:$F$622,MATCH(312,Engine!$C$2:$C$622,0)))</f>
        <v/>
      </c>
      <c r="G325">
        <f>IF(ISNA(MATCH(312,Engine!$C$2:$C$622,0)),"",INDEX('Compliance Database'!$G$2:$G$622,MATCH(312,Engine!$C$2:$C$622,0)))</f>
        <v/>
      </c>
      <c r="H325">
        <f>IF(ISNA(MATCH(312,Engine!$C$2:$C$622,0)),"",INDEX('Compliance Database'!$H$2:$H$622,MATCH(312,Engine!$C$2:$C$622,0)))</f>
        <v/>
      </c>
      <c r="I325" s="8">
        <f>IF(ISNA(MATCH(312,Engine!$C$2:$C$622,0)),"",INDEX('Compliance Database'!$I$2:$I$622,MATCH(312,Engine!$C$2:$C$622,0)))</f>
        <v/>
      </c>
      <c r="J325" s="8">
        <f>IF(ISNA(MATCH(312,Engine!$C$2:$C$622,0)),"",INDEX('Compliance Database'!$J$2:$J$622,MATCH(312,Engine!$C$2:$C$622,0)))</f>
        <v/>
      </c>
      <c r="K325">
        <f>IF(ISNA(MATCH(312,Engine!$C$2:$C$622,0)),"",INDEX('Compliance Database'!$K$2:$K$622,MATCH(312,Engine!$C$2:$C$622,0)))</f>
        <v/>
      </c>
      <c r="L325" s="8">
        <f>IF(ISNA(MATCH(312,Engine!$C$2:$C$622,0)),"",INDEX('Compliance Database'!$L$2:$L$622,MATCH(312,Engine!$C$2:$C$622,0)))</f>
        <v/>
      </c>
      <c r="M325" s="8">
        <f>IF(ISNA(MATCH(312,Engine!$C$2:$C$622,0)),"",INDEX('Compliance Database'!$M$2:$M$622,MATCH(312,Engine!$C$2:$C$622,0)))</f>
        <v/>
      </c>
      <c r="N325" s="8">
        <f>IF(ISNA(MATCH(312,Engine!$C$2:$C$622,0)),"",INDEX('Compliance Database'!$N$2:$N$622,MATCH(312,Engine!$C$2:$C$622,0)))</f>
        <v/>
      </c>
      <c r="O325" s="8">
        <f>IF(ISNA(MATCH(312,Engine!$C$2:$C$622,0)),"",INDEX('Compliance Database'!$O$2:$O$622,MATCH(312,Engine!$C$2:$C$622,0)))</f>
        <v/>
      </c>
    </row>
    <row r="326">
      <c r="A326">
        <f>IF(ISNA(MATCH(313,Engine!$C$2:$C$622,0)),"",INDEX('Compliance Database'!$A$2:$A$622,MATCH(313,Engine!$C$2:$C$622,0)))</f>
        <v/>
      </c>
      <c r="B326">
        <f>IF(ISNA(MATCH(313,Engine!$C$2:$C$622,0)),"",INDEX('Compliance Database'!$B$2:$B$622,MATCH(313,Engine!$C$2:$C$622,0)))</f>
        <v/>
      </c>
      <c r="C326">
        <f>IF(ISNA(MATCH(313,Engine!$C$2:$C$622,0)),"",INDEX('Compliance Database'!$C$2:$C$622,MATCH(313,Engine!$C$2:$C$622,0)))</f>
        <v/>
      </c>
      <c r="D326" s="8">
        <f>IF(ISNA(MATCH(313,Engine!$C$2:$C$622,0)),"",INDEX('Compliance Database'!$D$2:$D$622,MATCH(313,Engine!$C$2:$C$622,0)))</f>
        <v/>
      </c>
      <c r="E326">
        <f>IF(ISNA(MATCH(313,Engine!$C$2:$C$622,0)),"",INDEX('Compliance Database'!$E$2:$E$622,MATCH(313,Engine!$C$2:$C$622,0)))</f>
        <v/>
      </c>
      <c r="F326">
        <f>IF(ISNA(MATCH(313,Engine!$C$2:$C$622,0)),"",INDEX('Compliance Database'!$F$2:$F$622,MATCH(313,Engine!$C$2:$C$622,0)))</f>
        <v/>
      </c>
      <c r="G326">
        <f>IF(ISNA(MATCH(313,Engine!$C$2:$C$622,0)),"",INDEX('Compliance Database'!$G$2:$G$622,MATCH(313,Engine!$C$2:$C$622,0)))</f>
        <v/>
      </c>
      <c r="H326">
        <f>IF(ISNA(MATCH(313,Engine!$C$2:$C$622,0)),"",INDEX('Compliance Database'!$H$2:$H$622,MATCH(313,Engine!$C$2:$C$622,0)))</f>
        <v/>
      </c>
      <c r="I326" s="8">
        <f>IF(ISNA(MATCH(313,Engine!$C$2:$C$622,0)),"",INDEX('Compliance Database'!$I$2:$I$622,MATCH(313,Engine!$C$2:$C$622,0)))</f>
        <v/>
      </c>
      <c r="J326" s="8">
        <f>IF(ISNA(MATCH(313,Engine!$C$2:$C$622,0)),"",INDEX('Compliance Database'!$J$2:$J$622,MATCH(313,Engine!$C$2:$C$622,0)))</f>
        <v/>
      </c>
      <c r="K326">
        <f>IF(ISNA(MATCH(313,Engine!$C$2:$C$622,0)),"",INDEX('Compliance Database'!$K$2:$K$622,MATCH(313,Engine!$C$2:$C$622,0)))</f>
        <v/>
      </c>
      <c r="L326" s="8">
        <f>IF(ISNA(MATCH(313,Engine!$C$2:$C$622,0)),"",INDEX('Compliance Database'!$L$2:$L$622,MATCH(313,Engine!$C$2:$C$622,0)))</f>
        <v/>
      </c>
      <c r="M326" s="8">
        <f>IF(ISNA(MATCH(313,Engine!$C$2:$C$622,0)),"",INDEX('Compliance Database'!$M$2:$M$622,MATCH(313,Engine!$C$2:$C$622,0)))</f>
        <v/>
      </c>
      <c r="N326" s="8">
        <f>IF(ISNA(MATCH(313,Engine!$C$2:$C$622,0)),"",INDEX('Compliance Database'!$N$2:$N$622,MATCH(313,Engine!$C$2:$C$622,0)))</f>
        <v/>
      </c>
      <c r="O326" s="8">
        <f>IF(ISNA(MATCH(313,Engine!$C$2:$C$622,0)),"",INDEX('Compliance Database'!$O$2:$O$622,MATCH(313,Engine!$C$2:$C$622,0)))</f>
        <v/>
      </c>
    </row>
    <row r="327">
      <c r="A327">
        <f>IF(ISNA(MATCH(314,Engine!$C$2:$C$622,0)),"",INDEX('Compliance Database'!$A$2:$A$622,MATCH(314,Engine!$C$2:$C$622,0)))</f>
        <v/>
      </c>
      <c r="B327">
        <f>IF(ISNA(MATCH(314,Engine!$C$2:$C$622,0)),"",INDEX('Compliance Database'!$B$2:$B$622,MATCH(314,Engine!$C$2:$C$622,0)))</f>
        <v/>
      </c>
      <c r="C327">
        <f>IF(ISNA(MATCH(314,Engine!$C$2:$C$622,0)),"",INDEX('Compliance Database'!$C$2:$C$622,MATCH(314,Engine!$C$2:$C$622,0)))</f>
        <v/>
      </c>
      <c r="D327" s="8">
        <f>IF(ISNA(MATCH(314,Engine!$C$2:$C$622,0)),"",INDEX('Compliance Database'!$D$2:$D$622,MATCH(314,Engine!$C$2:$C$622,0)))</f>
        <v/>
      </c>
      <c r="E327">
        <f>IF(ISNA(MATCH(314,Engine!$C$2:$C$622,0)),"",INDEX('Compliance Database'!$E$2:$E$622,MATCH(314,Engine!$C$2:$C$622,0)))</f>
        <v/>
      </c>
      <c r="F327">
        <f>IF(ISNA(MATCH(314,Engine!$C$2:$C$622,0)),"",INDEX('Compliance Database'!$F$2:$F$622,MATCH(314,Engine!$C$2:$C$622,0)))</f>
        <v/>
      </c>
      <c r="G327">
        <f>IF(ISNA(MATCH(314,Engine!$C$2:$C$622,0)),"",INDEX('Compliance Database'!$G$2:$G$622,MATCH(314,Engine!$C$2:$C$622,0)))</f>
        <v/>
      </c>
      <c r="H327">
        <f>IF(ISNA(MATCH(314,Engine!$C$2:$C$622,0)),"",INDEX('Compliance Database'!$H$2:$H$622,MATCH(314,Engine!$C$2:$C$622,0)))</f>
        <v/>
      </c>
      <c r="I327" s="8">
        <f>IF(ISNA(MATCH(314,Engine!$C$2:$C$622,0)),"",INDEX('Compliance Database'!$I$2:$I$622,MATCH(314,Engine!$C$2:$C$622,0)))</f>
        <v/>
      </c>
      <c r="J327" s="8">
        <f>IF(ISNA(MATCH(314,Engine!$C$2:$C$622,0)),"",INDEX('Compliance Database'!$J$2:$J$622,MATCH(314,Engine!$C$2:$C$622,0)))</f>
        <v/>
      </c>
      <c r="K327">
        <f>IF(ISNA(MATCH(314,Engine!$C$2:$C$622,0)),"",INDEX('Compliance Database'!$K$2:$K$622,MATCH(314,Engine!$C$2:$C$622,0)))</f>
        <v/>
      </c>
      <c r="L327" s="8">
        <f>IF(ISNA(MATCH(314,Engine!$C$2:$C$622,0)),"",INDEX('Compliance Database'!$L$2:$L$622,MATCH(314,Engine!$C$2:$C$622,0)))</f>
        <v/>
      </c>
      <c r="M327" s="8">
        <f>IF(ISNA(MATCH(314,Engine!$C$2:$C$622,0)),"",INDEX('Compliance Database'!$M$2:$M$622,MATCH(314,Engine!$C$2:$C$622,0)))</f>
        <v/>
      </c>
      <c r="N327" s="8">
        <f>IF(ISNA(MATCH(314,Engine!$C$2:$C$622,0)),"",INDEX('Compliance Database'!$N$2:$N$622,MATCH(314,Engine!$C$2:$C$622,0)))</f>
        <v/>
      </c>
      <c r="O327" s="8">
        <f>IF(ISNA(MATCH(314,Engine!$C$2:$C$622,0)),"",INDEX('Compliance Database'!$O$2:$O$622,MATCH(314,Engine!$C$2:$C$622,0)))</f>
        <v/>
      </c>
    </row>
    <row r="328">
      <c r="A328">
        <f>IF(ISNA(MATCH(315,Engine!$C$2:$C$622,0)),"",INDEX('Compliance Database'!$A$2:$A$622,MATCH(315,Engine!$C$2:$C$622,0)))</f>
        <v/>
      </c>
      <c r="B328">
        <f>IF(ISNA(MATCH(315,Engine!$C$2:$C$622,0)),"",INDEX('Compliance Database'!$B$2:$B$622,MATCH(315,Engine!$C$2:$C$622,0)))</f>
        <v/>
      </c>
      <c r="C328">
        <f>IF(ISNA(MATCH(315,Engine!$C$2:$C$622,0)),"",INDEX('Compliance Database'!$C$2:$C$622,MATCH(315,Engine!$C$2:$C$622,0)))</f>
        <v/>
      </c>
      <c r="D328" s="8">
        <f>IF(ISNA(MATCH(315,Engine!$C$2:$C$622,0)),"",INDEX('Compliance Database'!$D$2:$D$622,MATCH(315,Engine!$C$2:$C$622,0)))</f>
        <v/>
      </c>
      <c r="E328">
        <f>IF(ISNA(MATCH(315,Engine!$C$2:$C$622,0)),"",INDEX('Compliance Database'!$E$2:$E$622,MATCH(315,Engine!$C$2:$C$622,0)))</f>
        <v/>
      </c>
      <c r="F328">
        <f>IF(ISNA(MATCH(315,Engine!$C$2:$C$622,0)),"",INDEX('Compliance Database'!$F$2:$F$622,MATCH(315,Engine!$C$2:$C$622,0)))</f>
        <v/>
      </c>
      <c r="G328">
        <f>IF(ISNA(MATCH(315,Engine!$C$2:$C$622,0)),"",INDEX('Compliance Database'!$G$2:$G$622,MATCH(315,Engine!$C$2:$C$622,0)))</f>
        <v/>
      </c>
      <c r="H328">
        <f>IF(ISNA(MATCH(315,Engine!$C$2:$C$622,0)),"",INDEX('Compliance Database'!$H$2:$H$622,MATCH(315,Engine!$C$2:$C$622,0)))</f>
        <v/>
      </c>
      <c r="I328" s="8">
        <f>IF(ISNA(MATCH(315,Engine!$C$2:$C$622,0)),"",INDEX('Compliance Database'!$I$2:$I$622,MATCH(315,Engine!$C$2:$C$622,0)))</f>
        <v/>
      </c>
      <c r="J328" s="8">
        <f>IF(ISNA(MATCH(315,Engine!$C$2:$C$622,0)),"",INDEX('Compliance Database'!$J$2:$J$622,MATCH(315,Engine!$C$2:$C$622,0)))</f>
        <v/>
      </c>
      <c r="K328">
        <f>IF(ISNA(MATCH(315,Engine!$C$2:$C$622,0)),"",INDEX('Compliance Database'!$K$2:$K$622,MATCH(315,Engine!$C$2:$C$622,0)))</f>
        <v/>
      </c>
      <c r="L328" s="8">
        <f>IF(ISNA(MATCH(315,Engine!$C$2:$C$622,0)),"",INDEX('Compliance Database'!$L$2:$L$622,MATCH(315,Engine!$C$2:$C$622,0)))</f>
        <v/>
      </c>
      <c r="M328" s="8">
        <f>IF(ISNA(MATCH(315,Engine!$C$2:$C$622,0)),"",INDEX('Compliance Database'!$M$2:$M$622,MATCH(315,Engine!$C$2:$C$622,0)))</f>
        <v/>
      </c>
      <c r="N328" s="8">
        <f>IF(ISNA(MATCH(315,Engine!$C$2:$C$622,0)),"",INDEX('Compliance Database'!$N$2:$N$622,MATCH(315,Engine!$C$2:$C$622,0)))</f>
        <v/>
      </c>
      <c r="O328" s="8">
        <f>IF(ISNA(MATCH(315,Engine!$C$2:$C$622,0)),"",INDEX('Compliance Database'!$O$2:$O$622,MATCH(315,Engine!$C$2:$C$622,0)))</f>
        <v/>
      </c>
    </row>
    <row r="329">
      <c r="A329">
        <f>IF(ISNA(MATCH(316,Engine!$C$2:$C$622,0)),"",INDEX('Compliance Database'!$A$2:$A$622,MATCH(316,Engine!$C$2:$C$622,0)))</f>
        <v/>
      </c>
      <c r="B329">
        <f>IF(ISNA(MATCH(316,Engine!$C$2:$C$622,0)),"",INDEX('Compliance Database'!$B$2:$B$622,MATCH(316,Engine!$C$2:$C$622,0)))</f>
        <v/>
      </c>
      <c r="C329">
        <f>IF(ISNA(MATCH(316,Engine!$C$2:$C$622,0)),"",INDEX('Compliance Database'!$C$2:$C$622,MATCH(316,Engine!$C$2:$C$622,0)))</f>
        <v/>
      </c>
      <c r="D329" s="8">
        <f>IF(ISNA(MATCH(316,Engine!$C$2:$C$622,0)),"",INDEX('Compliance Database'!$D$2:$D$622,MATCH(316,Engine!$C$2:$C$622,0)))</f>
        <v/>
      </c>
      <c r="E329">
        <f>IF(ISNA(MATCH(316,Engine!$C$2:$C$622,0)),"",INDEX('Compliance Database'!$E$2:$E$622,MATCH(316,Engine!$C$2:$C$622,0)))</f>
        <v/>
      </c>
      <c r="F329">
        <f>IF(ISNA(MATCH(316,Engine!$C$2:$C$622,0)),"",INDEX('Compliance Database'!$F$2:$F$622,MATCH(316,Engine!$C$2:$C$622,0)))</f>
        <v/>
      </c>
      <c r="G329">
        <f>IF(ISNA(MATCH(316,Engine!$C$2:$C$622,0)),"",INDEX('Compliance Database'!$G$2:$G$622,MATCH(316,Engine!$C$2:$C$622,0)))</f>
        <v/>
      </c>
      <c r="H329">
        <f>IF(ISNA(MATCH(316,Engine!$C$2:$C$622,0)),"",INDEX('Compliance Database'!$H$2:$H$622,MATCH(316,Engine!$C$2:$C$622,0)))</f>
        <v/>
      </c>
      <c r="I329" s="8">
        <f>IF(ISNA(MATCH(316,Engine!$C$2:$C$622,0)),"",INDEX('Compliance Database'!$I$2:$I$622,MATCH(316,Engine!$C$2:$C$622,0)))</f>
        <v/>
      </c>
      <c r="J329" s="8">
        <f>IF(ISNA(MATCH(316,Engine!$C$2:$C$622,0)),"",INDEX('Compliance Database'!$J$2:$J$622,MATCH(316,Engine!$C$2:$C$622,0)))</f>
        <v/>
      </c>
      <c r="K329">
        <f>IF(ISNA(MATCH(316,Engine!$C$2:$C$622,0)),"",INDEX('Compliance Database'!$K$2:$K$622,MATCH(316,Engine!$C$2:$C$622,0)))</f>
        <v/>
      </c>
      <c r="L329" s="8">
        <f>IF(ISNA(MATCH(316,Engine!$C$2:$C$622,0)),"",INDEX('Compliance Database'!$L$2:$L$622,MATCH(316,Engine!$C$2:$C$622,0)))</f>
        <v/>
      </c>
      <c r="M329" s="8">
        <f>IF(ISNA(MATCH(316,Engine!$C$2:$C$622,0)),"",INDEX('Compliance Database'!$M$2:$M$622,MATCH(316,Engine!$C$2:$C$622,0)))</f>
        <v/>
      </c>
      <c r="N329" s="8">
        <f>IF(ISNA(MATCH(316,Engine!$C$2:$C$622,0)),"",INDEX('Compliance Database'!$N$2:$N$622,MATCH(316,Engine!$C$2:$C$622,0)))</f>
        <v/>
      </c>
      <c r="O329" s="8">
        <f>IF(ISNA(MATCH(316,Engine!$C$2:$C$622,0)),"",INDEX('Compliance Database'!$O$2:$O$622,MATCH(316,Engine!$C$2:$C$622,0)))</f>
        <v/>
      </c>
    </row>
    <row r="330">
      <c r="A330">
        <f>IF(ISNA(MATCH(317,Engine!$C$2:$C$622,0)),"",INDEX('Compliance Database'!$A$2:$A$622,MATCH(317,Engine!$C$2:$C$622,0)))</f>
        <v/>
      </c>
      <c r="B330">
        <f>IF(ISNA(MATCH(317,Engine!$C$2:$C$622,0)),"",INDEX('Compliance Database'!$B$2:$B$622,MATCH(317,Engine!$C$2:$C$622,0)))</f>
        <v/>
      </c>
      <c r="C330">
        <f>IF(ISNA(MATCH(317,Engine!$C$2:$C$622,0)),"",INDEX('Compliance Database'!$C$2:$C$622,MATCH(317,Engine!$C$2:$C$622,0)))</f>
        <v/>
      </c>
      <c r="D330" s="8">
        <f>IF(ISNA(MATCH(317,Engine!$C$2:$C$622,0)),"",INDEX('Compliance Database'!$D$2:$D$622,MATCH(317,Engine!$C$2:$C$622,0)))</f>
        <v/>
      </c>
      <c r="E330">
        <f>IF(ISNA(MATCH(317,Engine!$C$2:$C$622,0)),"",INDEX('Compliance Database'!$E$2:$E$622,MATCH(317,Engine!$C$2:$C$622,0)))</f>
        <v/>
      </c>
      <c r="F330">
        <f>IF(ISNA(MATCH(317,Engine!$C$2:$C$622,0)),"",INDEX('Compliance Database'!$F$2:$F$622,MATCH(317,Engine!$C$2:$C$622,0)))</f>
        <v/>
      </c>
      <c r="G330">
        <f>IF(ISNA(MATCH(317,Engine!$C$2:$C$622,0)),"",INDEX('Compliance Database'!$G$2:$G$622,MATCH(317,Engine!$C$2:$C$622,0)))</f>
        <v/>
      </c>
      <c r="H330">
        <f>IF(ISNA(MATCH(317,Engine!$C$2:$C$622,0)),"",INDEX('Compliance Database'!$H$2:$H$622,MATCH(317,Engine!$C$2:$C$622,0)))</f>
        <v/>
      </c>
      <c r="I330" s="8">
        <f>IF(ISNA(MATCH(317,Engine!$C$2:$C$622,0)),"",INDEX('Compliance Database'!$I$2:$I$622,MATCH(317,Engine!$C$2:$C$622,0)))</f>
        <v/>
      </c>
      <c r="J330" s="8">
        <f>IF(ISNA(MATCH(317,Engine!$C$2:$C$622,0)),"",INDEX('Compliance Database'!$J$2:$J$622,MATCH(317,Engine!$C$2:$C$622,0)))</f>
        <v/>
      </c>
      <c r="K330">
        <f>IF(ISNA(MATCH(317,Engine!$C$2:$C$622,0)),"",INDEX('Compliance Database'!$K$2:$K$622,MATCH(317,Engine!$C$2:$C$622,0)))</f>
        <v/>
      </c>
      <c r="L330" s="8">
        <f>IF(ISNA(MATCH(317,Engine!$C$2:$C$622,0)),"",INDEX('Compliance Database'!$L$2:$L$622,MATCH(317,Engine!$C$2:$C$622,0)))</f>
        <v/>
      </c>
      <c r="M330" s="8">
        <f>IF(ISNA(MATCH(317,Engine!$C$2:$C$622,0)),"",INDEX('Compliance Database'!$M$2:$M$622,MATCH(317,Engine!$C$2:$C$622,0)))</f>
        <v/>
      </c>
      <c r="N330" s="8">
        <f>IF(ISNA(MATCH(317,Engine!$C$2:$C$622,0)),"",INDEX('Compliance Database'!$N$2:$N$622,MATCH(317,Engine!$C$2:$C$622,0)))</f>
        <v/>
      </c>
      <c r="O330" s="8">
        <f>IF(ISNA(MATCH(317,Engine!$C$2:$C$622,0)),"",INDEX('Compliance Database'!$O$2:$O$622,MATCH(317,Engine!$C$2:$C$622,0)))</f>
        <v/>
      </c>
    </row>
    <row r="331">
      <c r="A331">
        <f>IF(ISNA(MATCH(318,Engine!$C$2:$C$622,0)),"",INDEX('Compliance Database'!$A$2:$A$622,MATCH(318,Engine!$C$2:$C$622,0)))</f>
        <v/>
      </c>
      <c r="B331">
        <f>IF(ISNA(MATCH(318,Engine!$C$2:$C$622,0)),"",INDEX('Compliance Database'!$B$2:$B$622,MATCH(318,Engine!$C$2:$C$622,0)))</f>
        <v/>
      </c>
      <c r="C331">
        <f>IF(ISNA(MATCH(318,Engine!$C$2:$C$622,0)),"",INDEX('Compliance Database'!$C$2:$C$622,MATCH(318,Engine!$C$2:$C$622,0)))</f>
        <v/>
      </c>
      <c r="D331" s="8">
        <f>IF(ISNA(MATCH(318,Engine!$C$2:$C$622,0)),"",INDEX('Compliance Database'!$D$2:$D$622,MATCH(318,Engine!$C$2:$C$622,0)))</f>
        <v/>
      </c>
      <c r="E331">
        <f>IF(ISNA(MATCH(318,Engine!$C$2:$C$622,0)),"",INDEX('Compliance Database'!$E$2:$E$622,MATCH(318,Engine!$C$2:$C$622,0)))</f>
        <v/>
      </c>
      <c r="F331">
        <f>IF(ISNA(MATCH(318,Engine!$C$2:$C$622,0)),"",INDEX('Compliance Database'!$F$2:$F$622,MATCH(318,Engine!$C$2:$C$622,0)))</f>
        <v/>
      </c>
      <c r="G331">
        <f>IF(ISNA(MATCH(318,Engine!$C$2:$C$622,0)),"",INDEX('Compliance Database'!$G$2:$G$622,MATCH(318,Engine!$C$2:$C$622,0)))</f>
        <v/>
      </c>
      <c r="H331">
        <f>IF(ISNA(MATCH(318,Engine!$C$2:$C$622,0)),"",INDEX('Compliance Database'!$H$2:$H$622,MATCH(318,Engine!$C$2:$C$622,0)))</f>
        <v/>
      </c>
      <c r="I331" s="8">
        <f>IF(ISNA(MATCH(318,Engine!$C$2:$C$622,0)),"",INDEX('Compliance Database'!$I$2:$I$622,MATCH(318,Engine!$C$2:$C$622,0)))</f>
        <v/>
      </c>
      <c r="J331" s="8">
        <f>IF(ISNA(MATCH(318,Engine!$C$2:$C$622,0)),"",INDEX('Compliance Database'!$J$2:$J$622,MATCH(318,Engine!$C$2:$C$622,0)))</f>
        <v/>
      </c>
      <c r="K331">
        <f>IF(ISNA(MATCH(318,Engine!$C$2:$C$622,0)),"",INDEX('Compliance Database'!$K$2:$K$622,MATCH(318,Engine!$C$2:$C$622,0)))</f>
        <v/>
      </c>
      <c r="L331" s="8">
        <f>IF(ISNA(MATCH(318,Engine!$C$2:$C$622,0)),"",INDEX('Compliance Database'!$L$2:$L$622,MATCH(318,Engine!$C$2:$C$622,0)))</f>
        <v/>
      </c>
      <c r="M331" s="8">
        <f>IF(ISNA(MATCH(318,Engine!$C$2:$C$622,0)),"",INDEX('Compliance Database'!$M$2:$M$622,MATCH(318,Engine!$C$2:$C$622,0)))</f>
        <v/>
      </c>
      <c r="N331" s="8">
        <f>IF(ISNA(MATCH(318,Engine!$C$2:$C$622,0)),"",INDEX('Compliance Database'!$N$2:$N$622,MATCH(318,Engine!$C$2:$C$622,0)))</f>
        <v/>
      </c>
      <c r="O331" s="8">
        <f>IF(ISNA(MATCH(318,Engine!$C$2:$C$622,0)),"",INDEX('Compliance Database'!$O$2:$O$622,MATCH(318,Engine!$C$2:$C$622,0)))</f>
        <v/>
      </c>
    </row>
    <row r="332">
      <c r="A332">
        <f>IF(ISNA(MATCH(319,Engine!$C$2:$C$622,0)),"",INDEX('Compliance Database'!$A$2:$A$622,MATCH(319,Engine!$C$2:$C$622,0)))</f>
        <v/>
      </c>
      <c r="B332">
        <f>IF(ISNA(MATCH(319,Engine!$C$2:$C$622,0)),"",INDEX('Compliance Database'!$B$2:$B$622,MATCH(319,Engine!$C$2:$C$622,0)))</f>
        <v/>
      </c>
      <c r="C332">
        <f>IF(ISNA(MATCH(319,Engine!$C$2:$C$622,0)),"",INDEX('Compliance Database'!$C$2:$C$622,MATCH(319,Engine!$C$2:$C$622,0)))</f>
        <v/>
      </c>
      <c r="D332" s="8">
        <f>IF(ISNA(MATCH(319,Engine!$C$2:$C$622,0)),"",INDEX('Compliance Database'!$D$2:$D$622,MATCH(319,Engine!$C$2:$C$622,0)))</f>
        <v/>
      </c>
      <c r="E332">
        <f>IF(ISNA(MATCH(319,Engine!$C$2:$C$622,0)),"",INDEX('Compliance Database'!$E$2:$E$622,MATCH(319,Engine!$C$2:$C$622,0)))</f>
        <v/>
      </c>
      <c r="F332">
        <f>IF(ISNA(MATCH(319,Engine!$C$2:$C$622,0)),"",INDEX('Compliance Database'!$F$2:$F$622,MATCH(319,Engine!$C$2:$C$622,0)))</f>
        <v/>
      </c>
      <c r="G332">
        <f>IF(ISNA(MATCH(319,Engine!$C$2:$C$622,0)),"",INDEX('Compliance Database'!$G$2:$G$622,MATCH(319,Engine!$C$2:$C$622,0)))</f>
        <v/>
      </c>
      <c r="H332">
        <f>IF(ISNA(MATCH(319,Engine!$C$2:$C$622,0)),"",INDEX('Compliance Database'!$H$2:$H$622,MATCH(319,Engine!$C$2:$C$622,0)))</f>
        <v/>
      </c>
      <c r="I332" s="8">
        <f>IF(ISNA(MATCH(319,Engine!$C$2:$C$622,0)),"",INDEX('Compliance Database'!$I$2:$I$622,MATCH(319,Engine!$C$2:$C$622,0)))</f>
        <v/>
      </c>
      <c r="J332" s="8">
        <f>IF(ISNA(MATCH(319,Engine!$C$2:$C$622,0)),"",INDEX('Compliance Database'!$J$2:$J$622,MATCH(319,Engine!$C$2:$C$622,0)))</f>
        <v/>
      </c>
      <c r="K332">
        <f>IF(ISNA(MATCH(319,Engine!$C$2:$C$622,0)),"",INDEX('Compliance Database'!$K$2:$K$622,MATCH(319,Engine!$C$2:$C$622,0)))</f>
        <v/>
      </c>
      <c r="L332" s="8">
        <f>IF(ISNA(MATCH(319,Engine!$C$2:$C$622,0)),"",INDEX('Compliance Database'!$L$2:$L$622,MATCH(319,Engine!$C$2:$C$622,0)))</f>
        <v/>
      </c>
      <c r="M332" s="8">
        <f>IF(ISNA(MATCH(319,Engine!$C$2:$C$622,0)),"",INDEX('Compliance Database'!$M$2:$M$622,MATCH(319,Engine!$C$2:$C$622,0)))</f>
        <v/>
      </c>
      <c r="N332" s="8">
        <f>IF(ISNA(MATCH(319,Engine!$C$2:$C$622,0)),"",INDEX('Compliance Database'!$N$2:$N$622,MATCH(319,Engine!$C$2:$C$622,0)))</f>
        <v/>
      </c>
      <c r="O332" s="8">
        <f>IF(ISNA(MATCH(319,Engine!$C$2:$C$622,0)),"",INDEX('Compliance Database'!$O$2:$O$622,MATCH(319,Engine!$C$2:$C$622,0)))</f>
        <v/>
      </c>
    </row>
    <row r="333">
      <c r="A333">
        <f>IF(ISNA(MATCH(320,Engine!$C$2:$C$622,0)),"",INDEX('Compliance Database'!$A$2:$A$622,MATCH(320,Engine!$C$2:$C$622,0)))</f>
        <v/>
      </c>
      <c r="B333">
        <f>IF(ISNA(MATCH(320,Engine!$C$2:$C$622,0)),"",INDEX('Compliance Database'!$B$2:$B$622,MATCH(320,Engine!$C$2:$C$622,0)))</f>
        <v/>
      </c>
      <c r="C333">
        <f>IF(ISNA(MATCH(320,Engine!$C$2:$C$622,0)),"",INDEX('Compliance Database'!$C$2:$C$622,MATCH(320,Engine!$C$2:$C$622,0)))</f>
        <v/>
      </c>
      <c r="D333" s="8">
        <f>IF(ISNA(MATCH(320,Engine!$C$2:$C$622,0)),"",INDEX('Compliance Database'!$D$2:$D$622,MATCH(320,Engine!$C$2:$C$622,0)))</f>
        <v/>
      </c>
      <c r="E333">
        <f>IF(ISNA(MATCH(320,Engine!$C$2:$C$622,0)),"",INDEX('Compliance Database'!$E$2:$E$622,MATCH(320,Engine!$C$2:$C$622,0)))</f>
        <v/>
      </c>
      <c r="F333">
        <f>IF(ISNA(MATCH(320,Engine!$C$2:$C$622,0)),"",INDEX('Compliance Database'!$F$2:$F$622,MATCH(320,Engine!$C$2:$C$622,0)))</f>
        <v/>
      </c>
      <c r="G333">
        <f>IF(ISNA(MATCH(320,Engine!$C$2:$C$622,0)),"",INDEX('Compliance Database'!$G$2:$G$622,MATCH(320,Engine!$C$2:$C$622,0)))</f>
        <v/>
      </c>
      <c r="H333">
        <f>IF(ISNA(MATCH(320,Engine!$C$2:$C$622,0)),"",INDEX('Compliance Database'!$H$2:$H$622,MATCH(320,Engine!$C$2:$C$622,0)))</f>
        <v/>
      </c>
      <c r="I333" s="8">
        <f>IF(ISNA(MATCH(320,Engine!$C$2:$C$622,0)),"",INDEX('Compliance Database'!$I$2:$I$622,MATCH(320,Engine!$C$2:$C$622,0)))</f>
        <v/>
      </c>
      <c r="J333" s="8">
        <f>IF(ISNA(MATCH(320,Engine!$C$2:$C$622,0)),"",INDEX('Compliance Database'!$J$2:$J$622,MATCH(320,Engine!$C$2:$C$622,0)))</f>
        <v/>
      </c>
      <c r="K333">
        <f>IF(ISNA(MATCH(320,Engine!$C$2:$C$622,0)),"",INDEX('Compliance Database'!$K$2:$K$622,MATCH(320,Engine!$C$2:$C$622,0)))</f>
        <v/>
      </c>
      <c r="L333" s="8">
        <f>IF(ISNA(MATCH(320,Engine!$C$2:$C$622,0)),"",INDEX('Compliance Database'!$L$2:$L$622,MATCH(320,Engine!$C$2:$C$622,0)))</f>
        <v/>
      </c>
      <c r="M333" s="8">
        <f>IF(ISNA(MATCH(320,Engine!$C$2:$C$622,0)),"",INDEX('Compliance Database'!$M$2:$M$622,MATCH(320,Engine!$C$2:$C$622,0)))</f>
        <v/>
      </c>
      <c r="N333" s="8">
        <f>IF(ISNA(MATCH(320,Engine!$C$2:$C$622,0)),"",INDEX('Compliance Database'!$N$2:$N$622,MATCH(320,Engine!$C$2:$C$622,0)))</f>
        <v/>
      </c>
      <c r="O333" s="8">
        <f>IF(ISNA(MATCH(320,Engine!$C$2:$C$622,0)),"",INDEX('Compliance Database'!$O$2:$O$622,MATCH(320,Engine!$C$2:$C$622,0)))</f>
        <v/>
      </c>
    </row>
    <row r="334">
      <c r="A334">
        <f>IF(ISNA(MATCH(321,Engine!$C$2:$C$622,0)),"",INDEX('Compliance Database'!$A$2:$A$622,MATCH(321,Engine!$C$2:$C$622,0)))</f>
        <v/>
      </c>
      <c r="B334">
        <f>IF(ISNA(MATCH(321,Engine!$C$2:$C$622,0)),"",INDEX('Compliance Database'!$B$2:$B$622,MATCH(321,Engine!$C$2:$C$622,0)))</f>
        <v/>
      </c>
      <c r="C334">
        <f>IF(ISNA(MATCH(321,Engine!$C$2:$C$622,0)),"",INDEX('Compliance Database'!$C$2:$C$622,MATCH(321,Engine!$C$2:$C$622,0)))</f>
        <v/>
      </c>
      <c r="D334" s="8">
        <f>IF(ISNA(MATCH(321,Engine!$C$2:$C$622,0)),"",INDEX('Compliance Database'!$D$2:$D$622,MATCH(321,Engine!$C$2:$C$622,0)))</f>
        <v/>
      </c>
      <c r="E334">
        <f>IF(ISNA(MATCH(321,Engine!$C$2:$C$622,0)),"",INDEX('Compliance Database'!$E$2:$E$622,MATCH(321,Engine!$C$2:$C$622,0)))</f>
        <v/>
      </c>
      <c r="F334">
        <f>IF(ISNA(MATCH(321,Engine!$C$2:$C$622,0)),"",INDEX('Compliance Database'!$F$2:$F$622,MATCH(321,Engine!$C$2:$C$622,0)))</f>
        <v/>
      </c>
      <c r="G334">
        <f>IF(ISNA(MATCH(321,Engine!$C$2:$C$622,0)),"",INDEX('Compliance Database'!$G$2:$G$622,MATCH(321,Engine!$C$2:$C$622,0)))</f>
        <v/>
      </c>
      <c r="H334">
        <f>IF(ISNA(MATCH(321,Engine!$C$2:$C$622,0)),"",INDEX('Compliance Database'!$H$2:$H$622,MATCH(321,Engine!$C$2:$C$622,0)))</f>
        <v/>
      </c>
      <c r="I334" s="8">
        <f>IF(ISNA(MATCH(321,Engine!$C$2:$C$622,0)),"",INDEX('Compliance Database'!$I$2:$I$622,MATCH(321,Engine!$C$2:$C$622,0)))</f>
        <v/>
      </c>
      <c r="J334" s="8">
        <f>IF(ISNA(MATCH(321,Engine!$C$2:$C$622,0)),"",INDEX('Compliance Database'!$J$2:$J$622,MATCH(321,Engine!$C$2:$C$622,0)))</f>
        <v/>
      </c>
      <c r="K334">
        <f>IF(ISNA(MATCH(321,Engine!$C$2:$C$622,0)),"",INDEX('Compliance Database'!$K$2:$K$622,MATCH(321,Engine!$C$2:$C$622,0)))</f>
        <v/>
      </c>
      <c r="L334" s="8">
        <f>IF(ISNA(MATCH(321,Engine!$C$2:$C$622,0)),"",INDEX('Compliance Database'!$L$2:$L$622,MATCH(321,Engine!$C$2:$C$622,0)))</f>
        <v/>
      </c>
      <c r="M334" s="8">
        <f>IF(ISNA(MATCH(321,Engine!$C$2:$C$622,0)),"",INDEX('Compliance Database'!$M$2:$M$622,MATCH(321,Engine!$C$2:$C$622,0)))</f>
        <v/>
      </c>
      <c r="N334" s="8">
        <f>IF(ISNA(MATCH(321,Engine!$C$2:$C$622,0)),"",INDEX('Compliance Database'!$N$2:$N$622,MATCH(321,Engine!$C$2:$C$622,0)))</f>
        <v/>
      </c>
      <c r="O334" s="8">
        <f>IF(ISNA(MATCH(321,Engine!$C$2:$C$622,0)),"",INDEX('Compliance Database'!$O$2:$O$622,MATCH(321,Engine!$C$2:$C$622,0)))</f>
        <v/>
      </c>
    </row>
    <row r="335">
      <c r="A335">
        <f>IF(ISNA(MATCH(322,Engine!$C$2:$C$622,0)),"",INDEX('Compliance Database'!$A$2:$A$622,MATCH(322,Engine!$C$2:$C$622,0)))</f>
        <v/>
      </c>
      <c r="B335">
        <f>IF(ISNA(MATCH(322,Engine!$C$2:$C$622,0)),"",INDEX('Compliance Database'!$B$2:$B$622,MATCH(322,Engine!$C$2:$C$622,0)))</f>
        <v/>
      </c>
      <c r="C335">
        <f>IF(ISNA(MATCH(322,Engine!$C$2:$C$622,0)),"",INDEX('Compliance Database'!$C$2:$C$622,MATCH(322,Engine!$C$2:$C$622,0)))</f>
        <v/>
      </c>
      <c r="D335" s="8">
        <f>IF(ISNA(MATCH(322,Engine!$C$2:$C$622,0)),"",INDEX('Compliance Database'!$D$2:$D$622,MATCH(322,Engine!$C$2:$C$622,0)))</f>
        <v/>
      </c>
      <c r="E335">
        <f>IF(ISNA(MATCH(322,Engine!$C$2:$C$622,0)),"",INDEX('Compliance Database'!$E$2:$E$622,MATCH(322,Engine!$C$2:$C$622,0)))</f>
        <v/>
      </c>
      <c r="F335">
        <f>IF(ISNA(MATCH(322,Engine!$C$2:$C$622,0)),"",INDEX('Compliance Database'!$F$2:$F$622,MATCH(322,Engine!$C$2:$C$622,0)))</f>
        <v/>
      </c>
      <c r="G335">
        <f>IF(ISNA(MATCH(322,Engine!$C$2:$C$622,0)),"",INDEX('Compliance Database'!$G$2:$G$622,MATCH(322,Engine!$C$2:$C$622,0)))</f>
        <v/>
      </c>
      <c r="H335">
        <f>IF(ISNA(MATCH(322,Engine!$C$2:$C$622,0)),"",INDEX('Compliance Database'!$H$2:$H$622,MATCH(322,Engine!$C$2:$C$622,0)))</f>
        <v/>
      </c>
      <c r="I335" s="8">
        <f>IF(ISNA(MATCH(322,Engine!$C$2:$C$622,0)),"",INDEX('Compliance Database'!$I$2:$I$622,MATCH(322,Engine!$C$2:$C$622,0)))</f>
        <v/>
      </c>
      <c r="J335" s="8">
        <f>IF(ISNA(MATCH(322,Engine!$C$2:$C$622,0)),"",INDEX('Compliance Database'!$J$2:$J$622,MATCH(322,Engine!$C$2:$C$622,0)))</f>
        <v/>
      </c>
      <c r="K335">
        <f>IF(ISNA(MATCH(322,Engine!$C$2:$C$622,0)),"",INDEX('Compliance Database'!$K$2:$K$622,MATCH(322,Engine!$C$2:$C$622,0)))</f>
        <v/>
      </c>
      <c r="L335" s="8">
        <f>IF(ISNA(MATCH(322,Engine!$C$2:$C$622,0)),"",INDEX('Compliance Database'!$L$2:$L$622,MATCH(322,Engine!$C$2:$C$622,0)))</f>
        <v/>
      </c>
      <c r="M335" s="8">
        <f>IF(ISNA(MATCH(322,Engine!$C$2:$C$622,0)),"",INDEX('Compliance Database'!$M$2:$M$622,MATCH(322,Engine!$C$2:$C$622,0)))</f>
        <v/>
      </c>
      <c r="N335" s="8">
        <f>IF(ISNA(MATCH(322,Engine!$C$2:$C$622,0)),"",INDEX('Compliance Database'!$N$2:$N$622,MATCH(322,Engine!$C$2:$C$622,0)))</f>
        <v/>
      </c>
      <c r="O335" s="8">
        <f>IF(ISNA(MATCH(322,Engine!$C$2:$C$622,0)),"",INDEX('Compliance Database'!$O$2:$O$622,MATCH(322,Engine!$C$2:$C$622,0)))</f>
        <v/>
      </c>
    </row>
    <row r="336">
      <c r="A336">
        <f>IF(ISNA(MATCH(323,Engine!$C$2:$C$622,0)),"",INDEX('Compliance Database'!$A$2:$A$622,MATCH(323,Engine!$C$2:$C$622,0)))</f>
        <v/>
      </c>
      <c r="B336">
        <f>IF(ISNA(MATCH(323,Engine!$C$2:$C$622,0)),"",INDEX('Compliance Database'!$B$2:$B$622,MATCH(323,Engine!$C$2:$C$622,0)))</f>
        <v/>
      </c>
      <c r="C336">
        <f>IF(ISNA(MATCH(323,Engine!$C$2:$C$622,0)),"",INDEX('Compliance Database'!$C$2:$C$622,MATCH(323,Engine!$C$2:$C$622,0)))</f>
        <v/>
      </c>
      <c r="D336" s="8">
        <f>IF(ISNA(MATCH(323,Engine!$C$2:$C$622,0)),"",INDEX('Compliance Database'!$D$2:$D$622,MATCH(323,Engine!$C$2:$C$622,0)))</f>
        <v/>
      </c>
      <c r="E336">
        <f>IF(ISNA(MATCH(323,Engine!$C$2:$C$622,0)),"",INDEX('Compliance Database'!$E$2:$E$622,MATCH(323,Engine!$C$2:$C$622,0)))</f>
        <v/>
      </c>
      <c r="F336">
        <f>IF(ISNA(MATCH(323,Engine!$C$2:$C$622,0)),"",INDEX('Compliance Database'!$F$2:$F$622,MATCH(323,Engine!$C$2:$C$622,0)))</f>
        <v/>
      </c>
      <c r="G336">
        <f>IF(ISNA(MATCH(323,Engine!$C$2:$C$622,0)),"",INDEX('Compliance Database'!$G$2:$G$622,MATCH(323,Engine!$C$2:$C$622,0)))</f>
        <v/>
      </c>
      <c r="H336">
        <f>IF(ISNA(MATCH(323,Engine!$C$2:$C$622,0)),"",INDEX('Compliance Database'!$H$2:$H$622,MATCH(323,Engine!$C$2:$C$622,0)))</f>
        <v/>
      </c>
      <c r="I336" s="8">
        <f>IF(ISNA(MATCH(323,Engine!$C$2:$C$622,0)),"",INDEX('Compliance Database'!$I$2:$I$622,MATCH(323,Engine!$C$2:$C$622,0)))</f>
        <v/>
      </c>
      <c r="J336" s="8">
        <f>IF(ISNA(MATCH(323,Engine!$C$2:$C$622,0)),"",INDEX('Compliance Database'!$J$2:$J$622,MATCH(323,Engine!$C$2:$C$622,0)))</f>
        <v/>
      </c>
      <c r="K336">
        <f>IF(ISNA(MATCH(323,Engine!$C$2:$C$622,0)),"",INDEX('Compliance Database'!$K$2:$K$622,MATCH(323,Engine!$C$2:$C$622,0)))</f>
        <v/>
      </c>
      <c r="L336" s="8">
        <f>IF(ISNA(MATCH(323,Engine!$C$2:$C$622,0)),"",INDEX('Compliance Database'!$L$2:$L$622,MATCH(323,Engine!$C$2:$C$622,0)))</f>
        <v/>
      </c>
      <c r="M336" s="8">
        <f>IF(ISNA(MATCH(323,Engine!$C$2:$C$622,0)),"",INDEX('Compliance Database'!$M$2:$M$622,MATCH(323,Engine!$C$2:$C$622,0)))</f>
        <v/>
      </c>
      <c r="N336" s="8">
        <f>IF(ISNA(MATCH(323,Engine!$C$2:$C$622,0)),"",INDEX('Compliance Database'!$N$2:$N$622,MATCH(323,Engine!$C$2:$C$622,0)))</f>
        <v/>
      </c>
      <c r="O336" s="8">
        <f>IF(ISNA(MATCH(323,Engine!$C$2:$C$622,0)),"",INDEX('Compliance Database'!$O$2:$O$622,MATCH(323,Engine!$C$2:$C$622,0)))</f>
        <v/>
      </c>
    </row>
    <row r="337">
      <c r="A337">
        <f>IF(ISNA(MATCH(324,Engine!$C$2:$C$622,0)),"",INDEX('Compliance Database'!$A$2:$A$622,MATCH(324,Engine!$C$2:$C$622,0)))</f>
        <v/>
      </c>
      <c r="B337">
        <f>IF(ISNA(MATCH(324,Engine!$C$2:$C$622,0)),"",INDEX('Compliance Database'!$B$2:$B$622,MATCH(324,Engine!$C$2:$C$622,0)))</f>
        <v/>
      </c>
      <c r="C337">
        <f>IF(ISNA(MATCH(324,Engine!$C$2:$C$622,0)),"",INDEX('Compliance Database'!$C$2:$C$622,MATCH(324,Engine!$C$2:$C$622,0)))</f>
        <v/>
      </c>
      <c r="D337" s="8">
        <f>IF(ISNA(MATCH(324,Engine!$C$2:$C$622,0)),"",INDEX('Compliance Database'!$D$2:$D$622,MATCH(324,Engine!$C$2:$C$622,0)))</f>
        <v/>
      </c>
      <c r="E337">
        <f>IF(ISNA(MATCH(324,Engine!$C$2:$C$622,0)),"",INDEX('Compliance Database'!$E$2:$E$622,MATCH(324,Engine!$C$2:$C$622,0)))</f>
        <v/>
      </c>
      <c r="F337">
        <f>IF(ISNA(MATCH(324,Engine!$C$2:$C$622,0)),"",INDEX('Compliance Database'!$F$2:$F$622,MATCH(324,Engine!$C$2:$C$622,0)))</f>
        <v/>
      </c>
      <c r="G337">
        <f>IF(ISNA(MATCH(324,Engine!$C$2:$C$622,0)),"",INDEX('Compliance Database'!$G$2:$G$622,MATCH(324,Engine!$C$2:$C$622,0)))</f>
        <v/>
      </c>
      <c r="H337">
        <f>IF(ISNA(MATCH(324,Engine!$C$2:$C$622,0)),"",INDEX('Compliance Database'!$H$2:$H$622,MATCH(324,Engine!$C$2:$C$622,0)))</f>
        <v/>
      </c>
      <c r="I337" s="8">
        <f>IF(ISNA(MATCH(324,Engine!$C$2:$C$622,0)),"",INDEX('Compliance Database'!$I$2:$I$622,MATCH(324,Engine!$C$2:$C$622,0)))</f>
        <v/>
      </c>
      <c r="J337" s="8">
        <f>IF(ISNA(MATCH(324,Engine!$C$2:$C$622,0)),"",INDEX('Compliance Database'!$J$2:$J$622,MATCH(324,Engine!$C$2:$C$622,0)))</f>
        <v/>
      </c>
      <c r="K337">
        <f>IF(ISNA(MATCH(324,Engine!$C$2:$C$622,0)),"",INDEX('Compliance Database'!$K$2:$K$622,MATCH(324,Engine!$C$2:$C$622,0)))</f>
        <v/>
      </c>
      <c r="L337" s="8">
        <f>IF(ISNA(MATCH(324,Engine!$C$2:$C$622,0)),"",INDEX('Compliance Database'!$L$2:$L$622,MATCH(324,Engine!$C$2:$C$622,0)))</f>
        <v/>
      </c>
      <c r="M337" s="8">
        <f>IF(ISNA(MATCH(324,Engine!$C$2:$C$622,0)),"",INDEX('Compliance Database'!$M$2:$M$622,MATCH(324,Engine!$C$2:$C$622,0)))</f>
        <v/>
      </c>
      <c r="N337" s="8">
        <f>IF(ISNA(MATCH(324,Engine!$C$2:$C$622,0)),"",INDEX('Compliance Database'!$N$2:$N$622,MATCH(324,Engine!$C$2:$C$622,0)))</f>
        <v/>
      </c>
      <c r="O337" s="8">
        <f>IF(ISNA(MATCH(324,Engine!$C$2:$C$622,0)),"",INDEX('Compliance Database'!$O$2:$O$622,MATCH(324,Engine!$C$2:$C$622,0)))</f>
        <v/>
      </c>
    </row>
    <row r="338">
      <c r="A338">
        <f>IF(ISNA(MATCH(325,Engine!$C$2:$C$622,0)),"",INDEX('Compliance Database'!$A$2:$A$622,MATCH(325,Engine!$C$2:$C$622,0)))</f>
        <v/>
      </c>
      <c r="B338">
        <f>IF(ISNA(MATCH(325,Engine!$C$2:$C$622,0)),"",INDEX('Compliance Database'!$B$2:$B$622,MATCH(325,Engine!$C$2:$C$622,0)))</f>
        <v/>
      </c>
      <c r="C338">
        <f>IF(ISNA(MATCH(325,Engine!$C$2:$C$622,0)),"",INDEX('Compliance Database'!$C$2:$C$622,MATCH(325,Engine!$C$2:$C$622,0)))</f>
        <v/>
      </c>
      <c r="D338" s="8">
        <f>IF(ISNA(MATCH(325,Engine!$C$2:$C$622,0)),"",INDEX('Compliance Database'!$D$2:$D$622,MATCH(325,Engine!$C$2:$C$622,0)))</f>
        <v/>
      </c>
      <c r="E338">
        <f>IF(ISNA(MATCH(325,Engine!$C$2:$C$622,0)),"",INDEX('Compliance Database'!$E$2:$E$622,MATCH(325,Engine!$C$2:$C$622,0)))</f>
        <v/>
      </c>
      <c r="F338">
        <f>IF(ISNA(MATCH(325,Engine!$C$2:$C$622,0)),"",INDEX('Compliance Database'!$F$2:$F$622,MATCH(325,Engine!$C$2:$C$622,0)))</f>
        <v/>
      </c>
      <c r="G338">
        <f>IF(ISNA(MATCH(325,Engine!$C$2:$C$622,0)),"",INDEX('Compliance Database'!$G$2:$G$622,MATCH(325,Engine!$C$2:$C$622,0)))</f>
        <v/>
      </c>
      <c r="H338">
        <f>IF(ISNA(MATCH(325,Engine!$C$2:$C$622,0)),"",INDEX('Compliance Database'!$H$2:$H$622,MATCH(325,Engine!$C$2:$C$622,0)))</f>
        <v/>
      </c>
      <c r="I338" s="8">
        <f>IF(ISNA(MATCH(325,Engine!$C$2:$C$622,0)),"",INDEX('Compliance Database'!$I$2:$I$622,MATCH(325,Engine!$C$2:$C$622,0)))</f>
        <v/>
      </c>
      <c r="J338" s="8">
        <f>IF(ISNA(MATCH(325,Engine!$C$2:$C$622,0)),"",INDEX('Compliance Database'!$J$2:$J$622,MATCH(325,Engine!$C$2:$C$622,0)))</f>
        <v/>
      </c>
      <c r="K338">
        <f>IF(ISNA(MATCH(325,Engine!$C$2:$C$622,0)),"",INDEX('Compliance Database'!$K$2:$K$622,MATCH(325,Engine!$C$2:$C$622,0)))</f>
        <v/>
      </c>
      <c r="L338" s="8">
        <f>IF(ISNA(MATCH(325,Engine!$C$2:$C$622,0)),"",INDEX('Compliance Database'!$L$2:$L$622,MATCH(325,Engine!$C$2:$C$622,0)))</f>
        <v/>
      </c>
      <c r="M338" s="8">
        <f>IF(ISNA(MATCH(325,Engine!$C$2:$C$622,0)),"",INDEX('Compliance Database'!$M$2:$M$622,MATCH(325,Engine!$C$2:$C$622,0)))</f>
        <v/>
      </c>
      <c r="N338" s="8">
        <f>IF(ISNA(MATCH(325,Engine!$C$2:$C$622,0)),"",INDEX('Compliance Database'!$N$2:$N$622,MATCH(325,Engine!$C$2:$C$622,0)))</f>
        <v/>
      </c>
      <c r="O338" s="8">
        <f>IF(ISNA(MATCH(325,Engine!$C$2:$C$622,0)),"",INDEX('Compliance Database'!$O$2:$O$622,MATCH(325,Engine!$C$2:$C$622,0)))</f>
        <v/>
      </c>
    </row>
    <row r="339">
      <c r="A339">
        <f>IF(ISNA(MATCH(326,Engine!$C$2:$C$622,0)),"",INDEX('Compliance Database'!$A$2:$A$622,MATCH(326,Engine!$C$2:$C$622,0)))</f>
        <v/>
      </c>
      <c r="B339">
        <f>IF(ISNA(MATCH(326,Engine!$C$2:$C$622,0)),"",INDEX('Compliance Database'!$B$2:$B$622,MATCH(326,Engine!$C$2:$C$622,0)))</f>
        <v/>
      </c>
      <c r="C339">
        <f>IF(ISNA(MATCH(326,Engine!$C$2:$C$622,0)),"",INDEX('Compliance Database'!$C$2:$C$622,MATCH(326,Engine!$C$2:$C$622,0)))</f>
        <v/>
      </c>
      <c r="D339" s="8">
        <f>IF(ISNA(MATCH(326,Engine!$C$2:$C$622,0)),"",INDEX('Compliance Database'!$D$2:$D$622,MATCH(326,Engine!$C$2:$C$622,0)))</f>
        <v/>
      </c>
      <c r="E339">
        <f>IF(ISNA(MATCH(326,Engine!$C$2:$C$622,0)),"",INDEX('Compliance Database'!$E$2:$E$622,MATCH(326,Engine!$C$2:$C$622,0)))</f>
        <v/>
      </c>
      <c r="F339">
        <f>IF(ISNA(MATCH(326,Engine!$C$2:$C$622,0)),"",INDEX('Compliance Database'!$F$2:$F$622,MATCH(326,Engine!$C$2:$C$622,0)))</f>
        <v/>
      </c>
      <c r="G339">
        <f>IF(ISNA(MATCH(326,Engine!$C$2:$C$622,0)),"",INDEX('Compliance Database'!$G$2:$G$622,MATCH(326,Engine!$C$2:$C$622,0)))</f>
        <v/>
      </c>
      <c r="H339">
        <f>IF(ISNA(MATCH(326,Engine!$C$2:$C$622,0)),"",INDEX('Compliance Database'!$H$2:$H$622,MATCH(326,Engine!$C$2:$C$622,0)))</f>
        <v/>
      </c>
      <c r="I339" s="8">
        <f>IF(ISNA(MATCH(326,Engine!$C$2:$C$622,0)),"",INDEX('Compliance Database'!$I$2:$I$622,MATCH(326,Engine!$C$2:$C$622,0)))</f>
        <v/>
      </c>
      <c r="J339" s="8">
        <f>IF(ISNA(MATCH(326,Engine!$C$2:$C$622,0)),"",INDEX('Compliance Database'!$J$2:$J$622,MATCH(326,Engine!$C$2:$C$622,0)))</f>
        <v/>
      </c>
      <c r="K339">
        <f>IF(ISNA(MATCH(326,Engine!$C$2:$C$622,0)),"",INDEX('Compliance Database'!$K$2:$K$622,MATCH(326,Engine!$C$2:$C$622,0)))</f>
        <v/>
      </c>
      <c r="L339" s="8">
        <f>IF(ISNA(MATCH(326,Engine!$C$2:$C$622,0)),"",INDEX('Compliance Database'!$L$2:$L$622,MATCH(326,Engine!$C$2:$C$622,0)))</f>
        <v/>
      </c>
      <c r="M339" s="8">
        <f>IF(ISNA(MATCH(326,Engine!$C$2:$C$622,0)),"",INDEX('Compliance Database'!$M$2:$M$622,MATCH(326,Engine!$C$2:$C$622,0)))</f>
        <v/>
      </c>
      <c r="N339" s="8">
        <f>IF(ISNA(MATCH(326,Engine!$C$2:$C$622,0)),"",INDEX('Compliance Database'!$N$2:$N$622,MATCH(326,Engine!$C$2:$C$622,0)))</f>
        <v/>
      </c>
      <c r="O339" s="8">
        <f>IF(ISNA(MATCH(326,Engine!$C$2:$C$622,0)),"",INDEX('Compliance Database'!$O$2:$O$622,MATCH(326,Engine!$C$2:$C$622,0)))</f>
        <v/>
      </c>
    </row>
    <row r="340">
      <c r="A340">
        <f>IF(ISNA(MATCH(327,Engine!$C$2:$C$622,0)),"",INDEX('Compliance Database'!$A$2:$A$622,MATCH(327,Engine!$C$2:$C$622,0)))</f>
        <v/>
      </c>
      <c r="B340">
        <f>IF(ISNA(MATCH(327,Engine!$C$2:$C$622,0)),"",INDEX('Compliance Database'!$B$2:$B$622,MATCH(327,Engine!$C$2:$C$622,0)))</f>
        <v/>
      </c>
      <c r="C340">
        <f>IF(ISNA(MATCH(327,Engine!$C$2:$C$622,0)),"",INDEX('Compliance Database'!$C$2:$C$622,MATCH(327,Engine!$C$2:$C$622,0)))</f>
        <v/>
      </c>
      <c r="D340" s="8">
        <f>IF(ISNA(MATCH(327,Engine!$C$2:$C$622,0)),"",INDEX('Compliance Database'!$D$2:$D$622,MATCH(327,Engine!$C$2:$C$622,0)))</f>
        <v/>
      </c>
      <c r="E340">
        <f>IF(ISNA(MATCH(327,Engine!$C$2:$C$622,0)),"",INDEX('Compliance Database'!$E$2:$E$622,MATCH(327,Engine!$C$2:$C$622,0)))</f>
        <v/>
      </c>
      <c r="F340">
        <f>IF(ISNA(MATCH(327,Engine!$C$2:$C$622,0)),"",INDEX('Compliance Database'!$F$2:$F$622,MATCH(327,Engine!$C$2:$C$622,0)))</f>
        <v/>
      </c>
      <c r="G340">
        <f>IF(ISNA(MATCH(327,Engine!$C$2:$C$622,0)),"",INDEX('Compliance Database'!$G$2:$G$622,MATCH(327,Engine!$C$2:$C$622,0)))</f>
        <v/>
      </c>
      <c r="H340">
        <f>IF(ISNA(MATCH(327,Engine!$C$2:$C$622,0)),"",INDEX('Compliance Database'!$H$2:$H$622,MATCH(327,Engine!$C$2:$C$622,0)))</f>
        <v/>
      </c>
      <c r="I340" s="8">
        <f>IF(ISNA(MATCH(327,Engine!$C$2:$C$622,0)),"",INDEX('Compliance Database'!$I$2:$I$622,MATCH(327,Engine!$C$2:$C$622,0)))</f>
        <v/>
      </c>
      <c r="J340" s="8">
        <f>IF(ISNA(MATCH(327,Engine!$C$2:$C$622,0)),"",INDEX('Compliance Database'!$J$2:$J$622,MATCH(327,Engine!$C$2:$C$622,0)))</f>
        <v/>
      </c>
      <c r="K340">
        <f>IF(ISNA(MATCH(327,Engine!$C$2:$C$622,0)),"",INDEX('Compliance Database'!$K$2:$K$622,MATCH(327,Engine!$C$2:$C$622,0)))</f>
        <v/>
      </c>
      <c r="L340" s="8">
        <f>IF(ISNA(MATCH(327,Engine!$C$2:$C$622,0)),"",INDEX('Compliance Database'!$L$2:$L$622,MATCH(327,Engine!$C$2:$C$622,0)))</f>
        <v/>
      </c>
      <c r="M340" s="8">
        <f>IF(ISNA(MATCH(327,Engine!$C$2:$C$622,0)),"",INDEX('Compliance Database'!$M$2:$M$622,MATCH(327,Engine!$C$2:$C$622,0)))</f>
        <v/>
      </c>
      <c r="N340" s="8">
        <f>IF(ISNA(MATCH(327,Engine!$C$2:$C$622,0)),"",INDEX('Compliance Database'!$N$2:$N$622,MATCH(327,Engine!$C$2:$C$622,0)))</f>
        <v/>
      </c>
      <c r="O340" s="8">
        <f>IF(ISNA(MATCH(327,Engine!$C$2:$C$622,0)),"",INDEX('Compliance Database'!$O$2:$O$622,MATCH(327,Engine!$C$2:$C$622,0)))</f>
        <v/>
      </c>
    </row>
    <row r="341">
      <c r="A341">
        <f>IF(ISNA(MATCH(328,Engine!$C$2:$C$622,0)),"",INDEX('Compliance Database'!$A$2:$A$622,MATCH(328,Engine!$C$2:$C$622,0)))</f>
        <v/>
      </c>
      <c r="B341">
        <f>IF(ISNA(MATCH(328,Engine!$C$2:$C$622,0)),"",INDEX('Compliance Database'!$B$2:$B$622,MATCH(328,Engine!$C$2:$C$622,0)))</f>
        <v/>
      </c>
      <c r="C341">
        <f>IF(ISNA(MATCH(328,Engine!$C$2:$C$622,0)),"",INDEX('Compliance Database'!$C$2:$C$622,MATCH(328,Engine!$C$2:$C$622,0)))</f>
        <v/>
      </c>
      <c r="D341" s="8">
        <f>IF(ISNA(MATCH(328,Engine!$C$2:$C$622,0)),"",INDEX('Compliance Database'!$D$2:$D$622,MATCH(328,Engine!$C$2:$C$622,0)))</f>
        <v/>
      </c>
      <c r="E341">
        <f>IF(ISNA(MATCH(328,Engine!$C$2:$C$622,0)),"",INDEX('Compliance Database'!$E$2:$E$622,MATCH(328,Engine!$C$2:$C$622,0)))</f>
        <v/>
      </c>
      <c r="F341">
        <f>IF(ISNA(MATCH(328,Engine!$C$2:$C$622,0)),"",INDEX('Compliance Database'!$F$2:$F$622,MATCH(328,Engine!$C$2:$C$622,0)))</f>
        <v/>
      </c>
      <c r="G341">
        <f>IF(ISNA(MATCH(328,Engine!$C$2:$C$622,0)),"",INDEX('Compliance Database'!$G$2:$G$622,MATCH(328,Engine!$C$2:$C$622,0)))</f>
        <v/>
      </c>
      <c r="H341">
        <f>IF(ISNA(MATCH(328,Engine!$C$2:$C$622,0)),"",INDEX('Compliance Database'!$H$2:$H$622,MATCH(328,Engine!$C$2:$C$622,0)))</f>
        <v/>
      </c>
      <c r="I341" s="8">
        <f>IF(ISNA(MATCH(328,Engine!$C$2:$C$622,0)),"",INDEX('Compliance Database'!$I$2:$I$622,MATCH(328,Engine!$C$2:$C$622,0)))</f>
        <v/>
      </c>
      <c r="J341" s="8">
        <f>IF(ISNA(MATCH(328,Engine!$C$2:$C$622,0)),"",INDEX('Compliance Database'!$J$2:$J$622,MATCH(328,Engine!$C$2:$C$622,0)))</f>
        <v/>
      </c>
      <c r="K341">
        <f>IF(ISNA(MATCH(328,Engine!$C$2:$C$622,0)),"",INDEX('Compliance Database'!$K$2:$K$622,MATCH(328,Engine!$C$2:$C$622,0)))</f>
        <v/>
      </c>
      <c r="L341" s="8">
        <f>IF(ISNA(MATCH(328,Engine!$C$2:$C$622,0)),"",INDEX('Compliance Database'!$L$2:$L$622,MATCH(328,Engine!$C$2:$C$622,0)))</f>
        <v/>
      </c>
      <c r="M341" s="8">
        <f>IF(ISNA(MATCH(328,Engine!$C$2:$C$622,0)),"",INDEX('Compliance Database'!$M$2:$M$622,MATCH(328,Engine!$C$2:$C$622,0)))</f>
        <v/>
      </c>
      <c r="N341" s="8">
        <f>IF(ISNA(MATCH(328,Engine!$C$2:$C$622,0)),"",INDEX('Compliance Database'!$N$2:$N$622,MATCH(328,Engine!$C$2:$C$622,0)))</f>
        <v/>
      </c>
      <c r="O341" s="8">
        <f>IF(ISNA(MATCH(328,Engine!$C$2:$C$622,0)),"",INDEX('Compliance Database'!$O$2:$O$622,MATCH(328,Engine!$C$2:$C$622,0)))</f>
        <v/>
      </c>
    </row>
    <row r="342">
      <c r="A342">
        <f>IF(ISNA(MATCH(329,Engine!$C$2:$C$622,0)),"",INDEX('Compliance Database'!$A$2:$A$622,MATCH(329,Engine!$C$2:$C$622,0)))</f>
        <v/>
      </c>
      <c r="B342">
        <f>IF(ISNA(MATCH(329,Engine!$C$2:$C$622,0)),"",INDEX('Compliance Database'!$B$2:$B$622,MATCH(329,Engine!$C$2:$C$622,0)))</f>
        <v/>
      </c>
      <c r="C342">
        <f>IF(ISNA(MATCH(329,Engine!$C$2:$C$622,0)),"",INDEX('Compliance Database'!$C$2:$C$622,MATCH(329,Engine!$C$2:$C$622,0)))</f>
        <v/>
      </c>
      <c r="D342" s="8">
        <f>IF(ISNA(MATCH(329,Engine!$C$2:$C$622,0)),"",INDEX('Compliance Database'!$D$2:$D$622,MATCH(329,Engine!$C$2:$C$622,0)))</f>
        <v/>
      </c>
      <c r="E342">
        <f>IF(ISNA(MATCH(329,Engine!$C$2:$C$622,0)),"",INDEX('Compliance Database'!$E$2:$E$622,MATCH(329,Engine!$C$2:$C$622,0)))</f>
        <v/>
      </c>
      <c r="F342">
        <f>IF(ISNA(MATCH(329,Engine!$C$2:$C$622,0)),"",INDEX('Compliance Database'!$F$2:$F$622,MATCH(329,Engine!$C$2:$C$622,0)))</f>
        <v/>
      </c>
      <c r="G342">
        <f>IF(ISNA(MATCH(329,Engine!$C$2:$C$622,0)),"",INDEX('Compliance Database'!$G$2:$G$622,MATCH(329,Engine!$C$2:$C$622,0)))</f>
        <v/>
      </c>
      <c r="H342">
        <f>IF(ISNA(MATCH(329,Engine!$C$2:$C$622,0)),"",INDEX('Compliance Database'!$H$2:$H$622,MATCH(329,Engine!$C$2:$C$622,0)))</f>
        <v/>
      </c>
      <c r="I342" s="8">
        <f>IF(ISNA(MATCH(329,Engine!$C$2:$C$622,0)),"",INDEX('Compliance Database'!$I$2:$I$622,MATCH(329,Engine!$C$2:$C$622,0)))</f>
        <v/>
      </c>
      <c r="J342" s="8">
        <f>IF(ISNA(MATCH(329,Engine!$C$2:$C$622,0)),"",INDEX('Compliance Database'!$J$2:$J$622,MATCH(329,Engine!$C$2:$C$622,0)))</f>
        <v/>
      </c>
      <c r="K342">
        <f>IF(ISNA(MATCH(329,Engine!$C$2:$C$622,0)),"",INDEX('Compliance Database'!$K$2:$K$622,MATCH(329,Engine!$C$2:$C$622,0)))</f>
        <v/>
      </c>
      <c r="L342" s="8">
        <f>IF(ISNA(MATCH(329,Engine!$C$2:$C$622,0)),"",INDEX('Compliance Database'!$L$2:$L$622,MATCH(329,Engine!$C$2:$C$622,0)))</f>
        <v/>
      </c>
      <c r="M342" s="8">
        <f>IF(ISNA(MATCH(329,Engine!$C$2:$C$622,0)),"",INDEX('Compliance Database'!$M$2:$M$622,MATCH(329,Engine!$C$2:$C$622,0)))</f>
        <v/>
      </c>
      <c r="N342" s="8">
        <f>IF(ISNA(MATCH(329,Engine!$C$2:$C$622,0)),"",INDEX('Compliance Database'!$N$2:$N$622,MATCH(329,Engine!$C$2:$C$622,0)))</f>
        <v/>
      </c>
      <c r="O342" s="8">
        <f>IF(ISNA(MATCH(329,Engine!$C$2:$C$622,0)),"",INDEX('Compliance Database'!$O$2:$O$622,MATCH(329,Engine!$C$2:$C$622,0)))</f>
        <v/>
      </c>
    </row>
    <row r="343">
      <c r="A343">
        <f>IF(ISNA(MATCH(330,Engine!$C$2:$C$622,0)),"",INDEX('Compliance Database'!$A$2:$A$622,MATCH(330,Engine!$C$2:$C$622,0)))</f>
        <v/>
      </c>
      <c r="B343">
        <f>IF(ISNA(MATCH(330,Engine!$C$2:$C$622,0)),"",INDEX('Compliance Database'!$B$2:$B$622,MATCH(330,Engine!$C$2:$C$622,0)))</f>
        <v/>
      </c>
      <c r="C343">
        <f>IF(ISNA(MATCH(330,Engine!$C$2:$C$622,0)),"",INDEX('Compliance Database'!$C$2:$C$622,MATCH(330,Engine!$C$2:$C$622,0)))</f>
        <v/>
      </c>
      <c r="D343" s="8">
        <f>IF(ISNA(MATCH(330,Engine!$C$2:$C$622,0)),"",INDEX('Compliance Database'!$D$2:$D$622,MATCH(330,Engine!$C$2:$C$622,0)))</f>
        <v/>
      </c>
      <c r="E343">
        <f>IF(ISNA(MATCH(330,Engine!$C$2:$C$622,0)),"",INDEX('Compliance Database'!$E$2:$E$622,MATCH(330,Engine!$C$2:$C$622,0)))</f>
        <v/>
      </c>
      <c r="F343">
        <f>IF(ISNA(MATCH(330,Engine!$C$2:$C$622,0)),"",INDEX('Compliance Database'!$F$2:$F$622,MATCH(330,Engine!$C$2:$C$622,0)))</f>
        <v/>
      </c>
      <c r="G343">
        <f>IF(ISNA(MATCH(330,Engine!$C$2:$C$622,0)),"",INDEX('Compliance Database'!$G$2:$G$622,MATCH(330,Engine!$C$2:$C$622,0)))</f>
        <v/>
      </c>
      <c r="H343">
        <f>IF(ISNA(MATCH(330,Engine!$C$2:$C$622,0)),"",INDEX('Compliance Database'!$H$2:$H$622,MATCH(330,Engine!$C$2:$C$622,0)))</f>
        <v/>
      </c>
      <c r="I343" s="8">
        <f>IF(ISNA(MATCH(330,Engine!$C$2:$C$622,0)),"",INDEX('Compliance Database'!$I$2:$I$622,MATCH(330,Engine!$C$2:$C$622,0)))</f>
        <v/>
      </c>
      <c r="J343" s="8">
        <f>IF(ISNA(MATCH(330,Engine!$C$2:$C$622,0)),"",INDEX('Compliance Database'!$J$2:$J$622,MATCH(330,Engine!$C$2:$C$622,0)))</f>
        <v/>
      </c>
      <c r="K343">
        <f>IF(ISNA(MATCH(330,Engine!$C$2:$C$622,0)),"",INDEX('Compliance Database'!$K$2:$K$622,MATCH(330,Engine!$C$2:$C$622,0)))</f>
        <v/>
      </c>
      <c r="L343" s="8">
        <f>IF(ISNA(MATCH(330,Engine!$C$2:$C$622,0)),"",INDEX('Compliance Database'!$L$2:$L$622,MATCH(330,Engine!$C$2:$C$622,0)))</f>
        <v/>
      </c>
      <c r="M343" s="8">
        <f>IF(ISNA(MATCH(330,Engine!$C$2:$C$622,0)),"",INDEX('Compliance Database'!$M$2:$M$622,MATCH(330,Engine!$C$2:$C$622,0)))</f>
        <v/>
      </c>
      <c r="N343" s="8">
        <f>IF(ISNA(MATCH(330,Engine!$C$2:$C$622,0)),"",INDEX('Compliance Database'!$N$2:$N$622,MATCH(330,Engine!$C$2:$C$622,0)))</f>
        <v/>
      </c>
      <c r="O343" s="8">
        <f>IF(ISNA(MATCH(330,Engine!$C$2:$C$622,0)),"",INDEX('Compliance Database'!$O$2:$O$622,MATCH(330,Engine!$C$2:$C$622,0)))</f>
        <v/>
      </c>
    </row>
    <row r="344">
      <c r="A344">
        <f>IF(ISNA(MATCH(331,Engine!$C$2:$C$622,0)),"",INDEX('Compliance Database'!$A$2:$A$622,MATCH(331,Engine!$C$2:$C$622,0)))</f>
        <v/>
      </c>
      <c r="B344">
        <f>IF(ISNA(MATCH(331,Engine!$C$2:$C$622,0)),"",INDEX('Compliance Database'!$B$2:$B$622,MATCH(331,Engine!$C$2:$C$622,0)))</f>
        <v/>
      </c>
      <c r="C344">
        <f>IF(ISNA(MATCH(331,Engine!$C$2:$C$622,0)),"",INDEX('Compliance Database'!$C$2:$C$622,MATCH(331,Engine!$C$2:$C$622,0)))</f>
        <v/>
      </c>
      <c r="D344" s="8">
        <f>IF(ISNA(MATCH(331,Engine!$C$2:$C$622,0)),"",INDEX('Compliance Database'!$D$2:$D$622,MATCH(331,Engine!$C$2:$C$622,0)))</f>
        <v/>
      </c>
      <c r="E344">
        <f>IF(ISNA(MATCH(331,Engine!$C$2:$C$622,0)),"",INDEX('Compliance Database'!$E$2:$E$622,MATCH(331,Engine!$C$2:$C$622,0)))</f>
        <v/>
      </c>
      <c r="F344">
        <f>IF(ISNA(MATCH(331,Engine!$C$2:$C$622,0)),"",INDEX('Compliance Database'!$F$2:$F$622,MATCH(331,Engine!$C$2:$C$622,0)))</f>
        <v/>
      </c>
      <c r="G344">
        <f>IF(ISNA(MATCH(331,Engine!$C$2:$C$622,0)),"",INDEX('Compliance Database'!$G$2:$G$622,MATCH(331,Engine!$C$2:$C$622,0)))</f>
        <v/>
      </c>
      <c r="H344">
        <f>IF(ISNA(MATCH(331,Engine!$C$2:$C$622,0)),"",INDEX('Compliance Database'!$H$2:$H$622,MATCH(331,Engine!$C$2:$C$622,0)))</f>
        <v/>
      </c>
      <c r="I344" s="8">
        <f>IF(ISNA(MATCH(331,Engine!$C$2:$C$622,0)),"",INDEX('Compliance Database'!$I$2:$I$622,MATCH(331,Engine!$C$2:$C$622,0)))</f>
        <v/>
      </c>
      <c r="J344" s="8">
        <f>IF(ISNA(MATCH(331,Engine!$C$2:$C$622,0)),"",INDEX('Compliance Database'!$J$2:$J$622,MATCH(331,Engine!$C$2:$C$622,0)))</f>
        <v/>
      </c>
      <c r="K344">
        <f>IF(ISNA(MATCH(331,Engine!$C$2:$C$622,0)),"",INDEX('Compliance Database'!$K$2:$K$622,MATCH(331,Engine!$C$2:$C$622,0)))</f>
        <v/>
      </c>
      <c r="L344" s="8">
        <f>IF(ISNA(MATCH(331,Engine!$C$2:$C$622,0)),"",INDEX('Compliance Database'!$L$2:$L$622,MATCH(331,Engine!$C$2:$C$622,0)))</f>
        <v/>
      </c>
      <c r="M344" s="8">
        <f>IF(ISNA(MATCH(331,Engine!$C$2:$C$622,0)),"",INDEX('Compliance Database'!$M$2:$M$622,MATCH(331,Engine!$C$2:$C$622,0)))</f>
        <v/>
      </c>
      <c r="N344" s="8">
        <f>IF(ISNA(MATCH(331,Engine!$C$2:$C$622,0)),"",INDEX('Compliance Database'!$N$2:$N$622,MATCH(331,Engine!$C$2:$C$622,0)))</f>
        <v/>
      </c>
      <c r="O344" s="8">
        <f>IF(ISNA(MATCH(331,Engine!$C$2:$C$622,0)),"",INDEX('Compliance Database'!$O$2:$O$622,MATCH(331,Engine!$C$2:$C$622,0)))</f>
        <v/>
      </c>
    </row>
    <row r="345">
      <c r="A345">
        <f>IF(ISNA(MATCH(332,Engine!$C$2:$C$622,0)),"",INDEX('Compliance Database'!$A$2:$A$622,MATCH(332,Engine!$C$2:$C$622,0)))</f>
        <v/>
      </c>
      <c r="B345">
        <f>IF(ISNA(MATCH(332,Engine!$C$2:$C$622,0)),"",INDEX('Compliance Database'!$B$2:$B$622,MATCH(332,Engine!$C$2:$C$622,0)))</f>
        <v/>
      </c>
      <c r="C345">
        <f>IF(ISNA(MATCH(332,Engine!$C$2:$C$622,0)),"",INDEX('Compliance Database'!$C$2:$C$622,MATCH(332,Engine!$C$2:$C$622,0)))</f>
        <v/>
      </c>
      <c r="D345" s="8">
        <f>IF(ISNA(MATCH(332,Engine!$C$2:$C$622,0)),"",INDEX('Compliance Database'!$D$2:$D$622,MATCH(332,Engine!$C$2:$C$622,0)))</f>
        <v/>
      </c>
      <c r="E345">
        <f>IF(ISNA(MATCH(332,Engine!$C$2:$C$622,0)),"",INDEX('Compliance Database'!$E$2:$E$622,MATCH(332,Engine!$C$2:$C$622,0)))</f>
        <v/>
      </c>
      <c r="F345">
        <f>IF(ISNA(MATCH(332,Engine!$C$2:$C$622,0)),"",INDEX('Compliance Database'!$F$2:$F$622,MATCH(332,Engine!$C$2:$C$622,0)))</f>
        <v/>
      </c>
      <c r="G345">
        <f>IF(ISNA(MATCH(332,Engine!$C$2:$C$622,0)),"",INDEX('Compliance Database'!$G$2:$G$622,MATCH(332,Engine!$C$2:$C$622,0)))</f>
        <v/>
      </c>
      <c r="H345">
        <f>IF(ISNA(MATCH(332,Engine!$C$2:$C$622,0)),"",INDEX('Compliance Database'!$H$2:$H$622,MATCH(332,Engine!$C$2:$C$622,0)))</f>
        <v/>
      </c>
      <c r="I345" s="8">
        <f>IF(ISNA(MATCH(332,Engine!$C$2:$C$622,0)),"",INDEX('Compliance Database'!$I$2:$I$622,MATCH(332,Engine!$C$2:$C$622,0)))</f>
        <v/>
      </c>
      <c r="J345" s="8">
        <f>IF(ISNA(MATCH(332,Engine!$C$2:$C$622,0)),"",INDEX('Compliance Database'!$J$2:$J$622,MATCH(332,Engine!$C$2:$C$622,0)))</f>
        <v/>
      </c>
      <c r="K345">
        <f>IF(ISNA(MATCH(332,Engine!$C$2:$C$622,0)),"",INDEX('Compliance Database'!$K$2:$K$622,MATCH(332,Engine!$C$2:$C$622,0)))</f>
        <v/>
      </c>
      <c r="L345" s="8">
        <f>IF(ISNA(MATCH(332,Engine!$C$2:$C$622,0)),"",INDEX('Compliance Database'!$L$2:$L$622,MATCH(332,Engine!$C$2:$C$622,0)))</f>
        <v/>
      </c>
      <c r="M345" s="8">
        <f>IF(ISNA(MATCH(332,Engine!$C$2:$C$622,0)),"",INDEX('Compliance Database'!$M$2:$M$622,MATCH(332,Engine!$C$2:$C$622,0)))</f>
        <v/>
      </c>
      <c r="N345" s="8">
        <f>IF(ISNA(MATCH(332,Engine!$C$2:$C$622,0)),"",INDEX('Compliance Database'!$N$2:$N$622,MATCH(332,Engine!$C$2:$C$622,0)))</f>
        <v/>
      </c>
      <c r="O345" s="8">
        <f>IF(ISNA(MATCH(332,Engine!$C$2:$C$622,0)),"",INDEX('Compliance Database'!$O$2:$O$622,MATCH(332,Engine!$C$2:$C$622,0)))</f>
        <v/>
      </c>
    </row>
    <row r="346">
      <c r="A346">
        <f>IF(ISNA(MATCH(333,Engine!$C$2:$C$622,0)),"",INDEX('Compliance Database'!$A$2:$A$622,MATCH(333,Engine!$C$2:$C$622,0)))</f>
        <v/>
      </c>
      <c r="B346">
        <f>IF(ISNA(MATCH(333,Engine!$C$2:$C$622,0)),"",INDEX('Compliance Database'!$B$2:$B$622,MATCH(333,Engine!$C$2:$C$622,0)))</f>
        <v/>
      </c>
      <c r="C346">
        <f>IF(ISNA(MATCH(333,Engine!$C$2:$C$622,0)),"",INDEX('Compliance Database'!$C$2:$C$622,MATCH(333,Engine!$C$2:$C$622,0)))</f>
        <v/>
      </c>
      <c r="D346" s="8">
        <f>IF(ISNA(MATCH(333,Engine!$C$2:$C$622,0)),"",INDEX('Compliance Database'!$D$2:$D$622,MATCH(333,Engine!$C$2:$C$622,0)))</f>
        <v/>
      </c>
      <c r="E346">
        <f>IF(ISNA(MATCH(333,Engine!$C$2:$C$622,0)),"",INDEX('Compliance Database'!$E$2:$E$622,MATCH(333,Engine!$C$2:$C$622,0)))</f>
        <v/>
      </c>
      <c r="F346">
        <f>IF(ISNA(MATCH(333,Engine!$C$2:$C$622,0)),"",INDEX('Compliance Database'!$F$2:$F$622,MATCH(333,Engine!$C$2:$C$622,0)))</f>
        <v/>
      </c>
      <c r="G346">
        <f>IF(ISNA(MATCH(333,Engine!$C$2:$C$622,0)),"",INDEX('Compliance Database'!$G$2:$G$622,MATCH(333,Engine!$C$2:$C$622,0)))</f>
        <v/>
      </c>
      <c r="H346">
        <f>IF(ISNA(MATCH(333,Engine!$C$2:$C$622,0)),"",INDEX('Compliance Database'!$H$2:$H$622,MATCH(333,Engine!$C$2:$C$622,0)))</f>
        <v/>
      </c>
      <c r="I346" s="8">
        <f>IF(ISNA(MATCH(333,Engine!$C$2:$C$622,0)),"",INDEX('Compliance Database'!$I$2:$I$622,MATCH(333,Engine!$C$2:$C$622,0)))</f>
        <v/>
      </c>
      <c r="J346" s="8">
        <f>IF(ISNA(MATCH(333,Engine!$C$2:$C$622,0)),"",INDEX('Compliance Database'!$J$2:$J$622,MATCH(333,Engine!$C$2:$C$622,0)))</f>
        <v/>
      </c>
      <c r="K346">
        <f>IF(ISNA(MATCH(333,Engine!$C$2:$C$622,0)),"",INDEX('Compliance Database'!$K$2:$K$622,MATCH(333,Engine!$C$2:$C$622,0)))</f>
        <v/>
      </c>
      <c r="L346" s="8">
        <f>IF(ISNA(MATCH(333,Engine!$C$2:$C$622,0)),"",INDEX('Compliance Database'!$L$2:$L$622,MATCH(333,Engine!$C$2:$C$622,0)))</f>
        <v/>
      </c>
      <c r="M346" s="8">
        <f>IF(ISNA(MATCH(333,Engine!$C$2:$C$622,0)),"",INDEX('Compliance Database'!$M$2:$M$622,MATCH(333,Engine!$C$2:$C$622,0)))</f>
        <v/>
      </c>
      <c r="N346" s="8">
        <f>IF(ISNA(MATCH(333,Engine!$C$2:$C$622,0)),"",INDEX('Compliance Database'!$N$2:$N$622,MATCH(333,Engine!$C$2:$C$622,0)))</f>
        <v/>
      </c>
      <c r="O346" s="8">
        <f>IF(ISNA(MATCH(333,Engine!$C$2:$C$622,0)),"",INDEX('Compliance Database'!$O$2:$O$622,MATCH(333,Engine!$C$2:$C$622,0)))</f>
        <v/>
      </c>
    </row>
    <row r="347">
      <c r="A347">
        <f>IF(ISNA(MATCH(334,Engine!$C$2:$C$622,0)),"",INDEX('Compliance Database'!$A$2:$A$622,MATCH(334,Engine!$C$2:$C$622,0)))</f>
        <v/>
      </c>
      <c r="B347">
        <f>IF(ISNA(MATCH(334,Engine!$C$2:$C$622,0)),"",INDEX('Compliance Database'!$B$2:$B$622,MATCH(334,Engine!$C$2:$C$622,0)))</f>
        <v/>
      </c>
      <c r="C347">
        <f>IF(ISNA(MATCH(334,Engine!$C$2:$C$622,0)),"",INDEX('Compliance Database'!$C$2:$C$622,MATCH(334,Engine!$C$2:$C$622,0)))</f>
        <v/>
      </c>
      <c r="D347" s="8">
        <f>IF(ISNA(MATCH(334,Engine!$C$2:$C$622,0)),"",INDEX('Compliance Database'!$D$2:$D$622,MATCH(334,Engine!$C$2:$C$622,0)))</f>
        <v/>
      </c>
      <c r="E347">
        <f>IF(ISNA(MATCH(334,Engine!$C$2:$C$622,0)),"",INDEX('Compliance Database'!$E$2:$E$622,MATCH(334,Engine!$C$2:$C$622,0)))</f>
        <v/>
      </c>
      <c r="F347">
        <f>IF(ISNA(MATCH(334,Engine!$C$2:$C$622,0)),"",INDEX('Compliance Database'!$F$2:$F$622,MATCH(334,Engine!$C$2:$C$622,0)))</f>
        <v/>
      </c>
      <c r="G347">
        <f>IF(ISNA(MATCH(334,Engine!$C$2:$C$622,0)),"",INDEX('Compliance Database'!$G$2:$G$622,MATCH(334,Engine!$C$2:$C$622,0)))</f>
        <v/>
      </c>
      <c r="H347">
        <f>IF(ISNA(MATCH(334,Engine!$C$2:$C$622,0)),"",INDEX('Compliance Database'!$H$2:$H$622,MATCH(334,Engine!$C$2:$C$622,0)))</f>
        <v/>
      </c>
      <c r="I347" s="8">
        <f>IF(ISNA(MATCH(334,Engine!$C$2:$C$622,0)),"",INDEX('Compliance Database'!$I$2:$I$622,MATCH(334,Engine!$C$2:$C$622,0)))</f>
        <v/>
      </c>
      <c r="J347" s="8">
        <f>IF(ISNA(MATCH(334,Engine!$C$2:$C$622,0)),"",INDEX('Compliance Database'!$J$2:$J$622,MATCH(334,Engine!$C$2:$C$622,0)))</f>
        <v/>
      </c>
      <c r="K347">
        <f>IF(ISNA(MATCH(334,Engine!$C$2:$C$622,0)),"",INDEX('Compliance Database'!$K$2:$K$622,MATCH(334,Engine!$C$2:$C$622,0)))</f>
        <v/>
      </c>
      <c r="L347" s="8">
        <f>IF(ISNA(MATCH(334,Engine!$C$2:$C$622,0)),"",INDEX('Compliance Database'!$L$2:$L$622,MATCH(334,Engine!$C$2:$C$622,0)))</f>
        <v/>
      </c>
      <c r="M347" s="8">
        <f>IF(ISNA(MATCH(334,Engine!$C$2:$C$622,0)),"",INDEX('Compliance Database'!$M$2:$M$622,MATCH(334,Engine!$C$2:$C$622,0)))</f>
        <v/>
      </c>
      <c r="N347" s="8">
        <f>IF(ISNA(MATCH(334,Engine!$C$2:$C$622,0)),"",INDEX('Compliance Database'!$N$2:$N$622,MATCH(334,Engine!$C$2:$C$622,0)))</f>
        <v/>
      </c>
      <c r="O347" s="8">
        <f>IF(ISNA(MATCH(334,Engine!$C$2:$C$622,0)),"",INDEX('Compliance Database'!$O$2:$O$622,MATCH(334,Engine!$C$2:$C$622,0)))</f>
        <v/>
      </c>
    </row>
    <row r="348">
      <c r="A348">
        <f>IF(ISNA(MATCH(335,Engine!$C$2:$C$622,0)),"",INDEX('Compliance Database'!$A$2:$A$622,MATCH(335,Engine!$C$2:$C$622,0)))</f>
        <v/>
      </c>
      <c r="B348">
        <f>IF(ISNA(MATCH(335,Engine!$C$2:$C$622,0)),"",INDEX('Compliance Database'!$B$2:$B$622,MATCH(335,Engine!$C$2:$C$622,0)))</f>
        <v/>
      </c>
      <c r="C348">
        <f>IF(ISNA(MATCH(335,Engine!$C$2:$C$622,0)),"",INDEX('Compliance Database'!$C$2:$C$622,MATCH(335,Engine!$C$2:$C$622,0)))</f>
        <v/>
      </c>
      <c r="D348" s="8">
        <f>IF(ISNA(MATCH(335,Engine!$C$2:$C$622,0)),"",INDEX('Compliance Database'!$D$2:$D$622,MATCH(335,Engine!$C$2:$C$622,0)))</f>
        <v/>
      </c>
      <c r="E348">
        <f>IF(ISNA(MATCH(335,Engine!$C$2:$C$622,0)),"",INDEX('Compliance Database'!$E$2:$E$622,MATCH(335,Engine!$C$2:$C$622,0)))</f>
        <v/>
      </c>
      <c r="F348">
        <f>IF(ISNA(MATCH(335,Engine!$C$2:$C$622,0)),"",INDEX('Compliance Database'!$F$2:$F$622,MATCH(335,Engine!$C$2:$C$622,0)))</f>
        <v/>
      </c>
      <c r="G348">
        <f>IF(ISNA(MATCH(335,Engine!$C$2:$C$622,0)),"",INDEX('Compliance Database'!$G$2:$G$622,MATCH(335,Engine!$C$2:$C$622,0)))</f>
        <v/>
      </c>
      <c r="H348">
        <f>IF(ISNA(MATCH(335,Engine!$C$2:$C$622,0)),"",INDEX('Compliance Database'!$H$2:$H$622,MATCH(335,Engine!$C$2:$C$622,0)))</f>
        <v/>
      </c>
      <c r="I348" s="8">
        <f>IF(ISNA(MATCH(335,Engine!$C$2:$C$622,0)),"",INDEX('Compliance Database'!$I$2:$I$622,MATCH(335,Engine!$C$2:$C$622,0)))</f>
        <v/>
      </c>
      <c r="J348" s="8">
        <f>IF(ISNA(MATCH(335,Engine!$C$2:$C$622,0)),"",INDEX('Compliance Database'!$J$2:$J$622,MATCH(335,Engine!$C$2:$C$622,0)))</f>
        <v/>
      </c>
      <c r="K348">
        <f>IF(ISNA(MATCH(335,Engine!$C$2:$C$622,0)),"",INDEX('Compliance Database'!$K$2:$K$622,MATCH(335,Engine!$C$2:$C$622,0)))</f>
        <v/>
      </c>
      <c r="L348" s="8">
        <f>IF(ISNA(MATCH(335,Engine!$C$2:$C$622,0)),"",INDEX('Compliance Database'!$L$2:$L$622,MATCH(335,Engine!$C$2:$C$622,0)))</f>
        <v/>
      </c>
      <c r="M348" s="8">
        <f>IF(ISNA(MATCH(335,Engine!$C$2:$C$622,0)),"",INDEX('Compliance Database'!$M$2:$M$622,MATCH(335,Engine!$C$2:$C$622,0)))</f>
        <v/>
      </c>
      <c r="N348" s="8">
        <f>IF(ISNA(MATCH(335,Engine!$C$2:$C$622,0)),"",INDEX('Compliance Database'!$N$2:$N$622,MATCH(335,Engine!$C$2:$C$622,0)))</f>
        <v/>
      </c>
      <c r="O348" s="8">
        <f>IF(ISNA(MATCH(335,Engine!$C$2:$C$622,0)),"",INDEX('Compliance Database'!$O$2:$O$622,MATCH(335,Engine!$C$2:$C$622,0)))</f>
        <v/>
      </c>
    </row>
    <row r="349">
      <c r="A349">
        <f>IF(ISNA(MATCH(336,Engine!$C$2:$C$622,0)),"",INDEX('Compliance Database'!$A$2:$A$622,MATCH(336,Engine!$C$2:$C$622,0)))</f>
        <v/>
      </c>
      <c r="B349">
        <f>IF(ISNA(MATCH(336,Engine!$C$2:$C$622,0)),"",INDEX('Compliance Database'!$B$2:$B$622,MATCH(336,Engine!$C$2:$C$622,0)))</f>
        <v/>
      </c>
      <c r="C349">
        <f>IF(ISNA(MATCH(336,Engine!$C$2:$C$622,0)),"",INDEX('Compliance Database'!$C$2:$C$622,MATCH(336,Engine!$C$2:$C$622,0)))</f>
        <v/>
      </c>
      <c r="D349" s="8">
        <f>IF(ISNA(MATCH(336,Engine!$C$2:$C$622,0)),"",INDEX('Compliance Database'!$D$2:$D$622,MATCH(336,Engine!$C$2:$C$622,0)))</f>
        <v/>
      </c>
      <c r="E349">
        <f>IF(ISNA(MATCH(336,Engine!$C$2:$C$622,0)),"",INDEX('Compliance Database'!$E$2:$E$622,MATCH(336,Engine!$C$2:$C$622,0)))</f>
        <v/>
      </c>
      <c r="F349">
        <f>IF(ISNA(MATCH(336,Engine!$C$2:$C$622,0)),"",INDEX('Compliance Database'!$F$2:$F$622,MATCH(336,Engine!$C$2:$C$622,0)))</f>
        <v/>
      </c>
      <c r="G349">
        <f>IF(ISNA(MATCH(336,Engine!$C$2:$C$622,0)),"",INDEX('Compliance Database'!$G$2:$G$622,MATCH(336,Engine!$C$2:$C$622,0)))</f>
        <v/>
      </c>
      <c r="H349">
        <f>IF(ISNA(MATCH(336,Engine!$C$2:$C$622,0)),"",INDEX('Compliance Database'!$H$2:$H$622,MATCH(336,Engine!$C$2:$C$622,0)))</f>
        <v/>
      </c>
      <c r="I349" s="8">
        <f>IF(ISNA(MATCH(336,Engine!$C$2:$C$622,0)),"",INDEX('Compliance Database'!$I$2:$I$622,MATCH(336,Engine!$C$2:$C$622,0)))</f>
        <v/>
      </c>
      <c r="J349" s="8">
        <f>IF(ISNA(MATCH(336,Engine!$C$2:$C$622,0)),"",INDEX('Compliance Database'!$J$2:$J$622,MATCH(336,Engine!$C$2:$C$622,0)))</f>
        <v/>
      </c>
      <c r="K349">
        <f>IF(ISNA(MATCH(336,Engine!$C$2:$C$622,0)),"",INDEX('Compliance Database'!$K$2:$K$622,MATCH(336,Engine!$C$2:$C$622,0)))</f>
        <v/>
      </c>
      <c r="L349" s="8">
        <f>IF(ISNA(MATCH(336,Engine!$C$2:$C$622,0)),"",INDEX('Compliance Database'!$L$2:$L$622,MATCH(336,Engine!$C$2:$C$622,0)))</f>
        <v/>
      </c>
      <c r="M349" s="8">
        <f>IF(ISNA(MATCH(336,Engine!$C$2:$C$622,0)),"",INDEX('Compliance Database'!$M$2:$M$622,MATCH(336,Engine!$C$2:$C$622,0)))</f>
        <v/>
      </c>
      <c r="N349" s="8">
        <f>IF(ISNA(MATCH(336,Engine!$C$2:$C$622,0)),"",INDEX('Compliance Database'!$N$2:$N$622,MATCH(336,Engine!$C$2:$C$622,0)))</f>
        <v/>
      </c>
      <c r="O349" s="8">
        <f>IF(ISNA(MATCH(336,Engine!$C$2:$C$622,0)),"",INDEX('Compliance Database'!$O$2:$O$622,MATCH(336,Engine!$C$2:$C$622,0)))</f>
        <v/>
      </c>
    </row>
    <row r="350">
      <c r="A350">
        <f>IF(ISNA(MATCH(337,Engine!$C$2:$C$622,0)),"",INDEX('Compliance Database'!$A$2:$A$622,MATCH(337,Engine!$C$2:$C$622,0)))</f>
        <v/>
      </c>
      <c r="B350">
        <f>IF(ISNA(MATCH(337,Engine!$C$2:$C$622,0)),"",INDEX('Compliance Database'!$B$2:$B$622,MATCH(337,Engine!$C$2:$C$622,0)))</f>
        <v/>
      </c>
      <c r="C350">
        <f>IF(ISNA(MATCH(337,Engine!$C$2:$C$622,0)),"",INDEX('Compliance Database'!$C$2:$C$622,MATCH(337,Engine!$C$2:$C$622,0)))</f>
        <v/>
      </c>
      <c r="D350" s="8">
        <f>IF(ISNA(MATCH(337,Engine!$C$2:$C$622,0)),"",INDEX('Compliance Database'!$D$2:$D$622,MATCH(337,Engine!$C$2:$C$622,0)))</f>
        <v/>
      </c>
      <c r="E350">
        <f>IF(ISNA(MATCH(337,Engine!$C$2:$C$622,0)),"",INDEX('Compliance Database'!$E$2:$E$622,MATCH(337,Engine!$C$2:$C$622,0)))</f>
        <v/>
      </c>
      <c r="F350">
        <f>IF(ISNA(MATCH(337,Engine!$C$2:$C$622,0)),"",INDEX('Compliance Database'!$F$2:$F$622,MATCH(337,Engine!$C$2:$C$622,0)))</f>
        <v/>
      </c>
      <c r="G350">
        <f>IF(ISNA(MATCH(337,Engine!$C$2:$C$622,0)),"",INDEX('Compliance Database'!$G$2:$G$622,MATCH(337,Engine!$C$2:$C$622,0)))</f>
        <v/>
      </c>
      <c r="H350">
        <f>IF(ISNA(MATCH(337,Engine!$C$2:$C$622,0)),"",INDEX('Compliance Database'!$H$2:$H$622,MATCH(337,Engine!$C$2:$C$622,0)))</f>
        <v/>
      </c>
      <c r="I350" s="8">
        <f>IF(ISNA(MATCH(337,Engine!$C$2:$C$622,0)),"",INDEX('Compliance Database'!$I$2:$I$622,MATCH(337,Engine!$C$2:$C$622,0)))</f>
        <v/>
      </c>
      <c r="J350" s="8">
        <f>IF(ISNA(MATCH(337,Engine!$C$2:$C$622,0)),"",INDEX('Compliance Database'!$J$2:$J$622,MATCH(337,Engine!$C$2:$C$622,0)))</f>
        <v/>
      </c>
      <c r="K350">
        <f>IF(ISNA(MATCH(337,Engine!$C$2:$C$622,0)),"",INDEX('Compliance Database'!$K$2:$K$622,MATCH(337,Engine!$C$2:$C$622,0)))</f>
        <v/>
      </c>
      <c r="L350" s="8">
        <f>IF(ISNA(MATCH(337,Engine!$C$2:$C$622,0)),"",INDEX('Compliance Database'!$L$2:$L$622,MATCH(337,Engine!$C$2:$C$622,0)))</f>
        <v/>
      </c>
      <c r="M350" s="8">
        <f>IF(ISNA(MATCH(337,Engine!$C$2:$C$622,0)),"",INDEX('Compliance Database'!$M$2:$M$622,MATCH(337,Engine!$C$2:$C$622,0)))</f>
        <v/>
      </c>
      <c r="N350" s="8">
        <f>IF(ISNA(MATCH(337,Engine!$C$2:$C$622,0)),"",INDEX('Compliance Database'!$N$2:$N$622,MATCH(337,Engine!$C$2:$C$622,0)))</f>
        <v/>
      </c>
      <c r="O350" s="8">
        <f>IF(ISNA(MATCH(337,Engine!$C$2:$C$622,0)),"",INDEX('Compliance Database'!$O$2:$O$622,MATCH(337,Engine!$C$2:$C$622,0)))</f>
        <v/>
      </c>
    </row>
    <row r="351">
      <c r="A351">
        <f>IF(ISNA(MATCH(338,Engine!$C$2:$C$622,0)),"",INDEX('Compliance Database'!$A$2:$A$622,MATCH(338,Engine!$C$2:$C$622,0)))</f>
        <v/>
      </c>
      <c r="B351">
        <f>IF(ISNA(MATCH(338,Engine!$C$2:$C$622,0)),"",INDEX('Compliance Database'!$B$2:$B$622,MATCH(338,Engine!$C$2:$C$622,0)))</f>
        <v/>
      </c>
      <c r="C351">
        <f>IF(ISNA(MATCH(338,Engine!$C$2:$C$622,0)),"",INDEX('Compliance Database'!$C$2:$C$622,MATCH(338,Engine!$C$2:$C$622,0)))</f>
        <v/>
      </c>
      <c r="D351" s="8">
        <f>IF(ISNA(MATCH(338,Engine!$C$2:$C$622,0)),"",INDEX('Compliance Database'!$D$2:$D$622,MATCH(338,Engine!$C$2:$C$622,0)))</f>
        <v/>
      </c>
      <c r="E351">
        <f>IF(ISNA(MATCH(338,Engine!$C$2:$C$622,0)),"",INDEX('Compliance Database'!$E$2:$E$622,MATCH(338,Engine!$C$2:$C$622,0)))</f>
        <v/>
      </c>
      <c r="F351">
        <f>IF(ISNA(MATCH(338,Engine!$C$2:$C$622,0)),"",INDEX('Compliance Database'!$F$2:$F$622,MATCH(338,Engine!$C$2:$C$622,0)))</f>
        <v/>
      </c>
      <c r="G351">
        <f>IF(ISNA(MATCH(338,Engine!$C$2:$C$622,0)),"",INDEX('Compliance Database'!$G$2:$G$622,MATCH(338,Engine!$C$2:$C$622,0)))</f>
        <v/>
      </c>
      <c r="H351">
        <f>IF(ISNA(MATCH(338,Engine!$C$2:$C$622,0)),"",INDEX('Compliance Database'!$H$2:$H$622,MATCH(338,Engine!$C$2:$C$622,0)))</f>
        <v/>
      </c>
      <c r="I351" s="8">
        <f>IF(ISNA(MATCH(338,Engine!$C$2:$C$622,0)),"",INDEX('Compliance Database'!$I$2:$I$622,MATCH(338,Engine!$C$2:$C$622,0)))</f>
        <v/>
      </c>
      <c r="J351" s="8">
        <f>IF(ISNA(MATCH(338,Engine!$C$2:$C$622,0)),"",INDEX('Compliance Database'!$J$2:$J$622,MATCH(338,Engine!$C$2:$C$622,0)))</f>
        <v/>
      </c>
      <c r="K351">
        <f>IF(ISNA(MATCH(338,Engine!$C$2:$C$622,0)),"",INDEX('Compliance Database'!$K$2:$K$622,MATCH(338,Engine!$C$2:$C$622,0)))</f>
        <v/>
      </c>
      <c r="L351" s="8">
        <f>IF(ISNA(MATCH(338,Engine!$C$2:$C$622,0)),"",INDEX('Compliance Database'!$L$2:$L$622,MATCH(338,Engine!$C$2:$C$622,0)))</f>
        <v/>
      </c>
      <c r="M351" s="8">
        <f>IF(ISNA(MATCH(338,Engine!$C$2:$C$622,0)),"",INDEX('Compliance Database'!$M$2:$M$622,MATCH(338,Engine!$C$2:$C$622,0)))</f>
        <v/>
      </c>
      <c r="N351" s="8">
        <f>IF(ISNA(MATCH(338,Engine!$C$2:$C$622,0)),"",INDEX('Compliance Database'!$N$2:$N$622,MATCH(338,Engine!$C$2:$C$622,0)))</f>
        <v/>
      </c>
      <c r="O351" s="8">
        <f>IF(ISNA(MATCH(338,Engine!$C$2:$C$622,0)),"",INDEX('Compliance Database'!$O$2:$O$622,MATCH(338,Engine!$C$2:$C$622,0)))</f>
        <v/>
      </c>
    </row>
    <row r="352">
      <c r="A352">
        <f>IF(ISNA(MATCH(339,Engine!$C$2:$C$622,0)),"",INDEX('Compliance Database'!$A$2:$A$622,MATCH(339,Engine!$C$2:$C$622,0)))</f>
        <v/>
      </c>
      <c r="B352">
        <f>IF(ISNA(MATCH(339,Engine!$C$2:$C$622,0)),"",INDEX('Compliance Database'!$B$2:$B$622,MATCH(339,Engine!$C$2:$C$622,0)))</f>
        <v/>
      </c>
      <c r="C352">
        <f>IF(ISNA(MATCH(339,Engine!$C$2:$C$622,0)),"",INDEX('Compliance Database'!$C$2:$C$622,MATCH(339,Engine!$C$2:$C$622,0)))</f>
        <v/>
      </c>
      <c r="D352" s="8">
        <f>IF(ISNA(MATCH(339,Engine!$C$2:$C$622,0)),"",INDEX('Compliance Database'!$D$2:$D$622,MATCH(339,Engine!$C$2:$C$622,0)))</f>
        <v/>
      </c>
      <c r="E352">
        <f>IF(ISNA(MATCH(339,Engine!$C$2:$C$622,0)),"",INDEX('Compliance Database'!$E$2:$E$622,MATCH(339,Engine!$C$2:$C$622,0)))</f>
        <v/>
      </c>
      <c r="F352">
        <f>IF(ISNA(MATCH(339,Engine!$C$2:$C$622,0)),"",INDEX('Compliance Database'!$F$2:$F$622,MATCH(339,Engine!$C$2:$C$622,0)))</f>
        <v/>
      </c>
      <c r="G352">
        <f>IF(ISNA(MATCH(339,Engine!$C$2:$C$622,0)),"",INDEX('Compliance Database'!$G$2:$G$622,MATCH(339,Engine!$C$2:$C$622,0)))</f>
        <v/>
      </c>
      <c r="H352">
        <f>IF(ISNA(MATCH(339,Engine!$C$2:$C$622,0)),"",INDEX('Compliance Database'!$H$2:$H$622,MATCH(339,Engine!$C$2:$C$622,0)))</f>
        <v/>
      </c>
      <c r="I352" s="8">
        <f>IF(ISNA(MATCH(339,Engine!$C$2:$C$622,0)),"",INDEX('Compliance Database'!$I$2:$I$622,MATCH(339,Engine!$C$2:$C$622,0)))</f>
        <v/>
      </c>
      <c r="J352" s="8">
        <f>IF(ISNA(MATCH(339,Engine!$C$2:$C$622,0)),"",INDEX('Compliance Database'!$J$2:$J$622,MATCH(339,Engine!$C$2:$C$622,0)))</f>
        <v/>
      </c>
      <c r="K352">
        <f>IF(ISNA(MATCH(339,Engine!$C$2:$C$622,0)),"",INDEX('Compliance Database'!$K$2:$K$622,MATCH(339,Engine!$C$2:$C$622,0)))</f>
        <v/>
      </c>
      <c r="L352" s="8">
        <f>IF(ISNA(MATCH(339,Engine!$C$2:$C$622,0)),"",INDEX('Compliance Database'!$L$2:$L$622,MATCH(339,Engine!$C$2:$C$622,0)))</f>
        <v/>
      </c>
      <c r="M352" s="8">
        <f>IF(ISNA(MATCH(339,Engine!$C$2:$C$622,0)),"",INDEX('Compliance Database'!$M$2:$M$622,MATCH(339,Engine!$C$2:$C$622,0)))</f>
        <v/>
      </c>
      <c r="N352" s="8">
        <f>IF(ISNA(MATCH(339,Engine!$C$2:$C$622,0)),"",INDEX('Compliance Database'!$N$2:$N$622,MATCH(339,Engine!$C$2:$C$622,0)))</f>
        <v/>
      </c>
      <c r="O352" s="8">
        <f>IF(ISNA(MATCH(339,Engine!$C$2:$C$622,0)),"",INDEX('Compliance Database'!$O$2:$O$622,MATCH(339,Engine!$C$2:$C$622,0)))</f>
        <v/>
      </c>
    </row>
    <row r="353">
      <c r="A353">
        <f>IF(ISNA(MATCH(340,Engine!$C$2:$C$622,0)),"",INDEX('Compliance Database'!$A$2:$A$622,MATCH(340,Engine!$C$2:$C$622,0)))</f>
        <v/>
      </c>
      <c r="B353">
        <f>IF(ISNA(MATCH(340,Engine!$C$2:$C$622,0)),"",INDEX('Compliance Database'!$B$2:$B$622,MATCH(340,Engine!$C$2:$C$622,0)))</f>
        <v/>
      </c>
      <c r="C353">
        <f>IF(ISNA(MATCH(340,Engine!$C$2:$C$622,0)),"",INDEX('Compliance Database'!$C$2:$C$622,MATCH(340,Engine!$C$2:$C$622,0)))</f>
        <v/>
      </c>
      <c r="D353" s="8">
        <f>IF(ISNA(MATCH(340,Engine!$C$2:$C$622,0)),"",INDEX('Compliance Database'!$D$2:$D$622,MATCH(340,Engine!$C$2:$C$622,0)))</f>
        <v/>
      </c>
      <c r="E353">
        <f>IF(ISNA(MATCH(340,Engine!$C$2:$C$622,0)),"",INDEX('Compliance Database'!$E$2:$E$622,MATCH(340,Engine!$C$2:$C$622,0)))</f>
        <v/>
      </c>
      <c r="F353">
        <f>IF(ISNA(MATCH(340,Engine!$C$2:$C$622,0)),"",INDEX('Compliance Database'!$F$2:$F$622,MATCH(340,Engine!$C$2:$C$622,0)))</f>
        <v/>
      </c>
      <c r="G353">
        <f>IF(ISNA(MATCH(340,Engine!$C$2:$C$622,0)),"",INDEX('Compliance Database'!$G$2:$G$622,MATCH(340,Engine!$C$2:$C$622,0)))</f>
        <v/>
      </c>
      <c r="H353">
        <f>IF(ISNA(MATCH(340,Engine!$C$2:$C$622,0)),"",INDEX('Compliance Database'!$H$2:$H$622,MATCH(340,Engine!$C$2:$C$622,0)))</f>
        <v/>
      </c>
      <c r="I353" s="8">
        <f>IF(ISNA(MATCH(340,Engine!$C$2:$C$622,0)),"",INDEX('Compliance Database'!$I$2:$I$622,MATCH(340,Engine!$C$2:$C$622,0)))</f>
        <v/>
      </c>
      <c r="J353" s="8">
        <f>IF(ISNA(MATCH(340,Engine!$C$2:$C$622,0)),"",INDEX('Compliance Database'!$J$2:$J$622,MATCH(340,Engine!$C$2:$C$622,0)))</f>
        <v/>
      </c>
      <c r="K353">
        <f>IF(ISNA(MATCH(340,Engine!$C$2:$C$622,0)),"",INDEX('Compliance Database'!$K$2:$K$622,MATCH(340,Engine!$C$2:$C$622,0)))</f>
        <v/>
      </c>
      <c r="L353" s="8">
        <f>IF(ISNA(MATCH(340,Engine!$C$2:$C$622,0)),"",INDEX('Compliance Database'!$L$2:$L$622,MATCH(340,Engine!$C$2:$C$622,0)))</f>
        <v/>
      </c>
      <c r="M353" s="8">
        <f>IF(ISNA(MATCH(340,Engine!$C$2:$C$622,0)),"",INDEX('Compliance Database'!$M$2:$M$622,MATCH(340,Engine!$C$2:$C$622,0)))</f>
        <v/>
      </c>
      <c r="N353" s="8">
        <f>IF(ISNA(MATCH(340,Engine!$C$2:$C$622,0)),"",INDEX('Compliance Database'!$N$2:$N$622,MATCH(340,Engine!$C$2:$C$622,0)))</f>
        <v/>
      </c>
      <c r="O353" s="8">
        <f>IF(ISNA(MATCH(340,Engine!$C$2:$C$622,0)),"",INDEX('Compliance Database'!$O$2:$O$622,MATCH(340,Engine!$C$2:$C$622,0)))</f>
        <v/>
      </c>
    </row>
    <row r="354">
      <c r="A354">
        <f>IF(ISNA(MATCH(341,Engine!$C$2:$C$622,0)),"",INDEX('Compliance Database'!$A$2:$A$622,MATCH(341,Engine!$C$2:$C$622,0)))</f>
        <v/>
      </c>
      <c r="B354">
        <f>IF(ISNA(MATCH(341,Engine!$C$2:$C$622,0)),"",INDEX('Compliance Database'!$B$2:$B$622,MATCH(341,Engine!$C$2:$C$622,0)))</f>
        <v/>
      </c>
      <c r="C354">
        <f>IF(ISNA(MATCH(341,Engine!$C$2:$C$622,0)),"",INDEX('Compliance Database'!$C$2:$C$622,MATCH(341,Engine!$C$2:$C$622,0)))</f>
        <v/>
      </c>
      <c r="D354" s="8">
        <f>IF(ISNA(MATCH(341,Engine!$C$2:$C$622,0)),"",INDEX('Compliance Database'!$D$2:$D$622,MATCH(341,Engine!$C$2:$C$622,0)))</f>
        <v/>
      </c>
      <c r="E354">
        <f>IF(ISNA(MATCH(341,Engine!$C$2:$C$622,0)),"",INDEX('Compliance Database'!$E$2:$E$622,MATCH(341,Engine!$C$2:$C$622,0)))</f>
        <v/>
      </c>
      <c r="F354">
        <f>IF(ISNA(MATCH(341,Engine!$C$2:$C$622,0)),"",INDEX('Compliance Database'!$F$2:$F$622,MATCH(341,Engine!$C$2:$C$622,0)))</f>
        <v/>
      </c>
      <c r="G354">
        <f>IF(ISNA(MATCH(341,Engine!$C$2:$C$622,0)),"",INDEX('Compliance Database'!$G$2:$G$622,MATCH(341,Engine!$C$2:$C$622,0)))</f>
        <v/>
      </c>
      <c r="H354">
        <f>IF(ISNA(MATCH(341,Engine!$C$2:$C$622,0)),"",INDEX('Compliance Database'!$H$2:$H$622,MATCH(341,Engine!$C$2:$C$622,0)))</f>
        <v/>
      </c>
      <c r="I354" s="8">
        <f>IF(ISNA(MATCH(341,Engine!$C$2:$C$622,0)),"",INDEX('Compliance Database'!$I$2:$I$622,MATCH(341,Engine!$C$2:$C$622,0)))</f>
        <v/>
      </c>
      <c r="J354" s="8">
        <f>IF(ISNA(MATCH(341,Engine!$C$2:$C$622,0)),"",INDEX('Compliance Database'!$J$2:$J$622,MATCH(341,Engine!$C$2:$C$622,0)))</f>
        <v/>
      </c>
      <c r="K354">
        <f>IF(ISNA(MATCH(341,Engine!$C$2:$C$622,0)),"",INDEX('Compliance Database'!$K$2:$K$622,MATCH(341,Engine!$C$2:$C$622,0)))</f>
        <v/>
      </c>
      <c r="L354" s="8">
        <f>IF(ISNA(MATCH(341,Engine!$C$2:$C$622,0)),"",INDEX('Compliance Database'!$L$2:$L$622,MATCH(341,Engine!$C$2:$C$622,0)))</f>
        <v/>
      </c>
      <c r="M354" s="8">
        <f>IF(ISNA(MATCH(341,Engine!$C$2:$C$622,0)),"",INDEX('Compliance Database'!$M$2:$M$622,MATCH(341,Engine!$C$2:$C$622,0)))</f>
        <v/>
      </c>
      <c r="N354" s="8">
        <f>IF(ISNA(MATCH(341,Engine!$C$2:$C$622,0)),"",INDEX('Compliance Database'!$N$2:$N$622,MATCH(341,Engine!$C$2:$C$622,0)))</f>
        <v/>
      </c>
      <c r="O354" s="8">
        <f>IF(ISNA(MATCH(341,Engine!$C$2:$C$622,0)),"",INDEX('Compliance Database'!$O$2:$O$622,MATCH(341,Engine!$C$2:$C$622,0)))</f>
        <v/>
      </c>
    </row>
    <row r="355">
      <c r="A355">
        <f>IF(ISNA(MATCH(342,Engine!$C$2:$C$622,0)),"",INDEX('Compliance Database'!$A$2:$A$622,MATCH(342,Engine!$C$2:$C$622,0)))</f>
        <v/>
      </c>
      <c r="B355">
        <f>IF(ISNA(MATCH(342,Engine!$C$2:$C$622,0)),"",INDEX('Compliance Database'!$B$2:$B$622,MATCH(342,Engine!$C$2:$C$622,0)))</f>
        <v/>
      </c>
      <c r="C355">
        <f>IF(ISNA(MATCH(342,Engine!$C$2:$C$622,0)),"",INDEX('Compliance Database'!$C$2:$C$622,MATCH(342,Engine!$C$2:$C$622,0)))</f>
        <v/>
      </c>
      <c r="D355" s="8">
        <f>IF(ISNA(MATCH(342,Engine!$C$2:$C$622,0)),"",INDEX('Compliance Database'!$D$2:$D$622,MATCH(342,Engine!$C$2:$C$622,0)))</f>
        <v/>
      </c>
      <c r="E355">
        <f>IF(ISNA(MATCH(342,Engine!$C$2:$C$622,0)),"",INDEX('Compliance Database'!$E$2:$E$622,MATCH(342,Engine!$C$2:$C$622,0)))</f>
        <v/>
      </c>
      <c r="F355">
        <f>IF(ISNA(MATCH(342,Engine!$C$2:$C$622,0)),"",INDEX('Compliance Database'!$F$2:$F$622,MATCH(342,Engine!$C$2:$C$622,0)))</f>
        <v/>
      </c>
      <c r="G355">
        <f>IF(ISNA(MATCH(342,Engine!$C$2:$C$622,0)),"",INDEX('Compliance Database'!$G$2:$G$622,MATCH(342,Engine!$C$2:$C$622,0)))</f>
        <v/>
      </c>
      <c r="H355">
        <f>IF(ISNA(MATCH(342,Engine!$C$2:$C$622,0)),"",INDEX('Compliance Database'!$H$2:$H$622,MATCH(342,Engine!$C$2:$C$622,0)))</f>
        <v/>
      </c>
      <c r="I355" s="8">
        <f>IF(ISNA(MATCH(342,Engine!$C$2:$C$622,0)),"",INDEX('Compliance Database'!$I$2:$I$622,MATCH(342,Engine!$C$2:$C$622,0)))</f>
        <v/>
      </c>
      <c r="J355" s="8">
        <f>IF(ISNA(MATCH(342,Engine!$C$2:$C$622,0)),"",INDEX('Compliance Database'!$J$2:$J$622,MATCH(342,Engine!$C$2:$C$622,0)))</f>
        <v/>
      </c>
      <c r="K355">
        <f>IF(ISNA(MATCH(342,Engine!$C$2:$C$622,0)),"",INDEX('Compliance Database'!$K$2:$K$622,MATCH(342,Engine!$C$2:$C$622,0)))</f>
        <v/>
      </c>
      <c r="L355" s="8">
        <f>IF(ISNA(MATCH(342,Engine!$C$2:$C$622,0)),"",INDEX('Compliance Database'!$L$2:$L$622,MATCH(342,Engine!$C$2:$C$622,0)))</f>
        <v/>
      </c>
      <c r="M355" s="8">
        <f>IF(ISNA(MATCH(342,Engine!$C$2:$C$622,0)),"",INDEX('Compliance Database'!$M$2:$M$622,MATCH(342,Engine!$C$2:$C$622,0)))</f>
        <v/>
      </c>
      <c r="N355" s="8">
        <f>IF(ISNA(MATCH(342,Engine!$C$2:$C$622,0)),"",INDEX('Compliance Database'!$N$2:$N$622,MATCH(342,Engine!$C$2:$C$622,0)))</f>
        <v/>
      </c>
      <c r="O355" s="8">
        <f>IF(ISNA(MATCH(342,Engine!$C$2:$C$622,0)),"",INDEX('Compliance Database'!$O$2:$O$622,MATCH(342,Engine!$C$2:$C$622,0)))</f>
        <v/>
      </c>
    </row>
    <row r="356">
      <c r="A356">
        <f>IF(ISNA(MATCH(343,Engine!$C$2:$C$622,0)),"",INDEX('Compliance Database'!$A$2:$A$622,MATCH(343,Engine!$C$2:$C$622,0)))</f>
        <v/>
      </c>
      <c r="B356">
        <f>IF(ISNA(MATCH(343,Engine!$C$2:$C$622,0)),"",INDEX('Compliance Database'!$B$2:$B$622,MATCH(343,Engine!$C$2:$C$622,0)))</f>
        <v/>
      </c>
      <c r="C356">
        <f>IF(ISNA(MATCH(343,Engine!$C$2:$C$622,0)),"",INDEX('Compliance Database'!$C$2:$C$622,MATCH(343,Engine!$C$2:$C$622,0)))</f>
        <v/>
      </c>
      <c r="D356" s="8">
        <f>IF(ISNA(MATCH(343,Engine!$C$2:$C$622,0)),"",INDEX('Compliance Database'!$D$2:$D$622,MATCH(343,Engine!$C$2:$C$622,0)))</f>
        <v/>
      </c>
      <c r="E356">
        <f>IF(ISNA(MATCH(343,Engine!$C$2:$C$622,0)),"",INDEX('Compliance Database'!$E$2:$E$622,MATCH(343,Engine!$C$2:$C$622,0)))</f>
        <v/>
      </c>
      <c r="F356">
        <f>IF(ISNA(MATCH(343,Engine!$C$2:$C$622,0)),"",INDEX('Compliance Database'!$F$2:$F$622,MATCH(343,Engine!$C$2:$C$622,0)))</f>
        <v/>
      </c>
      <c r="G356">
        <f>IF(ISNA(MATCH(343,Engine!$C$2:$C$622,0)),"",INDEX('Compliance Database'!$G$2:$G$622,MATCH(343,Engine!$C$2:$C$622,0)))</f>
        <v/>
      </c>
      <c r="H356">
        <f>IF(ISNA(MATCH(343,Engine!$C$2:$C$622,0)),"",INDEX('Compliance Database'!$H$2:$H$622,MATCH(343,Engine!$C$2:$C$622,0)))</f>
        <v/>
      </c>
      <c r="I356" s="8">
        <f>IF(ISNA(MATCH(343,Engine!$C$2:$C$622,0)),"",INDEX('Compliance Database'!$I$2:$I$622,MATCH(343,Engine!$C$2:$C$622,0)))</f>
        <v/>
      </c>
      <c r="J356" s="8">
        <f>IF(ISNA(MATCH(343,Engine!$C$2:$C$622,0)),"",INDEX('Compliance Database'!$J$2:$J$622,MATCH(343,Engine!$C$2:$C$622,0)))</f>
        <v/>
      </c>
      <c r="K356">
        <f>IF(ISNA(MATCH(343,Engine!$C$2:$C$622,0)),"",INDEX('Compliance Database'!$K$2:$K$622,MATCH(343,Engine!$C$2:$C$622,0)))</f>
        <v/>
      </c>
      <c r="L356" s="8">
        <f>IF(ISNA(MATCH(343,Engine!$C$2:$C$622,0)),"",INDEX('Compliance Database'!$L$2:$L$622,MATCH(343,Engine!$C$2:$C$622,0)))</f>
        <v/>
      </c>
      <c r="M356" s="8">
        <f>IF(ISNA(MATCH(343,Engine!$C$2:$C$622,0)),"",INDEX('Compliance Database'!$M$2:$M$622,MATCH(343,Engine!$C$2:$C$622,0)))</f>
        <v/>
      </c>
      <c r="N356" s="8">
        <f>IF(ISNA(MATCH(343,Engine!$C$2:$C$622,0)),"",INDEX('Compliance Database'!$N$2:$N$622,MATCH(343,Engine!$C$2:$C$622,0)))</f>
        <v/>
      </c>
      <c r="O356" s="8">
        <f>IF(ISNA(MATCH(343,Engine!$C$2:$C$622,0)),"",INDEX('Compliance Database'!$O$2:$O$622,MATCH(343,Engine!$C$2:$C$622,0)))</f>
        <v/>
      </c>
    </row>
    <row r="357">
      <c r="A357">
        <f>IF(ISNA(MATCH(344,Engine!$C$2:$C$622,0)),"",INDEX('Compliance Database'!$A$2:$A$622,MATCH(344,Engine!$C$2:$C$622,0)))</f>
        <v/>
      </c>
      <c r="B357">
        <f>IF(ISNA(MATCH(344,Engine!$C$2:$C$622,0)),"",INDEX('Compliance Database'!$B$2:$B$622,MATCH(344,Engine!$C$2:$C$622,0)))</f>
        <v/>
      </c>
      <c r="C357">
        <f>IF(ISNA(MATCH(344,Engine!$C$2:$C$622,0)),"",INDEX('Compliance Database'!$C$2:$C$622,MATCH(344,Engine!$C$2:$C$622,0)))</f>
        <v/>
      </c>
      <c r="D357" s="8">
        <f>IF(ISNA(MATCH(344,Engine!$C$2:$C$622,0)),"",INDEX('Compliance Database'!$D$2:$D$622,MATCH(344,Engine!$C$2:$C$622,0)))</f>
        <v/>
      </c>
      <c r="E357">
        <f>IF(ISNA(MATCH(344,Engine!$C$2:$C$622,0)),"",INDEX('Compliance Database'!$E$2:$E$622,MATCH(344,Engine!$C$2:$C$622,0)))</f>
        <v/>
      </c>
      <c r="F357">
        <f>IF(ISNA(MATCH(344,Engine!$C$2:$C$622,0)),"",INDEX('Compliance Database'!$F$2:$F$622,MATCH(344,Engine!$C$2:$C$622,0)))</f>
        <v/>
      </c>
      <c r="G357">
        <f>IF(ISNA(MATCH(344,Engine!$C$2:$C$622,0)),"",INDEX('Compliance Database'!$G$2:$G$622,MATCH(344,Engine!$C$2:$C$622,0)))</f>
        <v/>
      </c>
      <c r="H357">
        <f>IF(ISNA(MATCH(344,Engine!$C$2:$C$622,0)),"",INDEX('Compliance Database'!$H$2:$H$622,MATCH(344,Engine!$C$2:$C$622,0)))</f>
        <v/>
      </c>
      <c r="I357" s="8">
        <f>IF(ISNA(MATCH(344,Engine!$C$2:$C$622,0)),"",INDEX('Compliance Database'!$I$2:$I$622,MATCH(344,Engine!$C$2:$C$622,0)))</f>
        <v/>
      </c>
      <c r="J357" s="8">
        <f>IF(ISNA(MATCH(344,Engine!$C$2:$C$622,0)),"",INDEX('Compliance Database'!$J$2:$J$622,MATCH(344,Engine!$C$2:$C$622,0)))</f>
        <v/>
      </c>
      <c r="K357">
        <f>IF(ISNA(MATCH(344,Engine!$C$2:$C$622,0)),"",INDEX('Compliance Database'!$K$2:$K$622,MATCH(344,Engine!$C$2:$C$622,0)))</f>
        <v/>
      </c>
      <c r="L357" s="8">
        <f>IF(ISNA(MATCH(344,Engine!$C$2:$C$622,0)),"",INDEX('Compliance Database'!$L$2:$L$622,MATCH(344,Engine!$C$2:$C$622,0)))</f>
        <v/>
      </c>
      <c r="M357" s="8">
        <f>IF(ISNA(MATCH(344,Engine!$C$2:$C$622,0)),"",INDEX('Compliance Database'!$M$2:$M$622,MATCH(344,Engine!$C$2:$C$622,0)))</f>
        <v/>
      </c>
      <c r="N357" s="8">
        <f>IF(ISNA(MATCH(344,Engine!$C$2:$C$622,0)),"",INDEX('Compliance Database'!$N$2:$N$622,MATCH(344,Engine!$C$2:$C$622,0)))</f>
        <v/>
      </c>
      <c r="O357" s="8">
        <f>IF(ISNA(MATCH(344,Engine!$C$2:$C$622,0)),"",INDEX('Compliance Database'!$O$2:$O$622,MATCH(344,Engine!$C$2:$C$622,0)))</f>
        <v/>
      </c>
    </row>
    <row r="358">
      <c r="A358">
        <f>IF(ISNA(MATCH(345,Engine!$C$2:$C$622,0)),"",INDEX('Compliance Database'!$A$2:$A$622,MATCH(345,Engine!$C$2:$C$622,0)))</f>
        <v/>
      </c>
      <c r="B358">
        <f>IF(ISNA(MATCH(345,Engine!$C$2:$C$622,0)),"",INDEX('Compliance Database'!$B$2:$B$622,MATCH(345,Engine!$C$2:$C$622,0)))</f>
        <v/>
      </c>
      <c r="C358">
        <f>IF(ISNA(MATCH(345,Engine!$C$2:$C$622,0)),"",INDEX('Compliance Database'!$C$2:$C$622,MATCH(345,Engine!$C$2:$C$622,0)))</f>
        <v/>
      </c>
      <c r="D358" s="8">
        <f>IF(ISNA(MATCH(345,Engine!$C$2:$C$622,0)),"",INDEX('Compliance Database'!$D$2:$D$622,MATCH(345,Engine!$C$2:$C$622,0)))</f>
        <v/>
      </c>
      <c r="E358">
        <f>IF(ISNA(MATCH(345,Engine!$C$2:$C$622,0)),"",INDEX('Compliance Database'!$E$2:$E$622,MATCH(345,Engine!$C$2:$C$622,0)))</f>
        <v/>
      </c>
      <c r="F358">
        <f>IF(ISNA(MATCH(345,Engine!$C$2:$C$622,0)),"",INDEX('Compliance Database'!$F$2:$F$622,MATCH(345,Engine!$C$2:$C$622,0)))</f>
        <v/>
      </c>
      <c r="G358">
        <f>IF(ISNA(MATCH(345,Engine!$C$2:$C$622,0)),"",INDEX('Compliance Database'!$G$2:$G$622,MATCH(345,Engine!$C$2:$C$622,0)))</f>
        <v/>
      </c>
      <c r="H358">
        <f>IF(ISNA(MATCH(345,Engine!$C$2:$C$622,0)),"",INDEX('Compliance Database'!$H$2:$H$622,MATCH(345,Engine!$C$2:$C$622,0)))</f>
        <v/>
      </c>
      <c r="I358" s="8">
        <f>IF(ISNA(MATCH(345,Engine!$C$2:$C$622,0)),"",INDEX('Compliance Database'!$I$2:$I$622,MATCH(345,Engine!$C$2:$C$622,0)))</f>
        <v/>
      </c>
      <c r="J358" s="8">
        <f>IF(ISNA(MATCH(345,Engine!$C$2:$C$622,0)),"",INDEX('Compliance Database'!$J$2:$J$622,MATCH(345,Engine!$C$2:$C$622,0)))</f>
        <v/>
      </c>
      <c r="K358">
        <f>IF(ISNA(MATCH(345,Engine!$C$2:$C$622,0)),"",INDEX('Compliance Database'!$K$2:$K$622,MATCH(345,Engine!$C$2:$C$622,0)))</f>
        <v/>
      </c>
      <c r="L358" s="8">
        <f>IF(ISNA(MATCH(345,Engine!$C$2:$C$622,0)),"",INDEX('Compliance Database'!$L$2:$L$622,MATCH(345,Engine!$C$2:$C$622,0)))</f>
        <v/>
      </c>
      <c r="M358" s="8">
        <f>IF(ISNA(MATCH(345,Engine!$C$2:$C$622,0)),"",INDEX('Compliance Database'!$M$2:$M$622,MATCH(345,Engine!$C$2:$C$622,0)))</f>
        <v/>
      </c>
      <c r="N358" s="8">
        <f>IF(ISNA(MATCH(345,Engine!$C$2:$C$622,0)),"",INDEX('Compliance Database'!$N$2:$N$622,MATCH(345,Engine!$C$2:$C$622,0)))</f>
        <v/>
      </c>
      <c r="O358" s="8">
        <f>IF(ISNA(MATCH(345,Engine!$C$2:$C$622,0)),"",INDEX('Compliance Database'!$O$2:$O$622,MATCH(345,Engine!$C$2:$C$622,0)))</f>
        <v/>
      </c>
    </row>
    <row r="359">
      <c r="A359">
        <f>IF(ISNA(MATCH(346,Engine!$C$2:$C$622,0)),"",INDEX('Compliance Database'!$A$2:$A$622,MATCH(346,Engine!$C$2:$C$622,0)))</f>
        <v/>
      </c>
      <c r="B359">
        <f>IF(ISNA(MATCH(346,Engine!$C$2:$C$622,0)),"",INDEX('Compliance Database'!$B$2:$B$622,MATCH(346,Engine!$C$2:$C$622,0)))</f>
        <v/>
      </c>
      <c r="C359">
        <f>IF(ISNA(MATCH(346,Engine!$C$2:$C$622,0)),"",INDEX('Compliance Database'!$C$2:$C$622,MATCH(346,Engine!$C$2:$C$622,0)))</f>
        <v/>
      </c>
      <c r="D359" s="8">
        <f>IF(ISNA(MATCH(346,Engine!$C$2:$C$622,0)),"",INDEX('Compliance Database'!$D$2:$D$622,MATCH(346,Engine!$C$2:$C$622,0)))</f>
        <v/>
      </c>
      <c r="E359">
        <f>IF(ISNA(MATCH(346,Engine!$C$2:$C$622,0)),"",INDEX('Compliance Database'!$E$2:$E$622,MATCH(346,Engine!$C$2:$C$622,0)))</f>
        <v/>
      </c>
      <c r="F359">
        <f>IF(ISNA(MATCH(346,Engine!$C$2:$C$622,0)),"",INDEX('Compliance Database'!$F$2:$F$622,MATCH(346,Engine!$C$2:$C$622,0)))</f>
        <v/>
      </c>
      <c r="G359">
        <f>IF(ISNA(MATCH(346,Engine!$C$2:$C$622,0)),"",INDEX('Compliance Database'!$G$2:$G$622,MATCH(346,Engine!$C$2:$C$622,0)))</f>
        <v/>
      </c>
      <c r="H359">
        <f>IF(ISNA(MATCH(346,Engine!$C$2:$C$622,0)),"",INDEX('Compliance Database'!$H$2:$H$622,MATCH(346,Engine!$C$2:$C$622,0)))</f>
        <v/>
      </c>
      <c r="I359" s="8">
        <f>IF(ISNA(MATCH(346,Engine!$C$2:$C$622,0)),"",INDEX('Compliance Database'!$I$2:$I$622,MATCH(346,Engine!$C$2:$C$622,0)))</f>
        <v/>
      </c>
      <c r="J359" s="8">
        <f>IF(ISNA(MATCH(346,Engine!$C$2:$C$622,0)),"",INDEX('Compliance Database'!$J$2:$J$622,MATCH(346,Engine!$C$2:$C$622,0)))</f>
        <v/>
      </c>
      <c r="K359">
        <f>IF(ISNA(MATCH(346,Engine!$C$2:$C$622,0)),"",INDEX('Compliance Database'!$K$2:$K$622,MATCH(346,Engine!$C$2:$C$622,0)))</f>
        <v/>
      </c>
      <c r="L359" s="8">
        <f>IF(ISNA(MATCH(346,Engine!$C$2:$C$622,0)),"",INDEX('Compliance Database'!$L$2:$L$622,MATCH(346,Engine!$C$2:$C$622,0)))</f>
        <v/>
      </c>
      <c r="M359" s="8">
        <f>IF(ISNA(MATCH(346,Engine!$C$2:$C$622,0)),"",INDEX('Compliance Database'!$M$2:$M$622,MATCH(346,Engine!$C$2:$C$622,0)))</f>
        <v/>
      </c>
      <c r="N359" s="8">
        <f>IF(ISNA(MATCH(346,Engine!$C$2:$C$622,0)),"",INDEX('Compliance Database'!$N$2:$N$622,MATCH(346,Engine!$C$2:$C$622,0)))</f>
        <v/>
      </c>
      <c r="O359" s="8">
        <f>IF(ISNA(MATCH(346,Engine!$C$2:$C$622,0)),"",INDEX('Compliance Database'!$O$2:$O$622,MATCH(346,Engine!$C$2:$C$622,0)))</f>
        <v/>
      </c>
    </row>
    <row r="360">
      <c r="A360">
        <f>IF(ISNA(MATCH(347,Engine!$C$2:$C$622,0)),"",INDEX('Compliance Database'!$A$2:$A$622,MATCH(347,Engine!$C$2:$C$622,0)))</f>
        <v/>
      </c>
      <c r="B360">
        <f>IF(ISNA(MATCH(347,Engine!$C$2:$C$622,0)),"",INDEX('Compliance Database'!$B$2:$B$622,MATCH(347,Engine!$C$2:$C$622,0)))</f>
        <v/>
      </c>
      <c r="C360">
        <f>IF(ISNA(MATCH(347,Engine!$C$2:$C$622,0)),"",INDEX('Compliance Database'!$C$2:$C$622,MATCH(347,Engine!$C$2:$C$622,0)))</f>
        <v/>
      </c>
      <c r="D360" s="8">
        <f>IF(ISNA(MATCH(347,Engine!$C$2:$C$622,0)),"",INDEX('Compliance Database'!$D$2:$D$622,MATCH(347,Engine!$C$2:$C$622,0)))</f>
        <v/>
      </c>
      <c r="E360">
        <f>IF(ISNA(MATCH(347,Engine!$C$2:$C$622,0)),"",INDEX('Compliance Database'!$E$2:$E$622,MATCH(347,Engine!$C$2:$C$622,0)))</f>
        <v/>
      </c>
      <c r="F360">
        <f>IF(ISNA(MATCH(347,Engine!$C$2:$C$622,0)),"",INDEX('Compliance Database'!$F$2:$F$622,MATCH(347,Engine!$C$2:$C$622,0)))</f>
        <v/>
      </c>
      <c r="G360">
        <f>IF(ISNA(MATCH(347,Engine!$C$2:$C$622,0)),"",INDEX('Compliance Database'!$G$2:$G$622,MATCH(347,Engine!$C$2:$C$622,0)))</f>
        <v/>
      </c>
      <c r="H360">
        <f>IF(ISNA(MATCH(347,Engine!$C$2:$C$622,0)),"",INDEX('Compliance Database'!$H$2:$H$622,MATCH(347,Engine!$C$2:$C$622,0)))</f>
        <v/>
      </c>
      <c r="I360" s="8">
        <f>IF(ISNA(MATCH(347,Engine!$C$2:$C$622,0)),"",INDEX('Compliance Database'!$I$2:$I$622,MATCH(347,Engine!$C$2:$C$622,0)))</f>
        <v/>
      </c>
      <c r="J360" s="8">
        <f>IF(ISNA(MATCH(347,Engine!$C$2:$C$622,0)),"",INDEX('Compliance Database'!$J$2:$J$622,MATCH(347,Engine!$C$2:$C$622,0)))</f>
        <v/>
      </c>
      <c r="K360">
        <f>IF(ISNA(MATCH(347,Engine!$C$2:$C$622,0)),"",INDEX('Compliance Database'!$K$2:$K$622,MATCH(347,Engine!$C$2:$C$622,0)))</f>
        <v/>
      </c>
      <c r="L360" s="8">
        <f>IF(ISNA(MATCH(347,Engine!$C$2:$C$622,0)),"",INDEX('Compliance Database'!$L$2:$L$622,MATCH(347,Engine!$C$2:$C$622,0)))</f>
        <v/>
      </c>
      <c r="M360" s="8">
        <f>IF(ISNA(MATCH(347,Engine!$C$2:$C$622,0)),"",INDEX('Compliance Database'!$M$2:$M$622,MATCH(347,Engine!$C$2:$C$622,0)))</f>
        <v/>
      </c>
      <c r="N360" s="8">
        <f>IF(ISNA(MATCH(347,Engine!$C$2:$C$622,0)),"",INDEX('Compliance Database'!$N$2:$N$622,MATCH(347,Engine!$C$2:$C$622,0)))</f>
        <v/>
      </c>
      <c r="O360" s="8">
        <f>IF(ISNA(MATCH(347,Engine!$C$2:$C$622,0)),"",INDEX('Compliance Database'!$O$2:$O$622,MATCH(347,Engine!$C$2:$C$622,0)))</f>
        <v/>
      </c>
    </row>
    <row r="361">
      <c r="A361">
        <f>IF(ISNA(MATCH(348,Engine!$C$2:$C$622,0)),"",INDEX('Compliance Database'!$A$2:$A$622,MATCH(348,Engine!$C$2:$C$622,0)))</f>
        <v/>
      </c>
      <c r="B361">
        <f>IF(ISNA(MATCH(348,Engine!$C$2:$C$622,0)),"",INDEX('Compliance Database'!$B$2:$B$622,MATCH(348,Engine!$C$2:$C$622,0)))</f>
        <v/>
      </c>
      <c r="C361">
        <f>IF(ISNA(MATCH(348,Engine!$C$2:$C$622,0)),"",INDEX('Compliance Database'!$C$2:$C$622,MATCH(348,Engine!$C$2:$C$622,0)))</f>
        <v/>
      </c>
      <c r="D361" s="8">
        <f>IF(ISNA(MATCH(348,Engine!$C$2:$C$622,0)),"",INDEX('Compliance Database'!$D$2:$D$622,MATCH(348,Engine!$C$2:$C$622,0)))</f>
        <v/>
      </c>
      <c r="E361">
        <f>IF(ISNA(MATCH(348,Engine!$C$2:$C$622,0)),"",INDEX('Compliance Database'!$E$2:$E$622,MATCH(348,Engine!$C$2:$C$622,0)))</f>
        <v/>
      </c>
      <c r="F361">
        <f>IF(ISNA(MATCH(348,Engine!$C$2:$C$622,0)),"",INDEX('Compliance Database'!$F$2:$F$622,MATCH(348,Engine!$C$2:$C$622,0)))</f>
        <v/>
      </c>
      <c r="G361">
        <f>IF(ISNA(MATCH(348,Engine!$C$2:$C$622,0)),"",INDEX('Compliance Database'!$G$2:$G$622,MATCH(348,Engine!$C$2:$C$622,0)))</f>
        <v/>
      </c>
      <c r="H361">
        <f>IF(ISNA(MATCH(348,Engine!$C$2:$C$622,0)),"",INDEX('Compliance Database'!$H$2:$H$622,MATCH(348,Engine!$C$2:$C$622,0)))</f>
        <v/>
      </c>
      <c r="I361" s="8">
        <f>IF(ISNA(MATCH(348,Engine!$C$2:$C$622,0)),"",INDEX('Compliance Database'!$I$2:$I$622,MATCH(348,Engine!$C$2:$C$622,0)))</f>
        <v/>
      </c>
      <c r="J361" s="8">
        <f>IF(ISNA(MATCH(348,Engine!$C$2:$C$622,0)),"",INDEX('Compliance Database'!$J$2:$J$622,MATCH(348,Engine!$C$2:$C$622,0)))</f>
        <v/>
      </c>
      <c r="K361">
        <f>IF(ISNA(MATCH(348,Engine!$C$2:$C$622,0)),"",INDEX('Compliance Database'!$K$2:$K$622,MATCH(348,Engine!$C$2:$C$622,0)))</f>
        <v/>
      </c>
      <c r="L361" s="8">
        <f>IF(ISNA(MATCH(348,Engine!$C$2:$C$622,0)),"",INDEX('Compliance Database'!$L$2:$L$622,MATCH(348,Engine!$C$2:$C$622,0)))</f>
        <v/>
      </c>
      <c r="M361" s="8">
        <f>IF(ISNA(MATCH(348,Engine!$C$2:$C$622,0)),"",INDEX('Compliance Database'!$M$2:$M$622,MATCH(348,Engine!$C$2:$C$622,0)))</f>
        <v/>
      </c>
      <c r="N361" s="8">
        <f>IF(ISNA(MATCH(348,Engine!$C$2:$C$622,0)),"",INDEX('Compliance Database'!$N$2:$N$622,MATCH(348,Engine!$C$2:$C$622,0)))</f>
        <v/>
      </c>
      <c r="O361" s="8">
        <f>IF(ISNA(MATCH(348,Engine!$C$2:$C$622,0)),"",INDEX('Compliance Database'!$O$2:$O$622,MATCH(348,Engine!$C$2:$C$622,0)))</f>
        <v/>
      </c>
    </row>
    <row r="362">
      <c r="A362">
        <f>IF(ISNA(MATCH(349,Engine!$C$2:$C$622,0)),"",INDEX('Compliance Database'!$A$2:$A$622,MATCH(349,Engine!$C$2:$C$622,0)))</f>
        <v/>
      </c>
      <c r="B362">
        <f>IF(ISNA(MATCH(349,Engine!$C$2:$C$622,0)),"",INDEX('Compliance Database'!$B$2:$B$622,MATCH(349,Engine!$C$2:$C$622,0)))</f>
        <v/>
      </c>
      <c r="C362">
        <f>IF(ISNA(MATCH(349,Engine!$C$2:$C$622,0)),"",INDEX('Compliance Database'!$C$2:$C$622,MATCH(349,Engine!$C$2:$C$622,0)))</f>
        <v/>
      </c>
      <c r="D362" s="8">
        <f>IF(ISNA(MATCH(349,Engine!$C$2:$C$622,0)),"",INDEX('Compliance Database'!$D$2:$D$622,MATCH(349,Engine!$C$2:$C$622,0)))</f>
        <v/>
      </c>
      <c r="E362">
        <f>IF(ISNA(MATCH(349,Engine!$C$2:$C$622,0)),"",INDEX('Compliance Database'!$E$2:$E$622,MATCH(349,Engine!$C$2:$C$622,0)))</f>
        <v/>
      </c>
      <c r="F362">
        <f>IF(ISNA(MATCH(349,Engine!$C$2:$C$622,0)),"",INDEX('Compliance Database'!$F$2:$F$622,MATCH(349,Engine!$C$2:$C$622,0)))</f>
        <v/>
      </c>
      <c r="G362">
        <f>IF(ISNA(MATCH(349,Engine!$C$2:$C$622,0)),"",INDEX('Compliance Database'!$G$2:$G$622,MATCH(349,Engine!$C$2:$C$622,0)))</f>
        <v/>
      </c>
      <c r="H362">
        <f>IF(ISNA(MATCH(349,Engine!$C$2:$C$622,0)),"",INDEX('Compliance Database'!$H$2:$H$622,MATCH(349,Engine!$C$2:$C$622,0)))</f>
        <v/>
      </c>
      <c r="I362" s="8">
        <f>IF(ISNA(MATCH(349,Engine!$C$2:$C$622,0)),"",INDEX('Compliance Database'!$I$2:$I$622,MATCH(349,Engine!$C$2:$C$622,0)))</f>
        <v/>
      </c>
      <c r="J362" s="8">
        <f>IF(ISNA(MATCH(349,Engine!$C$2:$C$622,0)),"",INDEX('Compliance Database'!$J$2:$J$622,MATCH(349,Engine!$C$2:$C$622,0)))</f>
        <v/>
      </c>
      <c r="K362">
        <f>IF(ISNA(MATCH(349,Engine!$C$2:$C$622,0)),"",INDEX('Compliance Database'!$K$2:$K$622,MATCH(349,Engine!$C$2:$C$622,0)))</f>
        <v/>
      </c>
      <c r="L362" s="8">
        <f>IF(ISNA(MATCH(349,Engine!$C$2:$C$622,0)),"",INDEX('Compliance Database'!$L$2:$L$622,MATCH(349,Engine!$C$2:$C$622,0)))</f>
        <v/>
      </c>
      <c r="M362" s="8">
        <f>IF(ISNA(MATCH(349,Engine!$C$2:$C$622,0)),"",INDEX('Compliance Database'!$M$2:$M$622,MATCH(349,Engine!$C$2:$C$622,0)))</f>
        <v/>
      </c>
      <c r="N362" s="8">
        <f>IF(ISNA(MATCH(349,Engine!$C$2:$C$622,0)),"",INDEX('Compliance Database'!$N$2:$N$622,MATCH(349,Engine!$C$2:$C$622,0)))</f>
        <v/>
      </c>
      <c r="O362" s="8">
        <f>IF(ISNA(MATCH(349,Engine!$C$2:$C$622,0)),"",INDEX('Compliance Database'!$O$2:$O$622,MATCH(349,Engine!$C$2:$C$622,0)))</f>
        <v/>
      </c>
    </row>
    <row r="363">
      <c r="A363">
        <f>IF(ISNA(MATCH(350,Engine!$C$2:$C$622,0)),"",INDEX('Compliance Database'!$A$2:$A$622,MATCH(350,Engine!$C$2:$C$622,0)))</f>
        <v/>
      </c>
      <c r="B363">
        <f>IF(ISNA(MATCH(350,Engine!$C$2:$C$622,0)),"",INDEX('Compliance Database'!$B$2:$B$622,MATCH(350,Engine!$C$2:$C$622,0)))</f>
        <v/>
      </c>
      <c r="C363">
        <f>IF(ISNA(MATCH(350,Engine!$C$2:$C$622,0)),"",INDEX('Compliance Database'!$C$2:$C$622,MATCH(350,Engine!$C$2:$C$622,0)))</f>
        <v/>
      </c>
      <c r="D363" s="8">
        <f>IF(ISNA(MATCH(350,Engine!$C$2:$C$622,0)),"",INDEX('Compliance Database'!$D$2:$D$622,MATCH(350,Engine!$C$2:$C$622,0)))</f>
        <v/>
      </c>
      <c r="E363">
        <f>IF(ISNA(MATCH(350,Engine!$C$2:$C$622,0)),"",INDEX('Compliance Database'!$E$2:$E$622,MATCH(350,Engine!$C$2:$C$622,0)))</f>
        <v/>
      </c>
      <c r="F363">
        <f>IF(ISNA(MATCH(350,Engine!$C$2:$C$622,0)),"",INDEX('Compliance Database'!$F$2:$F$622,MATCH(350,Engine!$C$2:$C$622,0)))</f>
        <v/>
      </c>
      <c r="G363">
        <f>IF(ISNA(MATCH(350,Engine!$C$2:$C$622,0)),"",INDEX('Compliance Database'!$G$2:$G$622,MATCH(350,Engine!$C$2:$C$622,0)))</f>
        <v/>
      </c>
      <c r="H363">
        <f>IF(ISNA(MATCH(350,Engine!$C$2:$C$622,0)),"",INDEX('Compliance Database'!$H$2:$H$622,MATCH(350,Engine!$C$2:$C$622,0)))</f>
        <v/>
      </c>
      <c r="I363" s="8">
        <f>IF(ISNA(MATCH(350,Engine!$C$2:$C$622,0)),"",INDEX('Compliance Database'!$I$2:$I$622,MATCH(350,Engine!$C$2:$C$622,0)))</f>
        <v/>
      </c>
      <c r="J363" s="8">
        <f>IF(ISNA(MATCH(350,Engine!$C$2:$C$622,0)),"",INDEX('Compliance Database'!$J$2:$J$622,MATCH(350,Engine!$C$2:$C$622,0)))</f>
        <v/>
      </c>
      <c r="K363">
        <f>IF(ISNA(MATCH(350,Engine!$C$2:$C$622,0)),"",INDEX('Compliance Database'!$K$2:$K$622,MATCH(350,Engine!$C$2:$C$622,0)))</f>
        <v/>
      </c>
      <c r="L363" s="8">
        <f>IF(ISNA(MATCH(350,Engine!$C$2:$C$622,0)),"",INDEX('Compliance Database'!$L$2:$L$622,MATCH(350,Engine!$C$2:$C$622,0)))</f>
        <v/>
      </c>
      <c r="M363" s="8">
        <f>IF(ISNA(MATCH(350,Engine!$C$2:$C$622,0)),"",INDEX('Compliance Database'!$M$2:$M$622,MATCH(350,Engine!$C$2:$C$622,0)))</f>
        <v/>
      </c>
      <c r="N363" s="8">
        <f>IF(ISNA(MATCH(350,Engine!$C$2:$C$622,0)),"",INDEX('Compliance Database'!$N$2:$N$622,MATCH(350,Engine!$C$2:$C$622,0)))</f>
        <v/>
      </c>
      <c r="O363" s="8">
        <f>IF(ISNA(MATCH(350,Engine!$C$2:$C$622,0)),"",INDEX('Compliance Database'!$O$2:$O$622,MATCH(350,Engine!$C$2:$C$622,0)))</f>
        <v/>
      </c>
    </row>
    <row r="364">
      <c r="A364">
        <f>IF(ISNA(MATCH(351,Engine!$C$2:$C$622,0)),"",INDEX('Compliance Database'!$A$2:$A$622,MATCH(351,Engine!$C$2:$C$622,0)))</f>
        <v/>
      </c>
      <c r="B364">
        <f>IF(ISNA(MATCH(351,Engine!$C$2:$C$622,0)),"",INDEX('Compliance Database'!$B$2:$B$622,MATCH(351,Engine!$C$2:$C$622,0)))</f>
        <v/>
      </c>
      <c r="C364">
        <f>IF(ISNA(MATCH(351,Engine!$C$2:$C$622,0)),"",INDEX('Compliance Database'!$C$2:$C$622,MATCH(351,Engine!$C$2:$C$622,0)))</f>
        <v/>
      </c>
      <c r="D364" s="8">
        <f>IF(ISNA(MATCH(351,Engine!$C$2:$C$622,0)),"",INDEX('Compliance Database'!$D$2:$D$622,MATCH(351,Engine!$C$2:$C$622,0)))</f>
        <v/>
      </c>
      <c r="E364">
        <f>IF(ISNA(MATCH(351,Engine!$C$2:$C$622,0)),"",INDEX('Compliance Database'!$E$2:$E$622,MATCH(351,Engine!$C$2:$C$622,0)))</f>
        <v/>
      </c>
      <c r="F364">
        <f>IF(ISNA(MATCH(351,Engine!$C$2:$C$622,0)),"",INDEX('Compliance Database'!$F$2:$F$622,MATCH(351,Engine!$C$2:$C$622,0)))</f>
        <v/>
      </c>
      <c r="G364">
        <f>IF(ISNA(MATCH(351,Engine!$C$2:$C$622,0)),"",INDEX('Compliance Database'!$G$2:$G$622,MATCH(351,Engine!$C$2:$C$622,0)))</f>
        <v/>
      </c>
      <c r="H364">
        <f>IF(ISNA(MATCH(351,Engine!$C$2:$C$622,0)),"",INDEX('Compliance Database'!$H$2:$H$622,MATCH(351,Engine!$C$2:$C$622,0)))</f>
        <v/>
      </c>
      <c r="I364" s="8">
        <f>IF(ISNA(MATCH(351,Engine!$C$2:$C$622,0)),"",INDEX('Compliance Database'!$I$2:$I$622,MATCH(351,Engine!$C$2:$C$622,0)))</f>
        <v/>
      </c>
      <c r="J364" s="8">
        <f>IF(ISNA(MATCH(351,Engine!$C$2:$C$622,0)),"",INDEX('Compliance Database'!$J$2:$J$622,MATCH(351,Engine!$C$2:$C$622,0)))</f>
        <v/>
      </c>
      <c r="K364">
        <f>IF(ISNA(MATCH(351,Engine!$C$2:$C$622,0)),"",INDEX('Compliance Database'!$K$2:$K$622,MATCH(351,Engine!$C$2:$C$622,0)))</f>
        <v/>
      </c>
      <c r="L364" s="8">
        <f>IF(ISNA(MATCH(351,Engine!$C$2:$C$622,0)),"",INDEX('Compliance Database'!$L$2:$L$622,MATCH(351,Engine!$C$2:$C$622,0)))</f>
        <v/>
      </c>
      <c r="M364" s="8">
        <f>IF(ISNA(MATCH(351,Engine!$C$2:$C$622,0)),"",INDEX('Compliance Database'!$M$2:$M$622,MATCH(351,Engine!$C$2:$C$622,0)))</f>
        <v/>
      </c>
      <c r="N364" s="8">
        <f>IF(ISNA(MATCH(351,Engine!$C$2:$C$622,0)),"",INDEX('Compliance Database'!$N$2:$N$622,MATCH(351,Engine!$C$2:$C$622,0)))</f>
        <v/>
      </c>
      <c r="O364" s="8">
        <f>IF(ISNA(MATCH(351,Engine!$C$2:$C$622,0)),"",INDEX('Compliance Database'!$O$2:$O$622,MATCH(351,Engine!$C$2:$C$622,0)))</f>
        <v/>
      </c>
    </row>
    <row r="365">
      <c r="A365">
        <f>IF(ISNA(MATCH(352,Engine!$C$2:$C$622,0)),"",INDEX('Compliance Database'!$A$2:$A$622,MATCH(352,Engine!$C$2:$C$622,0)))</f>
        <v/>
      </c>
      <c r="B365">
        <f>IF(ISNA(MATCH(352,Engine!$C$2:$C$622,0)),"",INDEX('Compliance Database'!$B$2:$B$622,MATCH(352,Engine!$C$2:$C$622,0)))</f>
        <v/>
      </c>
      <c r="C365">
        <f>IF(ISNA(MATCH(352,Engine!$C$2:$C$622,0)),"",INDEX('Compliance Database'!$C$2:$C$622,MATCH(352,Engine!$C$2:$C$622,0)))</f>
        <v/>
      </c>
      <c r="D365" s="8">
        <f>IF(ISNA(MATCH(352,Engine!$C$2:$C$622,0)),"",INDEX('Compliance Database'!$D$2:$D$622,MATCH(352,Engine!$C$2:$C$622,0)))</f>
        <v/>
      </c>
      <c r="E365">
        <f>IF(ISNA(MATCH(352,Engine!$C$2:$C$622,0)),"",INDEX('Compliance Database'!$E$2:$E$622,MATCH(352,Engine!$C$2:$C$622,0)))</f>
        <v/>
      </c>
      <c r="F365">
        <f>IF(ISNA(MATCH(352,Engine!$C$2:$C$622,0)),"",INDEX('Compliance Database'!$F$2:$F$622,MATCH(352,Engine!$C$2:$C$622,0)))</f>
        <v/>
      </c>
      <c r="G365">
        <f>IF(ISNA(MATCH(352,Engine!$C$2:$C$622,0)),"",INDEX('Compliance Database'!$G$2:$G$622,MATCH(352,Engine!$C$2:$C$622,0)))</f>
        <v/>
      </c>
      <c r="H365">
        <f>IF(ISNA(MATCH(352,Engine!$C$2:$C$622,0)),"",INDEX('Compliance Database'!$H$2:$H$622,MATCH(352,Engine!$C$2:$C$622,0)))</f>
        <v/>
      </c>
      <c r="I365" s="8">
        <f>IF(ISNA(MATCH(352,Engine!$C$2:$C$622,0)),"",INDEX('Compliance Database'!$I$2:$I$622,MATCH(352,Engine!$C$2:$C$622,0)))</f>
        <v/>
      </c>
      <c r="J365" s="8">
        <f>IF(ISNA(MATCH(352,Engine!$C$2:$C$622,0)),"",INDEX('Compliance Database'!$J$2:$J$622,MATCH(352,Engine!$C$2:$C$622,0)))</f>
        <v/>
      </c>
      <c r="K365">
        <f>IF(ISNA(MATCH(352,Engine!$C$2:$C$622,0)),"",INDEX('Compliance Database'!$K$2:$K$622,MATCH(352,Engine!$C$2:$C$622,0)))</f>
        <v/>
      </c>
      <c r="L365" s="8">
        <f>IF(ISNA(MATCH(352,Engine!$C$2:$C$622,0)),"",INDEX('Compliance Database'!$L$2:$L$622,MATCH(352,Engine!$C$2:$C$622,0)))</f>
        <v/>
      </c>
      <c r="M365" s="8">
        <f>IF(ISNA(MATCH(352,Engine!$C$2:$C$622,0)),"",INDEX('Compliance Database'!$M$2:$M$622,MATCH(352,Engine!$C$2:$C$622,0)))</f>
        <v/>
      </c>
      <c r="N365" s="8">
        <f>IF(ISNA(MATCH(352,Engine!$C$2:$C$622,0)),"",INDEX('Compliance Database'!$N$2:$N$622,MATCH(352,Engine!$C$2:$C$622,0)))</f>
        <v/>
      </c>
      <c r="O365" s="8">
        <f>IF(ISNA(MATCH(352,Engine!$C$2:$C$622,0)),"",INDEX('Compliance Database'!$O$2:$O$622,MATCH(352,Engine!$C$2:$C$622,0)))</f>
        <v/>
      </c>
    </row>
    <row r="366">
      <c r="A366">
        <f>IF(ISNA(MATCH(353,Engine!$C$2:$C$622,0)),"",INDEX('Compliance Database'!$A$2:$A$622,MATCH(353,Engine!$C$2:$C$622,0)))</f>
        <v/>
      </c>
      <c r="B366">
        <f>IF(ISNA(MATCH(353,Engine!$C$2:$C$622,0)),"",INDEX('Compliance Database'!$B$2:$B$622,MATCH(353,Engine!$C$2:$C$622,0)))</f>
        <v/>
      </c>
      <c r="C366">
        <f>IF(ISNA(MATCH(353,Engine!$C$2:$C$622,0)),"",INDEX('Compliance Database'!$C$2:$C$622,MATCH(353,Engine!$C$2:$C$622,0)))</f>
        <v/>
      </c>
      <c r="D366" s="8">
        <f>IF(ISNA(MATCH(353,Engine!$C$2:$C$622,0)),"",INDEX('Compliance Database'!$D$2:$D$622,MATCH(353,Engine!$C$2:$C$622,0)))</f>
        <v/>
      </c>
      <c r="E366">
        <f>IF(ISNA(MATCH(353,Engine!$C$2:$C$622,0)),"",INDEX('Compliance Database'!$E$2:$E$622,MATCH(353,Engine!$C$2:$C$622,0)))</f>
        <v/>
      </c>
      <c r="F366">
        <f>IF(ISNA(MATCH(353,Engine!$C$2:$C$622,0)),"",INDEX('Compliance Database'!$F$2:$F$622,MATCH(353,Engine!$C$2:$C$622,0)))</f>
        <v/>
      </c>
      <c r="G366">
        <f>IF(ISNA(MATCH(353,Engine!$C$2:$C$622,0)),"",INDEX('Compliance Database'!$G$2:$G$622,MATCH(353,Engine!$C$2:$C$622,0)))</f>
        <v/>
      </c>
      <c r="H366">
        <f>IF(ISNA(MATCH(353,Engine!$C$2:$C$622,0)),"",INDEX('Compliance Database'!$H$2:$H$622,MATCH(353,Engine!$C$2:$C$622,0)))</f>
        <v/>
      </c>
      <c r="I366" s="8">
        <f>IF(ISNA(MATCH(353,Engine!$C$2:$C$622,0)),"",INDEX('Compliance Database'!$I$2:$I$622,MATCH(353,Engine!$C$2:$C$622,0)))</f>
        <v/>
      </c>
      <c r="J366" s="8">
        <f>IF(ISNA(MATCH(353,Engine!$C$2:$C$622,0)),"",INDEX('Compliance Database'!$J$2:$J$622,MATCH(353,Engine!$C$2:$C$622,0)))</f>
        <v/>
      </c>
      <c r="K366">
        <f>IF(ISNA(MATCH(353,Engine!$C$2:$C$622,0)),"",INDEX('Compliance Database'!$K$2:$K$622,MATCH(353,Engine!$C$2:$C$622,0)))</f>
        <v/>
      </c>
      <c r="L366" s="8">
        <f>IF(ISNA(MATCH(353,Engine!$C$2:$C$622,0)),"",INDEX('Compliance Database'!$L$2:$L$622,MATCH(353,Engine!$C$2:$C$622,0)))</f>
        <v/>
      </c>
      <c r="M366" s="8">
        <f>IF(ISNA(MATCH(353,Engine!$C$2:$C$622,0)),"",INDEX('Compliance Database'!$M$2:$M$622,MATCH(353,Engine!$C$2:$C$622,0)))</f>
        <v/>
      </c>
      <c r="N366" s="8">
        <f>IF(ISNA(MATCH(353,Engine!$C$2:$C$622,0)),"",INDEX('Compliance Database'!$N$2:$N$622,MATCH(353,Engine!$C$2:$C$622,0)))</f>
        <v/>
      </c>
      <c r="O366" s="8">
        <f>IF(ISNA(MATCH(353,Engine!$C$2:$C$622,0)),"",INDEX('Compliance Database'!$O$2:$O$622,MATCH(353,Engine!$C$2:$C$622,0)))</f>
        <v/>
      </c>
    </row>
    <row r="367">
      <c r="A367">
        <f>IF(ISNA(MATCH(354,Engine!$C$2:$C$622,0)),"",INDEX('Compliance Database'!$A$2:$A$622,MATCH(354,Engine!$C$2:$C$622,0)))</f>
        <v/>
      </c>
      <c r="B367">
        <f>IF(ISNA(MATCH(354,Engine!$C$2:$C$622,0)),"",INDEX('Compliance Database'!$B$2:$B$622,MATCH(354,Engine!$C$2:$C$622,0)))</f>
        <v/>
      </c>
      <c r="C367">
        <f>IF(ISNA(MATCH(354,Engine!$C$2:$C$622,0)),"",INDEX('Compliance Database'!$C$2:$C$622,MATCH(354,Engine!$C$2:$C$622,0)))</f>
        <v/>
      </c>
      <c r="D367" s="8">
        <f>IF(ISNA(MATCH(354,Engine!$C$2:$C$622,0)),"",INDEX('Compliance Database'!$D$2:$D$622,MATCH(354,Engine!$C$2:$C$622,0)))</f>
        <v/>
      </c>
      <c r="E367">
        <f>IF(ISNA(MATCH(354,Engine!$C$2:$C$622,0)),"",INDEX('Compliance Database'!$E$2:$E$622,MATCH(354,Engine!$C$2:$C$622,0)))</f>
        <v/>
      </c>
      <c r="F367">
        <f>IF(ISNA(MATCH(354,Engine!$C$2:$C$622,0)),"",INDEX('Compliance Database'!$F$2:$F$622,MATCH(354,Engine!$C$2:$C$622,0)))</f>
        <v/>
      </c>
      <c r="G367">
        <f>IF(ISNA(MATCH(354,Engine!$C$2:$C$622,0)),"",INDEX('Compliance Database'!$G$2:$G$622,MATCH(354,Engine!$C$2:$C$622,0)))</f>
        <v/>
      </c>
      <c r="H367">
        <f>IF(ISNA(MATCH(354,Engine!$C$2:$C$622,0)),"",INDEX('Compliance Database'!$H$2:$H$622,MATCH(354,Engine!$C$2:$C$622,0)))</f>
        <v/>
      </c>
      <c r="I367" s="8">
        <f>IF(ISNA(MATCH(354,Engine!$C$2:$C$622,0)),"",INDEX('Compliance Database'!$I$2:$I$622,MATCH(354,Engine!$C$2:$C$622,0)))</f>
        <v/>
      </c>
      <c r="J367" s="8">
        <f>IF(ISNA(MATCH(354,Engine!$C$2:$C$622,0)),"",INDEX('Compliance Database'!$J$2:$J$622,MATCH(354,Engine!$C$2:$C$622,0)))</f>
        <v/>
      </c>
      <c r="K367">
        <f>IF(ISNA(MATCH(354,Engine!$C$2:$C$622,0)),"",INDEX('Compliance Database'!$K$2:$K$622,MATCH(354,Engine!$C$2:$C$622,0)))</f>
        <v/>
      </c>
      <c r="L367" s="8">
        <f>IF(ISNA(MATCH(354,Engine!$C$2:$C$622,0)),"",INDEX('Compliance Database'!$L$2:$L$622,MATCH(354,Engine!$C$2:$C$622,0)))</f>
        <v/>
      </c>
      <c r="M367" s="8">
        <f>IF(ISNA(MATCH(354,Engine!$C$2:$C$622,0)),"",INDEX('Compliance Database'!$M$2:$M$622,MATCH(354,Engine!$C$2:$C$622,0)))</f>
        <v/>
      </c>
      <c r="N367" s="8">
        <f>IF(ISNA(MATCH(354,Engine!$C$2:$C$622,0)),"",INDEX('Compliance Database'!$N$2:$N$622,MATCH(354,Engine!$C$2:$C$622,0)))</f>
        <v/>
      </c>
      <c r="O367" s="8">
        <f>IF(ISNA(MATCH(354,Engine!$C$2:$C$622,0)),"",INDEX('Compliance Database'!$O$2:$O$622,MATCH(354,Engine!$C$2:$C$622,0)))</f>
        <v/>
      </c>
    </row>
    <row r="368">
      <c r="A368">
        <f>IF(ISNA(MATCH(355,Engine!$C$2:$C$622,0)),"",INDEX('Compliance Database'!$A$2:$A$622,MATCH(355,Engine!$C$2:$C$622,0)))</f>
        <v/>
      </c>
      <c r="B368">
        <f>IF(ISNA(MATCH(355,Engine!$C$2:$C$622,0)),"",INDEX('Compliance Database'!$B$2:$B$622,MATCH(355,Engine!$C$2:$C$622,0)))</f>
        <v/>
      </c>
      <c r="C368">
        <f>IF(ISNA(MATCH(355,Engine!$C$2:$C$622,0)),"",INDEX('Compliance Database'!$C$2:$C$622,MATCH(355,Engine!$C$2:$C$622,0)))</f>
        <v/>
      </c>
      <c r="D368" s="8">
        <f>IF(ISNA(MATCH(355,Engine!$C$2:$C$622,0)),"",INDEX('Compliance Database'!$D$2:$D$622,MATCH(355,Engine!$C$2:$C$622,0)))</f>
        <v/>
      </c>
      <c r="E368">
        <f>IF(ISNA(MATCH(355,Engine!$C$2:$C$622,0)),"",INDEX('Compliance Database'!$E$2:$E$622,MATCH(355,Engine!$C$2:$C$622,0)))</f>
        <v/>
      </c>
      <c r="F368">
        <f>IF(ISNA(MATCH(355,Engine!$C$2:$C$622,0)),"",INDEX('Compliance Database'!$F$2:$F$622,MATCH(355,Engine!$C$2:$C$622,0)))</f>
        <v/>
      </c>
      <c r="G368">
        <f>IF(ISNA(MATCH(355,Engine!$C$2:$C$622,0)),"",INDEX('Compliance Database'!$G$2:$G$622,MATCH(355,Engine!$C$2:$C$622,0)))</f>
        <v/>
      </c>
      <c r="H368">
        <f>IF(ISNA(MATCH(355,Engine!$C$2:$C$622,0)),"",INDEX('Compliance Database'!$H$2:$H$622,MATCH(355,Engine!$C$2:$C$622,0)))</f>
        <v/>
      </c>
      <c r="I368" s="8">
        <f>IF(ISNA(MATCH(355,Engine!$C$2:$C$622,0)),"",INDEX('Compliance Database'!$I$2:$I$622,MATCH(355,Engine!$C$2:$C$622,0)))</f>
        <v/>
      </c>
      <c r="J368" s="8">
        <f>IF(ISNA(MATCH(355,Engine!$C$2:$C$622,0)),"",INDEX('Compliance Database'!$J$2:$J$622,MATCH(355,Engine!$C$2:$C$622,0)))</f>
        <v/>
      </c>
      <c r="K368">
        <f>IF(ISNA(MATCH(355,Engine!$C$2:$C$622,0)),"",INDEX('Compliance Database'!$K$2:$K$622,MATCH(355,Engine!$C$2:$C$622,0)))</f>
        <v/>
      </c>
      <c r="L368" s="8">
        <f>IF(ISNA(MATCH(355,Engine!$C$2:$C$622,0)),"",INDEX('Compliance Database'!$L$2:$L$622,MATCH(355,Engine!$C$2:$C$622,0)))</f>
        <v/>
      </c>
      <c r="M368" s="8">
        <f>IF(ISNA(MATCH(355,Engine!$C$2:$C$622,0)),"",INDEX('Compliance Database'!$M$2:$M$622,MATCH(355,Engine!$C$2:$C$622,0)))</f>
        <v/>
      </c>
      <c r="N368" s="8">
        <f>IF(ISNA(MATCH(355,Engine!$C$2:$C$622,0)),"",INDEX('Compliance Database'!$N$2:$N$622,MATCH(355,Engine!$C$2:$C$622,0)))</f>
        <v/>
      </c>
      <c r="O368" s="8">
        <f>IF(ISNA(MATCH(355,Engine!$C$2:$C$622,0)),"",INDEX('Compliance Database'!$O$2:$O$622,MATCH(355,Engine!$C$2:$C$622,0)))</f>
        <v/>
      </c>
    </row>
    <row r="369">
      <c r="A369">
        <f>IF(ISNA(MATCH(356,Engine!$C$2:$C$622,0)),"",INDEX('Compliance Database'!$A$2:$A$622,MATCH(356,Engine!$C$2:$C$622,0)))</f>
        <v/>
      </c>
      <c r="B369">
        <f>IF(ISNA(MATCH(356,Engine!$C$2:$C$622,0)),"",INDEX('Compliance Database'!$B$2:$B$622,MATCH(356,Engine!$C$2:$C$622,0)))</f>
        <v/>
      </c>
      <c r="C369">
        <f>IF(ISNA(MATCH(356,Engine!$C$2:$C$622,0)),"",INDEX('Compliance Database'!$C$2:$C$622,MATCH(356,Engine!$C$2:$C$622,0)))</f>
        <v/>
      </c>
      <c r="D369" s="8">
        <f>IF(ISNA(MATCH(356,Engine!$C$2:$C$622,0)),"",INDEX('Compliance Database'!$D$2:$D$622,MATCH(356,Engine!$C$2:$C$622,0)))</f>
        <v/>
      </c>
      <c r="E369">
        <f>IF(ISNA(MATCH(356,Engine!$C$2:$C$622,0)),"",INDEX('Compliance Database'!$E$2:$E$622,MATCH(356,Engine!$C$2:$C$622,0)))</f>
        <v/>
      </c>
      <c r="F369">
        <f>IF(ISNA(MATCH(356,Engine!$C$2:$C$622,0)),"",INDEX('Compliance Database'!$F$2:$F$622,MATCH(356,Engine!$C$2:$C$622,0)))</f>
        <v/>
      </c>
      <c r="G369">
        <f>IF(ISNA(MATCH(356,Engine!$C$2:$C$622,0)),"",INDEX('Compliance Database'!$G$2:$G$622,MATCH(356,Engine!$C$2:$C$622,0)))</f>
        <v/>
      </c>
      <c r="H369">
        <f>IF(ISNA(MATCH(356,Engine!$C$2:$C$622,0)),"",INDEX('Compliance Database'!$H$2:$H$622,MATCH(356,Engine!$C$2:$C$622,0)))</f>
        <v/>
      </c>
      <c r="I369" s="8">
        <f>IF(ISNA(MATCH(356,Engine!$C$2:$C$622,0)),"",INDEX('Compliance Database'!$I$2:$I$622,MATCH(356,Engine!$C$2:$C$622,0)))</f>
        <v/>
      </c>
      <c r="J369" s="8">
        <f>IF(ISNA(MATCH(356,Engine!$C$2:$C$622,0)),"",INDEX('Compliance Database'!$J$2:$J$622,MATCH(356,Engine!$C$2:$C$622,0)))</f>
        <v/>
      </c>
      <c r="K369">
        <f>IF(ISNA(MATCH(356,Engine!$C$2:$C$622,0)),"",INDEX('Compliance Database'!$K$2:$K$622,MATCH(356,Engine!$C$2:$C$622,0)))</f>
        <v/>
      </c>
      <c r="L369" s="8">
        <f>IF(ISNA(MATCH(356,Engine!$C$2:$C$622,0)),"",INDEX('Compliance Database'!$L$2:$L$622,MATCH(356,Engine!$C$2:$C$622,0)))</f>
        <v/>
      </c>
      <c r="M369" s="8">
        <f>IF(ISNA(MATCH(356,Engine!$C$2:$C$622,0)),"",INDEX('Compliance Database'!$M$2:$M$622,MATCH(356,Engine!$C$2:$C$622,0)))</f>
        <v/>
      </c>
      <c r="N369" s="8">
        <f>IF(ISNA(MATCH(356,Engine!$C$2:$C$622,0)),"",INDEX('Compliance Database'!$N$2:$N$622,MATCH(356,Engine!$C$2:$C$622,0)))</f>
        <v/>
      </c>
      <c r="O369" s="8">
        <f>IF(ISNA(MATCH(356,Engine!$C$2:$C$622,0)),"",INDEX('Compliance Database'!$O$2:$O$622,MATCH(356,Engine!$C$2:$C$622,0)))</f>
        <v/>
      </c>
    </row>
    <row r="370">
      <c r="A370">
        <f>IF(ISNA(MATCH(357,Engine!$C$2:$C$622,0)),"",INDEX('Compliance Database'!$A$2:$A$622,MATCH(357,Engine!$C$2:$C$622,0)))</f>
        <v/>
      </c>
      <c r="B370">
        <f>IF(ISNA(MATCH(357,Engine!$C$2:$C$622,0)),"",INDEX('Compliance Database'!$B$2:$B$622,MATCH(357,Engine!$C$2:$C$622,0)))</f>
        <v/>
      </c>
      <c r="C370">
        <f>IF(ISNA(MATCH(357,Engine!$C$2:$C$622,0)),"",INDEX('Compliance Database'!$C$2:$C$622,MATCH(357,Engine!$C$2:$C$622,0)))</f>
        <v/>
      </c>
      <c r="D370" s="8">
        <f>IF(ISNA(MATCH(357,Engine!$C$2:$C$622,0)),"",INDEX('Compliance Database'!$D$2:$D$622,MATCH(357,Engine!$C$2:$C$622,0)))</f>
        <v/>
      </c>
      <c r="E370">
        <f>IF(ISNA(MATCH(357,Engine!$C$2:$C$622,0)),"",INDEX('Compliance Database'!$E$2:$E$622,MATCH(357,Engine!$C$2:$C$622,0)))</f>
        <v/>
      </c>
      <c r="F370">
        <f>IF(ISNA(MATCH(357,Engine!$C$2:$C$622,0)),"",INDEX('Compliance Database'!$F$2:$F$622,MATCH(357,Engine!$C$2:$C$622,0)))</f>
        <v/>
      </c>
      <c r="G370">
        <f>IF(ISNA(MATCH(357,Engine!$C$2:$C$622,0)),"",INDEX('Compliance Database'!$G$2:$G$622,MATCH(357,Engine!$C$2:$C$622,0)))</f>
        <v/>
      </c>
      <c r="H370">
        <f>IF(ISNA(MATCH(357,Engine!$C$2:$C$622,0)),"",INDEX('Compliance Database'!$H$2:$H$622,MATCH(357,Engine!$C$2:$C$622,0)))</f>
        <v/>
      </c>
      <c r="I370" s="8">
        <f>IF(ISNA(MATCH(357,Engine!$C$2:$C$622,0)),"",INDEX('Compliance Database'!$I$2:$I$622,MATCH(357,Engine!$C$2:$C$622,0)))</f>
        <v/>
      </c>
      <c r="J370" s="8">
        <f>IF(ISNA(MATCH(357,Engine!$C$2:$C$622,0)),"",INDEX('Compliance Database'!$J$2:$J$622,MATCH(357,Engine!$C$2:$C$622,0)))</f>
        <v/>
      </c>
      <c r="K370">
        <f>IF(ISNA(MATCH(357,Engine!$C$2:$C$622,0)),"",INDEX('Compliance Database'!$K$2:$K$622,MATCH(357,Engine!$C$2:$C$622,0)))</f>
        <v/>
      </c>
      <c r="L370" s="8">
        <f>IF(ISNA(MATCH(357,Engine!$C$2:$C$622,0)),"",INDEX('Compliance Database'!$L$2:$L$622,MATCH(357,Engine!$C$2:$C$622,0)))</f>
        <v/>
      </c>
      <c r="M370" s="8">
        <f>IF(ISNA(MATCH(357,Engine!$C$2:$C$622,0)),"",INDEX('Compliance Database'!$M$2:$M$622,MATCH(357,Engine!$C$2:$C$622,0)))</f>
        <v/>
      </c>
      <c r="N370" s="8">
        <f>IF(ISNA(MATCH(357,Engine!$C$2:$C$622,0)),"",INDEX('Compliance Database'!$N$2:$N$622,MATCH(357,Engine!$C$2:$C$622,0)))</f>
        <v/>
      </c>
      <c r="O370" s="8">
        <f>IF(ISNA(MATCH(357,Engine!$C$2:$C$622,0)),"",INDEX('Compliance Database'!$O$2:$O$622,MATCH(357,Engine!$C$2:$C$622,0)))</f>
        <v/>
      </c>
    </row>
    <row r="371">
      <c r="A371">
        <f>IF(ISNA(MATCH(358,Engine!$C$2:$C$622,0)),"",INDEX('Compliance Database'!$A$2:$A$622,MATCH(358,Engine!$C$2:$C$622,0)))</f>
        <v/>
      </c>
      <c r="B371">
        <f>IF(ISNA(MATCH(358,Engine!$C$2:$C$622,0)),"",INDEX('Compliance Database'!$B$2:$B$622,MATCH(358,Engine!$C$2:$C$622,0)))</f>
        <v/>
      </c>
      <c r="C371">
        <f>IF(ISNA(MATCH(358,Engine!$C$2:$C$622,0)),"",INDEX('Compliance Database'!$C$2:$C$622,MATCH(358,Engine!$C$2:$C$622,0)))</f>
        <v/>
      </c>
      <c r="D371" s="8">
        <f>IF(ISNA(MATCH(358,Engine!$C$2:$C$622,0)),"",INDEX('Compliance Database'!$D$2:$D$622,MATCH(358,Engine!$C$2:$C$622,0)))</f>
        <v/>
      </c>
      <c r="E371">
        <f>IF(ISNA(MATCH(358,Engine!$C$2:$C$622,0)),"",INDEX('Compliance Database'!$E$2:$E$622,MATCH(358,Engine!$C$2:$C$622,0)))</f>
        <v/>
      </c>
      <c r="F371">
        <f>IF(ISNA(MATCH(358,Engine!$C$2:$C$622,0)),"",INDEX('Compliance Database'!$F$2:$F$622,MATCH(358,Engine!$C$2:$C$622,0)))</f>
        <v/>
      </c>
      <c r="G371">
        <f>IF(ISNA(MATCH(358,Engine!$C$2:$C$622,0)),"",INDEX('Compliance Database'!$G$2:$G$622,MATCH(358,Engine!$C$2:$C$622,0)))</f>
        <v/>
      </c>
      <c r="H371">
        <f>IF(ISNA(MATCH(358,Engine!$C$2:$C$622,0)),"",INDEX('Compliance Database'!$H$2:$H$622,MATCH(358,Engine!$C$2:$C$622,0)))</f>
        <v/>
      </c>
      <c r="I371" s="8">
        <f>IF(ISNA(MATCH(358,Engine!$C$2:$C$622,0)),"",INDEX('Compliance Database'!$I$2:$I$622,MATCH(358,Engine!$C$2:$C$622,0)))</f>
        <v/>
      </c>
      <c r="J371" s="8">
        <f>IF(ISNA(MATCH(358,Engine!$C$2:$C$622,0)),"",INDEX('Compliance Database'!$J$2:$J$622,MATCH(358,Engine!$C$2:$C$622,0)))</f>
        <v/>
      </c>
      <c r="K371">
        <f>IF(ISNA(MATCH(358,Engine!$C$2:$C$622,0)),"",INDEX('Compliance Database'!$K$2:$K$622,MATCH(358,Engine!$C$2:$C$622,0)))</f>
        <v/>
      </c>
      <c r="L371" s="8">
        <f>IF(ISNA(MATCH(358,Engine!$C$2:$C$622,0)),"",INDEX('Compliance Database'!$L$2:$L$622,MATCH(358,Engine!$C$2:$C$622,0)))</f>
        <v/>
      </c>
      <c r="M371" s="8">
        <f>IF(ISNA(MATCH(358,Engine!$C$2:$C$622,0)),"",INDEX('Compliance Database'!$M$2:$M$622,MATCH(358,Engine!$C$2:$C$622,0)))</f>
        <v/>
      </c>
      <c r="N371" s="8">
        <f>IF(ISNA(MATCH(358,Engine!$C$2:$C$622,0)),"",INDEX('Compliance Database'!$N$2:$N$622,MATCH(358,Engine!$C$2:$C$622,0)))</f>
        <v/>
      </c>
      <c r="O371" s="8">
        <f>IF(ISNA(MATCH(358,Engine!$C$2:$C$622,0)),"",INDEX('Compliance Database'!$O$2:$O$622,MATCH(358,Engine!$C$2:$C$622,0)))</f>
        <v/>
      </c>
    </row>
    <row r="372">
      <c r="A372">
        <f>IF(ISNA(MATCH(359,Engine!$C$2:$C$622,0)),"",INDEX('Compliance Database'!$A$2:$A$622,MATCH(359,Engine!$C$2:$C$622,0)))</f>
        <v/>
      </c>
      <c r="B372">
        <f>IF(ISNA(MATCH(359,Engine!$C$2:$C$622,0)),"",INDEX('Compliance Database'!$B$2:$B$622,MATCH(359,Engine!$C$2:$C$622,0)))</f>
        <v/>
      </c>
      <c r="C372">
        <f>IF(ISNA(MATCH(359,Engine!$C$2:$C$622,0)),"",INDEX('Compliance Database'!$C$2:$C$622,MATCH(359,Engine!$C$2:$C$622,0)))</f>
        <v/>
      </c>
      <c r="D372" s="8">
        <f>IF(ISNA(MATCH(359,Engine!$C$2:$C$622,0)),"",INDEX('Compliance Database'!$D$2:$D$622,MATCH(359,Engine!$C$2:$C$622,0)))</f>
        <v/>
      </c>
      <c r="E372">
        <f>IF(ISNA(MATCH(359,Engine!$C$2:$C$622,0)),"",INDEX('Compliance Database'!$E$2:$E$622,MATCH(359,Engine!$C$2:$C$622,0)))</f>
        <v/>
      </c>
      <c r="F372">
        <f>IF(ISNA(MATCH(359,Engine!$C$2:$C$622,0)),"",INDEX('Compliance Database'!$F$2:$F$622,MATCH(359,Engine!$C$2:$C$622,0)))</f>
        <v/>
      </c>
      <c r="G372">
        <f>IF(ISNA(MATCH(359,Engine!$C$2:$C$622,0)),"",INDEX('Compliance Database'!$G$2:$G$622,MATCH(359,Engine!$C$2:$C$622,0)))</f>
        <v/>
      </c>
      <c r="H372">
        <f>IF(ISNA(MATCH(359,Engine!$C$2:$C$622,0)),"",INDEX('Compliance Database'!$H$2:$H$622,MATCH(359,Engine!$C$2:$C$622,0)))</f>
        <v/>
      </c>
      <c r="I372" s="8">
        <f>IF(ISNA(MATCH(359,Engine!$C$2:$C$622,0)),"",INDEX('Compliance Database'!$I$2:$I$622,MATCH(359,Engine!$C$2:$C$622,0)))</f>
        <v/>
      </c>
      <c r="J372" s="8">
        <f>IF(ISNA(MATCH(359,Engine!$C$2:$C$622,0)),"",INDEX('Compliance Database'!$J$2:$J$622,MATCH(359,Engine!$C$2:$C$622,0)))</f>
        <v/>
      </c>
      <c r="K372">
        <f>IF(ISNA(MATCH(359,Engine!$C$2:$C$622,0)),"",INDEX('Compliance Database'!$K$2:$K$622,MATCH(359,Engine!$C$2:$C$622,0)))</f>
        <v/>
      </c>
      <c r="L372" s="8">
        <f>IF(ISNA(MATCH(359,Engine!$C$2:$C$622,0)),"",INDEX('Compliance Database'!$L$2:$L$622,MATCH(359,Engine!$C$2:$C$622,0)))</f>
        <v/>
      </c>
      <c r="M372" s="8">
        <f>IF(ISNA(MATCH(359,Engine!$C$2:$C$622,0)),"",INDEX('Compliance Database'!$M$2:$M$622,MATCH(359,Engine!$C$2:$C$622,0)))</f>
        <v/>
      </c>
      <c r="N372" s="8">
        <f>IF(ISNA(MATCH(359,Engine!$C$2:$C$622,0)),"",INDEX('Compliance Database'!$N$2:$N$622,MATCH(359,Engine!$C$2:$C$622,0)))</f>
        <v/>
      </c>
      <c r="O372" s="8">
        <f>IF(ISNA(MATCH(359,Engine!$C$2:$C$622,0)),"",INDEX('Compliance Database'!$O$2:$O$622,MATCH(359,Engine!$C$2:$C$622,0)))</f>
        <v/>
      </c>
    </row>
    <row r="373">
      <c r="A373">
        <f>IF(ISNA(MATCH(360,Engine!$C$2:$C$622,0)),"",INDEX('Compliance Database'!$A$2:$A$622,MATCH(360,Engine!$C$2:$C$622,0)))</f>
        <v/>
      </c>
      <c r="B373">
        <f>IF(ISNA(MATCH(360,Engine!$C$2:$C$622,0)),"",INDEX('Compliance Database'!$B$2:$B$622,MATCH(360,Engine!$C$2:$C$622,0)))</f>
        <v/>
      </c>
      <c r="C373">
        <f>IF(ISNA(MATCH(360,Engine!$C$2:$C$622,0)),"",INDEX('Compliance Database'!$C$2:$C$622,MATCH(360,Engine!$C$2:$C$622,0)))</f>
        <v/>
      </c>
      <c r="D373" s="8">
        <f>IF(ISNA(MATCH(360,Engine!$C$2:$C$622,0)),"",INDEX('Compliance Database'!$D$2:$D$622,MATCH(360,Engine!$C$2:$C$622,0)))</f>
        <v/>
      </c>
      <c r="E373">
        <f>IF(ISNA(MATCH(360,Engine!$C$2:$C$622,0)),"",INDEX('Compliance Database'!$E$2:$E$622,MATCH(360,Engine!$C$2:$C$622,0)))</f>
        <v/>
      </c>
      <c r="F373">
        <f>IF(ISNA(MATCH(360,Engine!$C$2:$C$622,0)),"",INDEX('Compliance Database'!$F$2:$F$622,MATCH(360,Engine!$C$2:$C$622,0)))</f>
        <v/>
      </c>
      <c r="G373">
        <f>IF(ISNA(MATCH(360,Engine!$C$2:$C$622,0)),"",INDEX('Compliance Database'!$G$2:$G$622,MATCH(360,Engine!$C$2:$C$622,0)))</f>
        <v/>
      </c>
      <c r="H373">
        <f>IF(ISNA(MATCH(360,Engine!$C$2:$C$622,0)),"",INDEX('Compliance Database'!$H$2:$H$622,MATCH(360,Engine!$C$2:$C$622,0)))</f>
        <v/>
      </c>
      <c r="I373" s="8">
        <f>IF(ISNA(MATCH(360,Engine!$C$2:$C$622,0)),"",INDEX('Compliance Database'!$I$2:$I$622,MATCH(360,Engine!$C$2:$C$622,0)))</f>
        <v/>
      </c>
      <c r="J373" s="8">
        <f>IF(ISNA(MATCH(360,Engine!$C$2:$C$622,0)),"",INDEX('Compliance Database'!$J$2:$J$622,MATCH(360,Engine!$C$2:$C$622,0)))</f>
        <v/>
      </c>
      <c r="K373">
        <f>IF(ISNA(MATCH(360,Engine!$C$2:$C$622,0)),"",INDEX('Compliance Database'!$K$2:$K$622,MATCH(360,Engine!$C$2:$C$622,0)))</f>
        <v/>
      </c>
      <c r="L373" s="8">
        <f>IF(ISNA(MATCH(360,Engine!$C$2:$C$622,0)),"",INDEX('Compliance Database'!$L$2:$L$622,MATCH(360,Engine!$C$2:$C$622,0)))</f>
        <v/>
      </c>
      <c r="M373" s="8">
        <f>IF(ISNA(MATCH(360,Engine!$C$2:$C$622,0)),"",INDEX('Compliance Database'!$M$2:$M$622,MATCH(360,Engine!$C$2:$C$622,0)))</f>
        <v/>
      </c>
      <c r="N373" s="8">
        <f>IF(ISNA(MATCH(360,Engine!$C$2:$C$622,0)),"",INDEX('Compliance Database'!$N$2:$N$622,MATCH(360,Engine!$C$2:$C$622,0)))</f>
        <v/>
      </c>
      <c r="O373" s="8">
        <f>IF(ISNA(MATCH(360,Engine!$C$2:$C$622,0)),"",INDEX('Compliance Database'!$O$2:$O$622,MATCH(360,Engine!$C$2:$C$622,0)))</f>
        <v/>
      </c>
    </row>
    <row r="374">
      <c r="A374">
        <f>IF(ISNA(MATCH(361,Engine!$C$2:$C$622,0)),"",INDEX('Compliance Database'!$A$2:$A$622,MATCH(361,Engine!$C$2:$C$622,0)))</f>
        <v/>
      </c>
      <c r="B374">
        <f>IF(ISNA(MATCH(361,Engine!$C$2:$C$622,0)),"",INDEX('Compliance Database'!$B$2:$B$622,MATCH(361,Engine!$C$2:$C$622,0)))</f>
        <v/>
      </c>
      <c r="C374">
        <f>IF(ISNA(MATCH(361,Engine!$C$2:$C$622,0)),"",INDEX('Compliance Database'!$C$2:$C$622,MATCH(361,Engine!$C$2:$C$622,0)))</f>
        <v/>
      </c>
      <c r="D374" s="8">
        <f>IF(ISNA(MATCH(361,Engine!$C$2:$C$622,0)),"",INDEX('Compliance Database'!$D$2:$D$622,MATCH(361,Engine!$C$2:$C$622,0)))</f>
        <v/>
      </c>
      <c r="E374">
        <f>IF(ISNA(MATCH(361,Engine!$C$2:$C$622,0)),"",INDEX('Compliance Database'!$E$2:$E$622,MATCH(361,Engine!$C$2:$C$622,0)))</f>
        <v/>
      </c>
      <c r="F374">
        <f>IF(ISNA(MATCH(361,Engine!$C$2:$C$622,0)),"",INDEX('Compliance Database'!$F$2:$F$622,MATCH(361,Engine!$C$2:$C$622,0)))</f>
        <v/>
      </c>
      <c r="G374">
        <f>IF(ISNA(MATCH(361,Engine!$C$2:$C$622,0)),"",INDEX('Compliance Database'!$G$2:$G$622,MATCH(361,Engine!$C$2:$C$622,0)))</f>
        <v/>
      </c>
      <c r="H374">
        <f>IF(ISNA(MATCH(361,Engine!$C$2:$C$622,0)),"",INDEX('Compliance Database'!$H$2:$H$622,MATCH(361,Engine!$C$2:$C$622,0)))</f>
        <v/>
      </c>
      <c r="I374" s="8">
        <f>IF(ISNA(MATCH(361,Engine!$C$2:$C$622,0)),"",INDEX('Compliance Database'!$I$2:$I$622,MATCH(361,Engine!$C$2:$C$622,0)))</f>
        <v/>
      </c>
      <c r="J374" s="8">
        <f>IF(ISNA(MATCH(361,Engine!$C$2:$C$622,0)),"",INDEX('Compliance Database'!$J$2:$J$622,MATCH(361,Engine!$C$2:$C$622,0)))</f>
        <v/>
      </c>
      <c r="K374">
        <f>IF(ISNA(MATCH(361,Engine!$C$2:$C$622,0)),"",INDEX('Compliance Database'!$K$2:$K$622,MATCH(361,Engine!$C$2:$C$622,0)))</f>
        <v/>
      </c>
      <c r="L374" s="8">
        <f>IF(ISNA(MATCH(361,Engine!$C$2:$C$622,0)),"",INDEX('Compliance Database'!$L$2:$L$622,MATCH(361,Engine!$C$2:$C$622,0)))</f>
        <v/>
      </c>
      <c r="M374" s="8">
        <f>IF(ISNA(MATCH(361,Engine!$C$2:$C$622,0)),"",INDEX('Compliance Database'!$M$2:$M$622,MATCH(361,Engine!$C$2:$C$622,0)))</f>
        <v/>
      </c>
      <c r="N374" s="8">
        <f>IF(ISNA(MATCH(361,Engine!$C$2:$C$622,0)),"",INDEX('Compliance Database'!$N$2:$N$622,MATCH(361,Engine!$C$2:$C$622,0)))</f>
        <v/>
      </c>
      <c r="O374" s="8">
        <f>IF(ISNA(MATCH(361,Engine!$C$2:$C$622,0)),"",INDEX('Compliance Database'!$O$2:$O$622,MATCH(361,Engine!$C$2:$C$622,0)))</f>
        <v/>
      </c>
    </row>
    <row r="375">
      <c r="A375">
        <f>IF(ISNA(MATCH(362,Engine!$C$2:$C$622,0)),"",INDEX('Compliance Database'!$A$2:$A$622,MATCH(362,Engine!$C$2:$C$622,0)))</f>
        <v/>
      </c>
      <c r="B375">
        <f>IF(ISNA(MATCH(362,Engine!$C$2:$C$622,0)),"",INDEX('Compliance Database'!$B$2:$B$622,MATCH(362,Engine!$C$2:$C$622,0)))</f>
        <v/>
      </c>
      <c r="C375">
        <f>IF(ISNA(MATCH(362,Engine!$C$2:$C$622,0)),"",INDEX('Compliance Database'!$C$2:$C$622,MATCH(362,Engine!$C$2:$C$622,0)))</f>
        <v/>
      </c>
      <c r="D375" s="8">
        <f>IF(ISNA(MATCH(362,Engine!$C$2:$C$622,0)),"",INDEX('Compliance Database'!$D$2:$D$622,MATCH(362,Engine!$C$2:$C$622,0)))</f>
        <v/>
      </c>
      <c r="E375">
        <f>IF(ISNA(MATCH(362,Engine!$C$2:$C$622,0)),"",INDEX('Compliance Database'!$E$2:$E$622,MATCH(362,Engine!$C$2:$C$622,0)))</f>
        <v/>
      </c>
      <c r="F375">
        <f>IF(ISNA(MATCH(362,Engine!$C$2:$C$622,0)),"",INDEX('Compliance Database'!$F$2:$F$622,MATCH(362,Engine!$C$2:$C$622,0)))</f>
        <v/>
      </c>
      <c r="G375">
        <f>IF(ISNA(MATCH(362,Engine!$C$2:$C$622,0)),"",INDEX('Compliance Database'!$G$2:$G$622,MATCH(362,Engine!$C$2:$C$622,0)))</f>
        <v/>
      </c>
      <c r="H375">
        <f>IF(ISNA(MATCH(362,Engine!$C$2:$C$622,0)),"",INDEX('Compliance Database'!$H$2:$H$622,MATCH(362,Engine!$C$2:$C$622,0)))</f>
        <v/>
      </c>
      <c r="I375" s="8">
        <f>IF(ISNA(MATCH(362,Engine!$C$2:$C$622,0)),"",INDEX('Compliance Database'!$I$2:$I$622,MATCH(362,Engine!$C$2:$C$622,0)))</f>
        <v/>
      </c>
      <c r="J375" s="8">
        <f>IF(ISNA(MATCH(362,Engine!$C$2:$C$622,0)),"",INDEX('Compliance Database'!$J$2:$J$622,MATCH(362,Engine!$C$2:$C$622,0)))</f>
        <v/>
      </c>
      <c r="K375">
        <f>IF(ISNA(MATCH(362,Engine!$C$2:$C$622,0)),"",INDEX('Compliance Database'!$K$2:$K$622,MATCH(362,Engine!$C$2:$C$622,0)))</f>
        <v/>
      </c>
      <c r="L375" s="8">
        <f>IF(ISNA(MATCH(362,Engine!$C$2:$C$622,0)),"",INDEX('Compliance Database'!$L$2:$L$622,MATCH(362,Engine!$C$2:$C$622,0)))</f>
        <v/>
      </c>
      <c r="M375" s="8">
        <f>IF(ISNA(MATCH(362,Engine!$C$2:$C$622,0)),"",INDEX('Compliance Database'!$M$2:$M$622,MATCH(362,Engine!$C$2:$C$622,0)))</f>
        <v/>
      </c>
      <c r="N375" s="8">
        <f>IF(ISNA(MATCH(362,Engine!$C$2:$C$622,0)),"",INDEX('Compliance Database'!$N$2:$N$622,MATCH(362,Engine!$C$2:$C$622,0)))</f>
        <v/>
      </c>
      <c r="O375" s="8">
        <f>IF(ISNA(MATCH(362,Engine!$C$2:$C$622,0)),"",INDEX('Compliance Database'!$O$2:$O$622,MATCH(362,Engine!$C$2:$C$622,0)))</f>
        <v/>
      </c>
    </row>
    <row r="376">
      <c r="A376">
        <f>IF(ISNA(MATCH(363,Engine!$C$2:$C$622,0)),"",INDEX('Compliance Database'!$A$2:$A$622,MATCH(363,Engine!$C$2:$C$622,0)))</f>
        <v/>
      </c>
      <c r="B376">
        <f>IF(ISNA(MATCH(363,Engine!$C$2:$C$622,0)),"",INDEX('Compliance Database'!$B$2:$B$622,MATCH(363,Engine!$C$2:$C$622,0)))</f>
        <v/>
      </c>
      <c r="C376">
        <f>IF(ISNA(MATCH(363,Engine!$C$2:$C$622,0)),"",INDEX('Compliance Database'!$C$2:$C$622,MATCH(363,Engine!$C$2:$C$622,0)))</f>
        <v/>
      </c>
      <c r="D376" s="8">
        <f>IF(ISNA(MATCH(363,Engine!$C$2:$C$622,0)),"",INDEX('Compliance Database'!$D$2:$D$622,MATCH(363,Engine!$C$2:$C$622,0)))</f>
        <v/>
      </c>
      <c r="E376">
        <f>IF(ISNA(MATCH(363,Engine!$C$2:$C$622,0)),"",INDEX('Compliance Database'!$E$2:$E$622,MATCH(363,Engine!$C$2:$C$622,0)))</f>
        <v/>
      </c>
      <c r="F376">
        <f>IF(ISNA(MATCH(363,Engine!$C$2:$C$622,0)),"",INDEX('Compliance Database'!$F$2:$F$622,MATCH(363,Engine!$C$2:$C$622,0)))</f>
        <v/>
      </c>
      <c r="G376">
        <f>IF(ISNA(MATCH(363,Engine!$C$2:$C$622,0)),"",INDEX('Compliance Database'!$G$2:$G$622,MATCH(363,Engine!$C$2:$C$622,0)))</f>
        <v/>
      </c>
      <c r="H376">
        <f>IF(ISNA(MATCH(363,Engine!$C$2:$C$622,0)),"",INDEX('Compliance Database'!$H$2:$H$622,MATCH(363,Engine!$C$2:$C$622,0)))</f>
        <v/>
      </c>
      <c r="I376" s="8">
        <f>IF(ISNA(MATCH(363,Engine!$C$2:$C$622,0)),"",INDEX('Compliance Database'!$I$2:$I$622,MATCH(363,Engine!$C$2:$C$622,0)))</f>
        <v/>
      </c>
      <c r="J376" s="8">
        <f>IF(ISNA(MATCH(363,Engine!$C$2:$C$622,0)),"",INDEX('Compliance Database'!$J$2:$J$622,MATCH(363,Engine!$C$2:$C$622,0)))</f>
        <v/>
      </c>
      <c r="K376">
        <f>IF(ISNA(MATCH(363,Engine!$C$2:$C$622,0)),"",INDEX('Compliance Database'!$K$2:$K$622,MATCH(363,Engine!$C$2:$C$622,0)))</f>
        <v/>
      </c>
      <c r="L376" s="8">
        <f>IF(ISNA(MATCH(363,Engine!$C$2:$C$622,0)),"",INDEX('Compliance Database'!$L$2:$L$622,MATCH(363,Engine!$C$2:$C$622,0)))</f>
        <v/>
      </c>
      <c r="M376" s="8">
        <f>IF(ISNA(MATCH(363,Engine!$C$2:$C$622,0)),"",INDEX('Compliance Database'!$M$2:$M$622,MATCH(363,Engine!$C$2:$C$622,0)))</f>
        <v/>
      </c>
      <c r="N376" s="8">
        <f>IF(ISNA(MATCH(363,Engine!$C$2:$C$622,0)),"",INDEX('Compliance Database'!$N$2:$N$622,MATCH(363,Engine!$C$2:$C$622,0)))</f>
        <v/>
      </c>
      <c r="O376" s="8">
        <f>IF(ISNA(MATCH(363,Engine!$C$2:$C$622,0)),"",INDEX('Compliance Database'!$O$2:$O$622,MATCH(363,Engine!$C$2:$C$622,0)))</f>
        <v/>
      </c>
    </row>
    <row r="377">
      <c r="A377">
        <f>IF(ISNA(MATCH(364,Engine!$C$2:$C$622,0)),"",INDEX('Compliance Database'!$A$2:$A$622,MATCH(364,Engine!$C$2:$C$622,0)))</f>
        <v/>
      </c>
      <c r="B377">
        <f>IF(ISNA(MATCH(364,Engine!$C$2:$C$622,0)),"",INDEX('Compliance Database'!$B$2:$B$622,MATCH(364,Engine!$C$2:$C$622,0)))</f>
        <v/>
      </c>
      <c r="C377">
        <f>IF(ISNA(MATCH(364,Engine!$C$2:$C$622,0)),"",INDEX('Compliance Database'!$C$2:$C$622,MATCH(364,Engine!$C$2:$C$622,0)))</f>
        <v/>
      </c>
      <c r="D377" s="8">
        <f>IF(ISNA(MATCH(364,Engine!$C$2:$C$622,0)),"",INDEX('Compliance Database'!$D$2:$D$622,MATCH(364,Engine!$C$2:$C$622,0)))</f>
        <v/>
      </c>
      <c r="E377">
        <f>IF(ISNA(MATCH(364,Engine!$C$2:$C$622,0)),"",INDEX('Compliance Database'!$E$2:$E$622,MATCH(364,Engine!$C$2:$C$622,0)))</f>
        <v/>
      </c>
      <c r="F377">
        <f>IF(ISNA(MATCH(364,Engine!$C$2:$C$622,0)),"",INDEX('Compliance Database'!$F$2:$F$622,MATCH(364,Engine!$C$2:$C$622,0)))</f>
        <v/>
      </c>
      <c r="G377">
        <f>IF(ISNA(MATCH(364,Engine!$C$2:$C$622,0)),"",INDEX('Compliance Database'!$G$2:$G$622,MATCH(364,Engine!$C$2:$C$622,0)))</f>
        <v/>
      </c>
      <c r="H377">
        <f>IF(ISNA(MATCH(364,Engine!$C$2:$C$622,0)),"",INDEX('Compliance Database'!$H$2:$H$622,MATCH(364,Engine!$C$2:$C$622,0)))</f>
        <v/>
      </c>
      <c r="I377" s="8">
        <f>IF(ISNA(MATCH(364,Engine!$C$2:$C$622,0)),"",INDEX('Compliance Database'!$I$2:$I$622,MATCH(364,Engine!$C$2:$C$622,0)))</f>
        <v/>
      </c>
      <c r="J377" s="8">
        <f>IF(ISNA(MATCH(364,Engine!$C$2:$C$622,0)),"",INDEX('Compliance Database'!$J$2:$J$622,MATCH(364,Engine!$C$2:$C$622,0)))</f>
        <v/>
      </c>
      <c r="K377">
        <f>IF(ISNA(MATCH(364,Engine!$C$2:$C$622,0)),"",INDEX('Compliance Database'!$K$2:$K$622,MATCH(364,Engine!$C$2:$C$622,0)))</f>
        <v/>
      </c>
      <c r="L377" s="8">
        <f>IF(ISNA(MATCH(364,Engine!$C$2:$C$622,0)),"",INDEX('Compliance Database'!$L$2:$L$622,MATCH(364,Engine!$C$2:$C$622,0)))</f>
        <v/>
      </c>
      <c r="M377" s="8">
        <f>IF(ISNA(MATCH(364,Engine!$C$2:$C$622,0)),"",INDEX('Compliance Database'!$M$2:$M$622,MATCH(364,Engine!$C$2:$C$622,0)))</f>
        <v/>
      </c>
      <c r="N377" s="8">
        <f>IF(ISNA(MATCH(364,Engine!$C$2:$C$622,0)),"",INDEX('Compliance Database'!$N$2:$N$622,MATCH(364,Engine!$C$2:$C$622,0)))</f>
        <v/>
      </c>
      <c r="O377" s="8">
        <f>IF(ISNA(MATCH(364,Engine!$C$2:$C$622,0)),"",INDEX('Compliance Database'!$O$2:$O$622,MATCH(364,Engine!$C$2:$C$622,0)))</f>
        <v/>
      </c>
    </row>
    <row r="378">
      <c r="A378">
        <f>IF(ISNA(MATCH(365,Engine!$C$2:$C$622,0)),"",INDEX('Compliance Database'!$A$2:$A$622,MATCH(365,Engine!$C$2:$C$622,0)))</f>
        <v/>
      </c>
      <c r="B378">
        <f>IF(ISNA(MATCH(365,Engine!$C$2:$C$622,0)),"",INDEX('Compliance Database'!$B$2:$B$622,MATCH(365,Engine!$C$2:$C$622,0)))</f>
        <v/>
      </c>
      <c r="C378">
        <f>IF(ISNA(MATCH(365,Engine!$C$2:$C$622,0)),"",INDEX('Compliance Database'!$C$2:$C$622,MATCH(365,Engine!$C$2:$C$622,0)))</f>
        <v/>
      </c>
      <c r="D378" s="8">
        <f>IF(ISNA(MATCH(365,Engine!$C$2:$C$622,0)),"",INDEX('Compliance Database'!$D$2:$D$622,MATCH(365,Engine!$C$2:$C$622,0)))</f>
        <v/>
      </c>
      <c r="E378">
        <f>IF(ISNA(MATCH(365,Engine!$C$2:$C$622,0)),"",INDEX('Compliance Database'!$E$2:$E$622,MATCH(365,Engine!$C$2:$C$622,0)))</f>
        <v/>
      </c>
      <c r="F378">
        <f>IF(ISNA(MATCH(365,Engine!$C$2:$C$622,0)),"",INDEX('Compliance Database'!$F$2:$F$622,MATCH(365,Engine!$C$2:$C$622,0)))</f>
        <v/>
      </c>
      <c r="G378">
        <f>IF(ISNA(MATCH(365,Engine!$C$2:$C$622,0)),"",INDEX('Compliance Database'!$G$2:$G$622,MATCH(365,Engine!$C$2:$C$622,0)))</f>
        <v/>
      </c>
      <c r="H378">
        <f>IF(ISNA(MATCH(365,Engine!$C$2:$C$622,0)),"",INDEX('Compliance Database'!$H$2:$H$622,MATCH(365,Engine!$C$2:$C$622,0)))</f>
        <v/>
      </c>
      <c r="I378" s="8">
        <f>IF(ISNA(MATCH(365,Engine!$C$2:$C$622,0)),"",INDEX('Compliance Database'!$I$2:$I$622,MATCH(365,Engine!$C$2:$C$622,0)))</f>
        <v/>
      </c>
      <c r="J378" s="8">
        <f>IF(ISNA(MATCH(365,Engine!$C$2:$C$622,0)),"",INDEX('Compliance Database'!$J$2:$J$622,MATCH(365,Engine!$C$2:$C$622,0)))</f>
        <v/>
      </c>
      <c r="K378">
        <f>IF(ISNA(MATCH(365,Engine!$C$2:$C$622,0)),"",INDEX('Compliance Database'!$K$2:$K$622,MATCH(365,Engine!$C$2:$C$622,0)))</f>
        <v/>
      </c>
      <c r="L378" s="8">
        <f>IF(ISNA(MATCH(365,Engine!$C$2:$C$622,0)),"",INDEX('Compliance Database'!$L$2:$L$622,MATCH(365,Engine!$C$2:$C$622,0)))</f>
        <v/>
      </c>
      <c r="M378" s="8">
        <f>IF(ISNA(MATCH(365,Engine!$C$2:$C$622,0)),"",INDEX('Compliance Database'!$M$2:$M$622,MATCH(365,Engine!$C$2:$C$622,0)))</f>
        <v/>
      </c>
      <c r="N378" s="8">
        <f>IF(ISNA(MATCH(365,Engine!$C$2:$C$622,0)),"",INDEX('Compliance Database'!$N$2:$N$622,MATCH(365,Engine!$C$2:$C$622,0)))</f>
        <v/>
      </c>
      <c r="O378" s="8">
        <f>IF(ISNA(MATCH(365,Engine!$C$2:$C$622,0)),"",INDEX('Compliance Database'!$O$2:$O$622,MATCH(365,Engine!$C$2:$C$622,0)))</f>
        <v/>
      </c>
    </row>
    <row r="379">
      <c r="A379">
        <f>IF(ISNA(MATCH(366,Engine!$C$2:$C$622,0)),"",INDEX('Compliance Database'!$A$2:$A$622,MATCH(366,Engine!$C$2:$C$622,0)))</f>
        <v/>
      </c>
      <c r="B379">
        <f>IF(ISNA(MATCH(366,Engine!$C$2:$C$622,0)),"",INDEX('Compliance Database'!$B$2:$B$622,MATCH(366,Engine!$C$2:$C$622,0)))</f>
        <v/>
      </c>
      <c r="C379">
        <f>IF(ISNA(MATCH(366,Engine!$C$2:$C$622,0)),"",INDEX('Compliance Database'!$C$2:$C$622,MATCH(366,Engine!$C$2:$C$622,0)))</f>
        <v/>
      </c>
      <c r="D379" s="8">
        <f>IF(ISNA(MATCH(366,Engine!$C$2:$C$622,0)),"",INDEX('Compliance Database'!$D$2:$D$622,MATCH(366,Engine!$C$2:$C$622,0)))</f>
        <v/>
      </c>
      <c r="E379">
        <f>IF(ISNA(MATCH(366,Engine!$C$2:$C$622,0)),"",INDEX('Compliance Database'!$E$2:$E$622,MATCH(366,Engine!$C$2:$C$622,0)))</f>
        <v/>
      </c>
      <c r="F379">
        <f>IF(ISNA(MATCH(366,Engine!$C$2:$C$622,0)),"",INDEX('Compliance Database'!$F$2:$F$622,MATCH(366,Engine!$C$2:$C$622,0)))</f>
        <v/>
      </c>
      <c r="G379">
        <f>IF(ISNA(MATCH(366,Engine!$C$2:$C$622,0)),"",INDEX('Compliance Database'!$G$2:$G$622,MATCH(366,Engine!$C$2:$C$622,0)))</f>
        <v/>
      </c>
      <c r="H379">
        <f>IF(ISNA(MATCH(366,Engine!$C$2:$C$622,0)),"",INDEX('Compliance Database'!$H$2:$H$622,MATCH(366,Engine!$C$2:$C$622,0)))</f>
        <v/>
      </c>
      <c r="I379" s="8">
        <f>IF(ISNA(MATCH(366,Engine!$C$2:$C$622,0)),"",INDEX('Compliance Database'!$I$2:$I$622,MATCH(366,Engine!$C$2:$C$622,0)))</f>
        <v/>
      </c>
      <c r="J379" s="8">
        <f>IF(ISNA(MATCH(366,Engine!$C$2:$C$622,0)),"",INDEX('Compliance Database'!$J$2:$J$622,MATCH(366,Engine!$C$2:$C$622,0)))</f>
        <v/>
      </c>
      <c r="K379">
        <f>IF(ISNA(MATCH(366,Engine!$C$2:$C$622,0)),"",INDEX('Compliance Database'!$K$2:$K$622,MATCH(366,Engine!$C$2:$C$622,0)))</f>
        <v/>
      </c>
      <c r="L379" s="8">
        <f>IF(ISNA(MATCH(366,Engine!$C$2:$C$622,0)),"",INDEX('Compliance Database'!$L$2:$L$622,MATCH(366,Engine!$C$2:$C$622,0)))</f>
        <v/>
      </c>
      <c r="M379" s="8">
        <f>IF(ISNA(MATCH(366,Engine!$C$2:$C$622,0)),"",INDEX('Compliance Database'!$M$2:$M$622,MATCH(366,Engine!$C$2:$C$622,0)))</f>
        <v/>
      </c>
      <c r="N379" s="8">
        <f>IF(ISNA(MATCH(366,Engine!$C$2:$C$622,0)),"",INDEX('Compliance Database'!$N$2:$N$622,MATCH(366,Engine!$C$2:$C$622,0)))</f>
        <v/>
      </c>
      <c r="O379" s="8">
        <f>IF(ISNA(MATCH(366,Engine!$C$2:$C$622,0)),"",INDEX('Compliance Database'!$O$2:$O$622,MATCH(366,Engine!$C$2:$C$622,0)))</f>
        <v/>
      </c>
    </row>
    <row r="380">
      <c r="A380">
        <f>IF(ISNA(MATCH(367,Engine!$C$2:$C$622,0)),"",INDEX('Compliance Database'!$A$2:$A$622,MATCH(367,Engine!$C$2:$C$622,0)))</f>
        <v/>
      </c>
      <c r="B380">
        <f>IF(ISNA(MATCH(367,Engine!$C$2:$C$622,0)),"",INDEX('Compliance Database'!$B$2:$B$622,MATCH(367,Engine!$C$2:$C$622,0)))</f>
        <v/>
      </c>
      <c r="C380">
        <f>IF(ISNA(MATCH(367,Engine!$C$2:$C$622,0)),"",INDEX('Compliance Database'!$C$2:$C$622,MATCH(367,Engine!$C$2:$C$622,0)))</f>
        <v/>
      </c>
      <c r="D380" s="8">
        <f>IF(ISNA(MATCH(367,Engine!$C$2:$C$622,0)),"",INDEX('Compliance Database'!$D$2:$D$622,MATCH(367,Engine!$C$2:$C$622,0)))</f>
        <v/>
      </c>
      <c r="E380">
        <f>IF(ISNA(MATCH(367,Engine!$C$2:$C$622,0)),"",INDEX('Compliance Database'!$E$2:$E$622,MATCH(367,Engine!$C$2:$C$622,0)))</f>
        <v/>
      </c>
      <c r="F380">
        <f>IF(ISNA(MATCH(367,Engine!$C$2:$C$622,0)),"",INDEX('Compliance Database'!$F$2:$F$622,MATCH(367,Engine!$C$2:$C$622,0)))</f>
        <v/>
      </c>
      <c r="G380">
        <f>IF(ISNA(MATCH(367,Engine!$C$2:$C$622,0)),"",INDEX('Compliance Database'!$G$2:$G$622,MATCH(367,Engine!$C$2:$C$622,0)))</f>
        <v/>
      </c>
      <c r="H380">
        <f>IF(ISNA(MATCH(367,Engine!$C$2:$C$622,0)),"",INDEX('Compliance Database'!$H$2:$H$622,MATCH(367,Engine!$C$2:$C$622,0)))</f>
        <v/>
      </c>
      <c r="I380" s="8">
        <f>IF(ISNA(MATCH(367,Engine!$C$2:$C$622,0)),"",INDEX('Compliance Database'!$I$2:$I$622,MATCH(367,Engine!$C$2:$C$622,0)))</f>
        <v/>
      </c>
      <c r="J380" s="8">
        <f>IF(ISNA(MATCH(367,Engine!$C$2:$C$622,0)),"",INDEX('Compliance Database'!$J$2:$J$622,MATCH(367,Engine!$C$2:$C$622,0)))</f>
        <v/>
      </c>
      <c r="K380">
        <f>IF(ISNA(MATCH(367,Engine!$C$2:$C$622,0)),"",INDEX('Compliance Database'!$K$2:$K$622,MATCH(367,Engine!$C$2:$C$622,0)))</f>
        <v/>
      </c>
      <c r="L380" s="8">
        <f>IF(ISNA(MATCH(367,Engine!$C$2:$C$622,0)),"",INDEX('Compliance Database'!$L$2:$L$622,MATCH(367,Engine!$C$2:$C$622,0)))</f>
        <v/>
      </c>
      <c r="M380" s="8">
        <f>IF(ISNA(MATCH(367,Engine!$C$2:$C$622,0)),"",INDEX('Compliance Database'!$M$2:$M$622,MATCH(367,Engine!$C$2:$C$622,0)))</f>
        <v/>
      </c>
      <c r="N380" s="8">
        <f>IF(ISNA(MATCH(367,Engine!$C$2:$C$622,0)),"",INDEX('Compliance Database'!$N$2:$N$622,MATCH(367,Engine!$C$2:$C$622,0)))</f>
        <v/>
      </c>
      <c r="O380" s="8">
        <f>IF(ISNA(MATCH(367,Engine!$C$2:$C$622,0)),"",INDEX('Compliance Database'!$O$2:$O$622,MATCH(367,Engine!$C$2:$C$622,0)))</f>
        <v/>
      </c>
    </row>
    <row r="381">
      <c r="A381">
        <f>IF(ISNA(MATCH(368,Engine!$C$2:$C$622,0)),"",INDEX('Compliance Database'!$A$2:$A$622,MATCH(368,Engine!$C$2:$C$622,0)))</f>
        <v/>
      </c>
      <c r="B381">
        <f>IF(ISNA(MATCH(368,Engine!$C$2:$C$622,0)),"",INDEX('Compliance Database'!$B$2:$B$622,MATCH(368,Engine!$C$2:$C$622,0)))</f>
        <v/>
      </c>
      <c r="C381">
        <f>IF(ISNA(MATCH(368,Engine!$C$2:$C$622,0)),"",INDEX('Compliance Database'!$C$2:$C$622,MATCH(368,Engine!$C$2:$C$622,0)))</f>
        <v/>
      </c>
      <c r="D381" s="8">
        <f>IF(ISNA(MATCH(368,Engine!$C$2:$C$622,0)),"",INDEX('Compliance Database'!$D$2:$D$622,MATCH(368,Engine!$C$2:$C$622,0)))</f>
        <v/>
      </c>
      <c r="E381">
        <f>IF(ISNA(MATCH(368,Engine!$C$2:$C$622,0)),"",INDEX('Compliance Database'!$E$2:$E$622,MATCH(368,Engine!$C$2:$C$622,0)))</f>
        <v/>
      </c>
      <c r="F381">
        <f>IF(ISNA(MATCH(368,Engine!$C$2:$C$622,0)),"",INDEX('Compliance Database'!$F$2:$F$622,MATCH(368,Engine!$C$2:$C$622,0)))</f>
        <v/>
      </c>
      <c r="G381">
        <f>IF(ISNA(MATCH(368,Engine!$C$2:$C$622,0)),"",INDEX('Compliance Database'!$G$2:$G$622,MATCH(368,Engine!$C$2:$C$622,0)))</f>
        <v/>
      </c>
      <c r="H381">
        <f>IF(ISNA(MATCH(368,Engine!$C$2:$C$622,0)),"",INDEX('Compliance Database'!$H$2:$H$622,MATCH(368,Engine!$C$2:$C$622,0)))</f>
        <v/>
      </c>
      <c r="I381" s="8">
        <f>IF(ISNA(MATCH(368,Engine!$C$2:$C$622,0)),"",INDEX('Compliance Database'!$I$2:$I$622,MATCH(368,Engine!$C$2:$C$622,0)))</f>
        <v/>
      </c>
      <c r="J381" s="8">
        <f>IF(ISNA(MATCH(368,Engine!$C$2:$C$622,0)),"",INDEX('Compliance Database'!$J$2:$J$622,MATCH(368,Engine!$C$2:$C$622,0)))</f>
        <v/>
      </c>
      <c r="K381">
        <f>IF(ISNA(MATCH(368,Engine!$C$2:$C$622,0)),"",INDEX('Compliance Database'!$K$2:$K$622,MATCH(368,Engine!$C$2:$C$622,0)))</f>
        <v/>
      </c>
      <c r="L381" s="8">
        <f>IF(ISNA(MATCH(368,Engine!$C$2:$C$622,0)),"",INDEX('Compliance Database'!$L$2:$L$622,MATCH(368,Engine!$C$2:$C$622,0)))</f>
        <v/>
      </c>
      <c r="M381" s="8">
        <f>IF(ISNA(MATCH(368,Engine!$C$2:$C$622,0)),"",INDEX('Compliance Database'!$M$2:$M$622,MATCH(368,Engine!$C$2:$C$622,0)))</f>
        <v/>
      </c>
      <c r="N381" s="8">
        <f>IF(ISNA(MATCH(368,Engine!$C$2:$C$622,0)),"",INDEX('Compliance Database'!$N$2:$N$622,MATCH(368,Engine!$C$2:$C$622,0)))</f>
        <v/>
      </c>
      <c r="O381" s="8">
        <f>IF(ISNA(MATCH(368,Engine!$C$2:$C$622,0)),"",INDEX('Compliance Database'!$O$2:$O$622,MATCH(368,Engine!$C$2:$C$622,0)))</f>
        <v/>
      </c>
    </row>
    <row r="382">
      <c r="A382">
        <f>IF(ISNA(MATCH(369,Engine!$C$2:$C$622,0)),"",INDEX('Compliance Database'!$A$2:$A$622,MATCH(369,Engine!$C$2:$C$622,0)))</f>
        <v/>
      </c>
      <c r="B382">
        <f>IF(ISNA(MATCH(369,Engine!$C$2:$C$622,0)),"",INDEX('Compliance Database'!$B$2:$B$622,MATCH(369,Engine!$C$2:$C$622,0)))</f>
        <v/>
      </c>
      <c r="C382">
        <f>IF(ISNA(MATCH(369,Engine!$C$2:$C$622,0)),"",INDEX('Compliance Database'!$C$2:$C$622,MATCH(369,Engine!$C$2:$C$622,0)))</f>
        <v/>
      </c>
      <c r="D382" s="8">
        <f>IF(ISNA(MATCH(369,Engine!$C$2:$C$622,0)),"",INDEX('Compliance Database'!$D$2:$D$622,MATCH(369,Engine!$C$2:$C$622,0)))</f>
        <v/>
      </c>
      <c r="E382">
        <f>IF(ISNA(MATCH(369,Engine!$C$2:$C$622,0)),"",INDEX('Compliance Database'!$E$2:$E$622,MATCH(369,Engine!$C$2:$C$622,0)))</f>
        <v/>
      </c>
      <c r="F382">
        <f>IF(ISNA(MATCH(369,Engine!$C$2:$C$622,0)),"",INDEX('Compliance Database'!$F$2:$F$622,MATCH(369,Engine!$C$2:$C$622,0)))</f>
        <v/>
      </c>
      <c r="G382">
        <f>IF(ISNA(MATCH(369,Engine!$C$2:$C$622,0)),"",INDEX('Compliance Database'!$G$2:$G$622,MATCH(369,Engine!$C$2:$C$622,0)))</f>
        <v/>
      </c>
      <c r="H382">
        <f>IF(ISNA(MATCH(369,Engine!$C$2:$C$622,0)),"",INDEX('Compliance Database'!$H$2:$H$622,MATCH(369,Engine!$C$2:$C$622,0)))</f>
        <v/>
      </c>
      <c r="I382" s="8">
        <f>IF(ISNA(MATCH(369,Engine!$C$2:$C$622,0)),"",INDEX('Compliance Database'!$I$2:$I$622,MATCH(369,Engine!$C$2:$C$622,0)))</f>
        <v/>
      </c>
      <c r="J382" s="8">
        <f>IF(ISNA(MATCH(369,Engine!$C$2:$C$622,0)),"",INDEX('Compliance Database'!$J$2:$J$622,MATCH(369,Engine!$C$2:$C$622,0)))</f>
        <v/>
      </c>
      <c r="K382">
        <f>IF(ISNA(MATCH(369,Engine!$C$2:$C$622,0)),"",INDEX('Compliance Database'!$K$2:$K$622,MATCH(369,Engine!$C$2:$C$622,0)))</f>
        <v/>
      </c>
      <c r="L382" s="8">
        <f>IF(ISNA(MATCH(369,Engine!$C$2:$C$622,0)),"",INDEX('Compliance Database'!$L$2:$L$622,MATCH(369,Engine!$C$2:$C$622,0)))</f>
        <v/>
      </c>
      <c r="M382" s="8">
        <f>IF(ISNA(MATCH(369,Engine!$C$2:$C$622,0)),"",INDEX('Compliance Database'!$M$2:$M$622,MATCH(369,Engine!$C$2:$C$622,0)))</f>
        <v/>
      </c>
      <c r="N382" s="8">
        <f>IF(ISNA(MATCH(369,Engine!$C$2:$C$622,0)),"",INDEX('Compliance Database'!$N$2:$N$622,MATCH(369,Engine!$C$2:$C$622,0)))</f>
        <v/>
      </c>
      <c r="O382" s="8">
        <f>IF(ISNA(MATCH(369,Engine!$C$2:$C$622,0)),"",INDEX('Compliance Database'!$O$2:$O$622,MATCH(369,Engine!$C$2:$C$622,0)))</f>
        <v/>
      </c>
    </row>
    <row r="383">
      <c r="A383">
        <f>IF(ISNA(MATCH(370,Engine!$C$2:$C$622,0)),"",INDEX('Compliance Database'!$A$2:$A$622,MATCH(370,Engine!$C$2:$C$622,0)))</f>
        <v/>
      </c>
      <c r="B383">
        <f>IF(ISNA(MATCH(370,Engine!$C$2:$C$622,0)),"",INDEX('Compliance Database'!$B$2:$B$622,MATCH(370,Engine!$C$2:$C$622,0)))</f>
        <v/>
      </c>
      <c r="C383">
        <f>IF(ISNA(MATCH(370,Engine!$C$2:$C$622,0)),"",INDEX('Compliance Database'!$C$2:$C$622,MATCH(370,Engine!$C$2:$C$622,0)))</f>
        <v/>
      </c>
      <c r="D383" s="8">
        <f>IF(ISNA(MATCH(370,Engine!$C$2:$C$622,0)),"",INDEX('Compliance Database'!$D$2:$D$622,MATCH(370,Engine!$C$2:$C$622,0)))</f>
        <v/>
      </c>
      <c r="E383">
        <f>IF(ISNA(MATCH(370,Engine!$C$2:$C$622,0)),"",INDEX('Compliance Database'!$E$2:$E$622,MATCH(370,Engine!$C$2:$C$622,0)))</f>
        <v/>
      </c>
      <c r="F383">
        <f>IF(ISNA(MATCH(370,Engine!$C$2:$C$622,0)),"",INDEX('Compliance Database'!$F$2:$F$622,MATCH(370,Engine!$C$2:$C$622,0)))</f>
        <v/>
      </c>
      <c r="G383">
        <f>IF(ISNA(MATCH(370,Engine!$C$2:$C$622,0)),"",INDEX('Compliance Database'!$G$2:$G$622,MATCH(370,Engine!$C$2:$C$622,0)))</f>
        <v/>
      </c>
      <c r="H383">
        <f>IF(ISNA(MATCH(370,Engine!$C$2:$C$622,0)),"",INDEX('Compliance Database'!$H$2:$H$622,MATCH(370,Engine!$C$2:$C$622,0)))</f>
        <v/>
      </c>
      <c r="I383" s="8">
        <f>IF(ISNA(MATCH(370,Engine!$C$2:$C$622,0)),"",INDEX('Compliance Database'!$I$2:$I$622,MATCH(370,Engine!$C$2:$C$622,0)))</f>
        <v/>
      </c>
      <c r="J383" s="8">
        <f>IF(ISNA(MATCH(370,Engine!$C$2:$C$622,0)),"",INDEX('Compliance Database'!$J$2:$J$622,MATCH(370,Engine!$C$2:$C$622,0)))</f>
        <v/>
      </c>
      <c r="K383">
        <f>IF(ISNA(MATCH(370,Engine!$C$2:$C$622,0)),"",INDEX('Compliance Database'!$K$2:$K$622,MATCH(370,Engine!$C$2:$C$622,0)))</f>
        <v/>
      </c>
      <c r="L383" s="8">
        <f>IF(ISNA(MATCH(370,Engine!$C$2:$C$622,0)),"",INDEX('Compliance Database'!$L$2:$L$622,MATCH(370,Engine!$C$2:$C$622,0)))</f>
        <v/>
      </c>
      <c r="M383" s="8">
        <f>IF(ISNA(MATCH(370,Engine!$C$2:$C$622,0)),"",INDEX('Compliance Database'!$M$2:$M$622,MATCH(370,Engine!$C$2:$C$622,0)))</f>
        <v/>
      </c>
      <c r="N383" s="8">
        <f>IF(ISNA(MATCH(370,Engine!$C$2:$C$622,0)),"",INDEX('Compliance Database'!$N$2:$N$622,MATCH(370,Engine!$C$2:$C$622,0)))</f>
        <v/>
      </c>
      <c r="O383" s="8">
        <f>IF(ISNA(MATCH(370,Engine!$C$2:$C$622,0)),"",INDEX('Compliance Database'!$O$2:$O$622,MATCH(370,Engine!$C$2:$C$622,0)))</f>
        <v/>
      </c>
    </row>
    <row r="384">
      <c r="A384">
        <f>IF(ISNA(MATCH(371,Engine!$C$2:$C$622,0)),"",INDEX('Compliance Database'!$A$2:$A$622,MATCH(371,Engine!$C$2:$C$622,0)))</f>
        <v/>
      </c>
      <c r="B384">
        <f>IF(ISNA(MATCH(371,Engine!$C$2:$C$622,0)),"",INDEX('Compliance Database'!$B$2:$B$622,MATCH(371,Engine!$C$2:$C$622,0)))</f>
        <v/>
      </c>
      <c r="C384">
        <f>IF(ISNA(MATCH(371,Engine!$C$2:$C$622,0)),"",INDEX('Compliance Database'!$C$2:$C$622,MATCH(371,Engine!$C$2:$C$622,0)))</f>
        <v/>
      </c>
      <c r="D384" s="8">
        <f>IF(ISNA(MATCH(371,Engine!$C$2:$C$622,0)),"",INDEX('Compliance Database'!$D$2:$D$622,MATCH(371,Engine!$C$2:$C$622,0)))</f>
        <v/>
      </c>
      <c r="E384">
        <f>IF(ISNA(MATCH(371,Engine!$C$2:$C$622,0)),"",INDEX('Compliance Database'!$E$2:$E$622,MATCH(371,Engine!$C$2:$C$622,0)))</f>
        <v/>
      </c>
      <c r="F384">
        <f>IF(ISNA(MATCH(371,Engine!$C$2:$C$622,0)),"",INDEX('Compliance Database'!$F$2:$F$622,MATCH(371,Engine!$C$2:$C$622,0)))</f>
        <v/>
      </c>
      <c r="G384">
        <f>IF(ISNA(MATCH(371,Engine!$C$2:$C$622,0)),"",INDEX('Compliance Database'!$G$2:$G$622,MATCH(371,Engine!$C$2:$C$622,0)))</f>
        <v/>
      </c>
      <c r="H384">
        <f>IF(ISNA(MATCH(371,Engine!$C$2:$C$622,0)),"",INDEX('Compliance Database'!$H$2:$H$622,MATCH(371,Engine!$C$2:$C$622,0)))</f>
        <v/>
      </c>
      <c r="I384" s="8">
        <f>IF(ISNA(MATCH(371,Engine!$C$2:$C$622,0)),"",INDEX('Compliance Database'!$I$2:$I$622,MATCH(371,Engine!$C$2:$C$622,0)))</f>
        <v/>
      </c>
      <c r="J384" s="8">
        <f>IF(ISNA(MATCH(371,Engine!$C$2:$C$622,0)),"",INDEX('Compliance Database'!$J$2:$J$622,MATCH(371,Engine!$C$2:$C$622,0)))</f>
        <v/>
      </c>
      <c r="K384">
        <f>IF(ISNA(MATCH(371,Engine!$C$2:$C$622,0)),"",INDEX('Compliance Database'!$K$2:$K$622,MATCH(371,Engine!$C$2:$C$622,0)))</f>
        <v/>
      </c>
      <c r="L384" s="8">
        <f>IF(ISNA(MATCH(371,Engine!$C$2:$C$622,0)),"",INDEX('Compliance Database'!$L$2:$L$622,MATCH(371,Engine!$C$2:$C$622,0)))</f>
        <v/>
      </c>
      <c r="M384" s="8">
        <f>IF(ISNA(MATCH(371,Engine!$C$2:$C$622,0)),"",INDEX('Compliance Database'!$M$2:$M$622,MATCH(371,Engine!$C$2:$C$622,0)))</f>
        <v/>
      </c>
      <c r="N384" s="8">
        <f>IF(ISNA(MATCH(371,Engine!$C$2:$C$622,0)),"",INDEX('Compliance Database'!$N$2:$N$622,MATCH(371,Engine!$C$2:$C$622,0)))</f>
        <v/>
      </c>
      <c r="O384" s="8">
        <f>IF(ISNA(MATCH(371,Engine!$C$2:$C$622,0)),"",INDEX('Compliance Database'!$O$2:$O$622,MATCH(371,Engine!$C$2:$C$622,0)))</f>
        <v/>
      </c>
    </row>
    <row r="385">
      <c r="A385">
        <f>IF(ISNA(MATCH(372,Engine!$C$2:$C$622,0)),"",INDEX('Compliance Database'!$A$2:$A$622,MATCH(372,Engine!$C$2:$C$622,0)))</f>
        <v/>
      </c>
      <c r="B385">
        <f>IF(ISNA(MATCH(372,Engine!$C$2:$C$622,0)),"",INDEX('Compliance Database'!$B$2:$B$622,MATCH(372,Engine!$C$2:$C$622,0)))</f>
        <v/>
      </c>
      <c r="C385">
        <f>IF(ISNA(MATCH(372,Engine!$C$2:$C$622,0)),"",INDEX('Compliance Database'!$C$2:$C$622,MATCH(372,Engine!$C$2:$C$622,0)))</f>
        <v/>
      </c>
      <c r="D385" s="8">
        <f>IF(ISNA(MATCH(372,Engine!$C$2:$C$622,0)),"",INDEX('Compliance Database'!$D$2:$D$622,MATCH(372,Engine!$C$2:$C$622,0)))</f>
        <v/>
      </c>
      <c r="E385">
        <f>IF(ISNA(MATCH(372,Engine!$C$2:$C$622,0)),"",INDEX('Compliance Database'!$E$2:$E$622,MATCH(372,Engine!$C$2:$C$622,0)))</f>
        <v/>
      </c>
      <c r="F385">
        <f>IF(ISNA(MATCH(372,Engine!$C$2:$C$622,0)),"",INDEX('Compliance Database'!$F$2:$F$622,MATCH(372,Engine!$C$2:$C$622,0)))</f>
        <v/>
      </c>
      <c r="G385">
        <f>IF(ISNA(MATCH(372,Engine!$C$2:$C$622,0)),"",INDEX('Compliance Database'!$G$2:$G$622,MATCH(372,Engine!$C$2:$C$622,0)))</f>
        <v/>
      </c>
      <c r="H385">
        <f>IF(ISNA(MATCH(372,Engine!$C$2:$C$622,0)),"",INDEX('Compliance Database'!$H$2:$H$622,MATCH(372,Engine!$C$2:$C$622,0)))</f>
        <v/>
      </c>
      <c r="I385" s="8">
        <f>IF(ISNA(MATCH(372,Engine!$C$2:$C$622,0)),"",INDEX('Compliance Database'!$I$2:$I$622,MATCH(372,Engine!$C$2:$C$622,0)))</f>
        <v/>
      </c>
      <c r="J385" s="8">
        <f>IF(ISNA(MATCH(372,Engine!$C$2:$C$622,0)),"",INDEX('Compliance Database'!$J$2:$J$622,MATCH(372,Engine!$C$2:$C$622,0)))</f>
        <v/>
      </c>
      <c r="K385">
        <f>IF(ISNA(MATCH(372,Engine!$C$2:$C$622,0)),"",INDEX('Compliance Database'!$K$2:$K$622,MATCH(372,Engine!$C$2:$C$622,0)))</f>
        <v/>
      </c>
      <c r="L385" s="8">
        <f>IF(ISNA(MATCH(372,Engine!$C$2:$C$622,0)),"",INDEX('Compliance Database'!$L$2:$L$622,MATCH(372,Engine!$C$2:$C$622,0)))</f>
        <v/>
      </c>
      <c r="M385" s="8">
        <f>IF(ISNA(MATCH(372,Engine!$C$2:$C$622,0)),"",INDEX('Compliance Database'!$M$2:$M$622,MATCH(372,Engine!$C$2:$C$622,0)))</f>
        <v/>
      </c>
      <c r="N385" s="8">
        <f>IF(ISNA(MATCH(372,Engine!$C$2:$C$622,0)),"",INDEX('Compliance Database'!$N$2:$N$622,MATCH(372,Engine!$C$2:$C$622,0)))</f>
        <v/>
      </c>
      <c r="O385" s="8">
        <f>IF(ISNA(MATCH(372,Engine!$C$2:$C$622,0)),"",INDEX('Compliance Database'!$O$2:$O$622,MATCH(372,Engine!$C$2:$C$622,0)))</f>
        <v/>
      </c>
    </row>
    <row r="386">
      <c r="A386">
        <f>IF(ISNA(MATCH(373,Engine!$C$2:$C$622,0)),"",INDEX('Compliance Database'!$A$2:$A$622,MATCH(373,Engine!$C$2:$C$622,0)))</f>
        <v/>
      </c>
      <c r="B386">
        <f>IF(ISNA(MATCH(373,Engine!$C$2:$C$622,0)),"",INDEX('Compliance Database'!$B$2:$B$622,MATCH(373,Engine!$C$2:$C$622,0)))</f>
        <v/>
      </c>
      <c r="C386">
        <f>IF(ISNA(MATCH(373,Engine!$C$2:$C$622,0)),"",INDEX('Compliance Database'!$C$2:$C$622,MATCH(373,Engine!$C$2:$C$622,0)))</f>
        <v/>
      </c>
      <c r="D386" s="8">
        <f>IF(ISNA(MATCH(373,Engine!$C$2:$C$622,0)),"",INDEX('Compliance Database'!$D$2:$D$622,MATCH(373,Engine!$C$2:$C$622,0)))</f>
        <v/>
      </c>
      <c r="E386">
        <f>IF(ISNA(MATCH(373,Engine!$C$2:$C$622,0)),"",INDEX('Compliance Database'!$E$2:$E$622,MATCH(373,Engine!$C$2:$C$622,0)))</f>
        <v/>
      </c>
      <c r="F386">
        <f>IF(ISNA(MATCH(373,Engine!$C$2:$C$622,0)),"",INDEX('Compliance Database'!$F$2:$F$622,MATCH(373,Engine!$C$2:$C$622,0)))</f>
        <v/>
      </c>
      <c r="G386">
        <f>IF(ISNA(MATCH(373,Engine!$C$2:$C$622,0)),"",INDEX('Compliance Database'!$G$2:$G$622,MATCH(373,Engine!$C$2:$C$622,0)))</f>
        <v/>
      </c>
      <c r="H386">
        <f>IF(ISNA(MATCH(373,Engine!$C$2:$C$622,0)),"",INDEX('Compliance Database'!$H$2:$H$622,MATCH(373,Engine!$C$2:$C$622,0)))</f>
        <v/>
      </c>
      <c r="I386" s="8">
        <f>IF(ISNA(MATCH(373,Engine!$C$2:$C$622,0)),"",INDEX('Compliance Database'!$I$2:$I$622,MATCH(373,Engine!$C$2:$C$622,0)))</f>
        <v/>
      </c>
      <c r="J386" s="8">
        <f>IF(ISNA(MATCH(373,Engine!$C$2:$C$622,0)),"",INDEX('Compliance Database'!$J$2:$J$622,MATCH(373,Engine!$C$2:$C$622,0)))</f>
        <v/>
      </c>
      <c r="K386">
        <f>IF(ISNA(MATCH(373,Engine!$C$2:$C$622,0)),"",INDEX('Compliance Database'!$K$2:$K$622,MATCH(373,Engine!$C$2:$C$622,0)))</f>
        <v/>
      </c>
      <c r="L386" s="8">
        <f>IF(ISNA(MATCH(373,Engine!$C$2:$C$622,0)),"",INDEX('Compliance Database'!$L$2:$L$622,MATCH(373,Engine!$C$2:$C$622,0)))</f>
        <v/>
      </c>
      <c r="M386" s="8">
        <f>IF(ISNA(MATCH(373,Engine!$C$2:$C$622,0)),"",INDEX('Compliance Database'!$M$2:$M$622,MATCH(373,Engine!$C$2:$C$622,0)))</f>
        <v/>
      </c>
      <c r="N386" s="8">
        <f>IF(ISNA(MATCH(373,Engine!$C$2:$C$622,0)),"",INDEX('Compliance Database'!$N$2:$N$622,MATCH(373,Engine!$C$2:$C$622,0)))</f>
        <v/>
      </c>
      <c r="O386" s="8">
        <f>IF(ISNA(MATCH(373,Engine!$C$2:$C$622,0)),"",INDEX('Compliance Database'!$O$2:$O$622,MATCH(373,Engine!$C$2:$C$622,0)))</f>
        <v/>
      </c>
    </row>
    <row r="387">
      <c r="A387">
        <f>IF(ISNA(MATCH(374,Engine!$C$2:$C$622,0)),"",INDEX('Compliance Database'!$A$2:$A$622,MATCH(374,Engine!$C$2:$C$622,0)))</f>
        <v/>
      </c>
      <c r="B387">
        <f>IF(ISNA(MATCH(374,Engine!$C$2:$C$622,0)),"",INDEX('Compliance Database'!$B$2:$B$622,MATCH(374,Engine!$C$2:$C$622,0)))</f>
        <v/>
      </c>
      <c r="C387">
        <f>IF(ISNA(MATCH(374,Engine!$C$2:$C$622,0)),"",INDEX('Compliance Database'!$C$2:$C$622,MATCH(374,Engine!$C$2:$C$622,0)))</f>
        <v/>
      </c>
      <c r="D387" s="8">
        <f>IF(ISNA(MATCH(374,Engine!$C$2:$C$622,0)),"",INDEX('Compliance Database'!$D$2:$D$622,MATCH(374,Engine!$C$2:$C$622,0)))</f>
        <v/>
      </c>
      <c r="E387">
        <f>IF(ISNA(MATCH(374,Engine!$C$2:$C$622,0)),"",INDEX('Compliance Database'!$E$2:$E$622,MATCH(374,Engine!$C$2:$C$622,0)))</f>
        <v/>
      </c>
      <c r="F387">
        <f>IF(ISNA(MATCH(374,Engine!$C$2:$C$622,0)),"",INDEX('Compliance Database'!$F$2:$F$622,MATCH(374,Engine!$C$2:$C$622,0)))</f>
        <v/>
      </c>
      <c r="G387">
        <f>IF(ISNA(MATCH(374,Engine!$C$2:$C$622,0)),"",INDEX('Compliance Database'!$G$2:$G$622,MATCH(374,Engine!$C$2:$C$622,0)))</f>
        <v/>
      </c>
      <c r="H387">
        <f>IF(ISNA(MATCH(374,Engine!$C$2:$C$622,0)),"",INDEX('Compliance Database'!$H$2:$H$622,MATCH(374,Engine!$C$2:$C$622,0)))</f>
        <v/>
      </c>
      <c r="I387" s="8">
        <f>IF(ISNA(MATCH(374,Engine!$C$2:$C$622,0)),"",INDEX('Compliance Database'!$I$2:$I$622,MATCH(374,Engine!$C$2:$C$622,0)))</f>
        <v/>
      </c>
      <c r="J387" s="8">
        <f>IF(ISNA(MATCH(374,Engine!$C$2:$C$622,0)),"",INDEX('Compliance Database'!$J$2:$J$622,MATCH(374,Engine!$C$2:$C$622,0)))</f>
        <v/>
      </c>
      <c r="K387">
        <f>IF(ISNA(MATCH(374,Engine!$C$2:$C$622,0)),"",INDEX('Compliance Database'!$K$2:$K$622,MATCH(374,Engine!$C$2:$C$622,0)))</f>
        <v/>
      </c>
      <c r="L387" s="8">
        <f>IF(ISNA(MATCH(374,Engine!$C$2:$C$622,0)),"",INDEX('Compliance Database'!$L$2:$L$622,MATCH(374,Engine!$C$2:$C$622,0)))</f>
        <v/>
      </c>
      <c r="M387" s="8">
        <f>IF(ISNA(MATCH(374,Engine!$C$2:$C$622,0)),"",INDEX('Compliance Database'!$M$2:$M$622,MATCH(374,Engine!$C$2:$C$622,0)))</f>
        <v/>
      </c>
      <c r="N387" s="8">
        <f>IF(ISNA(MATCH(374,Engine!$C$2:$C$622,0)),"",INDEX('Compliance Database'!$N$2:$N$622,MATCH(374,Engine!$C$2:$C$622,0)))</f>
        <v/>
      </c>
      <c r="O387" s="8">
        <f>IF(ISNA(MATCH(374,Engine!$C$2:$C$622,0)),"",INDEX('Compliance Database'!$O$2:$O$622,MATCH(374,Engine!$C$2:$C$622,0)))</f>
        <v/>
      </c>
    </row>
    <row r="388">
      <c r="A388">
        <f>IF(ISNA(MATCH(375,Engine!$C$2:$C$622,0)),"",INDEX('Compliance Database'!$A$2:$A$622,MATCH(375,Engine!$C$2:$C$622,0)))</f>
        <v/>
      </c>
      <c r="B388">
        <f>IF(ISNA(MATCH(375,Engine!$C$2:$C$622,0)),"",INDEX('Compliance Database'!$B$2:$B$622,MATCH(375,Engine!$C$2:$C$622,0)))</f>
        <v/>
      </c>
      <c r="C388">
        <f>IF(ISNA(MATCH(375,Engine!$C$2:$C$622,0)),"",INDEX('Compliance Database'!$C$2:$C$622,MATCH(375,Engine!$C$2:$C$622,0)))</f>
        <v/>
      </c>
      <c r="D388" s="8">
        <f>IF(ISNA(MATCH(375,Engine!$C$2:$C$622,0)),"",INDEX('Compliance Database'!$D$2:$D$622,MATCH(375,Engine!$C$2:$C$622,0)))</f>
        <v/>
      </c>
      <c r="E388">
        <f>IF(ISNA(MATCH(375,Engine!$C$2:$C$622,0)),"",INDEX('Compliance Database'!$E$2:$E$622,MATCH(375,Engine!$C$2:$C$622,0)))</f>
        <v/>
      </c>
      <c r="F388">
        <f>IF(ISNA(MATCH(375,Engine!$C$2:$C$622,0)),"",INDEX('Compliance Database'!$F$2:$F$622,MATCH(375,Engine!$C$2:$C$622,0)))</f>
        <v/>
      </c>
      <c r="G388">
        <f>IF(ISNA(MATCH(375,Engine!$C$2:$C$622,0)),"",INDEX('Compliance Database'!$G$2:$G$622,MATCH(375,Engine!$C$2:$C$622,0)))</f>
        <v/>
      </c>
      <c r="H388">
        <f>IF(ISNA(MATCH(375,Engine!$C$2:$C$622,0)),"",INDEX('Compliance Database'!$H$2:$H$622,MATCH(375,Engine!$C$2:$C$622,0)))</f>
        <v/>
      </c>
      <c r="I388" s="8">
        <f>IF(ISNA(MATCH(375,Engine!$C$2:$C$622,0)),"",INDEX('Compliance Database'!$I$2:$I$622,MATCH(375,Engine!$C$2:$C$622,0)))</f>
        <v/>
      </c>
      <c r="J388" s="8">
        <f>IF(ISNA(MATCH(375,Engine!$C$2:$C$622,0)),"",INDEX('Compliance Database'!$J$2:$J$622,MATCH(375,Engine!$C$2:$C$622,0)))</f>
        <v/>
      </c>
      <c r="K388">
        <f>IF(ISNA(MATCH(375,Engine!$C$2:$C$622,0)),"",INDEX('Compliance Database'!$K$2:$K$622,MATCH(375,Engine!$C$2:$C$622,0)))</f>
        <v/>
      </c>
      <c r="L388" s="8">
        <f>IF(ISNA(MATCH(375,Engine!$C$2:$C$622,0)),"",INDEX('Compliance Database'!$L$2:$L$622,MATCH(375,Engine!$C$2:$C$622,0)))</f>
        <v/>
      </c>
      <c r="M388" s="8">
        <f>IF(ISNA(MATCH(375,Engine!$C$2:$C$622,0)),"",INDEX('Compliance Database'!$M$2:$M$622,MATCH(375,Engine!$C$2:$C$622,0)))</f>
        <v/>
      </c>
      <c r="N388" s="8">
        <f>IF(ISNA(MATCH(375,Engine!$C$2:$C$622,0)),"",INDEX('Compliance Database'!$N$2:$N$622,MATCH(375,Engine!$C$2:$C$622,0)))</f>
        <v/>
      </c>
      <c r="O388" s="8">
        <f>IF(ISNA(MATCH(375,Engine!$C$2:$C$622,0)),"",INDEX('Compliance Database'!$O$2:$O$622,MATCH(375,Engine!$C$2:$C$622,0)))</f>
        <v/>
      </c>
    </row>
    <row r="389">
      <c r="A389">
        <f>IF(ISNA(MATCH(376,Engine!$C$2:$C$622,0)),"",INDEX('Compliance Database'!$A$2:$A$622,MATCH(376,Engine!$C$2:$C$622,0)))</f>
        <v/>
      </c>
      <c r="B389">
        <f>IF(ISNA(MATCH(376,Engine!$C$2:$C$622,0)),"",INDEX('Compliance Database'!$B$2:$B$622,MATCH(376,Engine!$C$2:$C$622,0)))</f>
        <v/>
      </c>
      <c r="C389">
        <f>IF(ISNA(MATCH(376,Engine!$C$2:$C$622,0)),"",INDEX('Compliance Database'!$C$2:$C$622,MATCH(376,Engine!$C$2:$C$622,0)))</f>
        <v/>
      </c>
      <c r="D389" s="8">
        <f>IF(ISNA(MATCH(376,Engine!$C$2:$C$622,0)),"",INDEX('Compliance Database'!$D$2:$D$622,MATCH(376,Engine!$C$2:$C$622,0)))</f>
        <v/>
      </c>
      <c r="E389">
        <f>IF(ISNA(MATCH(376,Engine!$C$2:$C$622,0)),"",INDEX('Compliance Database'!$E$2:$E$622,MATCH(376,Engine!$C$2:$C$622,0)))</f>
        <v/>
      </c>
      <c r="F389">
        <f>IF(ISNA(MATCH(376,Engine!$C$2:$C$622,0)),"",INDEX('Compliance Database'!$F$2:$F$622,MATCH(376,Engine!$C$2:$C$622,0)))</f>
        <v/>
      </c>
      <c r="G389">
        <f>IF(ISNA(MATCH(376,Engine!$C$2:$C$622,0)),"",INDEX('Compliance Database'!$G$2:$G$622,MATCH(376,Engine!$C$2:$C$622,0)))</f>
        <v/>
      </c>
      <c r="H389">
        <f>IF(ISNA(MATCH(376,Engine!$C$2:$C$622,0)),"",INDEX('Compliance Database'!$H$2:$H$622,MATCH(376,Engine!$C$2:$C$622,0)))</f>
        <v/>
      </c>
      <c r="I389" s="8">
        <f>IF(ISNA(MATCH(376,Engine!$C$2:$C$622,0)),"",INDEX('Compliance Database'!$I$2:$I$622,MATCH(376,Engine!$C$2:$C$622,0)))</f>
        <v/>
      </c>
      <c r="J389" s="8">
        <f>IF(ISNA(MATCH(376,Engine!$C$2:$C$622,0)),"",INDEX('Compliance Database'!$J$2:$J$622,MATCH(376,Engine!$C$2:$C$622,0)))</f>
        <v/>
      </c>
      <c r="K389">
        <f>IF(ISNA(MATCH(376,Engine!$C$2:$C$622,0)),"",INDEX('Compliance Database'!$K$2:$K$622,MATCH(376,Engine!$C$2:$C$622,0)))</f>
        <v/>
      </c>
      <c r="L389" s="8">
        <f>IF(ISNA(MATCH(376,Engine!$C$2:$C$622,0)),"",INDEX('Compliance Database'!$L$2:$L$622,MATCH(376,Engine!$C$2:$C$622,0)))</f>
        <v/>
      </c>
      <c r="M389" s="8">
        <f>IF(ISNA(MATCH(376,Engine!$C$2:$C$622,0)),"",INDEX('Compliance Database'!$M$2:$M$622,MATCH(376,Engine!$C$2:$C$622,0)))</f>
        <v/>
      </c>
      <c r="N389" s="8">
        <f>IF(ISNA(MATCH(376,Engine!$C$2:$C$622,0)),"",INDEX('Compliance Database'!$N$2:$N$622,MATCH(376,Engine!$C$2:$C$622,0)))</f>
        <v/>
      </c>
      <c r="O389" s="8">
        <f>IF(ISNA(MATCH(376,Engine!$C$2:$C$622,0)),"",INDEX('Compliance Database'!$O$2:$O$622,MATCH(376,Engine!$C$2:$C$622,0)))</f>
        <v/>
      </c>
    </row>
    <row r="390">
      <c r="A390">
        <f>IF(ISNA(MATCH(377,Engine!$C$2:$C$622,0)),"",INDEX('Compliance Database'!$A$2:$A$622,MATCH(377,Engine!$C$2:$C$622,0)))</f>
        <v/>
      </c>
      <c r="B390">
        <f>IF(ISNA(MATCH(377,Engine!$C$2:$C$622,0)),"",INDEX('Compliance Database'!$B$2:$B$622,MATCH(377,Engine!$C$2:$C$622,0)))</f>
        <v/>
      </c>
      <c r="C390">
        <f>IF(ISNA(MATCH(377,Engine!$C$2:$C$622,0)),"",INDEX('Compliance Database'!$C$2:$C$622,MATCH(377,Engine!$C$2:$C$622,0)))</f>
        <v/>
      </c>
      <c r="D390" s="8">
        <f>IF(ISNA(MATCH(377,Engine!$C$2:$C$622,0)),"",INDEX('Compliance Database'!$D$2:$D$622,MATCH(377,Engine!$C$2:$C$622,0)))</f>
        <v/>
      </c>
      <c r="E390">
        <f>IF(ISNA(MATCH(377,Engine!$C$2:$C$622,0)),"",INDEX('Compliance Database'!$E$2:$E$622,MATCH(377,Engine!$C$2:$C$622,0)))</f>
        <v/>
      </c>
      <c r="F390">
        <f>IF(ISNA(MATCH(377,Engine!$C$2:$C$622,0)),"",INDEX('Compliance Database'!$F$2:$F$622,MATCH(377,Engine!$C$2:$C$622,0)))</f>
        <v/>
      </c>
      <c r="G390">
        <f>IF(ISNA(MATCH(377,Engine!$C$2:$C$622,0)),"",INDEX('Compliance Database'!$G$2:$G$622,MATCH(377,Engine!$C$2:$C$622,0)))</f>
        <v/>
      </c>
      <c r="H390">
        <f>IF(ISNA(MATCH(377,Engine!$C$2:$C$622,0)),"",INDEX('Compliance Database'!$H$2:$H$622,MATCH(377,Engine!$C$2:$C$622,0)))</f>
        <v/>
      </c>
      <c r="I390" s="8">
        <f>IF(ISNA(MATCH(377,Engine!$C$2:$C$622,0)),"",INDEX('Compliance Database'!$I$2:$I$622,MATCH(377,Engine!$C$2:$C$622,0)))</f>
        <v/>
      </c>
      <c r="J390" s="8">
        <f>IF(ISNA(MATCH(377,Engine!$C$2:$C$622,0)),"",INDEX('Compliance Database'!$J$2:$J$622,MATCH(377,Engine!$C$2:$C$622,0)))</f>
        <v/>
      </c>
      <c r="K390">
        <f>IF(ISNA(MATCH(377,Engine!$C$2:$C$622,0)),"",INDEX('Compliance Database'!$K$2:$K$622,MATCH(377,Engine!$C$2:$C$622,0)))</f>
        <v/>
      </c>
      <c r="L390" s="8">
        <f>IF(ISNA(MATCH(377,Engine!$C$2:$C$622,0)),"",INDEX('Compliance Database'!$L$2:$L$622,MATCH(377,Engine!$C$2:$C$622,0)))</f>
        <v/>
      </c>
      <c r="M390" s="8">
        <f>IF(ISNA(MATCH(377,Engine!$C$2:$C$622,0)),"",INDEX('Compliance Database'!$M$2:$M$622,MATCH(377,Engine!$C$2:$C$622,0)))</f>
        <v/>
      </c>
      <c r="N390" s="8">
        <f>IF(ISNA(MATCH(377,Engine!$C$2:$C$622,0)),"",INDEX('Compliance Database'!$N$2:$N$622,MATCH(377,Engine!$C$2:$C$622,0)))</f>
        <v/>
      </c>
      <c r="O390" s="8">
        <f>IF(ISNA(MATCH(377,Engine!$C$2:$C$622,0)),"",INDEX('Compliance Database'!$O$2:$O$622,MATCH(377,Engine!$C$2:$C$622,0)))</f>
        <v/>
      </c>
    </row>
    <row r="391">
      <c r="A391">
        <f>IF(ISNA(MATCH(378,Engine!$C$2:$C$622,0)),"",INDEX('Compliance Database'!$A$2:$A$622,MATCH(378,Engine!$C$2:$C$622,0)))</f>
        <v/>
      </c>
      <c r="B391">
        <f>IF(ISNA(MATCH(378,Engine!$C$2:$C$622,0)),"",INDEX('Compliance Database'!$B$2:$B$622,MATCH(378,Engine!$C$2:$C$622,0)))</f>
        <v/>
      </c>
      <c r="C391">
        <f>IF(ISNA(MATCH(378,Engine!$C$2:$C$622,0)),"",INDEX('Compliance Database'!$C$2:$C$622,MATCH(378,Engine!$C$2:$C$622,0)))</f>
        <v/>
      </c>
      <c r="D391" s="8">
        <f>IF(ISNA(MATCH(378,Engine!$C$2:$C$622,0)),"",INDEX('Compliance Database'!$D$2:$D$622,MATCH(378,Engine!$C$2:$C$622,0)))</f>
        <v/>
      </c>
      <c r="E391">
        <f>IF(ISNA(MATCH(378,Engine!$C$2:$C$622,0)),"",INDEX('Compliance Database'!$E$2:$E$622,MATCH(378,Engine!$C$2:$C$622,0)))</f>
        <v/>
      </c>
      <c r="F391">
        <f>IF(ISNA(MATCH(378,Engine!$C$2:$C$622,0)),"",INDEX('Compliance Database'!$F$2:$F$622,MATCH(378,Engine!$C$2:$C$622,0)))</f>
        <v/>
      </c>
      <c r="G391">
        <f>IF(ISNA(MATCH(378,Engine!$C$2:$C$622,0)),"",INDEX('Compliance Database'!$G$2:$G$622,MATCH(378,Engine!$C$2:$C$622,0)))</f>
        <v/>
      </c>
      <c r="H391">
        <f>IF(ISNA(MATCH(378,Engine!$C$2:$C$622,0)),"",INDEX('Compliance Database'!$H$2:$H$622,MATCH(378,Engine!$C$2:$C$622,0)))</f>
        <v/>
      </c>
      <c r="I391" s="8">
        <f>IF(ISNA(MATCH(378,Engine!$C$2:$C$622,0)),"",INDEX('Compliance Database'!$I$2:$I$622,MATCH(378,Engine!$C$2:$C$622,0)))</f>
        <v/>
      </c>
      <c r="J391" s="8">
        <f>IF(ISNA(MATCH(378,Engine!$C$2:$C$622,0)),"",INDEX('Compliance Database'!$J$2:$J$622,MATCH(378,Engine!$C$2:$C$622,0)))</f>
        <v/>
      </c>
      <c r="K391">
        <f>IF(ISNA(MATCH(378,Engine!$C$2:$C$622,0)),"",INDEX('Compliance Database'!$K$2:$K$622,MATCH(378,Engine!$C$2:$C$622,0)))</f>
        <v/>
      </c>
      <c r="L391" s="8">
        <f>IF(ISNA(MATCH(378,Engine!$C$2:$C$622,0)),"",INDEX('Compliance Database'!$L$2:$L$622,MATCH(378,Engine!$C$2:$C$622,0)))</f>
        <v/>
      </c>
      <c r="M391" s="8">
        <f>IF(ISNA(MATCH(378,Engine!$C$2:$C$622,0)),"",INDEX('Compliance Database'!$M$2:$M$622,MATCH(378,Engine!$C$2:$C$622,0)))</f>
        <v/>
      </c>
      <c r="N391" s="8">
        <f>IF(ISNA(MATCH(378,Engine!$C$2:$C$622,0)),"",INDEX('Compliance Database'!$N$2:$N$622,MATCH(378,Engine!$C$2:$C$622,0)))</f>
        <v/>
      </c>
      <c r="O391" s="8">
        <f>IF(ISNA(MATCH(378,Engine!$C$2:$C$622,0)),"",INDEX('Compliance Database'!$O$2:$O$622,MATCH(378,Engine!$C$2:$C$622,0)))</f>
        <v/>
      </c>
    </row>
    <row r="392">
      <c r="A392">
        <f>IF(ISNA(MATCH(379,Engine!$C$2:$C$622,0)),"",INDEX('Compliance Database'!$A$2:$A$622,MATCH(379,Engine!$C$2:$C$622,0)))</f>
        <v/>
      </c>
      <c r="B392">
        <f>IF(ISNA(MATCH(379,Engine!$C$2:$C$622,0)),"",INDEX('Compliance Database'!$B$2:$B$622,MATCH(379,Engine!$C$2:$C$622,0)))</f>
        <v/>
      </c>
      <c r="C392">
        <f>IF(ISNA(MATCH(379,Engine!$C$2:$C$622,0)),"",INDEX('Compliance Database'!$C$2:$C$622,MATCH(379,Engine!$C$2:$C$622,0)))</f>
        <v/>
      </c>
      <c r="D392" s="8">
        <f>IF(ISNA(MATCH(379,Engine!$C$2:$C$622,0)),"",INDEX('Compliance Database'!$D$2:$D$622,MATCH(379,Engine!$C$2:$C$622,0)))</f>
        <v/>
      </c>
      <c r="E392">
        <f>IF(ISNA(MATCH(379,Engine!$C$2:$C$622,0)),"",INDEX('Compliance Database'!$E$2:$E$622,MATCH(379,Engine!$C$2:$C$622,0)))</f>
        <v/>
      </c>
      <c r="F392">
        <f>IF(ISNA(MATCH(379,Engine!$C$2:$C$622,0)),"",INDEX('Compliance Database'!$F$2:$F$622,MATCH(379,Engine!$C$2:$C$622,0)))</f>
        <v/>
      </c>
      <c r="G392">
        <f>IF(ISNA(MATCH(379,Engine!$C$2:$C$622,0)),"",INDEX('Compliance Database'!$G$2:$G$622,MATCH(379,Engine!$C$2:$C$622,0)))</f>
        <v/>
      </c>
      <c r="H392">
        <f>IF(ISNA(MATCH(379,Engine!$C$2:$C$622,0)),"",INDEX('Compliance Database'!$H$2:$H$622,MATCH(379,Engine!$C$2:$C$622,0)))</f>
        <v/>
      </c>
      <c r="I392" s="8">
        <f>IF(ISNA(MATCH(379,Engine!$C$2:$C$622,0)),"",INDEX('Compliance Database'!$I$2:$I$622,MATCH(379,Engine!$C$2:$C$622,0)))</f>
        <v/>
      </c>
      <c r="J392" s="8">
        <f>IF(ISNA(MATCH(379,Engine!$C$2:$C$622,0)),"",INDEX('Compliance Database'!$J$2:$J$622,MATCH(379,Engine!$C$2:$C$622,0)))</f>
        <v/>
      </c>
      <c r="K392">
        <f>IF(ISNA(MATCH(379,Engine!$C$2:$C$622,0)),"",INDEX('Compliance Database'!$K$2:$K$622,MATCH(379,Engine!$C$2:$C$622,0)))</f>
        <v/>
      </c>
      <c r="L392" s="8">
        <f>IF(ISNA(MATCH(379,Engine!$C$2:$C$622,0)),"",INDEX('Compliance Database'!$L$2:$L$622,MATCH(379,Engine!$C$2:$C$622,0)))</f>
        <v/>
      </c>
      <c r="M392" s="8">
        <f>IF(ISNA(MATCH(379,Engine!$C$2:$C$622,0)),"",INDEX('Compliance Database'!$M$2:$M$622,MATCH(379,Engine!$C$2:$C$622,0)))</f>
        <v/>
      </c>
      <c r="N392" s="8">
        <f>IF(ISNA(MATCH(379,Engine!$C$2:$C$622,0)),"",INDEX('Compliance Database'!$N$2:$N$622,MATCH(379,Engine!$C$2:$C$622,0)))</f>
        <v/>
      </c>
      <c r="O392" s="8">
        <f>IF(ISNA(MATCH(379,Engine!$C$2:$C$622,0)),"",INDEX('Compliance Database'!$O$2:$O$622,MATCH(379,Engine!$C$2:$C$622,0)))</f>
        <v/>
      </c>
    </row>
    <row r="393">
      <c r="A393">
        <f>IF(ISNA(MATCH(380,Engine!$C$2:$C$622,0)),"",INDEX('Compliance Database'!$A$2:$A$622,MATCH(380,Engine!$C$2:$C$622,0)))</f>
        <v/>
      </c>
      <c r="B393">
        <f>IF(ISNA(MATCH(380,Engine!$C$2:$C$622,0)),"",INDEX('Compliance Database'!$B$2:$B$622,MATCH(380,Engine!$C$2:$C$622,0)))</f>
        <v/>
      </c>
      <c r="C393">
        <f>IF(ISNA(MATCH(380,Engine!$C$2:$C$622,0)),"",INDEX('Compliance Database'!$C$2:$C$622,MATCH(380,Engine!$C$2:$C$622,0)))</f>
        <v/>
      </c>
      <c r="D393" s="8">
        <f>IF(ISNA(MATCH(380,Engine!$C$2:$C$622,0)),"",INDEX('Compliance Database'!$D$2:$D$622,MATCH(380,Engine!$C$2:$C$622,0)))</f>
        <v/>
      </c>
      <c r="E393">
        <f>IF(ISNA(MATCH(380,Engine!$C$2:$C$622,0)),"",INDEX('Compliance Database'!$E$2:$E$622,MATCH(380,Engine!$C$2:$C$622,0)))</f>
        <v/>
      </c>
      <c r="F393">
        <f>IF(ISNA(MATCH(380,Engine!$C$2:$C$622,0)),"",INDEX('Compliance Database'!$F$2:$F$622,MATCH(380,Engine!$C$2:$C$622,0)))</f>
        <v/>
      </c>
      <c r="G393">
        <f>IF(ISNA(MATCH(380,Engine!$C$2:$C$622,0)),"",INDEX('Compliance Database'!$G$2:$G$622,MATCH(380,Engine!$C$2:$C$622,0)))</f>
        <v/>
      </c>
      <c r="H393">
        <f>IF(ISNA(MATCH(380,Engine!$C$2:$C$622,0)),"",INDEX('Compliance Database'!$H$2:$H$622,MATCH(380,Engine!$C$2:$C$622,0)))</f>
        <v/>
      </c>
      <c r="I393" s="8">
        <f>IF(ISNA(MATCH(380,Engine!$C$2:$C$622,0)),"",INDEX('Compliance Database'!$I$2:$I$622,MATCH(380,Engine!$C$2:$C$622,0)))</f>
        <v/>
      </c>
      <c r="J393" s="8">
        <f>IF(ISNA(MATCH(380,Engine!$C$2:$C$622,0)),"",INDEX('Compliance Database'!$J$2:$J$622,MATCH(380,Engine!$C$2:$C$622,0)))</f>
        <v/>
      </c>
      <c r="K393">
        <f>IF(ISNA(MATCH(380,Engine!$C$2:$C$622,0)),"",INDEX('Compliance Database'!$K$2:$K$622,MATCH(380,Engine!$C$2:$C$622,0)))</f>
        <v/>
      </c>
      <c r="L393" s="8">
        <f>IF(ISNA(MATCH(380,Engine!$C$2:$C$622,0)),"",INDEX('Compliance Database'!$L$2:$L$622,MATCH(380,Engine!$C$2:$C$622,0)))</f>
        <v/>
      </c>
      <c r="M393" s="8">
        <f>IF(ISNA(MATCH(380,Engine!$C$2:$C$622,0)),"",INDEX('Compliance Database'!$M$2:$M$622,MATCH(380,Engine!$C$2:$C$622,0)))</f>
        <v/>
      </c>
      <c r="N393" s="8">
        <f>IF(ISNA(MATCH(380,Engine!$C$2:$C$622,0)),"",INDEX('Compliance Database'!$N$2:$N$622,MATCH(380,Engine!$C$2:$C$622,0)))</f>
        <v/>
      </c>
      <c r="O393" s="8">
        <f>IF(ISNA(MATCH(380,Engine!$C$2:$C$622,0)),"",INDEX('Compliance Database'!$O$2:$O$622,MATCH(380,Engine!$C$2:$C$622,0)))</f>
        <v/>
      </c>
    </row>
    <row r="394">
      <c r="A394">
        <f>IF(ISNA(MATCH(381,Engine!$C$2:$C$622,0)),"",INDEX('Compliance Database'!$A$2:$A$622,MATCH(381,Engine!$C$2:$C$622,0)))</f>
        <v/>
      </c>
      <c r="B394">
        <f>IF(ISNA(MATCH(381,Engine!$C$2:$C$622,0)),"",INDEX('Compliance Database'!$B$2:$B$622,MATCH(381,Engine!$C$2:$C$622,0)))</f>
        <v/>
      </c>
      <c r="C394">
        <f>IF(ISNA(MATCH(381,Engine!$C$2:$C$622,0)),"",INDEX('Compliance Database'!$C$2:$C$622,MATCH(381,Engine!$C$2:$C$622,0)))</f>
        <v/>
      </c>
      <c r="D394" s="8">
        <f>IF(ISNA(MATCH(381,Engine!$C$2:$C$622,0)),"",INDEX('Compliance Database'!$D$2:$D$622,MATCH(381,Engine!$C$2:$C$622,0)))</f>
        <v/>
      </c>
      <c r="E394">
        <f>IF(ISNA(MATCH(381,Engine!$C$2:$C$622,0)),"",INDEX('Compliance Database'!$E$2:$E$622,MATCH(381,Engine!$C$2:$C$622,0)))</f>
        <v/>
      </c>
      <c r="F394">
        <f>IF(ISNA(MATCH(381,Engine!$C$2:$C$622,0)),"",INDEX('Compliance Database'!$F$2:$F$622,MATCH(381,Engine!$C$2:$C$622,0)))</f>
        <v/>
      </c>
      <c r="G394">
        <f>IF(ISNA(MATCH(381,Engine!$C$2:$C$622,0)),"",INDEX('Compliance Database'!$G$2:$G$622,MATCH(381,Engine!$C$2:$C$622,0)))</f>
        <v/>
      </c>
      <c r="H394">
        <f>IF(ISNA(MATCH(381,Engine!$C$2:$C$622,0)),"",INDEX('Compliance Database'!$H$2:$H$622,MATCH(381,Engine!$C$2:$C$622,0)))</f>
        <v/>
      </c>
      <c r="I394" s="8">
        <f>IF(ISNA(MATCH(381,Engine!$C$2:$C$622,0)),"",INDEX('Compliance Database'!$I$2:$I$622,MATCH(381,Engine!$C$2:$C$622,0)))</f>
        <v/>
      </c>
      <c r="J394" s="8">
        <f>IF(ISNA(MATCH(381,Engine!$C$2:$C$622,0)),"",INDEX('Compliance Database'!$J$2:$J$622,MATCH(381,Engine!$C$2:$C$622,0)))</f>
        <v/>
      </c>
      <c r="K394">
        <f>IF(ISNA(MATCH(381,Engine!$C$2:$C$622,0)),"",INDEX('Compliance Database'!$K$2:$K$622,MATCH(381,Engine!$C$2:$C$622,0)))</f>
        <v/>
      </c>
      <c r="L394" s="8">
        <f>IF(ISNA(MATCH(381,Engine!$C$2:$C$622,0)),"",INDEX('Compliance Database'!$L$2:$L$622,MATCH(381,Engine!$C$2:$C$622,0)))</f>
        <v/>
      </c>
      <c r="M394" s="8">
        <f>IF(ISNA(MATCH(381,Engine!$C$2:$C$622,0)),"",INDEX('Compliance Database'!$M$2:$M$622,MATCH(381,Engine!$C$2:$C$622,0)))</f>
        <v/>
      </c>
      <c r="N394" s="8">
        <f>IF(ISNA(MATCH(381,Engine!$C$2:$C$622,0)),"",INDEX('Compliance Database'!$N$2:$N$622,MATCH(381,Engine!$C$2:$C$622,0)))</f>
        <v/>
      </c>
      <c r="O394" s="8">
        <f>IF(ISNA(MATCH(381,Engine!$C$2:$C$622,0)),"",INDEX('Compliance Database'!$O$2:$O$622,MATCH(381,Engine!$C$2:$C$622,0)))</f>
        <v/>
      </c>
    </row>
    <row r="395">
      <c r="A395">
        <f>IF(ISNA(MATCH(382,Engine!$C$2:$C$622,0)),"",INDEX('Compliance Database'!$A$2:$A$622,MATCH(382,Engine!$C$2:$C$622,0)))</f>
        <v/>
      </c>
      <c r="B395">
        <f>IF(ISNA(MATCH(382,Engine!$C$2:$C$622,0)),"",INDEX('Compliance Database'!$B$2:$B$622,MATCH(382,Engine!$C$2:$C$622,0)))</f>
        <v/>
      </c>
      <c r="C395">
        <f>IF(ISNA(MATCH(382,Engine!$C$2:$C$622,0)),"",INDEX('Compliance Database'!$C$2:$C$622,MATCH(382,Engine!$C$2:$C$622,0)))</f>
        <v/>
      </c>
      <c r="D395" s="8">
        <f>IF(ISNA(MATCH(382,Engine!$C$2:$C$622,0)),"",INDEX('Compliance Database'!$D$2:$D$622,MATCH(382,Engine!$C$2:$C$622,0)))</f>
        <v/>
      </c>
      <c r="E395">
        <f>IF(ISNA(MATCH(382,Engine!$C$2:$C$622,0)),"",INDEX('Compliance Database'!$E$2:$E$622,MATCH(382,Engine!$C$2:$C$622,0)))</f>
        <v/>
      </c>
      <c r="F395">
        <f>IF(ISNA(MATCH(382,Engine!$C$2:$C$622,0)),"",INDEX('Compliance Database'!$F$2:$F$622,MATCH(382,Engine!$C$2:$C$622,0)))</f>
        <v/>
      </c>
      <c r="G395">
        <f>IF(ISNA(MATCH(382,Engine!$C$2:$C$622,0)),"",INDEX('Compliance Database'!$G$2:$G$622,MATCH(382,Engine!$C$2:$C$622,0)))</f>
        <v/>
      </c>
      <c r="H395">
        <f>IF(ISNA(MATCH(382,Engine!$C$2:$C$622,0)),"",INDEX('Compliance Database'!$H$2:$H$622,MATCH(382,Engine!$C$2:$C$622,0)))</f>
        <v/>
      </c>
      <c r="I395" s="8">
        <f>IF(ISNA(MATCH(382,Engine!$C$2:$C$622,0)),"",INDEX('Compliance Database'!$I$2:$I$622,MATCH(382,Engine!$C$2:$C$622,0)))</f>
        <v/>
      </c>
      <c r="J395" s="8">
        <f>IF(ISNA(MATCH(382,Engine!$C$2:$C$622,0)),"",INDEX('Compliance Database'!$J$2:$J$622,MATCH(382,Engine!$C$2:$C$622,0)))</f>
        <v/>
      </c>
      <c r="K395">
        <f>IF(ISNA(MATCH(382,Engine!$C$2:$C$622,0)),"",INDEX('Compliance Database'!$K$2:$K$622,MATCH(382,Engine!$C$2:$C$622,0)))</f>
        <v/>
      </c>
      <c r="L395" s="8">
        <f>IF(ISNA(MATCH(382,Engine!$C$2:$C$622,0)),"",INDEX('Compliance Database'!$L$2:$L$622,MATCH(382,Engine!$C$2:$C$622,0)))</f>
        <v/>
      </c>
      <c r="M395" s="8">
        <f>IF(ISNA(MATCH(382,Engine!$C$2:$C$622,0)),"",INDEX('Compliance Database'!$M$2:$M$622,MATCH(382,Engine!$C$2:$C$622,0)))</f>
        <v/>
      </c>
      <c r="N395" s="8">
        <f>IF(ISNA(MATCH(382,Engine!$C$2:$C$622,0)),"",INDEX('Compliance Database'!$N$2:$N$622,MATCH(382,Engine!$C$2:$C$622,0)))</f>
        <v/>
      </c>
      <c r="O395" s="8">
        <f>IF(ISNA(MATCH(382,Engine!$C$2:$C$622,0)),"",INDEX('Compliance Database'!$O$2:$O$622,MATCH(382,Engine!$C$2:$C$622,0)))</f>
        <v/>
      </c>
    </row>
    <row r="396">
      <c r="A396">
        <f>IF(ISNA(MATCH(383,Engine!$C$2:$C$622,0)),"",INDEX('Compliance Database'!$A$2:$A$622,MATCH(383,Engine!$C$2:$C$622,0)))</f>
        <v/>
      </c>
      <c r="B396">
        <f>IF(ISNA(MATCH(383,Engine!$C$2:$C$622,0)),"",INDEX('Compliance Database'!$B$2:$B$622,MATCH(383,Engine!$C$2:$C$622,0)))</f>
        <v/>
      </c>
      <c r="C396">
        <f>IF(ISNA(MATCH(383,Engine!$C$2:$C$622,0)),"",INDEX('Compliance Database'!$C$2:$C$622,MATCH(383,Engine!$C$2:$C$622,0)))</f>
        <v/>
      </c>
      <c r="D396" s="8">
        <f>IF(ISNA(MATCH(383,Engine!$C$2:$C$622,0)),"",INDEX('Compliance Database'!$D$2:$D$622,MATCH(383,Engine!$C$2:$C$622,0)))</f>
        <v/>
      </c>
      <c r="E396">
        <f>IF(ISNA(MATCH(383,Engine!$C$2:$C$622,0)),"",INDEX('Compliance Database'!$E$2:$E$622,MATCH(383,Engine!$C$2:$C$622,0)))</f>
        <v/>
      </c>
      <c r="F396">
        <f>IF(ISNA(MATCH(383,Engine!$C$2:$C$622,0)),"",INDEX('Compliance Database'!$F$2:$F$622,MATCH(383,Engine!$C$2:$C$622,0)))</f>
        <v/>
      </c>
      <c r="G396">
        <f>IF(ISNA(MATCH(383,Engine!$C$2:$C$622,0)),"",INDEX('Compliance Database'!$G$2:$G$622,MATCH(383,Engine!$C$2:$C$622,0)))</f>
        <v/>
      </c>
      <c r="H396">
        <f>IF(ISNA(MATCH(383,Engine!$C$2:$C$622,0)),"",INDEX('Compliance Database'!$H$2:$H$622,MATCH(383,Engine!$C$2:$C$622,0)))</f>
        <v/>
      </c>
      <c r="I396" s="8">
        <f>IF(ISNA(MATCH(383,Engine!$C$2:$C$622,0)),"",INDEX('Compliance Database'!$I$2:$I$622,MATCH(383,Engine!$C$2:$C$622,0)))</f>
        <v/>
      </c>
      <c r="J396" s="8">
        <f>IF(ISNA(MATCH(383,Engine!$C$2:$C$622,0)),"",INDEX('Compliance Database'!$J$2:$J$622,MATCH(383,Engine!$C$2:$C$622,0)))</f>
        <v/>
      </c>
      <c r="K396">
        <f>IF(ISNA(MATCH(383,Engine!$C$2:$C$622,0)),"",INDEX('Compliance Database'!$K$2:$K$622,MATCH(383,Engine!$C$2:$C$622,0)))</f>
        <v/>
      </c>
      <c r="L396" s="8">
        <f>IF(ISNA(MATCH(383,Engine!$C$2:$C$622,0)),"",INDEX('Compliance Database'!$L$2:$L$622,MATCH(383,Engine!$C$2:$C$622,0)))</f>
        <v/>
      </c>
      <c r="M396" s="8">
        <f>IF(ISNA(MATCH(383,Engine!$C$2:$C$622,0)),"",INDEX('Compliance Database'!$M$2:$M$622,MATCH(383,Engine!$C$2:$C$622,0)))</f>
        <v/>
      </c>
      <c r="N396" s="8">
        <f>IF(ISNA(MATCH(383,Engine!$C$2:$C$622,0)),"",INDEX('Compliance Database'!$N$2:$N$622,MATCH(383,Engine!$C$2:$C$622,0)))</f>
        <v/>
      </c>
      <c r="O396" s="8">
        <f>IF(ISNA(MATCH(383,Engine!$C$2:$C$622,0)),"",INDEX('Compliance Database'!$O$2:$O$622,MATCH(383,Engine!$C$2:$C$622,0)))</f>
        <v/>
      </c>
    </row>
    <row r="397">
      <c r="A397">
        <f>IF(ISNA(MATCH(384,Engine!$C$2:$C$622,0)),"",INDEX('Compliance Database'!$A$2:$A$622,MATCH(384,Engine!$C$2:$C$622,0)))</f>
        <v/>
      </c>
      <c r="B397">
        <f>IF(ISNA(MATCH(384,Engine!$C$2:$C$622,0)),"",INDEX('Compliance Database'!$B$2:$B$622,MATCH(384,Engine!$C$2:$C$622,0)))</f>
        <v/>
      </c>
      <c r="C397">
        <f>IF(ISNA(MATCH(384,Engine!$C$2:$C$622,0)),"",INDEX('Compliance Database'!$C$2:$C$622,MATCH(384,Engine!$C$2:$C$622,0)))</f>
        <v/>
      </c>
      <c r="D397" s="8">
        <f>IF(ISNA(MATCH(384,Engine!$C$2:$C$622,0)),"",INDEX('Compliance Database'!$D$2:$D$622,MATCH(384,Engine!$C$2:$C$622,0)))</f>
        <v/>
      </c>
      <c r="E397">
        <f>IF(ISNA(MATCH(384,Engine!$C$2:$C$622,0)),"",INDEX('Compliance Database'!$E$2:$E$622,MATCH(384,Engine!$C$2:$C$622,0)))</f>
        <v/>
      </c>
      <c r="F397">
        <f>IF(ISNA(MATCH(384,Engine!$C$2:$C$622,0)),"",INDEX('Compliance Database'!$F$2:$F$622,MATCH(384,Engine!$C$2:$C$622,0)))</f>
        <v/>
      </c>
      <c r="G397">
        <f>IF(ISNA(MATCH(384,Engine!$C$2:$C$622,0)),"",INDEX('Compliance Database'!$G$2:$G$622,MATCH(384,Engine!$C$2:$C$622,0)))</f>
        <v/>
      </c>
      <c r="H397">
        <f>IF(ISNA(MATCH(384,Engine!$C$2:$C$622,0)),"",INDEX('Compliance Database'!$H$2:$H$622,MATCH(384,Engine!$C$2:$C$622,0)))</f>
        <v/>
      </c>
      <c r="I397" s="8">
        <f>IF(ISNA(MATCH(384,Engine!$C$2:$C$622,0)),"",INDEX('Compliance Database'!$I$2:$I$622,MATCH(384,Engine!$C$2:$C$622,0)))</f>
        <v/>
      </c>
      <c r="J397" s="8">
        <f>IF(ISNA(MATCH(384,Engine!$C$2:$C$622,0)),"",INDEX('Compliance Database'!$J$2:$J$622,MATCH(384,Engine!$C$2:$C$622,0)))</f>
        <v/>
      </c>
      <c r="K397">
        <f>IF(ISNA(MATCH(384,Engine!$C$2:$C$622,0)),"",INDEX('Compliance Database'!$K$2:$K$622,MATCH(384,Engine!$C$2:$C$622,0)))</f>
        <v/>
      </c>
      <c r="L397" s="8">
        <f>IF(ISNA(MATCH(384,Engine!$C$2:$C$622,0)),"",INDEX('Compliance Database'!$L$2:$L$622,MATCH(384,Engine!$C$2:$C$622,0)))</f>
        <v/>
      </c>
      <c r="M397" s="8">
        <f>IF(ISNA(MATCH(384,Engine!$C$2:$C$622,0)),"",INDEX('Compliance Database'!$M$2:$M$622,MATCH(384,Engine!$C$2:$C$622,0)))</f>
        <v/>
      </c>
      <c r="N397" s="8">
        <f>IF(ISNA(MATCH(384,Engine!$C$2:$C$622,0)),"",INDEX('Compliance Database'!$N$2:$N$622,MATCH(384,Engine!$C$2:$C$622,0)))</f>
        <v/>
      </c>
      <c r="O397" s="8">
        <f>IF(ISNA(MATCH(384,Engine!$C$2:$C$622,0)),"",INDEX('Compliance Database'!$O$2:$O$622,MATCH(384,Engine!$C$2:$C$622,0)))</f>
        <v/>
      </c>
    </row>
    <row r="398">
      <c r="A398">
        <f>IF(ISNA(MATCH(385,Engine!$C$2:$C$622,0)),"",INDEX('Compliance Database'!$A$2:$A$622,MATCH(385,Engine!$C$2:$C$622,0)))</f>
        <v/>
      </c>
      <c r="B398">
        <f>IF(ISNA(MATCH(385,Engine!$C$2:$C$622,0)),"",INDEX('Compliance Database'!$B$2:$B$622,MATCH(385,Engine!$C$2:$C$622,0)))</f>
        <v/>
      </c>
      <c r="C398">
        <f>IF(ISNA(MATCH(385,Engine!$C$2:$C$622,0)),"",INDEX('Compliance Database'!$C$2:$C$622,MATCH(385,Engine!$C$2:$C$622,0)))</f>
        <v/>
      </c>
      <c r="D398" s="8">
        <f>IF(ISNA(MATCH(385,Engine!$C$2:$C$622,0)),"",INDEX('Compliance Database'!$D$2:$D$622,MATCH(385,Engine!$C$2:$C$622,0)))</f>
        <v/>
      </c>
      <c r="E398">
        <f>IF(ISNA(MATCH(385,Engine!$C$2:$C$622,0)),"",INDEX('Compliance Database'!$E$2:$E$622,MATCH(385,Engine!$C$2:$C$622,0)))</f>
        <v/>
      </c>
      <c r="F398">
        <f>IF(ISNA(MATCH(385,Engine!$C$2:$C$622,0)),"",INDEX('Compliance Database'!$F$2:$F$622,MATCH(385,Engine!$C$2:$C$622,0)))</f>
        <v/>
      </c>
      <c r="G398">
        <f>IF(ISNA(MATCH(385,Engine!$C$2:$C$622,0)),"",INDEX('Compliance Database'!$G$2:$G$622,MATCH(385,Engine!$C$2:$C$622,0)))</f>
        <v/>
      </c>
      <c r="H398">
        <f>IF(ISNA(MATCH(385,Engine!$C$2:$C$622,0)),"",INDEX('Compliance Database'!$H$2:$H$622,MATCH(385,Engine!$C$2:$C$622,0)))</f>
        <v/>
      </c>
      <c r="I398" s="8">
        <f>IF(ISNA(MATCH(385,Engine!$C$2:$C$622,0)),"",INDEX('Compliance Database'!$I$2:$I$622,MATCH(385,Engine!$C$2:$C$622,0)))</f>
        <v/>
      </c>
      <c r="J398" s="8">
        <f>IF(ISNA(MATCH(385,Engine!$C$2:$C$622,0)),"",INDEX('Compliance Database'!$J$2:$J$622,MATCH(385,Engine!$C$2:$C$622,0)))</f>
        <v/>
      </c>
      <c r="K398">
        <f>IF(ISNA(MATCH(385,Engine!$C$2:$C$622,0)),"",INDEX('Compliance Database'!$K$2:$K$622,MATCH(385,Engine!$C$2:$C$622,0)))</f>
        <v/>
      </c>
      <c r="L398" s="8">
        <f>IF(ISNA(MATCH(385,Engine!$C$2:$C$622,0)),"",INDEX('Compliance Database'!$L$2:$L$622,MATCH(385,Engine!$C$2:$C$622,0)))</f>
        <v/>
      </c>
      <c r="M398" s="8">
        <f>IF(ISNA(MATCH(385,Engine!$C$2:$C$622,0)),"",INDEX('Compliance Database'!$M$2:$M$622,MATCH(385,Engine!$C$2:$C$622,0)))</f>
        <v/>
      </c>
      <c r="N398" s="8">
        <f>IF(ISNA(MATCH(385,Engine!$C$2:$C$622,0)),"",INDEX('Compliance Database'!$N$2:$N$622,MATCH(385,Engine!$C$2:$C$622,0)))</f>
        <v/>
      </c>
      <c r="O398" s="8">
        <f>IF(ISNA(MATCH(385,Engine!$C$2:$C$622,0)),"",INDEX('Compliance Database'!$O$2:$O$622,MATCH(385,Engine!$C$2:$C$622,0)))</f>
        <v/>
      </c>
    </row>
    <row r="399">
      <c r="A399">
        <f>IF(ISNA(MATCH(386,Engine!$C$2:$C$622,0)),"",INDEX('Compliance Database'!$A$2:$A$622,MATCH(386,Engine!$C$2:$C$622,0)))</f>
        <v/>
      </c>
      <c r="B399">
        <f>IF(ISNA(MATCH(386,Engine!$C$2:$C$622,0)),"",INDEX('Compliance Database'!$B$2:$B$622,MATCH(386,Engine!$C$2:$C$622,0)))</f>
        <v/>
      </c>
      <c r="C399">
        <f>IF(ISNA(MATCH(386,Engine!$C$2:$C$622,0)),"",INDEX('Compliance Database'!$C$2:$C$622,MATCH(386,Engine!$C$2:$C$622,0)))</f>
        <v/>
      </c>
      <c r="D399" s="8">
        <f>IF(ISNA(MATCH(386,Engine!$C$2:$C$622,0)),"",INDEX('Compliance Database'!$D$2:$D$622,MATCH(386,Engine!$C$2:$C$622,0)))</f>
        <v/>
      </c>
      <c r="E399">
        <f>IF(ISNA(MATCH(386,Engine!$C$2:$C$622,0)),"",INDEX('Compliance Database'!$E$2:$E$622,MATCH(386,Engine!$C$2:$C$622,0)))</f>
        <v/>
      </c>
      <c r="F399">
        <f>IF(ISNA(MATCH(386,Engine!$C$2:$C$622,0)),"",INDEX('Compliance Database'!$F$2:$F$622,MATCH(386,Engine!$C$2:$C$622,0)))</f>
        <v/>
      </c>
      <c r="G399">
        <f>IF(ISNA(MATCH(386,Engine!$C$2:$C$622,0)),"",INDEX('Compliance Database'!$G$2:$G$622,MATCH(386,Engine!$C$2:$C$622,0)))</f>
        <v/>
      </c>
      <c r="H399">
        <f>IF(ISNA(MATCH(386,Engine!$C$2:$C$622,0)),"",INDEX('Compliance Database'!$H$2:$H$622,MATCH(386,Engine!$C$2:$C$622,0)))</f>
        <v/>
      </c>
      <c r="I399" s="8">
        <f>IF(ISNA(MATCH(386,Engine!$C$2:$C$622,0)),"",INDEX('Compliance Database'!$I$2:$I$622,MATCH(386,Engine!$C$2:$C$622,0)))</f>
        <v/>
      </c>
      <c r="J399" s="8">
        <f>IF(ISNA(MATCH(386,Engine!$C$2:$C$622,0)),"",INDEX('Compliance Database'!$J$2:$J$622,MATCH(386,Engine!$C$2:$C$622,0)))</f>
        <v/>
      </c>
      <c r="K399">
        <f>IF(ISNA(MATCH(386,Engine!$C$2:$C$622,0)),"",INDEX('Compliance Database'!$K$2:$K$622,MATCH(386,Engine!$C$2:$C$622,0)))</f>
        <v/>
      </c>
      <c r="L399" s="8">
        <f>IF(ISNA(MATCH(386,Engine!$C$2:$C$622,0)),"",INDEX('Compliance Database'!$L$2:$L$622,MATCH(386,Engine!$C$2:$C$622,0)))</f>
        <v/>
      </c>
      <c r="M399" s="8">
        <f>IF(ISNA(MATCH(386,Engine!$C$2:$C$622,0)),"",INDEX('Compliance Database'!$M$2:$M$622,MATCH(386,Engine!$C$2:$C$622,0)))</f>
        <v/>
      </c>
      <c r="N399" s="8">
        <f>IF(ISNA(MATCH(386,Engine!$C$2:$C$622,0)),"",INDEX('Compliance Database'!$N$2:$N$622,MATCH(386,Engine!$C$2:$C$622,0)))</f>
        <v/>
      </c>
      <c r="O399" s="8">
        <f>IF(ISNA(MATCH(386,Engine!$C$2:$C$622,0)),"",INDEX('Compliance Database'!$O$2:$O$622,MATCH(386,Engine!$C$2:$C$622,0)))</f>
        <v/>
      </c>
    </row>
    <row r="400">
      <c r="A400">
        <f>IF(ISNA(MATCH(387,Engine!$C$2:$C$622,0)),"",INDEX('Compliance Database'!$A$2:$A$622,MATCH(387,Engine!$C$2:$C$622,0)))</f>
        <v/>
      </c>
      <c r="B400">
        <f>IF(ISNA(MATCH(387,Engine!$C$2:$C$622,0)),"",INDEX('Compliance Database'!$B$2:$B$622,MATCH(387,Engine!$C$2:$C$622,0)))</f>
        <v/>
      </c>
      <c r="C400">
        <f>IF(ISNA(MATCH(387,Engine!$C$2:$C$622,0)),"",INDEX('Compliance Database'!$C$2:$C$622,MATCH(387,Engine!$C$2:$C$622,0)))</f>
        <v/>
      </c>
      <c r="D400" s="8">
        <f>IF(ISNA(MATCH(387,Engine!$C$2:$C$622,0)),"",INDEX('Compliance Database'!$D$2:$D$622,MATCH(387,Engine!$C$2:$C$622,0)))</f>
        <v/>
      </c>
      <c r="E400">
        <f>IF(ISNA(MATCH(387,Engine!$C$2:$C$622,0)),"",INDEX('Compliance Database'!$E$2:$E$622,MATCH(387,Engine!$C$2:$C$622,0)))</f>
        <v/>
      </c>
      <c r="F400">
        <f>IF(ISNA(MATCH(387,Engine!$C$2:$C$622,0)),"",INDEX('Compliance Database'!$F$2:$F$622,MATCH(387,Engine!$C$2:$C$622,0)))</f>
        <v/>
      </c>
      <c r="G400">
        <f>IF(ISNA(MATCH(387,Engine!$C$2:$C$622,0)),"",INDEX('Compliance Database'!$G$2:$G$622,MATCH(387,Engine!$C$2:$C$622,0)))</f>
        <v/>
      </c>
      <c r="H400">
        <f>IF(ISNA(MATCH(387,Engine!$C$2:$C$622,0)),"",INDEX('Compliance Database'!$H$2:$H$622,MATCH(387,Engine!$C$2:$C$622,0)))</f>
        <v/>
      </c>
      <c r="I400" s="8">
        <f>IF(ISNA(MATCH(387,Engine!$C$2:$C$622,0)),"",INDEX('Compliance Database'!$I$2:$I$622,MATCH(387,Engine!$C$2:$C$622,0)))</f>
        <v/>
      </c>
      <c r="J400" s="8">
        <f>IF(ISNA(MATCH(387,Engine!$C$2:$C$622,0)),"",INDEX('Compliance Database'!$J$2:$J$622,MATCH(387,Engine!$C$2:$C$622,0)))</f>
        <v/>
      </c>
      <c r="K400">
        <f>IF(ISNA(MATCH(387,Engine!$C$2:$C$622,0)),"",INDEX('Compliance Database'!$K$2:$K$622,MATCH(387,Engine!$C$2:$C$622,0)))</f>
        <v/>
      </c>
      <c r="L400" s="8">
        <f>IF(ISNA(MATCH(387,Engine!$C$2:$C$622,0)),"",INDEX('Compliance Database'!$L$2:$L$622,MATCH(387,Engine!$C$2:$C$622,0)))</f>
        <v/>
      </c>
      <c r="M400" s="8">
        <f>IF(ISNA(MATCH(387,Engine!$C$2:$C$622,0)),"",INDEX('Compliance Database'!$M$2:$M$622,MATCH(387,Engine!$C$2:$C$622,0)))</f>
        <v/>
      </c>
      <c r="N400" s="8">
        <f>IF(ISNA(MATCH(387,Engine!$C$2:$C$622,0)),"",INDEX('Compliance Database'!$N$2:$N$622,MATCH(387,Engine!$C$2:$C$622,0)))</f>
        <v/>
      </c>
      <c r="O400" s="8">
        <f>IF(ISNA(MATCH(387,Engine!$C$2:$C$622,0)),"",INDEX('Compliance Database'!$O$2:$O$622,MATCH(387,Engine!$C$2:$C$622,0)))</f>
        <v/>
      </c>
    </row>
    <row r="401">
      <c r="A401">
        <f>IF(ISNA(MATCH(388,Engine!$C$2:$C$622,0)),"",INDEX('Compliance Database'!$A$2:$A$622,MATCH(388,Engine!$C$2:$C$622,0)))</f>
        <v/>
      </c>
      <c r="B401">
        <f>IF(ISNA(MATCH(388,Engine!$C$2:$C$622,0)),"",INDEX('Compliance Database'!$B$2:$B$622,MATCH(388,Engine!$C$2:$C$622,0)))</f>
        <v/>
      </c>
      <c r="C401">
        <f>IF(ISNA(MATCH(388,Engine!$C$2:$C$622,0)),"",INDEX('Compliance Database'!$C$2:$C$622,MATCH(388,Engine!$C$2:$C$622,0)))</f>
        <v/>
      </c>
      <c r="D401" s="8">
        <f>IF(ISNA(MATCH(388,Engine!$C$2:$C$622,0)),"",INDEX('Compliance Database'!$D$2:$D$622,MATCH(388,Engine!$C$2:$C$622,0)))</f>
        <v/>
      </c>
      <c r="E401">
        <f>IF(ISNA(MATCH(388,Engine!$C$2:$C$622,0)),"",INDEX('Compliance Database'!$E$2:$E$622,MATCH(388,Engine!$C$2:$C$622,0)))</f>
        <v/>
      </c>
      <c r="F401">
        <f>IF(ISNA(MATCH(388,Engine!$C$2:$C$622,0)),"",INDEX('Compliance Database'!$F$2:$F$622,MATCH(388,Engine!$C$2:$C$622,0)))</f>
        <v/>
      </c>
      <c r="G401">
        <f>IF(ISNA(MATCH(388,Engine!$C$2:$C$622,0)),"",INDEX('Compliance Database'!$G$2:$G$622,MATCH(388,Engine!$C$2:$C$622,0)))</f>
        <v/>
      </c>
      <c r="H401">
        <f>IF(ISNA(MATCH(388,Engine!$C$2:$C$622,0)),"",INDEX('Compliance Database'!$H$2:$H$622,MATCH(388,Engine!$C$2:$C$622,0)))</f>
        <v/>
      </c>
      <c r="I401" s="8">
        <f>IF(ISNA(MATCH(388,Engine!$C$2:$C$622,0)),"",INDEX('Compliance Database'!$I$2:$I$622,MATCH(388,Engine!$C$2:$C$622,0)))</f>
        <v/>
      </c>
      <c r="J401" s="8">
        <f>IF(ISNA(MATCH(388,Engine!$C$2:$C$622,0)),"",INDEX('Compliance Database'!$J$2:$J$622,MATCH(388,Engine!$C$2:$C$622,0)))</f>
        <v/>
      </c>
      <c r="K401">
        <f>IF(ISNA(MATCH(388,Engine!$C$2:$C$622,0)),"",INDEX('Compliance Database'!$K$2:$K$622,MATCH(388,Engine!$C$2:$C$622,0)))</f>
        <v/>
      </c>
      <c r="L401" s="8">
        <f>IF(ISNA(MATCH(388,Engine!$C$2:$C$622,0)),"",INDEX('Compliance Database'!$L$2:$L$622,MATCH(388,Engine!$C$2:$C$622,0)))</f>
        <v/>
      </c>
      <c r="M401" s="8">
        <f>IF(ISNA(MATCH(388,Engine!$C$2:$C$622,0)),"",INDEX('Compliance Database'!$M$2:$M$622,MATCH(388,Engine!$C$2:$C$622,0)))</f>
        <v/>
      </c>
      <c r="N401" s="8">
        <f>IF(ISNA(MATCH(388,Engine!$C$2:$C$622,0)),"",INDEX('Compliance Database'!$N$2:$N$622,MATCH(388,Engine!$C$2:$C$622,0)))</f>
        <v/>
      </c>
      <c r="O401" s="8">
        <f>IF(ISNA(MATCH(388,Engine!$C$2:$C$622,0)),"",INDEX('Compliance Database'!$O$2:$O$622,MATCH(388,Engine!$C$2:$C$622,0)))</f>
        <v/>
      </c>
    </row>
    <row r="402">
      <c r="A402">
        <f>IF(ISNA(MATCH(389,Engine!$C$2:$C$622,0)),"",INDEX('Compliance Database'!$A$2:$A$622,MATCH(389,Engine!$C$2:$C$622,0)))</f>
        <v/>
      </c>
      <c r="B402">
        <f>IF(ISNA(MATCH(389,Engine!$C$2:$C$622,0)),"",INDEX('Compliance Database'!$B$2:$B$622,MATCH(389,Engine!$C$2:$C$622,0)))</f>
        <v/>
      </c>
      <c r="C402">
        <f>IF(ISNA(MATCH(389,Engine!$C$2:$C$622,0)),"",INDEX('Compliance Database'!$C$2:$C$622,MATCH(389,Engine!$C$2:$C$622,0)))</f>
        <v/>
      </c>
      <c r="D402" s="8">
        <f>IF(ISNA(MATCH(389,Engine!$C$2:$C$622,0)),"",INDEX('Compliance Database'!$D$2:$D$622,MATCH(389,Engine!$C$2:$C$622,0)))</f>
        <v/>
      </c>
      <c r="E402">
        <f>IF(ISNA(MATCH(389,Engine!$C$2:$C$622,0)),"",INDEX('Compliance Database'!$E$2:$E$622,MATCH(389,Engine!$C$2:$C$622,0)))</f>
        <v/>
      </c>
      <c r="F402">
        <f>IF(ISNA(MATCH(389,Engine!$C$2:$C$622,0)),"",INDEX('Compliance Database'!$F$2:$F$622,MATCH(389,Engine!$C$2:$C$622,0)))</f>
        <v/>
      </c>
      <c r="G402">
        <f>IF(ISNA(MATCH(389,Engine!$C$2:$C$622,0)),"",INDEX('Compliance Database'!$G$2:$G$622,MATCH(389,Engine!$C$2:$C$622,0)))</f>
        <v/>
      </c>
      <c r="H402">
        <f>IF(ISNA(MATCH(389,Engine!$C$2:$C$622,0)),"",INDEX('Compliance Database'!$H$2:$H$622,MATCH(389,Engine!$C$2:$C$622,0)))</f>
        <v/>
      </c>
      <c r="I402" s="8">
        <f>IF(ISNA(MATCH(389,Engine!$C$2:$C$622,0)),"",INDEX('Compliance Database'!$I$2:$I$622,MATCH(389,Engine!$C$2:$C$622,0)))</f>
        <v/>
      </c>
      <c r="J402" s="8">
        <f>IF(ISNA(MATCH(389,Engine!$C$2:$C$622,0)),"",INDEX('Compliance Database'!$J$2:$J$622,MATCH(389,Engine!$C$2:$C$622,0)))</f>
        <v/>
      </c>
      <c r="K402">
        <f>IF(ISNA(MATCH(389,Engine!$C$2:$C$622,0)),"",INDEX('Compliance Database'!$K$2:$K$622,MATCH(389,Engine!$C$2:$C$622,0)))</f>
        <v/>
      </c>
      <c r="L402" s="8">
        <f>IF(ISNA(MATCH(389,Engine!$C$2:$C$622,0)),"",INDEX('Compliance Database'!$L$2:$L$622,MATCH(389,Engine!$C$2:$C$622,0)))</f>
        <v/>
      </c>
      <c r="M402" s="8">
        <f>IF(ISNA(MATCH(389,Engine!$C$2:$C$622,0)),"",INDEX('Compliance Database'!$M$2:$M$622,MATCH(389,Engine!$C$2:$C$622,0)))</f>
        <v/>
      </c>
      <c r="N402" s="8">
        <f>IF(ISNA(MATCH(389,Engine!$C$2:$C$622,0)),"",INDEX('Compliance Database'!$N$2:$N$622,MATCH(389,Engine!$C$2:$C$622,0)))</f>
        <v/>
      </c>
      <c r="O402" s="8">
        <f>IF(ISNA(MATCH(389,Engine!$C$2:$C$622,0)),"",INDEX('Compliance Database'!$O$2:$O$622,MATCH(389,Engine!$C$2:$C$622,0)))</f>
        <v/>
      </c>
    </row>
    <row r="403">
      <c r="A403">
        <f>IF(ISNA(MATCH(390,Engine!$C$2:$C$622,0)),"",INDEX('Compliance Database'!$A$2:$A$622,MATCH(390,Engine!$C$2:$C$622,0)))</f>
        <v/>
      </c>
      <c r="B403">
        <f>IF(ISNA(MATCH(390,Engine!$C$2:$C$622,0)),"",INDEX('Compliance Database'!$B$2:$B$622,MATCH(390,Engine!$C$2:$C$622,0)))</f>
        <v/>
      </c>
      <c r="C403">
        <f>IF(ISNA(MATCH(390,Engine!$C$2:$C$622,0)),"",INDEX('Compliance Database'!$C$2:$C$622,MATCH(390,Engine!$C$2:$C$622,0)))</f>
        <v/>
      </c>
      <c r="D403" s="8">
        <f>IF(ISNA(MATCH(390,Engine!$C$2:$C$622,0)),"",INDEX('Compliance Database'!$D$2:$D$622,MATCH(390,Engine!$C$2:$C$622,0)))</f>
        <v/>
      </c>
      <c r="E403">
        <f>IF(ISNA(MATCH(390,Engine!$C$2:$C$622,0)),"",INDEX('Compliance Database'!$E$2:$E$622,MATCH(390,Engine!$C$2:$C$622,0)))</f>
        <v/>
      </c>
      <c r="F403">
        <f>IF(ISNA(MATCH(390,Engine!$C$2:$C$622,0)),"",INDEX('Compliance Database'!$F$2:$F$622,MATCH(390,Engine!$C$2:$C$622,0)))</f>
        <v/>
      </c>
      <c r="G403">
        <f>IF(ISNA(MATCH(390,Engine!$C$2:$C$622,0)),"",INDEX('Compliance Database'!$G$2:$G$622,MATCH(390,Engine!$C$2:$C$622,0)))</f>
        <v/>
      </c>
      <c r="H403">
        <f>IF(ISNA(MATCH(390,Engine!$C$2:$C$622,0)),"",INDEX('Compliance Database'!$H$2:$H$622,MATCH(390,Engine!$C$2:$C$622,0)))</f>
        <v/>
      </c>
      <c r="I403" s="8">
        <f>IF(ISNA(MATCH(390,Engine!$C$2:$C$622,0)),"",INDEX('Compliance Database'!$I$2:$I$622,MATCH(390,Engine!$C$2:$C$622,0)))</f>
        <v/>
      </c>
      <c r="J403" s="8">
        <f>IF(ISNA(MATCH(390,Engine!$C$2:$C$622,0)),"",INDEX('Compliance Database'!$J$2:$J$622,MATCH(390,Engine!$C$2:$C$622,0)))</f>
        <v/>
      </c>
      <c r="K403">
        <f>IF(ISNA(MATCH(390,Engine!$C$2:$C$622,0)),"",INDEX('Compliance Database'!$K$2:$K$622,MATCH(390,Engine!$C$2:$C$622,0)))</f>
        <v/>
      </c>
      <c r="L403" s="8">
        <f>IF(ISNA(MATCH(390,Engine!$C$2:$C$622,0)),"",INDEX('Compliance Database'!$L$2:$L$622,MATCH(390,Engine!$C$2:$C$622,0)))</f>
        <v/>
      </c>
      <c r="M403" s="8">
        <f>IF(ISNA(MATCH(390,Engine!$C$2:$C$622,0)),"",INDEX('Compliance Database'!$M$2:$M$622,MATCH(390,Engine!$C$2:$C$622,0)))</f>
        <v/>
      </c>
      <c r="N403" s="8">
        <f>IF(ISNA(MATCH(390,Engine!$C$2:$C$622,0)),"",INDEX('Compliance Database'!$N$2:$N$622,MATCH(390,Engine!$C$2:$C$622,0)))</f>
        <v/>
      </c>
      <c r="O403" s="8">
        <f>IF(ISNA(MATCH(390,Engine!$C$2:$C$622,0)),"",INDEX('Compliance Database'!$O$2:$O$622,MATCH(390,Engine!$C$2:$C$622,0)))</f>
        <v/>
      </c>
    </row>
    <row r="404">
      <c r="A404">
        <f>IF(ISNA(MATCH(391,Engine!$C$2:$C$622,0)),"",INDEX('Compliance Database'!$A$2:$A$622,MATCH(391,Engine!$C$2:$C$622,0)))</f>
        <v/>
      </c>
      <c r="B404">
        <f>IF(ISNA(MATCH(391,Engine!$C$2:$C$622,0)),"",INDEX('Compliance Database'!$B$2:$B$622,MATCH(391,Engine!$C$2:$C$622,0)))</f>
        <v/>
      </c>
      <c r="C404">
        <f>IF(ISNA(MATCH(391,Engine!$C$2:$C$622,0)),"",INDEX('Compliance Database'!$C$2:$C$622,MATCH(391,Engine!$C$2:$C$622,0)))</f>
        <v/>
      </c>
      <c r="D404" s="8">
        <f>IF(ISNA(MATCH(391,Engine!$C$2:$C$622,0)),"",INDEX('Compliance Database'!$D$2:$D$622,MATCH(391,Engine!$C$2:$C$622,0)))</f>
        <v/>
      </c>
      <c r="E404">
        <f>IF(ISNA(MATCH(391,Engine!$C$2:$C$622,0)),"",INDEX('Compliance Database'!$E$2:$E$622,MATCH(391,Engine!$C$2:$C$622,0)))</f>
        <v/>
      </c>
      <c r="F404">
        <f>IF(ISNA(MATCH(391,Engine!$C$2:$C$622,0)),"",INDEX('Compliance Database'!$F$2:$F$622,MATCH(391,Engine!$C$2:$C$622,0)))</f>
        <v/>
      </c>
      <c r="G404">
        <f>IF(ISNA(MATCH(391,Engine!$C$2:$C$622,0)),"",INDEX('Compliance Database'!$G$2:$G$622,MATCH(391,Engine!$C$2:$C$622,0)))</f>
        <v/>
      </c>
      <c r="H404">
        <f>IF(ISNA(MATCH(391,Engine!$C$2:$C$622,0)),"",INDEX('Compliance Database'!$H$2:$H$622,MATCH(391,Engine!$C$2:$C$622,0)))</f>
        <v/>
      </c>
      <c r="I404" s="8">
        <f>IF(ISNA(MATCH(391,Engine!$C$2:$C$622,0)),"",INDEX('Compliance Database'!$I$2:$I$622,MATCH(391,Engine!$C$2:$C$622,0)))</f>
        <v/>
      </c>
      <c r="J404" s="8">
        <f>IF(ISNA(MATCH(391,Engine!$C$2:$C$622,0)),"",INDEX('Compliance Database'!$J$2:$J$622,MATCH(391,Engine!$C$2:$C$622,0)))</f>
        <v/>
      </c>
      <c r="K404">
        <f>IF(ISNA(MATCH(391,Engine!$C$2:$C$622,0)),"",INDEX('Compliance Database'!$K$2:$K$622,MATCH(391,Engine!$C$2:$C$622,0)))</f>
        <v/>
      </c>
      <c r="L404" s="8">
        <f>IF(ISNA(MATCH(391,Engine!$C$2:$C$622,0)),"",INDEX('Compliance Database'!$L$2:$L$622,MATCH(391,Engine!$C$2:$C$622,0)))</f>
        <v/>
      </c>
      <c r="M404" s="8">
        <f>IF(ISNA(MATCH(391,Engine!$C$2:$C$622,0)),"",INDEX('Compliance Database'!$M$2:$M$622,MATCH(391,Engine!$C$2:$C$622,0)))</f>
        <v/>
      </c>
      <c r="N404" s="8">
        <f>IF(ISNA(MATCH(391,Engine!$C$2:$C$622,0)),"",INDEX('Compliance Database'!$N$2:$N$622,MATCH(391,Engine!$C$2:$C$622,0)))</f>
        <v/>
      </c>
      <c r="O404" s="8">
        <f>IF(ISNA(MATCH(391,Engine!$C$2:$C$622,0)),"",INDEX('Compliance Database'!$O$2:$O$622,MATCH(391,Engine!$C$2:$C$622,0)))</f>
        <v/>
      </c>
    </row>
    <row r="405">
      <c r="A405">
        <f>IF(ISNA(MATCH(392,Engine!$C$2:$C$622,0)),"",INDEX('Compliance Database'!$A$2:$A$622,MATCH(392,Engine!$C$2:$C$622,0)))</f>
        <v/>
      </c>
      <c r="B405">
        <f>IF(ISNA(MATCH(392,Engine!$C$2:$C$622,0)),"",INDEX('Compliance Database'!$B$2:$B$622,MATCH(392,Engine!$C$2:$C$622,0)))</f>
        <v/>
      </c>
      <c r="C405">
        <f>IF(ISNA(MATCH(392,Engine!$C$2:$C$622,0)),"",INDEX('Compliance Database'!$C$2:$C$622,MATCH(392,Engine!$C$2:$C$622,0)))</f>
        <v/>
      </c>
      <c r="D405" s="8">
        <f>IF(ISNA(MATCH(392,Engine!$C$2:$C$622,0)),"",INDEX('Compliance Database'!$D$2:$D$622,MATCH(392,Engine!$C$2:$C$622,0)))</f>
        <v/>
      </c>
      <c r="E405">
        <f>IF(ISNA(MATCH(392,Engine!$C$2:$C$622,0)),"",INDEX('Compliance Database'!$E$2:$E$622,MATCH(392,Engine!$C$2:$C$622,0)))</f>
        <v/>
      </c>
      <c r="F405">
        <f>IF(ISNA(MATCH(392,Engine!$C$2:$C$622,0)),"",INDEX('Compliance Database'!$F$2:$F$622,MATCH(392,Engine!$C$2:$C$622,0)))</f>
        <v/>
      </c>
      <c r="G405">
        <f>IF(ISNA(MATCH(392,Engine!$C$2:$C$622,0)),"",INDEX('Compliance Database'!$G$2:$G$622,MATCH(392,Engine!$C$2:$C$622,0)))</f>
        <v/>
      </c>
      <c r="H405">
        <f>IF(ISNA(MATCH(392,Engine!$C$2:$C$622,0)),"",INDEX('Compliance Database'!$H$2:$H$622,MATCH(392,Engine!$C$2:$C$622,0)))</f>
        <v/>
      </c>
      <c r="I405" s="8">
        <f>IF(ISNA(MATCH(392,Engine!$C$2:$C$622,0)),"",INDEX('Compliance Database'!$I$2:$I$622,MATCH(392,Engine!$C$2:$C$622,0)))</f>
        <v/>
      </c>
      <c r="J405" s="8">
        <f>IF(ISNA(MATCH(392,Engine!$C$2:$C$622,0)),"",INDEX('Compliance Database'!$J$2:$J$622,MATCH(392,Engine!$C$2:$C$622,0)))</f>
        <v/>
      </c>
      <c r="K405">
        <f>IF(ISNA(MATCH(392,Engine!$C$2:$C$622,0)),"",INDEX('Compliance Database'!$K$2:$K$622,MATCH(392,Engine!$C$2:$C$622,0)))</f>
        <v/>
      </c>
      <c r="L405" s="8">
        <f>IF(ISNA(MATCH(392,Engine!$C$2:$C$622,0)),"",INDEX('Compliance Database'!$L$2:$L$622,MATCH(392,Engine!$C$2:$C$622,0)))</f>
        <v/>
      </c>
      <c r="M405" s="8">
        <f>IF(ISNA(MATCH(392,Engine!$C$2:$C$622,0)),"",INDEX('Compliance Database'!$M$2:$M$622,MATCH(392,Engine!$C$2:$C$622,0)))</f>
        <v/>
      </c>
      <c r="N405" s="8">
        <f>IF(ISNA(MATCH(392,Engine!$C$2:$C$622,0)),"",INDEX('Compliance Database'!$N$2:$N$622,MATCH(392,Engine!$C$2:$C$622,0)))</f>
        <v/>
      </c>
      <c r="O405" s="8">
        <f>IF(ISNA(MATCH(392,Engine!$C$2:$C$622,0)),"",INDEX('Compliance Database'!$O$2:$O$622,MATCH(392,Engine!$C$2:$C$622,0)))</f>
        <v/>
      </c>
    </row>
    <row r="406">
      <c r="A406">
        <f>IF(ISNA(MATCH(393,Engine!$C$2:$C$622,0)),"",INDEX('Compliance Database'!$A$2:$A$622,MATCH(393,Engine!$C$2:$C$622,0)))</f>
        <v/>
      </c>
      <c r="B406">
        <f>IF(ISNA(MATCH(393,Engine!$C$2:$C$622,0)),"",INDEX('Compliance Database'!$B$2:$B$622,MATCH(393,Engine!$C$2:$C$622,0)))</f>
        <v/>
      </c>
      <c r="C406">
        <f>IF(ISNA(MATCH(393,Engine!$C$2:$C$622,0)),"",INDEX('Compliance Database'!$C$2:$C$622,MATCH(393,Engine!$C$2:$C$622,0)))</f>
        <v/>
      </c>
      <c r="D406" s="8">
        <f>IF(ISNA(MATCH(393,Engine!$C$2:$C$622,0)),"",INDEX('Compliance Database'!$D$2:$D$622,MATCH(393,Engine!$C$2:$C$622,0)))</f>
        <v/>
      </c>
      <c r="E406">
        <f>IF(ISNA(MATCH(393,Engine!$C$2:$C$622,0)),"",INDEX('Compliance Database'!$E$2:$E$622,MATCH(393,Engine!$C$2:$C$622,0)))</f>
        <v/>
      </c>
      <c r="F406">
        <f>IF(ISNA(MATCH(393,Engine!$C$2:$C$622,0)),"",INDEX('Compliance Database'!$F$2:$F$622,MATCH(393,Engine!$C$2:$C$622,0)))</f>
        <v/>
      </c>
      <c r="G406">
        <f>IF(ISNA(MATCH(393,Engine!$C$2:$C$622,0)),"",INDEX('Compliance Database'!$G$2:$G$622,MATCH(393,Engine!$C$2:$C$622,0)))</f>
        <v/>
      </c>
      <c r="H406">
        <f>IF(ISNA(MATCH(393,Engine!$C$2:$C$622,0)),"",INDEX('Compliance Database'!$H$2:$H$622,MATCH(393,Engine!$C$2:$C$622,0)))</f>
        <v/>
      </c>
      <c r="I406" s="8">
        <f>IF(ISNA(MATCH(393,Engine!$C$2:$C$622,0)),"",INDEX('Compliance Database'!$I$2:$I$622,MATCH(393,Engine!$C$2:$C$622,0)))</f>
        <v/>
      </c>
      <c r="J406" s="8">
        <f>IF(ISNA(MATCH(393,Engine!$C$2:$C$622,0)),"",INDEX('Compliance Database'!$J$2:$J$622,MATCH(393,Engine!$C$2:$C$622,0)))</f>
        <v/>
      </c>
      <c r="K406">
        <f>IF(ISNA(MATCH(393,Engine!$C$2:$C$622,0)),"",INDEX('Compliance Database'!$K$2:$K$622,MATCH(393,Engine!$C$2:$C$622,0)))</f>
        <v/>
      </c>
      <c r="L406" s="8">
        <f>IF(ISNA(MATCH(393,Engine!$C$2:$C$622,0)),"",INDEX('Compliance Database'!$L$2:$L$622,MATCH(393,Engine!$C$2:$C$622,0)))</f>
        <v/>
      </c>
      <c r="M406" s="8">
        <f>IF(ISNA(MATCH(393,Engine!$C$2:$C$622,0)),"",INDEX('Compliance Database'!$M$2:$M$622,MATCH(393,Engine!$C$2:$C$622,0)))</f>
        <v/>
      </c>
      <c r="N406" s="8">
        <f>IF(ISNA(MATCH(393,Engine!$C$2:$C$622,0)),"",INDEX('Compliance Database'!$N$2:$N$622,MATCH(393,Engine!$C$2:$C$622,0)))</f>
        <v/>
      </c>
      <c r="O406" s="8">
        <f>IF(ISNA(MATCH(393,Engine!$C$2:$C$622,0)),"",INDEX('Compliance Database'!$O$2:$O$622,MATCH(393,Engine!$C$2:$C$622,0)))</f>
        <v/>
      </c>
    </row>
    <row r="407">
      <c r="A407">
        <f>IF(ISNA(MATCH(394,Engine!$C$2:$C$622,0)),"",INDEX('Compliance Database'!$A$2:$A$622,MATCH(394,Engine!$C$2:$C$622,0)))</f>
        <v/>
      </c>
      <c r="B407">
        <f>IF(ISNA(MATCH(394,Engine!$C$2:$C$622,0)),"",INDEX('Compliance Database'!$B$2:$B$622,MATCH(394,Engine!$C$2:$C$622,0)))</f>
        <v/>
      </c>
      <c r="C407">
        <f>IF(ISNA(MATCH(394,Engine!$C$2:$C$622,0)),"",INDEX('Compliance Database'!$C$2:$C$622,MATCH(394,Engine!$C$2:$C$622,0)))</f>
        <v/>
      </c>
      <c r="D407" s="8">
        <f>IF(ISNA(MATCH(394,Engine!$C$2:$C$622,0)),"",INDEX('Compliance Database'!$D$2:$D$622,MATCH(394,Engine!$C$2:$C$622,0)))</f>
        <v/>
      </c>
      <c r="E407">
        <f>IF(ISNA(MATCH(394,Engine!$C$2:$C$622,0)),"",INDEX('Compliance Database'!$E$2:$E$622,MATCH(394,Engine!$C$2:$C$622,0)))</f>
        <v/>
      </c>
      <c r="F407">
        <f>IF(ISNA(MATCH(394,Engine!$C$2:$C$622,0)),"",INDEX('Compliance Database'!$F$2:$F$622,MATCH(394,Engine!$C$2:$C$622,0)))</f>
        <v/>
      </c>
      <c r="G407">
        <f>IF(ISNA(MATCH(394,Engine!$C$2:$C$622,0)),"",INDEX('Compliance Database'!$G$2:$G$622,MATCH(394,Engine!$C$2:$C$622,0)))</f>
        <v/>
      </c>
      <c r="H407">
        <f>IF(ISNA(MATCH(394,Engine!$C$2:$C$622,0)),"",INDEX('Compliance Database'!$H$2:$H$622,MATCH(394,Engine!$C$2:$C$622,0)))</f>
        <v/>
      </c>
      <c r="I407" s="8">
        <f>IF(ISNA(MATCH(394,Engine!$C$2:$C$622,0)),"",INDEX('Compliance Database'!$I$2:$I$622,MATCH(394,Engine!$C$2:$C$622,0)))</f>
        <v/>
      </c>
      <c r="J407" s="8">
        <f>IF(ISNA(MATCH(394,Engine!$C$2:$C$622,0)),"",INDEX('Compliance Database'!$J$2:$J$622,MATCH(394,Engine!$C$2:$C$622,0)))</f>
        <v/>
      </c>
      <c r="K407">
        <f>IF(ISNA(MATCH(394,Engine!$C$2:$C$622,0)),"",INDEX('Compliance Database'!$K$2:$K$622,MATCH(394,Engine!$C$2:$C$622,0)))</f>
        <v/>
      </c>
      <c r="L407" s="8">
        <f>IF(ISNA(MATCH(394,Engine!$C$2:$C$622,0)),"",INDEX('Compliance Database'!$L$2:$L$622,MATCH(394,Engine!$C$2:$C$622,0)))</f>
        <v/>
      </c>
      <c r="M407" s="8">
        <f>IF(ISNA(MATCH(394,Engine!$C$2:$C$622,0)),"",INDEX('Compliance Database'!$M$2:$M$622,MATCH(394,Engine!$C$2:$C$622,0)))</f>
        <v/>
      </c>
      <c r="N407" s="8">
        <f>IF(ISNA(MATCH(394,Engine!$C$2:$C$622,0)),"",INDEX('Compliance Database'!$N$2:$N$622,MATCH(394,Engine!$C$2:$C$622,0)))</f>
        <v/>
      </c>
      <c r="O407" s="8">
        <f>IF(ISNA(MATCH(394,Engine!$C$2:$C$622,0)),"",INDEX('Compliance Database'!$O$2:$O$622,MATCH(394,Engine!$C$2:$C$622,0)))</f>
        <v/>
      </c>
    </row>
    <row r="408">
      <c r="A408">
        <f>IF(ISNA(MATCH(395,Engine!$C$2:$C$622,0)),"",INDEX('Compliance Database'!$A$2:$A$622,MATCH(395,Engine!$C$2:$C$622,0)))</f>
        <v/>
      </c>
      <c r="B408">
        <f>IF(ISNA(MATCH(395,Engine!$C$2:$C$622,0)),"",INDEX('Compliance Database'!$B$2:$B$622,MATCH(395,Engine!$C$2:$C$622,0)))</f>
        <v/>
      </c>
      <c r="C408">
        <f>IF(ISNA(MATCH(395,Engine!$C$2:$C$622,0)),"",INDEX('Compliance Database'!$C$2:$C$622,MATCH(395,Engine!$C$2:$C$622,0)))</f>
        <v/>
      </c>
      <c r="D408" s="8">
        <f>IF(ISNA(MATCH(395,Engine!$C$2:$C$622,0)),"",INDEX('Compliance Database'!$D$2:$D$622,MATCH(395,Engine!$C$2:$C$622,0)))</f>
        <v/>
      </c>
      <c r="E408">
        <f>IF(ISNA(MATCH(395,Engine!$C$2:$C$622,0)),"",INDEX('Compliance Database'!$E$2:$E$622,MATCH(395,Engine!$C$2:$C$622,0)))</f>
        <v/>
      </c>
      <c r="F408">
        <f>IF(ISNA(MATCH(395,Engine!$C$2:$C$622,0)),"",INDEX('Compliance Database'!$F$2:$F$622,MATCH(395,Engine!$C$2:$C$622,0)))</f>
        <v/>
      </c>
      <c r="G408">
        <f>IF(ISNA(MATCH(395,Engine!$C$2:$C$622,0)),"",INDEX('Compliance Database'!$G$2:$G$622,MATCH(395,Engine!$C$2:$C$622,0)))</f>
        <v/>
      </c>
      <c r="H408">
        <f>IF(ISNA(MATCH(395,Engine!$C$2:$C$622,0)),"",INDEX('Compliance Database'!$H$2:$H$622,MATCH(395,Engine!$C$2:$C$622,0)))</f>
        <v/>
      </c>
      <c r="I408" s="8">
        <f>IF(ISNA(MATCH(395,Engine!$C$2:$C$622,0)),"",INDEX('Compliance Database'!$I$2:$I$622,MATCH(395,Engine!$C$2:$C$622,0)))</f>
        <v/>
      </c>
      <c r="J408" s="8">
        <f>IF(ISNA(MATCH(395,Engine!$C$2:$C$622,0)),"",INDEX('Compliance Database'!$J$2:$J$622,MATCH(395,Engine!$C$2:$C$622,0)))</f>
        <v/>
      </c>
      <c r="K408">
        <f>IF(ISNA(MATCH(395,Engine!$C$2:$C$622,0)),"",INDEX('Compliance Database'!$K$2:$K$622,MATCH(395,Engine!$C$2:$C$622,0)))</f>
        <v/>
      </c>
      <c r="L408" s="8">
        <f>IF(ISNA(MATCH(395,Engine!$C$2:$C$622,0)),"",INDEX('Compliance Database'!$L$2:$L$622,MATCH(395,Engine!$C$2:$C$622,0)))</f>
        <v/>
      </c>
      <c r="M408" s="8">
        <f>IF(ISNA(MATCH(395,Engine!$C$2:$C$622,0)),"",INDEX('Compliance Database'!$M$2:$M$622,MATCH(395,Engine!$C$2:$C$622,0)))</f>
        <v/>
      </c>
      <c r="N408" s="8">
        <f>IF(ISNA(MATCH(395,Engine!$C$2:$C$622,0)),"",INDEX('Compliance Database'!$N$2:$N$622,MATCH(395,Engine!$C$2:$C$622,0)))</f>
        <v/>
      </c>
      <c r="O408" s="8">
        <f>IF(ISNA(MATCH(395,Engine!$C$2:$C$622,0)),"",INDEX('Compliance Database'!$O$2:$O$622,MATCH(395,Engine!$C$2:$C$622,0)))</f>
        <v/>
      </c>
    </row>
    <row r="409">
      <c r="A409">
        <f>IF(ISNA(MATCH(396,Engine!$C$2:$C$622,0)),"",INDEX('Compliance Database'!$A$2:$A$622,MATCH(396,Engine!$C$2:$C$622,0)))</f>
        <v/>
      </c>
      <c r="B409">
        <f>IF(ISNA(MATCH(396,Engine!$C$2:$C$622,0)),"",INDEX('Compliance Database'!$B$2:$B$622,MATCH(396,Engine!$C$2:$C$622,0)))</f>
        <v/>
      </c>
      <c r="C409">
        <f>IF(ISNA(MATCH(396,Engine!$C$2:$C$622,0)),"",INDEX('Compliance Database'!$C$2:$C$622,MATCH(396,Engine!$C$2:$C$622,0)))</f>
        <v/>
      </c>
      <c r="D409" s="8">
        <f>IF(ISNA(MATCH(396,Engine!$C$2:$C$622,0)),"",INDEX('Compliance Database'!$D$2:$D$622,MATCH(396,Engine!$C$2:$C$622,0)))</f>
        <v/>
      </c>
      <c r="E409">
        <f>IF(ISNA(MATCH(396,Engine!$C$2:$C$622,0)),"",INDEX('Compliance Database'!$E$2:$E$622,MATCH(396,Engine!$C$2:$C$622,0)))</f>
        <v/>
      </c>
      <c r="F409">
        <f>IF(ISNA(MATCH(396,Engine!$C$2:$C$622,0)),"",INDEX('Compliance Database'!$F$2:$F$622,MATCH(396,Engine!$C$2:$C$622,0)))</f>
        <v/>
      </c>
      <c r="G409">
        <f>IF(ISNA(MATCH(396,Engine!$C$2:$C$622,0)),"",INDEX('Compliance Database'!$G$2:$G$622,MATCH(396,Engine!$C$2:$C$622,0)))</f>
        <v/>
      </c>
      <c r="H409">
        <f>IF(ISNA(MATCH(396,Engine!$C$2:$C$622,0)),"",INDEX('Compliance Database'!$H$2:$H$622,MATCH(396,Engine!$C$2:$C$622,0)))</f>
        <v/>
      </c>
      <c r="I409" s="8">
        <f>IF(ISNA(MATCH(396,Engine!$C$2:$C$622,0)),"",INDEX('Compliance Database'!$I$2:$I$622,MATCH(396,Engine!$C$2:$C$622,0)))</f>
        <v/>
      </c>
      <c r="J409" s="8">
        <f>IF(ISNA(MATCH(396,Engine!$C$2:$C$622,0)),"",INDEX('Compliance Database'!$J$2:$J$622,MATCH(396,Engine!$C$2:$C$622,0)))</f>
        <v/>
      </c>
      <c r="K409">
        <f>IF(ISNA(MATCH(396,Engine!$C$2:$C$622,0)),"",INDEX('Compliance Database'!$K$2:$K$622,MATCH(396,Engine!$C$2:$C$622,0)))</f>
        <v/>
      </c>
      <c r="L409" s="8">
        <f>IF(ISNA(MATCH(396,Engine!$C$2:$C$622,0)),"",INDEX('Compliance Database'!$L$2:$L$622,MATCH(396,Engine!$C$2:$C$622,0)))</f>
        <v/>
      </c>
      <c r="M409" s="8">
        <f>IF(ISNA(MATCH(396,Engine!$C$2:$C$622,0)),"",INDEX('Compliance Database'!$M$2:$M$622,MATCH(396,Engine!$C$2:$C$622,0)))</f>
        <v/>
      </c>
      <c r="N409" s="8">
        <f>IF(ISNA(MATCH(396,Engine!$C$2:$C$622,0)),"",INDEX('Compliance Database'!$N$2:$N$622,MATCH(396,Engine!$C$2:$C$622,0)))</f>
        <v/>
      </c>
      <c r="O409" s="8">
        <f>IF(ISNA(MATCH(396,Engine!$C$2:$C$622,0)),"",INDEX('Compliance Database'!$O$2:$O$622,MATCH(396,Engine!$C$2:$C$622,0)))</f>
        <v/>
      </c>
    </row>
    <row r="410">
      <c r="A410">
        <f>IF(ISNA(MATCH(397,Engine!$C$2:$C$622,0)),"",INDEX('Compliance Database'!$A$2:$A$622,MATCH(397,Engine!$C$2:$C$622,0)))</f>
        <v/>
      </c>
      <c r="B410">
        <f>IF(ISNA(MATCH(397,Engine!$C$2:$C$622,0)),"",INDEX('Compliance Database'!$B$2:$B$622,MATCH(397,Engine!$C$2:$C$622,0)))</f>
        <v/>
      </c>
      <c r="C410">
        <f>IF(ISNA(MATCH(397,Engine!$C$2:$C$622,0)),"",INDEX('Compliance Database'!$C$2:$C$622,MATCH(397,Engine!$C$2:$C$622,0)))</f>
        <v/>
      </c>
      <c r="D410" s="8">
        <f>IF(ISNA(MATCH(397,Engine!$C$2:$C$622,0)),"",INDEX('Compliance Database'!$D$2:$D$622,MATCH(397,Engine!$C$2:$C$622,0)))</f>
        <v/>
      </c>
      <c r="E410">
        <f>IF(ISNA(MATCH(397,Engine!$C$2:$C$622,0)),"",INDEX('Compliance Database'!$E$2:$E$622,MATCH(397,Engine!$C$2:$C$622,0)))</f>
        <v/>
      </c>
      <c r="F410">
        <f>IF(ISNA(MATCH(397,Engine!$C$2:$C$622,0)),"",INDEX('Compliance Database'!$F$2:$F$622,MATCH(397,Engine!$C$2:$C$622,0)))</f>
        <v/>
      </c>
      <c r="G410">
        <f>IF(ISNA(MATCH(397,Engine!$C$2:$C$622,0)),"",INDEX('Compliance Database'!$G$2:$G$622,MATCH(397,Engine!$C$2:$C$622,0)))</f>
        <v/>
      </c>
      <c r="H410">
        <f>IF(ISNA(MATCH(397,Engine!$C$2:$C$622,0)),"",INDEX('Compliance Database'!$H$2:$H$622,MATCH(397,Engine!$C$2:$C$622,0)))</f>
        <v/>
      </c>
      <c r="I410" s="8">
        <f>IF(ISNA(MATCH(397,Engine!$C$2:$C$622,0)),"",INDEX('Compliance Database'!$I$2:$I$622,MATCH(397,Engine!$C$2:$C$622,0)))</f>
        <v/>
      </c>
      <c r="J410" s="8">
        <f>IF(ISNA(MATCH(397,Engine!$C$2:$C$622,0)),"",INDEX('Compliance Database'!$J$2:$J$622,MATCH(397,Engine!$C$2:$C$622,0)))</f>
        <v/>
      </c>
      <c r="K410">
        <f>IF(ISNA(MATCH(397,Engine!$C$2:$C$622,0)),"",INDEX('Compliance Database'!$K$2:$K$622,MATCH(397,Engine!$C$2:$C$622,0)))</f>
        <v/>
      </c>
      <c r="L410" s="8">
        <f>IF(ISNA(MATCH(397,Engine!$C$2:$C$622,0)),"",INDEX('Compliance Database'!$L$2:$L$622,MATCH(397,Engine!$C$2:$C$622,0)))</f>
        <v/>
      </c>
      <c r="M410" s="8">
        <f>IF(ISNA(MATCH(397,Engine!$C$2:$C$622,0)),"",INDEX('Compliance Database'!$M$2:$M$622,MATCH(397,Engine!$C$2:$C$622,0)))</f>
        <v/>
      </c>
      <c r="N410" s="8">
        <f>IF(ISNA(MATCH(397,Engine!$C$2:$C$622,0)),"",INDEX('Compliance Database'!$N$2:$N$622,MATCH(397,Engine!$C$2:$C$622,0)))</f>
        <v/>
      </c>
      <c r="O410" s="8">
        <f>IF(ISNA(MATCH(397,Engine!$C$2:$C$622,0)),"",INDEX('Compliance Database'!$O$2:$O$622,MATCH(397,Engine!$C$2:$C$622,0)))</f>
        <v/>
      </c>
    </row>
    <row r="411">
      <c r="A411">
        <f>IF(ISNA(MATCH(398,Engine!$C$2:$C$622,0)),"",INDEX('Compliance Database'!$A$2:$A$622,MATCH(398,Engine!$C$2:$C$622,0)))</f>
        <v/>
      </c>
      <c r="B411">
        <f>IF(ISNA(MATCH(398,Engine!$C$2:$C$622,0)),"",INDEX('Compliance Database'!$B$2:$B$622,MATCH(398,Engine!$C$2:$C$622,0)))</f>
        <v/>
      </c>
      <c r="C411">
        <f>IF(ISNA(MATCH(398,Engine!$C$2:$C$622,0)),"",INDEX('Compliance Database'!$C$2:$C$622,MATCH(398,Engine!$C$2:$C$622,0)))</f>
        <v/>
      </c>
      <c r="D411" s="8">
        <f>IF(ISNA(MATCH(398,Engine!$C$2:$C$622,0)),"",INDEX('Compliance Database'!$D$2:$D$622,MATCH(398,Engine!$C$2:$C$622,0)))</f>
        <v/>
      </c>
      <c r="E411">
        <f>IF(ISNA(MATCH(398,Engine!$C$2:$C$622,0)),"",INDEX('Compliance Database'!$E$2:$E$622,MATCH(398,Engine!$C$2:$C$622,0)))</f>
        <v/>
      </c>
      <c r="F411">
        <f>IF(ISNA(MATCH(398,Engine!$C$2:$C$622,0)),"",INDEX('Compliance Database'!$F$2:$F$622,MATCH(398,Engine!$C$2:$C$622,0)))</f>
        <v/>
      </c>
      <c r="G411">
        <f>IF(ISNA(MATCH(398,Engine!$C$2:$C$622,0)),"",INDEX('Compliance Database'!$G$2:$G$622,MATCH(398,Engine!$C$2:$C$622,0)))</f>
        <v/>
      </c>
      <c r="H411">
        <f>IF(ISNA(MATCH(398,Engine!$C$2:$C$622,0)),"",INDEX('Compliance Database'!$H$2:$H$622,MATCH(398,Engine!$C$2:$C$622,0)))</f>
        <v/>
      </c>
      <c r="I411" s="8">
        <f>IF(ISNA(MATCH(398,Engine!$C$2:$C$622,0)),"",INDEX('Compliance Database'!$I$2:$I$622,MATCH(398,Engine!$C$2:$C$622,0)))</f>
        <v/>
      </c>
      <c r="J411" s="8">
        <f>IF(ISNA(MATCH(398,Engine!$C$2:$C$622,0)),"",INDEX('Compliance Database'!$J$2:$J$622,MATCH(398,Engine!$C$2:$C$622,0)))</f>
        <v/>
      </c>
      <c r="K411">
        <f>IF(ISNA(MATCH(398,Engine!$C$2:$C$622,0)),"",INDEX('Compliance Database'!$K$2:$K$622,MATCH(398,Engine!$C$2:$C$622,0)))</f>
        <v/>
      </c>
      <c r="L411" s="8">
        <f>IF(ISNA(MATCH(398,Engine!$C$2:$C$622,0)),"",INDEX('Compliance Database'!$L$2:$L$622,MATCH(398,Engine!$C$2:$C$622,0)))</f>
        <v/>
      </c>
      <c r="M411" s="8">
        <f>IF(ISNA(MATCH(398,Engine!$C$2:$C$622,0)),"",INDEX('Compliance Database'!$M$2:$M$622,MATCH(398,Engine!$C$2:$C$622,0)))</f>
        <v/>
      </c>
      <c r="N411" s="8">
        <f>IF(ISNA(MATCH(398,Engine!$C$2:$C$622,0)),"",INDEX('Compliance Database'!$N$2:$N$622,MATCH(398,Engine!$C$2:$C$622,0)))</f>
        <v/>
      </c>
      <c r="O411" s="8">
        <f>IF(ISNA(MATCH(398,Engine!$C$2:$C$622,0)),"",INDEX('Compliance Database'!$O$2:$O$622,MATCH(398,Engine!$C$2:$C$622,0)))</f>
        <v/>
      </c>
    </row>
    <row r="412">
      <c r="A412">
        <f>IF(ISNA(MATCH(399,Engine!$C$2:$C$622,0)),"",INDEX('Compliance Database'!$A$2:$A$622,MATCH(399,Engine!$C$2:$C$622,0)))</f>
        <v/>
      </c>
      <c r="B412">
        <f>IF(ISNA(MATCH(399,Engine!$C$2:$C$622,0)),"",INDEX('Compliance Database'!$B$2:$B$622,MATCH(399,Engine!$C$2:$C$622,0)))</f>
        <v/>
      </c>
      <c r="C412">
        <f>IF(ISNA(MATCH(399,Engine!$C$2:$C$622,0)),"",INDEX('Compliance Database'!$C$2:$C$622,MATCH(399,Engine!$C$2:$C$622,0)))</f>
        <v/>
      </c>
      <c r="D412" s="8">
        <f>IF(ISNA(MATCH(399,Engine!$C$2:$C$622,0)),"",INDEX('Compliance Database'!$D$2:$D$622,MATCH(399,Engine!$C$2:$C$622,0)))</f>
        <v/>
      </c>
      <c r="E412">
        <f>IF(ISNA(MATCH(399,Engine!$C$2:$C$622,0)),"",INDEX('Compliance Database'!$E$2:$E$622,MATCH(399,Engine!$C$2:$C$622,0)))</f>
        <v/>
      </c>
      <c r="F412">
        <f>IF(ISNA(MATCH(399,Engine!$C$2:$C$622,0)),"",INDEX('Compliance Database'!$F$2:$F$622,MATCH(399,Engine!$C$2:$C$622,0)))</f>
        <v/>
      </c>
      <c r="G412">
        <f>IF(ISNA(MATCH(399,Engine!$C$2:$C$622,0)),"",INDEX('Compliance Database'!$G$2:$G$622,MATCH(399,Engine!$C$2:$C$622,0)))</f>
        <v/>
      </c>
      <c r="H412">
        <f>IF(ISNA(MATCH(399,Engine!$C$2:$C$622,0)),"",INDEX('Compliance Database'!$H$2:$H$622,MATCH(399,Engine!$C$2:$C$622,0)))</f>
        <v/>
      </c>
      <c r="I412" s="8">
        <f>IF(ISNA(MATCH(399,Engine!$C$2:$C$622,0)),"",INDEX('Compliance Database'!$I$2:$I$622,MATCH(399,Engine!$C$2:$C$622,0)))</f>
        <v/>
      </c>
      <c r="J412" s="8">
        <f>IF(ISNA(MATCH(399,Engine!$C$2:$C$622,0)),"",INDEX('Compliance Database'!$J$2:$J$622,MATCH(399,Engine!$C$2:$C$622,0)))</f>
        <v/>
      </c>
      <c r="K412">
        <f>IF(ISNA(MATCH(399,Engine!$C$2:$C$622,0)),"",INDEX('Compliance Database'!$K$2:$K$622,MATCH(399,Engine!$C$2:$C$622,0)))</f>
        <v/>
      </c>
      <c r="L412" s="8">
        <f>IF(ISNA(MATCH(399,Engine!$C$2:$C$622,0)),"",INDEX('Compliance Database'!$L$2:$L$622,MATCH(399,Engine!$C$2:$C$622,0)))</f>
        <v/>
      </c>
      <c r="M412" s="8">
        <f>IF(ISNA(MATCH(399,Engine!$C$2:$C$622,0)),"",INDEX('Compliance Database'!$M$2:$M$622,MATCH(399,Engine!$C$2:$C$622,0)))</f>
        <v/>
      </c>
      <c r="N412" s="8">
        <f>IF(ISNA(MATCH(399,Engine!$C$2:$C$622,0)),"",INDEX('Compliance Database'!$N$2:$N$622,MATCH(399,Engine!$C$2:$C$622,0)))</f>
        <v/>
      </c>
      <c r="O412" s="8">
        <f>IF(ISNA(MATCH(399,Engine!$C$2:$C$622,0)),"",INDEX('Compliance Database'!$O$2:$O$622,MATCH(399,Engine!$C$2:$C$622,0)))</f>
        <v/>
      </c>
    </row>
    <row r="413">
      <c r="A413">
        <f>IF(ISNA(MATCH(400,Engine!$C$2:$C$622,0)),"",INDEX('Compliance Database'!$A$2:$A$622,MATCH(400,Engine!$C$2:$C$622,0)))</f>
        <v/>
      </c>
      <c r="B413">
        <f>IF(ISNA(MATCH(400,Engine!$C$2:$C$622,0)),"",INDEX('Compliance Database'!$B$2:$B$622,MATCH(400,Engine!$C$2:$C$622,0)))</f>
        <v/>
      </c>
      <c r="C413">
        <f>IF(ISNA(MATCH(400,Engine!$C$2:$C$622,0)),"",INDEX('Compliance Database'!$C$2:$C$622,MATCH(400,Engine!$C$2:$C$622,0)))</f>
        <v/>
      </c>
      <c r="D413" s="8">
        <f>IF(ISNA(MATCH(400,Engine!$C$2:$C$622,0)),"",INDEX('Compliance Database'!$D$2:$D$622,MATCH(400,Engine!$C$2:$C$622,0)))</f>
        <v/>
      </c>
      <c r="E413">
        <f>IF(ISNA(MATCH(400,Engine!$C$2:$C$622,0)),"",INDEX('Compliance Database'!$E$2:$E$622,MATCH(400,Engine!$C$2:$C$622,0)))</f>
        <v/>
      </c>
      <c r="F413">
        <f>IF(ISNA(MATCH(400,Engine!$C$2:$C$622,0)),"",INDEX('Compliance Database'!$F$2:$F$622,MATCH(400,Engine!$C$2:$C$622,0)))</f>
        <v/>
      </c>
      <c r="G413">
        <f>IF(ISNA(MATCH(400,Engine!$C$2:$C$622,0)),"",INDEX('Compliance Database'!$G$2:$G$622,MATCH(400,Engine!$C$2:$C$622,0)))</f>
        <v/>
      </c>
      <c r="H413">
        <f>IF(ISNA(MATCH(400,Engine!$C$2:$C$622,0)),"",INDEX('Compliance Database'!$H$2:$H$622,MATCH(400,Engine!$C$2:$C$622,0)))</f>
        <v/>
      </c>
      <c r="I413" s="8">
        <f>IF(ISNA(MATCH(400,Engine!$C$2:$C$622,0)),"",INDEX('Compliance Database'!$I$2:$I$622,MATCH(400,Engine!$C$2:$C$622,0)))</f>
        <v/>
      </c>
      <c r="J413" s="8">
        <f>IF(ISNA(MATCH(400,Engine!$C$2:$C$622,0)),"",INDEX('Compliance Database'!$J$2:$J$622,MATCH(400,Engine!$C$2:$C$622,0)))</f>
        <v/>
      </c>
      <c r="K413">
        <f>IF(ISNA(MATCH(400,Engine!$C$2:$C$622,0)),"",INDEX('Compliance Database'!$K$2:$K$622,MATCH(400,Engine!$C$2:$C$622,0)))</f>
        <v/>
      </c>
      <c r="L413" s="8">
        <f>IF(ISNA(MATCH(400,Engine!$C$2:$C$622,0)),"",INDEX('Compliance Database'!$L$2:$L$622,MATCH(400,Engine!$C$2:$C$622,0)))</f>
        <v/>
      </c>
      <c r="M413" s="8">
        <f>IF(ISNA(MATCH(400,Engine!$C$2:$C$622,0)),"",INDEX('Compliance Database'!$M$2:$M$622,MATCH(400,Engine!$C$2:$C$622,0)))</f>
        <v/>
      </c>
      <c r="N413" s="8">
        <f>IF(ISNA(MATCH(400,Engine!$C$2:$C$622,0)),"",INDEX('Compliance Database'!$N$2:$N$622,MATCH(400,Engine!$C$2:$C$622,0)))</f>
        <v/>
      </c>
      <c r="O413" s="8">
        <f>IF(ISNA(MATCH(400,Engine!$C$2:$C$622,0)),"",INDEX('Compliance Database'!$O$2:$O$622,MATCH(400,Engine!$C$2:$C$622,0)))</f>
        <v/>
      </c>
    </row>
    <row r="414">
      <c r="A414">
        <f>IF(ISNA(MATCH(401,Engine!$C$2:$C$622,0)),"",INDEX('Compliance Database'!$A$2:$A$622,MATCH(401,Engine!$C$2:$C$622,0)))</f>
        <v/>
      </c>
      <c r="B414">
        <f>IF(ISNA(MATCH(401,Engine!$C$2:$C$622,0)),"",INDEX('Compliance Database'!$B$2:$B$622,MATCH(401,Engine!$C$2:$C$622,0)))</f>
        <v/>
      </c>
      <c r="C414">
        <f>IF(ISNA(MATCH(401,Engine!$C$2:$C$622,0)),"",INDEX('Compliance Database'!$C$2:$C$622,MATCH(401,Engine!$C$2:$C$622,0)))</f>
        <v/>
      </c>
      <c r="D414" s="8">
        <f>IF(ISNA(MATCH(401,Engine!$C$2:$C$622,0)),"",INDEX('Compliance Database'!$D$2:$D$622,MATCH(401,Engine!$C$2:$C$622,0)))</f>
        <v/>
      </c>
      <c r="E414">
        <f>IF(ISNA(MATCH(401,Engine!$C$2:$C$622,0)),"",INDEX('Compliance Database'!$E$2:$E$622,MATCH(401,Engine!$C$2:$C$622,0)))</f>
        <v/>
      </c>
      <c r="F414">
        <f>IF(ISNA(MATCH(401,Engine!$C$2:$C$622,0)),"",INDEX('Compliance Database'!$F$2:$F$622,MATCH(401,Engine!$C$2:$C$622,0)))</f>
        <v/>
      </c>
      <c r="G414">
        <f>IF(ISNA(MATCH(401,Engine!$C$2:$C$622,0)),"",INDEX('Compliance Database'!$G$2:$G$622,MATCH(401,Engine!$C$2:$C$622,0)))</f>
        <v/>
      </c>
      <c r="H414">
        <f>IF(ISNA(MATCH(401,Engine!$C$2:$C$622,0)),"",INDEX('Compliance Database'!$H$2:$H$622,MATCH(401,Engine!$C$2:$C$622,0)))</f>
        <v/>
      </c>
      <c r="I414" s="8">
        <f>IF(ISNA(MATCH(401,Engine!$C$2:$C$622,0)),"",INDEX('Compliance Database'!$I$2:$I$622,MATCH(401,Engine!$C$2:$C$622,0)))</f>
        <v/>
      </c>
      <c r="J414" s="8">
        <f>IF(ISNA(MATCH(401,Engine!$C$2:$C$622,0)),"",INDEX('Compliance Database'!$J$2:$J$622,MATCH(401,Engine!$C$2:$C$622,0)))</f>
        <v/>
      </c>
      <c r="K414">
        <f>IF(ISNA(MATCH(401,Engine!$C$2:$C$622,0)),"",INDEX('Compliance Database'!$K$2:$K$622,MATCH(401,Engine!$C$2:$C$622,0)))</f>
        <v/>
      </c>
      <c r="L414" s="8">
        <f>IF(ISNA(MATCH(401,Engine!$C$2:$C$622,0)),"",INDEX('Compliance Database'!$L$2:$L$622,MATCH(401,Engine!$C$2:$C$622,0)))</f>
        <v/>
      </c>
      <c r="M414" s="8">
        <f>IF(ISNA(MATCH(401,Engine!$C$2:$C$622,0)),"",INDEX('Compliance Database'!$M$2:$M$622,MATCH(401,Engine!$C$2:$C$622,0)))</f>
        <v/>
      </c>
      <c r="N414" s="8">
        <f>IF(ISNA(MATCH(401,Engine!$C$2:$C$622,0)),"",INDEX('Compliance Database'!$N$2:$N$622,MATCH(401,Engine!$C$2:$C$622,0)))</f>
        <v/>
      </c>
      <c r="O414" s="8">
        <f>IF(ISNA(MATCH(401,Engine!$C$2:$C$622,0)),"",INDEX('Compliance Database'!$O$2:$O$622,MATCH(401,Engine!$C$2:$C$622,0)))</f>
        <v/>
      </c>
    </row>
    <row r="415">
      <c r="A415">
        <f>IF(ISNA(MATCH(402,Engine!$C$2:$C$622,0)),"",INDEX('Compliance Database'!$A$2:$A$622,MATCH(402,Engine!$C$2:$C$622,0)))</f>
        <v/>
      </c>
      <c r="B415">
        <f>IF(ISNA(MATCH(402,Engine!$C$2:$C$622,0)),"",INDEX('Compliance Database'!$B$2:$B$622,MATCH(402,Engine!$C$2:$C$622,0)))</f>
        <v/>
      </c>
      <c r="C415">
        <f>IF(ISNA(MATCH(402,Engine!$C$2:$C$622,0)),"",INDEX('Compliance Database'!$C$2:$C$622,MATCH(402,Engine!$C$2:$C$622,0)))</f>
        <v/>
      </c>
      <c r="D415" s="8">
        <f>IF(ISNA(MATCH(402,Engine!$C$2:$C$622,0)),"",INDEX('Compliance Database'!$D$2:$D$622,MATCH(402,Engine!$C$2:$C$622,0)))</f>
        <v/>
      </c>
      <c r="E415">
        <f>IF(ISNA(MATCH(402,Engine!$C$2:$C$622,0)),"",INDEX('Compliance Database'!$E$2:$E$622,MATCH(402,Engine!$C$2:$C$622,0)))</f>
        <v/>
      </c>
      <c r="F415">
        <f>IF(ISNA(MATCH(402,Engine!$C$2:$C$622,0)),"",INDEX('Compliance Database'!$F$2:$F$622,MATCH(402,Engine!$C$2:$C$622,0)))</f>
        <v/>
      </c>
      <c r="G415">
        <f>IF(ISNA(MATCH(402,Engine!$C$2:$C$622,0)),"",INDEX('Compliance Database'!$G$2:$G$622,MATCH(402,Engine!$C$2:$C$622,0)))</f>
        <v/>
      </c>
      <c r="H415">
        <f>IF(ISNA(MATCH(402,Engine!$C$2:$C$622,0)),"",INDEX('Compliance Database'!$H$2:$H$622,MATCH(402,Engine!$C$2:$C$622,0)))</f>
        <v/>
      </c>
      <c r="I415" s="8">
        <f>IF(ISNA(MATCH(402,Engine!$C$2:$C$622,0)),"",INDEX('Compliance Database'!$I$2:$I$622,MATCH(402,Engine!$C$2:$C$622,0)))</f>
        <v/>
      </c>
      <c r="J415" s="8">
        <f>IF(ISNA(MATCH(402,Engine!$C$2:$C$622,0)),"",INDEX('Compliance Database'!$J$2:$J$622,MATCH(402,Engine!$C$2:$C$622,0)))</f>
        <v/>
      </c>
      <c r="K415">
        <f>IF(ISNA(MATCH(402,Engine!$C$2:$C$622,0)),"",INDEX('Compliance Database'!$K$2:$K$622,MATCH(402,Engine!$C$2:$C$622,0)))</f>
        <v/>
      </c>
      <c r="L415" s="8">
        <f>IF(ISNA(MATCH(402,Engine!$C$2:$C$622,0)),"",INDEX('Compliance Database'!$L$2:$L$622,MATCH(402,Engine!$C$2:$C$622,0)))</f>
        <v/>
      </c>
      <c r="M415" s="8">
        <f>IF(ISNA(MATCH(402,Engine!$C$2:$C$622,0)),"",INDEX('Compliance Database'!$M$2:$M$622,MATCH(402,Engine!$C$2:$C$622,0)))</f>
        <v/>
      </c>
      <c r="N415" s="8">
        <f>IF(ISNA(MATCH(402,Engine!$C$2:$C$622,0)),"",INDEX('Compliance Database'!$N$2:$N$622,MATCH(402,Engine!$C$2:$C$622,0)))</f>
        <v/>
      </c>
      <c r="O415" s="8">
        <f>IF(ISNA(MATCH(402,Engine!$C$2:$C$622,0)),"",INDEX('Compliance Database'!$O$2:$O$622,MATCH(402,Engine!$C$2:$C$622,0)))</f>
        <v/>
      </c>
    </row>
    <row r="416">
      <c r="A416">
        <f>IF(ISNA(MATCH(403,Engine!$C$2:$C$622,0)),"",INDEX('Compliance Database'!$A$2:$A$622,MATCH(403,Engine!$C$2:$C$622,0)))</f>
        <v/>
      </c>
      <c r="B416">
        <f>IF(ISNA(MATCH(403,Engine!$C$2:$C$622,0)),"",INDEX('Compliance Database'!$B$2:$B$622,MATCH(403,Engine!$C$2:$C$622,0)))</f>
        <v/>
      </c>
      <c r="C416">
        <f>IF(ISNA(MATCH(403,Engine!$C$2:$C$622,0)),"",INDEX('Compliance Database'!$C$2:$C$622,MATCH(403,Engine!$C$2:$C$622,0)))</f>
        <v/>
      </c>
      <c r="D416" s="8">
        <f>IF(ISNA(MATCH(403,Engine!$C$2:$C$622,0)),"",INDEX('Compliance Database'!$D$2:$D$622,MATCH(403,Engine!$C$2:$C$622,0)))</f>
        <v/>
      </c>
      <c r="E416">
        <f>IF(ISNA(MATCH(403,Engine!$C$2:$C$622,0)),"",INDEX('Compliance Database'!$E$2:$E$622,MATCH(403,Engine!$C$2:$C$622,0)))</f>
        <v/>
      </c>
      <c r="F416">
        <f>IF(ISNA(MATCH(403,Engine!$C$2:$C$622,0)),"",INDEX('Compliance Database'!$F$2:$F$622,MATCH(403,Engine!$C$2:$C$622,0)))</f>
        <v/>
      </c>
      <c r="G416">
        <f>IF(ISNA(MATCH(403,Engine!$C$2:$C$622,0)),"",INDEX('Compliance Database'!$G$2:$G$622,MATCH(403,Engine!$C$2:$C$622,0)))</f>
        <v/>
      </c>
      <c r="H416">
        <f>IF(ISNA(MATCH(403,Engine!$C$2:$C$622,0)),"",INDEX('Compliance Database'!$H$2:$H$622,MATCH(403,Engine!$C$2:$C$622,0)))</f>
        <v/>
      </c>
      <c r="I416" s="8">
        <f>IF(ISNA(MATCH(403,Engine!$C$2:$C$622,0)),"",INDEX('Compliance Database'!$I$2:$I$622,MATCH(403,Engine!$C$2:$C$622,0)))</f>
        <v/>
      </c>
      <c r="J416" s="8">
        <f>IF(ISNA(MATCH(403,Engine!$C$2:$C$622,0)),"",INDEX('Compliance Database'!$J$2:$J$622,MATCH(403,Engine!$C$2:$C$622,0)))</f>
        <v/>
      </c>
      <c r="K416">
        <f>IF(ISNA(MATCH(403,Engine!$C$2:$C$622,0)),"",INDEX('Compliance Database'!$K$2:$K$622,MATCH(403,Engine!$C$2:$C$622,0)))</f>
        <v/>
      </c>
      <c r="L416" s="8">
        <f>IF(ISNA(MATCH(403,Engine!$C$2:$C$622,0)),"",INDEX('Compliance Database'!$L$2:$L$622,MATCH(403,Engine!$C$2:$C$622,0)))</f>
        <v/>
      </c>
      <c r="M416" s="8">
        <f>IF(ISNA(MATCH(403,Engine!$C$2:$C$622,0)),"",INDEX('Compliance Database'!$M$2:$M$622,MATCH(403,Engine!$C$2:$C$622,0)))</f>
        <v/>
      </c>
      <c r="N416" s="8">
        <f>IF(ISNA(MATCH(403,Engine!$C$2:$C$622,0)),"",INDEX('Compliance Database'!$N$2:$N$622,MATCH(403,Engine!$C$2:$C$622,0)))</f>
        <v/>
      </c>
      <c r="O416" s="8">
        <f>IF(ISNA(MATCH(403,Engine!$C$2:$C$622,0)),"",INDEX('Compliance Database'!$O$2:$O$622,MATCH(403,Engine!$C$2:$C$622,0)))</f>
        <v/>
      </c>
    </row>
    <row r="417">
      <c r="A417">
        <f>IF(ISNA(MATCH(404,Engine!$C$2:$C$622,0)),"",INDEX('Compliance Database'!$A$2:$A$622,MATCH(404,Engine!$C$2:$C$622,0)))</f>
        <v/>
      </c>
      <c r="B417">
        <f>IF(ISNA(MATCH(404,Engine!$C$2:$C$622,0)),"",INDEX('Compliance Database'!$B$2:$B$622,MATCH(404,Engine!$C$2:$C$622,0)))</f>
        <v/>
      </c>
      <c r="C417">
        <f>IF(ISNA(MATCH(404,Engine!$C$2:$C$622,0)),"",INDEX('Compliance Database'!$C$2:$C$622,MATCH(404,Engine!$C$2:$C$622,0)))</f>
        <v/>
      </c>
      <c r="D417" s="8">
        <f>IF(ISNA(MATCH(404,Engine!$C$2:$C$622,0)),"",INDEX('Compliance Database'!$D$2:$D$622,MATCH(404,Engine!$C$2:$C$622,0)))</f>
        <v/>
      </c>
      <c r="E417">
        <f>IF(ISNA(MATCH(404,Engine!$C$2:$C$622,0)),"",INDEX('Compliance Database'!$E$2:$E$622,MATCH(404,Engine!$C$2:$C$622,0)))</f>
        <v/>
      </c>
      <c r="F417">
        <f>IF(ISNA(MATCH(404,Engine!$C$2:$C$622,0)),"",INDEX('Compliance Database'!$F$2:$F$622,MATCH(404,Engine!$C$2:$C$622,0)))</f>
        <v/>
      </c>
      <c r="G417">
        <f>IF(ISNA(MATCH(404,Engine!$C$2:$C$622,0)),"",INDEX('Compliance Database'!$G$2:$G$622,MATCH(404,Engine!$C$2:$C$622,0)))</f>
        <v/>
      </c>
      <c r="H417">
        <f>IF(ISNA(MATCH(404,Engine!$C$2:$C$622,0)),"",INDEX('Compliance Database'!$H$2:$H$622,MATCH(404,Engine!$C$2:$C$622,0)))</f>
        <v/>
      </c>
      <c r="I417" s="8">
        <f>IF(ISNA(MATCH(404,Engine!$C$2:$C$622,0)),"",INDEX('Compliance Database'!$I$2:$I$622,MATCH(404,Engine!$C$2:$C$622,0)))</f>
        <v/>
      </c>
      <c r="J417" s="8">
        <f>IF(ISNA(MATCH(404,Engine!$C$2:$C$622,0)),"",INDEX('Compliance Database'!$J$2:$J$622,MATCH(404,Engine!$C$2:$C$622,0)))</f>
        <v/>
      </c>
      <c r="K417">
        <f>IF(ISNA(MATCH(404,Engine!$C$2:$C$622,0)),"",INDEX('Compliance Database'!$K$2:$K$622,MATCH(404,Engine!$C$2:$C$622,0)))</f>
        <v/>
      </c>
      <c r="L417" s="8">
        <f>IF(ISNA(MATCH(404,Engine!$C$2:$C$622,0)),"",INDEX('Compliance Database'!$L$2:$L$622,MATCH(404,Engine!$C$2:$C$622,0)))</f>
        <v/>
      </c>
      <c r="M417" s="8">
        <f>IF(ISNA(MATCH(404,Engine!$C$2:$C$622,0)),"",INDEX('Compliance Database'!$M$2:$M$622,MATCH(404,Engine!$C$2:$C$622,0)))</f>
        <v/>
      </c>
      <c r="N417" s="8">
        <f>IF(ISNA(MATCH(404,Engine!$C$2:$C$622,0)),"",INDEX('Compliance Database'!$N$2:$N$622,MATCH(404,Engine!$C$2:$C$622,0)))</f>
        <v/>
      </c>
      <c r="O417" s="8">
        <f>IF(ISNA(MATCH(404,Engine!$C$2:$C$622,0)),"",INDEX('Compliance Database'!$O$2:$O$622,MATCH(404,Engine!$C$2:$C$622,0)))</f>
        <v/>
      </c>
    </row>
    <row r="418">
      <c r="A418">
        <f>IF(ISNA(MATCH(405,Engine!$C$2:$C$622,0)),"",INDEX('Compliance Database'!$A$2:$A$622,MATCH(405,Engine!$C$2:$C$622,0)))</f>
        <v/>
      </c>
      <c r="B418">
        <f>IF(ISNA(MATCH(405,Engine!$C$2:$C$622,0)),"",INDEX('Compliance Database'!$B$2:$B$622,MATCH(405,Engine!$C$2:$C$622,0)))</f>
        <v/>
      </c>
      <c r="C418">
        <f>IF(ISNA(MATCH(405,Engine!$C$2:$C$622,0)),"",INDEX('Compliance Database'!$C$2:$C$622,MATCH(405,Engine!$C$2:$C$622,0)))</f>
        <v/>
      </c>
      <c r="D418" s="8">
        <f>IF(ISNA(MATCH(405,Engine!$C$2:$C$622,0)),"",INDEX('Compliance Database'!$D$2:$D$622,MATCH(405,Engine!$C$2:$C$622,0)))</f>
        <v/>
      </c>
      <c r="E418">
        <f>IF(ISNA(MATCH(405,Engine!$C$2:$C$622,0)),"",INDEX('Compliance Database'!$E$2:$E$622,MATCH(405,Engine!$C$2:$C$622,0)))</f>
        <v/>
      </c>
      <c r="F418">
        <f>IF(ISNA(MATCH(405,Engine!$C$2:$C$622,0)),"",INDEX('Compliance Database'!$F$2:$F$622,MATCH(405,Engine!$C$2:$C$622,0)))</f>
        <v/>
      </c>
      <c r="G418">
        <f>IF(ISNA(MATCH(405,Engine!$C$2:$C$622,0)),"",INDEX('Compliance Database'!$G$2:$G$622,MATCH(405,Engine!$C$2:$C$622,0)))</f>
        <v/>
      </c>
      <c r="H418">
        <f>IF(ISNA(MATCH(405,Engine!$C$2:$C$622,0)),"",INDEX('Compliance Database'!$H$2:$H$622,MATCH(405,Engine!$C$2:$C$622,0)))</f>
        <v/>
      </c>
      <c r="I418" s="8">
        <f>IF(ISNA(MATCH(405,Engine!$C$2:$C$622,0)),"",INDEX('Compliance Database'!$I$2:$I$622,MATCH(405,Engine!$C$2:$C$622,0)))</f>
        <v/>
      </c>
      <c r="J418" s="8">
        <f>IF(ISNA(MATCH(405,Engine!$C$2:$C$622,0)),"",INDEX('Compliance Database'!$J$2:$J$622,MATCH(405,Engine!$C$2:$C$622,0)))</f>
        <v/>
      </c>
      <c r="K418">
        <f>IF(ISNA(MATCH(405,Engine!$C$2:$C$622,0)),"",INDEX('Compliance Database'!$K$2:$K$622,MATCH(405,Engine!$C$2:$C$622,0)))</f>
        <v/>
      </c>
      <c r="L418" s="8">
        <f>IF(ISNA(MATCH(405,Engine!$C$2:$C$622,0)),"",INDEX('Compliance Database'!$L$2:$L$622,MATCH(405,Engine!$C$2:$C$622,0)))</f>
        <v/>
      </c>
      <c r="M418" s="8">
        <f>IF(ISNA(MATCH(405,Engine!$C$2:$C$622,0)),"",INDEX('Compliance Database'!$M$2:$M$622,MATCH(405,Engine!$C$2:$C$622,0)))</f>
        <v/>
      </c>
      <c r="N418" s="8">
        <f>IF(ISNA(MATCH(405,Engine!$C$2:$C$622,0)),"",INDEX('Compliance Database'!$N$2:$N$622,MATCH(405,Engine!$C$2:$C$622,0)))</f>
        <v/>
      </c>
      <c r="O418" s="8">
        <f>IF(ISNA(MATCH(405,Engine!$C$2:$C$622,0)),"",INDEX('Compliance Database'!$O$2:$O$622,MATCH(405,Engine!$C$2:$C$622,0)))</f>
        <v/>
      </c>
    </row>
    <row r="419">
      <c r="A419">
        <f>IF(ISNA(MATCH(406,Engine!$C$2:$C$622,0)),"",INDEX('Compliance Database'!$A$2:$A$622,MATCH(406,Engine!$C$2:$C$622,0)))</f>
        <v/>
      </c>
      <c r="B419">
        <f>IF(ISNA(MATCH(406,Engine!$C$2:$C$622,0)),"",INDEX('Compliance Database'!$B$2:$B$622,MATCH(406,Engine!$C$2:$C$622,0)))</f>
        <v/>
      </c>
      <c r="C419">
        <f>IF(ISNA(MATCH(406,Engine!$C$2:$C$622,0)),"",INDEX('Compliance Database'!$C$2:$C$622,MATCH(406,Engine!$C$2:$C$622,0)))</f>
        <v/>
      </c>
      <c r="D419" s="8">
        <f>IF(ISNA(MATCH(406,Engine!$C$2:$C$622,0)),"",INDEX('Compliance Database'!$D$2:$D$622,MATCH(406,Engine!$C$2:$C$622,0)))</f>
        <v/>
      </c>
      <c r="E419">
        <f>IF(ISNA(MATCH(406,Engine!$C$2:$C$622,0)),"",INDEX('Compliance Database'!$E$2:$E$622,MATCH(406,Engine!$C$2:$C$622,0)))</f>
        <v/>
      </c>
      <c r="F419">
        <f>IF(ISNA(MATCH(406,Engine!$C$2:$C$622,0)),"",INDEX('Compliance Database'!$F$2:$F$622,MATCH(406,Engine!$C$2:$C$622,0)))</f>
        <v/>
      </c>
      <c r="G419">
        <f>IF(ISNA(MATCH(406,Engine!$C$2:$C$622,0)),"",INDEX('Compliance Database'!$G$2:$G$622,MATCH(406,Engine!$C$2:$C$622,0)))</f>
        <v/>
      </c>
      <c r="H419">
        <f>IF(ISNA(MATCH(406,Engine!$C$2:$C$622,0)),"",INDEX('Compliance Database'!$H$2:$H$622,MATCH(406,Engine!$C$2:$C$622,0)))</f>
        <v/>
      </c>
      <c r="I419" s="8">
        <f>IF(ISNA(MATCH(406,Engine!$C$2:$C$622,0)),"",INDEX('Compliance Database'!$I$2:$I$622,MATCH(406,Engine!$C$2:$C$622,0)))</f>
        <v/>
      </c>
      <c r="J419" s="8">
        <f>IF(ISNA(MATCH(406,Engine!$C$2:$C$622,0)),"",INDEX('Compliance Database'!$J$2:$J$622,MATCH(406,Engine!$C$2:$C$622,0)))</f>
        <v/>
      </c>
      <c r="K419">
        <f>IF(ISNA(MATCH(406,Engine!$C$2:$C$622,0)),"",INDEX('Compliance Database'!$K$2:$K$622,MATCH(406,Engine!$C$2:$C$622,0)))</f>
        <v/>
      </c>
      <c r="L419" s="8">
        <f>IF(ISNA(MATCH(406,Engine!$C$2:$C$622,0)),"",INDEX('Compliance Database'!$L$2:$L$622,MATCH(406,Engine!$C$2:$C$622,0)))</f>
        <v/>
      </c>
      <c r="M419" s="8">
        <f>IF(ISNA(MATCH(406,Engine!$C$2:$C$622,0)),"",INDEX('Compliance Database'!$M$2:$M$622,MATCH(406,Engine!$C$2:$C$622,0)))</f>
        <v/>
      </c>
      <c r="N419" s="8">
        <f>IF(ISNA(MATCH(406,Engine!$C$2:$C$622,0)),"",INDEX('Compliance Database'!$N$2:$N$622,MATCH(406,Engine!$C$2:$C$622,0)))</f>
        <v/>
      </c>
      <c r="O419" s="8">
        <f>IF(ISNA(MATCH(406,Engine!$C$2:$C$622,0)),"",INDEX('Compliance Database'!$O$2:$O$622,MATCH(406,Engine!$C$2:$C$622,0)))</f>
        <v/>
      </c>
    </row>
    <row r="420">
      <c r="A420">
        <f>IF(ISNA(MATCH(407,Engine!$C$2:$C$622,0)),"",INDEX('Compliance Database'!$A$2:$A$622,MATCH(407,Engine!$C$2:$C$622,0)))</f>
        <v/>
      </c>
      <c r="B420">
        <f>IF(ISNA(MATCH(407,Engine!$C$2:$C$622,0)),"",INDEX('Compliance Database'!$B$2:$B$622,MATCH(407,Engine!$C$2:$C$622,0)))</f>
        <v/>
      </c>
      <c r="C420">
        <f>IF(ISNA(MATCH(407,Engine!$C$2:$C$622,0)),"",INDEX('Compliance Database'!$C$2:$C$622,MATCH(407,Engine!$C$2:$C$622,0)))</f>
        <v/>
      </c>
      <c r="D420" s="8">
        <f>IF(ISNA(MATCH(407,Engine!$C$2:$C$622,0)),"",INDEX('Compliance Database'!$D$2:$D$622,MATCH(407,Engine!$C$2:$C$622,0)))</f>
        <v/>
      </c>
      <c r="E420">
        <f>IF(ISNA(MATCH(407,Engine!$C$2:$C$622,0)),"",INDEX('Compliance Database'!$E$2:$E$622,MATCH(407,Engine!$C$2:$C$622,0)))</f>
        <v/>
      </c>
      <c r="F420">
        <f>IF(ISNA(MATCH(407,Engine!$C$2:$C$622,0)),"",INDEX('Compliance Database'!$F$2:$F$622,MATCH(407,Engine!$C$2:$C$622,0)))</f>
        <v/>
      </c>
      <c r="G420">
        <f>IF(ISNA(MATCH(407,Engine!$C$2:$C$622,0)),"",INDEX('Compliance Database'!$G$2:$G$622,MATCH(407,Engine!$C$2:$C$622,0)))</f>
        <v/>
      </c>
      <c r="H420">
        <f>IF(ISNA(MATCH(407,Engine!$C$2:$C$622,0)),"",INDEX('Compliance Database'!$H$2:$H$622,MATCH(407,Engine!$C$2:$C$622,0)))</f>
        <v/>
      </c>
      <c r="I420" s="8">
        <f>IF(ISNA(MATCH(407,Engine!$C$2:$C$622,0)),"",INDEX('Compliance Database'!$I$2:$I$622,MATCH(407,Engine!$C$2:$C$622,0)))</f>
        <v/>
      </c>
      <c r="J420" s="8">
        <f>IF(ISNA(MATCH(407,Engine!$C$2:$C$622,0)),"",INDEX('Compliance Database'!$J$2:$J$622,MATCH(407,Engine!$C$2:$C$622,0)))</f>
        <v/>
      </c>
      <c r="K420">
        <f>IF(ISNA(MATCH(407,Engine!$C$2:$C$622,0)),"",INDEX('Compliance Database'!$K$2:$K$622,MATCH(407,Engine!$C$2:$C$622,0)))</f>
        <v/>
      </c>
      <c r="L420" s="8">
        <f>IF(ISNA(MATCH(407,Engine!$C$2:$C$622,0)),"",INDEX('Compliance Database'!$L$2:$L$622,MATCH(407,Engine!$C$2:$C$622,0)))</f>
        <v/>
      </c>
      <c r="M420" s="8">
        <f>IF(ISNA(MATCH(407,Engine!$C$2:$C$622,0)),"",INDEX('Compliance Database'!$M$2:$M$622,MATCH(407,Engine!$C$2:$C$622,0)))</f>
        <v/>
      </c>
      <c r="N420" s="8">
        <f>IF(ISNA(MATCH(407,Engine!$C$2:$C$622,0)),"",INDEX('Compliance Database'!$N$2:$N$622,MATCH(407,Engine!$C$2:$C$622,0)))</f>
        <v/>
      </c>
      <c r="O420" s="8">
        <f>IF(ISNA(MATCH(407,Engine!$C$2:$C$622,0)),"",INDEX('Compliance Database'!$O$2:$O$622,MATCH(407,Engine!$C$2:$C$622,0)))</f>
        <v/>
      </c>
    </row>
    <row r="421">
      <c r="A421">
        <f>IF(ISNA(MATCH(408,Engine!$C$2:$C$622,0)),"",INDEX('Compliance Database'!$A$2:$A$622,MATCH(408,Engine!$C$2:$C$622,0)))</f>
        <v/>
      </c>
      <c r="B421">
        <f>IF(ISNA(MATCH(408,Engine!$C$2:$C$622,0)),"",INDEX('Compliance Database'!$B$2:$B$622,MATCH(408,Engine!$C$2:$C$622,0)))</f>
        <v/>
      </c>
      <c r="C421">
        <f>IF(ISNA(MATCH(408,Engine!$C$2:$C$622,0)),"",INDEX('Compliance Database'!$C$2:$C$622,MATCH(408,Engine!$C$2:$C$622,0)))</f>
        <v/>
      </c>
      <c r="D421" s="8">
        <f>IF(ISNA(MATCH(408,Engine!$C$2:$C$622,0)),"",INDEX('Compliance Database'!$D$2:$D$622,MATCH(408,Engine!$C$2:$C$622,0)))</f>
        <v/>
      </c>
      <c r="E421">
        <f>IF(ISNA(MATCH(408,Engine!$C$2:$C$622,0)),"",INDEX('Compliance Database'!$E$2:$E$622,MATCH(408,Engine!$C$2:$C$622,0)))</f>
        <v/>
      </c>
      <c r="F421">
        <f>IF(ISNA(MATCH(408,Engine!$C$2:$C$622,0)),"",INDEX('Compliance Database'!$F$2:$F$622,MATCH(408,Engine!$C$2:$C$622,0)))</f>
        <v/>
      </c>
      <c r="G421">
        <f>IF(ISNA(MATCH(408,Engine!$C$2:$C$622,0)),"",INDEX('Compliance Database'!$G$2:$G$622,MATCH(408,Engine!$C$2:$C$622,0)))</f>
        <v/>
      </c>
      <c r="H421">
        <f>IF(ISNA(MATCH(408,Engine!$C$2:$C$622,0)),"",INDEX('Compliance Database'!$H$2:$H$622,MATCH(408,Engine!$C$2:$C$622,0)))</f>
        <v/>
      </c>
      <c r="I421" s="8">
        <f>IF(ISNA(MATCH(408,Engine!$C$2:$C$622,0)),"",INDEX('Compliance Database'!$I$2:$I$622,MATCH(408,Engine!$C$2:$C$622,0)))</f>
        <v/>
      </c>
      <c r="J421" s="8">
        <f>IF(ISNA(MATCH(408,Engine!$C$2:$C$622,0)),"",INDEX('Compliance Database'!$J$2:$J$622,MATCH(408,Engine!$C$2:$C$622,0)))</f>
        <v/>
      </c>
      <c r="K421">
        <f>IF(ISNA(MATCH(408,Engine!$C$2:$C$622,0)),"",INDEX('Compliance Database'!$K$2:$K$622,MATCH(408,Engine!$C$2:$C$622,0)))</f>
        <v/>
      </c>
      <c r="L421" s="8">
        <f>IF(ISNA(MATCH(408,Engine!$C$2:$C$622,0)),"",INDEX('Compliance Database'!$L$2:$L$622,MATCH(408,Engine!$C$2:$C$622,0)))</f>
        <v/>
      </c>
      <c r="M421" s="8">
        <f>IF(ISNA(MATCH(408,Engine!$C$2:$C$622,0)),"",INDEX('Compliance Database'!$M$2:$M$622,MATCH(408,Engine!$C$2:$C$622,0)))</f>
        <v/>
      </c>
      <c r="N421" s="8">
        <f>IF(ISNA(MATCH(408,Engine!$C$2:$C$622,0)),"",INDEX('Compliance Database'!$N$2:$N$622,MATCH(408,Engine!$C$2:$C$622,0)))</f>
        <v/>
      </c>
      <c r="O421" s="8">
        <f>IF(ISNA(MATCH(408,Engine!$C$2:$C$622,0)),"",INDEX('Compliance Database'!$O$2:$O$622,MATCH(408,Engine!$C$2:$C$622,0)))</f>
        <v/>
      </c>
    </row>
    <row r="422">
      <c r="A422">
        <f>IF(ISNA(MATCH(409,Engine!$C$2:$C$622,0)),"",INDEX('Compliance Database'!$A$2:$A$622,MATCH(409,Engine!$C$2:$C$622,0)))</f>
        <v/>
      </c>
      <c r="B422">
        <f>IF(ISNA(MATCH(409,Engine!$C$2:$C$622,0)),"",INDEX('Compliance Database'!$B$2:$B$622,MATCH(409,Engine!$C$2:$C$622,0)))</f>
        <v/>
      </c>
      <c r="C422">
        <f>IF(ISNA(MATCH(409,Engine!$C$2:$C$622,0)),"",INDEX('Compliance Database'!$C$2:$C$622,MATCH(409,Engine!$C$2:$C$622,0)))</f>
        <v/>
      </c>
      <c r="D422" s="8">
        <f>IF(ISNA(MATCH(409,Engine!$C$2:$C$622,0)),"",INDEX('Compliance Database'!$D$2:$D$622,MATCH(409,Engine!$C$2:$C$622,0)))</f>
        <v/>
      </c>
      <c r="E422">
        <f>IF(ISNA(MATCH(409,Engine!$C$2:$C$622,0)),"",INDEX('Compliance Database'!$E$2:$E$622,MATCH(409,Engine!$C$2:$C$622,0)))</f>
        <v/>
      </c>
      <c r="F422">
        <f>IF(ISNA(MATCH(409,Engine!$C$2:$C$622,0)),"",INDEX('Compliance Database'!$F$2:$F$622,MATCH(409,Engine!$C$2:$C$622,0)))</f>
        <v/>
      </c>
      <c r="G422">
        <f>IF(ISNA(MATCH(409,Engine!$C$2:$C$622,0)),"",INDEX('Compliance Database'!$G$2:$G$622,MATCH(409,Engine!$C$2:$C$622,0)))</f>
        <v/>
      </c>
      <c r="H422">
        <f>IF(ISNA(MATCH(409,Engine!$C$2:$C$622,0)),"",INDEX('Compliance Database'!$H$2:$H$622,MATCH(409,Engine!$C$2:$C$622,0)))</f>
        <v/>
      </c>
      <c r="I422" s="8">
        <f>IF(ISNA(MATCH(409,Engine!$C$2:$C$622,0)),"",INDEX('Compliance Database'!$I$2:$I$622,MATCH(409,Engine!$C$2:$C$622,0)))</f>
        <v/>
      </c>
      <c r="J422" s="8">
        <f>IF(ISNA(MATCH(409,Engine!$C$2:$C$622,0)),"",INDEX('Compliance Database'!$J$2:$J$622,MATCH(409,Engine!$C$2:$C$622,0)))</f>
        <v/>
      </c>
      <c r="K422">
        <f>IF(ISNA(MATCH(409,Engine!$C$2:$C$622,0)),"",INDEX('Compliance Database'!$K$2:$K$622,MATCH(409,Engine!$C$2:$C$622,0)))</f>
        <v/>
      </c>
      <c r="L422" s="8">
        <f>IF(ISNA(MATCH(409,Engine!$C$2:$C$622,0)),"",INDEX('Compliance Database'!$L$2:$L$622,MATCH(409,Engine!$C$2:$C$622,0)))</f>
        <v/>
      </c>
      <c r="M422" s="8">
        <f>IF(ISNA(MATCH(409,Engine!$C$2:$C$622,0)),"",INDEX('Compliance Database'!$M$2:$M$622,MATCH(409,Engine!$C$2:$C$622,0)))</f>
        <v/>
      </c>
      <c r="N422" s="8">
        <f>IF(ISNA(MATCH(409,Engine!$C$2:$C$622,0)),"",INDEX('Compliance Database'!$N$2:$N$622,MATCH(409,Engine!$C$2:$C$622,0)))</f>
        <v/>
      </c>
      <c r="O422" s="8">
        <f>IF(ISNA(MATCH(409,Engine!$C$2:$C$622,0)),"",INDEX('Compliance Database'!$O$2:$O$622,MATCH(409,Engine!$C$2:$C$622,0)))</f>
        <v/>
      </c>
    </row>
    <row r="423">
      <c r="A423">
        <f>IF(ISNA(MATCH(410,Engine!$C$2:$C$622,0)),"",INDEX('Compliance Database'!$A$2:$A$622,MATCH(410,Engine!$C$2:$C$622,0)))</f>
        <v/>
      </c>
      <c r="B423">
        <f>IF(ISNA(MATCH(410,Engine!$C$2:$C$622,0)),"",INDEX('Compliance Database'!$B$2:$B$622,MATCH(410,Engine!$C$2:$C$622,0)))</f>
        <v/>
      </c>
      <c r="C423">
        <f>IF(ISNA(MATCH(410,Engine!$C$2:$C$622,0)),"",INDEX('Compliance Database'!$C$2:$C$622,MATCH(410,Engine!$C$2:$C$622,0)))</f>
        <v/>
      </c>
      <c r="D423" s="8">
        <f>IF(ISNA(MATCH(410,Engine!$C$2:$C$622,0)),"",INDEX('Compliance Database'!$D$2:$D$622,MATCH(410,Engine!$C$2:$C$622,0)))</f>
        <v/>
      </c>
      <c r="E423">
        <f>IF(ISNA(MATCH(410,Engine!$C$2:$C$622,0)),"",INDEX('Compliance Database'!$E$2:$E$622,MATCH(410,Engine!$C$2:$C$622,0)))</f>
        <v/>
      </c>
      <c r="F423">
        <f>IF(ISNA(MATCH(410,Engine!$C$2:$C$622,0)),"",INDEX('Compliance Database'!$F$2:$F$622,MATCH(410,Engine!$C$2:$C$622,0)))</f>
        <v/>
      </c>
      <c r="G423">
        <f>IF(ISNA(MATCH(410,Engine!$C$2:$C$622,0)),"",INDEX('Compliance Database'!$G$2:$G$622,MATCH(410,Engine!$C$2:$C$622,0)))</f>
        <v/>
      </c>
      <c r="H423">
        <f>IF(ISNA(MATCH(410,Engine!$C$2:$C$622,0)),"",INDEX('Compliance Database'!$H$2:$H$622,MATCH(410,Engine!$C$2:$C$622,0)))</f>
        <v/>
      </c>
      <c r="I423" s="8">
        <f>IF(ISNA(MATCH(410,Engine!$C$2:$C$622,0)),"",INDEX('Compliance Database'!$I$2:$I$622,MATCH(410,Engine!$C$2:$C$622,0)))</f>
        <v/>
      </c>
      <c r="J423" s="8">
        <f>IF(ISNA(MATCH(410,Engine!$C$2:$C$622,0)),"",INDEX('Compliance Database'!$J$2:$J$622,MATCH(410,Engine!$C$2:$C$622,0)))</f>
        <v/>
      </c>
      <c r="K423">
        <f>IF(ISNA(MATCH(410,Engine!$C$2:$C$622,0)),"",INDEX('Compliance Database'!$K$2:$K$622,MATCH(410,Engine!$C$2:$C$622,0)))</f>
        <v/>
      </c>
      <c r="L423" s="8">
        <f>IF(ISNA(MATCH(410,Engine!$C$2:$C$622,0)),"",INDEX('Compliance Database'!$L$2:$L$622,MATCH(410,Engine!$C$2:$C$622,0)))</f>
        <v/>
      </c>
      <c r="M423" s="8">
        <f>IF(ISNA(MATCH(410,Engine!$C$2:$C$622,0)),"",INDEX('Compliance Database'!$M$2:$M$622,MATCH(410,Engine!$C$2:$C$622,0)))</f>
        <v/>
      </c>
      <c r="N423" s="8">
        <f>IF(ISNA(MATCH(410,Engine!$C$2:$C$622,0)),"",INDEX('Compliance Database'!$N$2:$N$622,MATCH(410,Engine!$C$2:$C$622,0)))</f>
        <v/>
      </c>
      <c r="O423" s="8">
        <f>IF(ISNA(MATCH(410,Engine!$C$2:$C$622,0)),"",INDEX('Compliance Database'!$O$2:$O$622,MATCH(410,Engine!$C$2:$C$622,0)))</f>
        <v/>
      </c>
    </row>
    <row r="424">
      <c r="A424">
        <f>IF(ISNA(MATCH(411,Engine!$C$2:$C$622,0)),"",INDEX('Compliance Database'!$A$2:$A$622,MATCH(411,Engine!$C$2:$C$622,0)))</f>
        <v/>
      </c>
      <c r="B424">
        <f>IF(ISNA(MATCH(411,Engine!$C$2:$C$622,0)),"",INDEX('Compliance Database'!$B$2:$B$622,MATCH(411,Engine!$C$2:$C$622,0)))</f>
        <v/>
      </c>
      <c r="C424">
        <f>IF(ISNA(MATCH(411,Engine!$C$2:$C$622,0)),"",INDEX('Compliance Database'!$C$2:$C$622,MATCH(411,Engine!$C$2:$C$622,0)))</f>
        <v/>
      </c>
      <c r="D424" s="8">
        <f>IF(ISNA(MATCH(411,Engine!$C$2:$C$622,0)),"",INDEX('Compliance Database'!$D$2:$D$622,MATCH(411,Engine!$C$2:$C$622,0)))</f>
        <v/>
      </c>
      <c r="E424">
        <f>IF(ISNA(MATCH(411,Engine!$C$2:$C$622,0)),"",INDEX('Compliance Database'!$E$2:$E$622,MATCH(411,Engine!$C$2:$C$622,0)))</f>
        <v/>
      </c>
      <c r="F424">
        <f>IF(ISNA(MATCH(411,Engine!$C$2:$C$622,0)),"",INDEX('Compliance Database'!$F$2:$F$622,MATCH(411,Engine!$C$2:$C$622,0)))</f>
        <v/>
      </c>
      <c r="G424">
        <f>IF(ISNA(MATCH(411,Engine!$C$2:$C$622,0)),"",INDEX('Compliance Database'!$G$2:$G$622,MATCH(411,Engine!$C$2:$C$622,0)))</f>
        <v/>
      </c>
      <c r="H424">
        <f>IF(ISNA(MATCH(411,Engine!$C$2:$C$622,0)),"",INDEX('Compliance Database'!$H$2:$H$622,MATCH(411,Engine!$C$2:$C$622,0)))</f>
        <v/>
      </c>
      <c r="I424" s="8">
        <f>IF(ISNA(MATCH(411,Engine!$C$2:$C$622,0)),"",INDEX('Compliance Database'!$I$2:$I$622,MATCH(411,Engine!$C$2:$C$622,0)))</f>
        <v/>
      </c>
      <c r="J424" s="8">
        <f>IF(ISNA(MATCH(411,Engine!$C$2:$C$622,0)),"",INDEX('Compliance Database'!$J$2:$J$622,MATCH(411,Engine!$C$2:$C$622,0)))</f>
        <v/>
      </c>
      <c r="K424">
        <f>IF(ISNA(MATCH(411,Engine!$C$2:$C$622,0)),"",INDEX('Compliance Database'!$K$2:$K$622,MATCH(411,Engine!$C$2:$C$622,0)))</f>
        <v/>
      </c>
      <c r="L424" s="8">
        <f>IF(ISNA(MATCH(411,Engine!$C$2:$C$622,0)),"",INDEX('Compliance Database'!$L$2:$L$622,MATCH(411,Engine!$C$2:$C$622,0)))</f>
        <v/>
      </c>
      <c r="M424" s="8">
        <f>IF(ISNA(MATCH(411,Engine!$C$2:$C$622,0)),"",INDEX('Compliance Database'!$M$2:$M$622,MATCH(411,Engine!$C$2:$C$622,0)))</f>
        <v/>
      </c>
      <c r="N424" s="8">
        <f>IF(ISNA(MATCH(411,Engine!$C$2:$C$622,0)),"",INDEX('Compliance Database'!$N$2:$N$622,MATCH(411,Engine!$C$2:$C$622,0)))</f>
        <v/>
      </c>
      <c r="O424" s="8">
        <f>IF(ISNA(MATCH(411,Engine!$C$2:$C$622,0)),"",INDEX('Compliance Database'!$O$2:$O$622,MATCH(411,Engine!$C$2:$C$622,0)))</f>
        <v/>
      </c>
    </row>
    <row r="425">
      <c r="A425">
        <f>IF(ISNA(MATCH(412,Engine!$C$2:$C$622,0)),"",INDEX('Compliance Database'!$A$2:$A$622,MATCH(412,Engine!$C$2:$C$622,0)))</f>
        <v/>
      </c>
      <c r="B425">
        <f>IF(ISNA(MATCH(412,Engine!$C$2:$C$622,0)),"",INDEX('Compliance Database'!$B$2:$B$622,MATCH(412,Engine!$C$2:$C$622,0)))</f>
        <v/>
      </c>
      <c r="C425">
        <f>IF(ISNA(MATCH(412,Engine!$C$2:$C$622,0)),"",INDEX('Compliance Database'!$C$2:$C$622,MATCH(412,Engine!$C$2:$C$622,0)))</f>
        <v/>
      </c>
      <c r="D425" s="8">
        <f>IF(ISNA(MATCH(412,Engine!$C$2:$C$622,0)),"",INDEX('Compliance Database'!$D$2:$D$622,MATCH(412,Engine!$C$2:$C$622,0)))</f>
        <v/>
      </c>
      <c r="E425">
        <f>IF(ISNA(MATCH(412,Engine!$C$2:$C$622,0)),"",INDEX('Compliance Database'!$E$2:$E$622,MATCH(412,Engine!$C$2:$C$622,0)))</f>
        <v/>
      </c>
      <c r="F425">
        <f>IF(ISNA(MATCH(412,Engine!$C$2:$C$622,0)),"",INDEX('Compliance Database'!$F$2:$F$622,MATCH(412,Engine!$C$2:$C$622,0)))</f>
        <v/>
      </c>
      <c r="G425">
        <f>IF(ISNA(MATCH(412,Engine!$C$2:$C$622,0)),"",INDEX('Compliance Database'!$G$2:$G$622,MATCH(412,Engine!$C$2:$C$622,0)))</f>
        <v/>
      </c>
      <c r="H425">
        <f>IF(ISNA(MATCH(412,Engine!$C$2:$C$622,0)),"",INDEX('Compliance Database'!$H$2:$H$622,MATCH(412,Engine!$C$2:$C$622,0)))</f>
        <v/>
      </c>
      <c r="I425" s="8">
        <f>IF(ISNA(MATCH(412,Engine!$C$2:$C$622,0)),"",INDEX('Compliance Database'!$I$2:$I$622,MATCH(412,Engine!$C$2:$C$622,0)))</f>
        <v/>
      </c>
      <c r="J425" s="8">
        <f>IF(ISNA(MATCH(412,Engine!$C$2:$C$622,0)),"",INDEX('Compliance Database'!$J$2:$J$622,MATCH(412,Engine!$C$2:$C$622,0)))</f>
        <v/>
      </c>
      <c r="K425">
        <f>IF(ISNA(MATCH(412,Engine!$C$2:$C$622,0)),"",INDEX('Compliance Database'!$K$2:$K$622,MATCH(412,Engine!$C$2:$C$622,0)))</f>
        <v/>
      </c>
      <c r="L425" s="8">
        <f>IF(ISNA(MATCH(412,Engine!$C$2:$C$622,0)),"",INDEX('Compliance Database'!$L$2:$L$622,MATCH(412,Engine!$C$2:$C$622,0)))</f>
        <v/>
      </c>
      <c r="M425" s="8">
        <f>IF(ISNA(MATCH(412,Engine!$C$2:$C$622,0)),"",INDEX('Compliance Database'!$M$2:$M$622,MATCH(412,Engine!$C$2:$C$622,0)))</f>
        <v/>
      </c>
      <c r="N425" s="8">
        <f>IF(ISNA(MATCH(412,Engine!$C$2:$C$622,0)),"",INDEX('Compliance Database'!$N$2:$N$622,MATCH(412,Engine!$C$2:$C$622,0)))</f>
        <v/>
      </c>
      <c r="O425" s="8">
        <f>IF(ISNA(MATCH(412,Engine!$C$2:$C$622,0)),"",INDEX('Compliance Database'!$O$2:$O$622,MATCH(412,Engine!$C$2:$C$622,0)))</f>
        <v/>
      </c>
    </row>
    <row r="426">
      <c r="A426">
        <f>IF(ISNA(MATCH(413,Engine!$C$2:$C$622,0)),"",INDEX('Compliance Database'!$A$2:$A$622,MATCH(413,Engine!$C$2:$C$622,0)))</f>
        <v/>
      </c>
      <c r="B426">
        <f>IF(ISNA(MATCH(413,Engine!$C$2:$C$622,0)),"",INDEX('Compliance Database'!$B$2:$B$622,MATCH(413,Engine!$C$2:$C$622,0)))</f>
        <v/>
      </c>
      <c r="C426">
        <f>IF(ISNA(MATCH(413,Engine!$C$2:$C$622,0)),"",INDEX('Compliance Database'!$C$2:$C$622,MATCH(413,Engine!$C$2:$C$622,0)))</f>
        <v/>
      </c>
      <c r="D426" s="8">
        <f>IF(ISNA(MATCH(413,Engine!$C$2:$C$622,0)),"",INDEX('Compliance Database'!$D$2:$D$622,MATCH(413,Engine!$C$2:$C$622,0)))</f>
        <v/>
      </c>
      <c r="E426">
        <f>IF(ISNA(MATCH(413,Engine!$C$2:$C$622,0)),"",INDEX('Compliance Database'!$E$2:$E$622,MATCH(413,Engine!$C$2:$C$622,0)))</f>
        <v/>
      </c>
      <c r="F426">
        <f>IF(ISNA(MATCH(413,Engine!$C$2:$C$622,0)),"",INDEX('Compliance Database'!$F$2:$F$622,MATCH(413,Engine!$C$2:$C$622,0)))</f>
        <v/>
      </c>
      <c r="G426">
        <f>IF(ISNA(MATCH(413,Engine!$C$2:$C$622,0)),"",INDEX('Compliance Database'!$G$2:$G$622,MATCH(413,Engine!$C$2:$C$622,0)))</f>
        <v/>
      </c>
      <c r="H426">
        <f>IF(ISNA(MATCH(413,Engine!$C$2:$C$622,0)),"",INDEX('Compliance Database'!$H$2:$H$622,MATCH(413,Engine!$C$2:$C$622,0)))</f>
        <v/>
      </c>
      <c r="I426" s="8">
        <f>IF(ISNA(MATCH(413,Engine!$C$2:$C$622,0)),"",INDEX('Compliance Database'!$I$2:$I$622,MATCH(413,Engine!$C$2:$C$622,0)))</f>
        <v/>
      </c>
      <c r="J426" s="8">
        <f>IF(ISNA(MATCH(413,Engine!$C$2:$C$622,0)),"",INDEX('Compliance Database'!$J$2:$J$622,MATCH(413,Engine!$C$2:$C$622,0)))</f>
        <v/>
      </c>
      <c r="K426">
        <f>IF(ISNA(MATCH(413,Engine!$C$2:$C$622,0)),"",INDEX('Compliance Database'!$K$2:$K$622,MATCH(413,Engine!$C$2:$C$622,0)))</f>
        <v/>
      </c>
      <c r="L426" s="8">
        <f>IF(ISNA(MATCH(413,Engine!$C$2:$C$622,0)),"",INDEX('Compliance Database'!$L$2:$L$622,MATCH(413,Engine!$C$2:$C$622,0)))</f>
        <v/>
      </c>
      <c r="M426" s="8">
        <f>IF(ISNA(MATCH(413,Engine!$C$2:$C$622,0)),"",INDEX('Compliance Database'!$M$2:$M$622,MATCH(413,Engine!$C$2:$C$622,0)))</f>
        <v/>
      </c>
      <c r="N426" s="8">
        <f>IF(ISNA(MATCH(413,Engine!$C$2:$C$622,0)),"",INDEX('Compliance Database'!$N$2:$N$622,MATCH(413,Engine!$C$2:$C$622,0)))</f>
        <v/>
      </c>
      <c r="O426" s="8">
        <f>IF(ISNA(MATCH(413,Engine!$C$2:$C$622,0)),"",INDEX('Compliance Database'!$O$2:$O$622,MATCH(413,Engine!$C$2:$C$622,0)))</f>
        <v/>
      </c>
    </row>
    <row r="427">
      <c r="A427">
        <f>IF(ISNA(MATCH(414,Engine!$C$2:$C$622,0)),"",INDEX('Compliance Database'!$A$2:$A$622,MATCH(414,Engine!$C$2:$C$622,0)))</f>
        <v/>
      </c>
      <c r="B427">
        <f>IF(ISNA(MATCH(414,Engine!$C$2:$C$622,0)),"",INDEX('Compliance Database'!$B$2:$B$622,MATCH(414,Engine!$C$2:$C$622,0)))</f>
        <v/>
      </c>
      <c r="C427">
        <f>IF(ISNA(MATCH(414,Engine!$C$2:$C$622,0)),"",INDEX('Compliance Database'!$C$2:$C$622,MATCH(414,Engine!$C$2:$C$622,0)))</f>
        <v/>
      </c>
      <c r="D427" s="8">
        <f>IF(ISNA(MATCH(414,Engine!$C$2:$C$622,0)),"",INDEX('Compliance Database'!$D$2:$D$622,MATCH(414,Engine!$C$2:$C$622,0)))</f>
        <v/>
      </c>
      <c r="E427">
        <f>IF(ISNA(MATCH(414,Engine!$C$2:$C$622,0)),"",INDEX('Compliance Database'!$E$2:$E$622,MATCH(414,Engine!$C$2:$C$622,0)))</f>
        <v/>
      </c>
      <c r="F427">
        <f>IF(ISNA(MATCH(414,Engine!$C$2:$C$622,0)),"",INDEX('Compliance Database'!$F$2:$F$622,MATCH(414,Engine!$C$2:$C$622,0)))</f>
        <v/>
      </c>
      <c r="G427">
        <f>IF(ISNA(MATCH(414,Engine!$C$2:$C$622,0)),"",INDEX('Compliance Database'!$G$2:$G$622,MATCH(414,Engine!$C$2:$C$622,0)))</f>
        <v/>
      </c>
      <c r="H427">
        <f>IF(ISNA(MATCH(414,Engine!$C$2:$C$622,0)),"",INDEX('Compliance Database'!$H$2:$H$622,MATCH(414,Engine!$C$2:$C$622,0)))</f>
        <v/>
      </c>
      <c r="I427" s="8">
        <f>IF(ISNA(MATCH(414,Engine!$C$2:$C$622,0)),"",INDEX('Compliance Database'!$I$2:$I$622,MATCH(414,Engine!$C$2:$C$622,0)))</f>
        <v/>
      </c>
      <c r="J427" s="8">
        <f>IF(ISNA(MATCH(414,Engine!$C$2:$C$622,0)),"",INDEX('Compliance Database'!$J$2:$J$622,MATCH(414,Engine!$C$2:$C$622,0)))</f>
        <v/>
      </c>
      <c r="K427">
        <f>IF(ISNA(MATCH(414,Engine!$C$2:$C$622,0)),"",INDEX('Compliance Database'!$K$2:$K$622,MATCH(414,Engine!$C$2:$C$622,0)))</f>
        <v/>
      </c>
      <c r="L427" s="8">
        <f>IF(ISNA(MATCH(414,Engine!$C$2:$C$622,0)),"",INDEX('Compliance Database'!$L$2:$L$622,MATCH(414,Engine!$C$2:$C$622,0)))</f>
        <v/>
      </c>
      <c r="M427" s="8">
        <f>IF(ISNA(MATCH(414,Engine!$C$2:$C$622,0)),"",INDEX('Compliance Database'!$M$2:$M$622,MATCH(414,Engine!$C$2:$C$622,0)))</f>
        <v/>
      </c>
      <c r="N427" s="8">
        <f>IF(ISNA(MATCH(414,Engine!$C$2:$C$622,0)),"",INDEX('Compliance Database'!$N$2:$N$622,MATCH(414,Engine!$C$2:$C$622,0)))</f>
        <v/>
      </c>
      <c r="O427" s="8">
        <f>IF(ISNA(MATCH(414,Engine!$C$2:$C$622,0)),"",INDEX('Compliance Database'!$O$2:$O$622,MATCH(414,Engine!$C$2:$C$622,0)))</f>
        <v/>
      </c>
    </row>
    <row r="428">
      <c r="A428">
        <f>IF(ISNA(MATCH(415,Engine!$C$2:$C$622,0)),"",INDEX('Compliance Database'!$A$2:$A$622,MATCH(415,Engine!$C$2:$C$622,0)))</f>
        <v/>
      </c>
      <c r="B428">
        <f>IF(ISNA(MATCH(415,Engine!$C$2:$C$622,0)),"",INDEX('Compliance Database'!$B$2:$B$622,MATCH(415,Engine!$C$2:$C$622,0)))</f>
        <v/>
      </c>
      <c r="C428">
        <f>IF(ISNA(MATCH(415,Engine!$C$2:$C$622,0)),"",INDEX('Compliance Database'!$C$2:$C$622,MATCH(415,Engine!$C$2:$C$622,0)))</f>
        <v/>
      </c>
      <c r="D428" s="8">
        <f>IF(ISNA(MATCH(415,Engine!$C$2:$C$622,0)),"",INDEX('Compliance Database'!$D$2:$D$622,MATCH(415,Engine!$C$2:$C$622,0)))</f>
        <v/>
      </c>
      <c r="E428">
        <f>IF(ISNA(MATCH(415,Engine!$C$2:$C$622,0)),"",INDEX('Compliance Database'!$E$2:$E$622,MATCH(415,Engine!$C$2:$C$622,0)))</f>
        <v/>
      </c>
      <c r="F428">
        <f>IF(ISNA(MATCH(415,Engine!$C$2:$C$622,0)),"",INDEX('Compliance Database'!$F$2:$F$622,MATCH(415,Engine!$C$2:$C$622,0)))</f>
        <v/>
      </c>
      <c r="G428">
        <f>IF(ISNA(MATCH(415,Engine!$C$2:$C$622,0)),"",INDEX('Compliance Database'!$G$2:$G$622,MATCH(415,Engine!$C$2:$C$622,0)))</f>
        <v/>
      </c>
      <c r="H428">
        <f>IF(ISNA(MATCH(415,Engine!$C$2:$C$622,0)),"",INDEX('Compliance Database'!$H$2:$H$622,MATCH(415,Engine!$C$2:$C$622,0)))</f>
        <v/>
      </c>
      <c r="I428" s="8">
        <f>IF(ISNA(MATCH(415,Engine!$C$2:$C$622,0)),"",INDEX('Compliance Database'!$I$2:$I$622,MATCH(415,Engine!$C$2:$C$622,0)))</f>
        <v/>
      </c>
      <c r="J428" s="8">
        <f>IF(ISNA(MATCH(415,Engine!$C$2:$C$622,0)),"",INDEX('Compliance Database'!$J$2:$J$622,MATCH(415,Engine!$C$2:$C$622,0)))</f>
        <v/>
      </c>
      <c r="K428">
        <f>IF(ISNA(MATCH(415,Engine!$C$2:$C$622,0)),"",INDEX('Compliance Database'!$K$2:$K$622,MATCH(415,Engine!$C$2:$C$622,0)))</f>
        <v/>
      </c>
      <c r="L428" s="8">
        <f>IF(ISNA(MATCH(415,Engine!$C$2:$C$622,0)),"",INDEX('Compliance Database'!$L$2:$L$622,MATCH(415,Engine!$C$2:$C$622,0)))</f>
        <v/>
      </c>
      <c r="M428" s="8">
        <f>IF(ISNA(MATCH(415,Engine!$C$2:$C$622,0)),"",INDEX('Compliance Database'!$M$2:$M$622,MATCH(415,Engine!$C$2:$C$622,0)))</f>
        <v/>
      </c>
      <c r="N428" s="8">
        <f>IF(ISNA(MATCH(415,Engine!$C$2:$C$622,0)),"",INDEX('Compliance Database'!$N$2:$N$622,MATCH(415,Engine!$C$2:$C$622,0)))</f>
        <v/>
      </c>
      <c r="O428" s="8">
        <f>IF(ISNA(MATCH(415,Engine!$C$2:$C$622,0)),"",INDEX('Compliance Database'!$O$2:$O$622,MATCH(415,Engine!$C$2:$C$622,0)))</f>
        <v/>
      </c>
    </row>
    <row r="429">
      <c r="A429">
        <f>IF(ISNA(MATCH(416,Engine!$C$2:$C$622,0)),"",INDEX('Compliance Database'!$A$2:$A$622,MATCH(416,Engine!$C$2:$C$622,0)))</f>
        <v/>
      </c>
      <c r="B429">
        <f>IF(ISNA(MATCH(416,Engine!$C$2:$C$622,0)),"",INDEX('Compliance Database'!$B$2:$B$622,MATCH(416,Engine!$C$2:$C$622,0)))</f>
        <v/>
      </c>
      <c r="C429">
        <f>IF(ISNA(MATCH(416,Engine!$C$2:$C$622,0)),"",INDEX('Compliance Database'!$C$2:$C$622,MATCH(416,Engine!$C$2:$C$622,0)))</f>
        <v/>
      </c>
      <c r="D429" s="8">
        <f>IF(ISNA(MATCH(416,Engine!$C$2:$C$622,0)),"",INDEX('Compliance Database'!$D$2:$D$622,MATCH(416,Engine!$C$2:$C$622,0)))</f>
        <v/>
      </c>
      <c r="E429">
        <f>IF(ISNA(MATCH(416,Engine!$C$2:$C$622,0)),"",INDEX('Compliance Database'!$E$2:$E$622,MATCH(416,Engine!$C$2:$C$622,0)))</f>
        <v/>
      </c>
      <c r="F429">
        <f>IF(ISNA(MATCH(416,Engine!$C$2:$C$622,0)),"",INDEX('Compliance Database'!$F$2:$F$622,MATCH(416,Engine!$C$2:$C$622,0)))</f>
        <v/>
      </c>
      <c r="G429">
        <f>IF(ISNA(MATCH(416,Engine!$C$2:$C$622,0)),"",INDEX('Compliance Database'!$G$2:$G$622,MATCH(416,Engine!$C$2:$C$622,0)))</f>
        <v/>
      </c>
      <c r="H429">
        <f>IF(ISNA(MATCH(416,Engine!$C$2:$C$622,0)),"",INDEX('Compliance Database'!$H$2:$H$622,MATCH(416,Engine!$C$2:$C$622,0)))</f>
        <v/>
      </c>
      <c r="I429" s="8">
        <f>IF(ISNA(MATCH(416,Engine!$C$2:$C$622,0)),"",INDEX('Compliance Database'!$I$2:$I$622,MATCH(416,Engine!$C$2:$C$622,0)))</f>
        <v/>
      </c>
      <c r="J429" s="8">
        <f>IF(ISNA(MATCH(416,Engine!$C$2:$C$622,0)),"",INDEX('Compliance Database'!$J$2:$J$622,MATCH(416,Engine!$C$2:$C$622,0)))</f>
        <v/>
      </c>
      <c r="K429">
        <f>IF(ISNA(MATCH(416,Engine!$C$2:$C$622,0)),"",INDEX('Compliance Database'!$K$2:$K$622,MATCH(416,Engine!$C$2:$C$622,0)))</f>
        <v/>
      </c>
      <c r="L429" s="8">
        <f>IF(ISNA(MATCH(416,Engine!$C$2:$C$622,0)),"",INDEX('Compliance Database'!$L$2:$L$622,MATCH(416,Engine!$C$2:$C$622,0)))</f>
        <v/>
      </c>
      <c r="M429" s="8">
        <f>IF(ISNA(MATCH(416,Engine!$C$2:$C$622,0)),"",INDEX('Compliance Database'!$M$2:$M$622,MATCH(416,Engine!$C$2:$C$622,0)))</f>
        <v/>
      </c>
      <c r="N429" s="8">
        <f>IF(ISNA(MATCH(416,Engine!$C$2:$C$622,0)),"",INDEX('Compliance Database'!$N$2:$N$622,MATCH(416,Engine!$C$2:$C$622,0)))</f>
        <v/>
      </c>
      <c r="O429" s="8">
        <f>IF(ISNA(MATCH(416,Engine!$C$2:$C$622,0)),"",INDEX('Compliance Database'!$O$2:$O$622,MATCH(416,Engine!$C$2:$C$622,0)))</f>
        <v/>
      </c>
    </row>
    <row r="430">
      <c r="A430">
        <f>IF(ISNA(MATCH(417,Engine!$C$2:$C$622,0)),"",INDEX('Compliance Database'!$A$2:$A$622,MATCH(417,Engine!$C$2:$C$622,0)))</f>
        <v/>
      </c>
      <c r="B430">
        <f>IF(ISNA(MATCH(417,Engine!$C$2:$C$622,0)),"",INDEX('Compliance Database'!$B$2:$B$622,MATCH(417,Engine!$C$2:$C$622,0)))</f>
        <v/>
      </c>
      <c r="C430">
        <f>IF(ISNA(MATCH(417,Engine!$C$2:$C$622,0)),"",INDEX('Compliance Database'!$C$2:$C$622,MATCH(417,Engine!$C$2:$C$622,0)))</f>
        <v/>
      </c>
      <c r="D430" s="8">
        <f>IF(ISNA(MATCH(417,Engine!$C$2:$C$622,0)),"",INDEX('Compliance Database'!$D$2:$D$622,MATCH(417,Engine!$C$2:$C$622,0)))</f>
        <v/>
      </c>
      <c r="E430">
        <f>IF(ISNA(MATCH(417,Engine!$C$2:$C$622,0)),"",INDEX('Compliance Database'!$E$2:$E$622,MATCH(417,Engine!$C$2:$C$622,0)))</f>
        <v/>
      </c>
      <c r="F430">
        <f>IF(ISNA(MATCH(417,Engine!$C$2:$C$622,0)),"",INDEX('Compliance Database'!$F$2:$F$622,MATCH(417,Engine!$C$2:$C$622,0)))</f>
        <v/>
      </c>
      <c r="G430">
        <f>IF(ISNA(MATCH(417,Engine!$C$2:$C$622,0)),"",INDEX('Compliance Database'!$G$2:$G$622,MATCH(417,Engine!$C$2:$C$622,0)))</f>
        <v/>
      </c>
      <c r="H430">
        <f>IF(ISNA(MATCH(417,Engine!$C$2:$C$622,0)),"",INDEX('Compliance Database'!$H$2:$H$622,MATCH(417,Engine!$C$2:$C$622,0)))</f>
        <v/>
      </c>
      <c r="I430" s="8">
        <f>IF(ISNA(MATCH(417,Engine!$C$2:$C$622,0)),"",INDEX('Compliance Database'!$I$2:$I$622,MATCH(417,Engine!$C$2:$C$622,0)))</f>
        <v/>
      </c>
      <c r="J430" s="8">
        <f>IF(ISNA(MATCH(417,Engine!$C$2:$C$622,0)),"",INDEX('Compliance Database'!$J$2:$J$622,MATCH(417,Engine!$C$2:$C$622,0)))</f>
        <v/>
      </c>
      <c r="K430">
        <f>IF(ISNA(MATCH(417,Engine!$C$2:$C$622,0)),"",INDEX('Compliance Database'!$K$2:$K$622,MATCH(417,Engine!$C$2:$C$622,0)))</f>
        <v/>
      </c>
      <c r="L430" s="8">
        <f>IF(ISNA(MATCH(417,Engine!$C$2:$C$622,0)),"",INDEX('Compliance Database'!$L$2:$L$622,MATCH(417,Engine!$C$2:$C$622,0)))</f>
        <v/>
      </c>
      <c r="M430" s="8">
        <f>IF(ISNA(MATCH(417,Engine!$C$2:$C$622,0)),"",INDEX('Compliance Database'!$M$2:$M$622,MATCH(417,Engine!$C$2:$C$622,0)))</f>
        <v/>
      </c>
      <c r="N430" s="8">
        <f>IF(ISNA(MATCH(417,Engine!$C$2:$C$622,0)),"",INDEX('Compliance Database'!$N$2:$N$622,MATCH(417,Engine!$C$2:$C$622,0)))</f>
        <v/>
      </c>
      <c r="O430" s="8">
        <f>IF(ISNA(MATCH(417,Engine!$C$2:$C$622,0)),"",INDEX('Compliance Database'!$O$2:$O$622,MATCH(417,Engine!$C$2:$C$622,0)))</f>
        <v/>
      </c>
    </row>
    <row r="431">
      <c r="A431">
        <f>IF(ISNA(MATCH(418,Engine!$C$2:$C$622,0)),"",INDEX('Compliance Database'!$A$2:$A$622,MATCH(418,Engine!$C$2:$C$622,0)))</f>
        <v/>
      </c>
      <c r="B431">
        <f>IF(ISNA(MATCH(418,Engine!$C$2:$C$622,0)),"",INDEX('Compliance Database'!$B$2:$B$622,MATCH(418,Engine!$C$2:$C$622,0)))</f>
        <v/>
      </c>
      <c r="C431">
        <f>IF(ISNA(MATCH(418,Engine!$C$2:$C$622,0)),"",INDEX('Compliance Database'!$C$2:$C$622,MATCH(418,Engine!$C$2:$C$622,0)))</f>
        <v/>
      </c>
      <c r="D431" s="8">
        <f>IF(ISNA(MATCH(418,Engine!$C$2:$C$622,0)),"",INDEX('Compliance Database'!$D$2:$D$622,MATCH(418,Engine!$C$2:$C$622,0)))</f>
        <v/>
      </c>
      <c r="E431">
        <f>IF(ISNA(MATCH(418,Engine!$C$2:$C$622,0)),"",INDEX('Compliance Database'!$E$2:$E$622,MATCH(418,Engine!$C$2:$C$622,0)))</f>
        <v/>
      </c>
      <c r="F431">
        <f>IF(ISNA(MATCH(418,Engine!$C$2:$C$622,0)),"",INDEX('Compliance Database'!$F$2:$F$622,MATCH(418,Engine!$C$2:$C$622,0)))</f>
        <v/>
      </c>
      <c r="G431">
        <f>IF(ISNA(MATCH(418,Engine!$C$2:$C$622,0)),"",INDEX('Compliance Database'!$G$2:$G$622,MATCH(418,Engine!$C$2:$C$622,0)))</f>
        <v/>
      </c>
      <c r="H431">
        <f>IF(ISNA(MATCH(418,Engine!$C$2:$C$622,0)),"",INDEX('Compliance Database'!$H$2:$H$622,MATCH(418,Engine!$C$2:$C$622,0)))</f>
        <v/>
      </c>
      <c r="I431" s="8">
        <f>IF(ISNA(MATCH(418,Engine!$C$2:$C$622,0)),"",INDEX('Compliance Database'!$I$2:$I$622,MATCH(418,Engine!$C$2:$C$622,0)))</f>
        <v/>
      </c>
      <c r="J431" s="8">
        <f>IF(ISNA(MATCH(418,Engine!$C$2:$C$622,0)),"",INDEX('Compliance Database'!$J$2:$J$622,MATCH(418,Engine!$C$2:$C$622,0)))</f>
        <v/>
      </c>
      <c r="K431">
        <f>IF(ISNA(MATCH(418,Engine!$C$2:$C$622,0)),"",INDEX('Compliance Database'!$K$2:$K$622,MATCH(418,Engine!$C$2:$C$622,0)))</f>
        <v/>
      </c>
      <c r="L431" s="8">
        <f>IF(ISNA(MATCH(418,Engine!$C$2:$C$622,0)),"",INDEX('Compliance Database'!$L$2:$L$622,MATCH(418,Engine!$C$2:$C$622,0)))</f>
        <v/>
      </c>
      <c r="M431" s="8">
        <f>IF(ISNA(MATCH(418,Engine!$C$2:$C$622,0)),"",INDEX('Compliance Database'!$M$2:$M$622,MATCH(418,Engine!$C$2:$C$622,0)))</f>
        <v/>
      </c>
      <c r="N431" s="8">
        <f>IF(ISNA(MATCH(418,Engine!$C$2:$C$622,0)),"",INDEX('Compliance Database'!$N$2:$N$622,MATCH(418,Engine!$C$2:$C$622,0)))</f>
        <v/>
      </c>
      <c r="O431" s="8">
        <f>IF(ISNA(MATCH(418,Engine!$C$2:$C$622,0)),"",INDEX('Compliance Database'!$O$2:$O$622,MATCH(418,Engine!$C$2:$C$622,0)))</f>
        <v/>
      </c>
    </row>
    <row r="432">
      <c r="A432">
        <f>IF(ISNA(MATCH(419,Engine!$C$2:$C$622,0)),"",INDEX('Compliance Database'!$A$2:$A$622,MATCH(419,Engine!$C$2:$C$622,0)))</f>
        <v/>
      </c>
      <c r="B432">
        <f>IF(ISNA(MATCH(419,Engine!$C$2:$C$622,0)),"",INDEX('Compliance Database'!$B$2:$B$622,MATCH(419,Engine!$C$2:$C$622,0)))</f>
        <v/>
      </c>
      <c r="C432">
        <f>IF(ISNA(MATCH(419,Engine!$C$2:$C$622,0)),"",INDEX('Compliance Database'!$C$2:$C$622,MATCH(419,Engine!$C$2:$C$622,0)))</f>
        <v/>
      </c>
      <c r="D432" s="8">
        <f>IF(ISNA(MATCH(419,Engine!$C$2:$C$622,0)),"",INDEX('Compliance Database'!$D$2:$D$622,MATCH(419,Engine!$C$2:$C$622,0)))</f>
        <v/>
      </c>
      <c r="E432">
        <f>IF(ISNA(MATCH(419,Engine!$C$2:$C$622,0)),"",INDEX('Compliance Database'!$E$2:$E$622,MATCH(419,Engine!$C$2:$C$622,0)))</f>
        <v/>
      </c>
      <c r="F432">
        <f>IF(ISNA(MATCH(419,Engine!$C$2:$C$622,0)),"",INDEX('Compliance Database'!$F$2:$F$622,MATCH(419,Engine!$C$2:$C$622,0)))</f>
        <v/>
      </c>
      <c r="G432">
        <f>IF(ISNA(MATCH(419,Engine!$C$2:$C$622,0)),"",INDEX('Compliance Database'!$G$2:$G$622,MATCH(419,Engine!$C$2:$C$622,0)))</f>
        <v/>
      </c>
      <c r="H432">
        <f>IF(ISNA(MATCH(419,Engine!$C$2:$C$622,0)),"",INDEX('Compliance Database'!$H$2:$H$622,MATCH(419,Engine!$C$2:$C$622,0)))</f>
        <v/>
      </c>
      <c r="I432" s="8">
        <f>IF(ISNA(MATCH(419,Engine!$C$2:$C$622,0)),"",INDEX('Compliance Database'!$I$2:$I$622,MATCH(419,Engine!$C$2:$C$622,0)))</f>
        <v/>
      </c>
      <c r="J432" s="8">
        <f>IF(ISNA(MATCH(419,Engine!$C$2:$C$622,0)),"",INDEX('Compliance Database'!$J$2:$J$622,MATCH(419,Engine!$C$2:$C$622,0)))</f>
        <v/>
      </c>
      <c r="K432">
        <f>IF(ISNA(MATCH(419,Engine!$C$2:$C$622,0)),"",INDEX('Compliance Database'!$K$2:$K$622,MATCH(419,Engine!$C$2:$C$622,0)))</f>
        <v/>
      </c>
      <c r="L432" s="8">
        <f>IF(ISNA(MATCH(419,Engine!$C$2:$C$622,0)),"",INDEX('Compliance Database'!$L$2:$L$622,MATCH(419,Engine!$C$2:$C$622,0)))</f>
        <v/>
      </c>
      <c r="M432" s="8">
        <f>IF(ISNA(MATCH(419,Engine!$C$2:$C$622,0)),"",INDEX('Compliance Database'!$M$2:$M$622,MATCH(419,Engine!$C$2:$C$622,0)))</f>
        <v/>
      </c>
      <c r="N432" s="8">
        <f>IF(ISNA(MATCH(419,Engine!$C$2:$C$622,0)),"",INDEX('Compliance Database'!$N$2:$N$622,MATCH(419,Engine!$C$2:$C$622,0)))</f>
        <v/>
      </c>
      <c r="O432" s="8">
        <f>IF(ISNA(MATCH(419,Engine!$C$2:$C$622,0)),"",INDEX('Compliance Database'!$O$2:$O$622,MATCH(419,Engine!$C$2:$C$622,0)))</f>
        <v/>
      </c>
    </row>
    <row r="433">
      <c r="A433">
        <f>IF(ISNA(MATCH(420,Engine!$C$2:$C$622,0)),"",INDEX('Compliance Database'!$A$2:$A$622,MATCH(420,Engine!$C$2:$C$622,0)))</f>
        <v/>
      </c>
      <c r="B433">
        <f>IF(ISNA(MATCH(420,Engine!$C$2:$C$622,0)),"",INDEX('Compliance Database'!$B$2:$B$622,MATCH(420,Engine!$C$2:$C$622,0)))</f>
        <v/>
      </c>
      <c r="C433">
        <f>IF(ISNA(MATCH(420,Engine!$C$2:$C$622,0)),"",INDEX('Compliance Database'!$C$2:$C$622,MATCH(420,Engine!$C$2:$C$622,0)))</f>
        <v/>
      </c>
      <c r="D433" s="8">
        <f>IF(ISNA(MATCH(420,Engine!$C$2:$C$622,0)),"",INDEX('Compliance Database'!$D$2:$D$622,MATCH(420,Engine!$C$2:$C$622,0)))</f>
        <v/>
      </c>
      <c r="E433">
        <f>IF(ISNA(MATCH(420,Engine!$C$2:$C$622,0)),"",INDEX('Compliance Database'!$E$2:$E$622,MATCH(420,Engine!$C$2:$C$622,0)))</f>
        <v/>
      </c>
      <c r="F433">
        <f>IF(ISNA(MATCH(420,Engine!$C$2:$C$622,0)),"",INDEX('Compliance Database'!$F$2:$F$622,MATCH(420,Engine!$C$2:$C$622,0)))</f>
        <v/>
      </c>
      <c r="G433">
        <f>IF(ISNA(MATCH(420,Engine!$C$2:$C$622,0)),"",INDEX('Compliance Database'!$G$2:$G$622,MATCH(420,Engine!$C$2:$C$622,0)))</f>
        <v/>
      </c>
      <c r="H433">
        <f>IF(ISNA(MATCH(420,Engine!$C$2:$C$622,0)),"",INDEX('Compliance Database'!$H$2:$H$622,MATCH(420,Engine!$C$2:$C$622,0)))</f>
        <v/>
      </c>
      <c r="I433" s="8">
        <f>IF(ISNA(MATCH(420,Engine!$C$2:$C$622,0)),"",INDEX('Compliance Database'!$I$2:$I$622,MATCH(420,Engine!$C$2:$C$622,0)))</f>
        <v/>
      </c>
      <c r="J433" s="8">
        <f>IF(ISNA(MATCH(420,Engine!$C$2:$C$622,0)),"",INDEX('Compliance Database'!$J$2:$J$622,MATCH(420,Engine!$C$2:$C$622,0)))</f>
        <v/>
      </c>
      <c r="K433">
        <f>IF(ISNA(MATCH(420,Engine!$C$2:$C$622,0)),"",INDEX('Compliance Database'!$K$2:$K$622,MATCH(420,Engine!$C$2:$C$622,0)))</f>
        <v/>
      </c>
      <c r="L433" s="8">
        <f>IF(ISNA(MATCH(420,Engine!$C$2:$C$622,0)),"",INDEX('Compliance Database'!$L$2:$L$622,MATCH(420,Engine!$C$2:$C$622,0)))</f>
        <v/>
      </c>
      <c r="M433" s="8">
        <f>IF(ISNA(MATCH(420,Engine!$C$2:$C$622,0)),"",INDEX('Compliance Database'!$M$2:$M$622,MATCH(420,Engine!$C$2:$C$622,0)))</f>
        <v/>
      </c>
      <c r="N433" s="8">
        <f>IF(ISNA(MATCH(420,Engine!$C$2:$C$622,0)),"",INDEX('Compliance Database'!$N$2:$N$622,MATCH(420,Engine!$C$2:$C$622,0)))</f>
        <v/>
      </c>
      <c r="O433" s="8">
        <f>IF(ISNA(MATCH(420,Engine!$C$2:$C$622,0)),"",INDEX('Compliance Database'!$O$2:$O$622,MATCH(420,Engine!$C$2:$C$622,0)))</f>
        <v/>
      </c>
    </row>
    <row r="434">
      <c r="A434">
        <f>IF(ISNA(MATCH(421,Engine!$C$2:$C$622,0)),"",INDEX('Compliance Database'!$A$2:$A$622,MATCH(421,Engine!$C$2:$C$622,0)))</f>
        <v/>
      </c>
      <c r="B434">
        <f>IF(ISNA(MATCH(421,Engine!$C$2:$C$622,0)),"",INDEX('Compliance Database'!$B$2:$B$622,MATCH(421,Engine!$C$2:$C$622,0)))</f>
        <v/>
      </c>
      <c r="C434">
        <f>IF(ISNA(MATCH(421,Engine!$C$2:$C$622,0)),"",INDEX('Compliance Database'!$C$2:$C$622,MATCH(421,Engine!$C$2:$C$622,0)))</f>
        <v/>
      </c>
      <c r="D434" s="8">
        <f>IF(ISNA(MATCH(421,Engine!$C$2:$C$622,0)),"",INDEX('Compliance Database'!$D$2:$D$622,MATCH(421,Engine!$C$2:$C$622,0)))</f>
        <v/>
      </c>
      <c r="E434">
        <f>IF(ISNA(MATCH(421,Engine!$C$2:$C$622,0)),"",INDEX('Compliance Database'!$E$2:$E$622,MATCH(421,Engine!$C$2:$C$622,0)))</f>
        <v/>
      </c>
      <c r="F434">
        <f>IF(ISNA(MATCH(421,Engine!$C$2:$C$622,0)),"",INDEX('Compliance Database'!$F$2:$F$622,MATCH(421,Engine!$C$2:$C$622,0)))</f>
        <v/>
      </c>
      <c r="G434">
        <f>IF(ISNA(MATCH(421,Engine!$C$2:$C$622,0)),"",INDEX('Compliance Database'!$G$2:$G$622,MATCH(421,Engine!$C$2:$C$622,0)))</f>
        <v/>
      </c>
      <c r="H434">
        <f>IF(ISNA(MATCH(421,Engine!$C$2:$C$622,0)),"",INDEX('Compliance Database'!$H$2:$H$622,MATCH(421,Engine!$C$2:$C$622,0)))</f>
        <v/>
      </c>
      <c r="I434" s="8">
        <f>IF(ISNA(MATCH(421,Engine!$C$2:$C$622,0)),"",INDEX('Compliance Database'!$I$2:$I$622,MATCH(421,Engine!$C$2:$C$622,0)))</f>
        <v/>
      </c>
      <c r="J434" s="8">
        <f>IF(ISNA(MATCH(421,Engine!$C$2:$C$622,0)),"",INDEX('Compliance Database'!$J$2:$J$622,MATCH(421,Engine!$C$2:$C$622,0)))</f>
        <v/>
      </c>
      <c r="K434">
        <f>IF(ISNA(MATCH(421,Engine!$C$2:$C$622,0)),"",INDEX('Compliance Database'!$K$2:$K$622,MATCH(421,Engine!$C$2:$C$622,0)))</f>
        <v/>
      </c>
      <c r="L434" s="8">
        <f>IF(ISNA(MATCH(421,Engine!$C$2:$C$622,0)),"",INDEX('Compliance Database'!$L$2:$L$622,MATCH(421,Engine!$C$2:$C$622,0)))</f>
        <v/>
      </c>
      <c r="M434" s="8">
        <f>IF(ISNA(MATCH(421,Engine!$C$2:$C$622,0)),"",INDEX('Compliance Database'!$M$2:$M$622,MATCH(421,Engine!$C$2:$C$622,0)))</f>
        <v/>
      </c>
      <c r="N434" s="8">
        <f>IF(ISNA(MATCH(421,Engine!$C$2:$C$622,0)),"",INDEX('Compliance Database'!$N$2:$N$622,MATCH(421,Engine!$C$2:$C$622,0)))</f>
        <v/>
      </c>
      <c r="O434" s="8">
        <f>IF(ISNA(MATCH(421,Engine!$C$2:$C$622,0)),"",INDEX('Compliance Database'!$O$2:$O$622,MATCH(421,Engine!$C$2:$C$622,0)))</f>
        <v/>
      </c>
    </row>
    <row r="435">
      <c r="A435">
        <f>IF(ISNA(MATCH(422,Engine!$C$2:$C$622,0)),"",INDEX('Compliance Database'!$A$2:$A$622,MATCH(422,Engine!$C$2:$C$622,0)))</f>
        <v/>
      </c>
      <c r="B435">
        <f>IF(ISNA(MATCH(422,Engine!$C$2:$C$622,0)),"",INDEX('Compliance Database'!$B$2:$B$622,MATCH(422,Engine!$C$2:$C$622,0)))</f>
        <v/>
      </c>
      <c r="C435">
        <f>IF(ISNA(MATCH(422,Engine!$C$2:$C$622,0)),"",INDEX('Compliance Database'!$C$2:$C$622,MATCH(422,Engine!$C$2:$C$622,0)))</f>
        <v/>
      </c>
      <c r="D435" s="8">
        <f>IF(ISNA(MATCH(422,Engine!$C$2:$C$622,0)),"",INDEX('Compliance Database'!$D$2:$D$622,MATCH(422,Engine!$C$2:$C$622,0)))</f>
        <v/>
      </c>
      <c r="E435">
        <f>IF(ISNA(MATCH(422,Engine!$C$2:$C$622,0)),"",INDEX('Compliance Database'!$E$2:$E$622,MATCH(422,Engine!$C$2:$C$622,0)))</f>
        <v/>
      </c>
      <c r="F435">
        <f>IF(ISNA(MATCH(422,Engine!$C$2:$C$622,0)),"",INDEX('Compliance Database'!$F$2:$F$622,MATCH(422,Engine!$C$2:$C$622,0)))</f>
        <v/>
      </c>
      <c r="G435">
        <f>IF(ISNA(MATCH(422,Engine!$C$2:$C$622,0)),"",INDEX('Compliance Database'!$G$2:$G$622,MATCH(422,Engine!$C$2:$C$622,0)))</f>
        <v/>
      </c>
      <c r="H435">
        <f>IF(ISNA(MATCH(422,Engine!$C$2:$C$622,0)),"",INDEX('Compliance Database'!$H$2:$H$622,MATCH(422,Engine!$C$2:$C$622,0)))</f>
        <v/>
      </c>
      <c r="I435" s="8">
        <f>IF(ISNA(MATCH(422,Engine!$C$2:$C$622,0)),"",INDEX('Compliance Database'!$I$2:$I$622,MATCH(422,Engine!$C$2:$C$622,0)))</f>
        <v/>
      </c>
      <c r="J435" s="8">
        <f>IF(ISNA(MATCH(422,Engine!$C$2:$C$622,0)),"",INDEX('Compliance Database'!$J$2:$J$622,MATCH(422,Engine!$C$2:$C$622,0)))</f>
        <v/>
      </c>
      <c r="K435">
        <f>IF(ISNA(MATCH(422,Engine!$C$2:$C$622,0)),"",INDEX('Compliance Database'!$K$2:$K$622,MATCH(422,Engine!$C$2:$C$622,0)))</f>
        <v/>
      </c>
      <c r="L435" s="8">
        <f>IF(ISNA(MATCH(422,Engine!$C$2:$C$622,0)),"",INDEX('Compliance Database'!$L$2:$L$622,MATCH(422,Engine!$C$2:$C$622,0)))</f>
        <v/>
      </c>
      <c r="M435" s="8">
        <f>IF(ISNA(MATCH(422,Engine!$C$2:$C$622,0)),"",INDEX('Compliance Database'!$M$2:$M$622,MATCH(422,Engine!$C$2:$C$622,0)))</f>
        <v/>
      </c>
      <c r="N435" s="8">
        <f>IF(ISNA(MATCH(422,Engine!$C$2:$C$622,0)),"",INDEX('Compliance Database'!$N$2:$N$622,MATCH(422,Engine!$C$2:$C$622,0)))</f>
        <v/>
      </c>
      <c r="O435" s="8">
        <f>IF(ISNA(MATCH(422,Engine!$C$2:$C$622,0)),"",INDEX('Compliance Database'!$O$2:$O$622,MATCH(422,Engine!$C$2:$C$622,0)))</f>
        <v/>
      </c>
    </row>
    <row r="436">
      <c r="A436">
        <f>IF(ISNA(MATCH(423,Engine!$C$2:$C$622,0)),"",INDEX('Compliance Database'!$A$2:$A$622,MATCH(423,Engine!$C$2:$C$622,0)))</f>
        <v/>
      </c>
      <c r="B436">
        <f>IF(ISNA(MATCH(423,Engine!$C$2:$C$622,0)),"",INDEX('Compliance Database'!$B$2:$B$622,MATCH(423,Engine!$C$2:$C$622,0)))</f>
        <v/>
      </c>
      <c r="C436">
        <f>IF(ISNA(MATCH(423,Engine!$C$2:$C$622,0)),"",INDEX('Compliance Database'!$C$2:$C$622,MATCH(423,Engine!$C$2:$C$622,0)))</f>
        <v/>
      </c>
      <c r="D436" s="8">
        <f>IF(ISNA(MATCH(423,Engine!$C$2:$C$622,0)),"",INDEX('Compliance Database'!$D$2:$D$622,MATCH(423,Engine!$C$2:$C$622,0)))</f>
        <v/>
      </c>
      <c r="E436">
        <f>IF(ISNA(MATCH(423,Engine!$C$2:$C$622,0)),"",INDEX('Compliance Database'!$E$2:$E$622,MATCH(423,Engine!$C$2:$C$622,0)))</f>
        <v/>
      </c>
      <c r="F436">
        <f>IF(ISNA(MATCH(423,Engine!$C$2:$C$622,0)),"",INDEX('Compliance Database'!$F$2:$F$622,MATCH(423,Engine!$C$2:$C$622,0)))</f>
        <v/>
      </c>
      <c r="G436">
        <f>IF(ISNA(MATCH(423,Engine!$C$2:$C$622,0)),"",INDEX('Compliance Database'!$G$2:$G$622,MATCH(423,Engine!$C$2:$C$622,0)))</f>
        <v/>
      </c>
      <c r="H436">
        <f>IF(ISNA(MATCH(423,Engine!$C$2:$C$622,0)),"",INDEX('Compliance Database'!$H$2:$H$622,MATCH(423,Engine!$C$2:$C$622,0)))</f>
        <v/>
      </c>
      <c r="I436" s="8">
        <f>IF(ISNA(MATCH(423,Engine!$C$2:$C$622,0)),"",INDEX('Compliance Database'!$I$2:$I$622,MATCH(423,Engine!$C$2:$C$622,0)))</f>
        <v/>
      </c>
      <c r="J436" s="8">
        <f>IF(ISNA(MATCH(423,Engine!$C$2:$C$622,0)),"",INDEX('Compliance Database'!$J$2:$J$622,MATCH(423,Engine!$C$2:$C$622,0)))</f>
        <v/>
      </c>
      <c r="K436">
        <f>IF(ISNA(MATCH(423,Engine!$C$2:$C$622,0)),"",INDEX('Compliance Database'!$K$2:$K$622,MATCH(423,Engine!$C$2:$C$622,0)))</f>
        <v/>
      </c>
      <c r="L436" s="8">
        <f>IF(ISNA(MATCH(423,Engine!$C$2:$C$622,0)),"",INDEX('Compliance Database'!$L$2:$L$622,MATCH(423,Engine!$C$2:$C$622,0)))</f>
        <v/>
      </c>
      <c r="M436" s="8">
        <f>IF(ISNA(MATCH(423,Engine!$C$2:$C$622,0)),"",INDEX('Compliance Database'!$M$2:$M$622,MATCH(423,Engine!$C$2:$C$622,0)))</f>
        <v/>
      </c>
      <c r="N436" s="8">
        <f>IF(ISNA(MATCH(423,Engine!$C$2:$C$622,0)),"",INDEX('Compliance Database'!$N$2:$N$622,MATCH(423,Engine!$C$2:$C$622,0)))</f>
        <v/>
      </c>
      <c r="O436" s="8">
        <f>IF(ISNA(MATCH(423,Engine!$C$2:$C$622,0)),"",INDEX('Compliance Database'!$O$2:$O$622,MATCH(423,Engine!$C$2:$C$622,0)))</f>
        <v/>
      </c>
    </row>
    <row r="437">
      <c r="A437">
        <f>IF(ISNA(MATCH(424,Engine!$C$2:$C$622,0)),"",INDEX('Compliance Database'!$A$2:$A$622,MATCH(424,Engine!$C$2:$C$622,0)))</f>
        <v/>
      </c>
      <c r="B437">
        <f>IF(ISNA(MATCH(424,Engine!$C$2:$C$622,0)),"",INDEX('Compliance Database'!$B$2:$B$622,MATCH(424,Engine!$C$2:$C$622,0)))</f>
        <v/>
      </c>
      <c r="C437">
        <f>IF(ISNA(MATCH(424,Engine!$C$2:$C$622,0)),"",INDEX('Compliance Database'!$C$2:$C$622,MATCH(424,Engine!$C$2:$C$622,0)))</f>
        <v/>
      </c>
      <c r="D437" s="8">
        <f>IF(ISNA(MATCH(424,Engine!$C$2:$C$622,0)),"",INDEX('Compliance Database'!$D$2:$D$622,MATCH(424,Engine!$C$2:$C$622,0)))</f>
        <v/>
      </c>
      <c r="E437">
        <f>IF(ISNA(MATCH(424,Engine!$C$2:$C$622,0)),"",INDEX('Compliance Database'!$E$2:$E$622,MATCH(424,Engine!$C$2:$C$622,0)))</f>
        <v/>
      </c>
      <c r="F437">
        <f>IF(ISNA(MATCH(424,Engine!$C$2:$C$622,0)),"",INDEX('Compliance Database'!$F$2:$F$622,MATCH(424,Engine!$C$2:$C$622,0)))</f>
        <v/>
      </c>
      <c r="G437">
        <f>IF(ISNA(MATCH(424,Engine!$C$2:$C$622,0)),"",INDEX('Compliance Database'!$G$2:$G$622,MATCH(424,Engine!$C$2:$C$622,0)))</f>
        <v/>
      </c>
      <c r="H437">
        <f>IF(ISNA(MATCH(424,Engine!$C$2:$C$622,0)),"",INDEX('Compliance Database'!$H$2:$H$622,MATCH(424,Engine!$C$2:$C$622,0)))</f>
        <v/>
      </c>
      <c r="I437" s="8">
        <f>IF(ISNA(MATCH(424,Engine!$C$2:$C$622,0)),"",INDEX('Compliance Database'!$I$2:$I$622,MATCH(424,Engine!$C$2:$C$622,0)))</f>
        <v/>
      </c>
      <c r="J437" s="8">
        <f>IF(ISNA(MATCH(424,Engine!$C$2:$C$622,0)),"",INDEX('Compliance Database'!$J$2:$J$622,MATCH(424,Engine!$C$2:$C$622,0)))</f>
        <v/>
      </c>
      <c r="K437">
        <f>IF(ISNA(MATCH(424,Engine!$C$2:$C$622,0)),"",INDEX('Compliance Database'!$K$2:$K$622,MATCH(424,Engine!$C$2:$C$622,0)))</f>
        <v/>
      </c>
      <c r="L437" s="8">
        <f>IF(ISNA(MATCH(424,Engine!$C$2:$C$622,0)),"",INDEX('Compliance Database'!$L$2:$L$622,MATCH(424,Engine!$C$2:$C$622,0)))</f>
        <v/>
      </c>
      <c r="M437" s="8">
        <f>IF(ISNA(MATCH(424,Engine!$C$2:$C$622,0)),"",INDEX('Compliance Database'!$M$2:$M$622,MATCH(424,Engine!$C$2:$C$622,0)))</f>
        <v/>
      </c>
      <c r="N437" s="8">
        <f>IF(ISNA(MATCH(424,Engine!$C$2:$C$622,0)),"",INDEX('Compliance Database'!$N$2:$N$622,MATCH(424,Engine!$C$2:$C$622,0)))</f>
        <v/>
      </c>
      <c r="O437" s="8">
        <f>IF(ISNA(MATCH(424,Engine!$C$2:$C$622,0)),"",INDEX('Compliance Database'!$O$2:$O$622,MATCH(424,Engine!$C$2:$C$622,0)))</f>
        <v/>
      </c>
    </row>
    <row r="438">
      <c r="A438">
        <f>IF(ISNA(MATCH(425,Engine!$C$2:$C$622,0)),"",INDEX('Compliance Database'!$A$2:$A$622,MATCH(425,Engine!$C$2:$C$622,0)))</f>
        <v/>
      </c>
      <c r="B438">
        <f>IF(ISNA(MATCH(425,Engine!$C$2:$C$622,0)),"",INDEX('Compliance Database'!$B$2:$B$622,MATCH(425,Engine!$C$2:$C$622,0)))</f>
        <v/>
      </c>
      <c r="C438">
        <f>IF(ISNA(MATCH(425,Engine!$C$2:$C$622,0)),"",INDEX('Compliance Database'!$C$2:$C$622,MATCH(425,Engine!$C$2:$C$622,0)))</f>
        <v/>
      </c>
      <c r="D438" s="8">
        <f>IF(ISNA(MATCH(425,Engine!$C$2:$C$622,0)),"",INDEX('Compliance Database'!$D$2:$D$622,MATCH(425,Engine!$C$2:$C$622,0)))</f>
        <v/>
      </c>
      <c r="E438">
        <f>IF(ISNA(MATCH(425,Engine!$C$2:$C$622,0)),"",INDEX('Compliance Database'!$E$2:$E$622,MATCH(425,Engine!$C$2:$C$622,0)))</f>
        <v/>
      </c>
      <c r="F438">
        <f>IF(ISNA(MATCH(425,Engine!$C$2:$C$622,0)),"",INDEX('Compliance Database'!$F$2:$F$622,MATCH(425,Engine!$C$2:$C$622,0)))</f>
        <v/>
      </c>
      <c r="G438">
        <f>IF(ISNA(MATCH(425,Engine!$C$2:$C$622,0)),"",INDEX('Compliance Database'!$G$2:$G$622,MATCH(425,Engine!$C$2:$C$622,0)))</f>
        <v/>
      </c>
      <c r="H438">
        <f>IF(ISNA(MATCH(425,Engine!$C$2:$C$622,0)),"",INDEX('Compliance Database'!$H$2:$H$622,MATCH(425,Engine!$C$2:$C$622,0)))</f>
        <v/>
      </c>
      <c r="I438" s="8">
        <f>IF(ISNA(MATCH(425,Engine!$C$2:$C$622,0)),"",INDEX('Compliance Database'!$I$2:$I$622,MATCH(425,Engine!$C$2:$C$622,0)))</f>
        <v/>
      </c>
      <c r="J438" s="8">
        <f>IF(ISNA(MATCH(425,Engine!$C$2:$C$622,0)),"",INDEX('Compliance Database'!$J$2:$J$622,MATCH(425,Engine!$C$2:$C$622,0)))</f>
        <v/>
      </c>
      <c r="K438">
        <f>IF(ISNA(MATCH(425,Engine!$C$2:$C$622,0)),"",INDEX('Compliance Database'!$K$2:$K$622,MATCH(425,Engine!$C$2:$C$622,0)))</f>
        <v/>
      </c>
      <c r="L438" s="8">
        <f>IF(ISNA(MATCH(425,Engine!$C$2:$C$622,0)),"",INDEX('Compliance Database'!$L$2:$L$622,MATCH(425,Engine!$C$2:$C$622,0)))</f>
        <v/>
      </c>
      <c r="M438" s="8">
        <f>IF(ISNA(MATCH(425,Engine!$C$2:$C$622,0)),"",INDEX('Compliance Database'!$M$2:$M$622,MATCH(425,Engine!$C$2:$C$622,0)))</f>
        <v/>
      </c>
      <c r="N438" s="8">
        <f>IF(ISNA(MATCH(425,Engine!$C$2:$C$622,0)),"",INDEX('Compliance Database'!$N$2:$N$622,MATCH(425,Engine!$C$2:$C$622,0)))</f>
        <v/>
      </c>
      <c r="O438" s="8">
        <f>IF(ISNA(MATCH(425,Engine!$C$2:$C$622,0)),"",INDEX('Compliance Database'!$O$2:$O$622,MATCH(425,Engine!$C$2:$C$622,0)))</f>
        <v/>
      </c>
    </row>
    <row r="439">
      <c r="A439">
        <f>IF(ISNA(MATCH(426,Engine!$C$2:$C$622,0)),"",INDEX('Compliance Database'!$A$2:$A$622,MATCH(426,Engine!$C$2:$C$622,0)))</f>
        <v/>
      </c>
      <c r="B439">
        <f>IF(ISNA(MATCH(426,Engine!$C$2:$C$622,0)),"",INDEX('Compliance Database'!$B$2:$B$622,MATCH(426,Engine!$C$2:$C$622,0)))</f>
        <v/>
      </c>
      <c r="C439">
        <f>IF(ISNA(MATCH(426,Engine!$C$2:$C$622,0)),"",INDEX('Compliance Database'!$C$2:$C$622,MATCH(426,Engine!$C$2:$C$622,0)))</f>
        <v/>
      </c>
      <c r="D439" s="8">
        <f>IF(ISNA(MATCH(426,Engine!$C$2:$C$622,0)),"",INDEX('Compliance Database'!$D$2:$D$622,MATCH(426,Engine!$C$2:$C$622,0)))</f>
        <v/>
      </c>
      <c r="E439">
        <f>IF(ISNA(MATCH(426,Engine!$C$2:$C$622,0)),"",INDEX('Compliance Database'!$E$2:$E$622,MATCH(426,Engine!$C$2:$C$622,0)))</f>
        <v/>
      </c>
      <c r="F439">
        <f>IF(ISNA(MATCH(426,Engine!$C$2:$C$622,0)),"",INDEX('Compliance Database'!$F$2:$F$622,MATCH(426,Engine!$C$2:$C$622,0)))</f>
        <v/>
      </c>
      <c r="G439">
        <f>IF(ISNA(MATCH(426,Engine!$C$2:$C$622,0)),"",INDEX('Compliance Database'!$G$2:$G$622,MATCH(426,Engine!$C$2:$C$622,0)))</f>
        <v/>
      </c>
      <c r="H439">
        <f>IF(ISNA(MATCH(426,Engine!$C$2:$C$622,0)),"",INDEX('Compliance Database'!$H$2:$H$622,MATCH(426,Engine!$C$2:$C$622,0)))</f>
        <v/>
      </c>
      <c r="I439" s="8">
        <f>IF(ISNA(MATCH(426,Engine!$C$2:$C$622,0)),"",INDEX('Compliance Database'!$I$2:$I$622,MATCH(426,Engine!$C$2:$C$622,0)))</f>
        <v/>
      </c>
      <c r="J439" s="8">
        <f>IF(ISNA(MATCH(426,Engine!$C$2:$C$622,0)),"",INDEX('Compliance Database'!$J$2:$J$622,MATCH(426,Engine!$C$2:$C$622,0)))</f>
        <v/>
      </c>
      <c r="K439">
        <f>IF(ISNA(MATCH(426,Engine!$C$2:$C$622,0)),"",INDEX('Compliance Database'!$K$2:$K$622,MATCH(426,Engine!$C$2:$C$622,0)))</f>
        <v/>
      </c>
      <c r="L439" s="8">
        <f>IF(ISNA(MATCH(426,Engine!$C$2:$C$622,0)),"",INDEX('Compliance Database'!$L$2:$L$622,MATCH(426,Engine!$C$2:$C$622,0)))</f>
        <v/>
      </c>
      <c r="M439" s="8">
        <f>IF(ISNA(MATCH(426,Engine!$C$2:$C$622,0)),"",INDEX('Compliance Database'!$M$2:$M$622,MATCH(426,Engine!$C$2:$C$622,0)))</f>
        <v/>
      </c>
      <c r="N439" s="8">
        <f>IF(ISNA(MATCH(426,Engine!$C$2:$C$622,0)),"",INDEX('Compliance Database'!$N$2:$N$622,MATCH(426,Engine!$C$2:$C$622,0)))</f>
        <v/>
      </c>
      <c r="O439" s="8">
        <f>IF(ISNA(MATCH(426,Engine!$C$2:$C$622,0)),"",INDEX('Compliance Database'!$O$2:$O$622,MATCH(426,Engine!$C$2:$C$622,0)))</f>
        <v/>
      </c>
    </row>
    <row r="440">
      <c r="A440">
        <f>IF(ISNA(MATCH(427,Engine!$C$2:$C$622,0)),"",INDEX('Compliance Database'!$A$2:$A$622,MATCH(427,Engine!$C$2:$C$622,0)))</f>
        <v/>
      </c>
      <c r="B440">
        <f>IF(ISNA(MATCH(427,Engine!$C$2:$C$622,0)),"",INDEX('Compliance Database'!$B$2:$B$622,MATCH(427,Engine!$C$2:$C$622,0)))</f>
        <v/>
      </c>
      <c r="C440">
        <f>IF(ISNA(MATCH(427,Engine!$C$2:$C$622,0)),"",INDEX('Compliance Database'!$C$2:$C$622,MATCH(427,Engine!$C$2:$C$622,0)))</f>
        <v/>
      </c>
      <c r="D440" s="8">
        <f>IF(ISNA(MATCH(427,Engine!$C$2:$C$622,0)),"",INDEX('Compliance Database'!$D$2:$D$622,MATCH(427,Engine!$C$2:$C$622,0)))</f>
        <v/>
      </c>
      <c r="E440">
        <f>IF(ISNA(MATCH(427,Engine!$C$2:$C$622,0)),"",INDEX('Compliance Database'!$E$2:$E$622,MATCH(427,Engine!$C$2:$C$622,0)))</f>
        <v/>
      </c>
      <c r="F440">
        <f>IF(ISNA(MATCH(427,Engine!$C$2:$C$622,0)),"",INDEX('Compliance Database'!$F$2:$F$622,MATCH(427,Engine!$C$2:$C$622,0)))</f>
        <v/>
      </c>
      <c r="G440">
        <f>IF(ISNA(MATCH(427,Engine!$C$2:$C$622,0)),"",INDEX('Compliance Database'!$G$2:$G$622,MATCH(427,Engine!$C$2:$C$622,0)))</f>
        <v/>
      </c>
      <c r="H440">
        <f>IF(ISNA(MATCH(427,Engine!$C$2:$C$622,0)),"",INDEX('Compliance Database'!$H$2:$H$622,MATCH(427,Engine!$C$2:$C$622,0)))</f>
        <v/>
      </c>
      <c r="I440" s="8">
        <f>IF(ISNA(MATCH(427,Engine!$C$2:$C$622,0)),"",INDEX('Compliance Database'!$I$2:$I$622,MATCH(427,Engine!$C$2:$C$622,0)))</f>
        <v/>
      </c>
      <c r="J440" s="8">
        <f>IF(ISNA(MATCH(427,Engine!$C$2:$C$622,0)),"",INDEX('Compliance Database'!$J$2:$J$622,MATCH(427,Engine!$C$2:$C$622,0)))</f>
        <v/>
      </c>
      <c r="K440">
        <f>IF(ISNA(MATCH(427,Engine!$C$2:$C$622,0)),"",INDEX('Compliance Database'!$K$2:$K$622,MATCH(427,Engine!$C$2:$C$622,0)))</f>
        <v/>
      </c>
      <c r="L440" s="8">
        <f>IF(ISNA(MATCH(427,Engine!$C$2:$C$622,0)),"",INDEX('Compliance Database'!$L$2:$L$622,MATCH(427,Engine!$C$2:$C$622,0)))</f>
        <v/>
      </c>
      <c r="M440" s="8">
        <f>IF(ISNA(MATCH(427,Engine!$C$2:$C$622,0)),"",INDEX('Compliance Database'!$M$2:$M$622,MATCH(427,Engine!$C$2:$C$622,0)))</f>
        <v/>
      </c>
      <c r="N440" s="8">
        <f>IF(ISNA(MATCH(427,Engine!$C$2:$C$622,0)),"",INDEX('Compliance Database'!$N$2:$N$622,MATCH(427,Engine!$C$2:$C$622,0)))</f>
        <v/>
      </c>
      <c r="O440" s="8">
        <f>IF(ISNA(MATCH(427,Engine!$C$2:$C$622,0)),"",INDEX('Compliance Database'!$O$2:$O$622,MATCH(427,Engine!$C$2:$C$622,0)))</f>
        <v/>
      </c>
    </row>
    <row r="441">
      <c r="A441">
        <f>IF(ISNA(MATCH(428,Engine!$C$2:$C$622,0)),"",INDEX('Compliance Database'!$A$2:$A$622,MATCH(428,Engine!$C$2:$C$622,0)))</f>
        <v/>
      </c>
      <c r="B441">
        <f>IF(ISNA(MATCH(428,Engine!$C$2:$C$622,0)),"",INDEX('Compliance Database'!$B$2:$B$622,MATCH(428,Engine!$C$2:$C$622,0)))</f>
        <v/>
      </c>
      <c r="C441">
        <f>IF(ISNA(MATCH(428,Engine!$C$2:$C$622,0)),"",INDEX('Compliance Database'!$C$2:$C$622,MATCH(428,Engine!$C$2:$C$622,0)))</f>
        <v/>
      </c>
      <c r="D441" s="8">
        <f>IF(ISNA(MATCH(428,Engine!$C$2:$C$622,0)),"",INDEX('Compliance Database'!$D$2:$D$622,MATCH(428,Engine!$C$2:$C$622,0)))</f>
        <v/>
      </c>
      <c r="E441">
        <f>IF(ISNA(MATCH(428,Engine!$C$2:$C$622,0)),"",INDEX('Compliance Database'!$E$2:$E$622,MATCH(428,Engine!$C$2:$C$622,0)))</f>
        <v/>
      </c>
      <c r="F441">
        <f>IF(ISNA(MATCH(428,Engine!$C$2:$C$622,0)),"",INDEX('Compliance Database'!$F$2:$F$622,MATCH(428,Engine!$C$2:$C$622,0)))</f>
        <v/>
      </c>
      <c r="G441">
        <f>IF(ISNA(MATCH(428,Engine!$C$2:$C$622,0)),"",INDEX('Compliance Database'!$G$2:$G$622,MATCH(428,Engine!$C$2:$C$622,0)))</f>
        <v/>
      </c>
      <c r="H441">
        <f>IF(ISNA(MATCH(428,Engine!$C$2:$C$622,0)),"",INDEX('Compliance Database'!$H$2:$H$622,MATCH(428,Engine!$C$2:$C$622,0)))</f>
        <v/>
      </c>
      <c r="I441" s="8">
        <f>IF(ISNA(MATCH(428,Engine!$C$2:$C$622,0)),"",INDEX('Compliance Database'!$I$2:$I$622,MATCH(428,Engine!$C$2:$C$622,0)))</f>
        <v/>
      </c>
      <c r="J441" s="8">
        <f>IF(ISNA(MATCH(428,Engine!$C$2:$C$622,0)),"",INDEX('Compliance Database'!$J$2:$J$622,MATCH(428,Engine!$C$2:$C$622,0)))</f>
        <v/>
      </c>
      <c r="K441">
        <f>IF(ISNA(MATCH(428,Engine!$C$2:$C$622,0)),"",INDEX('Compliance Database'!$K$2:$K$622,MATCH(428,Engine!$C$2:$C$622,0)))</f>
        <v/>
      </c>
      <c r="L441" s="8">
        <f>IF(ISNA(MATCH(428,Engine!$C$2:$C$622,0)),"",INDEX('Compliance Database'!$L$2:$L$622,MATCH(428,Engine!$C$2:$C$622,0)))</f>
        <v/>
      </c>
      <c r="M441" s="8">
        <f>IF(ISNA(MATCH(428,Engine!$C$2:$C$622,0)),"",INDEX('Compliance Database'!$M$2:$M$622,MATCH(428,Engine!$C$2:$C$622,0)))</f>
        <v/>
      </c>
      <c r="N441" s="8">
        <f>IF(ISNA(MATCH(428,Engine!$C$2:$C$622,0)),"",INDEX('Compliance Database'!$N$2:$N$622,MATCH(428,Engine!$C$2:$C$622,0)))</f>
        <v/>
      </c>
      <c r="O441" s="8">
        <f>IF(ISNA(MATCH(428,Engine!$C$2:$C$622,0)),"",INDEX('Compliance Database'!$O$2:$O$622,MATCH(428,Engine!$C$2:$C$622,0)))</f>
        <v/>
      </c>
    </row>
    <row r="442">
      <c r="A442">
        <f>IF(ISNA(MATCH(429,Engine!$C$2:$C$622,0)),"",INDEX('Compliance Database'!$A$2:$A$622,MATCH(429,Engine!$C$2:$C$622,0)))</f>
        <v/>
      </c>
      <c r="B442">
        <f>IF(ISNA(MATCH(429,Engine!$C$2:$C$622,0)),"",INDEX('Compliance Database'!$B$2:$B$622,MATCH(429,Engine!$C$2:$C$622,0)))</f>
        <v/>
      </c>
      <c r="C442">
        <f>IF(ISNA(MATCH(429,Engine!$C$2:$C$622,0)),"",INDEX('Compliance Database'!$C$2:$C$622,MATCH(429,Engine!$C$2:$C$622,0)))</f>
        <v/>
      </c>
      <c r="D442" s="8">
        <f>IF(ISNA(MATCH(429,Engine!$C$2:$C$622,0)),"",INDEX('Compliance Database'!$D$2:$D$622,MATCH(429,Engine!$C$2:$C$622,0)))</f>
        <v/>
      </c>
      <c r="E442">
        <f>IF(ISNA(MATCH(429,Engine!$C$2:$C$622,0)),"",INDEX('Compliance Database'!$E$2:$E$622,MATCH(429,Engine!$C$2:$C$622,0)))</f>
        <v/>
      </c>
      <c r="F442">
        <f>IF(ISNA(MATCH(429,Engine!$C$2:$C$622,0)),"",INDEX('Compliance Database'!$F$2:$F$622,MATCH(429,Engine!$C$2:$C$622,0)))</f>
        <v/>
      </c>
      <c r="G442">
        <f>IF(ISNA(MATCH(429,Engine!$C$2:$C$622,0)),"",INDEX('Compliance Database'!$G$2:$G$622,MATCH(429,Engine!$C$2:$C$622,0)))</f>
        <v/>
      </c>
      <c r="H442">
        <f>IF(ISNA(MATCH(429,Engine!$C$2:$C$622,0)),"",INDEX('Compliance Database'!$H$2:$H$622,MATCH(429,Engine!$C$2:$C$622,0)))</f>
        <v/>
      </c>
      <c r="I442" s="8">
        <f>IF(ISNA(MATCH(429,Engine!$C$2:$C$622,0)),"",INDEX('Compliance Database'!$I$2:$I$622,MATCH(429,Engine!$C$2:$C$622,0)))</f>
        <v/>
      </c>
      <c r="J442" s="8">
        <f>IF(ISNA(MATCH(429,Engine!$C$2:$C$622,0)),"",INDEX('Compliance Database'!$J$2:$J$622,MATCH(429,Engine!$C$2:$C$622,0)))</f>
        <v/>
      </c>
      <c r="K442">
        <f>IF(ISNA(MATCH(429,Engine!$C$2:$C$622,0)),"",INDEX('Compliance Database'!$K$2:$K$622,MATCH(429,Engine!$C$2:$C$622,0)))</f>
        <v/>
      </c>
      <c r="L442" s="8">
        <f>IF(ISNA(MATCH(429,Engine!$C$2:$C$622,0)),"",INDEX('Compliance Database'!$L$2:$L$622,MATCH(429,Engine!$C$2:$C$622,0)))</f>
        <v/>
      </c>
      <c r="M442" s="8">
        <f>IF(ISNA(MATCH(429,Engine!$C$2:$C$622,0)),"",INDEX('Compliance Database'!$M$2:$M$622,MATCH(429,Engine!$C$2:$C$622,0)))</f>
        <v/>
      </c>
      <c r="N442" s="8">
        <f>IF(ISNA(MATCH(429,Engine!$C$2:$C$622,0)),"",INDEX('Compliance Database'!$N$2:$N$622,MATCH(429,Engine!$C$2:$C$622,0)))</f>
        <v/>
      </c>
      <c r="O442" s="8">
        <f>IF(ISNA(MATCH(429,Engine!$C$2:$C$622,0)),"",INDEX('Compliance Database'!$O$2:$O$622,MATCH(429,Engine!$C$2:$C$622,0)))</f>
        <v/>
      </c>
    </row>
    <row r="443">
      <c r="A443">
        <f>IF(ISNA(MATCH(430,Engine!$C$2:$C$622,0)),"",INDEX('Compliance Database'!$A$2:$A$622,MATCH(430,Engine!$C$2:$C$622,0)))</f>
        <v/>
      </c>
      <c r="B443">
        <f>IF(ISNA(MATCH(430,Engine!$C$2:$C$622,0)),"",INDEX('Compliance Database'!$B$2:$B$622,MATCH(430,Engine!$C$2:$C$622,0)))</f>
        <v/>
      </c>
      <c r="C443">
        <f>IF(ISNA(MATCH(430,Engine!$C$2:$C$622,0)),"",INDEX('Compliance Database'!$C$2:$C$622,MATCH(430,Engine!$C$2:$C$622,0)))</f>
        <v/>
      </c>
      <c r="D443" s="8">
        <f>IF(ISNA(MATCH(430,Engine!$C$2:$C$622,0)),"",INDEX('Compliance Database'!$D$2:$D$622,MATCH(430,Engine!$C$2:$C$622,0)))</f>
        <v/>
      </c>
      <c r="E443">
        <f>IF(ISNA(MATCH(430,Engine!$C$2:$C$622,0)),"",INDEX('Compliance Database'!$E$2:$E$622,MATCH(430,Engine!$C$2:$C$622,0)))</f>
        <v/>
      </c>
      <c r="F443">
        <f>IF(ISNA(MATCH(430,Engine!$C$2:$C$622,0)),"",INDEX('Compliance Database'!$F$2:$F$622,MATCH(430,Engine!$C$2:$C$622,0)))</f>
        <v/>
      </c>
      <c r="G443">
        <f>IF(ISNA(MATCH(430,Engine!$C$2:$C$622,0)),"",INDEX('Compliance Database'!$G$2:$G$622,MATCH(430,Engine!$C$2:$C$622,0)))</f>
        <v/>
      </c>
      <c r="H443">
        <f>IF(ISNA(MATCH(430,Engine!$C$2:$C$622,0)),"",INDEX('Compliance Database'!$H$2:$H$622,MATCH(430,Engine!$C$2:$C$622,0)))</f>
        <v/>
      </c>
      <c r="I443" s="8">
        <f>IF(ISNA(MATCH(430,Engine!$C$2:$C$622,0)),"",INDEX('Compliance Database'!$I$2:$I$622,MATCH(430,Engine!$C$2:$C$622,0)))</f>
        <v/>
      </c>
      <c r="J443" s="8">
        <f>IF(ISNA(MATCH(430,Engine!$C$2:$C$622,0)),"",INDEX('Compliance Database'!$J$2:$J$622,MATCH(430,Engine!$C$2:$C$622,0)))</f>
        <v/>
      </c>
      <c r="K443">
        <f>IF(ISNA(MATCH(430,Engine!$C$2:$C$622,0)),"",INDEX('Compliance Database'!$K$2:$K$622,MATCH(430,Engine!$C$2:$C$622,0)))</f>
        <v/>
      </c>
      <c r="L443" s="8">
        <f>IF(ISNA(MATCH(430,Engine!$C$2:$C$622,0)),"",INDEX('Compliance Database'!$L$2:$L$622,MATCH(430,Engine!$C$2:$C$622,0)))</f>
        <v/>
      </c>
      <c r="M443" s="8">
        <f>IF(ISNA(MATCH(430,Engine!$C$2:$C$622,0)),"",INDEX('Compliance Database'!$M$2:$M$622,MATCH(430,Engine!$C$2:$C$622,0)))</f>
        <v/>
      </c>
      <c r="N443" s="8">
        <f>IF(ISNA(MATCH(430,Engine!$C$2:$C$622,0)),"",INDEX('Compliance Database'!$N$2:$N$622,MATCH(430,Engine!$C$2:$C$622,0)))</f>
        <v/>
      </c>
      <c r="O443" s="8">
        <f>IF(ISNA(MATCH(430,Engine!$C$2:$C$622,0)),"",INDEX('Compliance Database'!$O$2:$O$622,MATCH(430,Engine!$C$2:$C$622,0)))</f>
        <v/>
      </c>
    </row>
    <row r="444">
      <c r="A444">
        <f>IF(ISNA(MATCH(431,Engine!$C$2:$C$622,0)),"",INDEX('Compliance Database'!$A$2:$A$622,MATCH(431,Engine!$C$2:$C$622,0)))</f>
        <v/>
      </c>
      <c r="B444">
        <f>IF(ISNA(MATCH(431,Engine!$C$2:$C$622,0)),"",INDEX('Compliance Database'!$B$2:$B$622,MATCH(431,Engine!$C$2:$C$622,0)))</f>
        <v/>
      </c>
      <c r="C444">
        <f>IF(ISNA(MATCH(431,Engine!$C$2:$C$622,0)),"",INDEX('Compliance Database'!$C$2:$C$622,MATCH(431,Engine!$C$2:$C$622,0)))</f>
        <v/>
      </c>
      <c r="D444" s="8">
        <f>IF(ISNA(MATCH(431,Engine!$C$2:$C$622,0)),"",INDEX('Compliance Database'!$D$2:$D$622,MATCH(431,Engine!$C$2:$C$622,0)))</f>
        <v/>
      </c>
      <c r="E444">
        <f>IF(ISNA(MATCH(431,Engine!$C$2:$C$622,0)),"",INDEX('Compliance Database'!$E$2:$E$622,MATCH(431,Engine!$C$2:$C$622,0)))</f>
        <v/>
      </c>
      <c r="F444">
        <f>IF(ISNA(MATCH(431,Engine!$C$2:$C$622,0)),"",INDEX('Compliance Database'!$F$2:$F$622,MATCH(431,Engine!$C$2:$C$622,0)))</f>
        <v/>
      </c>
      <c r="G444">
        <f>IF(ISNA(MATCH(431,Engine!$C$2:$C$622,0)),"",INDEX('Compliance Database'!$G$2:$G$622,MATCH(431,Engine!$C$2:$C$622,0)))</f>
        <v/>
      </c>
      <c r="H444">
        <f>IF(ISNA(MATCH(431,Engine!$C$2:$C$622,0)),"",INDEX('Compliance Database'!$H$2:$H$622,MATCH(431,Engine!$C$2:$C$622,0)))</f>
        <v/>
      </c>
      <c r="I444" s="8">
        <f>IF(ISNA(MATCH(431,Engine!$C$2:$C$622,0)),"",INDEX('Compliance Database'!$I$2:$I$622,MATCH(431,Engine!$C$2:$C$622,0)))</f>
        <v/>
      </c>
      <c r="J444" s="8">
        <f>IF(ISNA(MATCH(431,Engine!$C$2:$C$622,0)),"",INDEX('Compliance Database'!$J$2:$J$622,MATCH(431,Engine!$C$2:$C$622,0)))</f>
        <v/>
      </c>
      <c r="K444">
        <f>IF(ISNA(MATCH(431,Engine!$C$2:$C$622,0)),"",INDEX('Compliance Database'!$K$2:$K$622,MATCH(431,Engine!$C$2:$C$622,0)))</f>
        <v/>
      </c>
      <c r="L444" s="8">
        <f>IF(ISNA(MATCH(431,Engine!$C$2:$C$622,0)),"",INDEX('Compliance Database'!$L$2:$L$622,MATCH(431,Engine!$C$2:$C$622,0)))</f>
        <v/>
      </c>
      <c r="M444" s="8">
        <f>IF(ISNA(MATCH(431,Engine!$C$2:$C$622,0)),"",INDEX('Compliance Database'!$M$2:$M$622,MATCH(431,Engine!$C$2:$C$622,0)))</f>
        <v/>
      </c>
      <c r="N444" s="8">
        <f>IF(ISNA(MATCH(431,Engine!$C$2:$C$622,0)),"",INDEX('Compliance Database'!$N$2:$N$622,MATCH(431,Engine!$C$2:$C$622,0)))</f>
        <v/>
      </c>
      <c r="O444" s="8">
        <f>IF(ISNA(MATCH(431,Engine!$C$2:$C$622,0)),"",INDEX('Compliance Database'!$O$2:$O$622,MATCH(431,Engine!$C$2:$C$622,0)))</f>
        <v/>
      </c>
    </row>
    <row r="445">
      <c r="A445">
        <f>IF(ISNA(MATCH(432,Engine!$C$2:$C$622,0)),"",INDEX('Compliance Database'!$A$2:$A$622,MATCH(432,Engine!$C$2:$C$622,0)))</f>
        <v/>
      </c>
      <c r="B445">
        <f>IF(ISNA(MATCH(432,Engine!$C$2:$C$622,0)),"",INDEX('Compliance Database'!$B$2:$B$622,MATCH(432,Engine!$C$2:$C$622,0)))</f>
        <v/>
      </c>
      <c r="C445">
        <f>IF(ISNA(MATCH(432,Engine!$C$2:$C$622,0)),"",INDEX('Compliance Database'!$C$2:$C$622,MATCH(432,Engine!$C$2:$C$622,0)))</f>
        <v/>
      </c>
      <c r="D445" s="8">
        <f>IF(ISNA(MATCH(432,Engine!$C$2:$C$622,0)),"",INDEX('Compliance Database'!$D$2:$D$622,MATCH(432,Engine!$C$2:$C$622,0)))</f>
        <v/>
      </c>
      <c r="E445">
        <f>IF(ISNA(MATCH(432,Engine!$C$2:$C$622,0)),"",INDEX('Compliance Database'!$E$2:$E$622,MATCH(432,Engine!$C$2:$C$622,0)))</f>
        <v/>
      </c>
      <c r="F445">
        <f>IF(ISNA(MATCH(432,Engine!$C$2:$C$622,0)),"",INDEX('Compliance Database'!$F$2:$F$622,MATCH(432,Engine!$C$2:$C$622,0)))</f>
        <v/>
      </c>
      <c r="G445">
        <f>IF(ISNA(MATCH(432,Engine!$C$2:$C$622,0)),"",INDEX('Compliance Database'!$G$2:$G$622,MATCH(432,Engine!$C$2:$C$622,0)))</f>
        <v/>
      </c>
      <c r="H445">
        <f>IF(ISNA(MATCH(432,Engine!$C$2:$C$622,0)),"",INDEX('Compliance Database'!$H$2:$H$622,MATCH(432,Engine!$C$2:$C$622,0)))</f>
        <v/>
      </c>
      <c r="I445" s="8">
        <f>IF(ISNA(MATCH(432,Engine!$C$2:$C$622,0)),"",INDEX('Compliance Database'!$I$2:$I$622,MATCH(432,Engine!$C$2:$C$622,0)))</f>
        <v/>
      </c>
      <c r="J445" s="8">
        <f>IF(ISNA(MATCH(432,Engine!$C$2:$C$622,0)),"",INDEX('Compliance Database'!$J$2:$J$622,MATCH(432,Engine!$C$2:$C$622,0)))</f>
        <v/>
      </c>
      <c r="K445">
        <f>IF(ISNA(MATCH(432,Engine!$C$2:$C$622,0)),"",INDEX('Compliance Database'!$K$2:$K$622,MATCH(432,Engine!$C$2:$C$622,0)))</f>
        <v/>
      </c>
      <c r="L445" s="8">
        <f>IF(ISNA(MATCH(432,Engine!$C$2:$C$622,0)),"",INDEX('Compliance Database'!$L$2:$L$622,MATCH(432,Engine!$C$2:$C$622,0)))</f>
        <v/>
      </c>
      <c r="M445" s="8">
        <f>IF(ISNA(MATCH(432,Engine!$C$2:$C$622,0)),"",INDEX('Compliance Database'!$M$2:$M$622,MATCH(432,Engine!$C$2:$C$622,0)))</f>
        <v/>
      </c>
      <c r="N445" s="8">
        <f>IF(ISNA(MATCH(432,Engine!$C$2:$C$622,0)),"",INDEX('Compliance Database'!$N$2:$N$622,MATCH(432,Engine!$C$2:$C$622,0)))</f>
        <v/>
      </c>
      <c r="O445" s="8">
        <f>IF(ISNA(MATCH(432,Engine!$C$2:$C$622,0)),"",INDEX('Compliance Database'!$O$2:$O$622,MATCH(432,Engine!$C$2:$C$622,0)))</f>
        <v/>
      </c>
    </row>
    <row r="446">
      <c r="A446">
        <f>IF(ISNA(MATCH(433,Engine!$C$2:$C$622,0)),"",INDEX('Compliance Database'!$A$2:$A$622,MATCH(433,Engine!$C$2:$C$622,0)))</f>
        <v/>
      </c>
      <c r="B446">
        <f>IF(ISNA(MATCH(433,Engine!$C$2:$C$622,0)),"",INDEX('Compliance Database'!$B$2:$B$622,MATCH(433,Engine!$C$2:$C$622,0)))</f>
        <v/>
      </c>
      <c r="C446">
        <f>IF(ISNA(MATCH(433,Engine!$C$2:$C$622,0)),"",INDEX('Compliance Database'!$C$2:$C$622,MATCH(433,Engine!$C$2:$C$622,0)))</f>
        <v/>
      </c>
      <c r="D446" s="8">
        <f>IF(ISNA(MATCH(433,Engine!$C$2:$C$622,0)),"",INDEX('Compliance Database'!$D$2:$D$622,MATCH(433,Engine!$C$2:$C$622,0)))</f>
        <v/>
      </c>
      <c r="E446">
        <f>IF(ISNA(MATCH(433,Engine!$C$2:$C$622,0)),"",INDEX('Compliance Database'!$E$2:$E$622,MATCH(433,Engine!$C$2:$C$622,0)))</f>
        <v/>
      </c>
      <c r="F446">
        <f>IF(ISNA(MATCH(433,Engine!$C$2:$C$622,0)),"",INDEX('Compliance Database'!$F$2:$F$622,MATCH(433,Engine!$C$2:$C$622,0)))</f>
        <v/>
      </c>
      <c r="G446">
        <f>IF(ISNA(MATCH(433,Engine!$C$2:$C$622,0)),"",INDEX('Compliance Database'!$G$2:$G$622,MATCH(433,Engine!$C$2:$C$622,0)))</f>
        <v/>
      </c>
      <c r="H446">
        <f>IF(ISNA(MATCH(433,Engine!$C$2:$C$622,0)),"",INDEX('Compliance Database'!$H$2:$H$622,MATCH(433,Engine!$C$2:$C$622,0)))</f>
        <v/>
      </c>
      <c r="I446" s="8">
        <f>IF(ISNA(MATCH(433,Engine!$C$2:$C$622,0)),"",INDEX('Compliance Database'!$I$2:$I$622,MATCH(433,Engine!$C$2:$C$622,0)))</f>
        <v/>
      </c>
      <c r="J446" s="8">
        <f>IF(ISNA(MATCH(433,Engine!$C$2:$C$622,0)),"",INDEX('Compliance Database'!$J$2:$J$622,MATCH(433,Engine!$C$2:$C$622,0)))</f>
        <v/>
      </c>
      <c r="K446">
        <f>IF(ISNA(MATCH(433,Engine!$C$2:$C$622,0)),"",INDEX('Compliance Database'!$K$2:$K$622,MATCH(433,Engine!$C$2:$C$622,0)))</f>
        <v/>
      </c>
      <c r="L446" s="8">
        <f>IF(ISNA(MATCH(433,Engine!$C$2:$C$622,0)),"",INDEX('Compliance Database'!$L$2:$L$622,MATCH(433,Engine!$C$2:$C$622,0)))</f>
        <v/>
      </c>
      <c r="M446" s="8">
        <f>IF(ISNA(MATCH(433,Engine!$C$2:$C$622,0)),"",INDEX('Compliance Database'!$M$2:$M$622,MATCH(433,Engine!$C$2:$C$622,0)))</f>
        <v/>
      </c>
      <c r="N446" s="8">
        <f>IF(ISNA(MATCH(433,Engine!$C$2:$C$622,0)),"",INDEX('Compliance Database'!$N$2:$N$622,MATCH(433,Engine!$C$2:$C$622,0)))</f>
        <v/>
      </c>
      <c r="O446" s="8">
        <f>IF(ISNA(MATCH(433,Engine!$C$2:$C$622,0)),"",INDEX('Compliance Database'!$O$2:$O$622,MATCH(433,Engine!$C$2:$C$622,0)))</f>
        <v/>
      </c>
    </row>
    <row r="447">
      <c r="A447">
        <f>IF(ISNA(MATCH(434,Engine!$C$2:$C$622,0)),"",INDEX('Compliance Database'!$A$2:$A$622,MATCH(434,Engine!$C$2:$C$622,0)))</f>
        <v/>
      </c>
      <c r="B447">
        <f>IF(ISNA(MATCH(434,Engine!$C$2:$C$622,0)),"",INDEX('Compliance Database'!$B$2:$B$622,MATCH(434,Engine!$C$2:$C$622,0)))</f>
        <v/>
      </c>
      <c r="C447">
        <f>IF(ISNA(MATCH(434,Engine!$C$2:$C$622,0)),"",INDEX('Compliance Database'!$C$2:$C$622,MATCH(434,Engine!$C$2:$C$622,0)))</f>
        <v/>
      </c>
      <c r="D447" s="8">
        <f>IF(ISNA(MATCH(434,Engine!$C$2:$C$622,0)),"",INDEX('Compliance Database'!$D$2:$D$622,MATCH(434,Engine!$C$2:$C$622,0)))</f>
        <v/>
      </c>
      <c r="E447">
        <f>IF(ISNA(MATCH(434,Engine!$C$2:$C$622,0)),"",INDEX('Compliance Database'!$E$2:$E$622,MATCH(434,Engine!$C$2:$C$622,0)))</f>
        <v/>
      </c>
      <c r="F447">
        <f>IF(ISNA(MATCH(434,Engine!$C$2:$C$622,0)),"",INDEX('Compliance Database'!$F$2:$F$622,MATCH(434,Engine!$C$2:$C$622,0)))</f>
        <v/>
      </c>
      <c r="G447">
        <f>IF(ISNA(MATCH(434,Engine!$C$2:$C$622,0)),"",INDEX('Compliance Database'!$G$2:$G$622,MATCH(434,Engine!$C$2:$C$622,0)))</f>
        <v/>
      </c>
      <c r="H447">
        <f>IF(ISNA(MATCH(434,Engine!$C$2:$C$622,0)),"",INDEX('Compliance Database'!$H$2:$H$622,MATCH(434,Engine!$C$2:$C$622,0)))</f>
        <v/>
      </c>
      <c r="I447" s="8">
        <f>IF(ISNA(MATCH(434,Engine!$C$2:$C$622,0)),"",INDEX('Compliance Database'!$I$2:$I$622,MATCH(434,Engine!$C$2:$C$622,0)))</f>
        <v/>
      </c>
      <c r="J447" s="8">
        <f>IF(ISNA(MATCH(434,Engine!$C$2:$C$622,0)),"",INDEX('Compliance Database'!$J$2:$J$622,MATCH(434,Engine!$C$2:$C$622,0)))</f>
        <v/>
      </c>
      <c r="K447">
        <f>IF(ISNA(MATCH(434,Engine!$C$2:$C$622,0)),"",INDEX('Compliance Database'!$K$2:$K$622,MATCH(434,Engine!$C$2:$C$622,0)))</f>
        <v/>
      </c>
      <c r="L447" s="8">
        <f>IF(ISNA(MATCH(434,Engine!$C$2:$C$622,0)),"",INDEX('Compliance Database'!$L$2:$L$622,MATCH(434,Engine!$C$2:$C$622,0)))</f>
        <v/>
      </c>
      <c r="M447" s="8">
        <f>IF(ISNA(MATCH(434,Engine!$C$2:$C$622,0)),"",INDEX('Compliance Database'!$M$2:$M$622,MATCH(434,Engine!$C$2:$C$622,0)))</f>
        <v/>
      </c>
      <c r="N447" s="8">
        <f>IF(ISNA(MATCH(434,Engine!$C$2:$C$622,0)),"",INDEX('Compliance Database'!$N$2:$N$622,MATCH(434,Engine!$C$2:$C$622,0)))</f>
        <v/>
      </c>
      <c r="O447" s="8">
        <f>IF(ISNA(MATCH(434,Engine!$C$2:$C$622,0)),"",INDEX('Compliance Database'!$O$2:$O$622,MATCH(434,Engine!$C$2:$C$622,0)))</f>
        <v/>
      </c>
    </row>
    <row r="448">
      <c r="A448">
        <f>IF(ISNA(MATCH(435,Engine!$C$2:$C$622,0)),"",INDEX('Compliance Database'!$A$2:$A$622,MATCH(435,Engine!$C$2:$C$622,0)))</f>
        <v/>
      </c>
      <c r="B448">
        <f>IF(ISNA(MATCH(435,Engine!$C$2:$C$622,0)),"",INDEX('Compliance Database'!$B$2:$B$622,MATCH(435,Engine!$C$2:$C$622,0)))</f>
        <v/>
      </c>
      <c r="C448">
        <f>IF(ISNA(MATCH(435,Engine!$C$2:$C$622,0)),"",INDEX('Compliance Database'!$C$2:$C$622,MATCH(435,Engine!$C$2:$C$622,0)))</f>
        <v/>
      </c>
      <c r="D448" s="8">
        <f>IF(ISNA(MATCH(435,Engine!$C$2:$C$622,0)),"",INDEX('Compliance Database'!$D$2:$D$622,MATCH(435,Engine!$C$2:$C$622,0)))</f>
        <v/>
      </c>
      <c r="E448">
        <f>IF(ISNA(MATCH(435,Engine!$C$2:$C$622,0)),"",INDEX('Compliance Database'!$E$2:$E$622,MATCH(435,Engine!$C$2:$C$622,0)))</f>
        <v/>
      </c>
      <c r="F448">
        <f>IF(ISNA(MATCH(435,Engine!$C$2:$C$622,0)),"",INDEX('Compliance Database'!$F$2:$F$622,MATCH(435,Engine!$C$2:$C$622,0)))</f>
        <v/>
      </c>
      <c r="G448">
        <f>IF(ISNA(MATCH(435,Engine!$C$2:$C$622,0)),"",INDEX('Compliance Database'!$G$2:$G$622,MATCH(435,Engine!$C$2:$C$622,0)))</f>
        <v/>
      </c>
      <c r="H448">
        <f>IF(ISNA(MATCH(435,Engine!$C$2:$C$622,0)),"",INDEX('Compliance Database'!$H$2:$H$622,MATCH(435,Engine!$C$2:$C$622,0)))</f>
        <v/>
      </c>
      <c r="I448" s="8">
        <f>IF(ISNA(MATCH(435,Engine!$C$2:$C$622,0)),"",INDEX('Compliance Database'!$I$2:$I$622,MATCH(435,Engine!$C$2:$C$622,0)))</f>
        <v/>
      </c>
      <c r="J448" s="8">
        <f>IF(ISNA(MATCH(435,Engine!$C$2:$C$622,0)),"",INDEX('Compliance Database'!$J$2:$J$622,MATCH(435,Engine!$C$2:$C$622,0)))</f>
        <v/>
      </c>
      <c r="K448">
        <f>IF(ISNA(MATCH(435,Engine!$C$2:$C$622,0)),"",INDEX('Compliance Database'!$K$2:$K$622,MATCH(435,Engine!$C$2:$C$622,0)))</f>
        <v/>
      </c>
      <c r="L448" s="8">
        <f>IF(ISNA(MATCH(435,Engine!$C$2:$C$622,0)),"",INDEX('Compliance Database'!$L$2:$L$622,MATCH(435,Engine!$C$2:$C$622,0)))</f>
        <v/>
      </c>
      <c r="M448" s="8">
        <f>IF(ISNA(MATCH(435,Engine!$C$2:$C$622,0)),"",INDEX('Compliance Database'!$M$2:$M$622,MATCH(435,Engine!$C$2:$C$622,0)))</f>
        <v/>
      </c>
      <c r="N448" s="8">
        <f>IF(ISNA(MATCH(435,Engine!$C$2:$C$622,0)),"",INDEX('Compliance Database'!$N$2:$N$622,MATCH(435,Engine!$C$2:$C$622,0)))</f>
        <v/>
      </c>
      <c r="O448" s="8">
        <f>IF(ISNA(MATCH(435,Engine!$C$2:$C$622,0)),"",INDEX('Compliance Database'!$O$2:$O$622,MATCH(435,Engine!$C$2:$C$622,0)))</f>
        <v/>
      </c>
    </row>
    <row r="449">
      <c r="A449">
        <f>IF(ISNA(MATCH(436,Engine!$C$2:$C$622,0)),"",INDEX('Compliance Database'!$A$2:$A$622,MATCH(436,Engine!$C$2:$C$622,0)))</f>
        <v/>
      </c>
      <c r="B449">
        <f>IF(ISNA(MATCH(436,Engine!$C$2:$C$622,0)),"",INDEX('Compliance Database'!$B$2:$B$622,MATCH(436,Engine!$C$2:$C$622,0)))</f>
        <v/>
      </c>
      <c r="C449">
        <f>IF(ISNA(MATCH(436,Engine!$C$2:$C$622,0)),"",INDEX('Compliance Database'!$C$2:$C$622,MATCH(436,Engine!$C$2:$C$622,0)))</f>
        <v/>
      </c>
      <c r="D449" s="8">
        <f>IF(ISNA(MATCH(436,Engine!$C$2:$C$622,0)),"",INDEX('Compliance Database'!$D$2:$D$622,MATCH(436,Engine!$C$2:$C$622,0)))</f>
        <v/>
      </c>
      <c r="E449">
        <f>IF(ISNA(MATCH(436,Engine!$C$2:$C$622,0)),"",INDEX('Compliance Database'!$E$2:$E$622,MATCH(436,Engine!$C$2:$C$622,0)))</f>
        <v/>
      </c>
      <c r="F449">
        <f>IF(ISNA(MATCH(436,Engine!$C$2:$C$622,0)),"",INDEX('Compliance Database'!$F$2:$F$622,MATCH(436,Engine!$C$2:$C$622,0)))</f>
        <v/>
      </c>
      <c r="G449">
        <f>IF(ISNA(MATCH(436,Engine!$C$2:$C$622,0)),"",INDEX('Compliance Database'!$G$2:$G$622,MATCH(436,Engine!$C$2:$C$622,0)))</f>
        <v/>
      </c>
      <c r="H449">
        <f>IF(ISNA(MATCH(436,Engine!$C$2:$C$622,0)),"",INDEX('Compliance Database'!$H$2:$H$622,MATCH(436,Engine!$C$2:$C$622,0)))</f>
        <v/>
      </c>
      <c r="I449" s="8">
        <f>IF(ISNA(MATCH(436,Engine!$C$2:$C$622,0)),"",INDEX('Compliance Database'!$I$2:$I$622,MATCH(436,Engine!$C$2:$C$622,0)))</f>
        <v/>
      </c>
      <c r="J449" s="8">
        <f>IF(ISNA(MATCH(436,Engine!$C$2:$C$622,0)),"",INDEX('Compliance Database'!$J$2:$J$622,MATCH(436,Engine!$C$2:$C$622,0)))</f>
        <v/>
      </c>
      <c r="K449">
        <f>IF(ISNA(MATCH(436,Engine!$C$2:$C$622,0)),"",INDEX('Compliance Database'!$K$2:$K$622,MATCH(436,Engine!$C$2:$C$622,0)))</f>
        <v/>
      </c>
      <c r="L449" s="8">
        <f>IF(ISNA(MATCH(436,Engine!$C$2:$C$622,0)),"",INDEX('Compliance Database'!$L$2:$L$622,MATCH(436,Engine!$C$2:$C$622,0)))</f>
        <v/>
      </c>
      <c r="M449" s="8">
        <f>IF(ISNA(MATCH(436,Engine!$C$2:$C$622,0)),"",INDEX('Compliance Database'!$M$2:$M$622,MATCH(436,Engine!$C$2:$C$622,0)))</f>
        <v/>
      </c>
      <c r="N449" s="8">
        <f>IF(ISNA(MATCH(436,Engine!$C$2:$C$622,0)),"",INDEX('Compliance Database'!$N$2:$N$622,MATCH(436,Engine!$C$2:$C$622,0)))</f>
        <v/>
      </c>
      <c r="O449" s="8">
        <f>IF(ISNA(MATCH(436,Engine!$C$2:$C$622,0)),"",INDEX('Compliance Database'!$O$2:$O$622,MATCH(436,Engine!$C$2:$C$622,0)))</f>
        <v/>
      </c>
    </row>
    <row r="450">
      <c r="A450">
        <f>IF(ISNA(MATCH(437,Engine!$C$2:$C$622,0)),"",INDEX('Compliance Database'!$A$2:$A$622,MATCH(437,Engine!$C$2:$C$622,0)))</f>
        <v/>
      </c>
      <c r="B450">
        <f>IF(ISNA(MATCH(437,Engine!$C$2:$C$622,0)),"",INDEX('Compliance Database'!$B$2:$B$622,MATCH(437,Engine!$C$2:$C$622,0)))</f>
        <v/>
      </c>
      <c r="C450">
        <f>IF(ISNA(MATCH(437,Engine!$C$2:$C$622,0)),"",INDEX('Compliance Database'!$C$2:$C$622,MATCH(437,Engine!$C$2:$C$622,0)))</f>
        <v/>
      </c>
      <c r="D450" s="8">
        <f>IF(ISNA(MATCH(437,Engine!$C$2:$C$622,0)),"",INDEX('Compliance Database'!$D$2:$D$622,MATCH(437,Engine!$C$2:$C$622,0)))</f>
        <v/>
      </c>
      <c r="E450">
        <f>IF(ISNA(MATCH(437,Engine!$C$2:$C$622,0)),"",INDEX('Compliance Database'!$E$2:$E$622,MATCH(437,Engine!$C$2:$C$622,0)))</f>
        <v/>
      </c>
      <c r="F450">
        <f>IF(ISNA(MATCH(437,Engine!$C$2:$C$622,0)),"",INDEX('Compliance Database'!$F$2:$F$622,MATCH(437,Engine!$C$2:$C$622,0)))</f>
        <v/>
      </c>
      <c r="G450">
        <f>IF(ISNA(MATCH(437,Engine!$C$2:$C$622,0)),"",INDEX('Compliance Database'!$G$2:$G$622,MATCH(437,Engine!$C$2:$C$622,0)))</f>
        <v/>
      </c>
      <c r="H450">
        <f>IF(ISNA(MATCH(437,Engine!$C$2:$C$622,0)),"",INDEX('Compliance Database'!$H$2:$H$622,MATCH(437,Engine!$C$2:$C$622,0)))</f>
        <v/>
      </c>
      <c r="I450" s="8">
        <f>IF(ISNA(MATCH(437,Engine!$C$2:$C$622,0)),"",INDEX('Compliance Database'!$I$2:$I$622,MATCH(437,Engine!$C$2:$C$622,0)))</f>
        <v/>
      </c>
      <c r="J450" s="8">
        <f>IF(ISNA(MATCH(437,Engine!$C$2:$C$622,0)),"",INDEX('Compliance Database'!$J$2:$J$622,MATCH(437,Engine!$C$2:$C$622,0)))</f>
        <v/>
      </c>
      <c r="K450">
        <f>IF(ISNA(MATCH(437,Engine!$C$2:$C$622,0)),"",INDEX('Compliance Database'!$K$2:$K$622,MATCH(437,Engine!$C$2:$C$622,0)))</f>
        <v/>
      </c>
      <c r="L450" s="8">
        <f>IF(ISNA(MATCH(437,Engine!$C$2:$C$622,0)),"",INDEX('Compliance Database'!$L$2:$L$622,MATCH(437,Engine!$C$2:$C$622,0)))</f>
        <v/>
      </c>
      <c r="M450" s="8">
        <f>IF(ISNA(MATCH(437,Engine!$C$2:$C$622,0)),"",INDEX('Compliance Database'!$M$2:$M$622,MATCH(437,Engine!$C$2:$C$622,0)))</f>
        <v/>
      </c>
      <c r="N450" s="8">
        <f>IF(ISNA(MATCH(437,Engine!$C$2:$C$622,0)),"",INDEX('Compliance Database'!$N$2:$N$622,MATCH(437,Engine!$C$2:$C$622,0)))</f>
        <v/>
      </c>
      <c r="O450" s="8">
        <f>IF(ISNA(MATCH(437,Engine!$C$2:$C$622,0)),"",INDEX('Compliance Database'!$O$2:$O$622,MATCH(437,Engine!$C$2:$C$622,0)))</f>
        <v/>
      </c>
    </row>
    <row r="451">
      <c r="A451">
        <f>IF(ISNA(MATCH(438,Engine!$C$2:$C$622,0)),"",INDEX('Compliance Database'!$A$2:$A$622,MATCH(438,Engine!$C$2:$C$622,0)))</f>
        <v/>
      </c>
      <c r="B451">
        <f>IF(ISNA(MATCH(438,Engine!$C$2:$C$622,0)),"",INDEX('Compliance Database'!$B$2:$B$622,MATCH(438,Engine!$C$2:$C$622,0)))</f>
        <v/>
      </c>
      <c r="C451">
        <f>IF(ISNA(MATCH(438,Engine!$C$2:$C$622,0)),"",INDEX('Compliance Database'!$C$2:$C$622,MATCH(438,Engine!$C$2:$C$622,0)))</f>
        <v/>
      </c>
      <c r="D451" s="8">
        <f>IF(ISNA(MATCH(438,Engine!$C$2:$C$622,0)),"",INDEX('Compliance Database'!$D$2:$D$622,MATCH(438,Engine!$C$2:$C$622,0)))</f>
        <v/>
      </c>
      <c r="E451">
        <f>IF(ISNA(MATCH(438,Engine!$C$2:$C$622,0)),"",INDEX('Compliance Database'!$E$2:$E$622,MATCH(438,Engine!$C$2:$C$622,0)))</f>
        <v/>
      </c>
      <c r="F451">
        <f>IF(ISNA(MATCH(438,Engine!$C$2:$C$622,0)),"",INDEX('Compliance Database'!$F$2:$F$622,MATCH(438,Engine!$C$2:$C$622,0)))</f>
        <v/>
      </c>
      <c r="G451">
        <f>IF(ISNA(MATCH(438,Engine!$C$2:$C$622,0)),"",INDEX('Compliance Database'!$G$2:$G$622,MATCH(438,Engine!$C$2:$C$622,0)))</f>
        <v/>
      </c>
      <c r="H451">
        <f>IF(ISNA(MATCH(438,Engine!$C$2:$C$622,0)),"",INDEX('Compliance Database'!$H$2:$H$622,MATCH(438,Engine!$C$2:$C$622,0)))</f>
        <v/>
      </c>
      <c r="I451" s="8">
        <f>IF(ISNA(MATCH(438,Engine!$C$2:$C$622,0)),"",INDEX('Compliance Database'!$I$2:$I$622,MATCH(438,Engine!$C$2:$C$622,0)))</f>
        <v/>
      </c>
      <c r="J451" s="8">
        <f>IF(ISNA(MATCH(438,Engine!$C$2:$C$622,0)),"",INDEX('Compliance Database'!$J$2:$J$622,MATCH(438,Engine!$C$2:$C$622,0)))</f>
        <v/>
      </c>
      <c r="K451">
        <f>IF(ISNA(MATCH(438,Engine!$C$2:$C$622,0)),"",INDEX('Compliance Database'!$K$2:$K$622,MATCH(438,Engine!$C$2:$C$622,0)))</f>
        <v/>
      </c>
      <c r="L451" s="8">
        <f>IF(ISNA(MATCH(438,Engine!$C$2:$C$622,0)),"",INDEX('Compliance Database'!$L$2:$L$622,MATCH(438,Engine!$C$2:$C$622,0)))</f>
        <v/>
      </c>
      <c r="M451" s="8">
        <f>IF(ISNA(MATCH(438,Engine!$C$2:$C$622,0)),"",INDEX('Compliance Database'!$M$2:$M$622,MATCH(438,Engine!$C$2:$C$622,0)))</f>
        <v/>
      </c>
      <c r="N451" s="8">
        <f>IF(ISNA(MATCH(438,Engine!$C$2:$C$622,0)),"",INDEX('Compliance Database'!$N$2:$N$622,MATCH(438,Engine!$C$2:$C$622,0)))</f>
        <v/>
      </c>
      <c r="O451" s="8">
        <f>IF(ISNA(MATCH(438,Engine!$C$2:$C$622,0)),"",INDEX('Compliance Database'!$O$2:$O$622,MATCH(438,Engine!$C$2:$C$622,0)))</f>
        <v/>
      </c>
    </row>
    <row r="452">
      <c r="A452">
        <f>IF(ISNA(MATCH(439,Engine!$C$2:$C$622,0)),"",INDEX('Compliance Database'!$A$2:$A$622,MATCH(439,Engine!$C$2:$C$622,0)))</f>
        <v/>
      </c>
      <c r="B452">
        <f>IF(ISNA(MATCH(439,Engine!$C$2:$C$622,0)),"",INDEX('Compliance Database'!$B$2:$B$622,MATCH(439,Engine!$C$2:$C$622,0)))</f>
        <v/>
      </c>
      <c r="C452">
        <f>IF(ISNA(MATCH(439,Engine!$C$2:$C$622,0)),"",INDEX('Compliance Database'!$C$2:$C$622,MATCH(439,Engine!$C$2:$C$622,0)))</f>
        <v/>
      </c>
      <c r="D452" s="8">
        <f>IF(ISNA(MATCH(439,Engine!$C$2:$C$622,0)),"",INDEX('Compliance Database'!$D$2:$D$622,MATCH(439,Engine!$C$2:$C$622,0)))</f>
        <v/>
      </c>
      <c r="E452">
        <f>IF(ISNA(MATCH(439,Engine!$C$2:$C$622,0)),"",INDEX('Compliance Database'!$E$2:$E$622,MATCH(439,Engine!$C$2:$C$622,0)))</f>
        <v/>
      </c>
      <c r="F452">
        <f>IF(ISNA(MATCH(439,Engine!$C$2:$C$622,0)),"",INDEX('Compliance Database'!$F$2:$F$622,MATCH(439,Engine!$C$2:$C$622,0)))</f>
        <v/>
      </c>
      <c r="G452">
        <f>IF(ISNA(MATCH(439,Engine!$C$2:$C$622,0)),"",INDEX('Compliance Database'!$G$2:$G$622,MATCH(439,Engine!$C$2:$C$622,0)))</f>
        <v/>
      </c>
      <c r="H452">
        <f>IF(ISNA(MATCH(439,Engine!$C$2:$C$622,0)),"",INDEX('Compliance Database'!$H$2:$H$622,MATCH(439,Engine!$C$2:$C$622,0)))</f>
        <v/>
      </c>
      <c r="I452" s="8">
        <f>IF(ISNA(MATCH(439,Engine!$C$2:$C$622,0)),"",INDEX('Compliance Database'!$I$2:$I$622,MATCH(439,Engine!$C$2:$C$622,0)))</f>
        <v/>
      </c>
      <c r="J452" s="8">
        <f>IF(ISNA(MATCH(439,Engine!$C$2:$C$622,0)),"",INDEX('Compliance Database'!$J$2:$J$622,MATCH(439,Engine!$C$2:$C$622,0)))</f>
        <v/>
      </c>
      <c r="K452">
        <f>IF(ISNA(MATCH(439,Engine!$C$2:$C$622,0)),"",INDEX('Compliance Database'!$K$2:$K$622,MATCH(439,Engine!$C$2:$C$622,0)))</f>
        <v/>
      </c>
      <c r="L452" s="8">
        <f>IF(ISNA(MATCH(439,Engine!$C$2:$C$622,0)),"",INDEX('Compliance Database'!$L$2:$L$622,MATCH(439,Engine!$C$2:$C$622,0)))</f>
        <v/>
      </c>
      <c r="M452" s="8">
        <f>IF(ISNA(MATCH(439,Engine!$C$2:$C$622,0)),"",INDEX('Compliance Database'!$M$2:$M$622,MATCH(439,Engine!$C$2:$C$622,0)))</f>
        <v/>
      </c>
      <c r="N452" s="8">
        <f>IF(ISNA(MATCH(439,Engine!$C$2:$C$622,0)),"",INDEX('Compliance Database'!$N$2:$N$622,MATCH(439,Engine!$C$2:$C$622,0)))</f>
        <v/>
      </c>
      <c r="O452" s="8">
        <f>IF(ISNA(MATCH(439,Engine!$C$2:$C$622,0)),"",INDEX('Compliance Database'!$O$2:$O$622,MATCH(439,Engine!$C$2:$C$622,0)))</f>
        <v/>
      </c>
    </row>
    <row r="453">
      <c r="A453">
        <f>IF(ISNA(MATCH(440,Engine!$C$2:$C$622,0)),"",INDEX('Compliance Database'!$A$2:$A$622,MATCH(440,Engine!$C$2:$C$622,0)))</f>
        <v/>
      </c>
      <c r="B453">
        <f>IF(ISNA(MATCH(440,Engine!$C$2:$C$622,0)),"",INDEX('Compliance Database'!$B$2:$B$622,MATCH(440,Engine!$C$2:$C$622,0)))</f>
        <v/>
      </c>
      <c r="C453">
        <f>IF(ISNA(MATCH(440,Engine!$C$2:$C$622,0)),"",INDEX('Compliance Database'!$C$2:$C$622,MATCH(440,Engine!$C$2:$C$622,0)))</f>
        <v/>
      </c>
      <c r="D453" s="8">
        <f>IF(ISNA(MATCH(440,Engine!$C$2:$C$622,0)),"",INDEX('Compliance Database'!$D$2:$D$622,MATCH(440,Engine!$C$2:$C$622,0)))</f>
        <v/>
      </c>
      <c r="E453">
        <f>IF(ISNA(MATCH(440,Engine!$C$2:$C$622,0)),"",INDEX('Compliance Database'!$E$2:$E$622,MATCH(440,Engine!$C$2:$C$622,0)))</f>
        <v/>
      </c>
      <c r="F453">
        <f>IF(ISNA(MATCH(440,Engine!$C$2:$C$622,0)),"",INDEX('Compliance Database'!$F$2:$F$622,MATCH(440,Engine!$C$2:$C$622,0)))</f>
        <v/>
      </c>
      <c r="G453">
        <f>IF(ISNA(MATCH(440,Engine!$C$2:$C$622,0)),"",INDEX('Compliance Database'!$G$2:$G$622,MATCH(440,Engine!$C$2:$C$622,0)))</f>
        <v/>
      </c>
      <c r="H453">
        <f>IF(ISNA(MATCH(440,Engine!$C$2:$C$622,0)),"",INDEX('Compliance Database'!$H$2:$H$622,MATCH(440,Engine!$C$2:$C$622,0)))</f>
        <v/>
      </c>
      <c r="I453" s="8">
        <f>IF(ISNA(MATCH(440,Engine!$C$2:$C$622,0)),"",INDEX('Compliance Database'!$I$2:$I$622,MATCH(440,Engine!$C$2:$C$622,0)))</f>
        <v/>
      </c>
      <c r="J453" s="8">
        <f>IF(ISNA(MATCH(440,Engine!$C$2:$C$622,0)),"",INDEX('Compliance Database'!$J$2:$J$622,MATCH(440,Engine!$C$2:$C$622,0)))</f>
        <v/>
      </c>
      <c r="K453">
        <f>IF(ISNA(MATCH(440,Engine!$C$2:$C$622,0)),"",INDEX('Compliance Database'!$K$2:$K$622,MATCH(440,Engine!$C$2:$C$622,0)))</f>
        <v/>
      </c>
      <c r="L453" s="8">
        <f>IF(ISNA(MATCH(440,Engine!$C$2:$C$622,0)),"",INDEX('Compliance Database'!$L$2:$L$622,MATCH(440,Engine!$C$2:$C$622,0)))</f>
        <v/>
      </c>
      <c r="M453" s="8">
        <f>IF(ISNA(MATCH(440,Engine!$C$2:$C$622,0)),"",INDEX('Compliance Database'!$M$2:$M$622,MATCH(440,Engine!$C$2:$C$622,0)))</f>
        <v/>
      </c>
      <c r="N453" s="8">
        <f>IF(ISNA(MATCH(440,Engine!$C$2:$C$622,0)),"",INDEX('Compliance Database'!$N$2:$N$622,MATCH(440,Engine!$C$2:$C$622,0)))</f>
        <v/>
      </c>
      <c r="O453" s="8">
        <f>IF(ISNA(MATCH(440,Engine!$C$2:$C$622,0)),"",INDEX('Compliance Database'!$O$2:$O$622,MATCH(440,Engine!$C$2:$C$622,0)))</f>
        <v/>
      </c>
    </row>
    <row r="454">
      <c r="A454">
        <f>IF(ISNA(MATCH(441,Engine!$C$2:$C$622,0)),"",INDEX('Compliance Database'!$A$2:$A$622,MATCH(441,Engine!$C$2:$C$622,0)))</f>
        <v/>
      </c>
      <c r="B454">
        <f>IF(ISNA(MATCH(441,Engine!$C$2:$C$622,0)),"",INDEX('Compliance Database'!$B$2:$B$622,MATCH(441,Engine!$C$2:$C$622,0)))</f>
        <v/>
      </c>
      <c r="C454">
        <f>IF(ISNA(MATCH(441,Engine!$C$2:$C$622,0)),"",INDEX('Compliance Database'!$C$2:$C$622,MATCH(441,Engine!$C$2:$C$622,0)))</f>
        <v/>
      </c>
      <c r="D454" s="8">
        <f>IF(ISNA(MATCH(441,Engine!$C$2:$C$622,0)),"",INDEX('Compliance Database'!$D$2:$D$622,MATCH(441,Engine!$C$2:$C$622,0)))</f>
        <v/>
      </c>
      <c r="E454">
        <f>IF(ISNA(MATCH(441,Engine!$C$2:$C$622,0)),"",INDEX('Compliance Database'!$E$2:$E$622,MATCH(441,Engine!$C$2:$C$622,0)))</f>
        <v/>
      </c>
      <c r="F454">
        <f>IF(ISNA(MATCH(441,Engine!$C$2:$C$622,0)),"",INDEX('Compliance Database'!$F$2:$F$622,MATCH(441,Engine!$C$2:$C$622,0)))</f>
        <v/>
      </c>
      <c r="G454">
        <f>IF(ISNA(MATCH(441,Engine!$C$2:$C$622,0)),"",INDEX('Compliance Database'!$G$2:$G$622,MATCH(441,Engine!$C$2:$C$622,0)))</f>
        <v/>
      </c>
      <c r="H454">
        <f>IF(ISNA(MATCH(441,Engine!$C$2:$C$622,0)),"",INDEX('Compliance Database'!$H$2:$H$622,MATCH(441,Engine!$C$2:$C$622,0)))</f>
        <v/>
      </c>
      <c r="I454" s="8">
        <f>IF(ISNA(MATCH(441,Engine!$C$2:$C$622,0)),"",INDEX('Compliance Database'!$I$2:$I$622,MATCH(441,Engine!$C$2:$C$622,0)))</f>
        <v/>
      </c>
      <c r="J454" s="8">
        <f>IF(ISNA(MATCH(441,Engine!$C$2:$C$622,0)),"",INDEX('Compliance Database'!$J$2:$J$622,MATCH(441,Engine!$C$2:$C$622,0)))</f>
        <v/>
      </c>
      <c r="K454">
        <f>IF(ISNA(MATCH(441,Engine!$C$2:$C$622,0)),"",INDEX('Compliance Database'!$K$2:$K$622,MATCH(441,Engine!$C$2:$C$622,0)))</f>
        <v/>
      </c>
      <c r="L454" s="8">
        <f>IF(ISNA(MATCH(441,Engine!$C$2:$C$622,0)),"",INDEX('Compliance Database'!$L$2:$L$622,MATCH(441,Engine!$C$2:$C$622,0)))</f>
        <v/>
      </c>
      <c r="M454" s="8">
        <f>IF(ISNA(MATCH(441,Engine!$C$2:$C$622,0)),"",INDEX('Compliance Database'!$M$2:$M$622,MATCH(441,Engine!$C$2:$C$622,0)))</f>
        <v/>
      </c>
      <c r="N454" s="8">
        <f>IF(ISNA(MATCH(441,Engine!$C$2:$C$622,0)),"",INDEX('Compliance Database'!$N$2:$N$622,MATCH(441,Engine!$C$2:$C$622,0)))</f>
        <v/>
      </c>
      <c r="O454" s="8">
        <f>IF(ISNA(MATCH(441,Engine!$C$2:$C$622,0)),"",INDEX('Compliance Database'!$O$2:$O$622,MATCH(441,Engine!$C$2:$C$622,0)))</f>
        <v/>
      </c>
    </row>
    <row r="455">
      <c r="A455">
        <f>IF(ISNA(MATCH(442,Engine!$C$2:$C$622,0)),"",INDEX('Compliance Database'!$A$2:$A$622,MATCH(442,Engine!$C$2:$C$622,0)))</f>
        <v/>
      </c>
      <c r="B455">
        <f>IF(ISNA(MATCH(442,Engine!$C$2:$C$622,0)),"",INDEX('Compliance Database'!$B$2:$B$622,MATCH(442,Engine!$C$2:$C$622,0)))</f>
        <v/>
      </c>
      <c r="C455">
        <f>IF(ISNA(MATCH(442,Engine!$C$2:$C$622,0)),"",INDEX('Compliance Database'!$C$2:$C$622,MATCH(442,Engine!$C$2:$C$622,0)))</f>
        <v/>
      </c>
      <c r="D455" s="8">
        <f>IF(ISNA(MATCH(442,Engine!$C$2:$C$622,0)),"",INDEX('Compliance Database'!$D$2:$D$622,MATCH(442,Engine!$C$2:$C$622,0)))</f>
        <v/>
      </c>
      <c r="E455">
        <f>IF(ISNA(MATCH(442,Engine!$C$2:$C$622,0)),"",INDEX('Compliance Database'!$E$2:$E$622,MATCH(442,Engine!$C$2:$C$622,0)))</f>
        <v/>
      </c>
      <c r="F455">
        <f>IF(ISNA(MATCH(442,Engine!$C$2:$C$622,0)),"",INDEX('Compliance Database'!$F$2:$F$622,MATCH(442,Engine!$C$2:$C$622,0)))</f>
        <v/>
      </c>
      <c r="G455">
        <f>IF(ISNA(MATCH(442,Engine!$C$2:$C$622,0)),"",INDEX('Compliance Database'!$G$2:$G$622,MATCH(442,Engine!$C$2:$C$622,0)))</f>
        <v/>
      </c>
      <c r="H455">
        <f>IF(ISNA(MATCH(442,Engine!$C$2:$C$622,0)),"",INDEX('Compliance Database'!$H$2:$H$622,MATCH(442,Engine!$C$2:$C$622,0)))</f>
        <v/>
      </c>
      <c r="I455" s="8">
        <f>IF(ISNA(MATCH(442,Engine!$C$2:$C$622,0)),"",INDEX('Compliance Database'!$I$2:$I$622,MATCH(442,Engine!$C$2:$C$622,0)))</f>
        <v/>
      </c>
      <c r="J455" s="8">
        <f>IF(ISNA(MATCH(442,Engine!$C$2:$C$622,0)),"",INDEX('Compliance Database'!$J$2:$J$622,MATCH(442,Engine!$C$2:$C$622,0)))</f>
        <v/>
      </c>
      <c r="K455">
        <f>IF(ISNA(MATCH(442,Engine!$C$2:$C$622,0)),"",INDEX('Compliance Database'!$K$2:$K$622,MATCH(442,Engine!$C$2:$C$622,0)))</f>
        <v/>
      </c>
      <c r="L455" s="8">
        <f>IF(ISNA(MATCH(442,Engine!$C$2:$C$622,0)),"",INDEX('Compliance Database'!$L$2:$L$622,MATCH(442,Engine!$C$2:$C$622,0)))</f>
        <v/>
      </c>
      <c r="M455" s="8">
        <f>IF(ISNA(MATCH(442,Engine!$C$2:$C$622,0)),"",INDEX('Compliance Database'!$M$2:$M$622,MATCH(442,Engine!$C$2:$C$622,0)))</f>
        <v/>
      </c>
      <c r="N455" s="8">
        <f>IF(ISNA(MATCH(442,Engine!$C$2:$C$622,0)),"",INDEX('Compliance Database'!$N$2:$N$622,MATCH(442,Engine!$C$2:$C$622,0)))</f>
        <v/>
      </c>
      <c r="O455" s="8">
        <f>IF(ISNA(MATCH(442,Engine!$C$2:$C$622,0)),"",INDEX('Compliance Database'!$O$2:$O$622,MATCH(442,Engine!$C$2:$C$622,0)))</f>
        <v/>
      </c>
    </row>
    <row r="456">
      <c r="A456">
        <f>IF(ISNA(MATCH(443,Engine!$C$2:$C$622,0)),"",INDEX('Compliance Database'!$A$2:$A$622,MATCH(443,Engine!$C$2:$C$622,0)))</f>
        <v/>
      </c>
      <c r="B456">
        <f>IF(ISNA(MATCH(443,Engine!$C$2:$C$622,0)),"",INDEX('Compliance Database'!$B$2:$B$622,MATCH(443,Engine!$C$2:$C$622,0)))</f>
        <v/>
      </c>
      <c r="C456">
        <f>IF(ISNA(MATCH(443,Engine!$C$2:$C$622,0)),"",INDEX('Compliance Database'!$C$2:$C$622,MATCH(443,Engine!$C$2:$C$622,0)))</f>
        <v/>
      </c>
      <c r="D456" s="8">
        <f>IF(ISNA(MATCH(443,Engine!$C$2:$C$622,0)),"",INDEX('Compliance Database'!$D$2:$D$622,MATCH(443,Engine!$C$2:$C$622,0)))</f>
        <v/>
      </c>
      <c r="E456">
        <f>IF(ISNA(MATCH(443,Engine!$C$2:$C$622,0)),"",INDEX('Compliance Database'!$E$2:$E$622,MATCH(443,Engine!$C$2:$C$622,0)))</f>
        <v/>
      </c>
      <c r="F456">
        <f>IF(ISNA(MATCH(443,Engine!$C$2:$C$622,0)),"",INDEX('Compliance Database'!$F$2:$F$622,MATCH(443,Engine!$C$2:$C$622,0)))</f>
        <v/>
      </c>
      <c r="G456">
        <f>IF(ISNA(MATCH(443,Engine!$C$2:$C$622,0)),"",INDEX('Compliance Database'!$G$2:$G$622,MATCH(443,Engine!$C$2:$C$622,0)))</f>
        <v/>
      </c>
      <c r="H456">
        <f>IF(ISNA(MATCH(443,Engine!$C$2:$C$622,0)),"",INDEX('Compliance Database'!$H$2:$H$622,MATCH(443,Engine!$C$2:$C$622,0)))</f>
        <v/>
      </c>
      <c r="I456" s="8">
        <f>IF(ISNA(MATCH(443,Engine!$C$2:$C$622,0)),"",INDEX('Compliance Database'!$I$2:$I$622,MATCH(443,Engine!$C$2:$C$622,0)))</f>
        <v/>
      </c>
      <c r="J456" s="8">
        <f>IF(ISNA(MATCH(443,Engine!$C$2:$C$622,0)),"",INDEX('Compliance Database'!$J$2:$J$622,MATCH(443,Engine!$C$2:$C$622,0)))</f>
        <v/>
      </c>
      <c r="K456">
        <f>IF(ISNA(MATCH(443,Engine!$C$2:$C$622,0)),"",INDEX('Compliance Database'!$K$2:$K$622,MATCH(443,Engine!$C$2:$C$622,0)))</f>
        <v/>
      </c>
      <c r="L456" s="8">
        <f>IF(ISNA(MATCH(443,Engine!$C$2:$C$622,0)),"",INDEX('Compliance Database'!$L$2:$L$622,MATCH(443,Engine!$C$2:$C$622,0)))</f>
        <v/>
      </c>
      <c r="M456" s="8">
        <f>IF(ISNA(MATCH(443,Engine!$C$2:$C$622,0)),"",INDEX('Compliance Database'!$M$2:$M$622,MATCH(443,Engine!$C$2:$C$622,0)))</f>
        <v/>
      </c>
      <c r="N456" s="8">
        <f>IF(ISNA(MATCH(443,Engine!$C$2:$C$622,0)),"",INDEX('Compliance Database'!$N$2:$N$622,MATCH(443,Engine!$C$2:$C$622,0)))</f>
        <v/>
      </c>
      <c r="O456" s="8">
        <f>IF(ISNA(MATCH(443,Engine!$C$2:$C$622,0)),"",INDEX('Compliance Database'!$O$2:$O$622,MATCH(443,Engine!$C$2:$C$622,0)))</f>
        <v/>
      </c>
    </row>
    <row r="457">
      <c r="A457">
        <f>IF(ISNA(MATCH(444,Engine!$C$2:$C$622,0)),"",INDEX('Compliance Database'!$A$2:$A$622,MATCH(444,Engine!$C$2:$C$622,0)))</f>
        <v/>
      </c>
      <c r="B457">
        <f>IF(ISNA(MATCH(444,Engine!$C$2:$C$622,0)),"",INDEX('Compliance Database'!$B$2:$B$622,MATCH(444,Engine!$C$2:$C$622,0)))</f>
        <v/>
      </c>
      <c r="C457">
        <f>IF(ISNA(MATCH(444,Engine!$C$2:$C$622,0)),"",INDEX('Compliance Database'!$C$2:$C$622,MATCH(444,Engine!$C$2:$C$622,0)))</f>
        <v/>
      </c>
      <c r="D457" s="8">
        <f>IF(ISNA(MATCH(444,Engine!$C$2:$C$622,0)),"",INDEX('Compliance Database'!$D$2:$D$622,MATCH(444,Engine!$C$2:$C$622,0)))</f>
        <v/>
      </c>
      <c r="E457">
        <f>IF(ISNA(MATCH(444,Engine!$C$2:$C$622,0)),"",INDEX('Compliance Database'!$E$2:$E$622,MATCH(444,Engine!$C$2:$C$622,0)))</f>
        <v/>
      </c>
      <c r="F457">
        <f>IF(ISNA(MATCH(444,Engine!$C$2:$C$622,0)),"",INDEX('Compliance Database'!$F$2:$F$622,MATCH(444,Engine!$C$2:$C$622,0)))</f>
        <v/>
      </c>
      <c r="G457">
        <f>IF(ISNA(MATCH(444,Engine!$C$2:$C$622,0)),"",INDEX('Compliance Database'!$G$2:$G$622,MATCH(444,Engine!$C$2:$C$622,0)))</f>
        <v/>
      </c>
      <c r="H457">
        <f>IF(ISNA(MATCH(444,Engine!$C$2:$C$622,0)),"",INDEX('Compliance Database'!$H$2:$H$622,MATCH(444,Engine!$C$2:$C$622,0)))</f>
        <v/>
      </c>
      <c r="I457" s="8">
        <f>IF(ISNA(MATCH(444,Engine!$C$2:$C$622,0)),"",INDEX('Compliance Database'!$I$2:$I$622,MATCH(444,Engine!$C$2:$C$622,0)))</f>
        <v/>
      </c>
      <c r="J457" s="8">
        <f>IF(ISNA(MATCH(444,Engine!$C$2:$C$622,0)),"",INDEX('Compliance Database'!$J$2:$J$622,MATCH(444,Engine!$C$2:$C$622,0)))</f>
        <v/>
      </c>
      <c r="K457">
        <f>IF(ISNA(MATCH(444,Engine!$C$2:$C$622,0)),"",INDEX('Compliance Database'!$K$2:$K$622,MATCH(444,Engine!$C$2:$C$622,0)))</f>
        <v/>
      </c>
      <c r="L457" s="8">
        <f>IF(ISNA(MATCH(444,Engine!$C$2:$C$622,0)),"",INDEX('Compliance Database'!$L$2:$L$622,MATCH(444,Engine!$C$2:$C$622,0)))</f>
        <v/>
      </c>
      <c r="M457" s="8">
        <f>IF(ISNA(MATCH(444,Engine!$C$2:$C$622,0)),"",INDEX('Compliance Database'!$M$2:$M$622,MATCH(444,Engine!$C$2:$C$622,0)))</f>
        <v/>
      </c>
      <c r="N457" s="8">
        <f>IF(ISNA(MATCH(444,Engine!$C$2:$C$622,0)),"",INDEX('Compliance Database'!$N$2:$N$622,MATCH(444,Engine!$C$2:$C$622,0)))</f>
        <v/>
      </c>
      <c r="O457" s="8">
        <f>IF(ISNA(MATCH(444,Engine!$C$2:$C$622,0)),"",INDEX('Compliance Database'!$O$2:$O$622,MATCH(444,Engine!$C$2:$C$622,0)))</f>
        <v/>
      </c>
    </row>
    <row r="458">
      <c r="A458">
        <f>IF(ISNA(MATCH(445,Engine!$C$2:$C$622,0)),"",INDEX('Compliance Database'!$A$2:$A$622,MATCH(445,Engine!$C$2:$C$622,0)))</f>
        <v/>
      </c>
      <c r="B458">
        <f>IF(ISNA(MATCH(445,Engine!$C$2:$C$622,0)),"",INDEX('Compliance Database'!$B$2:$B$622,MATCH(445,Engine!$C$2:$C$622,0)))</f>
        <v/>
      </c>
      <c r="C458">
        <f>IF(ISNA(MATCH(445,Engine!$C$2:$C$622,0)),"",INDEX('Compliance Database'!$C$2:$C$622,MATCH(445,Engine!$C$2:$C$622,0)))</f>
        <v/>
      </c>
      <c r="D458" s="8">
        <f>IF(ISNA(MATCH(445,Engine!$C$2:$C$622,0)),"",INDEX('Compliance Database'!$D$2:$D$622,MATCH(445,Engine!$C$2:$C$622,0)))</f>
        <v/>
      </c>
      <c r="E458">
        <f>IF(ISNA(MATCH(445,Engine!$C$2:$C$622,0)),"",INDEX('Compliance Database'!$E$2:$E$622,MATCH(445,Engine!$C$2:$C$622,0)))</f>
        <v/>
      </c>
      <c r="F458">
        <f>IF(ISNA(MATCH(445,Engine!$C$2:$C$622,0)),"",INDEX('Compliance Database'!$F$2:$F$622,MATCH(445,Engine!$C$2:$C$622,0)))</f>
        <v/>
      </c>
      <c r="G458">
        <f>IF(ISNA(MATCH(445,Engine!$C$2:$C$622,0)),"",INDEX('Compliance Database'!$G$2:$G$622,MATCH(445,Engine!$C$2:$C$622,0)))</f>
        <v/>
      </c>
      <c r="H458">
        <f>IF(ISNA(MATCH(445,Engine!$C$2:$C$622,0)),"",INDEX('Compliance Database'!$H$2:$H$622,MATCH(445,Engine!$C$2:$C$622,0)))</f>
        <v/>
      </c>
      <c r="I458" s="8">
        <f>IF(ISNA(MATCH(445,Engine!$C$2:$C$622,0)),"",INDEX('Compliance Database'!$I$2:$I$622,MATCH(445,Engine!$C$2:$C$622,0)))</f>
        <v/>
      </c>
      <c r="J458" s="8">
        <f>IF(ISNA(MATCH(445,Engine!$C$2:$C$622,0)),"",INDEX('Compliance Database'!$J$2:$J$622,MATCH(445,Engine!$C$2:$C$622,0)))</f>
        <v/>
      </c>
      <c r="K458">
        <f>IF(ISNA(MATCH(445,Engine!$C$2:$C$622,0)),"",INDEX('Compliance Database'!$K$2:$K$622,MATCH(445,Engine!$C$2:$C$622,0)))</f>
        <v/>
      </c>
      <c r="L458" s="8">
        <f>IF(ISNA(MATCH(445,Engine!$C$2:$C$622,0)),"",INDEX('Compliance Database'!$L$2:$L$622,MATCH(445,Engine!$C$2:$C$622,0)))</f>
        <v/>
      </c>
      <c r="M458" s="8">
        <f>IF(ISNA(MATCH(445,Engine!$C$2:$C$622,0)),"",INDEX('Compliance Database'!$M$2:$M$622,MATCH(445,Engine!$C$2:$C$622,0)))</f>
        <v/>
      </c>
      <c r="N458" s="8">
        <f>IF(ISNA(MATCH(445,Engine!$C$2:$C$622,0)),"",INDEX('Compliance Database'!$N$2:$N$622,MATCH(445,Engine!$C$2:$C$622,0)))</f>
        <v/>
      </c>
      <c r="O458" s="8">
        <f>IF(ISNA(MATCH(445,Engine!$C$2:$C$622,0)),"",INDEX('Compliance Database'!$O$2:$O$622,MATCH(445,Engine!$C$2:$C$622,0)))</f>
        <v/>
      </c>
    </row>
    <row r="459">
      <c r="A459">
        <f>IF(ISNA(MATCH(446,Engine!$C$2:$C$622,0)),"",INDEX('Compliance Database'!$A$2:$A$622,MATCH(446,Engine!$C$2:$C$622,0)))</f>
        <v/>
      </c>
      <c r="B459">
        <f>IF(ISNA(MATCH(446,Engine!$C$2:$C$622,0)),"",INDEX('Compliance Database'!$B$2:$B$622,MATCH(446,Engine!$C$2:$C$622,0)))</f>
        <v/>
      </c>
      <c r="C459">
        <f>IF(ISNA(MATCH(446,Engine!$C$2:$C$622,0)),"",INDEX('Compliance Database'!$C$2:$C$622,MATCH(446,Engine!$C$2:$C$622,0)))</f>
        <v/>
      </c>
      <c r="D459" s="8">
        <f>IF(ISNA(MATCH(446,Engine!$C$2:$C$622,0)),"",INDEX('Compliance Database'!$D$2:$D$622,MATCH(446,Engine!$C$2:$C$622,0)))</f>
        <v/>
      </c>
      <c r="E459">
        <f>IF(ISNA(MATCH(446,Engine!$C$2:$C$622,0)),"",INDEX('Compliance Database'!$E$2:$E$622,MATCH(446,Engine!$C$2:$C$622,0)))</f>
        <v/>
      </c>
      <c r="F459">
        <f>IF(ISNA(MATCH(446,Engine!$C$2:$C$622,0)),"",INDEX('Compliance Database'!$F$2:$F$622,MATCH(446,Engine!$C$2:$C$622,0)))</f>
        <v/>
      </c>
      <c r="G459">
        <f>IF(ISNA(MATCH(446,Engine!$C$2:$C$622,0)),"",INDEX('Compliance Database'!$G$2:$G$622,MATCH(446,Engine!$C$2:$C$622,0)))</f>
        <v/>
      </c>
      <c r="H459">
        <f>IF(ISNA(MATCH(446,Engine!$C$2:$C$622,0)),"",INDEX('Compliance Database'!$H$2:$H$622,MATCH(446,Engine!$C$2:$C$622,0)))</f>
        <v/>
      </c>
      <c r="I459" s="8">
        <f>IF(ISNA(MATCH(446,Engine!$C$2:$C$622,0)),"",INDEX('Compliance Database'!$I$2:$I$622,MATCH(446,Engine!$C$2:$C$622,0)))</f>
        <v/>
      </c>
      <c r="J459" s="8">
        <f>IF(ISNA(MATCH(446,Engine!$C$2:$C$622,0)),"",INDEX('Compliance Database'!$J$2:$J$622,MATCH(446,Engine!$C$2:$C$622,0)))</f>
        <v/>
      </c>
      <c r="K459">
        <f>IF(ISNA(MATCH(446,Engine!$C$2:$C$622,0)),"",INDEX('Compliance Database'!$K$2:$K$622,MATCH(446,Engine!$C$2:$C$622,0)))</f>
        <v/>
      </c>
      <c r="L459" s="8">
        <f>IF(ISNA(MATCH(446,Engine!$C$2:$C$622,0)),"",INDEX('Compliance Database'!$L$2:$L$622,MATCH(446,Engine!$C$2:$C$622,0)))</f>
        <v/>
      </c>
      <c r="M459" s="8">
        <f>IF(ISNA(MATCH(446,Engine!$C$2:$C$622,0)),"",INDEX('Compliance Database'!$M$2:$M$622,MATCH(446,Engine!$C$2:$C$622,0)))</f>
        <v/>
      </c>
      <c r="N459" s="8">
        <f>IF(ISNA(MATCH(446,Engine!$C$2:$C$622,0)),"",INDEX('Compliance Database'!$N$2:$N$622,MATCH(446,Engine!$C$2:$C$622,0)))</f>
        <v/>
      </c>
      <c r="O459" s="8">
        <f>IF(ISNA(MATCH(446,Engine!$C$2:$C$622,0)),"",INDEX('Compliance Database'!$O$2:$O$622,MATCH(446,Engine!$C$2:$C$622,0)))</f>
        <v/>
      </c>
    </row>
    <row r="460">
      <c r="A460">
        <f>IF(ISNA(MATCH(447,Engine!$C$2:$C$622,0)),"",INDEX('Compliance Database'!$A$2:$A$622,MATCH(447,Engine!$C$2:$C$622,0)))</f>
        <v/>
      </c>
      <c r="B460">
        <f>IF(ISNA(MATCH(447,Engine!$C$2:$C$622,0)),"",INDEX('Compliance Database'!$B$2:$B$622,MATCH(447,Engine!$C$2:$C$622,0)))</f>
        <v/>
      </c>
      <c r="C460">
        <f>IF(ISNA(MATCH(447,Engine!$C$2:$C$622,0)),"",INDEX('Compliance Database'!$C$2:$C$622,MATCH(447,Engine!$C$2:$C$622,0)))</f>
        <v/>
      </c>
      <c r="D460" s="8">
        <f>IF(ISNA(MATCH(447,Engine!$C$2:$C$622,0)),"",INDEX('Compliance Database'!$D$2:$D$622,MATCH(447,Engine!$C$2:$C$622,0)))</f>
        <v/>
      </c>
      <c r="E460">
        <f>IF(ISNA(MATCH(447,Engine!$C$2:$C$622,0)),"",INDEX('Compliance Database'!$E$2:$E$622,MATCH(447,Engine!$C$2:$C$622,0)))</f>
        <v/>
      </c>
      <c r="F460">
        <f>IF(ISNA(MATCH(447,Engine!$C$2:$C$622,0)),"",INDEX('Compliance Database'!$F$2:$F$622,MATCH(447,Engine!$C$2:$C$622,0)))</f>
        <v/>
      </c>
      <c r="G460">
        <f>IF(ISNA(MATCH(447,Engine!$C$2:$C$622,0)),"",INDEX('Compliance Database'!$G$2:$G$622,MATCH(447,Engine!$C$2:$C$622,0)))</f>
        <v/>
      </c>
      <c r="H460">
        <f>IF(ISNA(MATCH(447,Engine!$C$2:$C$622,0)),"",INDEX('Compliance Database'!$H$2:$H$622,MATCH(447,Engine!$C$2:$C$622,0)))</f>
        <v/>
      </c>
      <c r="I460" s="8">
        <f>IF(ISNA(MATCH(447,Engine!$C$2:$C$622,0)),"",INDEX('Compliance Database'!$I$2:$I$622,MATCH(447,Engine!$C$2:$C$622,0)))</f>
        <v/>
      </c>
      <c r="J460" s="8">
        <f>IF(ISNA(MATCH(447,Engine!$C$2:$C$622,0)),"",INDEX('Compliance Database'!$J$2:$J$622,MATCH(447,Engine!$C$2:$C$622,0)))</f>
        <v/>
      </c>
      <c r="K460">
        <f>IF(ISNA(MATCH(447,Engine!$C$2:$C$622,0)),"",INDEX('Compliance Database'!$K$2:$K$622,MATCH(447,Engine!$C$2:$C$622,0)))</f>
        <v/>
      </c>
      <c r="L460" s="8">
        <f>IF(ISNA(MATCH(447,Engine!$C$2:$C$622,0)),"",INDEX('Compliance Database'!$L$2:$L$622,MATCH(447,Engine!$C$2:$C$622,0)))</f>
        <v/>
      </c>
      <c r="M460" s="8">
        <f>IF(ISNA(MATCH(447,Engine!$C$2:$C$622,0)),"",INDEX('Compliance Database'!$M$2:$M$622,MATCH(447,Engine!$C$2:$C$622,0)))</f>
        <v/>
      </c>
      <c r="N460" s="8">
        <f>IF(ISNA(MATCH(447,Engine!$C$2:$C$622,0)),"",INDEX('Compliance Database'!$N$2:$N$622,MATCH(447,Engine!$C$2:$C$622,0)))</f>
        <v/>
      </c>
      <c r="O460" s="8">
        <f>IF(ISNA(MATCH(447,Engine!$C$2:$C$622,0)),"",INDEX('Compliance Database'!$O$2:$O$622,MATCH(447,Engine!$C$2:$C$622,0)))</f>
        <v/>
      </c>
    </row>
    <row r="461">
      <c r="A461">
        <f>IF(ISNA(MATCH(448,Engine!$C$2:$C$622,0)),"",INDEX('Compliance Database'!$A$2:$A$622,MATCH(448,Engine!$C$2:$C$622,0)))</f>
        <v/>
      </c>
      <c r="B461">
        <f>IF(ISNA(MATCH(448,Engine!$C$2:$C$622,0)),"",INDEX('Compliance Database'!$B$2:$B$622,MATCH(448,Engine!$C$2:$C$622,0)))</f>
        <v/>
      </c>
      <c r="C461">
        <f>IF(ISNA(MATCH(448,Engine!$C$2:$C$622,0)),"",INDEX('Compliance Database'!$C$2:$C$622,MATCH(448,Engine!$C$2:$C$622,0)))</f>
        <v/>
      </c>
      <c r="D461" s="8">
        <f>IF(ISNA(MATCH(448,Engine!$C$2:$C$622,0)),"",INDEX('Compliance Database'!$D$2:$D$622,MATCH(448,Engine!$C$2:$C$622,0)))</f>
        <v/>
      </c>
      <c r="E461">
        <f>IF(ISNA(MATCH(448,Engine!$C$2:$C$622,0)),"",INDEX('Compliance Database'!$E$2:$E$622,MATCH(448,Engine!$C$2:$C$622,0)))</f>
        <v/>
      </c>
      <c r="F461">
        <f>IF(ISNA(MATCH(448,Engine!$C$2:$C$622,0)),"",INDEX('Compliance Database'!$F$2:$F$622,MATCH(448,Engine!$C$2:$C$622,0)))</f>
        <v/>
      </c>
      <c r="G461">
        <f>IF(ISNA(MATCH(448,Engine!$C$2:$C$622,0)),"",INDEX('Compliance Database'!$G$2:$G$622,MATCH(448,Engine!$C$2:$C$622,0)))</f>
        <v/>
      </c>
      <c r="H461">
        <f>IF(ISNA(MATCH(448,Engine!$C$2:$C$622,0)),"",INDEX('Compliance Database'!$H$2:$H$622,MATCH(448,Engine!$C$2:$C$622,0)))</f>
        <v/>
      </c>
      <c r="I461" s="8">
        <f>IF(ISNA(MATCH(448,Engine!$C$2:$C$622,0)),"",INDEX('Compliance Database'!$I$2:$I$622,MATCH(448,Engine!$C$2:$C$622,0)))</f>
        <v/>
      </c>
      <c r="J461" s="8">
        <f>IF(ISNA(MATCH(448,Engine!$C$2:$C$622,0)),"",INDEX('Compliance Database'!$J$2:$J$622,MATCH(448,Engine!$C$2:$C$622,0)))</f>
        <v/>
      </c>
      <c r="K461">
        <f>IF(ISNA(MATCH(448,Engine!$C$2:$C$622,0)),"",INDEX('Compliance Database'!$K$2:$K$622,MATCH(448,Engine!$C$2:$C$622,0)))</f>
        <v/>
      </c>
      <c r="L461" s="8">
        <f>IF(ISNA(MATCH(448,Engine!$C$2:$C$622,0)),"",INDEX('Compliance Database'!$L$2:$L$622,MATCH(448,Engine!$C$2:$C$622,0)))</f>
        <v/>
      </c>
      <c r="M461" s="8">
        <f>IF(ISNA(MATCH(448,Engine!$C$2:$C$622,0)),"",INDEX('Compliance Database'!$M$2:$M$622,MATCH(448,Engine!$C$2:$C$622,0)))</f>
        <v/>
      </c>
      <c r="N461" s="8">
        <f>IF(ISNA(MATCH(448,Engine!$C$2:$C$622,0)),"",INDEX('Compliance Database'!$N$2:$N$622,MATCH(448,Engine!$C$2:$C$622,0)))</f>
        <v/>
      </c>
      <c r="O461" s="8">
        <f>IF(ISNA(MATCH(448,Engine!$C$2:$C$622,0)),"",INDEX('Compliance Database'!$O$2:$O$622,MATCH(448,Engine!$C$2:$C$622,0)))</f>
        <v/>
      </c>
    </row>
    <row r="462">
      <c r="A462">
        <f>IF(ISNA(MATCH(449,Engine!$C$2:$C$622,0)),"",INDEX('Compliance Database'!$A$2:$A$622,MATCH(449,Engine!$C$2:$C$622,0)))</f>
        <v/>
      </c>
      <c r="B462">
        <f>IF(ISNA(MATCH(449,Engine!$C$2:$C$622,0)),"",INDEX('Compliance Database'!$B$2:$B$622,MATCH(449,Engine!$C$2:$C$622,0)))</f>
        <v/>
      </c>
      <c r="C462">
        <f>IF(ISNA(MATCH(449,Engine!$C$2:$C$622,0)),"",INDEX('Compliance Database'!$C$2:$C$622,MATCH(449,Engine!$C$2:$C$622,0)))</f>
        <v/>
      </c>
      <c r="D462" s="8">
        <f>IF(ISNA(MATCH(449,Engine!$C$2:$C$622,0)),"",INDEX('Compliance Database'!$D$2:$D$622,MATCH(449,Engine!$C$2:$C$622,0)))</f>
        <v/>
      </c>
      <c r="E462">
        <f>IF(ISNA(MATCH(449,Engine!$C$2:$C$622,0)),"",INDEX('Compliance Database'!$E$2:$E$622,MATCH(449,Engine!$C$2:$C$622,0)))</f>
        <v/>
      </c>
      <c r="F462">
        <f>IF(ISNA(MATCH(449,Engine!$C$2:$C$622,0)),"",INDEX('Compliance Database'!$F$2:$F$622,MATCH(449,Engine!$C$2:$C$622,0)))</f>
        <v/>
      </c>
      <c r="G462">
        <f>IF(ISNA(MATCH(449,Engine!$C$2:$C$622,0)),"",INDEX('Compliance Database'!$G$2:$G$622,MATCH(449,Engine!$C$2:$C$622,0)))</f>
        <v/>
      </c>
      <c r="H462">
        <f>IF(ISNA(MATCH(449,Engine!$C$2:$C$622,0)),"",INDEX('Compliance Database'!$H$2:$H$622,MATCH(449,Engine!$C$2:$C$622,0)))</f>
        <v/>
      </c>
      <c r="I462" s="8">
        <f>IF(ISNA(MATCH(449,Engine!$C$2:$C$622,0)),"",INDEX('Compliance Database'!$I$2:$I$622,MATCH(449,Engine!$C$2:$C$622,0)))</f>
        <v/>
      </c>
      <c r="J462" s="8">
        <f>IF(ISNA(MATCH(449,Engine!$C$2:$C$622,0)),"",INDEX('Compliance Database'!$J$2:$J$622,MATCH(449,Engine!$C$2:$C$622,0)))</f>
        <v/>
      </c>
      <c r="K462">
        <f>IF(ISNA(MATCH(449,Engine!$C$2:$C$622,0)),"",INDEX('Compliance Database'!$K$2:$K$622,MATCH(449,Engine!$C$2:$C$622,0)))</f>
        <v/>
      </c>
      <c r="L462" s="8">
        <f>IF(ISNA(MATCH(449,Engine!$C$2:$C$622,0)),"",INDEX('Compliance Database'!$L$2:$L$622,MATCH(449,Engine!$C$2:$C$622,0)))</f>
        <v/>
      </c>
      <c r="M462" s="8">
        <f>IF(ISNA(MATCH(449,Engine!$C$2:$C$622,0)),"",INDEX('Compliance Database'!$M$2:$M$622,MATCH(449,Engine!$C$2:$C$622,0)))</f>
        <v/>
      </c>
      <c r="N462" s="8">
        <f>IF(ISNA(MATCH(449,Engine!$C$2:$C$622,0)),"",INDEX('Compliance Database'!$N$2:$N$622,MATCH(449,Engine!$C$2:$C$622,0)))</f>
        <v/>
      </c>
      <c r="O462" s="8">
        <f>IF(ISNA(MATCH(449,Engine!$C$2:$C$622,0)),"",INDEX('Compliance Database'!$O$2:$O$622,MATCH(449,Engine!$C$2:$C$622,0)))</f>
        <v/>
      </c>
    </row>
    <row r="463">
      <c r="A463">
        <f>IF(ISNA(MATCH(450,Engine!$C$2:$C$622,0)),"",INDEX('Compliance Database'!$A$2:$A$622,MATCH(450,Engine!$C$2:$C$622,0)))</f>
        <v/>
      </c>
      <c r="B463">
        <f>IF(ISNA(MATCH(450,Engine!$C$2:$C$622,0)),"",INDEX('Compliance Database'!$B$2:$B$622,MATCH(450,Engine!$C$2:$C$622,0)))</f>
        <v/>
      </c>
      <c r="C463">
        <f>IF(ISNA(MATCH(450,Engine!$C$2:$C$622,0)),"",INDEX('Compliance Database'!$C$2:$C$622,MATCH(450,Engine!$C$2:$C$622,0)))</f>
        <v/>
      </c>
      <c r="D463" s="8">
        <f>IF(ISNA(MATCH(450,Engine!$C$2:$C$622,0)),"",INDEX('Compliance Database'!$D$2:$D$622,MATCH(450,Engine!$C$2:$C$622,0)))</f>
        <v/>
      </c>
      <c r="E463">
        <f>IF(ISNA(MATCH(450,Engine!$C$2:$C$622,0)),"",INDEX('Compliance Database'!$E$2:$E$622,MATCH(450,Engine!$C$2:$C$622,0)))</f>
        <v/>
      </c>
      <c r="F463">
        <f>IF(ISNA(MATCH(450,Engine!$C$2:$C$622,0)),"",INDEX('Compliance Database'!$F$2:$F$622,MATCH(450,Engine!$C$2:$C$622,0)))</f>
        <v/>
      </c>
      <c r="G463">
        <f>IF(ISNA(MATCH(450,Engine!$C$2:$C$622,0)),"",INDEX('Compliance Database'!$G$2:$G$622,MATCH(450,Engine!$C$2:$C$622,0)))</f>
        <v/>
      </c>
      <c r="H463">
        <f>IF(ISNA(MATCH(450,Engine!$C$2:$C$622,0)),"",INDEX('Compliance Database'!$H$2:$H$622,MATCH(450,Engine!$C$2:$C$622,0)))</f>
        <v/>
      </c>
      <c r="I463" s="8">
        <f>IF(ISNA(MATCH(450,Engine!$C$2:$C$622,0)),"",INDEX('Compliance Database'!$I$2:$I$622,MATCH(450,Engine!$C$2:$C$622,0)))</f>
        <v/>
      </c>
      <c r="J463" s="8">
        <f>IF(ISNA(MATCH(450,Engine!$C$2:$C$622,0)),"",INDEX('Compliance Database'!$J$2:$J$622,MATCH(450,Engine!$C$2:$C$622,0)))</f>
        <v/>
      </c>
      <c r="K463">
        <f>IF(ISNA(MATCH(450,Engine!$C$2:$C$622,0)),"",INDEX('Compliance Database'!$K$2:$K$622,MATCH(450,Engine!$C$2:$C$622,0)))</f>
        <v/>
      </c>
      <c r="L463" s="8">
        <f>IF(ISNA(MATCH(450,Engine!$C$2:$C$622,0)),"",INDEX('Compliance Database'!$L$2:$L$622,MATCH(450,Engine!$C$2:$C$622,0)))</f>
        <v/>
      </c>
      <c r="M463" s="8">
        <f>IF(ISNA(MATCH(450,Engine!$C$2:$C$622,0)),"",INDEX('Compliance Database'!$M$2:$M$622,MATCH(450,Engine!$C$2:$C$622,0)))</f>
        <v/>
      </c>
      <c r="N463" s="8">
        <f>IF(ISNA(MATCH(450,Engine!$C$2:$C$622,0)),"",INDEX('Compliance Database'!$N$2:$N$622,MATCH(450,Engine!$C$2:$C$622,0)))</f>
        <v/>
      </c>
      <c r="O463" s="8">
        <f>IF(ISNA(MATCH(450,Engine!$C$2:$C$622,0)),"",INDEX('Compliance Database'!$O$2:$O$622,MATCH(450,Engine!$C$2:$C$622,0)))</f>
        <v/>
      </c>
    </row>
    <row r="464">
      <c r="A464">
        <f>IF(ISNA(MATCH(451,Engine!$C$2:$C$622,0)),"",INDEX('Compliance Database'!$A$2:$A$622,MATCH(451,Engine!$C$2:$C$622,0)))</f>
        <v/>
      </c>
      <c r="B464">
        <f>IF(ISNA(MATCH(451,Engine!$C$2:$C$622,0)),"",INDEX('Compliance Database'!$B$2:$B$622,MATCH(451,Engine!$C$2:$C$622,0)))</f>
        <v/>
      </c>
      <c r="C464">
        <f>IF(ISNA(MATCH(451,Engine!$C$2:$C$622,0)),"",INDEX('Compliance Database'!$C$2:$C$622,MATCH(451,Engine!$C$2:$C$622,0)))</f>
        <v/>
      </c>
      <c r="D464" s="8">
        <f>IF(ISNA(MATCH(451,Engine!$C$2:$C$622,0)),"",INDEX('Compliance Database'!$D$2:$D$622,MATCH(451,Engine!$C$2:$C$622,0)))</f>
        <v/>
      </c>
      <c r="E464">
        <f>IF(ISNA(MATCH(451,Engine!$C$2:$C$622,0)),"",INDEX('Compliance Database'!$E$2:$E$622,MATCH(451,Engine!$C$2:$C$622,0)))</f>
        <v/>
      </c>
      <c r="F464">
        <f>IF(ISNA(MATCH(451,Engine!$C$2:$C$622,0)),"",INDEX('Compliance Database'!$F$2:$F$622,MATCH(451,Engine!$C$2:$C$622,0)))</f>
        <v/>
      </c>
      <c r="G464">
        <f>IF(ISNA(MATCH(451,Engine!$C$2:$C$622,0)),"",INDEX('Compliance Database'!$G$2:$G$622,MATCH(451,Engine!$C$2:$C$622,0)))</f>
        <v/>
      </c>
      <c r="H464">
        <f>IF(ISNA(MATCH(451,Engine!$C$2:$C$622,0)),"",INDEX('Compliance Database'!$H$2:$H$622,MATCH(451,Engine!$C$2:$C$622,0)))</f>
        <v/>
      </c>
      <c r="I464" s="8">
        <f>IF(ISNA(MATCH(451,Engine!$C$2:$C$622,0)),"",INDEX('Compliance Database'!$I$2:$I$622,MATCH(451,Engine!$C$2:$C$622,0)))</f>
        <v/>
      </c>
      <c r="J464" s="8">
        <f>IF(ISNA(MATCH(451,Engine!$C$2:$C$622,0)),"",INDEX('Compliance Database'!$J$2:$J$622,MATCH(451,Engine!$C$2:$C$622,0)))</f>
        <v/>
      </c>
      <c r="K464">
        <f>IF(ISNA(MATCH(451,Engine!$C$2:$C$622,0)),"",INDEX('Compliance Database'!$K$2:$K$622,MATCH(451,Engine!$C$2:$C$622,0)))</f>
        <v/>
      </c>
      <c r="L464" s="8">
        <f>IF(ISNA(MATCH(451,Engine!$C$2:$C$622,0)),"",INDEX('Compliance Database'!$L$2:$L$622,MATCH(451,Engine!$C$2:$C$622,0)))</f>
        <v/>
      </c>
      <c r="M464" s="8">
        <f>IF(ISNA(MATCH(451,Engine!$C$2:$C$622,0)),"",INDEX('Compliance Database'!$M$2:$M$622,MATCH(451,Engine!$C$2:$C$622,0)))</f>
        <v/>
      </c>
      <c r="N464" s="8">
        <f>IF(ISNA(MATCH(451,Engine!$C$2:$C$622,0)),"",INDEX('Compliance Database'!$N$2:$N$622,MATCH(451,Engine!$C$2:$C$622,0)))</f>
        <v/>
      </c>
      <c r="O464" s="8">
        <f>IF(ISNA(MATCH(451,Engine!$C$2:$C$622,0)),"",INDEX('Compliance Database'!$O$2:$O$622,MATCH(451,Engine!$C$2:$C$622,0)))</f>
        <v/>
      </c>
    </row>
    <row r="465">
      <c r="A465">
        <f>IF(ISNA(MATCH(452,Engine!$C$2:$C$622,0)),"",INDEX('Compliance Database'!$A$2:$A$622,MATCH(452,Engine!$C$2:$C$622,0)))</f>
        <v/>
      </c>
      <c r="B465">
        <f>IF(ISNA(MATCH(452,Engine!$C$2:$C$622,0)),"",INDEX('Compliance Database'!$B$2:$B$622,MATCH(452,Engine!$C$2:$C$622,0)))</f>
        <v/>
      </c>
      <c r="C465">
        <f>IF(ISNA(MATCH(452,Engine!$C$2:$C$622,0)),"",INDEX('Compliance Database'!$C$2:$C$622,MATCH(452,Engine!$C$2:$C$622,0)))</f>
        <v/>
      </c>
      <c r="D465" s="8">
        <f>IF(ISNA(MATCH(452,Engine!$C$2:$C$622,0)),"",INDEX('Compliance Database'!$D$2:$D$622,MATCH(452,Engine!$C$2:$C$622,0)))</f>
        <v/>
      </c>
      <c r="E465">
        <f>IF(ISNA(MATCH(452,Engine!$C$2:$C$622,0)),"",INDEX('Compliance Database'!$E$2:$E$622,MATCH(452,Engine!$C$2:$C$622,0)))</f>
        <v/>
      </c>
      <c r="F465">
        <f>IF(ISNA(MATCH(452,Engine!$C$2:$C$622,0)),"",INDEX('Compliance Database'!$F$2:$F$622,MATCH(452,Engine!$C$2:$C$622,0)))</f>
        <v/>
      </c>
      <c r="G465">
        <f>IF(ISNA(MATCH(452,Engine!$C$2:$C$622,0)),"",INDEX('Compliance Database'!$G$2:$G$622,MATCH(452,Engine!$C$2:$C$622,0)))</f>
        <v/>
      </c>
      <c r="H465">
        <f>IF(ISNA(MATCH(452,Engine!$C$2:$C$622,0)),"",INDEX('Compliance Database'!$H$2:$H$622,MATCH(452,Engine!$C$2:$C$622,0)))</f>
        <v/>
      </c>
      <c r="I465" s="8">
        <f>IF(ISNA(MATCH(452,Engine!$C$2:$C$622,0)),"",INDEX('Compliance Database'!$I$2:$I$622,MATCH(452,Engine!$C$2:$C$622,0)))</f>
        <v/>
      </c>
      <c r="J465" s="8">
        <f>IF(ISNA(MATCH(452,Engine!$C$2:$C$622,0)),"",INDEX('Compliance Database'!$J$2:$J$622,MATCH(452,Engine!$C$2:$C$622,0)))</f>
        <v/>
      </c>
      <c r="K465">
        <f>IF(ISNA(MATCH(452,Engine!$C$2:$C$622,0)),"",INDEX('Compliance Database'!$K$2:$K$622,MATCH(452,Engine!$C$2:$C$622,0)))</f>
        <v/>
      </c>
      <c r="L465" s="8">
        <f>IF(ISNA(MATCH(452,Engine!$C$2:$C$622,0)),"",INDEX('Compliance Database'!$L$2:$L$622,MATCH(452,Engine!$C$2:$C$622,0)))</f>
        <v/>
      </c>
      <c r="M465" s="8">
        <f>IF(ISNA(MATCH(452,Engine!$C$2:$C$622,0)),"",INDEX('Compliance Database'!$M$2:$M$622,MATCH(452,Engine!$C$2:$C$622,0)))</f>
        <v/>
      </c>
      <c r="N465" s="8">
        <f>IF(ISNA(MATCH(452,Engine!$C$2:$C$622,0)),"",INDEX('Compliance Database'!$N$2:$N$622,MATCH(452,Engine!$C$2:$C$622,0)))</f>
        <v/>
      </c>
      <c r="O465" s="8">
        <f>IF(ISNA(MATCH(452,Engine!$C$2:$C$622,0)),"",INDEX('Compliance Database'!$O$2:$O$622,MATCH(452,Engine!$C$2:$C$622,0)))</f>
        <v/>
      </c>
    </row>
    <row r="466">
      <c r="A466">
        <f>IF(ISNA(MATCH(453,Engine!$C$2:$C$622,0)),"",INDEX('Compliance Database'!$A$2:$A$622,MATCH(453,Engine!$C$2:$C$622,0)))</f>
        <v/>
      </c>
      <c r="B466">
        <f>IF(ISNA(MATCH(453,Engine!$C$2:$C$622,0)),"",INDEX('Compliance Database'!$B$2:$B$622,MATCH(453,Engine!$C$2:$C$622,0)))</f>
        <v/>
      </c>
      <c r="C466">
        <f>IF(ISNA(MATCH(453,Engine!$C$2:$C$622,0)),"",INDEX('Compliance Database'!$C$2:$C$622,MATCH(453,Engine!$C$2:$C$622,0)))</f>
        <v/>
      </c>
      <c r="D466" s="8">
        <f>IF(ISNA(MATCH(453,Engine!$C$2:$C$622,0)),"",INDEX('Compliance Database'!$D$2:$D$622,MATCH(453,Engine!$C$2:$C$622,0)))</f>
        <v/>
      </c>
      <c r="E466">
        <f>IF(ISNA(MATCH(453,Engine!$C$2:$C$622,0)),"",INDEX('Compliance Database'!$E$2:$E$622,MATCH(453,Engine!$C$2:$C$622,0)))</f>
        <v/>
      </c>
      <c r="F466">
        <f>IF(ISNA(MATCH(453,Engine!$C$2:$C$622,0)),"",INDEX('Compliance Database'!$F$2:$F$622,MATCH(453,Engine!$C$2:$C$622,0)))</f>
        <v/>
      </c>
      <c r="G466">
        <f>IF(ISNA(MATCH(453,Engine!$C$2:$C$622,0)),"",INDEX('Compliance Database'!$G$2:$G$622,MATCH(453,Engine!$C$2:$C$622,0)))</f>
        <v/>
      </c>
      <c r="H466">
        <f>IF(ISNA(MATCH(453,Engine!$C$2:$C$622,0)),"",INDEX('Compliance Database'!$H$2:$H$622,MATCH(453,Engine!$C$2:$C$622,0)))</f>
        <v/>
      </c>
      <c r="I466" s="8">
        <f>IF(ISNA(MATCH(453,Engine!$C$2:$C$622,0)),"",INDEX('Compliance Database'!$I$2:$I$622,MATCH(453,Engine!$C$2:$C$622,0)))</f>
        <v/>
      </c>
      <c r="J466" s="8">
        <f>IF(ISNA(MATCH(453,Engine!$C$2:$C$622,0)),"",INDEX('Compliance Database'!$J$2:$J$622,MATCH(453,Engine!$C$2:$C$622,0)))</f>
        <v/>
      </c>
      <c r="K466">
        <f>IF(ISNA(MATCH(453,Engine!$C$2:$C$622,0)),"",INDEX('Compliance Database'!$K$2:$K$622,MATCH(453,Engine!$C$2:$C$622,0)))</f>
        <v/>
      </c>
      <c r="L466" s="8">
        <f>IF(ISNA(MATCH(453,Engine!$C$2:$C$622,0)),"",INDEX('Compliance Database'!$L$2:$L$622,MATCH(453,Engine!$C$2:$C$622,0)))</f>
        <v/>
      </c>
      <c r="M466" s="8">
        <f>IF(ISNA(MATCH(453,Engine!$C$2:$C$622,0)),"",INDEX('Compliance Database'!$M$2:$M$622,MATCH(453,Engine!$C$2:$C$622,0)))</f>
        <v/>
      </c>
      <c r="N466" s="8">
        <f>IF(ISNA(MATCH(453,Engine!$C$2:$C$622,0)),"",INDEX('Compliance Database'!$N$2:$N$622,MATCH(453,Engine!$C$2:$C$622,0)))</f>
        <v/>
      </c>
      <c r="O466" s="8">
        <f>IF(ISNA(MATCH(453,Engine!$C$2:$C$622,0)),"",INDEX('Compliance Database'!$O$2:$O$622,MATCH(453,Engine!$C$2:$C$622,0)))</f>
        <v/>
      </c>
    </row>
    <row r="467">
      <c r="A467">
        <f>IF(ISNA(MATCH(454,Engine!$C$2:$C$622,0)),"",INDEX('Compliance Database'!$A$2:$A$622,MATCH(454,Engine!$C$2:$C$622,0)))</f>
        <v/>
      </c>
      <c r="B467">
        <f>IF(ISNA(MATCH(454,Engine!$C$2:$C$622,0)),"",INDEX('Compliance Database'!$B$2:$B$622,MATCH(454,Engine!$C$2:$C$622,0)))</f>
        <v/>
      </c>
      <c r="C467">
        <f>IF(ISNA(MATCH(454,Engine!$C$2:$C$622,0)),"",INDEX('Compliance Database'!$C$2:$C$622,MATCH(454,Engine!$C$2:$C$622,0)))</f>
        <v/>
      </c>
      <c r="D467" s="8">
        <f>IF(ISNA(MATCH(454,Engine!$C$2:$C$622,0)),"",INDEX('Compliance Database'!$D$2:$D$622,MATCH(454,Engine!$C$2:$C$622,0)))</f>
        <v/>
      </c>
      <c r="E467">
        <f>IF(ISNA(MATCH(454,Engine!$C$2:$C$622,0)),"",INDEX('Compliance Database'!$E$2:$E$622,MATCH(454,Engine!$C$2:$C$622,0)))</f>
        <v/>
      </c>
      <c r="F467">
        <f>IF(ISNA(MATCH(454,Engine!$C$2:$C$622,0)),"",INDEX('Compliance Database'!$F$2:$F$622,MATCH(454,Engine!$C$2:$C$622,0)))</f>
        <v/>
      </c>
      <c r="G467">
        <f>IF(ISNA(MATCH(454,Engine!$C$2:$C$622,0)),"",INDEX('Compliance Database'!$G$2:$G$622,MATCH(454,Engine!$C$2:$C$622,0)))</f>
        <v/>
      </c>
      <c r="H467">
        <f>IF(ISNA(MATCH(454,Engine!$C$2:$C$622,0)),"",INDEX('Compliance Database'!$H$2:$H$622,MATCH(454,Engine!$C$2:$C$622,0)))</f>
        <v/>
      </c>
      <c r="I467" s="8">
        <f>IF(ISNA(MATCH(454,Engine!$C$2:$C$622,0)),"",INDEX('Compliance Database'!$I$2:$I$622,MATCH(454,Engine!$C$2:$C$622,0)))</f>
        <v/>
      </c>
      <c r="J467" s="8">
        <f>IF(ISNA(MATCH(454,Engine!$C$2:$C$622,0)),"",INDEX('Compliance Database'!$J$2:$J$622,MATCH(454,Engine!$C$2:$C$622,0)))</f>
        <v/>
      </c>
      <c r="K467">
        <f>IF(ISNA(MATCH(454,Engine!$C$2:$C$622,0)),"",INDEX('Compliance Database'!$K$2:$K$622,MATCH(454,Engine!$C$2:$C$622,0)))</f>
        <v/>
      </c>
      <c r="L467" s="8">
        <f>IF(ISNA(MATCH(454,Engine!$C$2:$C$622,0)),"",INDEX('Compliance Database'!$L$2:$L$622,MATCH(454,Engine!$C$2:$C$622,0)))</f>
        <v/>
      </c>
      <c r="M467" s="8">
        <f>IF(ISNA(MATCH(454,Engine!$C$2:$C$622,0)),"",INDEX('Compliance Database'!$M$2:$M$622,MATCH(454,Engine!$C$2:$C$622,0)))</f>
        <v/>
      </c>
      <c r="N467" s="8">
        <f>IF(ISNA(MATCH(454,Engine!$C$2:$C$622,0)),"",INDEX('Compliance Database'!$N$2:$N$622,MATCH(454,Engine!$C$2:$C$622,0)))</f>
        <v/>
      </c>
      <c r="O467" s="8">
        <f>IF(ISNA(MATCH(454,Engine!$C$2:$C$622,0)),"",INDEX('Compliance Database'!$O$2:$O$622,MATCH(454,Engine!$C$2:$C$622,0)))</f>
        <v/>
      </c>
    </row>
    <row r="468">
      <c r="A468">
        <f>IF(ISNA(MATCH(455,Engine!$C$2:$C$622,0)),"",INDEX('Compliance Database'!$A$2:$A$622,MATCH(455,Engine!$C$2:$C$622,0)))</f>
        <v/>
      </c>
      <c r="B468">
        <f>IF(ISNA(MATCH(455,Engine!$C$2:$C$622,0)),"",INDEX('Compliance Database'!$B$2:$B$622,MATCH(455,Engine!$C$2:$C$622,0)))</f>
        <v/>
      </c>
      <c r="C468">
        <f>IF(ISNA(MATCH(455,Engine!$C$2:$C$622,0)),"",INDEX('Compliance Database'!$C$2:$C$622,MATCH(455,Engine!$C$2:$C$622,0)))</f>
        <v/>
      </c>
      <c r="D468" s="8">
        <f>IF(ISNA(MATCH(455,Engine!$C$2:$C$622,0)),"",INDEX('Compliance Database'!$D$2:$D$622,MATCH(455,Engine!$C$2:$C$622,0)))</f>
        <v/>
      </c>
      <c r="E468">
        <f>IF(ISNA(MATCH(455,Engine!$C$2:$C$622,0)),"",INDEX('Compliance Database'!$E$2:$E$622,MATCH(455,Engine!$C$2:$C$622,0)))</f>
        <v/>
      </c>
      <c r="F468">
        <f>IF(ISNA(MATCH(455,Engine!$C$2:$C$622,0)),"",INDEX('Compliance Database'!$F$2:$F$622,MATCH(455,Engine!$C$2:$C$622,0)))</f>
        <v/>
      </c>
      <c r="G468">
        <f>IF(ISNA(MATCH(455,Engine!$C$2:$C$622,0)),"",INDEX('Compliance Database'!$G$2:$G$622,MATCH(455,Engine!$C$2:$C$622,0)))</f>
        <v/>
      </c>
      <c r="H468">
        <f>IF(ISNA(MATCH(455,Engine!$C$2:$C$622,0)),"",INDEX('Compliance Database'!$H$2:$H$622,MATCH(455,Engine!$C$2:$C$622,0)))</f>
        <v/>
      </c>
      <c r="I468" s="8">
        <f>IF(ISNA(MATCH(455,Engine!$C$2:$C$622,0)),"",INDEX('Compliance Database'!$I$2:$I$622,MATCH(455,Engine!$C$2:$C$622,0)))</f>
        <v/>
      </c>
      <c r="J468" s="8">
        <f>IF(ISNA(MATCH(455,Engine!$C$2:$C$622,0)),"",INDEX('Compliance Database'!$J$2:$J$622,MATCH(455,Engine!$C$2:$C$622,0)))</f>
        <v/>
      </c>
      <c r="K468">
        <f>IF(ISNA(MATCH(455,Engine!$C$2:$C$622,0)),"",INDEX('Compliance Database'!$K$2:$K$622,MATCH(455,Engine!$C$2:$C$622,0)))</f>
        <v/>
      </c>
      <c r="L468" s="8">
        <f>IF(ISNA(MATCH(455,Engine!$C$2:$C$622,0)),"",INDEX('Compliance Database'!$L$2:$L$622,MATCH(455,Engine!$C$2:$C$622,0)))</f>
        <v/>
      </c>
      <c r="M468" s="8">
        <f>IF(ISNA(MATCH(455,Engine!$C$2:$C$622,0)),"",INDEX('Compliance Database'!$M$2:$M$622,MATCH(455,Engine!$C$2:$C$622,0)))</f>
        <v/>
      </c>
      <c r="N468" s="8">
        <f>IF(ISNA(MATCH(455,Engine!$C$2:$C$622,0)),"",INDEX('Compliance Database'!$N$2:$N$622,MATCH(455,Engine!$C$2:$C$622,0)))</f>
        <v/>
      </c>
      <c r="O468" s="8">
        <f>IF(ISNA(MATCH(455,Engine!$C$2:$C$622,0)),"",INDEX('Compliance Database'!$O$2:$O$622,MATCH(455,Engine!$C$2:$C$622,0)))</f>
        <v/>
      </c>
    </row>
    <row r="469">
      <c r="A469">
        <f>IF(ISNA(MATCH(456,Engine!$C$2:$C$622,0)),"",INDEX('Compliance Database'!$A$2:$A$622,MATCH(456,Engine!$C$2:$C$622,0)))</f>
        <v/>
      </c>
      <c r="B469">
        <f>IF(ISNA(MATCH(456,Engine!$C$2:$C$622,0)),"",INDEX('Compliance Database'!$B$2:$B$622,MATCH(456,Engine!$C$2:$C$622,0)))</f>
        <v/>
      </c>
      <c r="C469">
        <f>IF(ISNA(MATCH(456,Engine!$C$2:$C$622,0)),"",INDEX('Compliance Database'!$C$2:$C$622,MATCH(456,Engine!$C$2:$C$622,0)))</f>
        <v/>
      </c>
      <c r="D469" s="8">
        <f>IF(ISNA(MATCH(456,Engine!$C$2:$C$622,0)),"",INDEX('Compliance Database'!$D$2:$D$622,MATCH(456,Engine!$C$2:$C$622,0)))</f>
        <v/>
      </c>
      <c r="E469">
        <f>IF(ISNA(MATCH(456,Engine!$C$2:$C$622,0)),"",INDEX('Compliance Database'!$E$2:$E$622,MATCH(456,Engine!$C$2:$C$622,0)))</f>
        <v/>
      </c>
      <c r="F469">
        <f>IF(ISNA(MATCH(456,Engine!$C$2:$C$622,0)),"",INDEX('Compliance Database'!$F$2:$F$622,MATCH(456,Engine!$C$2:$C$622,0)))</f>
        <v/>
      </c>
      <c r="G469">
        <f>IF(ISNA(MATCH(456,Engine!$C$2:$C$622,0)),"",INDEX('Compliance Database'!$G$2:$G$622,MATCH(456,Engine!$C$2:$C$622,0)))</f>
        <v/>
      </c>
      <c r="H469">
        <f>IF(ISNA(MATCH(456,Engine!$C$2:$C$622,0)),"",INDEX('Compliance Database'!$H$2:$H$622,MATCH(456,Engine!$C$2:$C$622,0)))</f>
        <v/>
      </c>
      <c r="I469" s="8">
        <f>IF(ISNA(MATCH(456,Engine!$C$2:$C$622,0)),"",INDEX('Compliance Database'!$I$2:$I$622,MATCH(456,Engine!$C$2:$C$622,0)))</f>
        <v/>
      </c>
      <c r="J469" s="8">
        <f>IF(ISNA(MATCH(456,Engine!$C$2:$C$622,0)),"",INDEX('Compliance Database'!$J$2:$J$622,MATCH(456,Engine!$C$2:$C$622,0)))</f>
        <v/>
      </c>
      <c r="K469">
        <f>IF(ISNA(MATCH(456,Engine!$C$2:$C$622,0)),"",INDEX('Compliance Database'!$K$2:$K$622,MATCH(456,Engine!$C$2:$C$622,0)))</f>
        <v/>
      </c>
      <c r="L469" s="8">
        <f>IF(ISNA(MATCH(456,Engine!$C$2:$C$622,0)),"",INDEX('Compliance Database'!$L$2:$L$622,MATCH(456,Engine!$C$2:$C$622,0)))</f>
        <v/>
      </c>
      <c r="M469" s="8">
        <f>IF(ISNA(MATCH(456,Engine!$C$2:$C$622,0)),"",INDEX('Compliance Database'!$M$2:$M$622,MATCH(456,Engine!$C$2:$C$622,0)))</f>
        <v/>
      </c>
      <c r="N469" s="8">
        <f>IF(ISNA(MATCH(456,Engine!$C$2:$C$622,0)),"",INDEX('Compliance Database'!$N$2:$N$622,MATCH(456,Engine!$C$2:$C$622,0)))</f>
        <v/>
      </c>
      <c r="O469" s="8">
        <f>IF(ISNA(MATCH(456,Engine!$C$2:$C$622,0)),"",INDEX('Compliance Database'!$O$2:$O$622,MATCH(456,Engine!$C$2:$C$622,0)))</f>
        <v/>
      </c>
    </row>
    <row r="470">
      <c r="A470">
        <f>IF(ISNA(MATCH(457,Engine!$C$2:$C$622,0)),"",INDEX('Compliance Database'!$A$2:$A$622,MATCH(457,Engine!$C$2:$C$622,0)))</f>
        <v/>
      </c>
      <c r="B470">
        <f>IF(ISNA(MATCH(457,Engine!$C$2:$C$622,0)),"",INDEX('Compliance Database'!$B$2:$B$622,MATCH(457,Engine!$C$2:$C$622,0)))</f>
        <v/>
      </c>
      <c r="C470">
        <f>IF(ISNA(MATCH(457,Engine!$C$2:$C$622,0)),"",INDEX('Compliance Database'!$C$2:$C$622,MATCH(457,Engine!$C$2:$C$622,0)))</f>
        <v/>
      </c>
      <c r="D470" s="8">
        <f>IF(ISNA(MATCH(457,Engine!$C$2:$C$622,0)),"",INDEX('Compliance Database'!$D$2:$D$622,MATCH(457,Engine!$C$2:$C$622,0)))</f>
        <v/>
      </c>
      <c r="E470">
        <f>IF(ISNA(MATCH(457,Engine!$C$2:$C$622,0)),"",INDEX('Compliance Database'!$E$2:$E$622,MATCH(457,Engine!$C$2:$C$622,0)))</f>
        <v/>
      </c>
      <c r="F470">
        <f>IF(ISNA(MATCH(457,Engine!$C$2:$C$622,0)),"",INDEX('Compliance Database'!$F$2:$F$622,MATCH(457,Engine!$C$2:$C$622,0)))</f>
        <v/>
      </c>
      <c r="G470">
        <f>IF(ISNA(MATCH(457,Engine!$C$2:$C$622,0)),"",INDEX('Compliance Database'!$G$2:$G$622,MATCH(457,Engine!$C$2:$C$622,0)))</f>
        <v/>
      </c>
      <c r="H470">
        <f>IF(ISNA(MATCH(457,Engine!$C$2:$C$622,0)),"",INDEX('Compliance Database'!$H$2:$H$622,MATCH(457,Engine!$C$2:$C$622,0)))</f>
        <v/>
      </c>
      <c r="I470" s="8">
        <f>IF(ISNA(MATCH(457,Engine!$C$2:$C$622,0)),"",INDEX('Compliance Database'!$I$2:$I$622,MATCH(457,Engine!$C$2:$C$622,0)))</f>
        <v/>
      </c>
      <c r="J470" s="8">
        <f>IF(ISNA(MATCH(457,Engine!$C$2:$C$622,0)),"",INDEX('Compliance Database'!$J$2:$J$622,MATCH(457,Engine!$C$2:$C$622,0)))</f>
        <v/>
      </c>
      <c r="K470">
        <f>IF(ISNA(MATCH(457,Engine!$C$2:$C$622,0)),"",INDEX('Compliance Database'!$K$2:$K$622,MATCH(457,Engine!$C$2:$C$622,0)))</f>
        <v/>
      </c>
      <c r="L470" s="8">
        <f>IF(ISNA(MATCH(457,Engine!$C$2:$C$622,0)),"",INDEX('Compliance Database'!$L$2:$L$622,MATCH(457,Engine!$C$2:$C$622,0)))</f>
        <v/>
      </c>
      <c r="M470" s="8">
        <f>IF(ISNA(MATCH(457,Engine!$C$2:$C$622,0)),"",INDEX('Compliance Database'!$M$2:$M$622,MATCH(457,Engine!$C$2:$C$622,0)))</f>
        <v/>
      </c>
      <c r="N470" s="8">
        <f>IF(ISNA(MATCH(457,Engine!$C$2:$C$622,0)),"",INDEX('Compliance Database'!$N$2:$N$622,MATCH(457,Engine!$C$2:$C$622,0)))</f>
        <v/>
      </c>
      <c r="O470" s="8">
        <f>IF(ISNA(MATCH(457,Engine!$C$2:$C$622,0)),"",INDEX('Compliance Database'!$O$2:$O$622,MATCH(457,Engine!$C$2:$C$622,0)))</f>
        <v/>
      </c>
    </row>
    <row r="471">
      <c r="A471">
        <f>IF(ISNA(MATCH(458,Engine!$C$2:$C$622,0)),"",INDEX('Compliance Database'!$A$2:$A$622,MATCH(458,Engine!$C$2:$C$622,0)))</f>
        <v/>
      </c>
      <c r="B471">
        <f>IF(ISNA(MATCH(458,Engine!$C$2:$C$622,0)),"",INDEX('Compliance Database'!$B$2:$B$622,MATCH(458,Engine!$C$2:$C$622,0)))</f>
        <v/>
      </c>
      <c r="C471">
        <f>IF(ISNA(MATCH(458,Engine!$C$2:$C$622,0)),"",INDEX('Compliance Database'!$C$2:$C$622,MATCH(458,Engine!$C$2:$C$622,0)))</f>
        <v/>
      </c>
      <c r="D471" s="8">
        <f>IF(ISNA(MATCH(458,Engine!$C$2:$C$622,0)),"",INDEX('Compliance Database'!$D$2:$D$622,MATCH(458,Engine!$C$2:$C$622,0)))</f>
        <v/>
      </c>
      <c r="E471">
        <f>IF(ISNA(MATCH(458,Engine!$C$2:$C$622,0)),"",INDEX('Compliance Database'!$E$2:$E$622,MATCH(458,Engine!$C$2:$C$622,0)))</f>
        <v/>
      </c>
      <c r="F471">
        <f>IF(ISNA(MATCH(458,Engine!$C$2:$C$622,0)),"",INDEX('Compliance Database'!$F$2:$F$622,MATCH(458,Engine!$C$2:$C$622,0)))</f>
        <v/>
      </c>
      <c r="G471">
        <f>IF(ISNA(MATCH(458,Engine!$C$2:$C$622,0)),"",INDEX('Compliance Database'!$G$2:$G$622,MATCH(458,Engine!$C$2:$C$622,0)))</f>
        <v/>
      </c>
      <c r="H471">
        <f>IF(ISNA(MATCH(458,Engine!$C$2:$C$622,0)),"",INDEX('Compliance Database'!$H$2:$H$622,MATCH(458,Engine!$C$2:$C$622,0)))</f>
        <v/>
      </c>
      <c r="I471" s="8">
        <f>IF(ISNA(MATCH(458,Engine!$C$2:$C$622,0)),"",INDEX('Compliance Database'!$I$2:$I$622,MATCH(458,Engine!$C$2:$C$622,0)))</f>
        <v/>
      </c>
      <c r="J471" s="8">
        <f>IF(ISNA(MATCH(458,Engine!$C$2:$C$622,0)),"",INDEX('Compliance Database'!$J$2:$J$622,MATCH(458,Engine!$C$2:$C$622,0)))</f>
        <v/>
      </c>
      <c r="K471">
        <f>IF(ISNA(MATCH(458,Engine!$C$2:$C$622,0)),"",INDEX('Compliance Database'!$K$2:$K$622,MATCH(458,Engine!$C$2:$C$622,0)))</f>
        <v/>
      </c>
      <c r="L471" s="8">
        <f>IF(ISNA(MATCH(458,Engine!$C$2:$C$622,0)),"",INDEX('Compliance Database'!$L$2:$L$622,MATCH(458,Engine!$C$2:$C$622,0)))</f>
        <v/>
      </c>
      <c r="M471" s="8">
        <f>IF(ISNA(MATCH(458,Engine!$C$2:$C$622,0)),"",INDEX('Compliance Database'!$M$2:$M$622,MATCH(458,Engine!$C$2:$C$622,0)))</f>
        <v/>
      </c>
      <c r="N471" s="8">
        <f>IF(ISNA(MATCH(458,Engine!$C$2:$C$622,0)),"",INDEX('Compliance Database'!$N$2:$N$622,MATCH(458,Engine!$C$2:$C$622,0)))</f>
        <v/>
      </c>
      <c r="O471" s="8">
        <f>IF(ISNA(MATCH(458,Engine!$C$2:$C$622,0)),"",INDEX('Compliance Database'!$O$2:$O$622,MATCH(458,Engine!$C$2:$C$622,0)))</f>
        <v/>
      </c>
    </row>
    <row r="472">
      <c r="A472">
        <f>IF(ISNA(MATCH(459,Engine!$C$2:$C$622,0)),"",INDEX('Compliance Database'!$A$2:$A$622,MATCH(459,Engine!$C$2:$C$622,0)))</f>
        <v/>
      </c>
      <c r="B472">
        <f>IF(ISNA(MATCH(459,Engine!$C$2:$C$622,0)),"",INDEX('Compliance Database'!$B$2:$B$622,MATCH(459,Engine!$C$2:$C$622,0)))</f>
        <v/>
      </c>
      <c r="C472">
        <f>IF(ISNA(MATCH(459,Engine!$C$2:$C$622,0)),"",INDEX('Compliance Database'!$C$2:$C$622,MATCH(459,Engine!$C$2:$C$622,0)))</f>
        <v/>
      </c>
      <c r="D472" s="8">
        <f>IF(ISNA(MATCH(459,Engine!$C$2:$C$622,0)),"",INDEX('Compliance Database'!$D$2:$D$622,MATCH(459,Engine!$C$2:$C$622,0)))</f>
        <v/>
      </c>
      <c r="E472">
        <f>IF(ISNA(MATCH(459,Engine!$C$2:$C$622,0)),"",INDEX('Compliance Database'!$E$2:$E$622,MATCH(459,Engine!$C$2:$C$622,0)))</f>
        <v/>
      </c>
      <c r="F472">
        <f>IF(ISNA(MATCH(459,Engine!$C$2:$C$622,0)),"",INDEX('Compliance Database'!$F$2:$F$622,MATCH(459,Engine!$C$2:$C$622,0)))</f>
        <v/>
      </c>
      <c r="G472">
        <f>IF(ISNA(MATCH(459,Engine!$C$2:$C$622,0)),"",INDEX('Compliance Database'!$G$2:$G$622,MATCH(459,Engine!$C$2:$C$622,0)))</f>
        <v/>
      </c>
      <c r="H472">
        <f>IF(ISNA(MATCH(459,Engine!$C$2:$C$622,0)),"",INDEX('Compliance Database'!$H$2:$H$622,MATCH(459,Engine!$C$2:$C$622,0)))</f>
        <v/>
      </c>
      <c r="I472" s="8">
        <f>IF(ISNA(MATCH(459,Engine!$C$2:$C$622,0)),"",INDEX('Compliance Database'!$I$2:$I$622,MATCH(459,Engine!$C$2:$C$622,0)))</f>
        <v/>
      </c>
      <c r="J472" s="8">
        <f>IF(ISNA(MATCH(459,Engine!$C$2:$C$622,0)),"",INDEX('Compliance Database'!$J$2:$J$622,MATCH(459,Engine!$C$2:$C$622,0)))</f>
        <v/>
      </c>
      <c r="K472">
        <f>IF(ISNA(MATCH(459,Engine!$C$2:$C$622,0)),"",INDEX('Compliance Database'!$K$2:$K$622,MATCH(459,Engine!$C$2:$C$622,0)))</f>
        <v/>
      </c>
      <c r="L472" s="8">
        <f>IF(ISNA(MATCH(459,Engine!$C$2:$C$622,0)),"",INDEX('Compliance Database'!$L$2:$L$622,MATCH(459,Engine!$C$2:$C$622,0)))</f>
        <v/>
      </c>
      <c r="M472" s="8">
        <f>IF(ISNA(MATCH(459,Engine!$C$2:$C$622,0)),"",INDEX('Compliance Database'!$M$2:$M$622,MATCH(459,Engine!$C$2:$C$622,0)))</f>
        <v/>
      </c>
      <c r="N472" s="8">
        <f>IF(ISNA(MATCH(459,Engine!$C$2:$C$622,0)),"",INDEX('Compliance Database'!$N$2:$N$622,MATCH(459,Engine!$C$2:$C$622,0)))</f>
        <v/>
      </c>
      <c r="O472" s="8">
        <f>IF(ISNA(MATCH(459,Engine!$C$2:$C$622,0)),"",INDEX('Compliance Database'!$O$2:$O$622,MATCH(459,Engine!$C$2:$C$622,0)))</f>
        <v/>
      </c>
    </row>
    <row r="473">
      <c r="A473">
        <f>IF(ISNA(MATCH(460,Engine!$C$2:$C$622,0)),"",INDEX('Compliance Database'!$A$2:$A$622,MATCH(460,Engine!$C$2:$C$622,0)))</f>
        <v/>
      </c>
      <c r="B473">
        <f>IF(ISNA(MATCH(460,Engine!$C$2:$C$622,0)),"",INDEX('Compliance Database'!$B$2:$B$622,MATCH(460,Engine!$C$2:$C$622,0)))</f>
        <v/>
      </c>
      <c r="C473">
        <f>IF(ISNA(MATCH(460,Engine!$C$2:$C$622,0)),"",INDEX('Compliance Database'!$C$2:$C$622,MATCH(460,Engine!$C$2:$C$622,0)))</f>
        <v/>
      </c>
      <c r="D473" s="8">
        <f>IF(ISNA(MATCH(460,Engine!$C$2:$C$622,0)),"",INDEX('Compliance Database'!$D$2:$D$622,MATCH(460,Engine!$C$2:$C$622,0)))</f>
        <v/>
      </c>
      <c r="E473">
        <f>IF(ISNA(MATCH(460,Engine!$C$2:$C$622,0)),"",INDEX('Compliance Database'!$E$2:$E$622,MATCH(460,Engine!$C$2:$C$622,0)))</f>
        <v/>
      </c>
      <c r="F473">
        <f>IF(ISNA(MATCH(460,Engine!$C$2:$C$622,0)),"",INDEX('Compliance Database'!$F$2:$F$622,MATCH(460,Engine!$C$2:$C$622,0)))</f>
        <v/>
      </c>
      <c r="G473">
        <f>IF(ISNA(MATCH(460,Engine!$C$2:$C$622,0)),"",INDEX('Compliance Database'!$G$2:$G$622,MATCH(460,Engine!$C$2:$C$622,0)))</f>
        <v/>
      </c>
      <c r="H473">
        <f>IF(ISNA(MATCH(460,Engine!$C$2:$C$622,0)),"",INDEX('Compliance Database'!$H$2:$H$622,MATCH(460,Engine!$C$2:$C$622,0)))</f>
        <v/>
      </c>
      <c r="I473" s="8">
        <f>IF(ISNA(MATCH(460,Engine!$C$2:$C$622,0)),"",INDEX('Compliance Database'!$I$2:$I$622,MATCH(460,Engine!$C$2:$C$622,0)))</f>
        <v/>
      </c>
      <c r="J473" s="8">
        <f>IF(ISNA(MATCH(460,Engine!$C$2:$C$622,0)),"",INDEX('Compliance Database'!$J$2:$J$622,MATCH(460,Engine!$C$2:$C$622,0)))</f>
        <v/>
      </c>
      <c r="K473">
        <f>IF(ISNA(MATCH(460,Engine!$C$2:$C$622,0)),"",INDEX('Compliance Database'!$K$2:$K$622,MATCH(460,Engine!$C$2:$C$622,0)))</f>
        <v/>
      </c>
      <c r="L473" s="8">
        <f>IF(ISNA(MATCH(460,Engine!$C$2:$C$622,0)),"",INDEX('Compliance Database'!$L$2:$L$622,MATCH(460,Engine!$C$2:$C$622,0)))</f>
        <v/>
      </c>
      <c r="M473" s="8">
        <f>IF(ISNA(MATCH(460,Engine!$C$2:$C$622,0)),"",INDEX('Compliance Database'!$M$2:$M$622,MATCH(460,Engine!$C$2:$C$622,0)))</f>
        <v/>
      </c>
      <c r="N473" s="8">
        <f>IF(ISNA(MATCH(460,Engine!$C$2:$C$622,0)),"",INDEX('Compliance Database'!$N$2:$N$622,MATCH(460,Engine!$C$2:$C$622,0)))</f>
        <v/>
      </c>
      <c r="O473" s="8">
        <f>IF(ISNA(MATCH(460,Engine!$C$2:$C$622,0)),"",INDEX('Compliance Database'!$O$2:$O$622,MATCH(460,Engine!$C$2:$C$622,0)))</f>
        <v/>
      </c>
    </row>
    <row r="474">
      <c r="A474">
        <f>IF(ISNA(MATCH(461,Engine!$C$2:$C$622,0)),"",INDEX('Compliance Database'!$A$2:$A$622,MATCH(461,Engine!$C$2:$C$622,0)))</f>
        <v/>
      </c>
      <c r="B474">
        <f>IF(ISNA(MATCH(461,Engine!$C$2:$C$622,0)),"",INDEX('Compliance Database'!$B$2:$B$622,MATCH(461,Engine!$C$2:$C$622,0)))</f>
        <v/>
      </c>
      <c r="C474">
        <f>IF(ISNA(MATCH(461,Engine!$C$2:$C$622,0)),"",INDEX('Compliance Database'!$C$2:$C$622,MATCH(461,Engine!$C$2:$C$622,0)))</f>
        <v/>
      </c>
      <c r="D474" s="8">
        <f>IF(ISNA(MATCH(461,Engine!$C$2:$C$622,0)),"",INDEX('Compliance Database'!$D$2:$D$622,MATCH(461,Engine!$C$2:$C$622,0)))</f>
        <v/>
      </c>
      <c r="E474">
        <f>IF(ISNA(MATCH(461,Engine!$C$2:$C$622,0)),"",INDEX('Compliance Database'!$E$2:$E$622,MATCH(461,Engine!$C$2:$C$622,0)))</f>
        <v/>
      </c>
      <c r="F474">
        <f>IF(ISNA(MATCH(461,Engine!$C$2:$C$622,0)),"",INDEX('Compliance Database'!$F$2:$F$622,MATCH(461,Engine!$C$2:$C$622,0)))</f>
        <v/>
      </c>
      <c r="G474">
        <f>IF(ISNA(MATCH(461,Engine!$C$2:$C$622,0)),"",INDEX('Compliance Database'!$G$2:$G$622,MATCH(461,Engine!$C$2:$C$622,0)))</f>
        <v/>
      </c>
      <c r="H474">
        <f>IF(ISNA(MATCH(461,Engine!$C$2:$C$622,0)),"",INDEX('Compliance Database'!$H$2:$H$622,MATCH(461,Engine!$C$2:$C$622,0)))</f>
        <v/>
      </c>
      <c r="I474" s="8">
        <f>IF(ISNA(MATCH(461,Engine!$C$2:$C$622,0)),"",INDEX('Compliance Database'!$I$2:$I$622,MATCH(461,Engine!$C$2:$C$622,0)))</f>
        <v/>
      </c>
      <c r="J474" s="8">
        <f>IF(ISNA(MATCH(461,Engine!$C$2:$C$622,0)),"",INDEX('Compliance Database'!$J$2:$J$622,MATCH(461,Engine!$C$2:$C$622,0)))</f>
        <v/>
      </c>
      <c r="K474">
        <f>IF(ISNA(MATCH(461,Engine!$C$2:$C$622,0)),"",INDEX('Compliance Database'!$K$2:$K$622,MATCH(461,Engine!$C$2:$C$622,0)))</f>
        <v/>
      </c>
      <c r="L474" s="8">
        <f>IF(ISNA(MATCH(461,Engine!$C$2:$C$622,0)),"",INDEX('Compliance Database'!$L$2:$L$622,MATCH(461,Engine!$C$2:$C$622,0)))</f>
        <v/>
      </c>
      <c r="M474" s="8">
        <f>IF(ISNA(MATCH(461,Engine!$C$2:$C$622,0)),"",INDEX('Compliance Database'!$M$2:$M$622,MATCH(461,Engine!$C$2:$C$622,0)))</f>
        <v/>
      </c>
      <c r="N474" s="8">
        <f>IF(ISNA(MATCH(461,Engine!$C$2:$C$622,0)),"",INDEX('Compliance Database'!$N$2:$N$622,MATCH(461,Engine!$C$2:$C$622,0)))</f>
        <v/>
      </c>
      <c r="O474" s="8">
        <f>IF(ISNA(MATCH(461,Engine!$C$2:$C$622,0)),"",INDEX('Compliance Database'!$O$2:$O$622,MATCH(461,Engine!$C$2:$C$622,0)))</f>
        <v/>
      </c>
    </row>
    <row r="475">
      <c r="A475">
        <f>IF(ISNA(MATCH(462,Engine!$C$2:$C$622,0)),"",INDEX('Compliance Database'!$A$2:$A$622,MATCH(462,Engine!$C$2:$C$622,0)))</f>
        <v/>
      </c>
      <c r="B475">
        <f>IF(ISNA(MATCH(462,Engine!$C$2:$C$622,0)),"",INDEX('Compliance Database'!$B$2:$B$622,MATCH(462,Engine!$C$2:$C$622,0)))</f>
        <v/>
      </c>
      <c r="C475">
        <f>IF(ISNA(MATCH(462,Engine!$C$2:$C$622,0)),"",INDEX('Compliance Database'!$C$2:$C$622,MATCH(462,Engine!$C$2:$C$622,0)))</f>
        <v/>
      </c>
      <c r="D475" s="8">
        <f>IF(ISNA(MATCH(462,Engine!$C$2:$C$622,0)),"",INDEX('Compliance Database'!$D$2:$D$622,MATCH(462,Engine!$C$2:$C$622,0)))</f>
        <v/>
      </c>
      <c r="E475">
        <f>IF(ISNA(MATCH(462,Engine!$C$2:$C$622,0)),"",INDEX('Compliance Database'!$E$2:$E$622,MATCH(462,Engine!$C$2:$C$622,0)))</f>
        <v/>
      </c>
      <c r="F475">
        <f>IF(ISNA(MATCH(462,Engine!$C$2:$C$622,0)),"",INDEX('Compliance Database'!$F$2:$F$622,MATCH(462,Engine!$C$2:$C$622,0)))</f>
        <v/>
      </c>
      <c r="G475">
        <f>IF(ISNA(MATCH(462,Engine!$C$2:$C$622,0)),"",INDEX('Compliance Database'!$G$2:$G$622,MATCH(462,Engine!$C$2:$C$622,0)))</f>
        <v/>
      </c>
      <c r="H475">
        <f>IF(ISNA(MATCH(462,Engine!$C$2:$C$622,0)),"",INDEX('Compliance Database'!$H$2:$H$622,MATCH(462,Engine!$C$2:$C$622,0)))</f>
        <v/>
      </c>
      <c r="I475" s="8">
        <f>IF(ISNA(MATCH(462,Engine!$C$2:$C$622,0)),"",INDEX('Compliance Database'!$I$2:$I$622,MATCH(462,Engine!$C$2:$C$622,0)))</f>
        <v/>
      </c>
      <c r="J475" s="8">
        <f>IF(ISNA(MATCH(462,Engine!$C$2:$C$622,0)),"",INDEX('Compliance Database'!$J$2:$J$622,MATCH(462,Engine!$C$2:$C$622,0)))</f>
        <v/>
      </c>
      <c r="K475">
        <f>IF(ISNA(MATCH(462,Engine!$C$2:$C$622,0)),"",INDEX('Compliance Database'!$K$2:$K$622,MATCH(462,Engine!$C$2:$C$622,0)))</f>
        <v/>
      </c>
      <c r="L475" s="8">
        <f>IF(ISNA(MATCH(462,Engine!$C$2:$C$622,0)),"",INDEX('Compliance Database'!$L$2:$L$622,MATCH(462,Engine!$C$2:$C$622,0)))</f>
        <v/>
      </c>
      <c r="M475" s="8">
        <f>IF(ISNA(MATCH(462,Engine!$C$2:$C$622,0)),"",INDEX('Compliance Database'!$M$2:$M$622,MATCH(462,Engine!$C$2:$C$622,0)))</f>
        <v/>
      </c>
      <c r="N475" s="8">
        <f>IF(ISNA(MATCH(462,Engine!$C$2:$C$622,0)),"",INDEX('Compliance Database'!$N$2:$N$622,MATCH(462,Engine!$C$2:$C$622,0)))</f>
        <v/>
      </c>
      <c r="O475" s="8">
        <f>IF(ISNA(MATCH(462,Engine!$C$2:$C$622,0)),"",INDEX('Compliance Database'!$O$2:$O$622,MATCH(462,Engine!$C$2:$C$622,0)))</f>
        <v/>
      </c>
    </row>
    <row r="476">
      <c r="A476">
        <f>IF(ISNA(MATCH(463,Engine!$C$2:$C$622,0)),"",INDEX('Compliance Database'!$A$2:$A$622,MATCH(463,Engine!$C$2:$C$622,0)))</f>
        <v/>
      </c>
      <c r="B476">
        <f>IF(ISNA(MATCH(463,Engine!$C$2:$C$622,0)),"",INDEX('Compliance Database'!$B$2:$B$622,MATCH(463,Engine!$C$2:$C$622,0)))</f>
        <v/>
      </c>
      <c r="C476">
        <f>IF(ISNA(MATCH(463,Engine!$C$2:$C$622,0)),"",INDEX('Compliance Database'!$C$2:$C$622,MATCH(463,Engine!$C$2:$C$622,0)))</f>
        <v/>
      </c>
      <c r="D476" s="8">
        <f>IF(ISNA(MATCH(463,Engine!$C$2:$C$622,0)),"",INDEX('Compliance Database'!$D$2:$D$622,MATCH(463,Engine!$C$2:$C$622,0)))</f>
        <v/>
      </c>
      <c r="E476">
        <f>IF(ISNA(MATCH(463,Engine!$C$2:$C$622,0)),"",INDEX('Compliance Database'!$E$2:$E$622,MATCH(463,Engine!$C$2:$C$622,0)))</f>
        <v/>
      </c>
      <c r="F476">
        <f>IF(ISNA(MATCH(463,Engine!$C$2:$C$622,0)),"",INDEX('Compliance Database'!$F$2:$F$622,MATCH(463,Engine!$C$2:$C$622,0)))</f>
        <v/>
      </c>
      <c r="G476">
        <f>IF(ISNA(MATCH(463,Engine!$C$2:$C$622,0)),"",INDEX('Compliance Database'!$G$2:$G$622,MATCH(463,Engine!$C$2:$C$622,0)))</f>
        <v/>
      </c>
      <c r="H476">
        <f>IF(ISNA(MATCH(463,Engine!$C$2:$C$622,0)),"",INDEX('Compliance Database'!$H$2:$H$622,MATCH(463,Engine!$C$2:$C$622,0)))</f>
        <v/>
      </c>
      <c r="I476" s="8">
        <f>IF(ISNA(MATCH(463,Engine!$C$2:$C$622,0)),"",INDEX('Compliance Database'!$I$2:$I$622,MATCH(463,Engine!$C$2:$C$622,0)))</f>
        <v/>
      </c>
      <c r="J476" s="8">
        <f>IF(ISNA(MATCH(463,Engine!$C$2:$C$622,0)),"",INDEX('Compliance Database'!$J$2:$J$622,MATCH(463,Engine!$C$2:$C$622,0)))</f>
        <v/>
      </c>
      <c r="K476">
        <f>IF(ISNA(MATCH(463,Engine!$C$2:$C$622,0)),"",INDEX('Compliance Database'!$K$2:$K$622,MATCH(463,Engine!$C$2:$C$622,0)))</f>
        <v/>
      </c>
      <c r="L476" s="8">
        <f>IF(ISNA(MATCH(463,Engine!$C$2:$C$622,0)),"",INDEX('Compliance Database'!$L$2:$L$622,MATCH(463,Engine!$C$2:$C$622,0)))</f>
        <v/>
      </c>
      <c r="M476" s="8">
        <f>IF(ISNA(MATCH(463,Engine!$C$2:$C$622,0)),"",INDEX('Compliance Database'!$M$2:$M$622,MATCH(463,Engine!$C$2:$C$622,0)))</f>
        <v/>
      </c>
      <c r="N476" s="8">
        <f>IF(ISNA(MATCH(463,Engine!$C$2:$C$622,0)),"",INDEX('Compliance Database'!$N$2:$N$622,MATCH(463,Engine!$C$2:$C$622,0)))</f>
        <v/>
      </c>
      <c r="O476" s="8">
        <f>IF(ISNA(MATCH(463,Engine!$C$2:$C$622,0)),"",INDEX('Compliance Database'!$O$2:$O$622,MATCH(463,Engine!$C$2:$C$622,0)))</f>
        <v/>
      </c>
    </row>
    <row r="477">
      <c r="A477">
        <f>IF(ISNA(MATCH(464,Engine!$C$2:$C$622,0)),"",INDEX('Compliance Database'!$A$2:$A$622,MATCH(464,Engine!$C$2:$C$622,0)))</f>
        <v/>
      </c>
      <c r="B477">
        <f>IF(ISNA(MATCH(464,Engine!$C$2:$C$622,0)),"",INDEX('Compliance Database'!$B$2:$B$622,MATCH(464,Engine!$C$2:$C$622,0)))</f>
        <v/>
      </c>
      <c r="C477">
        <f>IF(ISNA(MATCH(464,Engine!$C$2:$C$622,0)),"",INDEX('Compliance Database'!$C$2:$C$622,MATCH(464,Engine!$C$2:$C$622,0)))</f>
        <v/>
      </c>
      <c r="D477" s="8">
        <f>IF(ISNA(MATCH(464,Engine!$C$2:$C$622,0)),"",INDEX('Compliance Database'!$D$2:$D$622,MATCH(464,Engine!$C$2:$C$622,0)))</f>
        <v/>
      </c>
      <c r="E477">
        <f>IF(ISNA(MATCH(464,Engine!$C$2:$C$622,0)),"",INDEX('Compliance Database'!$E$2:$E$622,MATCH(464,Engine!$C$2:$C$622,0)))</f>
        <v/>
      </c>
      <c r="F477">
        <f>IF(ISNA(MATCH(464,Engine!$C$2:$C$622,0)),"",INDEX('Compliance Database'!$F$2:$F$622,MATCH(464,Engine!$C$2:$C$622,0)))</f>
        <v/>
      </c>
      <c r="G477">
        <f>IF(ISNA(MATCH(464,Engine!$C$2:$C$622,0)),"",INDEX('Compliance Database'!$G$2:$G$622,MATCH(464,Engine!$C$2:$C$622,0)))</f>
        <v/>
      </c>
      <c r="H477">
        <f>IF(ISNA(MATCH(464,Engine!$C$2:$C$622,0)),"",INDEX('Compliance Database'!$H$2:$H$622,MATCH(464,Engine!$C$2:$C$622,0)))</f>
        <v/>
      </c>
      <c r="I477" s="8">
        <f>IF(ISNA(MATCH(464,Engine!$C$2:$C$622,0)),"",INDEX('Compliance Database'!$I$2:$I$622,MATCH(464,Engine!$C$2:$C$622,0)))</f>
        <v/>
      </c>
      <c r="J477" s="8">
        <f>IF(ISNA(MATCH(464,Engine!$C$2:$C$622,0)),"",INDEX('Compliance Database'!$J$2:$J$622,MATCH(464,Engine!$C$2:$C$622,0)))</f>
        <v/>
      </c>
      <c r="K477">
        <f>IF(ISNA(MATCH(464,Engine!$C$2:$C$622,0)),"",INDEX('Compliance Database'!$K$2:$K$622,MATCH(464,Engine!$C$2:$C$622,0)))</f>
        <v/>
      </c>
      <c r="L477" s="8">
        <f>IF(ISNA(MATCH(464,Engine!$C$2:$C$622,0)),"",INDEX('Compliance Database'!$L$2:$L$622,MATCH(464,Engine!$C$2:$C$622,0)))</f>
        <v/>
      </c>
      <c r="M477" s="8">
        <f>IF(ISNA(MATCH(464,Engine!$C$2:$C$622,0)),"",INDEX('Compliance Database'!$M$2:$M$622,MATCH(464,Engine!$C$2:$C$622,0)))</f>
        <v/>
      </c>
      <c r="N477" s="8">
        <f>IF(ISNA(MATCH(464,Engine!$C$2:$C$622,0)),"",INDEX('Compliance Database'!$N$2:$N$622,MATCH(464,Engine!$C$2:$C$622,0)))</f>
        <v/>
      </c>
      <c r="O477" s="8">
        <f>IF(ISNA(MATCH(464,Engine!$C$2:$C$622,0)),"",INDEX('Compliance Database'!$O$2:$O$622,MATCH(464,Engine!$C$2:$C$622,0)))</f>
        <v/>
      </c>
    </row>
    <row r="478">
      <c r="A478">
        <f>IF(ISNA(MATCH(465,Engine!$C$2:$C$622,0)),"",INDEX('Compliance Database'!$A$2:$A$622,MATCH(465,Engine!$C$2:$C$622,0)))</f>
        <v/>
      </c>
      <c r="B478">
        <f>IF(ISNA(MATCH(465,Engine!$C$2:$C$622,0)),"",INDEX('Compliance Database'!$B$2:$B$622,MATCH(465,Engine!$C$2:$C$622,0)))</f>
        <v/>
      </c>
      <c r="C478">
        <f>IF(ISNA(MATCH(465,Engine!$C$2:$C$622,0)),"",INDEX('Compliance Database'!$C$2:$C$622,MATCH(465,Engine!$C$2:$C$622,0)))</f>
        <v/>
      </c>
      <c r="D478" s="8">
        <f>IF(ISNA(MATCH(465,Engine!$C$2:$C$622,0)),"",INDEX('Compliance Database'!$D$2:$D$622,MATCH(465,Engine!$C$2:$C$622,0)))</f>
        <v/>
      </c>
      <c r="E478">
        <f>IF(ISNA(MATCH(465,Engine!$C$2:$C$622,0)),"",INDEX('Compliance Database'!$E$2:$E$622,MATCH(465,Engine!$C$2:$C$622,0)))</f>
        <v/>
      </c>
      <c r="F478">
        <f>IF(ISNA(MATCH(465,Engine!$C$2:$C$622,0)),"",INDEX('Compliance Database'!$F$2:$F$622,MATCH(465,Engine!$C$2:$C$622,0)))</f>
        <v/>
      </c>
      <c r="G478">
        <f>IF(ISNA(MATCH(465,Engine!$C$2:$C$622,0)),"",INDEX('Compliance Database'!$G$2:$G$622,MATCH(465,Engine!$C$2:$C$622,0)))</f>
        <v/>
      </c>
      <c r="H478">
        <f>IF(ISNA(MATCH(465,Engine!$C$2:$C$622,0)),"",INDEX('Compliance Database'!$H$2:$H$622,MATCH(465,Engine!$C$2:$C$622,0)))</f>
        <v/>
      </c>
      <c r="I478" s="8">
        <f>IF(ISNA(MATCH(465,Engine!$C$2:$C$622,0)),"",INDEX('Compliance Database'!$I$2:$I$622,MATCH(465,Engine!$C$2:$C$622,0)))</f>
        <v/>
      </c>
      <c r="J478" s="8">
        <f>IF(ISNA(MATCH(465,Engine!$C$2:$C$622,0)),"",INDEX('Compliance Database'!$J$2:$J$622,MATCH(465,Engine!$C$2:$C$622,0)))</f>
        <v/>
      </c>
      <c r="K478">
        <f>IF(ISNA(MATCH(465,Engine!$C$2:$C$622,0)),"",INDEX('Compliance Database'!$K$2:$K$622,MATCH(465,Engine!$C$2:$C$622,0)))</f>
        <v/>
      </c>
      <c r="L478" s="8">
        <f>IF(ISNA(MATCH(465,Engine!$C$2:$C$622,0)),"",INDEX('Compliance Database'!$L$2:$L$622,MATCH(465,Engine!$C$2:$C$622,0)))</f>
        <v/>
      </c>
      <c r="M478" s="8">
        <f>IF(ISNA(MATCH(465,Engine!$C$2:$C$622,0)),"",INDEX('Compliance Database'!$M$2:$M$622,MATCH(465,Engine!$C$2:$C$622,0)))</f>
        <v/>
      </c>
      <c r="N478" s="8">
        <f>IF(ISNA(MATCH(465,Engine!$C$2:$C$622,0)),"",INDEX('Compliance Database'!$N$2:$N$622,MATCH(465,Engine!$C$2:$C$622,0)))</f>
        <v/>
      </c>
      <c r="O478" s="8">
        <f>IF(ISNA(MATCH(465,Engine!$C$2:$C$622,0)),"",INDEX('Compliance Database'!$O$2:$O$622,MATCH(465,Engine!$C$2:$C$622,0)))</f>
        <v/>
      </c>
    </row>
    <row r="479">
      <c r="A479">
        <f>IF(ISNA(MATCH(466,Engine!$C$2:$C$622,0)),"",INDEX('Compliance Database'!$A$2:$A$622,MATCH(466,Engine!$C$2:$C$622,0)))</f>
        <v/>
      </c>
      <c r="B479">
        <f>IF(ISNA(MATCH(466,Engine!$C$2:$C$622,0)),"",INDEX('Compliance Database'!$B$2:$B$622,MATCH(466,Engine!$C$2:$C$622,0)))</f>
        <v/>
      </c>
      <c r="C479">
        <f>IF(ISNA(MATCH(466,Engine!$C$2:$C$622,0)),"",INDEX('Compliance Database'!$C$2:$C$622,MATCH(466,Engine!$C$2:$C$622,0)))</f>
        <v/>
      </c>
      <c r="D479" s="8">
        <f>IF(ISNA(MATCH(466,Engine!$C$2:$C$622,0)),"",INDEX('Compliance Database'!$D$2:$D$622,MATCH(466,Engine!$C$2:$C$622,0)))</f>
        <v/>
      </c>
      <c r="E479">
        <f>IF(ISNA(MATCH(466,Engine!$C$2:$C$622,0)),"",INDEX('Compliance Database'!$E$2:$E$622,MATCH(466,Engine!$C$2:$C$622,0)))</f>
        <v/>
      </c>
      <c r="F479">
        <f>IF(ISNA(MATCH(466,Engine!$C$2:$C$622,0)),"",INDEX('Compliance Database'!$F$2:$F$622,MATCH(466,Engine!$C$2:$C$622,0)))</f>
        <v/>
      </c>
      <c r="G479">
        <f>IF(ISNA(MATCH(466,Engine!$C$2:$C$622,0)),"",INDEX('Compliance Database'!$G$2:$G$622,MATCH(466,Engine!$C$2:$C$622,0)))</f>
        <v/>
      </c>
      <c r="H479">
        <f>IF(ISNA(MATCH(466,Engine!$C$2:$C$622,0)),"",INDEX('Compliance Database'!$H$2:$H$622,MATCH(466,Engine!$C$2:$C$622,0)))</f>
        <v/>
      </c>
      <c r="I479" s="8">
        <f>IF(ISNA(MATCH(466,Engine!$C$2:$C$622,0)),"",INDEX('Compliance Database'!$I$2:$I$622,MATCH(466,Engine!$C$2:$C$622,0)))</f>
        <v/>
      </c>
      <c r="J479" s="8">
        <f>IF(ISNA(MATCH(466,Engine!$C$2:$C$622,0)),"",INDEX('Compliance Database'!$J$2:$J$622,MATCH(466,Engine!$C$2:$C$622,0)))</f>
        <v/>
      </c>
      <c r="K479">
        <f>IF(ISNA(MATCH(466,Engine!$C$2:$C$622,0)),"",INDEX('Compliance Database'!$K$2:$K$622,MATCH(466,Engine!$C$2:$C$622,0)))</f>
        <v/>
      </c>
      <c r="L479" s="8">
        <f>IF(ISNA(MATCH(466,Engine!$C$2:$C$622,0)),"",INDEX('Compliance Database'!$L$2:$L$622,MATCH(466,Engine!$C$2:$C$622,0)))</f>
        <v/>
      </c>
      <c r="M479" s="8">
        <f>IF(ISNA(MATCH(466,Engine!$C$2:$C$622,0)),"",INDEX('Compliance Database'!$M$2:$M$622,MATCH(466,Engine!$C$2:$C$622,0)))</f>
        <v/>
      </c>
      <c r="N479" s="8">
        <f>IF(ISNA(MATCH(466,Engine!$C$2:$C$622,0)),"",INDEX('Compliance Database'!$N$2:$N$622,MATCH(466,Engine!$C$2:$C$622,0)))</f>
        <v/>
      </c>
      <c r="O479" s="8">
        <f>IF(ISNA(MATCH(466,Engine!$C$2:$C$622,0)),"",INDEX('Compliance Database'!$O$2:$O$622,MATCH(466,Engine!$C$2:$C$622,0)))</f>
        <v/>
      </c>
    </row>
    <row r="480">
      <c r="A480">
        <f>IF(ISNA(MATCH(467,Engine!$C$2:$C$622,0)),"",INDEX('Compliance Database'!$A$2:$A$622,MATCH(467,Engine!$C$2:$C$622,0)))</f>
        <v/>
      </c>
      <c r="B480">
        <f>IF(ISNA(MATCH(467,Engine!$C$2:$C$622,0)),"",INDEX('Compliance Database'!$B$2:$B$622,MATCH(467,Engine!$C$2:$C$622,0)))</f>
        <v/>
      </c>
      <c r="C480">
        <f>IF(ISNA(MATCH(467,Engine!$C$2:$C$622,0)),"",INDEX('Compliance Database'!$C$2:$C$622,MATCH(467,Engine!$C$2:$C$622,0)))</f>
        <v/>
      </c>
      <c r="D480" s="8">
        <f>IF(ISNA(MATCH(467,Engine!$C$2:$C$622,0)),"",INDEX('Compliance Database'!$D$2:$D$622,MATCH(467,Engine!$C$2:$C$622,0)))</f>
        <v/>
      </c>
      <c r="E480">
        <f>IF(ISNA(MATCH(467,Engine!$C$2:$C$622,0)),"",INDEX('Compliance Database'!$E$2:$E$622,MATCH(467,Engine!$C$2:$C$622,0)))</f>
        <v/>
      </c>
      <c r="F480">
        <f>IF(ISNA(MATCH(467,Engine!$C$2:$C$622,0)),"",INDEX('Compliance Database'!$F$2:$F$622,MATCH(467,Engine!$C$2:$C$622,0)))</f>
        <v/>
      </c>
      <c r="G480">
        <f>IF(ISNA(MATCH(467,Engine!$C$2:$C$622,0)),"",INDEX('Compliance Database'!$G$2:$G$622,MATCH(467,Engine!$C$2:$C$622,0)))</f>
        <v/>
      </c>
      <c r="H480">
        <f>IF(ISNA(MATCH(467,Engine!$C$2:$C$622,0)),"",INDEX('Compliance Database'!$H$2:$H$622,MATCH(467,Engine!$C$2:$C$622,0)))</f>
        <v/>
      </c>
      <c r="I480" s="8">
        <f>IF(ISNA(MATCH(467,Engine!$C$2:$C$622,0)),"",INDEX('Compliance Database'!$I$2:$I$622,MATCH(467,Engine!$C$2:$C$622,0)))</f>
        <v/>
      </c>
      <c r="J480" s="8">
        <f>IF(ISNA(MATCH(467,Engine!$C$2:$C$622,0)),"",INDEX('Compliance Database'!$J$2:$J$622,MATCH(467,Engine!$C$2:$C$622,0)))</f>
        <v/>
      </c>
      <c r="K480">
        <f>IF(ISNA(MATCH(467,Engine!$C$2:$C$622,0)),"",INDEX('Compliance Database'!$K$2:$K$622,MATCH(467,Engine!$C$2:$C$622,0)))</f>
        <v/>
      </c>
      <c r="L480" s="8">
        <f>IF(ISNA(MATCH(467,Engine!$C$2:$C$622,0)),"",INDEX('Compliance Database'!$L$2:$L$622,MATCH(467,Engine!$C$2:$C$622,0)))</f>
        <v/>
      </c>
      <c r="M480" s="8">
        <f>IF(ISNA(MATCH(467,Engine!$C$2:$C$622,0)),"",INDEX('Compliance Database'!$M$2:$M$622,MATCH(467,Engine!$C$2:$C$622,0)))</f>
        <v/>
      </c>
      <c r="N480" s="8">
        <f>IF(ISNA(MATCH(467,Engine!$C$2:$C$622,0)),"",INDEX('Compliance Database'!$N$2:$N$622,MATCH(467,Engine!$C$2:$C$622,0)))</f>
        <v/>
      </c>
      <c r="O480" s="8">
        <f>IF(ISNA(MATCH(467,Engine!$C$2:$C$622,0)),"",INDEX('Compliance Database'!$O$2:$O$622,MATCH(467,Engine!$C$2:$C$622,0)))</f>
        <v/>
      </c>
    </row>
    <row r="481">
      <c r="A481">
        <f>IF(ISNA(MATCH(468,Engine!$C$2:$C$622,0)),"",INDEX('Compliance Database'!$A$2:$A$622,MATCH(468,Engine!$C$2:$C$622,0)))</f>
        <v/>
      </c>
      <c r="B481">
        <f>IF(ISNA(MATCH(468,Engine!$C$2:$C$622,0)),"",INDEX('Compliance Database'!$B$2:$B$622,MATCH(468,Engine!$C$2:$C$622,0)))</f>
        <v/>
      </c>
      <c r="C481">
        <f>IF(ISNA(MATCH(468,Engine!$C$2:$C$622,0)),"",INDEX('Compliance Database'!$C$2:$C$622,MATCH(468,Engine!$C$2:$C$622,0)))</f>
        <v/>
      </c>
      <c r="D481" s="8">
        <f>IF(ISNA(MATCH(468,Engine!$C$2:$C$622,0)),"",INDEX('Compliance Database'!$D$2:$D$622,MATCH(468,Engine!$C$2:$C$622,0)))</f>
        <v/>
      </c>
      <c r="E481">
        <f>IF(ISNA(MATCH(468,Engine!$C$2:$C$622,0)),"",INDEX('Compliance Database'!$E$2:$E$622,MATCH(468,Engine!$C$2:$C$622,0)))</f>
        <v/>
      </c>
      <c r="F481">
        <f>IF(ISNA(MATCH(468,Engine!$C$2:$C$622,0)),"",INDEX('Compliance Database'!$F$2:$F$622,MATCH(468,Engine!$C$2:$C$622,0)))</f>
        <v/>
      </c>
      <c r="G481">
        <f>IF(ISNA(MATCH(468,Engine!$C$2:$C$622,0)),"",INDEX('Compliance Database'!$G$2:$G$622,MATCH(468,Engine!$C$2:$C$622,0)))</f>
        <v/>
      </c>
      <c r="H481">
        <f>IF(ISNA(MATCH(468,Engine!$C$2:$C$622,0)),"",INDEX('Compliance Database'!$H$2:$H$622,MATCH(468,Engine!$C$2:$C$622,0)))</f>
        <v/>
      </c>
      <c r="I481" s="8">
        <f>IF(ISNA(MATCH(468,Engine!$C$2:$C$622,0)),"",INDEX('Compliance Database'!$I$2:$I$622,MATCH(468,Engine!$C$2:$C$622,0)))</f>
        <v/>
      </c>
      <c r="J481" s="8">
        <f>IF(ISNA(MATCH(468,Engine!$C$2:$C$622,0)),"",INDEX('Compliance Database'!$J$2:$J$622,MATCH(468,Engine!$C$2:$C$622,0)))</f>
        <v/>
      </c>
      <c r="K481">
        <f>IF(ISNA(MATCH(468,Engine!$C$2:$C$622,0)),"",INDEX('Compliance Database'!$K$2:$K$622,MATCH(468,Engine!$C$2:$C$622,0)))</f>
        <v/>
      </c>
      <c r="L481" s="8">
        <f>IF(ISNA(MATCH(468,Engine!$C$2:$C$622,0)),"",INDEX('Compliance Database'!$L$2:$L$622,MATCH(468,Engine!$C$2:$C$622,0)))</f>
        <v/>
      </c>
      <c r="M481" s="8">
        <f>IF(ISNA(MATCH(468,Engine!$C$2:$C$622,0)),"",INDEX('Compliance Database'!$M$2:$M$622,MATCH(468,Engine!$C$2:$C$622,0)))</f>
        <v/>
      </c>
      <c r="N481" s="8">
        <f>IF(ISNA(MATCH(468,Engine!$C$2:$C$622,0)),"",INDEX('Compliance Database'!$N$2:$N$622,MATCH(468,Engine!$C$2:$C$622,0)))</f>
        <v/>
      </c>
      <c r="O481" s="8">
        <f>IF(ISNA(MATCH(468,Engine!$C$2:$C$622,0)),"",INDEX('Compliance Database'!$O$2:$O$622,MATCH(468,Engine!$C$2:$C$622,0)))</f>
        <v/>
      </c>
    </row>
    <row r="482">
      <c r="A482">
        <f>IF(ISNA(MATCH(469,Engine!$C$2:$C$622,0)),"",INDEX('Compliance Database'!$A$2:$A$622,MATCH(469,Engine!$C$2:$C$622,0)))</f>
        <v/>
      </c>
      <c r="B482">
        <f>IF(ISNA(MATCH(469,Engine!$C$2:$C$622,0)),"",INDEX('Compliance Database'!$B$2:$B$622,MATCH(469,Engine!$C$2:$C$622,0)))</f>
        <v/>
      </c>
      <c r="C482">
        <f>IF(ISNA(MATCH(469,Engine!$C$2:$C$622,0)),"",INDEX('Compliance Database'!$C$2:$C$622,MATCH(469,Engine!$C$2:$C$622,0)))</f>
        <v/>
      </c>
      <c r="D482" s="8">
        <f>IF(ISNA(MATCH(469,Engine!$C$2:$C$622,0)),"",INDEX('Compliance Database'!$D$2:$D$622,MATCH(469,Engine!$C$2:$C$622,0)))</f>
        <v/>
      </c>
      <c r="E482">
        <f>IF(ISNA(MATCH(469,Engine!$C$2:$C$622,0)),"",INDEX('Compliance Database'!$E$2:$E$622,MATCH(469,Engine!$C$2:$C$622,0)))</f>
        <v/>
      </c>
      <c r="F482">
        <f>IF(ISNA(MATCH(469,Engine!$C$2:$C$622,0)),"",INDEX('Compliance Database'!$F$2:$F$622,MATCH(469,Engine!$C$2:$C$622,0)))</f>
        <v/>
      </c>
      <c r="G482">
        <f>IF(ISNA(MATCH(469,Engine!$C$2:$C$622,0)),"",INDEX('Compliance Database'!$G$2:$G$622,MATCH(469,Engine!$C$2:$C$622,0)))</f>
        <v/>
      </c>
      <c r="H482">
        <f>IF(ISNA(MATCH(469,Engine!$C$2:$C$622,0)),"",INDEX('Compliance Database'!$H$2:$H$622,MATCH(469,Engine!$C$2:$C$622,0)))</f>
        <v/>
      </c>
      <c r="I482" s="8">
        <f>IF(ISNA(MATCH(469,Engine!$C$2:$C$622,0)),"",INDEX('Compliance Database'!$I$2:$I$622,MATCH(469,Engine!$C$2:$C$622,0)))</f>
        <v/>
      </c>
      <c r="J482" s="8">
        <f>IF(ISNA(MATCH(469,Engine!$C$2:$C$622,0)),"",INDEX('Compliance Database'!$J$2:$J$622,MATCH(469,Engine!$C$2:$C$622,0)))</f>
        <v/>
      </c>
      <c r="K482">
        <f>IF(ISNA(MATCH(469,Engine!$C$2:$C$622,0)),"",INDEX('Compliance Database'!$K$2:$K$622,MATCH(469,Engine!$C$2:$C$622,0)))</f>
        <v/>
      </c>
      <c r="L482" s="8">
        <f>IF(ISNA(MATCH(469,Engine!$C$2:$C$622,0)),"",INDEX('Compliance Database'!$L$2:$L$622,MATCH(469,Engine!$C$2:$C$622,0)))</f>
        <v/>
      </c>
      <c r="M482" s="8">
        <f>IF(ISNA(MATCH(469,Engine!$C$2:$C$622,0)),"",INDEX('Compliance Database'!$M$2:$M$622,MATCH(469,Engine!$C$2:$C$622,0)))</f>
        <v/>
      </c>
      <c r="N482" s="8">
        <f>IF(ISNA(MATCH(469,Engine!$C$2:$C$622,0)),"",INDEX('Compliance Database'!$N$2:$N$622,MATCH(469,Engine!$C$2:$C$622,0)))</f>
        <v/>
      </c>
      <c r="O482" s="8">
        <f>IF(ISNA(MATCH(469,Engine!$C$2:$C$622,0)),"",INDEX('Compliance Database'!$O$2:$O$622,MATCH(469,Engine!$C$2:$C$622,0)))</f>
        <v/>
      </c>
    </row>
    <row r="483">
      <c r="A483">
        <f>IF(ISNA(MATCH(470,Engine!$C$2:$C$622,0)),"",INDEX('Compliance Database'!$A$2:$A$622,MATCH(470,Engine!$C$2:$C$622,0)))</f>
        <v/>
      </c>
      <c r="B483">
        <f>IF(ISNA(MATCH(470,Engine!$C$2:$C$622,0)),"",INDEX('Compliance Database'!$B$2:$B$622,MATCH(470,Engine!$C$2:$C$622,0)))</f>
        <v/>
      </c>
      <c r="C483">
        <f>IF(ISNA(MATCH(470,Engine!$C$2:$C$622,0)),"",INDEX('Compliance Database'!$C$2:$C$622,MATCH(470,Engine!$C$2:$C$622,0)))</f>
        <v/>
      </c>
      <c r="D483" s="8">
        <f>IF(ISNA(MATCH(470,Engine!$C$2:$C$622,0)),"",INDEX('Compliance Database'!$D$2:$D$622,MATCH(470,Engine!$C$2:$C$622,0)))</f>
        <v/>
      </c>
      <c r="E483">
        <f>IF(ISNA(MATCH(470,Engine!$C$2:$C$622,0)),"",INDEX('Compliance Database'!$E$2:$E$622,MATCH(470,Engine!$C$2:$C$622,0)))</f>
        <v/>
      </c>
      <c r="F483">
        <f>IF(ISNA(MATCH(470,Engine!$C$2:$C$622,0)),"",INDEX('Compliance Database'!$F$2:$F$622,MATCH(470,Engine!$C$2:$C$622,0)))</f>
        <v/>
      </c>
      <c r="G483">
        <f>IF(ISNA(MATCH(470,Engine!$C$2:$C$622,0)),"",INDEX('Compliance Database'!$G$2:$G$622,MATCH(470,Engine!$C$2:$C$622,0)))</f>
        <v/>
      </c>
      <c r="H483">
        <f>IF(ISNA(MATCH(470,Engine!$C$2:$C$622,0)),"",INDEX('Compliance Database'!$H$2:$H$622,MATCH(470,Engine!$C$2:$C$622,0)))</f>
        <v/>
      </c>
      <c r="I483" s="8">
        <f>IF(ISNA(MATCH(470,Engine!$C$2:$C$622,0)),"",INDEX('Compliance Database'!$I$2:$I$622,MATCH(470,Engine!$C$2:$C$622,0)))</f>
        <v/>
      </c>
      <c r="J483" s="8">
        <f>IF(ISNA(MATCH(470,Engine!$C$2:$C$622,0)),"",INDEX('Compliance Database'!$J$2:$J$622,MATCH(470,Engine!$C$2:$C$622,0)))</f>
        <v/>
      </c>
      <c r="K483">
        <f>IF(ISNA(MATCH(470,Engine!$C$2:$C$622,0)),"",INDEX('Compliance Database'!$K$2:$K$622,MATCH(470,Engine!$C$2:$C$622,0)))</f>
        <v/>
      </c>
      <c r="L483" s="8">
        <f>IF(ISNA(MATCH(470,Engine!$C$2:$C$622,0)),"",INDEX('Compliance Database'!$L$2:$L$622,MATCH(470,Engine!$C$2:$C$622,0)))</f>
        <v/>
      </c>
      <c r="M483" s="8">
        <f>IF(ISNA(MATCH(470,Engine!$C$2:$C$622,0)),"",INDEX('Compliance Database'!$M$2:$M$622,MATCH(470,Engine!$C$2:$C$622,0)))</f>
        <v/>
      </c>
      <c r="N483" s="8">
        <f>IF(ISNA(MATCH(470,Engine!$C$2:$C$622,0)),"",INDEX('Compliance Database'!$N$2:$N$622,MATCH(470,Engine!$C$2:$C$622,0)))</f>
        <v/>
      </c>
      <c r="O483" s="8">
        <f>IF(ISNA(MATCH(470,Engine!$C$2:$C$622,0)),"",INDEX('Compliance Database'!$O$2:$O$622,MATCH(470,Engine!$C$2:$C$622,0)))</f>
        <v/>
      </c>
    </row>
    <row r="484">
      <c r="A484">
        <f>IF(ISNA(MATCH(471,Engine!$C$2:$C$622,0)),"",INDEX('Compliance Database'!$A$2:$A$622,MATCH(471,Engine!$C$2:$C$622,0)))</f>
        <v/>
      </c>
      <c r="B484">
        <f>IF(ISNA(MATCH(471,Engine!$C$2:$C$622,0)),"",INDEX('Compliance Database'!$B$2:$B$622,MATCH(471,Engine!$C$2:$C$622,0)))</f>
        <v/>
      </c>
      <c r="C484">
        <f>IF(ISNA(MATCH(471,Engine!$C$2:$C$622,0)),"",INDEX('Compliance Database'!$C$2:$C$622,MATCH(471,Engine!$C$2:$C$622,0)))</f>
        <v/>
      </c>
      <c r="D484" s="8">
        <f>IF(ISNA(MATCH(471,Engine!$C$2:$C$622,0)),"",INDEX('Compliance Database'!$D$2:$D$622,MATCH(471,Engine!$C$2:$C$622,0)))</f>
        <v/>
      </c>
      <c r="E484">
        <f>IF(ISNA(MATCH(471,Engine!$C$2:$C$622,0)),"",INDEX('Compliance Database'!$E$2:$E$622,MATCH(471,Engine!$C$2:$C$622,0)))</f>
        <v/>
      </c>
      <c r="F484">
        <f>IF(ISNA(MATCH(471,Engine!$C$2:$C$622,0)),"",INDEX('Compliance Database'!$F$2:$F$622,MATCH(471,Engine!$C$2:$C$622,0)))</f>
        <v/>
      </c>
      <c r="G484">
        <f>IF(ISNA(MATCH(471,Engine!$C$2:$C$622,0)),"",INDEX('Compliance Database'!$G$2:$G$622,MATCH(471,Engine!$C$2:$C$622,0)))</f>
        <v/>
      </c>
      <c r="H484">
        <f>IF(ISNA(MATCH(471,Engine!$C$2:$C$622,0)),"",INDEX('Compliance Database'!$H$2:$H$622,MATCH(471,Engine!$C$2:$C$622,0)))</f>
        <v/>
      </c>
      <c r="I484" s="8">
        <f>IF(ISNA(MATCH(471,Engine!$C$2:$C$622,0)),"",INDEX('Compliance Database'!$I$2:$I$622,MATCH(471,Engine!$C$2:$C$622,0)))</f>
        <v/>
      </c>
      <c r="J484" s="8">
        <f>IF(ISNA(MATCH(471,Engine!$C$2:$C$622,0)),"",INDEX('Compliance Database'!$J$2:$J$622,MATCH(471,Engine!$C$2:$C$622,0)))</f>
        <v/>
      </c>
      <c r="K484">
        <f>IF(ISNA(MATCH(471,Engine!$C$2:$C$622,0)),"",INDEX('Compliance Database'!$K$2:$K$622,MATCH(471,Engine!$C$2:$C$622,0)))</f>
        <v/>
      </c>
      <c r="L484" s="8">
        <f>IF(ISNA(MATCH(471,Engine!$C$2:$C$622,0)),"",INDEX('Compliance Database'!$L$2:$L$622,MATCH(471,Engine!$C$2:$C$622,0)))</f>
        <v/>
      </c>
      <c r="M484" s="8">
        <f>IF(ISNA(MATCH(471,Engine!$C$2:$C$622,0)),"",INDEX('Compliance Database'!$M$2:$M$622,MATCH(471,Engine!$C$2:$C$622,0)))</f>
        <v/>
      </c>
      <c r="N484" s="8">
        <f>IF(ISNA(MATCH(471,Engine!$C$2:$C$622,0)),"",INDEX('Compliance Database'!$N$2:$N$622,MATCH(471,Engine!$C$2:$C$622,0)))</f>
        <v/>
      </c>
      <c r="O484" s="8">
        <f>IF(ISNA(MATCH(471,Engine!$C$2:$C$622,0)),"",INDEX('Compliance Database'!$O$2:$O$622,MATCH(471,Engine!$C$2:$C$622,0)))</f>
        <v/>
      </c>
    </row>
    <row r="485">
      <c r="A485">
        <f>IF(ISNA(MATCH(472,Engine!$C$2:$C$622,0)),"",INDEX('Compliance Database'!$A$2:$A$622,MATCH(472,Engine!$C$2:$C$622,0)))</f>
        <v/>
      </c>
      <c r="B485">
        <f>IF(ISNA(MATCH(472,Engine!$C$2:$C$622,0)),"",INDEX('Compliance Database'!$B$2:$B$622,MATCH(472,Engine!$C$2:$C$622,0)))</f>
        <v/>
      </c>
      <c r="C485">
        <f>IF(ISNA(MATCH(472,Engine!$C$2:$C$622,0)),"",INDEX('Compliance Database'!$C$2:$C$622,MATCH(472,Engine!$C$2:$C$622,0)))</f>
        <v/>
      </c>
      <c r="D485" s="8">
        <f>IF(ISNA(MATCH(472,Engine!$C$2:$C$622,0)),"",INDEX('Compliance Database'!$D$2:$D$622,MATCH(472,Engine!$C$2:$C$622,0)))</f>
        <v/>
      </c>
      <c r="E485">
        <f>IF(ISNA(MATCH(472,Engine!$C$2:$C$622,0)),"",INDEX('Compliance Database'!$E$2:$E$622,MATCH(472,Engine!$C$2:$C$622,0)))</f>
        <v/>
      </c>
      <c r="F485">
        <f>IF(ISNA(MATCH(472,Engine!$C$2:$C$622,0)),"",INDEX('Compliance Database'!$F$2:$F$622,MATCH(472,Engine!$C$2:$C$622,0)))</f>
        <v/>
      </c>
      <c r="G485">
        <f>IF(ISNA(MATCH(472,Engine!$C$2:$C$622,0)),"",INDEX('Compliance Database'!$G$2:$G$622,MATCH(472,Engine!$C$2:$C$622,0)))</f>
        <v/>
      </c>
      <c r="H485">
        <f>IF(ISNA(MATCH(472,Engine!$C$2:$C$622,0)),"",INDEX('Compliance Database'!$H$2:$H$622,MATCH(472,Engine!$C$2:$C$622,0)))</f>
        <v/>
      </c>
      <c r="I485" s="8">
        <f>IF(ISNA(MATCH(472,Engine!$C$2:$C$622,0)),"",INDEX('Compliance Database'!$I$2:$I$622,MATCH(472,Engine!$C$2:$C$622,0)))</f>
        <v/>
      </c>
      <c r="J485" s="8">
        <f>IF(ISNA(MATCH(472,Engine!$C$2:$C$622,0)),"",INDEX('Compliance Database'!$J$2:$J$622,MATCH(472,Engine!$C$2:$C$622,0)))</f>
        <v/>
      </c>
      <c r="K485">
        <f>IF(ISNA(MATCH(472,Engine!$C$2:$C$622,0)),"",INDEX('Compliance Database'!$K$2:$K$622,MATCH(472,Engine!$C$2:$C$622,0)))</f>
        <v/>
      </c>
      <c r="L485" s="8">
        <f>IF(ISNA(MATCH(472,Engine!$C$2:$C$622,0)),"",INDEX('Compliance Database'!$L$2:$L$622,MATCH(472,Engine!$C$2:$C$622,0)))</f>
        <v/>
      </c>
      <c r="M485" s="8">
        <f>IF(ISNA(MATCH(472,Engine!$C$2:$C$622,0)),"",INDEX('Compliance Database'!$M$2:$M$622,MATCH(472,Engine!$C$2:$C$622,0)))</f>
        <v/>
      </c>
      <c r="N485" s="8">
        <f>IF(ISNA(MATCH(472,Engine!$C$2:$C$622,0)),"",INDEX('Compliance Database'!$N$2:$N$622,MATCH(472,Engine!$C$2:$C$622,0)))</f>
        <v/>
      </c>
      <c r="O485" s="8">
        <f>IF(ISNA(MATCH(472,Engine!$C$2:$C$622,0)),"",INDEX('Compliance Database'!$O$2:$O$622,MATCH(472,Engine!$C$2:$C$622,0)))</f>
        <v/>
      </c>
    </row>
    <row r="486">
      <c r="A486">
        <f>IF(ISNA(MATCH(473,Engine!$C$2:$C$622,0)),"",INDEX('Compliance Database'!$A$2:$A$622,MATCH(473,Engine!$C$2:$C$622,0)))</f>
        <v/>
      </c>
      <c r="B486">
        <f>IF(ISNA(MATCH(473,Engine!$C$2:$C$622,0)),"",INDEX('Compliance Database'!$B$2:$B$622,MATCH(473,Engine!$C$2:$C$622,0)))</f>
        <v/>
      </c>
      <c r="C486">
        <f>IF(ISNA(MATCH(473,Engine!$C$2:$C$622,0)),"",INDEX('Compliance Database'!$C$2:$C$622,MATCH(473,Engine!$C$2:$C$622,0)))</f>
        <v/>
      </c>
      <c r="D486" s="8">
        <f>IF(ISNA(MATCH(473,Engine!$C$2:$C$622,0)),"",INDEX('Compliance Database'!$D$2:$D$622,MATCH(473,Engine!$C$2:$C$622,0)))</f>
        <v/>
      </c>
      <c r="E486">
        <f>IF(ISNA(MATCH(473,Engine!$C$2:$C$622,0)),"",INDEX('Compliance Database'!$E$2:$E$622,MATCH(473,Engine!$C$2:$C$622,0)))</f>
        <v/>
      </c>
      <c r="F486">
        <f>IF(ISNA(MATCH(473,Engine!$C$2:$C$622,0)),"",INDEX('Compliance Database'!$F$2:$F$622,MATCH(473,Engine!$C$2:$C$622,0)))</f>
        <v/>
      </c>
      <c r="G486">
        <f>IF(ISNA(MATCH(473,Engine!$C$2:$C$622,0)),"",INDEX('Compliance Database'!$G$2:$G$622,MATCH(473,Engine!$C$2:$C$622,0)))</f>
        <v/>
      </c>
      <c r="H486">
        <f>IF(ISNA(MATCH(473,Engine!$C$2:$C$622,0)),"",INDEX('Compliance Database'!$H$2:$H$622,MATCH(473,Engine!$C$2:$C$622,0)))</f>
        <v/>
      </c>
      <c r="I486" s="8">
        <f>IF(ISNA(MATCH(473,Engine!$C$2:$C$622,0)),"",INDEX('Compliance Database'!$I$2:$I$622,MATCH(473,Engine!$C$2:$C$622,0)))</f>
        <v/>
      </c>
      <c r="J486" s="8">
        <f>IF(ISNA(MATCH(473,Engine!$C$2:$C$622,0)),"",INDEX('Compliance Database'!$J$2:$J$622,MATCH(473,Engine!$C$2:$C$622,0)))</f>
        <v/>
      </c>
      <c r="K486">
        <f>IF(ISNA(MATCH(473,Engine!$C$2:$C$622,0)),"",INDEX('Compliance Database'!$K$2:$K$622,MATCH(473,Engine!$C$2:$C$622,0)))</f>
        <v/>
      </c>
      <c r="L486" s="8">
        <f>IF(ISNA(MATCH(473,Engine!$C$2:$C$622,0)),"",INDEX('Compliance Database'!$L$2:$L$622,MATCH(473,Engine!$C$2:$C$622,0)))</f>
        <v/>
      </c>
      <c r="M486" s="8">
        <f>IF(ISNA(MATCH(473,Engine!$C$2:$C$622,0)),"",INDEX('Compliance Database'!$M$2:$M$622,MATCH(473,Engine!$C$2:$C$622,0)))</f>
        <v/>
      </c>
      <c r="N486" s="8">
        <f>IF(ISNA(MATCH(473,Engine!$C$2:$C$622,0)),"",INDEX('Compliance Database'!$N$2:$N$622,MATCH(473,Engine!$C$2:$C$622,0)))</f>
        <v/>
      </c>
      <c r="O486" s="8">
        <f>IF(ISNA(MATCH(473,Engine!$C$2:$C$622,0)),"",INDEX('Compliance Database'!$O$2:$O$622,MATCH(473,Engine!$C$2:$C$622,0)))</f>
        <v/>
      </c>
    </row>
    <row r="487">
      <c r="A487">
        <f>IF(ISNA(MATCH(474,Engine!$C$2:$C$622,0)),"",INDEX('Compliance Database'!$A$2:$A$622,MATCH(474,Engine!$C$2:$C$622,0)))</f>
        <v/>
      </c>
      <c r="B487">
        <f>IF(ISNA(MATCH(474,Engine!$C$2:$C$622,0)),"",INDEX('Compliance Database'!$B$2:$B$622,MATCH(474,Engine!$C$2:$C$622,0)))</f>
        <v/>
      </c>
      <c r="C487">
        <f>IF(ISNA(MATCH(474,Engine!$C$2:$C$622,0)),"",INDEX('Compliance Database'!$C$2:$C$622,MATCH(474,Engine!$C$2:$C$622,0)))</f>
        <v/>
      </c>
      <c r="D487" s="8">
        <f>IF(ISNA(MATCH(474,Engine!$C$2:$C$622,0)),"",INDEX('Compliance Database'!$D$2:$D$622,MATCH(474,Engine!$C$2:$C$622,0)))</f>
        <v/>
      </c>
      <c r="E487">
        <f>IF(ISNA(MATCH(474,Engine!$C$2:$C$622,0)),"",INDEX('Compliance Database'!$E$2:$E$622,MATCH(474,Engine!$C$2:$C$622,0)))</f>
        <v/>
      </c>
      <c r="F487">
        <f>IF(ISNA(MATCH(474,Engine!$C$2:$C$622,0)),"",INDEX('Compliance Database'!$F$2:$F$622,MATCH(474,Engine!$C$2:$C$622,0)))</f>
        <v/>
      </c>
      <c r="G487">
        <f>IF(ISNA(MATCH(474,Engine!$C$2:$C$622,0)),"",INDEX('Compliance Database'!$G$2:$G$622,MATCH(474,Engine!$C$2:$C$622,0)))</f>
        <v/>
      </c>
      <c r="H487">
        <f>IF(ISNA(MATCH(474,Engine!$C$2:$C$622,0)),"",INDEX('Compliance Database'!$H$2:$H$622,MATCH(474,Engine!$C$2:$C$622,0)))</f>
        <v/>
      </c>
      <c r="I487" s="8">
        <f>IF(ISNA(MATCH(474,Engine!$C$2:$C$622,0)),"",INDEX('Compliance Database'!$I$2:$I$622,MATCH(474,Engine!$C$2:$C$622,0)))</f>
        <v/>
      </c>
      <c r="J487" s="8">
        <f>IF(ISNA(MATCH(474,Engine!$C$2:$C$622,0)),"",INDEX('Compliance Database'!$J$2:$J$622,MATCH(474,Engine!$C$2:$C$622,0)))</f>
        <v/>
      </c>
      <c r="K487">
        <f>IF(ISNA(MATCH(474,Engine!$C$2:$C$622,0)),"",INDEX('Compliance Database'!$K$2:$K$622,MATCH(474,Engine!$C$2:$C$622,0)))</f>
        <v/>
      </c>
      <c r="L487" s="8">
        <f>IF(ISNA(MATCH(474,Engine!$C$2:$C$622,0)),"",INDEX('Compliance Database'!$L$2:$L$622,MATCH(474,Engine!$C$2:$C$622,0)))</f>
        <v/>
      </c>
      <c r="M487" s="8">
        <f>IF(ISNA(MATCH(474,Engine!$C$2:$C$622,0)),"",INDEX('Compliance Database'!$M$2:$M$622,MATCH(474,Engine!$C$2:$C$622,0)))</f>
        <v/>
      </c>
      <c r="N487" s="8">
        <f>IF(ISNA(MATCH(474,Engine!$C$2:$C$622,0)),"",INDEX('Compliance Database'!$N$2:$N$622,MATCH(474,Engine!$C$2:$C$622,0)))</f>
        <v/>
      </c>
      <c r="O487" s="8">
        <f>IF(ISNA(MATCH(474,Engine!$C$2:$C$622,0)),"",INDEX('Compliance Database'!$O$2:$O$622,MATCH(474,Engine!$C$2:$C$622,0)))</f>
        <v/>
      </c>
    </row>
    <row r="488">
      <c r="A488">
        <f>IF(ISNA(MATCH(475,Engine!$C$2:$C$622,0)),"",INDEX('Compliance Database'!$A$2:$A$622,MATCH(475,Engine!$C$2:$C$622,0)))</f>
        <v/>
      </c>
      <c r="B488">
        <f>IF(ISNA(MATCH(475,Engine!$C$2:$C$622,0)),"",INDEX('Compliance Database'!$B$2:$B$622,MATCH(475,Engine!$C$2:$C$622,0)))</f>
        <v/>
      </c>
      <c r="C488">
        <f>IF(ISNA(MATCH(475,Engine!$C$2:$C$622,0)),"",INDEX('Compliance Database'!$C$2:$C$622,MATCH(475,Engine!$C$2:$C$622,0)))</f>
        <v/>
      </c>
      <c r="D488" s="8">
        <f>IF(ISNA(MATCH(475,Engine!$C$2:$C$622,0)),"",INDEX('Compliance Database'!$D$2:$D$622,MATCH(475,Engine!$C$2:$C$622,0)))</f>
        <v/>
      </c>
      <c r="E488">
        <f>IF(ISNA(MATCH(475,Engine!$C$2:$C$622,0)),"",INDEX('Compliance Database'!$E$2:$E$622,MATCH(475,Engine!$C$2:$C$622,0)))</f>
        <v/>
      </c>
      <c r="F488">
        <f>IF(ISNA(MATCH(475,Engine!$C$2:$C$622,0)),"",INDEX('Compliance Database'!$F$2:$F$622,MATCH(475,Engine!$C$2:$C$622,0)))</f>
        <v/>
      </c>
      <c r="G488">
        <f>IF(ISNA(MATCH(475,Engine!$C$2:$C$622,0)),"",INDEX('Compliance Database'!$G$2:$G$622,MATCH(475,Engine!$C$2:$C$622,0)))</f>
        <v/>
      </c>
      <c r="H488">
        <f>IF(ISNA(MATCH(475,Engine!$C$2:$C$622,0)),"",INDEX('Compliance Database'!$H$2:$H$622,MATCH(475,Engine!$C$2:$C$622,0)))</f>
        <v/>
      </c>
      <c r="I488" s="8">
        <f>IF(ISNA(MATCH(475,Engine!$C$2:$C$622,0)),"",INDEX('Compliance Database'!$I$2:$I$622,MATCH(475,Engine!$C$2:$C$622,0)))</f>
        <v/>
      </c>
      <c r="J488" s="8">
        <f>IF(ISNA(MATCH(475,Engine!$C$2:$C$622,0)),"",INDEX('Compliance Database'!$J$2:$J$622,MATCH(475,Engine!$C$2:$C$622,0)))</f>
        <v/>
      </c>
      <c r="K488">
        <f>IF(ISNA(MATCH(475,Engine!$C$2:$C$622,0)),"",INDEX('Compliance Database'!$K$2:$K$622,MATCH(475,Engine!$C$2:$C$622,0)))</f>
        <v/>
      </c>
      <c r="L488" s="8">
        <f>IF(ISNA(MATCH(475,Engine!$C$2:$C$622,0)),"",INDEX('Compliance Database'!$L$2:$L$622,MATCH(475,Engine!$C$2:$C$622,0)))</f>
        <v/>
      </c>
      <c r="M488" s="8">
        <f>IF(ISNA(MATCH(475,Engine!$C$2:$C$622,0)),"",INDEX('Compliance Database'!$M$2:$M$622,MATCH(475,Engine!$C$2:$C$622,0)))</f>
        <v/>
      </c>
      <c r="N488" s="8">
        <f>IF(ISNA(MATCH(475,Engine!$C$2:$C$622,0)),"",INDEX('Compliance Database'!$N$2:$N$622,MATCH(475,Engine!$C$2:$C$622,0)))</f>
        <v/>
      </c>
      <c r="O488" s="8">
        <f>IF(ISNA(MATCH(475,Engine!$C$2:$C$622,0)),"",INDEX('Compliance Database'!$O$2:$O$622,MATCH(475,Engine!$C$2:$C$622,0)))</f>
        <v/>
      </c>
    </row>
    <row r="489">
      <c r="A489">
        <f>IF(ISNA(MATCH(476,Engine!$C$2:$C$622,0)),"",INDEX('Compliance Database'!$A$2:$A$622,MATCH(476,Engine!$C$2:$C$622,0)))</f>
        <v/>
      </c>
      <c r="B489">
        <f>IF(ISNA(MATCH(476,Engine!$C$2:$C$622,0)),"",INDEX('Compliance Database'!$B$2:$B$622,MATCH(476,Engine!$C$2:$C$622,0)))</f>
        <v/>
      </c>
      <c r="C489">
        <f>IF(ISNA(MATCH(476,Engine!$C$2:$C$622,0)),"",INDEX('Compliance Database'!$C$2:$C$622,MATCH(476,Engine!$C$2:$C$622,0)))</f>
        <v/>
      </c>
      <c r="D489" s="8">
        <f>IF(ISNA(MATCH(476,Engine!$C$2:$C$622,0)),"",INDEX('Compliance Database'!$D$2:$D$622,MATCH(476,Engine!$C$2:$C$622,0)))</f>
        <v/>
      </c>
      <c r="E489">
        <f>IF(ISNA(MATCH(476,Engine!$C$2:$C$622,0)),"",INDEX('Compliance Database'!$E$2:$E$622,MATCH(476,Engine!$C$2:$C$622,0)))</f>
        <v/>
      </c>
      <c r="F489">
        <f>IF(ISNA(MATCH(476,Engine!$C$2:$C$622,0)),"",INDEX('Compliance Database'!$F$2:$F$622,MATCH(476,Engine!$C$2:$C$622,0)))</f>
        <v/>
      </c>
      <c r="G489">
        <f>IF(ISNA(MATCH(476,Engine!$C$2:$C$622,0)),"",INDEX('Compliance Database'!$G$2:$G$622,MATCH(476,Engine!$C$2:$C$622,0)))</f>
        <v/>
      </c>
      <c r="H489">
        <f>IF(ISNA(MATCH(476,Engine!$C$2:$C$622,0)),"",INDEX('Compliance Database'!$H$2:$H$622,MATCH(476,Engine!$C$2:$C$622,0)))</f>
        <v/>
      </c>
      <c r="I489" s="8">
        <f>IF(ISNA(MATCH(476,Engine!$C$2:$C$622,0)),"",INDEX('Compliance Database'!$I$2:$I$622,MATCH(476,Engine!$C$2:$C$622,0)))</f>
        <v/>
      </c>
      <c r="J489" s="8">
        <f>IF(ISNA(MATCH(476,Engine!$C$2:$C$622,0)),"",INDEX('Compliance Database'!$J$2:$J$622,MATCH(476,Engine!$C$2:$C$622,0)))</f>
        <v/>
      </c>
      <c r="K489">
        <f>IF(ISNA(MATCH(476,Engine!$C$2:$C$622,0)),"",INDEX('Compliance Database'!$K$2:$K$622,MATCH(476,Engine!$C$2:$C$622,0)))</f>
        <v/>
      </c>
      <c r="L489" s="8">
        <f>IF(ISNA(MATCH(476,Engine!$C$2:$C$622,0)),"",INDEX('Compliance Database'!$L$2:$L$622,MATCH(476,Engine!$C$2:$C$622,0)))</f>
        <v/>
      </c>
      <c r="M489" s="8">
        <f>IF(ISNA(MATCH(476,Engine!$C$2:$C$622,0)),"",INDEX('Compliance Database'!$M$2:$M$622,MATCH(476,Engine!$C$2:$C$622,0)))</f>
        <v/>
      </c>
      <c r="N489" s="8">
        <f>IF(ISNA(MATCH(476,Engine!$C$2:$C$622,0)),"",INDEX('Compliance Database'!$N$2:$N$622,MATCH(476,Engine!$C$2:$C$622,0)))</f>
        <v/>
      </c>
      <c r="O489" s="8">
        <f>IF(ISNA(MATCH(476,Engine!$C$2:$C$622,0)),"",INDEX('Compliance Database'!$O$2:$O$622,MATCH(476,Engine!$C$2:$C$622,0)))</f>
        <v/>
      </c>
    </row>
    <row r="490">
      <c r="A490">
        <f>IF(ISNA(MATCH(477,Engine!$C$2:$C$622,0)),"",INDEX('Compliance Database'!$A$2:$A$622,MATCH(477,Engine!$C$2:$C$622,0)))</f>
        <v/>
      </c>
      <c r="B490">
        <f>IF(ISNA(MATCH(477,Engine!$C$2:$C$622,0)),"",INDEX('Compliance Database'!$B$2:$B$622,MATCH(477,Engine!$C$2:$C$622,0)))</f>
        <v/>
      </c>
      <c r="C490">
        <f>IF(ISNA(MATCH(477,Engine!$C$2:$C$622,0)),"",INDEX('Compliance Database'!$C$2:$C$622,MATCH(477,Engine!$C$2:$C$622,0)))</f>
        <v/>
      </c>
      <c r="D490" s="8">
        <f>IF(ISNA(MATCH(477,Engine!$C$2:$C$622,0)),"",INDEX('Compliance Database'!$D$2:$D$622,MATCH(477,Engine!$C$2:$C$622,0)))</f>
        <v/>
      </c>
      <c r="E490">
        <f>IF(ISNA(MATCH(477,Engine!$C$2:$C$622,0)),"",INDEX('Compliance Database'!$E$2:$E$622,MATCH(477,Engine!$C$2:$C$622,0)))</f>
        <v/>
      </c>
      <c r="F490">
        <f>IF(ISNA(MATCH(477,Engine!$C$2:$C$622,0)),"",INDEX('Compliance Database'!$F$2:$F$622,MATCH(477,Engine!$C$2:$C$622,0)))</f>
        <v/>
      </c>
      <c r="G490">
        <f>IF(ISNA(MATCH(477,Engine!$C$2:$C$622,0)),"",INDEX('Compliance Database'!$G$2:$G$622,MATCH(477,Engine!$C$2:$C$622,0)))</f>
        <v/>
      </c>
      <c r="H490">
        <f>IF(ISNA(MATCH(477,Engine!$C$2:$C$622,0)),"",INDEX('Compliance Database'!$H$2:$H$622,MATCH(477,Engine!$C$2:$C$622,0)))</f>
        <v/>
      </c>
      <c r="I490" s="8">
        <f>IF(ISNA(MATCH(477,Engine!$C$2:$C$622,0)),"",INDEX('Compliance Database'!$I$2:$I$622,MATCH(477,Engine!$C$2:$C$622,0)))</f>
        <v/>
      </c>
      <c r="J490" s="8">
        <f>IF(ISNA(MATCH(477,Engine!$C$2:$C$622,0)),"",INDEX('Compliance Database'!$J$2:$J$622,MATCH(477,Engine!$C$2:$C$622,0)))</f>
        <v/>
      </c>
      <c r="K490">
        <f>IF(ISNA(MATCH(477,Engine!$C$2:$C$622,0)),"",INDEX('Compliance Database'!$K$2:$K$622,MATCH(477,Engine!$C$2:$C$622,0)))</f>
        <v/>
      </c>
      <c r="L490" s="8">
        <f>IF(ISNA(MATCH(477,Engine!$C$2:$C$622,0)),"",INDEX('Compliance Database'!$L$2:$L$622,MATCH(477,Engine!$C$2:$C$622,0)))</f>
        <v/>
      </c>
      <c r="M490" s="8">
        <f>IF(ISNA(MATCH(477,Engine!$C$2:$C$622,0)),"",INDEX('Compliance Database'!$M$2:$M$622,MATCH(477,Engine!$C$2:$C$622,0)))</f>
        <v/>
      </c>
      <c r="N490" s="8">
        <f>IF(ISNA(MATCH(477,Engine!$C$2:$C$622,0)),"",INDEX('Compliance Database'!$N$2:$N$622,MATCH(477,Engine!$C$2:$C$622,0)))</f>
        <v/>
      </c>
      <c r="O490" s="8">
        <f>IF(ISNA(MATCH(477,Engine!$C$2:$C$622,0)),"",INDEX('Compliance Database'!$O$2:$O$622,MATCH(477,Engine!$C$2:$C$622,0)))</f>
        <v/>
      </c>
    </row>
    <row r="491">
      <c r="A491">
        <f>IF(ISNA(MATCH(478,Engine!$C$2:$C$622,0)),"",INDEX('Compliance Database'!$A$2:$A$622,MATCH(478,Engine!$C$2:$C$622,0)))</f>
        <v/>
      </c>
      <c r="B491">
        <f>IF(ISNA(MATCH(478,Engine!$C$2:$C$622,0)),"",INDEX('Compliance Database'!$B$2:$B$622,MATCH(478,Engine!$C$2:$C$622,0)))</f>
        <v/>
      </c>
      <c r="C491">
        <f>IF(ISNA(MATCH(478,Engine!$C$2:$C$622,0)),"",INDEX('Compliance Database'!$C$2:$C$622,MATCH(478,Engine!$C$2:$C$622,0)))</f>
        <v/>
      </c>
      <c r="D491" s="8">
        <f>IF(ISNA(MATCH(478,Engine!$C$2:$C$622,0)),"",INDEX('Compliance Database'!$D$2:$D$622,MATCH(478,Engine!$C$2:$C$622,0)))</f>
        <v/>
      </c>
      <c r="E491">
        <f>IF(ISNA(MATCH(478,Engine!$C$2:$C$622,0)),"",INDEX('Compliance Database'!$E$2:$E$622,MATCH(478,Engine!$C$2:$C$622,0)))</f>
        <v/>
      </c>
      <c r="F491">
        <f>IF(ISNA(MATCH(478,Engine!$C$2:$C$622,0)),"",INDEX('Compliance Database'!$F$2:$F$622,MATCH(478,Engine!$C$2:$C$622,0)))</f>
        <v/>
      </c>
      <c r="G491">
        <f>IF(ISNA(MATCH(478,Engine!$C$2:$C$622,0)),"",INDEX('Compliance Database'!$G$2:$G$622,MATCH(478,Engine!$C$2:$C$622,0)))</f>
        <v/>
      </c>
      <c r="H491">
        <f>IF(ISNA(MATCH(478,Engine!$C$2:$C$622,0)),"",INDEX('Compliance Database'!$H$2:$H$622,MATCH(478,Engine!$C$2:$C$622,0)))</f>
        <v/>
      </c>
      <c r="I491" s="8">
        <f>IF(ISNA(MATCH(478,Engine!$C$2:$C$622,0)),"",INDEX('Compliance Database'!$I$2:$I$622,MATCH(478,Engine!$C$2:$C$622,0)))</f>
        <v/>
      </c>
      <c r="J491" s="8">
        <f>IF(ISNA(MATCH(478,Engine!$C$2:$C$622,0)),"",INDEX('Compliance Database'!$J$2:$J$622,MATCH(478,Engine!$C$2:$C$622,0)))</f>
        <v/>
      </c>
      <c r="K491">
        <f>IF(ISNA(MATCH(478,Engine!$C$2:$C$622,0)),"",INDEX('Compliance Database'!$K$2:$K$622,MATCH(478,Engine!$C$2:$C$622,0)))</f>
        <v/>
      </c>
      <c r="L491" s="8">
        <f>IF(ISNA(MATCH(478,Engine!$C$2:$C$622,0)),"",INDEX('Compliance Database'!$L$2:$L$622,MATCH(478,Engine!$C$2:$C$622,0)))</f>
        <v/>
      </c>
      <c r="M491" s="8">
        <f>IF(ISNA(MATCH(478,Engine!$C$2:$C$622,0)),"",INDEX('Compliance Database'!$M$2:$M$622,MATCH(478,Engine!$C$2:$C$622,0)))</f>
        <v/>
      </c>
      <c r="N491" s="8">
        <f>IF(ISNA(MATCH(478,Engine!$C$2:$C$622,0)),"",INDEX('Compliance Database'!$N$2:$N$622,MATCH(478,Engine!$C$2:$C$622,0)))</f>
        <v/>
      </c>
      <c r="O491" s="8">
        <f>IF(ISNA(MATCH(478,Engine!$C$2:$C$622,0)),"",INDEX('Compliance Database'!$O$2:$O$622,MATCH(478,Engine!$C$2:$C$622,0)))</f>
        <v/>
      </c>
    </row>
    <row r="492">
      <c r="A492">
        <f>IF(ISNA(MATCH(479,Engine!$C$2:$C$622,0)),"",INDEX('Compliance Database'!$A$2:$A$622,MATCH(479,Engine!$C$2:$C$622,0)))</f>
        <v/>
      </c>
      <c r="B492">
        <f>IF(ISNA(MATCH(479,Engine!$C$2:$C$622,0)),"",INDEX('Compliance Database'!$B$2:$B$622,MATCH(479,Engine!$C$2:$C$622,0)))</f>
        <v/>
      </c>
      <c r="C492">
        <f>IF(ISNA(MATCH(479,Engine!$C$2:$C$622,0)),"",INDEX('Compliance Database'!$C$2:$C$622,MATCH(479,Engine!$C$2:$C$622,0)))</f>
        <v/>
      </c>
      <c r="D492" s="8">
        <f>IF(ISNA(MATCH(479,Engine!$C$2:$C$622,0)),"",INDEX('Compliance Database'!$D$2:$D$622,MATCH(479,Engine!$C$2:$C$622,0)))</f>
        <v/>
      </c>
      <c r="E492">
        <f>IF(ISNA(MATCH(479,Engine!$C$2:$C$622,0)),"",INDEX('Compliance Database'!$E$2:$E$622,MATCH(479,Engine!$C$2:$C$622,0)))</f>
        <v/>
      </c>
      <c r="F492">
        <f>IF(ISNA(MATCH(479,Engine!$C$2:$C$622,0)),"",INDEX('Compliance Database'!$F$2:$F$622,MATCH(479,Engine!$C$2:$C$622,0)))</f>
        <v/>
      </c>
      <c r="G492">
        <f>IF(ISNA(MATCH(479,Engine!$C$2:$C$622,0)),"",INDEX('Compliance Database'!$G$2:$G$622,MATCH(479,Engine!$C$2:$C$622,0)))</f>
        <v/>
      </c>
      <c r="H492">
        <f>IF(ISNA(MATCH(479,Engine!$C$2:$C$622,0)),"",INDEX('Compliance Database'!$H$2:$H$622,MATCH(479,Engine!$C$2:$C$622,0)))</f>
        <v/>
      </c>
      <c r="I492" s="8">
        <f>IF(ISNA(MATCH(479,Engine!$C$2:$C$622,0)),"",INDEX('Compliance Database'!$I$2:$I$622,MATCH(479,Engine!$C$2:$C$622,0)))</f>
        <v/>
      </c>
      <c r="J492" s="8">
        <f>IF(ISNA(MATCH(479,Engine!$C$2:$C$622,0)),"",INDEX('Compliance Database'!$J$2:$J$622,MATCH(479,Engine!$C$2:$C$622,0)))</f>
        <v/>
      </c>
      <c r="K492">
        <f>IF(ISNA(MATCH(479,Engine!$C$2:$C$622,0)),"",INDEX('Compliance Database'!$K$2:$K$622,MATCH(479,Engine!$C$2:$C$622,0)))</f>
        <v/>
      </c>
      <c r="L492" s="8">
        <f>IF(ISNA(MATCH(479,Engine!$C$2:$C$622,0)),"",INDEX('Compliance Database'!$L$2:$L$622,MATCH(479,Engine!$C$2:$C$622,0)))</f>
        <v/>
      </c>
      <c r="M492" s="8">
        <f>IF(ISNA(MATCH(479,Engine!$C$2:$C$622,0)),"",INDEX('Compliance Database'!$M$2:$M$622,MATCH(479,Engine!$C$2:$C$622,0)))</f>
        <v/>
      </c>
      <c r="N492" s="8">
        <f>IF(ISNA(MATCH(479,Engine!$C$2:$C$622,0)),"",INDEX('Compliance Database'!$N$2:$N$622,MATCH(479,Engine!$C$2:$C$622,0)))</f>
        <v/>
      </c>
      <c r="O492" s="8">
        <f>IF(ISNA(MATCH(479,Engine!$C$2:$C$622,0)),"",INDEX('Compliance Database'!$O$2:$O$622,MATCH(479,Engine!$C$2:$C$622,0)))</f>
        <v/>
      </c>
    </row>
    <row r="493">
      <c r="A493">
        <f>IF(ISNA(MATCH(480,Engine!$C$2:$C$622,0)),"",INDEX('Compliance Database'!$A$2:$A$622,MATCH(480,Engine!$C$2:$C$622,0)))</f>
        <v/>
      </c>
      <c r="B493">
        <f>IF(ISNA(MATCH(480,Engine!$C$2:$C$622,0)),"",INDEX('Compliance Database'!$B$2:$B$622,MATCH(480,Engine!$C$2:$C$622,0)))</f>
        <v/>
      </c>
      <c r="C493">
        <f>IF(ISNA(MATCH(480,Engine!$C$2:$C$622,0)),"",INDEX('Compliance Database'!$C$2:$C$622,MATCH(480,Engine!$C$2:$C$622,0)))</f>
        <v/>
      </c>
      <c r="D493" s="8">
        <f>IF(ISNA(MATCH(480,Engine!$C$2:$C$622,0)),"",INDEX('Compliance Database'!$D$2:$D$622,MATCH(480,Engine!$C$2:$C$622,0)))</f>
        <v/>
      </c>
      <c r="E493">
        <f>IF(ISNA(MATCH(480,Engine!$C$2:$C$622,0)),"",INDEX('Compliance Database'!$E$2:$E$622,MATCH(480,Engine!$C$2:$C$622,0)))</f>
        <v/>
      </c>
      <c r="F493">
        <f>IF(ISNA(MATCH(480,Engine!$C$2:$C$622,0)),"",INDEX('Compliance Database'!$F$2:$F$622,MATCH(480,Engine!$C$2:$C$622,0)))</f>
        <v/>
      </c>
      <c r="G493">
        <f>IF(ISNA(MATCH(480,Engine!$C$2:$C$622,0)),"",INDEX('Compliance Database'!$G$2:$G$622,MATCH(480,Engine!$C$2:$C$622,0)))</f>
        <v/>
      </c>
      <c r="H493">
        <f>IF(ISNA(MATCH(480,Engine!$C$2:$C$622,0)),"",INDEX('Compliance Database'!$H$2:$H$622,MATCH(480,Engine!$C$2:$C$622,0)))</f>
        <v/>
      </c>
      <c r="I493" s="8">
        <f>IF(ISNA(MATCH(480,Engine!$C$2:$C$622,0)),"",INDEX('Compliance Database'!$I$2:$I$622,MATCH(480,Engine!$C$2:$C$622,0)))</f>
        <v/>
      </c>
      <c r="J493" s="8">
        <f>IF(ISNA(MATCH(480,Engine!$C$2:$C$622,0)),"",INDEX('Compliance Database'!$J$2:$J$622,MATCH(480,Engine!$C$2:$C$622,0)))</f>
        <v/>
      </c>
      <c r="K493">
        <f>IF(ISNA(MATCH(480,Engine!$C$2:$C$622,0)),"",INDEX('Compliance Database'!$K$2:$K$622,MATCH(480,Engine!$C$2:$C$622,0)))</f>
        <v/>
      </c>
      <c r="L493" s="8">
        <f>IF(ISNA(MATCH(480,Engine!$C$2:$C$622,0)),"",INDEX('Compliance Database'!$L$2:$L$622,MATCH(480,Engine!$C$2:$C$622,0)))</f>
        <v/>
      </c>
      <c r="M493" s="8">
        <f>IF(ISNA(MATCH(480,Engine!$C$2:$C$622,0)),"",INDEX('Compliance Database'!$M$2:$M$622,MATCH(480,Engine!$C$2:$C$622,0)))</f>
        <v/>
      </c>
      <c r="N493" s="8">
        <f>IF(ISNA(MATCH(480,Engine!$C$2:$C$622,0)),"",INDEX('Compliance Database'!$N$2:$N$622,MATCH(480,Engine!$C$2:$C$622,0)))</f>
        <v/>
      </c>
      <c r="O493" s="8">
        <f>IF(ISNA(MATCH(480,Engine!$C$2:$C$622,0)),"",INDEX('Compliance Database'!$O$2:$O$622,MATCH(480,Engine!$C$2:$C$622,0)))</f>
        <v/>
      </c>
    </row>
    <row r="494">
      <c r="A494">
        <f>IF(ISNA(MATCH(481,Engine!$C$2:$C$622,0)),"",INDEX('Compliance Database'!$A$2:$A$622,MATCH(481,Engine!$C$2:$C$622,0)))</f>
        <v/>
      </c>
      <c r="B494">
        <f>IF(ISNA(MATCH(481,Engine!$C$2:$C$622,0)),"",INDEX('Compliance Database'!$B$2:$B$622,MATCH(481,Engine!$C$2:$C$622,0)))</f>
        <v/>
      </c>
      <c r="C494">
        <f>IF(ISNA(MATCH(481,Engine!$C$2:$C$622,0)),"",INDEX('Compliance Database'!$C$2:$C$622,MATCH(481,Engine!$C$2:$C$622,0)))</f>
        <v/>
      </c>
      <c r="D494" s="8">
        <f>IF(ISNA(MATCH(481,Engine!$C$2:$C$622,0)),"",INDEX('Compliance Database'!$D$2:$D$622,MATCH(481,Engine!$C$2:$C$622,0)))</f>
        <v/>
      </c>
      <c r="E494">
        <f>IF(ISNA(MATCH(481,Engine!$C$2:$C$622,0)),"",INDEX('Compliance Database'!$E$2:$E$622,MATCH(481,Engine!$C$2:$C$622,0)))</f>
        <v/>
      </c>
      <c r="F494">
        <f>IF(ISNA(MATCH(481,Engine!$C$2:$C$622,0)),"",INDEX('Compliance Database'!$F$2:$F$622,MATCH(481,Engine!$C$2:$C$622,0)))</f>
        <v/>
      </c>
      <c r="G494">
        <f>IF(ISNA(MATCH(481,Engine!$C$2:$C$622,0)),"",INDEX('Compliance Database'!$G$2:$G$622,MATCH(481,Engine!$C$2:$C$622,0)))</f>
        <v/>
      </c>
      <c r="H494">
        <f>IF(ISNA(MATCH(481,Engine!$C$2:$C$622,0)),"",INDEX('Compliance Database'!$H$2:$H$622,MATCH(481,Engine!$C$2:$C$622,0)))</f>
        <v/>
      </c>
      <c r="I494" s="8">
        <f>IF(ISNA(MATCH(481,Engine!$C$2:$C$622,0)),"",INDEX('Compliance Database'!$I$2:$I$622,MATCH(481,Engine!$C$2:$C$622,0)))</f>
        <v/>
      </c>
      <c r="J494" s="8">
        <f>IF(ISNA(MATCH(481,Engine!$C$2:$C$622,0)),"",INDEX('Compliance Database'!$J$2:$J$622,MATCH(481,Engine!$C$2:$C$622,0)))</f>
        <v/>
      </c>
      <c r="K494">
        <f>IF(ISNA(MATCH(481,Engine!$C$2:$C$622,0)),"",INDEX('Compliance Database'!$K$2:$K$622,MATCH(481,Engine!$C$2:$C$622,0)))</f>
        <v/>
      </c>
      <c r="L494" s="8">
        <f>IF(ISNA(MATCH(481,Engine!$C$2:$C$622,0)),"",INDEX('Compliance Database'!$L$2:$L$622,MATCH(481,Engine!$C$2:$C$622,0)))</f>
        <v/>
      </c>
      <c r="M494" s="8">
        <f>IF(ISNA(MATCH(481,Engine!$C$2:$C$622,0)),"",INDEX('Compliance Database'!$M$2:$M$622,MATCH(481,Engine!$C$2:$C$622,0)))</f>
        <v/>
      </c>
      <c r="N494" s="8">
        <f>IF(ISNA(MATCH(481,Engine!$C$2:$C$622,0)),"",INDEX('Compliance Database'!$N$2:$N$622,MATCH(481,Engine!$C$2:$C$622,0)))</f>
        <v/>
      </c>
      <c r="O494" s="8">
        <f>IF(ISNA(MATCH(481,Engine!$C$2:$C$622,0)),"",INDEX('Compliance Database'!$O$2:$O$622,MATCH(481,Engine!$C$2:$C$622,0)))</f>
        <v/>
      </c>
    </row>
    <row r="495">
      <c r="A495">
        <f>IF(ISNA(MATCH(482,Engine!$C$2:$C$622,0)),"",INDEX('Compliance Database'!$A$2:$A$622,MATCH(482,Engine!$C$2:$C$622,0)))</f>
        <v/>
      </c>
      <c r="B495">
        <f>IF(ISNA(MATCH(482,Engine!$C$2:$C$622,0)),"",INDEX('Compliance Database'!$B$2:$B$622,MATCH(482,Engine!$C$2:$C$622,0)))</f>
        <v/>
      </c>
      <c r="C495">
        <f>IF(ISNA(MATCH(482,Engine!$C$2:$C$622,0)),"",INDEX('Compliance Database'!$C$2:$C$622,MATCH(482,Engine!$C$2:$C$622,0)))</f>
        <v/>
      </c>
      <c r="D495" s="8">
        <f>IF(ISNA(MATCH(482,Engine!$C$2:$C$622,0)),"",INDEX('Compliance Database'!$D$2:$D$622,MATCH(482,Engine!$C$2:$C$622,0)))</f>
        <v/>
      </c>
      <c r="E495">
        <f>IF(ISNA(MATCH(482,Engine!$C$2:$C$622,0)),"",INDEX('Compliance Database'!$E$2:$E$622,MATCH(482,Engine!$C$2:$C$622,0)))</f>
        <v/>
      </c>
      <c r="F495">
        <f>IF(ISNA(MATCH(482,Engine!$C$2:$C$622,0)),"",INDEX('Compliance Database'!$F$2:$F$622,MATCH(482,Engine!$C$2:$C$622,0)))</f>
        <v/>
      </c>
      <c r="G495">
        <f>IF(ISNA(MATCH(482,Engine!$C$2:$C$622,0)),"",INDEX('Compliance Database'!$G$2:$G$622,MATCH(482,Engine!$C$2:$C$622,0)))</f>
        <v/>
      </c>
      <c r="H495">
        <f>IF(ISNA(MATCH(482,Engine!$C$2:$C$622,0)),"",INDEX('Compliance Database'!$H$2:$H$622,MATCH(482,Engine!$C$2:$C$622,0)))</f>
        <v/>
      </c>
      <c r="I495" s="8">
        <f>IF(ISNA(MATCH(482,Engine!$C$2:$C$622,0)),"",INDEX('Compliance Database'!$I$2:$I$622,MATCH(482,Engine!$C$2:$C$622,0)))</f>
        <v/>
      </c>
      <c r="J495" s="8">
        <f>IF(ISNA(MATCH(482,Engine!$C$2:$C$622,0)),"",INDEX('Compliance Database'!$J$2:$J$622,MATCH(482,Engine!$C$2:$C$622,0)))</f>
        <v/>
      </c>
      <c r="K495">
        <f>IF(ISNA(MATCH(482,Engine!$C$2:$C$622,0)),"",INDEX('Compliance Database'!$K$2:$K$622,MATCH(482,Engine!$C$2:$C$622,0)))</f>
        <v/>
      </c>
      <c r="L495" s="8">
        <f>IF(ISNA(MATCH(482,Engine!$C$2:$C$622,0)),"",INDEX('Compliance Database'!$L$2:$L$622,MATCH(482,Engine!$C$2:$C$622,0)))</f>
        <v/>
      </c>
      <c r="M495" s="8">
        <f>IF(ISNA(MATCH(482,Engine!$C$2:$C$622,0)),"",INDEX('Compliance Database'!$M$2:$M$622,MATCH(482,Engine!$C$2:$C$622,0)))</f>
        <v/>
      </c>
      <c r="N495" s="8">
        <f>IF(ISNA(MATCH(482,Engine!$C$2:$C$622,0)),"",INDEX('Compliance Database'!$N$2:$N$622,MATCH(482,Engine!$C$2:$C$622,0)))</f>
        <v/>
      </c>
      <c r="O495" s="8">
        <f>IF(ISNA(MATCH(482,Engine!$C$2:$C$622,0)),"",INDEX('Compliance Database'!$O$2:$O$622,MATCH(482,Engine!$C$2:$C$622,0)))</f>
        <v/>
      </c>
    </row>
    <row r="496">
      <c r="A496">
        <f>IF(ISNA(MATCH(483,Engine!$C$2:$C$622,0)),"",INDEX('Compliance Database'!$A$2:$A$622,MATCH(483,Engine!$C$2:$C$622,0)))</f>
        <v/>
      </c>
      <c r="B496">
        <f>IF(ISNA(MATCH(483,Engine!$C$2:$C$622,0)),"",INDEX('Compliance Database'!$B$2:$B$622,MATCH(483,Engine!$C$2:$C$622,0)))</f>
        <v/>
      </c>
      <c r="C496">
        <f>IF(ISNA(MATCH(483,Engine!$C$2:$C$622,0)),"",INDEX('Compliance Database'!$C$2:$C$622,MATCH(483,Engine!$C$2:$C$622,0)))</f>
        <v/>
      </c>
      <c r="D496" s="8">
        <f>IF(ISNA(MATCH(483,Engine!$C$2:$C$622,0)),"",INDEX('Compliance Database'!$D$2:$D$622,MATCH(483,Engine!$C$2:$C$622,0)))</f>
        <v/>
      </c>
      <c r="E496">
        <f>IF(ISNA(MATCH(483,Engine!$C$2:$C$622,0)),"",INDEX('Compliance Database'!$E$2:$E$622,MATCH(483,Engine!$C$2:$C$622,0)))</f>
        <v/>
      </c>
      <c r="F496">
        <f>IF(ISNA(MATCH(483,Engine!$C$2:$C$622,0)),"",INDEX('Compliance Database'!$F$2:$F$622,MATCH(483,Engine!$C$2:$C$622,0)))</f>
        <v/>
      </c>
      <c r="G496">
        <f>IF(ISNA(MATCH(483,Engine!$C$2:$C$622,0)),"",INDEX('Compliance Database'!$G$2:$G$622,MATCH(483,Engine!$C$2:$C$622,0)))</f>
        <v/>
      </c>
      <c r="H496">
        <f>IF(ISNA(MATCH(483,Engine!$C$2:$C$622,0)),"",INDEX('Compliance Database'!$H$2:$H$622,MATCH(483,Engine!$C$2:$C$622,0)))</f>
        <v/>
      </c>
      <c r="I496" s="8">
        <f>IF(ISNA(MATCH(483,Engine!$C$2:$C$622,0)),"",INDEX('Compliance Database'!$I$2:$I$622,MATCH(483,Engine!$C$2:$C$622,0)))</f>
        <v/>
      </c>
      <c r="J496" s="8">
        <f>IF(ISNA(MATCH(483,Engine!$C$2:$C$622,0)),"",INDEX('Compliance Database'!$J$2:$J$622,MATCH(483,Engine!$C$2:$C$622,0)))</f>
        <v/>
      </c>
      <c r="K496">
        <f>IF(ISNA(MATCH(483,Engine!$C$2:$C$622,0)),"",INDEX('Compliance Database'!$K$2:$K$622,MATCH(483,Engine!$C$2:$C$622,0)))</f>
        <v/>
      </c>
      <c r="L496" s="8">
        <f>IF(ISNA(MATCH(483,Engine!$C$2:$C$622,0)),"",INDEX('Compliance Database'!$L$2:$L$622,MATCH(483,Engine!$C$2:$C$622,0)))</f>
        <v/>
      </c>
      <c r="M496" s="8">
        <f>IF(ISNA(MATCH(483,Engine!$C$2:$C$622,0)),"",INDEX('Compliance Database'!$M$2:$M$622,MATCH(483,Engine!$C$2:$C$622,0)))</f>
        <v/>
      </c>
      <c r="N496" s="8">
        <f>IF(ISNA(MATCH(483,Engine!$C$2:$C$622,0)),"",INDEX('Compliance Database'!$N$2:$N$622,MATCH(483,Engine!$C$2:$C$622,0)))</f>
        <v/>
      </c>
      <c r="O496" s="8">
        <f>IF(ISNA(MATCH(483,Engine!$C$2:$C$622,0)),"",INDEX('Compliance Database'!$O$2:$O$622,MATCH(483,Engine!$C$2:$C$622,0)))</f>
        <v/>
      </c>
    </row>
    <row r="497">
      <c r="A497">
        <f>IF(ISNA(MATCH(484,Engine!$C$2:$C$622,0)),"",INDEX('Compliance Database'!$A$2:$A$622,MATCH(484,Engine!$C$2:$C$622,0)))</f>
        <v/>
      </c>
      <c r="B497">
        <f>IF(ISNA(MATCH(484,Engine!$C$2:$C$622,0)),"",INDEX('Compliance Database'!$B$2:$B$622,MATCH(484,Engine!$C$2:$C$622,0)))</f>
        <v/>
      </c>
      <c r="C497">
        <f>IF(ISNA(MATCH(484,Engine!$C$2:$C$622,0)),"",INDEX('Compliance Database'!$C$2:$C$622,MATCH(484,Engine!$C$2:$C$622,0)))</f>
        <v/>
      </c>
      <c r="D497" s="8">
        <f>IF(ISNA(MATCH(484,Engine!$C$2:$C$622,0)),"",INDEX('Compliance Database'!$D$2:$D$622,MATCH(484,Engine!$C$2:$C$622,0)))</f>
        <v/>
      </c>
      <c r="E497">
        <f>IF(ISNA(MATCH(484,Engine!$C$2:$C$622,0)),"",INDEX('Compliance Database'!$E$2:$E$622,MATCH(484,Engine!$C$2:$C$622,0)))</f>
        <v/>
      </c>
      <c r="F497">
        <f>IF(ISNA(MATCH(484,Engine!$C$2:$C$622,0)),"",INDEX('Compliance Database'!$F$2:$F$622,MATCH(484,Engine!$C$2:$C$622,0)))</f>
        <v/>
      </c>
      <c r="G497">
        <f>IF(ISNA(MATCH(484,Engine!$C$2:$C$622,0)),"",INDEX('Compliance Database'!$G$2:$G$622,MATCH(484,Engine!$C$2:$C$622,0)))</f>
        <v/>
      </c>
      <c r="H497">
        <f>IF(ISNA(MATCH(484,Engine!$C$2:$C$622,0)),"",INDEX('Compliance Database'!$H$2:$H$622,MATCH(484,Engine!$C$2:$C$622,0)))</f>
        <v/>
      </c>
      <c r="I497" s="8">
        <f>IF(ISNA(MATCH(484,Engine!$C$2:$C$622,0)),"",INDEX('Compliance Database'!$I$2:$I$622,MATCH(484,Engine!$C$2:$C$622,0)))</f>
        <v/>
      </c>
      <c r="J497" s="8">
        <f>IF(ISNA(MATCH(484,Engine!$C$2:$C$622,0)),"",INDEX('Compliance Database'!$J$2:$J$622,MATCH(484,Engine!$C$2:$C$622,0)))</f>
        <v/>
      </c>
      <c r="K497">
        <f>IF(ISNA(MATCH(484,Engine!$C$2:$C$622,0)),"",INDEX('Compliance Database'!$K$2:$K$622,MATCH(484,Engine!$C$2:$C$622,0)))</f>
        <v/>
      </c>
      <c r="L497" s="8">
        <f>IF(ISNA(MATCH(484,Engine!$C$2:$C$622,0)),"",INDEX('Compliance Database'!$L$2:$L$622,MATCH(484,Engine!$C$2:$C$622,0)))</f>
        <v/>
      </c>
      <c r="M497" s="8">
        <f>IF(ISNA(MATCH(484,Engine!$C$2:$C$622,0)),"",INDEX('Compliance Database'!$M$2:$M$622,MATCH(484,Engine!$C$2:$C$622,0)))</f>
        <v/>
      </c>
      <c r="N497" s="8">
        <f>IF(ISNA(MATCH(484,Engine!$C$2:$C$622,0)),"",INDEX('Compliance Database'!$N$2:$N$622,MATCH(484,Engine!$C$2:$C$622,0)))</f>
        <v/>
      </c>
      <c r="O497" s="8">
        <f>IF(ISNA(MATCH(484,Engine!$C$2:$C$622,0)),"",INDEX('Compliance Database'!$O$2:$O$622,MATCH(484,Engine!$C$2:$C$622,0)))</f>
        <v/>
      </c>
    </row>
    <row r="498">
      <c r="A498">
        <f>IF(ISNA(MATCH(485,Engine!$C$2:$C$622,0)),"",INDEX('Compliance Database'!$A$2:$A$622,MATCH(485,Engine!$C$2:$C$622,0)))</f>
        <v/>
      </c>
      <c r="B498">
        <f>IF(ISNA(MATCH(485,Engine!$C$2:$C$622,0)),"",INDEX('Compliance Database'!$B$2:$B$622,MATCH(485,Engine!$C$2:$C$622,0)))</f>
        <v/>
      </c>
      <c r="C498">
        <f>IF(ISNA(MATCH(485,Engine!$C$2:$C$622,0)),"",INDEX('Compliance Database'!$C$2:$C$622,MATCH(485,Engine!$C$2:$C$622,0)))</f>
        <v/>
      </c>
      <c r="D498" s="8">
        <f>IF(ISNA(MATCH(485,Engine!$C$2:$C$622,0)),"",INDEX('Compliance Database'!$D$2:$D$622,MATCH(485,Engine!$C$2:$C$622,0)))</f>
        <v/>
      </c>
      <c r="E498">
        <f>IF(ISNA(MATCH(485,Engine!$C$2:$C$622,0)),"",INDEX('Compliance Database'!$E$2:$E$622,MATCH(485,Engine!$C$2:$C$622,0)))</f>
        <v/>
      </c>
      <c r="F498">
        <f>IF(ISNA(MATCH(485,Engine!$C$2:$C$622,0)),"",INDEX('Compliance Database'!$F$2:$F$622,MATCH(485,Engine!$C$2:$C$622,0)))</f>
        <v/>
      </c>
      <c r="G498">
        <f>IF(ISNA(MATCH(485,Engine!$C$2:$C$622,0)),"",INDEX('Compliance Database'!$G$2:$G$622,MATCH(485,Engine!$C$2:$C$622,0)))</f>
        <v/>
      </c>
      <c r="H498">
        <f>IF(ISNA(MATCH(485,Engine!$C$2:$C$622,0)),"",INDEX('Compliance Database'!$H$2:$H$622,MATCH(485,Engine!$C$2:$C$622,0)))</f>
        <v/>
      </c>
      <c r="I498" s="8">
        <f>IF(ISNA(MATCH(485,Engine!$C$2:$C$622,0)),"",INDEX('Compliance Database'!$I$2:$I$622,MATCH(485,Engine!$C$2:$C$622,0)))</f>
        <v/>
      </c>
      <c r="J498" s="8">
        <f>IF(ISNA(MATCH(485,Engine!$C$2:$C$622,0)),"",INDEX('Compliance Database'!$J$2:$J$622,MATCH(485,Engine!$C$2:$C$622,0)))</f>
        <v/>
      </c>
      <c r="K498">
        <f>IF(ISNA(MATCH(485,Engine!$C$2:$C$622,0)),"",INDEX('Compliance Database'!$K$2:$K$622,MATCH(485,Engine!$C$2:$C$622,0)))</f>
        <v/>
      </c>
      <c r="L498" s="8">
        <f>IF(ISNA(MATCH(485,Engine!$C$2:$C$622,0)),"",INDEX('Compliance Database'!$L$2:$L$622,MATCH(485,Engine!$C$2:$C$622,0)))</f>
        <v/>
      </c>
      <c r="M498" s="8">
        <f>IF(ISNA(MATCH(485,Engine!$C$2:$C$622,0)),"",INDEX('Compliance Database'!$M$2:$M$622,MATCH(485,Engine!$C$2:$C$622,0)))</f>
        <v/>
      </c>
      <c r="N498" s="8">
        <f>IF(ISNA(MATCH(485,Engine!$C$2:$C$622,0)),"",INDEX('Compliance Database'!$N$2:$N$622,MATCH(485,Engine!$C$2:$C$622,0)))</f>
        <v/>
      </c>
      <c r="O498" s="8">
        <f>IF(ISNA(MATCH(485,Engine!$C$2:$C$622,0)),"",INDEX('Compliance Database'!$O$2:$O$622,MATCH(485,Engine!$C$2:$C$622,0)))</f>
        <v/>
      </c>
    </row>
    <row r="499">
      <c r="A499">
        <f>IF(ISNA(MATCH(486,Engine!$C$2:$C$622,0)),"",INDEX('Compliance Database'!$A$2:$A$622,MATCH(486,Engine!$C$2:$C$622,0)))</f>
        <v/>
      </c>
      <c r="B499">
        <f>IF(ISNA(MATCH(486,Engine!$C$2:$C$622,0)),"",INDEX('Compliance Database'!$B$2:$B$622,MATCH(486,Engine!$C$2:$C$622,0)))</f>
        <v/>
      </c>
      <c r="C499">
        <f>IF(ISNA(MATCH(486,Engine!$C$2:$C$622,0)),"",INDEX('Compliance Database'!$C$2:$C$622,MATCH(486,Engine!$C$2:$C$622,0)))</f>
        <v/>
      </c>
      <c r="D499" s="8">
        <f>IF(ISNA(MATCH(486,Engine!$C$2:$C$622,0)),"",INDEX('Compliance Database'!$D$2:$D$622,MATCH(486,Engine!$C$2:$C$622,0)))</f>
        <v/>
      </c>
      <c r="E499">
        <f>IF(ISNA(MATCH(486,Engine!$C$2:$C$622,0)),"",INDEX('Compliance Database'!$E$2:$E$622,MATCH(486,Engine!$C$2:$C$622,0)))</f>
        <v/>
      </c>
      <c r="F499">
        <f>IF(ISNA(MATCH(486,Engine!$C$2:$C$622,0)),"",INDEX('Compliance Database'!$F$2:$F$622,MATCH(486,Engine!$C$2:$C$622,0)))</f>
        <v/>
      </c>
      <c r="G499">
        <f>IF(ISNA(MATCH(486,Engine!$C$2:$C$622,0)),"",INDEX('Compliance Database'!$G$2:$G$622,MATCH(486,Engine!$C$2:$C$622,0)))</f>
        <v/>
      </c>
      <c r="H499">
        <f>IF(ISNA(MATCH(486,Engine!$C$2:$C$622,0)),"",INDEX('Compliance Database'!$H$2:$H$622,MATCH(486,Engine!$C$2:$C$622,0)))</f>
        <v/>
      </c>
      <c r="I499" s="8">
        <f>IF(ISNA(MATCH(486,Engine!$C$2:$C$622,0)),"",INDEX('Compliance Database'!$I$2:$I$622,MATCH(486,Engine!$C$2:$C$622,0)))</f>
        <v/>
      </c>
      <c r="J499" s="8">
        <f>IF(ISNA(MATCH(486,Engine!$C$2:$C$622,0)),"",INDEX('Compliance Database'!$J$2:$J$622,MATCH(486,Engine!$C$2:$C$622,0)))</f>
        <v/>
      </c>
      <c r="K499">
        <f>IF(ISNA(MATCH(486,Engine!$C$2:$C$622,0)),"",INDEX('Compliance Database'!$K$2:$K$622,MATCH(486,Engine!$C$2:$C$622,0)))</f>
        <v/>
      </c>
      <c r="L499" s="8">
        <f>IF(ISNA(MATCH(486,Engine!$C$2:$C$622,0)),"",INDEX('Compliance Database'!$L$2:$L$622,MATCH(486,Engine!$C$2:$C$622,0)))</f>
        <v/>
      </c>
      <c r="M499" s="8">
        <f>IF(ISNA(MATCH(486,Engine!$C$2:$C$622,0)),"",INDEX('Compliance Database'!$M$2:$M$622,MATCH(486,Engine!$C$2:$C$622,0)))</f>
        <v/>
      </c>
      <c r="N499" s="8">
        <f>IF(ISNA(MATCH(486,Engine!$C$2:$C$622,0)),"",INDEX('Compliance Database'!$N$2:$N$622,MATCH(486,Engine!$C$2:$C$622,0)))</f>
        <v/>
      </c>
      <c r="O499" s="8">
        <f>IF(ISNA(MATCH(486,Engine!$C$2:$C$622,0)),"",INDEX('Compliance Database'!$O$2:$O$622,MATCH(486,Engine!$C$2:$C$622,0)))</f>
        <v/>
      </c>
    </row>
    <row r="500">
      <c r="A500">
        <f>IF(ISNA(MATCH(487,Engine!$C$2:$C$622,0)),"",INDEX('Compliance Database'!$A$2:$A$622,MATCH(487,Engine!$C$2:$C$622,0)))</f>
        <v/>
      </c>
      <c r="B500">
        <f>IF(ISNA(MATCH(487,Engine!$C$2:$C$622,0)),"",INDEX('Compliance Database'!$B$2:$B$622,MATCH(487,Engine!$C$2:$C$622,0)))</f>
        <v/>
      </c>
      <c r="C500">
        <f>IF(ISNA(MATCH(487,Engine!$C$2:$C$622,0)),"",INDEX('Compliance Database'!$C$2:$C$622,MATCH(487,Engine!$C$2:$C$622,0)))</f>
        <v/>
      </c>
      <c r="D500" s="8">
        <f>IF(ISNA(MATCH(487,Engine!$C$2:$C$622,0)),"",INDEX('Compliance Database'!$D$2:$D$622,MATCH(487,Engine!$C$2:$C$622,0)))</f>
        <v/>
      </c>
      <c r="E500">
        <f>IF(ISNA(MATCH(487,Engine!$C$2:$C$622,0)),"",INDEX('Compliance Database'!$E$2:$E$622,MATCH(487,Engine!$C$2:$C$622,0)))</f>
        <v/>
      </c>
      <c r="F500">
        <f>IF(ISNA(MATCH(487,Engine!$C$2:$C$622,0)),"",INDEX('Compliance Database'!$F$2:$F$622,MATCH(487,Engine!$C$2:$C$622,0)))</f>
        <v/>
      </c>
      <c r="G500">
        <f>IF(ISNA(MATCH(487,Engine!$C$2:$C$622,0)),"",INDEX('Compliance Database'!$G$2:$G$622,MATCH(487,Engine!$C$2:$C$622,0)))</f>
        <v/>
      </c>
      <c r="H500">
        <f>IF(ISNA(MATCH(487,Engine!$C$2:$C$622,0)),"",INDEX('Compliance Database'!$H$2:$H$622,MATCH(487,Engine!$C$2:$C$622,0)))</f>
        <v/>
      </c>
      <c r="I500" s="8">
        <f>IF(ISNA(MATCH(487,Engine!$C$2:$C$622,0)),"",INDEX('Compliance Database'!$I$2:$I$622,MATCH(487,Engine!$C$2:$C$622,0)))</f>
        <v/>
      </c>
      <c r="J500" s="8">
        <f>IF(ISNA(MATCH(487,Engine!$C$2:$C$622,0)),"",INDEX('Compliance Database'!$J$2:$J$622,MATCH(487,Engine!$C$2:$C$622,0)))</f>
        <v/>
      </c>
      <c r="K500">
        <f>IF(ISNA(MATCH(487,Engine!$C$2:$C$622,0)),"",INDEX('Compliance Database'!$K$2:$K$622,MATCH(487,Engine!$C$2:$C$622,0)))</f>
        <v/>
      </c>
      <c r="L500" s="8">
        <f>IF(ISNA(MATCH(487,Engine!$C$2:$C$622,0)),"",INDEX('Compliance Database'!$L$2:$L$622,MATCH(487,Engine!$C$2:$C$622,0)))</f>
        <v/>
      </c>
      <c r="M500" s="8">
        <f>IF(ISNA(MATCH(487,Engine!$C$2:$C$622,0)),"",INDEX('Compliance Database'!$M$2:$M$622,MATCH(487,Engine!$C$2:$C$622,0)))</f>
        <v/>
      </c>
      <c r="N500" s="8">
        <f>IF(ISNA(MATCH(487,Engine!$C$2:$C$622,0)),"",INDEX('Compliance Database'!$N$2:$N$622,MATCH(487,Engine!$C$2:$C$622,0)))</f>
        <v/>
      </c>
      <c r="O500" s="8">
        <f>IF(ISNA(MATCH(487,Engine!$C$2:$C$622,0)),"",INDEX('Compliance Database'!$O$2:$O$622,MATCH(487,Engine!$C$2:$C$622,0)))</f>
        <v/>
      </c>
    </row>
    <row r="501">
      <c r="A501">
        <f>IF(ISNA(MATCH(488,Engine!$C$2:$C$622,0)),"",INDEX('Compliance Database'!$A$2:$A$622,MATCH(488,Engine!$C$2:$C$622,0)))</f>
        <v/>
      </c>
      <c r="B501">
        <f>IF(ISNA(MATCH(488,Engine!$C$2:$C$622,0)),"",INDEX('Compliance Database'!$B$2:$B$622,MATCH(488,Engine!$C$2:$C$622,0)))</f>
        <v/>
      </c>
      <c r="C501">
        <f>IF(ISNA(MATCH(488,Engine!$C$2:$C$622,0)),"",INDEX('Compliance Database'!$C$2:$C$622,MATCH(488,Engine!$C$2:$C$622,0)))</f>
        <v/>
      </c>
      <c r="D501" s="8">
        <f>IF(ISNA(MATCH(488,Engine!$C$2:$C$622,0)),"",INDEX('Compliance Database'!$D$2:$D$622,MATCH(488,Engine!$C$2:$C$622,0)))</f>
        <v/>
      </c>
      <c r="E501">
        <f>IF(ISNA(MATCH(488,Engine!$C$2:$C$622,0)),"",INDEX('Compliance Database'!$E$2:$E$622,MATCH(488,Engine!$C$2:$C$622,0)))</f>
        <v/>
      </c>
      <c r="F501">
        <f>IF(ISNA(MATCH(488,Engine!$C$2:$C$622,0)),"",INDEX('Compliance Database'!$F$2:$F$622,MATCH(488,Engine!$C$2:$C$622,0)))</f>
        <v/>
      </c>
      <c r="G501">
        <f>IF(ISNA(MATCH(488,Engine!$C$2:$C$622,0)),"",INDEX('Compliance Database'!$G$2:$G$622,MATCH(488,Engine!$C$2:$C$622,0)))</f>
        <v/>
      </c>
      <c r="H501">
        <f>IF(ISNA(MATCH(488,Engine!$C$2:$C$622,0)),"",INDEX('Compliance Database'!$H$2:$H$622,MATCH(488,Engine!$C$2:$C$622,0)))</f>
        <v/>
      </c>
      <c r="I501" s="8">
        <f>IF(ISNA(MATCH(488,Engine!$C$2:$C$622,0)),"",INDEX('Compliance Database'!$I$2:$I$622,MATCH(488,Engine!$C$2:$C$622,0)))</f>
        <v/>
      </c>
      <c r="J501" s="8">
        <f>IF(ISNA(MATCH(488,Engine!$C$2:$C$622,0)),"",INDEX('Compliance Database'!$J$2:$J$622,MATCH(488,Engine!$C$2:$C$622,0)))</f>
        <v/>
      </c>
      <c r="K501">
        <f>IF(ISNA(MATCH(488,Engine!$C$2:$C$622,0)),"",INDEX('Compliance Database'!$K$2:$K$622,MATCH(488,Engine!$C$2:$C$622,0)))</f>
        <v/>
      </c>
      <c r="L501" s="8">
        <f>IF(ISNA(MATCH(488,Engine!$C$2:$C$622,0)),"",INDEX('Compliance Database'!$L$2:$L$622,MATCH(488,Engine!$C$2:$C$622,0)))</f>
        <v/>
      </c>
      <c r="M501" s="8">
        <f>IF(ISNA(MATCH(488,Engine!$C$2:$C$622,0)),"",INDEX('Compliance Database'!$M$2:$M$622,MATCH(488,Engine!$C$2:$C$622,0)))</f>
        <v/>
      </c>
      <c r="N501" s="8">
        <f>IF(ISNA(MATCH(488,Engine!$C$2:$C$622,0)),"",INDEX('Compliance Database'!$N$2:$N$622,MATCH(488,Engine!$C$2:$C$622,0)))</f>
        <v/>
      </c>
      <c r="O501" s="8">
        <f>IF(ISNA(MATCH(488,Engine!$C$2:$C$622,0)),"",INDEX('Compliance Database'!$O$2:$O$622,MATCH(488,Engine!$C$2:$C$622,0)))</f>
        <v/>
      </c>
    </row>
    <row r="502">
      <c r="A502">
        <f>IF(ISNA(MATCH(489,Engine!$C$2:$C$622,0)),"",INDEX('Compliance Database'!$A$2:$A$622,MATCH(489,Engine!$C$2:$C$622,0)))</f>
        <v/>
      </c>
      <c r="B502">
        <f>IF(ISNA(MATCH(489,Engine!$C$2:$C$622,0)),"",INDEX('Compliance Database'!$B$2:$B$622,MATCH(489,Engine!$C$2:$C$622,0)))</f>
        <v/>
      </c>
      <c r="C502">
        <f>IF(ISNA(MATCH(489,Engine!$C$2:$C$622,0)),"",INDEX('Compliance Database'!$C$2:$C$622,MATCH(489,Engine!$C$2:$C$622,0)))</f>
        <v/>
      </c>
      <c r="D502" s="8">
        <f>IF(ISNA(MATCH(489,Engine!$C$2:$C$622,0)),"",INDEX('Compliance Database'!$D$2:$D$622,MATCH(489,Engine!$C$2:$C$622,0)))</f>
        <v/>
      </c>
      <c r="E502">
        <f>IF(ISNA(MATCH(489,Engine!$C$2:$C$622,0)),"",INDEX('Compliance Database'!$E$2:$E$622,MATCH(489,Engine!$C$2:$C$622,0)))</f>
        <v/>
      </c>
      <c r="F502">
        <f>IF(ISNA(MATCH(489,Engine!$C$2:$C$622,0)),"",INDEX('Compliance Database'!$F$2:$F$622,MATCH(489,Engine!$C$2:$C$622,0)))</f>
        <v/>
      </c>
      <c r="G502">
        <f>IF(ISNA(MATCH(489,Engine!$C$2:$C$622,0)),"",INDEX('Compliance Database'!$G$2:$G$622,MATCH(489,Engine!$C$2:$C$622,0)))</f>
        <v/>
      </c>
      <c r="H502">
        <f>IF(ISNA(MATCH(489,Engine!$C$2:$C$622,0)),"",INDEX('Compliance Database'!$H$2:$H$622,MATCH(489,Engine!$C$2:$C$622,0)))</f>
        <v/>
      </c>
      <c r="I502" s="8">
        <f>IF(ISNA(MATCH(489,Engine!$C$2:$C$622,0)),"",INDEX('Compliance Database'!$I$2:$I$622,MATCH(489,Engine!$C$2:$C$622,0)))</f>
        <v/>
      </c>
      <c r="J502" s="8">
        <f>IF(ISNA(MATCH(489,Engine!$C$2:$C$622,0)),"",INDEX('Compliance Database'!$J$2:$J$622,MATCH(489,Engine!$C$2:$C$622,0)))</f>
        <v/>
      </c>
      <c r="K502">
        <f>IF(ISNA(MATCH(489,Engine!$C$2:$C$622,0)),"",INDEX('Compliance Database'!$K$2:$K$622,MATCH(489,Engine!$C$2:$C$622,0)))</f>
        <v/>
      </c>
      <c r="L502" s="8">
        <f>IF(ISNA(MATCH(489,Engine!$C$2:$C$622,0)),"",INDEX('Compliance Database'!$L$2:$L$622,MATCH(489,Engine!$C$2:$C$622,0)))</f>
        <v/>
      </c>
      <c r="M502" s="8">
        <f>IF(ISNA(MATCH(489,Engine!$C$2:$C$622,0)),"",INDEX('Compliance Database'!$M$2:$M$622,MATCH(489,Engine!$C$2:$C$622,0)))</f>
        <v/>
      </c>
      <c r="N502" s="8">
        <f>IF(ISNA(MATCH(489,Engine!$C$2:$C$622,0)),"",INDEX('Compliance Database'!$N$2:$N$622,MATCH(489,Engine!$C$2:$C$622,0)))</f>
        <v/>
      </c>
      <c r="O502" s="8">
        <f>IF(ISNA(MATCH(489,Engine!$C$2:$C$622,0)),"",INDEX('Compliance Database'!$O$2:$O$622,MATCH(489,Engine!$C$2:$C$622,0)))</f>
        <v/>
      </c>
    </row>
    <row r="503">
      <c r="A503">
        <f>IF(ISNA(MATCH(490,Engine!$C$2:$C$622,0)),"",INDEX('Compliance Database'!$A$2:$A$622,MATCH(490,Engine!$C$2:$C$622,0)))</f>
        <v/>
      </c>
      <c r="B503">
        <f>IF(ISNA(MATCH(490,Engine!$C$2:$C$622,0)),"",INDEX('Compliance Database'!$B$2:$B$622,MATCH(490,Engine!$C$2:$C$622,0)))</f>
        <v/>
      </c>
      <c r="C503">
        <f>IF(ISNA(MATCH(490,Engine!$C$2:$C$622,0)),"",INDEX('Compliance Database'!$C$2:$C$622,MATCH(490,Engine!$C$2:$C$622,0)))</f>
        <v/>
      </c>
      <c r="D503" s="8">
        <f>IF(ISNA(MATCH(490,Engine!$C$2:$C$622,0)),"",INDEX('Compliance Database'!$D$2:$D$622,MATCH(490,Engine!$C$2:$C$622,0)))</f>
        <v/>
      </c>
      <c r="E503">
        <f>IF(ISNA(MATCH(490,Engine!$C$2:$C$622,0)),"",INDEX('Compliance Database'!$E$2:$E$622,MATCH(490,Engine!$C$2:$C$622,0)))</f>
        <v/>
      </c>
      <c r="F503">
        <f>IF(ISNA(MATCH(490,Engine!$C$2:$C$622,0)),"",INDEX('Compliance Database'!$F$2:$F$622,MATCH(490,Engine!$C$2:$C$622,0)))</f>
        <v/>
      </c>
      <c r="G503">
        <f>IF(ISNA(MATCH(490,Engine!$C$2:$C$622,0)),"",INDEX('Compliance Database'!$G$2:$G$622,MATCH(490,Engine!$C$2:$C$622,0)))</f>
        <v/>
      </c>
      <c r="H503">
        <f>IF(ISNA(MATCH(490,Engine!$C$2:$C$622,0)),"",INDEX('Compliance Database'!$H$2:$H$622,MATCH(490,Engine!$C$2:$C$622,0)))</f>
        <v/>
      </c>
      <c r="I503" s="8">
        <f>IF(ISNA(MATCH(490,Engine!$C$2:$C$622,0)),"",INDEX('Compliance Database'!$I$2:$I$622,MATCH(490,Engine!$C$2:$C$622,0)))</f>
        <v/>
      </c>
      <c r="J503" s="8">
        <f>IF(ISNA(MATCH(490,Engine!$C$2:$C$622,0)),"",INDEX('Compliance Database'!$J$2:$J$622,MATCH(490,Engine!$C$2:$C$622,0)))</f>
        <v/>
      </c>
      <c r="K503">
        <f>IF(ISNA(MATCH(490,Engine!$C$2:$C$622,0)),"",INDEX('Compliance Database'!$K$2:$K$622,MATCH(490,Engine!$C$2:$C$622,0)))</f>
        <v/>
      </c>
      <c r="L503" s="8">
        <f>IF(ISNA(MATCH(490,Engine!$C$2:$C$622,0)),"",INDEX('Compliance Database'!$L$2:$L$622,MATCH(490,Engine!$C$2:$C$622,0)))</f>
        <v/>
      </c>
      <c r="M503" s="8">
        <f>IF(ISNA(MATCH(490,Engine!$C$2:$C$622,0)),"",INDEX('Compliance Database'!$M$2:$M$622,MATCH(490,Engine!$C$2:$C$622,0)))</f>
        <v/>
      </c>
      <c r="N503" s="8">
        <f>IF(ISNA(MATCH(490,Engine!$C$2:$C$622,0)),"",INDEX('Compliance Database'!$N$2:$N$622,MATCH(490,Engine!$C$2:$C$622,0)))</f>
        <v/>
      </c>
      <c r="O503" s="8">
        <f>IF(ISNA(MATCH(490,Engine!$C$2:$C$622,0)),"",INDEX('Compliance Database'!$O$2:$O$622,MATCH(490,Engine!$C$2:$C$622,0)))</f>
        <v/>
      </c>
    </row>
    <row r="504">
      <c r="A504">
        <f>IF(ISNA(MATCH(491,Engine!$C$2:$C$622,0)),"",INDEX('Compliance Database'!$A$2:$A$622,MATCH(491,Engine!$C$2:$C$622,0)))</f>
        <v/>
      </c>
      <c r="B504">
        <f>IF(ISNA(MATCH(491,Engine!$C$2:$C$622,0)),"",INDEX('Compliance Database'!$B$2:$B$622,MATCH(491,Engine!$C$2:$C$622,0)))</f>
        <v/>
      </c>
      <c r="C504">
        <f>IF(ISNA(MATCH(491,Engine!$C$2:$C$622,0)),"",INDEX('Compliance Database'!$C$2:$C$622,MATCH(491,Engine!$C$2:$C$622,0)))</f>
        <v/>
      </c>
      <c r="D504" s="8">
        <f>IF(ISNA(MATCH(491,Engine!$C$2:$C$622,0)),"",INDEX('Compliance Database'!$D$2:$D$622,MATCH(491,Engine!$C$2:$C$622,0)))</f>
        <v/>
      </c>
      <c r="E504">
        <f>IF(ISNA(MATCH(491,Engine!$C$2:$C$622,0)),"",INDEX('Compliance Database'!$E$2:$E$622,MATCH(491,Engine!$C$2:$C$622,0)))</f>
        <v/>
      </c>
      <c r="F504">
        <f>IF(ISNA(MATCH(491,Engine!$C$2:$C$622,0)),"",INDEX('Compliance Database'!$F$2:$F$622,MATCH(491,Engine!$C$2:$C$622,0)))</f>
        <v/>
      </c>
      <c r="G504">
        <f>IF(ISNA(MATCH(491,Engine!$C$2:$C$622,0)),"",INDEX('Compliance Database'!$G$2:$G$622,MATCH(491,Engine!$C$2:$C$622,0)))</f>
        <v/>
      </c>
      <c r="H504">
        <f>IF(ISNA(MATCH(491,Engine!$C$2:$C$622,0)),"",INDEX('Compliance Database'!$H$2:$H$622,MATCH(491,Engine!$C$2:$C$622,0)))</f>
        <v/>
      </c>
      <c r="I504" s="8">
        <f>IF(ISNA(MATCH(491,Engine!$C$2:$C$622,0)),"",INDEX('Compliance Database'!$I$2:$I$622,MATCH(491,Engine!$C$2:$C$622,0)))</f>
        <v/>
      </c>
      <c r="J504" s="8">
        <f>IF(ISNA(MATCH(491,Engine!$C$2:$C$622,0)),"",INDEX('Compliance Database'!$J$2:$J$622,MATCH(491,Engine!$C$2:$C$622,0)))</f>
        <v/>
      </c>
      <c r="K504">
        <f>IF(ISNA(MATCH(491,Engine!$C$2:$C$622,0)),"",INDEX('Compliance Database'!$K$2:$K$622,MATCH(491,Engine!$C$2:$C$622,0)))</f>
        <v/>
      </c>
      <c r="L504" s="8">
        <f>IF(ISNA(MATCH(491,Engine!$C$2:$C$622,0)),"",INDEX('Compliance Database'!$L$2:$L$622,MATCH(491,Engine!$C$2:$C$622,0)))</f>
        <v/>
      </c>
      <c r="M504" s="8">
        <f>IF(ISNA(MATCH(491,Engine!$C$2:$C$622,0)),"",INDEX('Compliance Database'!$M$2:$M$622,MATCH(491,Engine!$C$2:$C$622,0)))</f>
        <v/>
      </c>
      <c r="N504" s="8">
        <f>IF(ISNA(MATCH(491,Engine!$C$2:$C$622,0)),"",INDEX('Compliance Database'!$N$2:$N$622,MATCH(491,Engine!$C$2:$C$622,0)))</f>
        <v/>
      </c>
      <c r="O504" s="8">
        <f>IF(ISNA(MATCH(491,Engine!$C$2:$C$622,0)),"",INDEX('Compliance Database'!$O$2:$O$622,MATCH(491,Engine!$C$2:$C$622,0)))</f>
        <v/>
      </c>
    </row>
    <row r="505">
      <c r="A505">
        <f>IF(ISNA(MATCH(492,Engine!$C$2:$C$622,0)),"",INDEX('Compliance Database'!$A$2:$A$622,MATCH(492,Engine!$C$2:$C$622,0)))</f>
        <v/>
      </c>
      <c r="B505">
        <f>IF(ISNA(MATCH(492,Engine!$C$2:$C$622,0)),"",INDEX('Compliance Database'!$B$2:$B$622,MATCH(492,Engine!$C$2:$C$622,0)))</f>
        <v/>
      </c>
      <c r="C505">
        <f>IF(ISNA(MATCH(492,Engine!$C$2:$C$622,0)),"",INDEX('Compliance Database'!$C$2:$C$622,MATCH(492,Engine!$C$2:$C$622,0)))</f>
        <v/>
      </c>
      <c r="D505" s="8">
        <f>IF(ISNA(MATCH(492,Engine!$C$2:$C$622,0)),"",INDEX('Compliance Database'!$D$2:$D$622,MATCH(492,Engine!$C$2:$C$622,0)))</f>
        <v/>
      </c>
      <c r="E505">
        <f>IF(ISNA(MATCH(492,Engine!$C$2:$C$622,0)),"",INDEX('Compliance Database'!$E$2:$E$622,MATCH(492,Engine!$C$2:$C$622,0)))</f>
        <v/>
      </c>
      <c r="F505">
        <f>IF(ISNA(MATCH(492,Engine!$C$2:$C$622,0)),"",INDEX('Compliance Database'!$F$2:$F$622,MATCH(492,Engine!$C$2:$C$622,0)))</f>
        <v/>
      </c>
      <c r="G505">
        <f>IF(ISNA(MATCH(492,Engine!$C$2:$C$622,0)),"",INDEX('Compliance Database'!$G$2:$G$622,MATCH(492,Engine!$C$2:$C$622,0)))</f>
        <v/>
      </c>
      <c r="H505">
        <f>IF(ISNA(MATCH(492,Engine!$C$2:$C$622,0)),"",INDEX('Compliance Database'!$H$2:$H$622,MATCH(492,Engine!$C$2:$C$622,0)))</f>
        <v/>
      </c>
      <c r="I505" s="8">
        <f>IF(ISNA(MATCH(492,Engine!$C$2:$C$622,0)),"",INDEX('Compliance Database'!$I$2:$I$622,MATCH(492,Engine!$C$2:$C$622,0)))</f>
        <v/>
      </c>
      <c r="J505" s="8">
        <f>IF(ISNA(MATCH(492,Engine!$C$2:$C$622,0)),"",INDEX('Compliance Database'!$J$2:$J$622,MATCH(492,Engine!$C$2:$C$622,0)))</f>
        <v/>
      </c>
      <c r="K505">
        <f>IF(ISNA(MATCH(492,Engine!$C$2:$C$622,0)),"",INDEX('Compliance Database'!$K$2:$K$622,MATCH(492,Engine!$C$2:$C$622,0)))</f>
        <v/>
      </c>
      <c r="L505" s="8">
        <f>IF(ISNA(MATCH(492,Engine!$C$2:$C$622,0)),"",INDEX('Compliance Database'!$L$2:$L$622,MATCH(492,Engine!$C$2:$C$622,0)))</f>
        <v/>
      </c>
      <c r="M505" s="8">
        <f>IF(ISNA(MATCH(492,Engine!$C$2:$C$622,0)),"",INDEX('Compliance Database'!$M$2:$M$622,MATCH(492,Engine!$C$2:$C$622,0)))</f>
        <v/>
      </c>
      <c r="N505" s="8">
        <f>IF(ISNA(MATCH(492,Engine!$C$2:$C$622,0)),"",INDEX('Compliance Database'!$N$2:$N$622,MATCH(492,Engine!$C$2:$C$622,0)))</f>
        <v/>
      </c>
      <c r="O505" s="8">
        <f>IF(ISNA(MATCH(492,Engine!$C$2:$C$622,0)),"",INDEX('Compliance Database'!$O$2:$O$622,MATCH(492,Engine!$C$2:$C$622,0)))</f>
        <v/>
      </c>
    </row>
    <row r="506">
      <c r="A506">
        <f>IF(ISNA(MATCH(493,Engine!$C$2:$C$622,0)),"",INDEX('Compliance Database'!$A$2:$A$622,MATCH(493,Engine!$C$2:$C$622,0)))</f>
        <v/>
      </c>
      <c r="B506">
        <f>IF(ISNA(MATCH(493,Engine!$C$2:$C$622,0)),"",INDEX('Compliance Database'!$B$2:$B$622,MATCH(493,Engine!$C$2:$C$622,0)))</f>
        <v/>
      </c>
      <c r="C506">
        <f>IF(ISNA(MATCH(493,Engine!$C$2:$C$622,0)),"",INDEX('Compliance Database'!$C$2:$C$622,MATCH(493,Engine!$C$2:$C$622,0)))</f>
        <v/>
      </c>
      <c r="D506" s="8">
        <f>IF(ISNA(MATCH(493,Engine!$C$2:$C$622,0)),"",INDEX('Compliance Database'!$D$2:$D$622,MATCH(493,Engine!$C$2:$C$622,0)))</f>
        <v/>
      </c>
      <c r="E506">
        <f>IF(ISNA(MATCH(493,Engine!$C$2:$C$622,0)),"",INDEX('Compliance Database'!$E$2:$E$622,MATCH(493,Engine!$C$2:$C$622,0)))</f>
        <v/>
      </c>
      <c r="F506">
        <f>IF(ISNA(MATCH(493,Engine!$C$2:$C$622,0)),"",INDEX('Compliance Database'!$F$2:$F$622,MATCH(493,Engine!$C$2:$C$622,0)))</f>
        <v/>
      </c>
      <c r="G506">
        <f>IF(ISNA(MATCH(493,Engine!$C$2:$C$622,0)),"",INDEX('Compliance Database'!$G$2:$G$622,MATCH(493,Engine!$C$2:$C$622,0)))</f>
        <v/>
      </c>
      <c r="H506">
        <f>IF(ISNA(MATCH(493,Engine!$C$2:$C$622,0)),"",INDEX('Compliance Database'!$H$2:$H$622,MATCH(493,Engine!$C$2:$C$622,0)))</f>
        <v/>
      </c>
      <c r="I506" s="8">
        <f>IF(ISNA(MATCH(493,Engine!$C$2:$C$622,0)),"",INDEX('Compliance Database'!$I$2:$I$622,MATCH(493,Engine!$C$2:$C$622,0)))</f>
        <v/>
      </c>
      <c r="J506" s="8">
        <f>IF(ISNA(MATCH(493,Engine!$C$2:$C$622,0)),"",INDEX('Compliance Database'!$J$2:$J$622,MATCH(493,Engine!$C$2:$C$622,0)))</f>
        <v/>
      </c>
      <c r="K506">
        <f>IF(ISNA(MATCH(493,Engine!$C$2:$C$622,0)),"",INDEX('Compliance Database'!$K$2:$K$622,MATCH(493,Engine!$C$2:$C$622,0)))</f>
        <v/>
      </c>
      <c r="L506" s="8">
        <f>IF(ISNA(MATCH(493,Engine!$C$2:$C$622,0)),"",INDEX('Compliance Database'!$L$2:$L$622,MATCH(493,Engine!$C$2:$C$622,0)))</f>
        <v/>
      </c>
      <c r="M506" s="8">
        <f>IF(ISNA(MATCH(493,Engine!$C$2:$C$622,0)),"",INDEX('Compliance Database'!$M$2:$M$622,MATCH(493,Engine!$C$2:$C$622,0)))</f>
        <v/>
      </c>
      <c r="N506" s="8">
        <f>IF(ISNA(MATCH(493,Engine!$C$2:$C$622,0)),"",INDEX('Compliance Database'!$N$2:$N$622,MATCH(493,Engine!$C$2:$C$622,0)))</f>
        <v/>
      </c>
      <c r="O506" s="8">
        <f>IF(ISNA(MATCH(493,Engine!$C$2:$C$622,0)),"",INDEX('Compliance Database'!$O$2:$O$622,MATCH(493,Engine!$C$2:$C$622,0)))</f>
        <v/>
      </c>
    </row>
    <row r="507">
      <c r="A507">
        <f>IF(ISNA(MATCH(494,Engine!$C$2:$C$622,0)),"",INDEX('Compliance Database'!$A$2:$A$622,MATCH(494,Engine!$C$2:$C$622,0)))</f>
        <v/>
      </c>
      <c r="B507">
        <f>IF(ISNA(MATCH(494,Engine!$C$2:$C$622,0)),"",INDEX('Compliance Database'!$B$2:$B$622,MATCH(494,Engine!$C$2:$C$622,0)))</f>
        <v/>
      </c>
      <c r="C507">
        <f>IF(ISNA(MATCH(494,Engine!$C$2:$C$622,0)),"",INDEX('Compliance Database'!$C$2:$C$622,MATCH(494,Engine!$C$2:$C$622,0)))</f>
        <v/>
      </c>
      <c r="D507" s="8">
        <f>IF(ISNA(MATCH(494,Engine!$C$2:$C$622,0)),"",INDEX('Compliance Database'!$D$2:$D$622,MATCH(494,Engine!$C$2:$C$622,0)))</f>
        <v/>
      </c>
      <c r="E507">
        <f>IF(ISNA(MATCH(494,Engine!$C$2:$C$622,0)),"",INDEX('Compliance Database'!$E$2:$E$622,MATCH(494,Engine!$C$2:$C$622,0)))</f>
        <v/>
      </c>
      <c r="F507">
        <f>IF(ISNA(MATCH(494,Engine!$C$2:$C$622,0)),"",INDEX('Compliance Database'!$F$2:$F$622,MATCH(494,Engine!$C$2:$C$622,0)))</f>
        <v/>
      </c>
      <c r="G507">
        <f>IF(ISNA(MATCH(494,Engine!$C$2:$C$622,0)),"",INDEX('Compliance Database'!$G$2:$G$622,MATCH(494,Engine!$C$2:$C$622,0)))</f>
        <v/>
      </c>
      <c r="H507">
        <f>IF(ISNA(MATCH(494,Engine!$C$2:$C$622,0)),"",INDEX('Compliance Database'!$H$2:$H$622,MATCH(494,Engine!$C$2:$C$622,0)))</f>
        <v/>
      </c>
      <c r="I507" s="8">
        <f>IF(ISNA(MATCH(494,Engine!$C$2:$C$622,0)),"",INDEX('Compliance Database'!$I$2:$I$622,MATCH(494,Engine!$C$2:$C$622,0)))</f>
        <v/>
      </c>
      <c r="J507" s="8">
        <f>IF(ISNA(MATCH(494,Engine!$C$2:$C$622,0)),"",INDEX('Compliance Database'!$J$2:$J$622,MATCH(494,Engine!$C$2:$C$622,0)))</f>
        <v/>
      </c>
      <c r="K507">
        <f>IF(ISNA(MATCH(494,Engine!$C$2:$C$622,0)),"",INDEX('Compliance Database'!$K$2:$K$622,MATCH(494,Engine!$C$2:$C$622,0)))</f>
        <v/>
      </c>
      <c r="L507" s="8">
        <f>IF(ISNA(MATCH(494,Engine!$C$2:$C$622,0)),"",INDEX('Compliance Database'!$L$2:$L$622,MATCH(494,Engine!$C$2:$C$622,0)))</f>
        <v/>
      </c>
      <c r="M507" s="8">
        <f>IF(ISNA(MATCH(494,Engine!$C$2:$C$622,0)),"",INDEX('Compliance Database'!$M$2:$M$622,MATCH(494,Engine!$C$2:$C$622,0)))</f>
        <v/>
      </c>
      <c r="N507" s="8">
        <f>IF(ISNA(MATCH(494,Engine!$C$2:$C$622,0)),"",INDEX('Compliance Database'!$N$2:$N$622,MATCH(494,Engine!$C$2:$C$622,0)))</f>
        <v/>
      </c>
      <c r="O507" s="8">
        <f>IF(ISNA(MATCH(494,Engine!$C$2:$C$622,0)),"",INDEX('Compliance Database'!$O$2:$O$622,MATCH(494,Engine!$C$2:$C$622,0)))</f>
        <v/>
      </c>
    </row>
    <row r="508">
      <c r="A508">
        <f>IF(ISNA(MATCH(495,Engine!$C$2:$C$622,0)),"",INDEX('Compliance Database'!$A$2:$A$622,MATCH(495,Engine!$C$2:$C$622,0)))</f>
        <v/>
      </c>
      <c r="B508">
        <f>IF(ISNA(MATCH(495,Engine!$C$2:$C$622,0)),"",INDEX('Compliance Database'!$B$2:$B$622,MATCH(495,Engine!$C$2:$C$622,0)))</f>
        <v/>
      </c>
      <c r="C508">
        <f>IF(ISNA(MATCH(495,Engine!$C$2:$C$622,0)),"",INDEX('Compliance Database'!$C$2:$C$622,MATCH(495,Engine!$C$2:$C$622,0)))</f>
        <v/>
      </c>
      <c r="D508" s="8">
        <f>IF(ISNA(MATCH(495,Engine!$C$2:$C$622,0)),"",INDEX('Compliance Database'!$D$2:$D$622,MATCH(495,Engine!$C$2:$C$622,0)))</f>
        <v/>
      </c>
      <c r="E508">
        <f>IF(ISNA(MATCH(495,Engine!$C$2:$C$622,0)),"",INDEX('Compliance Database'!$E$2:$E$622,MATCH(495,Engine!$C$2:$C$622,0)))</f>
        <v/>
      </c>
      <c r="F508">
        <f>IF(ISNA(MATCH(495,Engine!$C$2:$C$622,0)),"",INDEX('Compliance Database'!$F$2:$F$622,MATCH(495,Engine!$C$2:$C$622,0)))</f>
        <v/>
      </c>
      <c r="G508">
        <f>IF(ISNA(MATCH(495,Engine!$C$2:$C$622,0)),"",INDEX('Compliance Database'!$G$2:$G$622,MATCH(495,Engine!$C$2:$C$622,0)))</f>
        <v/>
      </c>
      <c r="H508">
        <f>IF(ISNA(MATCH(495,Engine!$C$2:$C$622,0)),"",INDEX('Compliance Database'!$H$2:$H$622,MATCH(495,Engine!$C$2:$C$622,0)))</f>
        <v/>
      </c>
      <c r="I508" s="8">
        <f>IF(ISNA(MATCH(495,Engine!$C$2:$C$622,0)),"",INDEX('Compliance Database'!$I$2:$I$622,MATCH(495,Engine!$C$2:$C$622,0)))</f>
        <v/>
      </c>
      <c r="J508" s="8">
        <f>IF(ISNA(MATCH(495,Engine!$C$2:$C$622,0)),"",INDEX('Compliance Database'!$J$2:$J$622,MATCH(495,Engine!$C$2:$C$622,0)))</f>
        <v/>
      </c>
      <c r="K508">
        <f>IF(ISNA(MATCH(495,Engine!$C$2:$C$622,0)),"",INDEX('Compliance Database'!$K$2:$K$622,MATCH(495,Engine!$C$2:$C$622,0)))</f>
        <v/>
      </c>
      <c r="L508" s="8">
        <f>IF(ISNA(MATCH(495,Engine!$C$2:$C$622,0)),"",INDEX('Compliance Database'!$L$2:$L$622,MATCH(495,Engine!$C$2:$C$622,0)))</f>
        <v/>
      </c>
      <c r="M508" s="8">
        <f>IF(ISNA(MATCH(495,Engine!$C$2:$C$622,0)),"",INDEX('Compliance Database'!$M$2:$M$622,MATCH(495,Engine!$C$2:$C$622,0)))</f>
        <v/>
      </c>
      <c r="N508" s="8">
        <f>IF(ISNA(MATCH(495,Engine!$C$2:$C$622,0)),"",INDEX('Compliance Database'!$N$2:$N$622,MATCH(495,Engine!$C$2:$C$622,0)))</f>
        <v/>
      </c>
      <c r="O508" s="8">
        <f>IF(ISNA(MATCH(495,Engine!$C$2:$C$622,0)),"",INDEX('Compliance Database'!$O$2:$O$622,MATCH(495,Engine!$C$2:$C$622,0)))</f>
        <v/>
      </c>
    </row>
    <row r="509">
      <c r="A509">
        <f>IF(ISNA(MATCH(496,Engine!$C$2:$C$622,0)),"",INDEX('Compliance Database'!$A$2:$A$622,MATCH(496,Engine!$C$2:$C$622,0)))</f>
        <v/>
      </c>
      <c r="B509">
        <f>IF(ISNA(MATCH(496,Engine!$C$2:$C$622,0)),"",INDEX('Compliance Database'!$B$2:$B$622,MATCH(496,Engine!$C$2:$C$622,0)))</f>
        <v/>
      </c>
      <c r="C509">
        <f>IF(ISNA(MATCH(496,Engine!$C$2:$C$622,0)),"",INDEX('Compliance Database'!$C$2:$C$622,MATCH(496,Engine!$C$2:$C$622,0)))</f>
        <v/>
      </c>
      <c r="D509" s="8">
        <f>IF(ISNA(MATCH(496,Engine!$C$2:$C$622,0)),"",INDEX('Compliance Database'!$D$2:$D$622,MATCH(496,Engine!$C$2:$C$622,0)))</f>
        <v/>
      </c>
      <c r="E509">
        <f>IF(ISNA(MATCH(496,Engine!$C$2:$C$622,0)),"",INDEX('Compliance Database'!$E$2:$E$622,MATCH(496,Engine!$C$2:$C$622,0)))</f>
        <v/>
      </c>
      <c r="F509">
        <f>IF(ISNA(MATCH(496,Engine!$C$2:$C$622,0)),"",INDEX('Compliance Database'!$F$2:$F$622,MATCH(496,Engine!$C$2:$C$622,0)))</f>
        <v/>
      </c>
      <c r="G509">
        <f>IF(ISNA(MATCH(496,Engine!$C$2:$C$622,0)),"",INDEX('Compliance Database'!$G$2:$G$622,MATCH(496,Engine!$C$2:$C$622,0)))</f>
        <v/>
      </c>
      <c r="H509">
        <f>IF(ISNA(MATCH(496,Engine!$C$2:$C$622,0)),"",INDEX('Compliance Database'!$H$2:$H$622,MATCH(496,Engine!$C$2:$C$622,0)))</f>
        <v/>
      </c>
      <c r="I509" s="8">
        <f>IF(ISNA(MATCH(496,Engine!$C$2:$C$622,0)),"",INDEX('Compliance Database'!$I$2:$I$622,MATCH(496,Engine!$C$2:$C$622,0)))</f>
        <v/>
      </c>
      <c r="J509" s="8">
        <f>IF(ISNA(MATCH(496,Engine!$C$2:$C$622,0)),"",INDEX('Compliance Database'!$J$2:$J$622,MATCH(496,Engine!$C$2:$C$622,0)))</f>
        <v/>
      </c>
      <c r="K509">
        <f>IF(ISNA(MATCH(496,Engine!$C$2:$C$622,0)),"",INDEX('Compliance Database'!$K$2:$K$622,MATCH(496,Engine!$C$2:$C$622,0)))</f>
        <v/>
      </c>
      <c r="L509" s="8">
        <f>IF(ISNA(MATCH(496,Engine!$C$2:$C$622,0)),"",INDEX('Compliance Database'!$L$2:$L$622,MATCH(496,Engine!$C$2:$C$622,0)))</f>
        <v/>
      </c>
      <c r="M509" s="8">
        <f>IF(ISNA(MATCH(496,Engine!$C$2:$C$622,0)),"",INDEX('Compliance Database'!$M$2:$M$622,MATCH(496,Engine!$C$2:$C$622,0)))</f>
        <v/>
      </c>
      <c r="N509" s="8">
        <f>IF(ISNA(MATCH(496,Engine!$C$2:$C$622,0)),"",INDEX('Compliance Database'!$N$2:$N$622,MATCH(496,Engine!$C$2:$C$622,0)))</f>
        <v/>
      </c>
      <c r="O509" s="8">
        <f>IF(ISNA(MATCH(496,Engine!$C$2:$C$622,0)),"",INDEX('Compliance Database'!$O$2:$O$622,MATCH(496,Engine!$C$2:$C$622,0)))</f>
        <v/>
      </c>
    </row>
    <row r="510">
      <c r="A510">
        <f>IF(ISNA(MATCH(497,Engine!$C$2:$C$622,0)),"",INDEX('Compliance Database'!$A$2:$A$622,MATCH(497,Engine!$C$2:$C$622,0)))</f>
        <v/>
      </c>
      <c r="B510">
        <f>IF(ISNA(MATCH(497,Engine!$C$2:$C$622,0)),"",INDEX('Compliance Database'!$B$2:$B$622,MATCH(497,Engine!$C$2:$C$622,0)))</f>
        <v/>
      </c>
      <c r="C510">
        <f>IF(ISNA(MATCH(497,Engine!$C$2:$C$622,0)),"",INDEX('Compliance Database'!$C$2:$C$622,MATCH(497,Engine!$C$2:$C$622,0)))</f>
        <v/>
      </c>
      <c r="D510" s="8">
        <f>IF(ISNA(MATCH(497,Engine!$C$2:$C$622,0)),"",INDEX('Compliance Database'!$D$2:$D$622,MATCH(497,Engine!$C$2:$C$622,0)))</f>
        <v/>
      </c>
      <c r="E510">
        <f>IF(ISNA(MATCH(497,Engine!$C$2:$C$622,0)),"",INDEX('Compliance Database'!$E$2:$E$622,MATCH(497,Engine!$C$2:$C$622,0)))</f>
        <v/>
      </c>
      <c r="F510">
        <f>IF(ISNA(MATCH(497,Engine!$C$2:$C$622,0)),"",INDEX('Compliance Database'!$F$2:$F$622,MATCH(497,Engine!$C$2:$C$622,0)))</f>
        <v/>
      </c>
      <c r="G510">
        <f>IF(ISNA(MATCH(497,Engine!$C$2:$C$622,0)),"",INDEX('Compliance Database'!$G$2:$G$622,MATCH(497,Engine!$C$2:$C$622,0)))</f>
        <v/>
      </c>
      <c r="H510">
        <f>IF(ISNA(MATCH(497,Engine!$C$2:$C$622,0)),"",INDEX('Compliance Database'!$H$2:$H$622,MATCH(497,Engine!$C$2:$C$622,0)))</f>
        <v/>
      </c>
      <c r="I510" s="8">
        <f>IF(ISNA(MATCH(497,Engine!$C$2:$C$622,0)),"",INDEX('Compliance Database'!$I$2:$I$622,MATCH(497,Engine!$C$2:$C$622,0)))</f>
        <v/>
      </c>
      <c r="J510" s="8">
        <f>IF(ISNA(MATCH(497,Engine!$C$2:$C$622,0)),"",INDEX('Compliance Database'!$J$2:$J$622,MATCH(497,Engine!$C$2:$C$622,0)))</f>
        <v/>
      </c>
      <c r="K510">
        <f>IF(ISNA(MATCH(497,Engine!$C$2:$C$622,0)),"",INDEX('Compliance Database'!$K$2:$K$622,MATCH(497,Engine!$C$2:$C$622,0)))</f>
        <v/>
      </c>
      <c r="L510" s="8">
        <f>IF(ISNA(MATCH(497,Engine!$C$2:$C$622,0)),"",INDEX('Compliance Database'!$L$2:$L$622,MATCH(497,Engine!$C$2:$C$622,0)))</f>
        <v/>
      </c>
      <c r="M510" s="8">
        <f>IF(ISNA(MATCH(497,Engine!$C$2:$C$622,0)),"",INDEX('Compliance Database'!$M$2:$M$622,MATCH(497,Engine!$C$2:$C$622,0)))</f>
        <v/>
      </c>
      <c r="N510" s="8">
        <f>IF(ISNA(MATCH(497,Engine!$C$2:$C$622,0)),"",INDEX('Compliance Database'!$N$2:$N$622,MATCH(497,Engine!$C$2:$C$622,0)))</f>
        <v/>
      </c>
      <c r="O510" s="8">
        <f>IF(ISNA(MATCH(497,Engine!$C$2:$C$622,0)),"",INDEX('Compliance Database'!$O$2:$O$622,MATCH(497,Engine!$C$2:$C$622,0)))</f>
        <v/>
      </c>
    </row>
    <row r="511">
      <c r="A511">
        <f>IF(ISNA(MATCH(498,Engine!$C$2:$C$622,0)),"",INDEX('Compliance Database'!$A$2:$A$622,MATCH(498,Engine!$C$2:$C$622,0)))</f>
        <v/>
      </c>
      <c r="B511">
        <f>IF(ISNA(MATCH(498,Engine!$C$2:$C$622,0)),"",INDEX('Compliance Database'!$B$2:$B$622,MATCH(498,Engine!$C$2:$C$622,0)))</f>
        <v/>
      </c>
      <c r="C511">
        <f>IF(ISNA(MATCH(498,Engine!$C$2:$C$622,0)),"",INDEX('Compliance Database'!$C$2:$C$622,MATCH(498,Engine!$C$2:$C$622,0)))</f>
        <v/>
      </c>
      <c r="D511" s="8">
        <f>IF(ISNA(MATCH(498,Engine!$C$2:$C$622,0)),"",INDEX('Compliance Database'!$D$2:$D$622,MATCH(498,Engine!$C$2:$C$622,0)))</f>
        <v/>
      </c>
      <c r="E511">
        <f>IF(ISNA(MATCH(498,Engine!$C$2:$C$622,0)),"",INDEX('Compliance Database'!$E$2:$E$622,MATCH(498,Engine!$C$2:$C$622,0)))</f>
        <v/>
      </c>
      <c r="F511">
        <f>IF(ISNA(MATCH(498,Engine!$C$2:$C$622,0)),"",INDEX('Compliance Database'!$F$2:$F$622,MATCH(498,Engine!$C$2:$C$622,0)))</f>
        <v/>
      </c>
      <c r="G511">
        <f>IF(ISNA(MATCH(498,Engine!$C$2:$C$622,0)),"",INDEX('Compliance Database'!$G$2:$G$622,MATCH(498,Engine!$C$2:$C$622,0)))</f>
        <v/>
      </c>
      <c r="H511">
        <f>IF(ISNA(MATCH(498,Engine!$C$2:$C$622,0)),"",INDEX('Compliance Database'!$H$2:$H$622,MATCH(498,Engine!$C$2:$C$622,0)))</f>
        <v/>
      </c>
      <c r="I511" s="8">
        <f>IF(ISNA(MATCH(498,Engine!$C$2:$C$622,0)),"",INDEX('Compliance Database'!$I$2:$I$622,MATCH(498,Engine!$C$2:$C$622,0)))</f>
        <v/>
      </c>
      <c r="J511" s="8">
        <f>IF(ISNA(MATCH(498,Engine!$C$2:$C$622,0)),"",INDEX('Compliance Database'!$J$2:$J$622,MATCH(498,Engine!$C$2:$C$622,0)))</f>
        <v/>
      </c>
      <c r="K511">
        <f>IF(ISNA(MATCH(498,Engine!$C$2:$C$622,0)),"",INDEX('Compliance Database'!$K$2:$K$622,MATCH(498,Engine!$C$2:$C$622,0)))</f>
        <v/>
      </c>
      <c r="L511" s="8">
        <f>IF(ISNA(MATCH(498,Engine!$C$2:$C$622,0)),"",INDEX('Compliance Database'!$L$2:$L$622,MATCH(498,Engine!$C$2:$C$622,0)))</f>
        <v/>
      </c>
      <c r="M511" s="8">
        <f>IF(ISNA(MATCH(498,Engine!$C$2:$C$622,0)),"",INDEX('Compliance Database'!$M$2:$M$622,MATCH(498,Engine!$C$2:$C$622,0)))</f>
        <v/>
      </c>
      <c r="N511" s="8">
        <f>IF(ISNA(MATCH(498,Engine!$C$2:$C$622,0)),"",INDEX('Compliance Database'!$N$2:$N$622,MATCH(498,Engine!$C$2:$C$622,0)))</f>
        <v/>
      </c>
      <c r="O511" s="8">
        <f>IF(ISNA(MATCH(498,Engine!$C$2:$C$622,0)),"",INDEX('Compliance Database'!$O$2:$O$622,MATCH(498,Engine!$C$2:$C$622,0)))</f>
        <v/>
      </c>
    </row>
    <row r="512">
      <c r="A512">
        <f>IF(ISNA(MATCH(499,Engine!$C$2:$C$622,0)),"",INDEX('Compliance Database'!$A$2:$A$622,MATCH(499,Engine!$C$2:$C$622,0)))</f>
        <v/>
      </c>
      <c r="B512">
        <f>IF(ISNA(MATCH(499,Engine!$C$2:$C$622,0)),"",INDEX('Compliance Database'!$B$2:$B$622,MATCH(499,Engine!$C$2:$C$622,0)))</f>
        <v/>
      </c>
      <c r="C512">
        <f>IF(ISNA(MATCH(499,Engine!$C$2:$C$622,0)),"",INDEX('Compliance Database'!$C$2:$C$622,MATCH(499,Engine!$C$2:$C$622,0)))</f>
        <v/>
      </c>
      <c r="D512" s="8">
        <f>IF(ISNA(MATCH(499,Engine!$C$2:$C$622,0)),"",INDEX('Compliance Database'!$D$2:$D$622,MATCH(499,Engine!$C$2:$C$622,0)))</f>
        <v/>
      </c>
      <c r="E512">
        <f>IF(ISNA(MATCH(499,Engine!$C$2:$C$622,0)),"",INDEX('Compliance Database'!$E$2:$E$622,MATCH(499,Engine!$C$2:$C$622,0)))</f>
        <v/>
      </c>
      <c r="F512">
        <f>IF(ISNA(MATCH(499,Engine!$C$2:$C$622,0)),"",INDEX('Compliance Database'!$F$2:$F$622,MATCH(499,Engine!$C$2:$C$622,0)))</f>
        <v/>
      </c>
      <c r="G512">
        <f>IF(ISNA(MATCH(499,Engine!$C$2:$C$622,0)),"",INDEX('Compliance Database'!$G$2:$G$622,MATCH(499,Engine!$C$2:$C$622,0)))</f>
        <v/>
      </c>
      <c r="H512">
        <f>IF(ISNA(MATCH(499,Engine!$C$2:$C$622,0)),"",INDEX('Compliance Database'!$H$2:$H$622,MATCH(499,Engine!$C$2:$C$622,0)))</f>
        <v/>
      </c>
      <c r="I512" s="8">
        <f>IF(ISNA(MATCH(499,Engine!$C$2:$C$622,0)),"",INDEX('Compliance Database'!$I$2:$I$622,MATCH(499,Engine!$C$2:$C$622,0)))</f>
        <v/>
      </c>
      <c r="J512" s="8">
        <f>IF(ISNA(MATCH(499,Engine!$C$2:$C$622,0)),"",INDEX('Compliance Database'!$J$2:$J$622,MATCH(499,Engine!$C$2:$C$622,0)))</f>
        <v/>
      </c>
      <c r="K512">
        <f>IF(ISNA(MATCH(499,Engine!$C$2:$C$622,0)),"",INDEX('Compliance Database'!$K$2:$K$622,MATCH(499,Engine!$C$2:$C$622,0)))</f>
        <v/>
      </c>
      <c r="L512" s="8">
        <f>IF(ISNA(MATCH(499,Engine!$C$2:$C$622,0)),"",INDEX('Compliance Database'!$L$2:$L$622,MATCH(499,Engine!$C$2:$C$622,0)))</f>
        <v/>
      </c>
      <c r="M512" s="8">
        <f>IF(ISNA(MATCH(499,Engine!$C$2:$C$622,0)),"",INDEX('Compliance Database'!$M$2:$M$622,MATCH(499,Engine!$C$2:$C$622,0)))</f>
        <v/>
      </c>
      <c r="N512" s="8">
        <f>IF(ISNA(MATCH(499,Engine!$C$2:$C$622,0)),"",INDEX('Compliance Database'!$N$2:$N$622,MATCH(499,Engine!$C$2:$C$622,0)))</f>
        <v/>
      </c>
      <c r="O512" s="8">
        <f>IF(ISNA(MATCH(499,Engine!$C$2:$C$622,0)),"",INDEX('Compliance Database'!$O$2:$O$622,MATCH(499,Engine!$C$2:$C$622,0)))</f>
        <v/>
      </c>
    </row>
    <row r="513">
      <c r="A513">
        <f>IF(ISNA(MATCH(500,Engine!$C$2:$C$622,0)),"",INDEX('Compliance Database'!$A$2:$A$622,MATCH(500,Engine!$C$2:$C$622,0)))</f>
        <v/>
      </c>
      <c r="B513">
        <f>IF(ISNA(MATCH(500,Engine!$C$2:$C$622,0)),"",INDEX('Compliance Database'!$B$2:$B$622,MATCH(500,Engine!$C$2:$C$622,0)))</f>
        <v/>
      </c>
      <c r="C513">
        <f>IF(ISNA(MATCH(500,Engine!$C$2:$C$622,0)),"",INDEX('Compliance Database'!$C$2:$C$622,MATCH(500,Engine!$C$2:$C$622,0)))</f>
        <v/>
      </c>
      <c r="D513" s="8">
        <f>IF(ISNA(MATCH(500,Engine!$C$2:$C$622,0)),"",INDEX('Compliance Database'!$D$2:$D$622,MATCH(500,Engine!$C$2:$C$622,0)))</f>
        <v/>
      </c>
      <c r="E513">
        <f>IF(ISNA(MATCH(500,Engine!$C$2:$C$622,0)),"",INDEX('Compliance Database'!$E$2:$E$622,MATCH(500,Engine!$C$2:$C$622,0)))</f>
        <v/>
      </c>
      <c r="F513">
        <f>IF(ISNA(MATCH(500,Engine!$C$2:$C$622,0)),"",INDEX('Compliance Database'!$F$2:$F$622,MATCH(500,Engine!$C$2:$C$622,0)))</f>
        <v/>
      </c>
      <c r="G513">
        <f>IF(ISNA(MATCH(500,Engine!$C$2:$C$622,0)),"",INDEX('Compliance Database'!$G$2:$G$622,MATCH(500,Engine!$C$2:$C$622,0)))</f>
        <v/>
      </c>
      <c r="H513">
        <f>IF(ISNA(MATCH(500,Engine!$C$2:$C$622,0)),"",INDEX('Compliance Database'!$H$2:$H$622,MATCH(500,Engine!$C$2:$C$622,0)))</f>
        <v/>
      </c>
      <c r="I513" s="8">
        <f>IF(ISNA(MATCH(500,Engine!$C$2:$C$622,0)),"",INDEX('Compliance Database'!$I$2:$I$622,MATCH(500,Engine!$C$2:$C$622,0)))</f>
        <v/>
      </c>
      <c r="J513" s="8">
        <f>IF(ISNA(MATCH(500,Engine!$C$2:$C$622,0)),"",INDEX('Compliance Database'!$J$2:$J$622,MATCH(500,Engine!$C$2:$C$622,0)))</f>
        <v/>
      </c>
      <c r="K513">
        <f>IF(ISNA(MATCH(500,Engine!$C$2:$C$622,0)),"",INDEX('Compliance Database'!$K$2:$K$622,MATCH(500,Engine!$C$2:$C$622,0)))</f>
        <v/>
      </c>
      <c r="L513" s="8">
        <f>IF(ISNA(MATCH(500,Engine!$C$2:$C$622,0)),"",INDEX('Compliance Database'!$L$2:$L$622,MATCH(500,Engine!$C$2:$C$622,0)))</f>
        <v/>
      </c>
      <c r="M513" s="8">
        <f>IF(ISNA(MATCH(500,Engine!$C$2:$C$622,0)),"",INDEX('Compliance Database'!$M$2:$M$622,MATCH(500,Engine!$C$2:$C$622,0)))</f>
        <v/>
      </c>
      <c r="N513" s="8">
        <f>IF(ISNA(MATCH(500,Engine!$C$2:$C$622,0)),"",INDEX('Compliance Database'!$N$2:$N$622,MATCH(500,Engine!$C$2:$C$622,0)))</f>
        <v/>
      </c>
      <c r="O513" s="8">
        <f>IF(ISNA(MATCH(500,Engine!$C$2:$C$622,0)),"",INDEX('Compliance Database'!$O$2:$O$622,MATCH(500,Engine!$C$2:$C$622,0)))</f>
        <v/>
      </c>
    </row>
    <row r="514">
      <c r="A514">
        <f>IF(ISNA(MATCH(501,Engine!$C$2:$C$622,0)),"",INDEX('Compliance Database'!$A$2:$A$622,MATCH(501,Engine!$C$2:$C$622,0)))</f>
        <v/>
      </c>
      <c r="B514">
        <f>IF(ISNA(MATCH(501,Engine!$C$2:$C$622,0)),"",INDEX('Compliance Database'!$B$2:$B$622,MATCH(501,Engine!$C$2:$C$622,0)))</f>
        <v/>
      </c>
      <c r="C514">
        <f>IF(ISNA(MATCH(501,Engine!$C$2:$C$622,0)),"",INDEX('Compliance Database'!$C$2:$C$622,MATCH(501,Engine!$C$2:$C$622,0)))</f>
        <v/>
      </c>
      <c r="D514" s="8">
        <f>IF(ISNA(MATCH(501,Engine!$C$2:$C$622,0)),"",INDEX('Compliance Database'!$D$2:$D$622,MATCH(501,Engine!$C$2:$C$622,0)))</f>
        <v/>
      </c>
      <c r="E514">
        <f>IF(ISNA(MATCH(501,Engine!$C$2:$C$622,0)),"",INDEX('Compliance Database'!$E$2:$E$622,MATCH(501,Engine!$C$2:$C$622,0)))</f>
        <v/>
      </c>
      <c r="F514">
        <f>IF(ISNA(MATCH(501,Engine!$C$2:$C$622,0)),"",INDEX('Compliance Database'!$F$2:$F$622,MATCH(501,Engine!$C$2:$C$622,0)))</f>
        <v/>
      </c>
      <c r="G514">
        <f>IF(ISNA(MATCH(501,Engine!$C$2:$C$622,0)),"",INDEX('Compliance Database'!$G$2:$G$622,MATCH(501,Engine!$C$2:$C$622,0)))</f>
        <v/>
      </c>
      <c r="H514">
        <f>IF(ISNA(MATCH(501,Engine!$C$2:$C$622,0)),"",INDEX('Compliance Database'!$H$2:$H$622,MATCH(501,Engine!$C$2:$C$622,0)))</f>
        <v/>
      </c>
      <c r="I514" s="8">
        <f>IF(ISNA(MATCH(501,Engine!$C$2:$C$622,0)),"",INDEX('Compliance Database'!$I$2:$I$622,MATCH(501,Engine!$C$2:$C$622,0)))</f>
        <v/>
      </c>
      <c r="J514" s="8">
        <f>IF(ISNA(MATCH(501,Engine!$C$2:$C$622,0)),"",INDEX('Compliance Database'!$J$2:$J$622,MATCH(501,Engine!$C$2:$C$622,0)))</f>
        <v/>
      </c>
      <c r="K514">
        <f>IF(ISNA(MATCH(501,Engine!$C$2:$C$622,0)),"",INDEX('Compliance Database'!$K$2:$K$622,MATCH(501,Engine!$C$2:$C$622,0)))</f>
        <v/>
      </c>
      <c r="L514" s="8">
        <f>IF(ISNA(MATCH(501,Engine!$C$2:$C$622,0)),"",INDEX('Compliance Database'!$L$2:$L$622,MATCH(501,Engine!$C$2:$C$622,0)))</f>
        <v/>
      </c>
      <c r="M514" s="8">
        <f>IF(ISNA(MATCH(501,Engine!$C$2:$C$622,0)),"",INDEX('Compliance Database'!$M$2:$M$622,MATCH(501,Engine!$C$2:$C$622,0)))</f>
        <v/>
      </c>
      <c r="N514" s="8">
        <f>IF(ISNA(MATCH(501,Engine!$C$2:$C$622,0)),"",INDEX('Compliance Database'!$N$2:$N$622,MATCH(501,Engine!$C$2:$C$622,0)))</f>
        <v/>
      </c>
      <c r="O514" s="8">
        <f>IF(ISNA(MATCH(501,Engine!$C$2:$C$622,0)),"",INDEX('Compliance Database'!$O$2:$O$622,MATCH(501,Engine!$C$2:$C$622,0)))</f>
        <v/>
      </c>
    </row>
    <row r="515">
      <c r="A515">
        <f>IF(ISNA(MATCH(502,Engine!$C$2:$C$622,0)),"",INDEX('Compliance Database'!$A$2:$A$622,MATCH(502,Engine!$C$2:$C$622,0)))</f>
        <v/>
      </c>
      <c r="B515">
        <f>IF(ISNA(MATCH(502,Engine!$C$2:$C$622,0)),"",INDEX('Compliance Database'!$B$2:$B$622,MATCH(502,Engine!$C$2:$C$622,0)))</f>
        <v/>
      </c>
      <c r="C515">
        <f>IF(ISNA(MATCH(502,Engine!$C$2:$C$622,0)),"",INDEX('Compliance Database'!$C$2:$C$622,MATCH(502,Engine!$C$2:$C$622,0)))</f>
        <v/>
      </c>
      <c r="D515" s="8">
        <f>IF(ISNA(MATCH(502,Engine!$C$2:$C$622,0)),"",INDEX('Compliance Database'!$D$2:$D$622,MATCH(502,Engine!$C$2:$C$622,0)))</f>
        <v/>
      </c>
      <c r="E515">
        <f>IF(ISNA(MATCH(502,Engine!$C$2:$C$622,0)),"",INDEX('Compliance Database'!$E$2:$E$622,MATCH(502,Engine!$C$2:$C$622,0)))</f>
        <v/>
      </c>
      <c r="F515">
        <f>IF(ISNA(MATCH(502,Engine!$C$2:$C$622,0)),"",INDEX('Compliance Database'!$F$2:$F$622,MATCH(502,Engine!$C$2:$C$622,0)))</f>
        <v/>
      </c>
      <c r="G515">
        <f>IF(ISNA(MATCH(502,Engine!$C$2:$C$622,0)),"",INDEX('Compliance Database'!$G$2:$G$622,MATCH(502,Engine!$C$2:$C$622,0)))</f>
        <v/>
      </c>
      <c r="H515">
        <f>IF(ISNA(MATCH(502,Engine!$C$2:$C$622,0)),"",INDEX('Compliance Database'!$H$2:$H$622,MATCH(502,Engine!$C$2:$C$622,0)))</f>
        <v/>
      </c>
      <c r="I515" s="8">
        <f>IF(ISNA(MATCH(502,Engine!$C$2:$C$622,0)),"",INDEX('Compliance Database'!$I$2:$I$622,MATCH(502,Engine!$C$2:$C$622,0)))</f>
        <v/>
      </c>
      <c r="J515" s="8">
        <f>IF(ISNA(MATCH(502,Engine!$C$2:$C$622,0)),"",INDEX('Compliance Database'!$J$2:$J$622,MATCH(502,Engine!$C$2:$C$622,0)))</f>
        <v/>
      </c>
      <c r="K515">
        <f>IF(ISNA(MATCH(502,Engine!$C$2:$C$622,0)),"",INDEX('Compliance Database'!$K$2:$K$622,MATCH(502,Engine!$C$2:$C$622,0)))</f>
        <v/>
      </c>
      <c r="L515" s="8">
        <f>IF(ISNA(MATCH(502,Engine!$C$2:$C$622,0)),"",INDEX('Compliance Database'!$L$2:$L$622,MATCH(502,Engine!$C$2:$C$622,0)))</f>
        <v/>
      </c>
      <c r="M515" s="8">
        <f>IF(ISNA(MATCH(502,Engine!$C$2:$C$622,0)),"",INDEX('Compliance Database'!$M$2:$M$622,MATCH(502,Engine!$C$2:$C$622,0)))</f>
        <v/>
      </c>
      <c r="N515" s="8">
        <f>IF(ISNA(MATCH(502,Engine!$C$2:$C$622,0)),"",INDEX('Compliance Database'!$N$2:$N$622,MATCH(502,Engine!$C$2:$C$622,0)))</f>
        <v/>
      </c>
      <c r="O515" s="8">
        <f>IF(ISNA(MATCH(502,Engine!$C$2:$C$622,0)),"",INDEX('Compliance Database'!$O$2:$O$622,MATCH(502,Engine!$C$2:$C$622,0)))</f>
        <v/>
      </c>
    </row>
    <row r="516">
      <c r="A516">
        <f>IF(ISNA(MATCH(503,Engine!$C$2:$C$622,0)),"",INDEX('Compliance Database'!$A$2:$A$622,MATCH(503,Engine!$C$2:$C$622,0)))</f>
        <v/>
      </c>
      <c r="B516">
        <f>IF(ISNA(MATCH(503,Engine!$C$2:$C$622,0)),"",INDEX('Compliance Database'!$B$2:$B$622,MATCH(503,Engine!$C$2:$C$622,0)))</f>
        <v/>
      </c>
      <c r="C516">
        <f>IF(ISNA(MATCH(503,Engine!$C$2:$C$622,0)),"",INDEX('Compliance Database'!$C$2:$C$622,MATCH(503,Engine!$C$2:$C$622,0)))</f>
        <v/>
      </c>
      <c r="D516" s="8">
        <f>IF(ISNA(MATCH(503,Engine!$C$2:$C$622,0)),"",INDEX('Compliance Database'!$D$2:$D$622,MATCH(503,Engine!$C$2:$C$622,0)))</f>
        <v/>
      </c>
      <c r="E516">
        <f>IF(ISNA(MATCH(503,Engine!$C$2:$C$622,0)),"",INDEX('Compliance Database'!$E$2:$E$622,MATCH(503,Engine!$C$2:$C$622,0)))</f>
        <v/>
      </c>
      <c r="F516">
        <f>IF(ISNA(MATCH(503,Engine!$C$2:$C$622,0)),"",INDEX('Compliance Database'!$F$2:$F$622,MATCH(503,Engine!$C$2:$C$622,0)))</f>
        <v/>
      </c>
      <c r="G516">
        <f>IF(ISNA(MATCH(503,Engine!$C$2:$C$622,0)),"",INDEX('Compliance Database'!$G$2:$G$622,MATCH(503,Engine!$C$2:$C$622,0)))</f>
        <v/>
      </c>
      <c r="H516">
        <f>IF(ISNA(MATCH(503,Engine!$C$2:$C$622,0)),"",INDEX('Compliance Database'!$H$2:$H$622,MATCH(503,Engine!$C$2:$C$622,0)))</f>
        <v/>
      </c>
      <c r="I516" s="8">
        <f>IF(ISNA(MATCH(503,Engine!$C$2:$C$622,0)),"",INDEX('Compliance Database'!$I$2:$I$622,MATCH(503,Engine!$C$2:$C$622,0)))</f>
        <v/>
      </c>
      <c r="J516" s="8">
        <f>IF(ISNA(MATCH(503,Engine!$C$2:$C$622,0)),"",INDEX('Compliance Database'!$J$2:$J$622,MATCH(503,Engine!$C$2:$C$622,0)))</f>
        <v/>
      </c>
      <c r="K516">
        <f>IF(ISNA(MATCH(503,Engine!$C$2:$C$622,0)),"",INDEX('Compliance Database'!$K$2:$K$622,MATCH(503,Engine!$C$2:$C$622,0)))</f>
        <v/>
      </c>
      <c r="L516" s="8">
        <f>IF(ISNA(MATCH(503,Engine!$C$2:$C$622,0)),"",INDEX('Compliance Database'!$L$2:$L$622,MATCH(503,Engine!$C$2:$C$622,0)))</f>
        <v/>
      </c>
      <c r="M516" s="8">
        <f>IF(ISNA(MATCH(503,Engine!$C$2:$C$622,0)),"",INDEX('Compliance Database'!$M$2:$M$622,MATCH(503,Engine!$C$2:$C$622,0)))</f>
        <v/>
      </c>
      <c r="N516" s="8">
        <f>IF(ISNA(MATCH(503,Engine!$C$2:$C$622,0)),"",INDEX('Compliance Database'!$N$2:$N$622,MATCH(503,Engine!$C$2:$C$622,0)))</f>
        <v/>
      </c>
      <c r="O516" s="8">
        <f>IF(ISNA(MATCH(503,Engine!$C$2:$C$622,0)),"",INDEX('Compliance Database'!$O$2:$O$622,MATCH(503,Engine!$C$2:$C$622,0)))</f>
        <v/>
      </c>
    </row>
    <row r="517">
      <c r="A517">
        <f>IF(ISNA(MATCH(504,Engine!$C$2:$C$622,0)),"",INDEX('Compliance Database'!$A$2:$A$622,MATCH(504,Engine!$C$2:$C$622,0)))</f>
        <v/>
      </c>
      <c r="B517">
        <f>IF(ISNA(MATCH(504,Engine!$C$2:$C$622,0)),"",INDEX('Compliance Database'!$B$2:$B$622,MATCH(504,Engine!$C$2:$C$622,0)))</f>
        <v/>
      </c>
      <c r="C517">
        <f>IF(ISNA(MATCH(504,Engine!$C$2:$C$622,0)),"",INDEX('Compliance Database'!$C$2:$C$622,MATCH(504,Engine!$C$2:$C$622,0)))</f>
        <v/>
      </c>
      <c r="D517" s="8">
        <f>IF(ISNA(MATCH(504,Engine!$C$2:$C$622,0)),"",INDEX('Compliance Database'!$D$2:$D$622,MATCH(504,Engine!$C$2:$C$622,0)))</f>
        <v/>
      </c>
      <c r="E517">
        <f>IF(ISNA(MATCH(504,Engine!$C$2:$C$622,0)),"",INDEX('Compliance Database'!$E$2:$E$622,MATCH(504,Engine!$C$2:$C$622,0)))</f>
        <v/>
      </c>
      <c r="F517">
        <f>IF(ISNA(MATCH(504,Engine!$C$2:$C$622,0)),"",INDEX('Compliance Database'!$F$2:$F$622,MATCH(504,Engine!$C$2:$C$622,0)))</f>
        <v/>
      </c>
      <c r="G517">
        <f>IF(ISNA(MATCH(504,Engine!$C$2:$C$622,0)),"",INDEX('Compliance Database'!$G$2:$G$622,MATCH(504,Engine!$C$2:$C$622,0)))</f>
        <v/>
      </c>
      <c r="H517">
        <f>IF(ISNA(MATCH(504,Engine!$C$2:$C$622,0)),"",INDEX('Compliance Database'!$H$2:$H$622,MATCH(504,Engine!$C$2:$C$622,0)))</f>
        <v/>
      </c>
      <c r="I517" s="8">
        <f>IF(ISNA(MATCH(504,Engine!$C$2:$C$622,0)),"",INDEX('Compliance Database'!$I$2:$I$622,MATCH(504,Engine!$C$2:$C$622,0)))</f>
        <v/>
      </c>
      <c r="J517" s="8">
        <f>IF(ISNA(MATCH(504,Engine!$C$2:$C$622,0)),"",INDEX('Compliance Database'!$J$2:$J$622,MATCH(504,Engine!$C$2:$C$622,0)))</f>
        <v/>
      </c>
      <c r="K517">
        <f>IF(ISNA(MATCH(504,Engine!$C$2:$C$622,0)),"",INDEX('Compliance Database'!$K$2:$K$622,MATCH(504,Engine!$C$2:$C$622,0)))</f>
        <v/>
      </c>
      <c r="L517" s="8">
        <f>IF(ISNA(MATCH(504,Engine!$C$2:$C$622,0)),"",INDEX('Compliance Database'!$L$2:$L$622,MATCH(504,Engine!$C$2:$C$622,0)))</f>
        <v/>
      </c>
      <c r="M517" s="8">
        <f>IF(ISNA(MATCH(504,Engine!$C$2:$C$622,0)),"",INDEX('Compliance Database'!$M$2:$M$622,MATCH(504,Engine!$C$2:$C$622,0)))</f>
        <v/>
      </c>
      <c r="N517" s="8">
        <f>IF(ISNA(MATCH(504,Engine!$C$2:$C$622,0)),"",INDEX('Compliance Database'!$N$2:$N$622,MATCH(504,Engine!$C$2:$C$622,0)))</f>
        <v/>
      </c>
      <c r="O517" s="8">
        <f>IF(ISNA(MATCH(504,Engine!$C$2:$C$622,0)),"",INDEX('Compliance Database'!$O$2:$O$622,MATCH(504,Engine!$C$2:$C$622,0)))</f>
        <v/>
      </c>
    </row>
    <row r="518">
      <c r="A518">
        <f>IF(ISNA(MATCH(505,Engine!$C$2:$C$622,0)),"",INDEX('Compliance Database'!$A$2:$A$622,MATCH(505,Engine!$C$2:$C$622,0)))</f>
        <v/>
      </c>
      <c r="B518">
        <f>IF(ISNA(MATCH(505,Engine!$C$2:$C$622,0)),"",INDEX('Compliance Database'!$B$2:$B$622,MATCH(505,Engine!$C$2:$C$622,0)))</f>
        <v/>
      </c>
      <c r="C518">
        <f>IF(ISNA(MATCH(505,Engine!$C$2:$C$622,0)),"",INDEX('Compliance Database'!$C$2:$C$622,MATCH(505,Engine!$C$2:$C$622,0)))</f>
        <v/>
      </c>
      <c r="D518" s="8">
        <f>IF(ISNA(MATCH(505,Engine!$C$2:$C$622,0)),"",INDEX('Compliance Database'!$D$2:$D$622,MATCH(505,Engine!$C$2:$C$622,0)))</f>
        <v/>
      </c>
      <c r="E518">
        <f>IF(ISNA(MATCH(505,Engine!$C$2:$C$622,0)),"",INDEX('Compliance Database'!$E$2:$E$622,MATCH(505,Engine!$C$2:$C$622,0)))</f>
        <v/>
      </c>
      <c r="F518">
        <f>IF(ISNA(MATCH(505,Engine!$C$2:$C$622,0)),"",INDEX('Compliance Database'!$F$2:$F$622,MATCH(505,Engine!$C$2:$C$622,0)))</f>
        <v/>
      </c>
      <c r="G518">
        <f>IF(ISNA(MATCH(505,Engine!$C$2:$C$622,0)),"",INDEX('Compliance Database'!$G$2:$G$622,MATCH(505,Engine!$C$2:$C$622,0)))</f>
        <v/>
      </c>
      <c r="H518">
        <f>IF(ISNA(MATCH(505,Engine!$C$2:$C$622,0)),"",INDEX('Compliance Database'!$H$2:$H$622,MATCH(505,Engine!$C$2:$C$622,0)))</f>
        <v/>
      </c>
      <c r="I518" s="8">
        <f>IF(ISNA(MATCH(505,Engine!$C$2:$C$622,0)),"",INDEX('Compliance Database'!$I$2:$I$622,MATCH(505,Engine!$C$2:$C$622,0)))</f>
        <v/>
      </c>
      <c r="J518" s="8">
        <f>IF(ISNA(MATCH(505,Engine!$C$2:$C$622,0)),"",INDEX('Compliance Database'!$J$2:$J$622,MATCH(505,Engine!$C$2:$C$622,0)))</f>
        <v/>
      </c>
      <c r="K518">
        <f>IF(ISNA(MATCH(505,Engine!$C$2:$C$622,0)),"",INDEX('Compliance Database'!$K$2:$K$622,MATCH(505,Engine!$C$2:$C$622,0)))</f>
        <v/>
      </c>
      <c r="L518" s="8">
        <f>IF(ISNA(MATCH(505,Engine!$C$2:$C$622,0)),"",INDEX('Compliance Database'!$L$2:$L$622,MATCH(505,Engine!$C$2:$C$622,0)))</f>
        <v/>
      </c>
      <c r="M518" s="8">
        <f>IF(ISNA(MATCH(505,Engine!$C$2:$C$622,0)),"",INDEX('Compliance Database'!$M$2:$M$622,MATCH(505,Engine!$C$2:$C$622,0)))</f>
        <v/>
      </c>
      <c r="N518" s="8">
        <f>IF(ISNA(MATCH(505,Engine!$C$2:$C$622,0)),"",INDEX('Compliance Database'!$N$2:$N$622,MATCH(505,Engine!$C$2:$C$622,0)))</f>
        <v/>
      </c>
      <c r="O518" s="8">
        <f>IF(ISNA(MATCH(505,Engine!$C$2:$C$622,0)),"",INDEX('Compliance Database'!$O$2:$O$622,MATCH(505,Engine!$C$2:$C$622,0)))</f>
        <v/>
      </c>
    </row>
    <row r="519">
      <c r="A519">
        <f>IF(ISNA(MATCH(506,Engine!$C$2:$C$622,0)),"",INDEX('Compliance Database'!$A$2:$A$622,MATCH(506,Engine!$C$2:$C$622,0)))</f>
        <v/>
      </c>
      <c r="B519">
        <f>IF(ISNA(MATCH(506,Engine!$C$2:$C$622,0)),"",INDEX('Compliance Database'!$B$2:$B$622,MATCH(506,Engine!$C$2:$C$622,0)))</f>
        <v/>
      </c>
      <c r="C519">
        <f>IF(ISNA(MATCH(506,Engine!$C$2:$C$622,0)),"",INDEX('Compliance Database'!$C$2:$C$622,MATCH(506,Engine!$C$2:$C$622,0)))</f>
        <v/>
      </c>
      <c r="D519" s="8">
        <f>IF(ISNA(MATCH(506,Engine!$C$2:$C$622,0)),"",INDEX('Compliance Database'!$D$2:$D$622,MATCH(506,Engine!$C$2:$C$622,0)))</f>
        <v/>
      </c>
      <c r="E519">
        <f>IF(ISNA(MATCH(506,Engine!$C$2:$C$622,0)),"",INDEX('Compliance Database'!$E$2:$E$622,MATCH(506,Engine!$C$2:$C$622,0)))</f>
        <v/>
      </c>
      <c r="F519">
        <f>IF(ISNA(MATCH(506,Engine!$C$2:$C$622,0)),"",INDEX('Compliance Database'!$F$2:$F$622,MATCH(506,Engine!$C$2:$C$622,0)))</f>
        <v/>
      </c>
      <c r="G519">
        <f>IF(ISNA(MATCH(506,Engine!$C$2:$C$622,0)),"",INDEX('Compliance Database'!$G$2:$G$622,MATCH(506,Engine!$C$2:$C$622,0)))</f>
        <v/>
      </c>
      <c r="H519">
        <f>IF(ISNA(MATCH(506,Engine!$C$2:$C$622,0)),"",INDEX('Compliance Database'!$H$2:$H$622,MATCH(506,Engine!$C$2:$C$622,0)))</f>
        <v/>
      </c>
      <c r="I519" s="8">
        <f>IF(ISNA(MATCH(506,Engine!$C$2:$C$622,0)),"",INDEX('Compliance Database'!$I$2:$I$622,MATCH(506,Engine!$C$2:$C$622,0)))</f>
        <v/>
      </c>
      <c r="J519" s="8">
        <f>IF(ISNA(MATCH(506,Engine!$C$2:$C$622,0)),"",INDEX('Compliance Database'!$J$2:$J$622,MATCH(506,Engine!$C$2:$C$622,0)))</f>
        <v/>
      </c>
      <c r="K519">
        <f>IF(ISNA(MATCH(506,Engine!$C$2:$C$622,0)),"",INDEX('Compliance Database'!$K$2:$K$622,MATCH(506,Engine!$C$2:$C$622,0)))</f>
        <v/>
      </c>
      <c r="L519" s="8">
        <f>IF(ISNA(MATCH(506,Engine!$C$2:$C$622,0)),"",INDEX('Compliance Database'!$L$2:$L$622,MATCH(506,Engine!$C$2:$C$622,0)))</f>
        <v/>
      </c>
      <c r="M519" s="8">
        <f>IF(ISNA(MATCH(506,Engine!$C$2:$C$622,0)),"",INDEX('Compliance Database'!$M$2:$M$622,MATCH(506,Engine!$C$2:$C$622,0)))</f>
        <v/>
      </c>
      <c r="N519" s="8">
        <f>IF(ISNA(MATCH(506,Engine!$C$2:$C$622,0)),"",INDEX('Compliance Database'!$N$2:$N$622,MATCH(506,Engine!$C$2:$C$622,0)))</f>
        <v/>
      </c>
      <c r="O519" s="8">
        <f>IF(ISNA(MATCH(506,Engine!$C$2:$C$622,0)),"",INDEX('Compliance Database'!$O$2:$O$622,MATCH(506,Engine!$C$2:$C$622,0)))</f>
        <v/>
      </c>
    </row>
    <row r="520">
      <c r="A520">
        <f>IF(ISNA(MATCH(507,Engine!$C$2:$C$622,0)),"",INDEX('Compliance Database'!$A$2:$A$622,MATCH(507,Engine!$C$2:$C$622,0)))</f>
        <v/>
      </c>
      <c r="B520">
        <f>IF(ISNA(MATCH(507,Engine!$C$2:$C$622,0)),"",INDEX('Compliance Database'!$B$2:$B$622,MATCH(507,Engine!$C$2:$C$622,0)))</f>
        <v/>
      </c>
      <c r="C520">
        <f>IF(ISNA(MATCH(507,Engine!$C$2:$C$622,0)),"",INDEX('Compliance Database'!$C$2:$C$622,MATCH(507,Engine!$C$2:$C$622,0)))</f>
        <v/>
      </c>
      <c r="D520" s="8">
        <f>IF(ISNA(MATCH(507,Engine!$C$2:$C$622,0)),"",INDEX('Compliance Database'!$D$2:$D$622,MATCH(507,Engine!$C$2:$C$622,0)))</f>
        <v/>
      </c>
      <c r="E520">
        <f>IF(ISNA(MATCH(507,Engine!$C$2:$C$622,0)),"",INDEX('Compliance Database'!$E$2:$E$622,MATCH(507,Engine!$C$2:$C$622,0)))</f>
        <v/>
      </c>
      <c r="F520">
        <f>IF(ISNA(MATCH(507,Engine!$C$2:$C$622,0)),"",INDEX('Compliance Database'!$F$2:$F$622,MATCH(507,Engine!$C$2:$C$622,0)))</f>
        <v/>
      </c>
      <c r="G520">
        <f>IF(ISNA(MATCH(507,Engine!$C$2:$C$622,0)),"",INDEX('Compliance Database'!$G$2:$G$622,MATCH(507,Engine!$C$2:$C$622,0)))</f>
        <v/>
      </c>
      <c r="H520">
        <f>IF(ISNA(MATCH(507,Engine!$C$2:$C$622,0)),"",INDEX('Compliance Database'!$H$2:$H$622,MATCH(507,Engine!$C$2:$C$622,0)))</f>
        <v/>
      </c>
      <c r="I520" s="8">
        <f>IF(ISNA(MATCH(507,Engine!$C$2:$C$622,0)),"",INDEX('Compliance Database'!$I$2:$I$622,MATCH(507,Engine!$C$2:$C$622,0)))</f>
        <v/>
      </c>
      <c r="J520" s="8">
        <f>IF(ISNA(MATCH(507,Engine!$C$2:$C$622,0)),"",INDEX('Compliance Database'!$J$2:$J$622,MATCH(507,Engine!$C$2:$C$622,0)))</f>
        <v/>
      </c>
      <c r="K520">
        <f>IF(ISNA(MATCH(507,Engine!$C$2:$C$622,0)),"",INDEX('Compliance Database'!$K$2:$K$622,MATCH(507,Engine!$C$2:$C$622,0)))</f>
        <v/>
      </c>
      <c r="L520" s="8">
        <f>IF(ISNA(MATCH(507,Engine!$C$2:$C$622,0)),"",INDEX('Compliance Database'!$L$2:$L$622,MATCH(507,Engine!$C$2:$C$622,0)))</f>
        <v/>
      </c>
      <c r="M520" s="8">
        <f>IF(ISNA(MATCH(507,Engine!$C$2:$C$622,0)),"",INDEX('Compliance Database'!$M$2:$M$622,MATCH(507,Engine!$C$2:$C$622,0)))</f>
        <v/>
      </c>
      <c r="N520" s="8">
        <f>IF(ISNA(MATCH(507,Engine!$C$2:$C$622,0)),"",INDEX('Compliance Database'!$N$2:$N$622,MATCH(507,Engine!$C$2:$C$622,0)))</f>
        <v/>
      </c>
      <c r="O520" s="8">
        <f>IF(ISNA(MATCH(507,Engine!$C$2:$C$622,0)),"",INDEX('Compliance Database'!$O$2:$O$622,MATCH(507,Engine!$C$2:$C$622,0)))</f>
        <v/>
      </c>
    </row>
    <row r="521">
      <c r="A521">
        <f>IF(ISNA(MATCH(508,Engine!$C$2:$C$622,0)),"",INDEX('Compliance Database'!$A$2:$A$622,MATCH(508,Engine!$C$2:$C$622,0)))</f>
        <v/>
      </c>
      <c r="B521">
        <f>IF(ISNA(MATCH(508,Engine!$C$2:$C$622,0)),"",INDEX('Compliance Database'!$B$2:$B$622,MATCH(508,Engine!$C$2:$C$622,0)))</f>
        <v/>
      </c>
      <c r="C521">
        <f>IF(ISNA(MATCH(508,Engine!$C$2:$C$622,0)),"",INDEX('Compliance Database'!$C$2:$C$622,MATCH(508,Engine!$C$2:$C$622,0)))</f>
        <v/>
      </c>
      <c r="D521" s="8">
        <f>IF(ISNA(MATCH(508,Engine!$C$2:$C$622,0)),"",INDEX('Compliance Database'!$D$2:$D$622,MATCH(508,Engine!$C$2:$C$622,0)))</f>
        <v/>
      </c>
      <c r="E521">
        <f>IF(ISNA(MATCH(508,Engine!$C$2:$C$622,0)),"",INDEX('Compliance Database'!$E$2:$E$622,MATCH(508,Engine!$C$2:$C$622,0)))</f>
        <v/>
      </c>
      <c r="F521">
        <f>IF(ISNA(MATCH(508,Engine!$C$2:$C$622,0)),"",INDEX('Compliance Database'!$F$2:$F$622,MATCH(508,Engine!$C$2:$C$622,0)))</f>
        <v/>
      </c>
      <c r="G521">
        <f>IF(ISNA(MATCH(508,Engine!$C$2:$C$622,0)),"",INDEX('Compliance Database'!$G$2:$G$622,MATCH(508,Engine!$C$2:$C$622,0)))</f>
        <v/>
      </c>
      <c r="H521">
        <f>IF(ISNA(MATCH(508,Engine!$C$2:$C$622,0)),"",INDEX('Compliance Database'!$H$2:$H$622,MATCH(508,Engine!$C$2:$C$622,0)))</f>
        <v/>
      </c>
      <c r="I521" s="8">
        <f>IF(ISNA(MATCH(508,Engine!$C$2:$C$622,0)),"",INDEX('Compliance Database'!$I$2:$I$622,MATCH(508,Engine!$C$2:$C$622,0)))</f>
        <v/>
      </c>
      <c r="J521" s="8">
        <f>IF(ISNA(MATCH(508,Engine!$C$2:$C$622,0)),"",INDEX('Compliance Database'!$J$2:$J$622,MATCH(508,Engine!$C$2:$C$622,0)))</f>
        <v/>
      </c>
      <c r="K521">
        <f>IF(ISNA(MATCH(508,Engine!$C$2:$C$622,0)),"",INDEX('Compliance Database'!$K$2:$K$622,MATCH(508,Engine!$C$2:$C$622,0)))</f>
        <v/>
      </c>
      <c r="L521" s="8">
        <f>IF(ISNA(MATCH(508,Engine!$C$2:$C$622,0)),"",INDEX('Compliance Database'!$L$2:$L$622,MATCH(508,Engine!$C$2:$C$622,0)))</f>
        <v/>
      </c>
      <c r="M521" s="8">
        <f>IF(ISNA(MATCH(508,Engine!$C$2:$C$622,0)),"",INDEX('Compliance Database'!$M$2:$M$622,MATCH(508,Engine!$C$2:$C$622,0)))</f>
        <v/>
      </c>
      <c r="N521" s="8">
        <f>IF(ISNA(MATCH(508,Engine!$C$2:$C$622,0)),"",INDEX('Compliance Database'!$N$2:$N$622,MATCH(508,Engine!$C$2:$C$622,0)))</f>
        <v/>
      </c>
      <c r="O521" s="8">
        <f>IF(ISNA(MATCH(508,Engine!$C$2:$C$622,0)),"",INDEX('Compliance Database'!$O$2:$O$622,MATCH(508,Engine!$C$2:$C$622,0)))</f>
        <v/>
      </c>
    </row>
    <row r="522">
      <c r="A522">
        <f>IF(ISNA(MATCH(509,Engine!$C$2:$C$622,0)),"",INDEX('Compliance Database'!$A$2:$A$622,MATCH(509,Engine!$C$2:$C$622,0)))</f>
        <v/>
      </c>
      <c r="B522">
        <f>IF(ISNA(MATCH(509,Engine!$C$2:$C$622,0)),"",INDEX('Compliance Database'!$B$2:$B$622,MATCH(509,Engine!$C$2:$C$622,0)))</f>
        <v/>
      </c>
      <c r="C522">
        <f>IF(ISNA(MATCH(509,Engine!$C$2:$C$622,0)),"",INDEX('Compliance Database'!$C$2:$C$622,MATCH(509,Engine!$C$2:$C$622,0)))</f>
        <v/>
      </c>
      <c r="D522" s="8">
        <f>IF(ISNA(MATCH(509,Engine!$C$2:$C$622,0)),"",INDEX('Compliance Database'!$D$2:$D$622,MATCH(509,Engine!$C$2:$C$622,0)))</f>
        <v/>
      </c>
      <c r="E522">
        <f>IF(ISNA(MATCH(509,Engine!$C$2:$C$622,0)),"",INDEX('Compliance Database'!$E$2:$E$622,MATCH(509,Engine!$C$2:$C$622,0)))</f>
        <v/>
      </c>
      <c r="F522">
        <f>IF(ISNA(MATCH(509,Engine!$C$2:$C$622,0)),"",INDEX('Compliance Database'!$F$2:$F$622,MATCH(509,Engine!$C$2:$C$622,0)))</f>
        <v/>
      </c>
      <c r="G522">
        <f>IF(ISNA(MATCH(509,Engine!$C$2:$C$622,0)),"",INDEX('Compliance Database'!$G$2:$G$622,MATCH(509,Engine!$C$2:$C$622,0)))</f>
        <v/>
      </c>
      <c r="H522">
        <f>IF(ISNA(MATCH(509,Engine!$C$2:$C$622,0)),"",INDEX('Compliance Database'!$H$2:$H$622,MATCH(509,Engine!$C$2:$C$622,0)))</f>
        <v/>
      </c>
      <c r="I522" s="8">
        <f>IF(ISNA(MATCH(509,Engine!$C$2:$C$622,0)),"",INDEX('Compliance Database'!$I$2:$I$622,MATCH(509,Engine!$C$2:$C$622,0)))</f>
        <v/>
      </c>
      <c r="J522" s="8">
        <f>IF(ISNA(MATCH(509,Engine!$C$2:$C$622,0)),"",INDEX('Compliance Database'!$J$2:$J$622,MATCH(509,Engine!$C$2:$C$622,0)))</f>
        <v/>
      </c>
      <c r="K522">
        <f>IF(ISNA(MATCH(509,Engine!$C$2:$C$622,0)),"",INDEX('Compliance Database'!$K$2:$K$622,MATCH(509,Engine!$C$2:$C$622,0)))</f>
        <v/>
      </c>
      <c r="L522" s="8">
        <f>IF(ISNA(MATCH(509,Engine!$C$2:$C$622,0)),"",INDEX('Compliance Database'!$L$2:$L$622,MATCH(509,Engine!$C$2:$C$622,0)))</f>
        <v/>
      </c>
      <c r="M522" s="8">
        <f>IF(ISNA(MATCH(509,Engine!$C$2:$C$622,0)),"",INDEX('Compliance Database'!$M$2:$M$622,MATCH(509,Engine!$C$2:$C$622,0)))</f>
        <v/>
      </c>
      <c r="N522" s="8">
        <f>IF(ISNA(MATCH(509,Engine!$C$2:$C$622,0)),"",INDEX('Compliance Database'!$N$2:$N$622,MATCH(509,Engine!$C$2:$C$622,0)))</f>
        <v/>
      </c>
      <c r="O522" s="8">
        <f>IF(ISNA(MATCH(509,Engine!$C$2:$C$622,0)),"",INDEX('Compliance Database'!$O$2:$O$622,MATCH(509,Engine!$C$2:$C$622,0)))</f>
        <v/>
      </c>
    </row>
    <row r="523">
      <c r="A523">
        <f>IF(ISNA(MATCH(510,Engine!$C$2:$C$622,0)),"",INDEX('Compliance Database'!$A$2:$A$622,MATCH(510,Engine!$C$2:$C$622,0)))</f>
        <v/>
      </c>
      <c r="B523">
        <f>IF(ISNA(MATCH(510,Engine!$C$2:$C$622,0)),"",INDEX('Compliance Database'!$B$2:$B$622,MATCH(510,Engine!$C$2:$C$622,0)))</f>
        <v/>
      </c>
      <c r="C523">
        <f>IF(ISNA(MATCH(510,Engine!$C$2:$C$622,0)),"",INDEX('Compliance Database'!$C$2:$C$622,MATCH(510,Engine!$C$2:$C$622,0)))</f>
        <v/>
      </c>
      <c r="D523" s="8">
        <f>IF(ISNA(MATCH(510,Engine!$C$2:$C$622,0)),"",INDEX('Compliance Database'!$D$2:$D$622,MATCH(510,Engine!$C$2:$C$622,0)))</f>
        <v/>
      </c>
      <c r="E523">
        <f>IF(ISNA(MATCH(510,Engine!$C$2:$C$622,0)),"",INDEX('Compliance Database'!$E$2:$E$622,MATCH(510,Engine!$C$2:$C$622,0)))</f>
        <v/>
      </c>
      <c r="F523">
        <f>IF(ISNA(MATCH(510,Engine!$C$2:$C$622,0)),"",INDEX('Compliance Database'!$F$2:$F$622,MATCH(510,Engine!$C$2:$C$622,0)))</f>
        <v/>
      </c>
      <c r="G523">
        <f>IF(ISNA(MATCH(510,Engine!$C$2:$C$622,0)),"",INDEX('Compliance Database'!$G$2:$G$622,MATCH(510,Engine!$C$2:$C$622,0)))</f>
        <v/>
      </c>
      <c r="H523">
        <f>IF(ISNA(MATCH(510,Engine!$C$2:$C$622,0)),"",INDEX('Compliance Database'!$H$2:$H$622,MATCH(510,Engine!$C$2:$C$622,0)))</f>
        <v/>
      </c>
      <c r="I523" s="8">
        <f>IF(ISNA(MATCH(510,Engine!$C$2:$C$622,0)),"",INDEX('Compliance Database'!$I$2:$I$622,MATCH(510,Engine!$C$2:$C$622,0)))</f>
        <v/>
      </c>
      <c r="J523" s="8">
        <f>IF(ISNA(MATCH(510,Engine!$C$2:$C$622,0)),"",INDEX('Compliance Database'!$J$2:$J$622,MATCH(510,Engine!$C$2:$C$622,0)))</f>
        <v/>
      </c>
      <c r="K523">
        <f>IF(ISNA(MATCH(510,Engine!$C$2:$C$622,0)),"",INDEX('Compliance Database'!$K$2:$K$622,MATCH(510,Engine!$C$2:$C$622,0)))</f>
        <v/>
      </c>
      <c r="L523" s="8">
        <f>IF(ISNA(MATCH(510,Engine!$C$2:$C$622,0)),"",INDEX('Compliance Database'!$L$2:$L$622,MATCH(510,Engine!$C$2:$C$622,0)))</f>
        <v/>
      </c>
      <c r="M523" s="8">
        <f>IF(ISNA(MATCH(510,Engine!$C$2:$C$622,0)),"",INDEX('Compliance Database'!$M$2:$M$622,MATCH(510,Engine!$C$2:$C$622,0)))</f>
        <v/>
      </c>
      <c r="N523" s="8">
        <f>IF(ISNA(MATCH(510,Engine!$C$2:$C$622,0)),"",INDEX('Compliance Database'!$N$2:$N$622,MATCH(510,Engine!$C$2:$C$622,0)))</f>
        <v/>
      </c>
      <c r="O523" s="8">
        <f>IF(ISNA(MATCH(510,Engine!$C$2:$C$622,0)),"",INDEX('Compliance Database'!$O$2:$O$622,MATCH(510,Engine!$C$2:$C$622,0)))</f>
        <v/>
      </c>
    </row>
    <row r="524">
      <c r="A524">
        <f>IF(ISNA(MATCH(511,Engine!$C$2:$C$622,0)),"",INDEX('Compliance Database'!$A$2:$A$622,MATCH(511,Engine!$C$2:$C$622,0)))</f>
        <v/>
      </c>
      <c r="B524">
        <f>IF(ISNA(MATCH(511,Engine!$C$2:$C$622,0)),"",INDEX('Compliance Database'!$B$2:$B$622,MATCH(511,Engine!$C$2:$C$622,0)))</f>
        <v/>
      </c>
      <c r="C524">
        <f>IF(ISNA(MATCH(511,Engine!$C$2:$C$622,0)),"",INDEX('Compliance Database'!$C$2:$C$622,MATCH(511,Engine!$C$2:$C$622,0)))</f>
        <v/>
      </c>
      <c r="D524" s="8">
        <f>IF(ISNA(MATCH(511,Engine!$C$2:$C$622,0)),"",INDEX('Compliance Database'!$D$2:$D$622,MATCH(511,Engine!$C$2:$C$622,0)))</f>
        <v/>
      </c>
      <c r="E524">
        <f>IF(ISNA(MATCH(511,Engine!$C$2:$C$622,0)),"",INDEX('Compliance Database'!$E$2:$E$622,MATCH(511,Engine!$C$2:$C$622,0)))</f>
        <v/>
      </c>
      <c r="F524">
        <f>IF(ISNA(MATCH(511,Engine!$C$2:$C$622,0)),"",INDEX('Compliance Database'!$F$2:$F$622,MATCH(511,Engine!$C$2:$C$622,0)))</f>
        <v/>
      </c>
      <c r="G524">
        <f>IF(ISNA(MATCH(511,Engine!$C$2:$C$622,0)),"",INDEX('Compliance Database'!$G$2:$G$622,MATCH(511,Engine!$C$2:$C$622,0)))</f>
        <v/>
      </c>
      <c r="H524">
        <f>IF(ISNA(MATCH(511,Engine!$C$2:$C$622,0)),"",INDEX('Compliance Database'!$H$2:$H$622,MATCH(511,Engine!$C$2:$C$622,0)))</f>
        <v/>
      </c>
      <c r="I524" s="8">
        <f>IF(ISNA(MATCH(511,Engine!$C$2:$C$622,0)),"",INDEX('Compliance Database'!$I$2:$I$622,MATCH(511,Engine!$C$2:$C$622,0)))</f>
        <v/>
      </c>
      <c r="J524" s="8">
        <f>IF(ISNA(MATCH(511,Engine!$C$2:$C$622,0)),"",INDEX('Compliance Database'!$J$2:$J$622,MATCH(511,Engine!$C$2:$C$622,0)))</f>
        <v/>
      </c>
      <c r="K524">
        <f>IF(ISNA(MATCH(511,Engine!$C$2:$C$622,0)),"",INDEX('Compliance Database'!$K$2:$K$622,MATCH(511,Engine!$C$2:$C$622,0)))</f>
        <v/>
      </c>
      <c r="L524" s="8">
        <f>IF(ISNA(MATCH(511,Engine!$C$2:$C$622,0)),"",INDEX('Compliance Database'!$L$2:$L$622,MATCH(511,Engine!$C$2:$C$622,0)))</f>
        <v/>
      </c>
      <c r="M524" s="8">
        <f>IF(ISNA(MATCH(511,Engine!$C$2:$C$622,0)),"",INDEX('Compliance Database'!$M$2:$M$622,MATCH(511,Engine!$C$2:$C$622,0)))</f>
        <v/>
      </c>
      <c r="N524" s="8">
        <f>IF(ISNA(MATCH(511,Engine!$C$2:$C$622,0)),"",INDEX('Compliance Database'!$N$2:$N$622,MATCH(511,Engine!$C$2:$C$622,0)))</f>
        <v/>
      </c>
      <c r="O524" s="8">
        <f>IF(ISNA(MATCH(511,Engine!$C$2:$C$622,0)),"",INDEX('Compliance Database'!$O$2:$O$622,MATCH(511,Engine!$C$2:$C$622,0)))</f>
        <v/>
      </c>
    </row>
    <row r="525">
      <c r="A525">
        <f>IF(ISNA(MATCH(512,Engine!$C$2:$C$622,0)),"",INDEX('Compliance Database'!$A$2:$A$622,MATCH(512,Engine!$C$2:$C$622,0)))</f>
        <v/>
      </c>
      <c r="B525">
        <f>IF(ISNA(MATCH(512,Engine!$C$2:$C$622,0)),"",INDEX('Compliance Database'!$B$2:$B$622,MATCH(512,Engine!$C$2:$C$622,0)))</f>
        <v/>
      </c>
      <c r="C525">
        <f>IF(ISNA(MATCH(512,Engine!$C$2:$C$622,0)),"",INDEX('Compliance Database'!$C$2:$C$622,MATCH(512,Engine!$C$2:$C$622,0)))</f>
        <v/>
      </c>
      <c r="D525" s="8">
        <f>IF(ISNA(MATCH(512,Engine!$C$2:$C$622,0)),"",INDEX('Compliance Database'!$D$2:$D$622,MATCH(512,Engine!$C$2:$C$622,0)))</f>
        <v/>
      </c>
      <c r="E525">
        <f>IF(ISNA(MATCH(512,Engine!$C$2:$C$622,0)),"",INDEX('Compliance Database'!$E$2:$E$622,MATCH(512,Engine!$C$2:$C$622,0)))</f>
        <v/>
      </c>
      <c r="F525">
        <f>IF(ISNA(MATCH(512,Engine!$C$2:$C$622,0)),"",INDEX('Compliance Database'!$F$2:$F$622,MATCH(512,Engine!$C$2:$C$622,0)))</f>
        <v/>
      </c>
      <c r="G525">
        <f>IF(ISNA(MATCH(512,Engine!$C$2:$C$622,0)),"",INDEX('Compliance Database'!$G$2:$G$622,MATCH(512,Engine!$C$2:$C$622,0)))</f>
        <v/>
      </c>
      <c r="H525">
        <f>IF(ISNA(MATCH(512,Engine!$C$2:$C$622,0)),"",INDEX('Compliance Database'!$H$2:$H$622,MATCH(512,Engine!$C$2:$C$622,0)))</f>
        <v/>
      </c>
      <c r="I525" s="8">
        <f>IF(ISNA(MATCH(512,Engine!$C$2:$C$622,0)),"",INDEX('Compliance Database'!$I$2:$I$622,MATCH(512,Engine!$C$2:$C$622,0)))</f>
        <v/>
      </c>
      <c r="J525" s="8">
        <f>IF(ISNA(MATCH(512,Engine!$C$2:$C$622,0)),"",INDEX('Compliance Database'!$J$2:$J$622,MATCH(512,Engine!$C$2:$C$622,0)))</f>
        <v/>
      </c>
      <c r="K525">
        <f>IF(ISNA(MATCH(512,Engine!$C$2:$C$622,0)),"",INDEX('Compliance Database'!$K$2:$K$622,MATCH(512,Engine!$C$2:$C$622,0)))</f>
        <v/>
      </c>
      <c r="L525" s="8">
        <f>IF(ISNA(MATCH(512,Engine!$C$2:$C$622,0)),"",INDEX('Compliance Database'!$L$2:$L$622,MATCH(512,Engine!$C$2:$C$622,0)))</f>
        <v/>
      </c>
      <c r="M525" s="8">
        <f>IF(ISNA(MATCH(512,Engine!$C$2:$C$622,0)),"",INDEX('Compliance Database'!$M$2:$M$622,MATCH(512,Engine!$C$2:$C$622,0)))</f>
        <v/>
      </c>
      <c r="N525" s="8">
        <f>IF(ISNA(MATCH(512,Engine!$C$2:$C$622,0)),"",INDEX('Compliance Database'!$N$2:$N$622,MATCH(512,Engine!$C$2:$C$622,0)))</f>
        <v/>
      </c>
      <c r="O525" s="8">
        <f>IF(ISNA(MATCH(512,Engine!$C$2:$C$622,0)),"",INDEX('Compliance Database'!$O$2:$O$622,MATCH(512,Engine!$C$2:$C$622,0)))</f>
        <v/>
      </c>
    </row>
    <row r="526">
      <c r="A526">
        <f>IF(ISNA(MATCH(513,Engine!$C$2:$C$622,0)),"",INDEX('Compliance Database'!$A$2:$A$622,MATCH(513,Engine!$C$2:$C$622,0)))</f>
        <v/>
      </c>
      <c r="B526">
        <f>IF(ISNA(MATCH(513,Engine!$C$2:$C$622,0)),"",INDEX('Compliance Database'!$B$2:$B$622,MATCH(513,Engine!$C$2:$C$622,0)))</f>
        <v/>
      </c>
      <c r="C526">
        <f>IF(ISNA(MATCH(513,Engine!$C$2:$C$622,0)),"",INDEX('Compliance Database'!$C$2:$C$622,MATCH(513,Engine!$C$2:$C$622,0)))</f>
        <v/>
      </c>
      <c r="D526" s="8">
        <f>IF(ISNA(MATCH(513,Engine!$C$2:$C$622,0)),"",INDEX('Compliance Database'!$D$2:$D$622,MATCH(513,Engine!$C$2:$C$622,0)))</f>
        <v/>
      </c>
      <c r="E526">
        <f>IF(ISNA(MATCH(513,Engine!$C$2:$C$622,0)),"",INDEX('Compliance Database'!$E$2:$E$622,MATCH(513,Engine!$C$2:$C$622,0)))</f>
        <v/>
      </c>
      <c r="F526">
        <f>IF(ISNA(MATCH(513,Engine!$C$2:$C$622,0)),"",INDEX('Compliance Database'!$F$2:$F$622,MATCH(513,Engine!$C$2:$C$622,0)))</f>
        <v/>
      </c>
      <c r="G526">
        <f>IF(ISNA(MATCH(513,Engine!$C$2:$C$622,0)),"",INDEX('Compliance Database'!$G$2:$G$622,MATCH(513,Engine!$C$2:$C$622,0)))</f>
        <v/>
      </c>
      <c r="H526">
        <f>IF(ISNA(MATCH(513,Engine!$C$2:$C$622,0)),"",INDEX('Compliance Database'!$H$2:$H$622,MATCH(513,Engine!$C$2:$C$622,0)))</f>
        <v/>
      </c>
      <c r="I526" s="8">
        <f>IF(ISNA(MATCH(513,Engine!$C$2:$C$622,0)),"",INDEX('Compliance Database'!$I$2:$I$622,MATCH(513,Engine!$C$2:$C$622,0)))</f>
        <v/>
      </c>
      <c r="J526" s="8">
        <f>IF(ISNA(MATCH(513,Engine!$C$2:$C$622,0)),"",INDEX('Compliance Database'!$J$2:$J$622,MATCH(513,Engine!$C$2:$C$622,0)))</f>
        <v/>
      </c>
      <c r="K526">
        <f>IF(ISNA(MATCH(513,Engine!$C$2:$C$622,0)),"",INDEX('Compliance Database'!$K$2:$K$622,MATCH(513,Engine!$C$2:$C$622,0)))</f>
        <v/>
      </c>
      <c r="L526" s="8">
        <f>IF(ISNA(MATCH(513,Engine!$C$2:$C$622,0)),"",INDEX('Compliance Database'!$L$2:$L$622,MATCH(513,Engine!$C$2:$C$622,0)))</f>
        <v/>
      </c>
      <c r="M526" s="8">
        <f>IF(ISNA(MATCH(513,Engine!$C$2:$C$622,0)),"",INDEX('Compliance Database'!$M$2:$M$622,MATCH(513,Engine!$C$2:$C$622,0)))</f>
        <v/>
      </c>
      <c r="N526" s="8">
        <f>IF(ISNA(MATCH(513,Engine!$C$2:$C$622,0)),"",INDEX('Compliance Database'!$N$2:$N$622,MATCH(513,Engine!$C$2:$C$622,0)))</f>
        <v/>
      </c>
      <c r="O526" s="8">
        <f>IF(ISNA(MATCH(513,Engine!$C$2:$C$622,0)),"",INDEX('Compliance Database'!$O$2:$O$622,MATCH(513,Engine!$C$2:$C$622,0)))</f>
        <v/>
      </c>
    </row>
    <row r="527">
      <c r="A527">
        <f>IF(ISNA(MATCH(514,Engine!$C$2:$C$622,0)),"",INDEX('Compliance Database'!$A$2:$A$622,MATCH(514,Engine!$C$2:$C$622,0)))</f>
        <v/>
      </c>
      <c r="B527">
        <f>IF(ISNA(MATCH(514,Engine!$C$2:$C$622,0)),"",INDEX('Compliance Database'!$B$2:$B$622,MATCH(514,Engine!$C$2:$C$622,0)))</f>
        <v/>
      </c>
      <c r="C527">
        <f>IF(ISNA(MATCH(514,Engine!$C$2:$C$622,0)),"",INDEX('Compliance Database'!$C$2:$C$622,MATCH(514,Engine!$C$2:$C$622,0)))</f>
        <v/>
      </c>
      <c r="D527" s="8">
        <f>IF(ISNA(MATCH(514,Engine!$C$2:$C$622,0)),"",INDEX('Compliance Database'!$D$2:$D$622,MATCH(514,Engine!$C$2:$C$622,0)))</f>
        <v/>
      </c>
      <c r="E527">
        <f>IF(ISNA(MATCH(514,Engine!$C$2:$C$622,0)),"",INDEX('Compliance Database'!$E$2:$E$622,MATCH(514,Engine!$C$2:$C$622,0)))</f>
        <v/>
      </c>
      <c r="F527">
        <f>IF(ISNA(MATCH(514,Engine!$C$2:$C$622,0)),"",INDEX('Compliance Database'!$F$2:$F$622,MATCH(514,Engine!$C$2:$C$622,0)))</f>
        <v/>
      </c>
      <c r="G527">
        <f>IF(ISNA(MATCH(514,Engine!$C$2:$C$622,0)),"",INDEX('Compliance Database'!$G$2:$G$622,MATCH(514,Engine!$C$2:$C$622,0)))</f>
        <v/>
      </c>
      <c r="H527">
        <f>IF(ISNA(MATCH(514,Engine!$C$2:$C$622,0)),"",INDEX('Compliance Database'!$H$2:$H$622,MATCH(514,Engine!$C$2:$C$622,0)))</f>
        <v/>
      </c>
      <c r="I527" s="8">
        <f>IF(ISNA(MATCH(514,Engine!$C$2:$C$622,0)),"",INDEX('Compliance Database'!$I$2:$I$622,MATCH(514,Engine!$C$2:$C$622,0)))</f>
        <v/>
      </c>
      <c r="J527" s="8">
        <f>IF(ISNA(MATCH(514,Engine!$C$2:$C$622,0)),"",INDEX('Compliance Database'!$J$2:$J$622,MATCH(514,Engine!$C$2:$C$622,0)))</f>
        <v/>
      </c>
      <c r="K527">
        <f>IF(ISNA(MATCH(514,Engine!$C$2:$C$622,0)),"",INDEX('Compliance Database'!$K$2:$K$622,MATCH(514,Engine!$C$2:$C$622,0)))</f>
        <v/>
      </c>
      <c r="L527" s="8">
        <f>IF(ISNA(MATCH(514,Engine!$C$2:$C$622,0)),"",INDEX('Compliance Database'!$L$2:$L$622,MATCH(514,Engine!$C$2:$C$622,0)))</f>
        <v/>
      </c>
      <c r="M527" s="8">
        <f>IF(ISNA(MATCH(514,Engine!$C$2:$C$622,0)),"",INDEX('Compliance Database'!$M$2:$M$622,MATCH(514,Engine!$C$2:$C$622,0)))</f>
        <v/>
      </c>
      <c r="N527" s="8">
        <f>IF(ISNA(MATCH(514,Engine!$C$2:$C$622,0)),"",INDEX('Compliance Database'!$N$2:$N$622,MATCH(514,Engine!$C$2:$C$622,0)))</f>
        <v/>
      </c>
      <c r="O527" s="8">
        <f>IF(ISNA(MATCH(514,Engine!$C$2:$C$622,0)),"",INDEX('Compliance Database'!$O$2:$O$622,MATCH(514,Engine!$C$2:$C$622,0)))</f>
        <v/>
      </c>
    </row>
    <row r="528">
      <c r="A528">
        <f>IF(ISNA(MATCH(515,Engine!$C$2:$C$622,0)),"",INDEX('Compliance Database'!$A$2:$A$622,MATCH(515,Engine!$C$2:$C$622,0)))</f>
        <v/>
      </c>
      <c r="B528">
        <f>IF(ISNA(MATCH(515,Engine!$C$2:$C$622,0)),"",INDEX('Compliance Database'!$B$2:$B$622,MATCH(515,Engine!$C$2:$C$622,0)))</f>
        <v/>
      </c>
      <c r="C528">
        <f>IF(ISNA(MATCH(515,Engine!$C$2:$C$622,0)),"",INDEX('Compliance Database'!$C$2:$C$622,MATCH(515,Engine!$C$2:$C$622,0)))</f>
        <v/>
      </c>
      <c r="D528" s="8">
        <f>IF(ISNA(MATCH(515,Engine!$C$2:$C$622,0)),"",INDEX('Compliance Database'!$D$2:$D$622,MATCH(515,Engine!$C$2:$C$622,0)))</f>
        <v/>
      </c>
      <c r="E528">
        <f>IF(ISNA(MATCH(515,Engine!$C$2:$C$622,0)),"",INDEX('Compliance Database'!$E$2:$E$622,MATCH(515,Engine!$C$2:$C$622,0)))</f>
        <v/>
      </c>
      <c r="F528">
        <f>IF(ISNA(MATCH(515,Engine!$C$2:$C$622,0)),"",INDEX('Compliance Database'!$F$2:$F$622,MATCH(515,Engine!$C$2:$C$622,0)))</f>
        <v/>
      </c>
      <c r="G528">
        <f>IF(ISNA(MATCH(515,Engine!$C$2:$C$622,0)),"",INDEX('Compliance Database'!$G$2:$G$622,MATCH(515,Engine!$C$2:$C$622,0)))</f>
        <v/>
      </c>
      <c r="H528">
        <f>IF(ISNA(MATCH(515,Engine!$C$2:$C$622,0)),"",INDEX('Compliance Database'!$H$2:$H$622,MATCH(515,Engine!$C$2:$C$622,0)))</f>
        <v/>
      </c>
      <c r="I528" s="8">
        <f>IF(ISNA(MATCH(515,Engine!$C$2:$C$622,0)),"",INDEX('Compliance Database'!$I$2:$I$622,MATCH(515,Engine!$C$2:$C$622,0)))</f>
        <v/>
      </c>
      <c r="J528" s="8">
        <f>IF(ISNA(MATCH(515,Engine!$C$2:$C$622,0)),"",INDEX('Compliance Database'!$J$2:$J$622,MATCH(515,Engine!$C$2:$C$622,0)))</f>
        <v/>
      </c>
      <c r="K528">
        <f>IF(ISNA(MATCH(515,Engine!$C$2:$C$622,0)),"",INDEX('Compliance Database'!$K$2:$K$622,MATCH(515,Engine!$C$2:$C$622,0)))</f>
        <v/>
      </c>
      <c r="L528" s="8">
        <f>IF(ISNA(MATCH(515,Engine!$C$2:$C$622,0)),"",INDEX('Compliance Database'!$L$2:$L$622,MATCH(515,Engine!$C$2:$C$622,0)))</f>
        <v/>
      </c>
      <c r="M528" s="8">
        <f>IF(ISNA(MATCH(515,Engine!$C$2:$C$622,0)),"",INDEX('Compliance Database'!$M$2:$M$622,MATCH(515,Engine!$C$2:$C$622,0)))</f>
        <v/>
      </c>
      <c r="N528" s="8">
        <f>IF(ISNA(MATCH(515,Engine!$C$2:$C$622,0)),"",INDEX('Compliance Database'!$N$2:$N$622,MATCH(515,Engine!$C$2:$C$622,0)))</f>
        <v/>
      </c>
      <c r="O528" s="8">
        <f>IF(ISNA(MATCH(515,Engine!$C$2:$C$622,0)),"",INDEX('Compliance Database'!$O$2:$O$622,MATCH(515,Engine!$C$2:$C$622,0)))</f>
        <v/>
      </c>
    </row>
    <row r="529">
      <c r="A529">
        <f>IF(ISNA(MATCH(516,Engine!$C$2:$C$622,0)),"",INDEX('Compliance Database'!$A$2:$A$622,MATCH(516,Engine!$C$2:$C$622,0)))</f>
        <v/>
      </c>
      <c r="B529">
        <f>IF(ISNA(MATCH(516,Engine!$C$2:$C$622,0)),"",INDEX('Compliance Database'!$B$2:$B$622,MATCH(516,Engine!$C$2:$C$622,0)))</f>
        <v/>
      </c>
      <c r="C529">
        <f>IF(ISNA(MATCH(516,Engine!$C$2:$C$622,0)),"",INDEX('Compliance Database'!$C$2:$C$622,MATCH(516,Engine!$C$2:$C$622,0)))</f>
        <v/>
      </c>
      <c r="D529" s="8">
        <f>IF(ISNA(MATCH(516,Engine!$C$2:$C$622,0)),"",INDEX('Compliance Database'!$D$2:$D$622,MATCH(516,Engine!$C$2:$C$622,0)))</f>
        <v/>
      </c>
      <c r="E529">
        <f>IF(ISNA(MATCH(516,Engine!$C$2:$C$622,0)),"",INDEX('Compliance Database'!$E$2:$E$622,MATCH(516,Engine!$C$2:$C$622,0)))</f>
        <v/>
      </c>
      <c r="F529">
        <f>IF(ISNA(MATCH(516,Engine!$C$2:$C$622,0)),"",INDEX('Compliance Database'!$F$2:$F$622,MATCH(516,Engine!$C$2:$C$622,0)))</f>
        <v/>
      </c>
      <c r="G529">
        <f>IF(ISNA(MATCH(516,Engine!$C$2:$C$622,0)),"",INDEX('Compliance Database'!$G$2:$G$622,MATCH(516,Engine!$C$2:$C$622,0)))</f>
        <v/>
      </c>
      <c r="H529">
        <f>IF(ISNA(MATCH(516,Engine!$C$2:$C$622,0)),"",INDEX('Compliance Database'!$H$2:$H$622,MATCH(516,Engine!$C$2:$C$622,0)))</f>
        <v/>
      </c>
      <c r="I529" s="8">
        <f>IF(ISNA(MATCH(516,Engine!$C$2:$C$622,0)),"",INDEX('Compliance Database'!$I$2:$I$622,MATCH(516,Engine!$C$2:$C$622,0)))</f>
        <v/>
      </c>
      <c r="J529" s="8">
        <f>IF(ISNA(MATCH(516,Engine!$C$2:$C$622,0)),"",INDEX('Compliance Database'!$J$2:$J$622,MATCH(516,Engine!$C$2:$C$622,0)))</f>
        <v/>
      </c>
      <c r="K529">
        <f>IF(ISNA(MATCH(516,Engine!$C$2:$C$622,0)),"",INDEX('Compliance Database'!$K$2:$K$622,MATCH(516,Engine!$C$2:$C$622,0)))</f>
        <v/>
      </c>
      <c r="L529" s="8">
        <f>IF(ISNA(MATCH(516,Engine!$C$2:$C$622,0)),"",INDEX('Compliance Database'!$L$2:$L$622,MATCH(516,Engine!$C$2:$C$622,0)))</f>
        <v/>
      </c>
      <c r="M529" s="8">
        <f>IF(ISNA(MATCH(516,Engine!$C$2:$C$622,0)),"",INDEX('Compliance Database'!$M$2:$M$622,MATCH(516,Engine!$C$2:$C$622,0)))</f>
        <v/>
      </c>
      <c r="N529" s="8">
        <f>IF(ISNA(MATCH(516,Engine!$C$2:$C$622,0)),"",INDEX('Compliance Database'!$N$2:$N$622,MATCH(516,Engine!$C$2:$C$622,0)))</f>
        <v/>
      </c>
      <c r="O529" s="8">
        <f>IF(ISNA(MATCH(516,Engine!$C$2:$C$622,0)),"",INDEX('Compliance Database'!$O$2:$O$622,MATCH(516,Engine!$C$2:$C$622,0)))</f>
        <v/>
      </c>
    </row>
    <row r="530">
      <c r="A530">
        <f>IF(ISNA(MATCH(517,Engine!$C$2:$C$622,0)),"",INDEX('Compliance Database'!$A$2:$A$622,MATCH(517,Engine!$C$2:$C$622,0)))</f>
        <v/>
      </c>
      <c r="B530">
        <f>IF(ISNA(MATCH(517,Engine!$C$2:$C$622,0)),"",INDEX('Compliance Database'!$B$2:$B$622,MATCH(517,Engine!$C$2:$C$622,0)))</f>
        <v/>
      </c>
      <c r="C530">
        <f>IF(ISNA(MATCH(517,Engine!$C$2:$C$622,0)),"",INDEX('Compliance Database'!$C$2:$C$622,MATCH(517,Engine!$C$2:$C$622,0)))</f>
        <v/>
      </c>
      <c r="D530" s="8">
        <f>IF(ISNA(MATCH(517,Engine!$C$2:$C$622,0)),"",INDEX('Compliance Database'!$D$2:$D$622,MATCH(517,Engine!$C$2:$C$622,0)))</f>
        <v/>
      </c>
      <c r="E530">
        <f>IF(ISNA(MATCH(517,Engine!$C$2:$C$622,0)),"",INDEX('Compliance Database'!$E$2:$E$622,MATCH(517,Engine!$C$2:$C$622,0)))</f>
        <v/>
      </c>
      <c r="F530">
        <f>IF(ISNA(MATCH(517,Engine!$C$2:$C$622,0)),"",INDEX('Compliance Database'!$F$2:$F$622,MATCH(517,Engine!$C$2:$C$622,0)))</f>
        <v/>
      </c>
      <c r="G530">
        <f>IF(ISNA(MATCH(517,Engine!$C$2:$C$622,0)),"",INDEX('Compliance Database'!$G$2:$G$622,MATCH(517,Engine!$C$2:$C$622,0)))</f>
        <v/>
      </c>
      <c r="H530">
        <f>IF(ISNA(MATCH(517,Engine!$C$2:$C$622,0)),"",INDEX('Compliance Database'!$H$2:$H$622,MATCH(517,Engine!$C$2:$C$622,0)))</f>
        <v/>
      </c>
      <c r="I530" s="8">
        <f>IF(ISNA(MATCH(517,Engine!$C$2:$C$622,0)),"",INDEX('Compliance Database'!$I$2:$I$622,MATCH(517,Engine!$C$2:$C$622,0)))</f>
        <v/>
      </c>
      <c r="J530" s="8">
        <f>IF(ISNA(MATCH(517,Engine!$C$2:$C$622,0)),"",INDEX('Compliance Database'!$J$2:$J$622,MATCH(517,Engine!$C$2:$C$622,0)))</f>
        <v/>
      </c>
      <c r="K530">
        <f>IF(ISNA(MATCH(517,Engine!$C$2:$C$622,0)),"",INDEX('Compliance Database'!$K$2:$K$622,MATCH(517,Engine!$C$2:$C$622,0)))</f>
        <v/>
      </c>
      <c r="L530" s="8">
        <f>IF(ISNA(MATCH(517,Engine!$C$2:$C$622,0)),"",INDEX('Compliance Database'!$L$2:$L$622,MATCH(517,Engine!$C$2:$C$622,0)))</f>
        <v/>
      </c>
      <c r="M530" s="8">
        <f>IF(ISNA(MATCH(517,Engine!$C$2:$C$622,0)),"",INDEX('Compliance Database'!$M$2:$M$622,MATCH(517,Engine!$C$2:$C$622,0)))</f>
        <v/>
      </c>
      <c r="N530" s="8">
        <f>IF(ISNA(MATCH(517,Engine!$C$2:$C$622,0)),"",INDEX('Compliance Database'!$N$2:$N$622,MATCH(517,Engine!$C$2:$C$622,0)))</f>
        <v/>
      </c>
      <c r="O530" s="8">
        <f>IF(ISNA(MATCH(517,Engine!$C$2:$C$622,0)),"",INDEX('Compliance Database'!$O$2:$O$622,MATCH(517,Engine!$C$2:$C$622,0)))</f>
        <v/>
      </c>
    </row>
    <row r="531">
      <c r="A531">
        <f>IF(ISNA(MATCH(518,Engine!$C$2:$C$622,0)),"",INDEX('Compliance Database'!$A$2:$A$622,MATCH(518,Engine!$C$2:$C$622,0)))</f>
        <v/>
      </c>
      <c r="B531">
        <f>IF(ISNA(MATCH(518,Engine!$C$2:$C$622,0)),"",INDEX('Compliance Database'!$B$2:$B$622,MATCH(518,Engine!$C$2:$C$622,0)))</f>
        <v/>
      </c>
      <c r="C531">
        <f>IF(ISNA(MATCH(518,Engine!$C$2:$C$622,0)),"",INDEX('Compliance Database'!$C$2:$C$622,MATCH(518,Engine!$C$2:$C$622,0)))</f>
        <v/>
      </c>
      <c r="D531" s="8">
        <f>IF(ISNA(MATCH(518,Engine!$C$2:$C$622,0)),"",INDEX('Compliance Database'!$D$2:$D$622,MATCH(518,Engine!$C$2:$C$622,0)))</f>
        <v/>
      </c>
      <c r="E531">
        <f>IF(ISNA(MATCH(518,Engine!$C$2:$C$622,0)),"",INDEX('Compliance Database'!$E$2:$E$622,MATCH(518,Engine!$C$2:$C$622,0)))</f>
        <v/>
      </c>
      <c r="F531">
        <f>IF(ISNA(MATCH(518,Engine!$C$2:$C$622,0)),"",INDEX('Compliance Database'!$F$2:$F$622,MATCH(518,Engine!$C$2:$C$622,0)))</f>
        <v/>
      </c>
      <c r="G531">
        <f>IF(ISNA(MATCH(518,Engine!$C$2:$C$622,0)),"",INDEX('Compliance Database'!$G$2:$G$622,MATCH(518,Engine!$C$2:$C$622,0)))</f>
        <v/>
      </c>
      <c r="H531">
        <f>IF(ISNA(MATCH(518,Engine!$C$2:$C$622,0)),"",INDEX('Compliance Database'!$H$2:$H$622,MATCH(518,Engine!$C$2:$C$622,0)))</f>
        <v/>
      </c>
      <c r="I531" s="8">
        <f>IF(ISNA(MATCH(518,Engine!$C$2:$C$622,0)),"",INDEX('Compliance Database'!$I$2:$I$622,MATCH(518,Engine!$C$2:$C$622,0)))</f>
        <v/>
      </c>
      <c r="J531" s="8">
        <f>IF(ISNA(MATCH(518,Engine!$C$2:$C$622,0)),"",INDEX('Compliance Database'!$J$2:$J$622,MATCH(518,Engine!$C$2:$C$622,0)))</f>
        <v/>
      </c>
      <c r="K531">
        <f>IF(ISNA(MATCH(518,Engine!$C$2:$C$622,0)),"",INDEX('Compliance Database'!$K$2:$K$622,MATCH(518,Engine!$C$2:$C$622,0)))</f>
        <v/>
      </c>
      <c r="L531" s="8">
        <f>IF(ISNA(MATCH(518,Engine!$C$2:$C$622,0)),"",INDEX('Compliance Database'!$L$2:$L$622,MATCH(518,Engine!$C$2:$C$622,0)))</f>
        <v/>
      </c>
      <c r="M531" s="8">
        <f>IF(ISNA(MATCH(518,Engine!$C$2:$C$622,0)),"",INDEX('Compliance Database'!$M$2:$M$622,MATCH(518,Engine!$C$2:$C$622,0)))</f>
        <v/>
      </c>
      <c r="N531" s="8">
        <f>IF(ISNA(MATCH(518,Engine!$C$2:$C$622,0)),"",INDEX('Compliance Database'!$N$2:$N$622,MATCH(518,Engine!$C$2:$C$622,0)))</f>
        <v/>
      </c>
      <c r="O531" s="8">
        <f>IF(ISNA(MATCH(518,Engine!$C$2:$C$622,0)),"",INDEX('Compliance Database'!$O$2:$O$622,MATCH(518,Engine!$C$2:$C$622,0)))</f>
        <v/>
      </c>
    </row>
    <row r="532">
      <c r="A532">
        <f>IF(ISNA(MATCH(519,Engine!$C$2:$C$622,0)),"",INDEX('Compliance Database'!$A$2:$A$622,MATCH(519,Engine!$C$2:$C$622,0)))</f>
        <v/>
      </c>
      <c r="B532">
        <f>IF(ISNA(MATCH(519,Engine!$C$2:$C$622,0)),"",INDEX('Compliance Database'!$B$2:$B$622,MATCH(519,Engine!$C$2:$C$622,0)))</f>
        <v/>
      </c>
      <c r="C532">
        <f>IF(ISNA(MATCH(519,Engine!$C$2:$C$622,0)),"",INDEX('Compliance Database'!$C$2:$C$622,MATCH(519,Engine!$C$2:$C$622,0)))</f>
        <v/>
      </c>
      <c r="D532" s="8">
        <f>IF(ISNA(MATCH(519,Engine!$C$2:$C$622,0)),"",INDEX('Compliance Database'!$D$2:$D$622,MATCH(519,Engine!$C$2:$C$622,0)))</f>
        <v/>
      </c>
      <c r="E532">
        <f>IF(ISNA(MATCH(519,Engine!$C$2:$C$622,0)),"",INDEX('Compliance Database'!$E$2:$E$622,MATCH(519,Engine!$C$2:$C$622,0)))</f>
        <v/>
      </c>
      <c r="F532">
        <f>IF(ISNA(MATCH(519,Engine!$C$2:$C$622,0)),"",INDEX('Compliance Database'!$F$2:$F$622,MATCH(519,Engine!$C$2:$C$622,0)))</f>
        <v/>
      </c>
      <c r="G532">
        <f>IF(ISNA(MATCH(519,Engine!$C$2:$C$622,0)),"",INDEX('Compliance Database'!$G$2:$G$622,MATCH(519,Engine!$C$2:$C$622,0)))</f>
        <v/>
      </c>
      <c r="H532">
        <f>IF(ISNA(MATCH(519,Engine!$C$2:$C$622,0)),"",INDEX('Compliance Database'!$H$2:$H$622,MATCH(519,Engine!$C$2:$C$622,0)))</f>
        <v/>
      </c>
      <c r="I532" s="8">
        <f>IF(ISNA(MATCH(519,Engine!$C$2:$C$622,0)),"",INDEX('Compliance Database'!$I$2:$I$622,MATCH(519,Engine!$C$2:$C$622,0)))</f>
        <v/>
      </c>
      <c r="J532" s="8">
        <f>IF(ISNA(MATCH(519,Engine!$C$2:$C$622,0)),"",INDEX('Compliance Database'!$J$2:$J$622,MATCH(519,Engine!$C$2:$C$622,0)))</f>
        <v/>
      </c>
      <c r="K532">
        <f>IF(ISNA(MATCH(519,Engine!$C$2:$C$622,0)),"",INDEX('Compliance Database'!$K$2:$K$622,MATCH(519,Engine!$C$2:$C$622,0)))</f>
        <v/>
      </c>
      <c r="L532" s="8">
        <f>IF(ISNA(MATCH(519,Engine!$C$2:$C$622,0)),"",INDEX('Compliance Database'!$L$2:$L$622,MATCH(519,Engine!$C$2:$C$622,0)))</f>
        <v/>
      </c>
      <c r="M532" s="8">
        <f>IF(ISNA(MATCH(519,Engine!$C$2:$C$622,0)),"",INDEX('Compliance Database'!$M$2:$M$622,MATCH(519,Engine!$C$2:$C$622,0)))</f>
        <v/>
      </c>
      <c r="N532" s="8">
        <f>IF(ISNA(MATCH(519,Engine!$C$2:$C$622,0)),"",INDEX('Compliance Database'!$N$2:$N$622,MATCH(519,Engine!$C$2:$C$622,0)))</f>
        <v/>
      </c>
      <c r="O532" s="8">
        <f>IF(ISNA(MATCH(519,Engine!$C$2:$C$622,0)),"",INDEX('Compliance Database'!$O$2:$O$622,MATCH(519,Engine!$C$2:$C$622,0)))</f>
        <v/>
      </c>
    </row>
    <row r="533">
      <c r="A533">
        <f>IF(ISNA(MATCH(520,Engine!$C$2:$C$622,0)),"",INDEX('Compliance Database'!$A$2:$A$622,MATCH(520,Engine!$C$2:$C$622,0)))</f>
        <v/>
      </c>
      <c r="B533">
        <f>IF(ISNA(MATCH(520,Engine!$C$2:$C$622,0)),"",INDEX('Compliance Database'!$B$2:$B$622,MATCH(520,Engine!$C$2:$C$622,0)))</f>
        <v/>
      </c>
      <c r="C533">
        <f>IF(ISNA(MATCH(520,Engine!$C$2:$C$622,0)),"",INDEX('Compliance Database'!$C$2:$C$622,MATCH(520,Engine!$C$2:$C$622,0)))</f>
        <v/>
      </c>
      <c r="D533" s="8">
        <f>IF(ISNA(MATCH(520,Engine!$C$2:$C$622,0)),"",INDEX('Compliance Database'!$D$2:$D$622,MATCH(520,Engine!$C$2:$C$622,0)))</f>
        <v/>
      </c>
      <c r="E533">
        <f>IF(ISNA(MATCH(520,Engine!$C$2:$C$622,0)),"",INDEX('Compliance Database'!$E$2:$E$622,MATCH(520,Engine!$C$2:$C$622,0)))</f>
        <v/>
      </c>
      <c r="F533">
        <f>IF(ISNA(MATCH(520,Engine!$C$2:$C$622,0)),"",INDEX('Compliance Database'!$F$2:$F$622,MATCH(520,Engine!$C$2:$C$622,0)))</f>
        <v/>
      </c>
      <c r="G533">
        <f>IF(ISNA(MATCH(520,Engine!$C$2:$C$622,0)),"",INDEX('Compliance Database'!$G$2:$G$622,MATCH(520,Engine!$C$2:$C$622,0)))</f>
        <v/>
      </c>
      <c r="H533">
        <f>IF(ISNA(MATCH(520,Engine!$C$2:$C$622,0)),"",INDEX('Compliance Database'!$H$2:$H$622,MATCH(520,Engine!$C$2:$C$622,0)))</f>
        <v/>
      </c>
      <c r="I533" s="8">
        <f>IF(ISNA(MATCH(520,Engine!$C$2:$C$622,0)),"",INDEX('Compliance Database'!$I$2:$I$622,MATCH(520,Engine!$C$2:$C$622,0)))</f>
        <v/>
      </c>
      <c r="J533" s="8">
        <f>IF(ISNA(MATCH(520,Engine!$C$2:$C$622,0)),"",INDEX('Compliance Database'!$J$2:$J$622,MATCH(520,Engine!$C$2:$C$622,0)))</f>
        <v/>
      </c>
      <c r="K533">
        <f>IF(ISNA(MATCH(520,Engine!$C$2:$C$622,0)),"",INDEX('Compliance Database'!$K$2:$K$622,MATCH(520,Engine!$C$2:$C$622,0)))</f>
        <v/>
      </c>
      <c r="L533" s="8">
        <f>IF(ISNA(MATCH(520,Engine!$C$2:$C$622,0)),"",INDEX('Compliance Database'!$L$2:$L$622,MATCH(520,Engine!$C$2:$C$622,0)))</f>
        <v/>
      </c>
      <c r="M533" s="8">
        <f>IF(ISNA(MATCH(520,Engine!$C$2:$C$622,0)),"",INDEX('Compliance Database'!$M$2:$M$622,MATCH(520,Engine!$C$2:$C$622,0)))</f>
        <v/>
      </c>
      <c r="N533" s="8">
        <f>IF(ISNA(MATCH(520,Engine!$C$2:$C$622,0)),"",INDEX('Compliance Database'!$N$2:$N$622,MATCH(520,Engine!$C$2:$C$622,0)))</f>
        <v/>
      </c>
      <c r="O533" s="8">
        <f>IF(ISNA(MATCH(520,Engine!$C$2:$C$622,0)),"",INDEX('Compliance Database'!$O$2:$O$622,MATCH(520,Engine!$C$2:$C$622,0)))</f>
        <v/>
      </c>
    </row>
    <row r="534">
      <c r="A534">
        <f>IF(ISNA(MATCH(521,Engine!$C$2:$C$622,0)),"",INDEX('Compliance Database'!$A$2:$A$622,MATCH(521,Engine!$C$2:$C$622,0)))</f>
        <v/>
      </c>
      <c r="B534">
        <f>IF(ISNA(MATCH(521,Engine!$C$2:$C$622,0)),"",INDEX('Compliance Database'!$B$2:$B$622,MATCH(521,Engine!$C$2:$C$622,0)))</f>
        <v/>
      </c>
      <c r="C534">
        <f>IF(ISNA(MATCH(521,Engine!$C$2:$C$622,0)),"",INDEX('Compliance Database'!$C$2:$C$622,MATCH(521,Engine!$C$2:$C$622,0)))</f>
        <v/>
      </c>
      <c r="D534" s="8">
        <f>IF(ISNA(MATCH(521,Engine!$C$2:$C$622,0)),"",INDEX('Compliance Database'!$D$2:$D$622,MATCH(521,Engine!$C$2:$C$622,0)))</f>
        <v/>
      </c>
      <c r="E534">
        <f>IF(ISNA(MATCH(521,Engine!$C$2:$C$622,0)),"",INDEX('Compliance Database'!$E$2:$E$622,MATCH(521,Engine!$C$2:$C$622,0)))</f>
        <v/>
      </c>
      <c r="F534">
        <f>IF(ISNA(MATCH(521,Engine!$C$2:$C$622,0)),"",INDEX('Compliance Database'!$F$2:$F$622,MATCH(521,Engine!$C$2:$C$622,0)))</f>
        <v/>
      </c>
      <c r="G534">
        <f>IF(ISNA(MATCH(521,Engine!$C$2:$C$622,0)),"",INDEX('Compliance Database'!$G$2:$G$622,MATCH(521,Engine!$C$2:$C$622,0)))</f>
        <v/>
      </c>
      <c r="H534">
        <f>IF(ISNA(MATCH(521,Engine!$C$2:$C$622,0)),"",INDEX('Compliance Database'!$H$2:$H$622,MATCH(521,Engine!$C$2:$C$622,0)))</f>
        <v/>
      </c>
      <c r="I534" s="8">
        <f>IF(ISNA(MATCH(521,Engine!$C$2:$C$622,0)),"",INDEX('Compliance Database'!$I$2:$I$622,MATCH(521,Engine!$C$2:$C$622,0)))</f>
        <v/>
      </c>
      <c r="J534" s="8">
        <f>IF(ISNA(MATCH(521,Engine!$C$2:$C$622,0)),"",INDEX('Compliance Database'!$J$2:$J$622,MATCH(521,Engine!$C$2:$C$622,0)))</f>
        <v/>
      </c>
      <c r="K534">
        <f>IF(ISNA(MATCH(521,Engine!$C$2:$C$622,0)),"",INDEX('Compliance Database'!$K$2:$K$622,MATCH(521,Engine!$C$2:$C$622,0)))</f>
        <v/>
      </c>
      <c r="L534" s="8">
        <f>IF(ISNA(MATCH(521,Engine!$C$2:$C$622,0)),"",INDEX('Compliance Database'!$L$2:$L$622,MATCH(521,Engine!$C$2:$C$622,0)))</f>
        <v/>
      </c>
      <c r="M534" s="8">
        <f>IF(ISNA(MATCH(521,Engine!$C$2:$C$622,0)),"",INDEX('Compliance Database'!$M$2:$M$622,MATCH(521,Engine!$C$2:$C$622,0)))</f>
        <v/>
      </c>
      <c r="N534" s="8">
        <f>IF(ISNA(MATCH(521,Engine!$C$2:$C$622,0)),"",INDEX('Compliance Database'!$N$2:$N$622,MATCH(521,Engine!$C$2:$C$622,0)))</f>
        <v/>
      </c>
      <c r="O534" s="8">
        <f>IF(ISNA(MATCH(521,Engine!$C$2:$C$622,0)),"",INDEX('Compliance Database'!$O$2:$O$622,MATCH(521,Engine!$C$2:$C$622,0)))</f>
        <v/>
      </c>
    </row>
    <row r="535">
      <c r="A535">
        <f>IF(ISNA(MATCH(522,Engine!$C$2:$C$622,0)),"",INDEX('Compliance Database'!$A$2:$A$622,MATCH(522,Engine!$C$2:$C$622,0)))</f>
        <v/>
      </c>
      <c r="B535">
        <f>IF(ISNA(MATCH(522,Engine!$C$2:$C$622,0)),"",INDEX('Compliance Database'!$B$2:$B$622,MATCH(522,Engine!$C$2:$C$622,0)))</f>
        <v/>
      </c>
      <c r="C535">
        <f>IF(ISNA(MATCH(522,Engine!$C$2:$C$622,0)),"",INDEX('Compliance Database'!$C$2:$C$622,MATCH(522,Engine!$C$2:$C$622,0)))</f>
        <v/>
      </c>
      <c r="D535" s="8">
        <f>IF(ISNA(MATCH(522,Engine!$C$2:$C$622,0)),"",INDEX('Compliance Database'!$D$2:$D$622,MATCH(522,Engine!$C$2:$C$622,0)))</f>
        <v/>
      </c>
      <c r="E535">
        <f>IF(ISNA(MATCH(522,Engine!$C$2:$C$622,0)),"",INDEX('Compliance Database'!$E$2:$E$622,MATCH(522,Engine!$C$2:$C$622,0)))</f>
        <v/>
      </c>
      <c r="F535">
        <f>IF(ISNA(MATCH(522,Engine!$C$2:$C$622,0)),"",INDEX('Compliance Database'!$F$2:$F$622,MATCH(522,Engine!$C$2:$C$622,0)))</f>
        <v/>
      </c>
      <c r="G535">
        <f>IF(ISNA(MATCH(522,Engine!$C$2:$C$622,0)),"",INDEX('Compliance Database'!$G$2:$G$622,MATCH(522,Engine!$C$2:$C$622,0)))</f>
        <v/>
      </c>
      <c r="H535">
        <f>IF(ISNA(MATCH(522,Engine!$C$2:$C$622,0)),"",INDEX('Compliance Database'!$H$2:$H$622,MATCH(522,Engine!$C$2:$C$622,0)))</f>
        <v/>
      </c>
      <c r="I535" s="8">
        <f>IF(ISNA(MATCH(522,Engine!$C$2:$C$622,0)),"",INDEX('Compliance Database'!$I$2:$I$622,MATCH(522,Engine!$C$2:$C$622,0)))</f>
        <v/>
      </c>
      <c r="J535" s="8">
        <f>IF(ISNA(MATCH(522,Engine!$C$2:$C$622,0)),"",INDEX('Compliance Database'!$J$2:$J$622,MATCH(522,Engine!$C$2:$C$622,0)))</f>
        <v/>
      </c>
      <c r="K535">
        <f>IF(ISNA(MATCH(522,Engine!$C$2:$C$622,0)),"",INDEX('Compliance Database'!$K$2:$K$622,MATCH(522,Engine!$C$2:$C$622,0)))</f>
        <v/>
      </c>
      <c r="L535" s="8">
        <f>IF(ISNA(MATCH(522,Engine!$C$2:$C$622,0)),"",INDEX('Compliance Database'!$L$2:$L$622,MATCH(522,Engine!$C$2:$C$622,0)))</f>
        <v/>
      </c>
      <c r="M535" s="8">
        <f>IF(ISNA(MATCH(522,Engine!$C$2:$C$622,0)),"",INDEX('Compliance Database'!$M$2:$M$622,MATCH(522,Engine!$C$2:$C$622,0)))</f>
        <v/>
      </c>
      <c r="N535" s="8">
        <f>IF(ISNA(MATCH(522,Engine!$C$2:$C$622,0)),"",INDEX('Compliance Database'!$N$2:$N$622,MATCH(522,Engine!$C$2:$C$622,0)))</f>
        <v/>
      </c>
      <c r="O535" s="8">
        <f>IF(ISNA(MATCH(522,Engine!$C$2:$C$622,0)),"",INDEX('Compliance Database'!$O$2:$O$622,MATCH(522,Engine!$C$2:$C$622,0)))</f>
        <v/>
      </c>
    </row>
    <row r="536">
      <c r="A536">
        <f>IF(ISNA(MATCH(523,Engine!$C$2:$C$622,0)),"",INDEX('Compliance Database'!$A$2:$A$622,MATCH(523,Engine!$C$2:$C$622,0)))</f>
        <v/>
      </c>
      <c r="B536">
        <f>IF(ISNA(MATCH(523,Engine!$C$2:$C$622,0)),"",INDEX('Compliance Database'!$B$2:$B$622,MATCH(523,Engine!$C$2:$C$622,0)))</f>
        <v/>
      </c>
      <c r="C536">
        <f>IF(ISNA(MATCH(523,Engine!$C$2:$C$622,0)),"",INDEX('Compliance Database'!$C$2:$C$622,MATCH(523,Engine!$C$2:$C$622,0)))</f>
        <v/>
      </c>
      <c r="D536" s="8">
        <f>IF(ISNA(MATCH(523,Engine!$C$2:$C$622,0)),"",INDEX('Compliance Database'!$D$2:$D$622,MATCH(523,Engine!$C$2:$C$622,0)))</f>
        <v/>
      </c>
      <c r="E536">
        <f>IF(ISNA(MATCH(523,Engine!$C$2:$C$622,0)),"",INDEX('Compliance Database'!$E$2:$E$622,MATCH(523,Engine!$C$2:$C$622,0)))</f>
        <v/>
      </c>
      <c r="F536">
        <f>IF(ISNA(MATCH(523,Engine!$C$2:$C$622,0)),"",INDEX('Compliance Database'!$F$2:$F$622,MATCH(523,Engine!$C$2:$C$622,0)))</f>
        <v/>
      </c>
      <c r="G536">
        <f>IF(ISNA(MATCH(523,Engine!$C$2:$C$622,0)),"",INDEX('Compliance Database'!$G$2:$G$622,MATCH(523,Engine!$C$2:$C$622,0)))</f>
        <v/>
      </c>
      <c r="H536">
        <f>IF(ISNA(MATCH(523,Engine!$C$2:$C$622,0)),"",INDEX('Compliance Database'!$H$2:$H$622,MATCH(523,Engine!$C$2:$C$622,0)))</f>
        <v/>
      </c>
      <c r="I536" s="8">
        <f>IF(ISNA(MATCH(523,Engine!$C$2:$C$622,0)),"",INDEX('Compliance Database'!$I$2:$I$622,MATCH(523,Engine!$C$2:$C$622,0)))</f>
        <v/>
      </c>
      <c r="J536" s="8">
        <f>IF(ISNA(MATCH(523,Engine!$C$2:$C$622,0)),"",INDEX('Compliance Database'!$J$2:$J$622,MATCH(523,Engine!$C$2:$C$622,0)))</f>
        <v/>
      </c>
      <c r="K536">
        <f>IF(ISNA(MATCH(523,Engine!$C$2:$C$622,0)),"",INDEX('Compliance Database'!$K$2:$K$622,MATCH(523,Engine!$C$2:$C$622,0)))</f>
        <v/>
      </c>
      <c r="L536" s="8">
        <f>IF(ISNA(MATCH(523,Engine!$C$2:$C$622,0)),"",INDEX('Compliance Database'!$L$2:$L$622,MATCH(523,Engine!$C$2:$C$622,0)))</f>
        <v/>
      </c>
      <c r="M536" s="8">
        <f>IF(ISNA(MATCH(523,Engine!$C$2:$C$622,0)),"",INDEX('Compliance Database'!$M$2:$M$622,MATCH(523,Engine!$C$2:$C$622,0)))</f>
        <v/>
      </c>
      <c r="N536" s="8">
        <f>IF(ISNA(MATCH(523,Engine!$C$2:$C$622,0)),"",INDEX('Compliance Database'!$N$2:$N$622,MATCH(523,Engine!$C$2:$C$622,0)))</f>
        <v/>
      </c>
      <c r="O536" s="8">
        <f>IF(ISNA(MATCH(523,Engine!$C$2:$C$622,0)),"",INDEX('Compliance Database'!$O$2:$O$622,MATCH(523,Engine!$C$2:$C$622,0)))</f>
        <v/>
      </c>
    </row>
    <row r="537">
      <c r="A537">
        <f>IF(ISNA(MATCH(524,Engine!$C$2:$C$622,0)),"",INDEX('Compliance Database'!$A$2:$A$622,MATCH(524,Engine!$C$2:$C$622,0)))</f>
        <v/>
      </c>
      <c r="B537">
        <f>IF(ISNA(MATCH(524,Engine!$C$2:$C$622,0)),"",INDEX('Compliance Database'!$B$2:$B$622,MATCH(524,Engine!$C$2:$C$622,0)))</f>
        <v/>
      </c>
      <c r="C537">
        <f>IF(ISNA(MATCH(524,Engine!$C$2:$C$622,0)),"",INDEX('Compliance Database'!$C$2:$C$622,MATCH(524,Engine!$C$2:$C$622,0)))</f>
        <v/>
      </c>
      <c r="D537" s="8">
        <f>IF(ISNA(MATCH(524,Engine!$C$2:$C$622,0)),"",INDEX('Compliance Database'!$D$2:$D$622,MATCH(524,Engine!$C$2:$C$622,0)))</f>
        <v/>
      </c>
      <c r="E537">
        <f>IF(ISNA(MATCH(524,Engine!$C$2:$C$622,0)),"",INDEX('Compliance Database'!$E$2:$E$622,MATCH(524,Engine!$C$2:$C$622,0)))</f>
        <v/>
      </c>
      <c r="F537">
        <f>IF(ISNA(MATCH(524,Engine!$C$2:$C$622,0)),"",INDEX('Compliance Database'!$F$2:$F$622,MATCH(524,Engine!$C$2:$C$622,0)))</f>
        <v/>
      </c>
      <c r="G537">
        <f>IF(ISNA(MATCH(524,Engine!$C$2:$C$622,0)),"",INDEX('Compliance Database'!$G$2:$G$622,MATCH(524,Engine!$C$2:$C$622,0)))</f>
        <v/>
      </c>
      <c r="H537">
        <f>IF(ISNA(MATCH(524,Engine!$C$2:$C$622,0)),"",INDEX('Compliance Database'!$H$2:$H$622,MATCH(524,Engine!$C$2:$C$622,0)))</f>
        <v/>
      </c>
      <c r="I537" s="8">
        <f>IF(ISNA(MATCH(524,Engine!$C$2:$C$622,0)),"",INDEX('Compliance Database'!$I$2:$I$622,MATCH(524,Engine!$C$2:$C$622,0)))</f>
        <v/>
      </c>
      <c r="J537" s="8">
        <f>IF(ISNA(MATCH(524,Engine!$C$2:$C$622,0)),"",INDEX('Compliance Database'!$J$2:$J$622,MATCH(524,Engine!$C$2:$C$622,0)))</f>
        <v/>
      </c>
      <c r="K537">
        <f>IF(ISNA(MATCH(524,Engine!$C$2:$C$622,0)),"",INDEX('Compliance Database'!$K$2:$K$622,MATCH(524,Engine!$C$2:$C$622,0)))</f>
        <v/>
      </c>
      <c r="L537" s="8">
        <f>IF(ISNA(MATCH(524,Engine!$C$2:$C$622,0)),"",INDEX('Compliance Database'!$L$2:$L$622,MATCH(524,Engine!$C$2:$C$622,0)))</f>
        <v/>
      </c>
      <c r="M537" s="8">
        <f>IF(ISNA(MATCH(524,Engine!$C$2:$C$622,0)),"",INDEX('Compliance Database'!$M$2:$M$622,MATCH(524,Engine!$C$2:$C$622,0)))</f>
        <v/>
      </c>
      <c r="N537" s="8">
        <f>IF(ISNA(MATCH(524,Engine!$C$2:$C$622,0)),"",INDEX('Compliance Database'!$N$2:$N$622,MATCH(524,Engine!$C$2:$C$622,0)))</f>
        <v/>
      </c>
      <c r="O537" s="8">
        <f>IF(ISNA(MATCH(524,Engine!$C$2:$C$622,0)),"",INDEX('Compliance Database'!$O$2:$O$622,MATCH(524,Engine!$C$2:$C$622,0)))</f>
        <v/>
      </c>
    </row>
    <row r="538">
      <c r="A538">
        <f>IF(ISNA(MATCH(525,Engine!$C$2:$C$622,0)),"",INDEX('Compliance Database'!$A$2:$A$622,MATCH(525,Engine!$C$2:$C$622,0)))</f>
        <v/>
      </c>
      <c r="B538">
        <f>IF(ISNA(MATCH(525,Engine!$C$2:$C$622,0)),"",INDEX('Compliance Database'!$B$2:$B$622,MATCH(525,Engine!$C$2:$C$622,0)))</f>
        <v/>
      </c>
      <c r="C538">
        <f>IF(ISNA(MATCH(525,Engine!$C$2:$C$622,0)),"",INDEX('Compliance Database'!$C$2:$C$622,MATCH(525,Engine!$C$2:$C$622,0)))</f>
        <v/>
      </c>
      <c r="D538" s="8">
        <f>IF(ISNA(MATCH(525,Engine!$C$2:$C$622,0)),"",INDEX('Compliance Database'!$D$2:$D$622,MATCH(525,Engine!$C$2:$C$622,0)))</f>
        <v/>
      </c>
      <c r="E538">
        <f>IF(ISNA(MATCH(525,Engine!$C$2:$C$622,0)),"",INDEX('Compliance Database'!$E$2:$E$622,MATCH(525,Engine!$C$2:$C$622,0)))</f>
        <v/>
      </c>
      <c r="F538">
        <f>IF(ISNA(MATCH(525,Engine!$C$2:$C$622,0)),"",INDEX('Compliance Database'!$F$2:$F$622,MATCH(525,Engine!$C$2:$C$622,0)))</f>
        <v/>
      </c>
      <c r="G538">
        <f>IF(ISNA(MATCH(525,Engine!$C$2:$C$622,0)),"",INDEX('Compliance Database'!$G$2:$G$622,MATCH(525,Engine!$C$2:$C$622,0)))</f>
        <v/>
      </c>
      <c r="H538">
        <f>IF(ISNA(MATCH(525,Engine!$C$2:$C$622,0)),"",INDEX('Compliance Database'!$H$2:$H$622,MATCH(525,Engine!$C$2:$C$622,0)))</f>
        <v/>
      </c>
      <c r="I538" s="8">
        <f>IF(ISNA(MATCH(525,Engine!$C$2:$C$622,0)),"",INDEX('Compliance Database'!$I$2:$I$622,MATCH(525,Engine!$C$2:$C$622,0)))</f>
        <v/>
      </c>
      <c r="J538" s="8">
        <f>IF(ISNA(MATCH(525,Engine!$C$2:$C$622,0)),"",INDEX('Compliance Database'!$J$2:$J$622,MATCH(525,Engine!$C$2:$C$622,0)))</f>
        <v/>
      </c>
      <c r="K538">
        <f>IF(ISNA(MATCH(525,Engine!$C$2:$C$622,0)),"",INDEX('Compliance Database'!$K$2:$K$622,MATCH(525,Engine!$C$2:$C$622,0)))</f>
        <v/>
      </c>
      <c r="L538" s="8">
        <f>IF(ISNA(MATCH(525,Engine!$C$2:$C$622,0)),"",INDEX('Compliance Database'!$L$2:$L$622,MATCH(525,Engine!$C$2:$C$622,0)))</f>
        <v/>
      </c>
      <c r="M538" s="8">
        <f>IF(ISNA(MATCH(525,Engine!$C$2:$C$622,0)),"",INDEX('Compliance Database'!$M$2:$M$622,MATCH(525,Engine!$C$2:$C$622,0)))</f>
        <v/>
      </c>
      <c r="N538" s="8">
        <f>IF(ISNA(MATCH(525,Engine!$C$2:$C$622,0)),"",INDEX('Compliance Database'!$N$2:$N$622,MATCH(525,Engine!$C$2:$C$622,0)))</f>
        <v/>
      </c>
      <c r="O538" s="8">
        <f>IF(ISNA(MATCH(525,Engine!$C$2:$C$622,0)),"",INDEX('Compliance Database'!$O$2:$O$622,MATCH(525,Engine!$C$2:$C$622,0)))</f>
        <v/>
      </c>
    </row>
    <row r="539">
      <c r="A539">
        <f>IF(ISNA(MATCH(526,Engine!$C$2:$C$622,0)),"",INDEX('Compliance Database'!$A$2:$A$622,MATCH(526,Engine!$C$2:$C$622,0)))</f>
        <v/>
      </c>
      <c r="B539">
        <f>IF(ISNA(MATCH(526,Engine!$C$2:$C$622,0)),"",INDEX('Compliance Database'!$B$2:$B$622,MATCH(526,Engine!$C$2:$C$622,0)))</f>
        <v/>
      </c>
      <c r="C539">
        <f>IF(ISNA(MATCH(526,Engine!$C$2:$C$622,0)),"",INDEX('Compliance Database'!$C$2:$C$622,MATCH(526,Engine!$C$2:$C$622,0)))</f>
        <v/>
      </c>
      <c r="D539" s="8">
        <f>IF(ISNA(MATCH(526,Engine!$C$2:$C$622,0)),"",INDEX('Compliance Database'!$D$2:$D$622,MATCH(526,Engine!$C$2:$C$622,0)))</f>
        <v/>
      </c>
      <c r="E539">
        <f>IF(ISNA(MATCH(526,Engine!$C$2:$C$622,0)),"",INDEX('Compliance Database'!$E$2:$E$622,MATCH(526,Engine!$C$2:$C$622,0)))</f>
        <v/>
      </c>
      <c r="F539">
        <f>IF(ISNA(MATCH(526,Engine!$C$2:$C$622,0)),"",INDEX('Compliance Database'!$F$2:$F$622,MATCH(526,Engine!$C$2:$C$622,0)))</f>
        <v/>
      </c>
      <c r="G539">
        <f>IF(ISNA(MATCH(526,Engine!$C$2:$C$622,0)),"",INDEX('Compliance Database'!$G$2:$G$622,MATCH(526,Engine!$C$2:$C$622,0)))</f>
        <v/>
      </c>
      <c r="H539">
        <f>IF(ISNA(MATCH(526,Engine!$C$2:$C$622,0)),"",INDEX('Compliance Database'!$H$2:$H$622,MATCH(526,Engine!$C$2:$C$622,0)))</f>
        <v/>
      </c>
      <c r="I539" s="8">
        <f>IF(ISNA(MATCH(526,Engine!$C$2:$C$622,0)),"",INDEX('Compliance Database'!$I$2:$I$622,MATCH(526,Engine!$C$2:$C$622,0)))</f>
        <v/>
      </c>
      <c r="J539" s="8">
        <f>IF(ISNA(MATCH(526,Engine!$C$2:$C$622,0)),"",INDEX('Compliance Database'!$J$2:$J$622,MATCH(526,Engine!$C$2:$C$622,0)))</f>
        <v/>
      </c>
      <c r="K539">
        <f>IF(ISNA(MATCH(526,Engine!$C$2:$C$622,0)),"",INDEX('Compliance Database'!$K$2:$K$622,MATCH(526,Engine!$C$2:$C$622,0)))</f>
        <v/>
      </c>
      <c r="L539" s="8">
        <f>IF(ISNA(MATCH(526,Engine!$C$2:$C$622,0)),"",INDEX('Compliance Database'!$L$2:$L$622,MATCH(526,Engine!$C$2:$C$622,0)))</f>
        <v/>
      </c>
      <c r="M539" s="8">
        <f>IF(ISNA(MATCH(526,Engine!$C$2:$C$622,0)),"",INDEX('Compliance Database'!$M$2:$M$622,MATCH(526,Engine!$C$2:$C$622,0)))</f>
        <v/>
      </c>
      <c r="N539" s="8">
        <f>IF(ISNA(MATCH(526,Engine!$C$2:$C$622,0)),"",INDEX('Compliance Database'!$N$2:$N$622,MATCH(526,Engine!$C$2:$C$622,0)))</f>
        <v/>
      </c>
      <c r="O539" s="8">
        <f>IF(ISNA(MATCH(526,Engine!$C$2:$C$622,0)),"",INDEX('Compliance Database'!$O$2:$O$622,MATCH(526,Engine!$C$2:$C$622,0)))</f>
        <v/>
      </c>
    </row>
    <row r="540">
      <c r="A540">
        <f>IF(ISNA(MATCH(527,Engine!$C$2:$C$622,0)),"",INDEX('Compliance Database'!$A$2:$A$622,MATCH(527,Engine!$C$2:$C$622,0)))</f>
        <v/>
      </c>
      <c r="B540">
        <f>IF(ISNA(MATCH(527,Engine!$C$2:$C$622,0)),"",INDEX('Compliance Database'!$B$2:$B$622,MATCH(527,Engine!$C$2:$C$622,0)))</f>
        <v/>
      </c>
      <c r="C540">
        <f>IF(ISNA(MATCH(527,Engine!$C$2:$C$622,0)),"",INDEX('Compliance Database'!$C$2:$C$622,MATCH(527,Engine!$C$2:$C$622,0)))</f>
        <v/>
      </c>
      <c r="D540" s="8">
        <f>IF(ISNA(MATCH(527,Engine!$C$2:$C$622,0)),"",INDEX('Compliance Database'!$D$2:$D$622,MATCH(527,Engine!$C$2:$C$622,0)))</f>
        <v/>
      </c>
      <c r="E540">
        <f>IF(ISNA(MATCH(527,Engine!$C$2:$C$622,0)),"",INDEX('Compliance Database'!$E$2:$E$622,MATCH(527,Engine!$C$2:$C$622,0)))</f>
        <v/>
      </c>
      <c r="F540">
        <f>IF(ISNA(MATCH(527,Engine!$C$2:$C$622,0)),"",INDEX('Compliance Database'!$F$2:$F$622,MATCH(527,Engine!$C$2:$C$622,0)))</f>
        <v/>
      </c>
      <c r="G540">
        <f>IF(ISNA(MATCH(527,Engine!$C$2:$C$622,0)),"",INDEX('Compliance Database'!$G$2:$G$622,MATCH(527,Engine!$C$2:$C$622,0)))</f>
        <v/>
      </c>
      <c r="H540">
        <f>IF(ISNA(MATCH(527,Engine!$C$2:$C$622,0)),"",INDEX('Compliance Database'!$H$2:$H$622,MATCH(527,Engine!$C$2:$C$622,0)))</f>
        <v/>
      </c>
      <c r="I540" s="8">
        <f>IF(ISNA(MATCH(527,Engine!$C$2:$C$622,0)),"",INDEX('Compliance Database'!$I$2:$I$622,MATCH(527,Engine!$C$2:$C$622,0)))</f>
        <v/>
      </c>
      <c r="J540" s="8">
        <f>IF(ISNA(MATCH(527,Engine!$C$2:$C$622,0)),"",INDEX('Compliance Database'!$J$2:$J$622,MATCH(527,Engine!$C$2:$C$622,0)))</f>
        <v/>
      </c>
      <c r="K540">
        <f>IF(ISNA(MATCH(527,Engine!$C$2:$C$622,0)),"",INDEX('Compliance Database'!$K$2:$K$622,MATCH(527,Engine!$C$2:$C$622,0)))</f>
        <v/>
      </c>
      <c r="L540" s="8">
        <f>IF(ISNA(MATCH(527,Engine!$C$2:$C$622,0)),"",INDEX('Compliance Database'!$L$2:$L$622,MATCH(527,Engine!$C$2:$C$622,0)))</f>
        <v/>
      </c>
      <c r="M540" s="8">
        <f>IF(ISNA(MATCH(527,Engine!$C$2:$C$622,0)),"",INDEX('Compliance Database'!$M$2:$M$622,MATCH(527,Engine!$C$2:$C$622,0)))</f>
        <v/>
      </c>
      <c r="N540" s="8">
        <f>IF(ISNA(MATCH(527,Engine!$C$2:$C$622,0)),"",INDEX('Compliance Database'!$N$2:$N$622,MATCH(527,Engine!$C$2:$C$622,0)))</f>
        <v/>
      </c>
      <c r="O540" s="8">
        <f>IF(ISNA(MATCH(527,Engine!$C$2:$C$622,0)),"",INDEX('Compliance Database'!$O$2:$O$622,MATCH(527,Engine!$C$2:$C$622,0)))</f>
        <v/>
      </c>
    </row>
    <row r="541">
      <c r="A541">
        <f>IF(ISNA(MATCH(528,Engine!$C$2:$C$622,0)),"",INDEX('Compliance Database'!$A$2:$A$622,MATCH(528,Engine!$C$2:$C$622,0)))</f>
        <v/>
      </c>
      <c r="B541">
        <f>IF(ISNA(MATCH(528,Engine!$C$2:$C$622,0)),"",INDEX('Compliance Database'!$B$2:$B$622,MATCH(528,Engine!$C$2:$C$622,0)))</f>
        <v/>
      </c>
      <c r="C541">
        <f>IF(ISNA(MATCH(528,Engine!$C$2:$C$622,0)),"",INDEX('Compliance Database'!$C$2:$C$622,MATCH(528,Engine!$C$2:$C$622,0)))</f>
        <v/>
      </c>
      <c r="D541" s="8">
        <f>IF(ISNA(MATCH(528,Engine!$C$2:$C$622,0)),"",INDEX('Compliance Database'!$D$2:$D$622,MATCH(528,Engine!$C$2:$C$622,0)))</f>
        <v/>
      </c>
      <c r="E541">
        <f>IF(ISNA(MATCH(528,Engine!$C$2:$C$622,0)),"",INDEX('Compliance Database'!$E$2:$E$622,MATCH(528,Engine!$C$2:$C$622,0)))</f>
        <v/>
      </c>
      <c r="F541">
        <f>IF(ISNA(MATCH(528,Engine!$C$2:$C$622,0)),"",INDEX('Compliance Database'!$F$2:$F$622,MATCH(528,Engine!$C$2:$C$622,0)))</f>
        <v/>
      </c>
      <c r="G541">
        <f>IF(ISNA(MATCH(528,Engine!$C$2:$C$622,0)),"",INDEX('Compliance Database'!$G$2:$G$622,MATCH(528,Engine!$C$2:$C$622,0)))</f>
        <v/>
      </c>
      <c r="H541">
        <f>IF(ISNA(MATCH(528,Engine!$C$2:$C$622,0)),"",INDEX('Compliance Database'!$H$2:$H$622,MATCH(528,Engine!$C$2:$C$622,0)))</f>
        <v/>
      </c>
      <c r="I541" s="8">
        <f>IF(ISNA(MATCH(528,Engine!$C$2:$C$622,0)),"",INDEX('Compliance Database'!$I$2:$I$622,MATCH(528,Engine!$C$2:$C$622,0)))</f>
        <v/>
      </c>
      <c r="J541" s="8">
        <f>IF(ISNA(MATCH(528,Engine!$C$2:$C$622,0)),"",INDEX('Compliance Database'!$J$2:$J$622,MATCH(528,Engine!$C$2:$C$622,0)))</f>
        <v/>
      </c>
      <c r="K541">
        <f>IF(ISNA(MATCH(528,Engine!$C$2:$C$622,0)),"",INDEX('Compliance Database'!$K$2:$K$622,MATCH(528,Engine!$C$2:$C$622,0)))</f>
        <v/>
      </c>
      <c r="L541" s="8">
        <f>IF(ISNA(MATCH(528,Engine!$C$2:$C$622,0)),"",INDEX('Compliance Database'!$L$2:$L$622,MATCH(528,Engine!$C$2:$C$622,0)))</f>
        <v/>
      </c>
      <c r="M541" s="8">
        <f>IF(ISNA(MATCH(528,Engine!$C$2:$C$622,0)),"",INDEX('Compliance Database'!$M$2:$M$622,MATCH(528,Engine!$C$2:$C$622,0)))</f>
        <v/>
      </c>
      <c r="N541" s="8">
        <f>IF(ISNA(MATCH(528,Engine!$C$2:$C$622,0)),"",INDEX('Compliance Database'!$N$2:$N$622,MATCH(528,Engine!$C$2:$C$622,0)))</f>
        <v/>
      </c>
      <c r="O541" s="8">
        <f>IF(ISNA(MATCH(528,Engine!$C$2:$C$622,0)),"",INDEX('Compliance Database'!$O$2:$O$622,MATCH(528,Engine!$C$2:$C$622,0)))</f>
        <v/>
      </c>
    </row>
    <row r="542">
      <c r="A542">
        <f>IF(ISNA(MATCH(529,Engine!$C$2:$C$622,0)),"",INDEX('Compliance Database'!$A$2:$A$622,MATCH(529,Engine!$C$2:$C$622,0)))</f>
        <v/>
      </c>
      <c r="B542">
        <f>IF(ISNA(MATCH(529,Engine!$C$2:$C$622,0)),"",INDEX('Compliance Database'!$B$2:$B$622,MATCH(529,Engine!$C$2:$C$622,0)))</f>
        <v/>
      </c>
      <c r="C542">
        <f>IF(ISNA(MATCH(529,Engine!$C$2:$C$622,0)),"",INDEX('Compliance Database'!$C$2:$C$622,MATCH(529,Engine!$C$2:$C$622,0)))</f>
        <v/>
      </c>
      <c r="D542" s="8">
        <f>IF(ISNA(MATCH(529,Engine!$C$2:$C$622,0)),"",INDEX('Compliance Database'!$D$2:$D$622,MATCH(529,Engine!$C$2:$C$622,0)))</f>
        <v/>
      </c>
      <c r="E542">
        <f>IF(ISNA(MATCH(529,Engine!$C$2:$C$622,0)),"",INDEX('Compliance Database'!$E$2:$E$622,MATCH(529,Engine!$C$2:$C$622,0)))</f>
        <v/>
      </c>
      <c r="F542">
        <f>IF(ISNA(MATCH(529,Engine!$C$2:$C$622,0)),"",INDEX('Compliance Database'!$F$2:$F$622,MATCH(529,Engine!$C$2:$C$622,0)))</f>
        <v/>
      </c>
      <c r="G542">
        <f>IF(ISNA(MATCH(529,Engine!$C$2:$C$622,0)),"",INDEX('Compliance Database'!$G$2:$G$622,MATCH(529,Engine!$C$2:$C$622,0)))</f>
        <v/>
      </c>
      <c r="H542">
        <f>IF(ISNA(MATCH(529,Engine!$C$2:$C$622,0)),"",INDEX('Compliance Database'!$H$2:$H$622,MATCH(529,Engine!$C$2:$C$622,0)))</f>
        <v/>
      </c>
      <c r="I542" s="8">
        <f>IF(ISNA(MATCH(529,Engine!$C$2:$C$622,0)),"",INDEX('Compliance Database'!$I$2:$I$622,MATCH(529,Engine!$C$2:$C$622,0)))</f>
        <v/>
      </c>
      <c r="J542" s="8">
        <f>IF(ISNA(MATCH(529,Engine!$C$2:$C$622,0)),"",INDEX('Compliance Database'!$J$2:$J$622,MATCH(529,Engine!$C$2:$C$622,0)))</f>
        <v/>
      </c>
      <c r="K542">
        <f>IF(ISNA(MATCH(529,Engine!$C$2:$C$622,0)),"",INDEX('Compliance Database'!$K$2:$K$622,MATCH(529,Engine!$C$2:$C$622,0)))</f>
        <v/>
      </c>
      <c r="L542" s="8">
        <f>IF(ISNA(MATCH(529,Engine!$C$2:$C$622,0)),"",INDEX('Compliance Database'!$L$2:$L$622,MATCH(529,Engine!$C$2:$C$622,0)))</f>
        <v/>
      </c>
      <c r="M542" s="8">
        <f>IF(ISNA(MATCH(529,Engine!$C$2:$C$622,0)),"",INDEX('Compliance Database'!$M$2:$M$622,MATCH(529,Engine!$C$2:$C$622,0)))</f>
        <v/>
      </c>
      <c r="N542" s="8">
        <f>IF(ISNA(MATCH(529,Engine!$C$2:$C$622,0)),"",INDEX('Compliance Database'!$N$2:$N$622,MATCH(529,Engine!$C$2:$C$622,0)))</f>
        <v/>
      </c>
      <c r="O542" s="8">
        <f>IF(ISNA(MATCH(529,Engine!$C$2:$C$622,0)),"",INDEX('Compliance Database'!$O$2:$O$622,MATCH(529,Engine!$C$2:$C$622,0)))</f>
        <v/>
      </c>
    </row>
    <row r="543">
      <c r="A543">
        <f>IF(ISNA(MATCH(530,Engine!$C$2:$C$622,0)),"",INDEX('Compliance Database'!$A$2:$A$622,MATCH(530,Engine!$C$2:$C$622,0)))</f>
        <v/>
      </c>
      <c r="B543">
        <f>IF(ISNA(MATCH(530,Engine!$C$2:$C$622,0)),"",INDEX('Compliance Database'!$B$2:$B$622,MATCH(530,Engine!$C$2:$C$622,0)))</f>
        <v/>
      </c>
      <c r="C543">
        <f>IF(ISNA(MATCH(530,Engine!$C$2:$C$622,0)),"",INDEX('Compliance Database'!$C$2:$C$622,MATCH(530,Engine!$C$2:$C$622,0)))</f>
        <v/>
      </c>
      <c r="D543" s="8">
        <f>IF(ISNA(MATCH(530,Engine!$C$2:$C$622,0)),"",INDEX('Compliance Database'!$D$2:$D$622,MATCH(530,Engine!$C$2:$C$622,0)))</f>
        <v/>
      </c>
      <c r="E543">
        <f>IF(ISNA(MATCH(530,Engine!$C$2:$C$622,0)),"",INDEX('Compliance Database'!$E$2:$E$622,MATCH(530,Engine!$C$2:$C$622,0)))</f>
        <v/>
      </c>
      <c r="F543">
        <f>IF(ISNA(MATCH(530,Engine!$C$2:$C$622,0)),"",INDEX('Compliance Database'!$F$2:$F$622,MATCH(530,Engine!$C$2:$C$622,0)))</f>
        <v/>
      </c>
      <c r="G543">
        <f>IF(ISNA(MATCH(530,Engine!$C$2:$C$622,0)),"",INDEX('Compliance Database'!$G$2:$G$622,MATCH(530,Engine!$C$2:$C$622,0)))</f>
        <v/>
      </c>
      <c r="H543">
        <f>IF(ISNA(MATCH(530,Engine!$C$2:$C$622,0)),"",INDEX('Compliance Database'!$H$2:$H$622,MATCH(530,Engine!$C$2:$C$622,0)))</f>
        <v/>
      </c>
      <c r="I543" s="8">
        <f>IF(ISNA(MATCH(530,Engine!$C$2:$C$622,0)),"",INDEX('Compliance Database'!$I$2:$I$622,MATCH(530,Engine!$C$2:$C$622,0)))</f>
        <v/>
      </c>
      <c r="J543" s="8">
        <f>IF(ISNA(MATCH(530,Engine!$C$2:$C$622,0)),"",INDEX('Compliance Database'!$J$2:$J$622,MATCH(530,Engine!$C$2:$C$622,0)))</f>
        <v/>
      </c>
      <c r="K543">
        <f>IF(ISNA(MATCH(530,Engine!$C$2:$C$622,0)),"",INDEX('Compliance Database'!$K$2:$K$622,MATCH(530,Engine!$C$2:$C$622,0)))</f>
        <v/>
      </c>
      <c r="L543" s="8">
        <f>IF(ISNA(MATCH(530,Engine!$C$2:$C$622,0)),"",INDEX('Compliance Database'!$L$2:$L$622,MATCH(530,Engine!$C$2:$C$622,0)))</f>
        <v/>
      </c>
      <c r="M543" s="8">
        <f>IF(ISNA(MATCH(530,Engine!$C$2:$C$622,0)),"",INDEX('Compliance Database'!$M$2:$M$622,MATCH(530,Engine!$C$2:$C$622,0)))</f>
        <v/>
      </c>
      <c r="N543" s="8">
        <f>IF(ISNA(MATCH(530,Engine!$C$2:$C$622,0)),"",INDEX('Compliance Database'!$N$2:$N$622,MATCH(530,Engine!$C$2:$C$622,0)))</f>
        <v/>
      </c>
      <c r="O543" s="8">
        <f>IF(ISNA(MATCH(530,Engine!$C$2:$C$622,0)),"",INDEX('Compliance Database'!$O$2:$O$622,MATCH(530,Engine!$C$2:$C$622,0)))</f>
        <v/>
      </c>
    </row>
    <row r="544">
      <c r="A544">
        <f>IF(ISNA(MATCH(531,Engine!$C$2:$C$622,0)),"",INDEX('Compliance Database'!$A$2:$A$622,MATCH(531,Engine!$C$2:$C$622,0)))</f>
        <v/>
      </c>
      <c r="B544">
        <f>IF(ISNA(MATCH(531,Engine!$C$2:$C$622,0)),"",INDEX('Compliance Database'!$B$2:$B$622,MATCH(531,Engine!$C$2:$C$622,0)))</f>
        <v/>
      </c>
      <c r="C544">
        <f>IF(ISNA(MATCH(531,Engine!$C$2:$C$622,0)),"",INDEX('Compliance Database'!$C$2:$C$622,MATCH(531,Engine!$C$2:$C$622,0)))</f>
        <v/>
      </c>
      <c r="D544" s="8">
        <f>IF(ISNA(MATCH(531,Engine!$C$2:$C$622,0)),"",INDEX('Compliance Database'!$D$2:$D$622,MATCH(531,Engine!$C$2:$C$622,0)))</f>
        <v/>
      </c>
      <c r="E544">
        <f>IF(ISNA(MATCH(531,Engine!$C$2:$C$622,0)),"",INDEX('Compliance Database'!$E$2:$E$622,MATCH(531,Engine!$C$2:$C$622,0)))</f>
        <v/>
      </c>
      <c r="F544">
        <f>IF(ISNA(MATCH(531,Engine!$C$2:$C$622,0)),"",INDEX('Compliance Database'!$F$2:$F$622,MATCH(531,Engine!$C$2:$C$622,0)))</f>
        <v/>
      </c>
      <c r="G544">
        <f>IF(ISNA(MATCH(531,Engine!$C$2:$C$622,0)),"",INDEX('Compliance Database'!$G$2:$G$622,MATCH(531,Engine!$C$2:$C$622,0)))</f>
        <v/>
      </c>
      <c r="H544">
        <f>IF(ISNA(MATCH(531,Engine!$C$2:$C$622,0)),"",INDEX('Compliance Database'!$H$2:$H$622,MATCH(531,Engine!$C$2:$C$622,0)))</f>
        <v/>
      </c>
      <c r="I544" s="8">
        <f>IF(ISNA(MATCH(531,Engine!$C$2:$C$622,0)),"",INDEX('Compliance Database'!$I$2:$I$622,MATCH(531,Engine!$C$2:$C$622,0)))</f>
        <v/>
      </c>
      <c r="J544" s="8">
        <f>IF(ISNA(MATCH(531,Engine!$C$2:$C$622,0)),"",INDEX('Compliance Database'!$J$2:$J$622,MATCH(531,Engine!$C$2:$C$622,0)))</f>
        <v/>
      </c>
      <c r="K544">
        <f>IF(ISNA(MATCH(531,Engine!$C$2:$C$622,0)),"",INDEX('Compliance Database'!$K$2:$K$622,MATCH(531,Engine!$C$2:$C$622,0)))</f>
        <v/>
      </c>
      <c r="L544" s="8">
        <f>IF(ISNA(MATCH(531,Engine!$C$2:$C$622,0)),"",INDEX('Compliance Database'!$L$2:$L$622,MATCH(531,Engine!$C$2:$C$622,0)))</f>
        <v/>
      </c>
      <c r="M544" s="8">
        <f>IF(ISNA(MATCH(531,Engine!$C$2:$C$622,0)),"",INDEX('Compliance Database'!$M$2:$M$622,MATCH(531,Engine!$C$2:$C$622,0)))</f>
        <v/>
      </c>
      <c r="N544" s="8">
        <f>IF(ISNA(MATCH(531,Engine!$C$2:$C$622,0)),"",INDEX('Compliance Database'!$N$2:$N$622,MATCH(531,Engine!$C$2:$C$622,0)))</f>
        <v/>
      </c>
      <c r="O544" s="8">
        <f>IF(ISNA(MATCH(531,Engine!$C$2:$C$622,0)),"",INDEX('Compliance Database'!$O$2:$O$622,MATCH(531,Engine!$C$2:$C$622,0)))</f>
        <v/>
      </c>
    </row>
    <row r="545">
      <c r="A545">
        <f>IF(ISNA(MATCH(532,Engine!$C$2:$C$622,0)),"",INDEX('Compliance Database'!$A$2:$A$622,MATCH(532,Engine!$C$2:$C$622,0)))</f>
        <v/>
      </c>
      <c r="B545">
        <f>IF(ISNA(MATCH(532,Engine!$C$2:$C$622,0)),"",INDEX('Compliance Database'!$B$2:$B$622,MATCH(532,Engine!$C$2:$C$622,0)))</f>
        <v/>
      </c>
      <c r="C545">
        <f>IF(ISNA(MATCH(532,Engine!$C$2:$C$622,0)),"",INDEX('Compliance Database'!$C$2:$C$622,MATCH(532,Engine!$C$2:$C$622,0)))</f>
        <v/>
      </c>
      <c r="D545" s="8">
        <f>IF(ISNA(MATCH(532,Engine!$C$2:$C$622,0)),"",INDEX('Compliance Database'!$D$2:$D$622,MATCH(532,Engine!$C$2:$C$622,0)))</f>
        <v/>
      </c>
      <c r="E545">
        <f>IF(ISNA(MATCH(532,Engine!$C$2:$C$622,0)),"",INDEX('Compliance Database'!$E$2:$E$622,MATCH(532,Engine!$C$2:$C$622,0)))</f>
        <v/>
      </c>
      <c r="F545">
        <f>IF(ISNA(MATCH(532,Engine!$C$2:$C$622,0)),"",INDEX('Compliance Database'!$F$2:$F$622,MATCH(532,Engine!$C$2:$C$622,0)))</f>
        <v/>
      </c>
      <c r="G545">
        <f>IF(ISNA(MATCH(532,Engine!$C$2:$C$622,0)),"",INDEX('Compliance Database'!$G$2:$G$622,MATCH(532,Engine!$C$2:$C$622,0)))</f>
        <v/>
      </c>
      <c r="H545">
        <f>IF(ISNA(MATCH(532,Engine!$C$2:$C$622,0)),"",INDEX('Compliance Database'!$H$2:$H$622,MATCH(532,Engine!$C$2:$C$622,0)))</f>
        <v/>
      </c>
      <c r="I545" s="8">
        <f>IF(ISNA(MATCH(532,Engine!$C$2:$C$622,0)),"",INDEX('Compliance Database'!$I$2:$I$622,MATCH(532,Engine!$C$2:$C$622,0)))</f>
        <v/>
      </c>
      <c r="J545" s="8">
        <f>IF(ISNA(MATCH(532,Engine!$C$2:$C$622,0)),"",INDEX('Compliance Database'!$J$2:$J$622,MATCH(532,Engine!$C$2:$C$622,0)))</f>
        <v/>
      </c>
      <c r="K545">
        <f>IF(ISNA(MATCH(532,Engine!$C$2:$C$622,0)),"",INDEX('Compliance Database'!$K$2:$K$622,MATCH(532,Engine!$C$2:$C$622,0)))</f>
        <v/>
      </c>
      <c r="L545" s="8">
        <f>IF(ISNA(MATCH(532,Engine!$C$2:$C$622,0)),"",INDEX('Compliance Database'!$L$2:$L$622,MATCH(532,Engine!$C$2:$C$622,0)))</f>
        <v/>
      </c>
      <c r="M545" s="8">
        <f>IF(ISNA(MATCH(532,Engine!$C$2:$C$622,0)),"",INDEX('Compliance Database'!$M$2:$M$622,MATCH(532,Engine!$C$2:$C$622,0)))</f>
        <v/>
      </c>
      <c r="N545" s="8">
        <f>IF(ISNA(MATCH(532,Engine!$C$2:$C$622,0)),"",INDEX('Compliance Database'!$N$2:$N$622,MATCH(532,Engine!$C$2:$C$622,0)))</f>
        <v/>
      </c>
      <c r="O545" s="8">
        <f>IF(ISNA(MATCH(532,Engine!$C$2:$C$622,0)),"",INDEX('Compliance Database'!$O$2:$O$622,MATCH(532,Engine!$C$2:$C$622,0)))</f>
        <v/>
      </c>
    </row>
    <row r="546">
      <c r="A546">
        <f>IF(ISNA(MATCH(533,Engine!$C$2:$C$622,0)),"",INDEX('Compliance Database'!$A$2:$A$622,MATCH(533,Engine!$C$2:$C$622,0)))</f>
        <v/>
      </c>
      <c r="B546">
        <f>IF(ISNA(MATCH(533,Engine!$C$2:$C$622,0)),"",INDEX('Compliance Database'!$B$2:$B$622,MATCH(533,Engine!$C$2:$C$622,0)))</f>
        <v/>
      </c>
      <c r="C546">
        <f>IF(ISNA(MATCH(533,Engine!$C$2:$C$622,0)),"",INDEX('Compliance Database'!$C$2:$C$622,MATCH(533,Engine!$C$2:$C$622,0)))</f>
        <v/>
      </c>
      <c r="D546" s="8">
        <f>IF(ISNA(MATCH(533,Engine!$C$2:$C$622,0)),"",INDEX('Compliance Database'!$D$2:$D$622,MATCH(533,Engine!$C$2:$C$622,0)))</f>
        <v/>
      </c>
      <c r="E546">
        <f>IF(ISNA(MATCH(533,Engine!$C$2:$C$622,0)),"",INDEX('Compliance Database'!$E$2:$E$622,MATCH(533,Engine!$C$2:$C$622,0)))</f>
        <v/>
      </c>
      <c r="F546">
        <f>IF(ISNA(MATCH(533,Engine!$C$2:$C$622,0)),"",INDEX('Compliance Database'!$F$2:$F$622,MATCH(533,Engine!$C$2:$C$622,0)))</f>
        <v/>
      </c>
      <c r="G546">
        <f>IF(ISNA(MATCH(533,Engine!$C$2:$C$622,0)),"",INDEX('Compliance Database'!$G$2:$G$622,MATCH(533,Engine!$C$2:$C$622,0)))</f>
        <v/>
      </c>
      <c r="H546">
        <f>IF(ISNA(MATCH(533,Engine!$C$2:$C$622,0)),"",INDEX('Compliance Database'!$H$2:$H$622,MATCH(533,Engine!$C$2:$C$622,0)))</f>
        <v/>
      </c>
      <c r="I546" s="8">
        <f>IF(ISNA(MATCH(533,Engine!$C$2:$C$622,0)),"",INDEX('Compliance Database'!$I$2:$I$622,MATCH(533,Engine!$C$2:$C$622,0)))</f>
        <v/>
      </c>
      <c r="J546" s="8">
        <f>IF(ISNA(MATCH(533,Engine!$C$2:$C$622,0)),"",INDEX('Compliance Database'!$J$2:$J$622,MATCH(533,Engine!$C$2:$C$622,0)))</f>
        <v/>
      </c>
      <c r="K546">
        <f>IF(ISNA(MATCH(533,Engine!$C$2:$C$622,0)),"",INDEX('Compliance Database'!$K$2:$K$622,MATCH(533,Engine!$C$2:$C$622,0)))</f>
        <v/>
      </c>
      <c r="L546" s="8">
        <f>IF(ISNA(MATCH(533,Engine!$C$2:$C$622,0)),"",INDEX('Compliance Database'!$L$2:$L$622,MATCH(533,Engine!$C$2:$C$622,0)))</f>
        <v/>
      </c>
      <c r="M546" s="8">
        <f>IF(ISNA(MATCH(533,Engine!$C$2:$C$622,0)),"",INDEX('Compliance Database'!$M$2:$M$622,MATCH(533,Engine!$C$2:$C$622,0)))</f>
        <v/>
      </c>
      <c r="N546" s="8">
        <f>IF(ISNA(MATCH(533,Engine!$C$2:$C$622,0)),"",INDEX('Compliance Database'!$N$2:$N$622,MATCH(533,Engine!$C$2:$C$622,0)))</f>
        <v/>
      </c>
      <c r="O546" s="8">
        <f>IF(ISNA(MATCH(533,Engine!$C$2:$C$622,0)),"",INDEX('Compliance Database'!$O$2:$O$622,MATCH(533,Engine!$C$2:$C$622,0)))</f>
        <v/>
      </c>
    </row>
    <row r="547">
      <c r="A547">
        <f>IF(ISNA(MATCH(534,Engine!$C$2:$C$622,0)),"",INDEX('Compliance Database'!$A$2:$A$622,MATCH(534,Engine!$C$2:$C$622,0)))</f>
        <v/>
      </c>
      <c r="B547">
        <f>IF(ISNA(MATCH(534,Engine!$C$2:$C$622,0)),"",INDEX('Compliance Database'!$B$2:$B$622,MATCH(534,Engine!$C$2:$C$622,0)))</f>
        <v/>
      </c>
      <c r="C547">
        <f>IF(ISNA(MATCH(534,Engine!$C$2:$C$622,0)),"",INDEX('Compliance Database'!$C$2:$C$622,MATCH(534,Engine!$C$2:$C$622,0)))</f>
        <v/>
      </c>
      <c r="D547" s="8">
        <f>IF(ISNA(MATCH(534,Engine!$C$2:$C$622,0)),"",INDEX('Compliance Database'!$D$2:$D$622,MATCH(534,Engine!$C$2:$C$622,0)))</f>
        <v/>
      </c>
      <c r="E547">
        <f>IF(ISNA(MATCH(534,Engine!$C$2:$C$622,0)),"",INDEX('Compliance Database'!$E$2:$E$622,MATCH(534,Engine!$C$2:$C$622,0)))</f>
        <v/>
      </c>
      <c r="F547">
        <f>IF(ISNA(MATCH(534,Engine!$C$2:$C$622,0)),"",INDEX('Compliance Database'!$F$2:$F$622,MATCH(534,Engine!$C$2:$C$622,0)))</f>
        <v/>
      </c>
      <c r="G547">
        <f>IF(ISNA(MATCH(534,Engine!$C$2:$C$622,0)),"",INDEX('Compliance Database'!$G$2:$G$622,MATCH(534,Engine!$C$2:$C$622,0)))</f>
        <v/>
      </c>
      <c r="H547">
        <f>IF(ISNA(MATCH(534,Engine!$C$2:$C$622,0)),"",INDEX('Compliance Database'!$H$2:$H$622,MATCH(534,Engine!$C$2:$C$622,0)))</f>
        <v/>
      </c>
      <c r="I547" s="8">
        <f>IF(ISNA(MATCH(534,Engine!$C$2:$C$622,0)),"",INDEX('Compliance Database'!$I$2:$I$622,MATCH(534,Engine!$C$2:$C$622,0)))</f>
        <v/>
      </c>
      <c r="J547" s="8">
        <f>IF(ISNA(MATCH(534,Engine!$C$2:$C$622,0)),"",INDEX('Compliance Database'!$J$2:$J$622,MATCH(534,Engine!$C$2:$C$622,0)))</f>
        <v/>
      </c>
      <c r="K547">
        <f>IF(ISNA(MATCH(534,Engine!$C$2:$C$622,0)),"",INDEX('Compliance Database'!$K$2:$K$622,MATCH(534,Engine!$C$2:$C$622,0)))</f>
        <v/>
      </c>
      <c r="L547" s="8">
        <f>IF(ISNA(MATCH(534,Engine!$C$2:$C$622,0)),"",INDEX('Compliance Database'!$L$2:$L$622,MATCH(534,Engine!$C$2:$C$622,0)))</f>
        <v/>
      </c>
      <c r="M547" s="8">
        <f>IF(ISNA(MATCH(534,Engine!$C$2:$C$622,0)),"",INDEX('Compliance Database'!$M$2:$M$622,MATCH(534,Engine!$C$2:$C$622,0)))</f>
        <v/>
      </c>
      <c r="N547" s="8">
        <f>IF(ISNA(MATCH(534,Engine!$C$2:$C$622,0)),"",INDEX('Compliance Database'!$N$2:$N$622,MATCH(534,Engine!$C$2:$C$622,0)))</f>
        <v/>
      </c>
      <c r="O547" s="8">
        <f>IF(ISNA(MATCH(534,Engine!$C$2:$C$622,0)),"",INDEX('Compliance Database'!$O$2:$O$622,MATCH(534,Engine!$C$2:$C$622,0)))</f>
        <v/>
      </c>
    </row>
    <row r="548">
      <c r="A548">
        <f>IF(ISNA(MATCH(535,Engine!$C$2:$C$622,0)),"",INDEX('Compliance Database'!$A$2:$A$622,MATCH(535,Engine!$C$2:$C$622,0)))</f>
        <v/>
      </c>
      <c r="B548">
        <f>IF(ISNA(MATCH(535,Engine!$C$2:$C$622,0)),"",INDEX('Compliance Database'!$B$2:$B$622,MATCH(535,Engine!$C$2:$C$622,0)))</f>
        <v/>
      </c>
      <c r="C548">
        <f>IF(ISNA(MATCH(535,Engine!$C$2:$C$622,0)),"",INDEX('Compliance Database'!$C$2:$C$622,MATCH(535,Engine!$C$2:$C$622,0)))</f>
        <v/>
      </c>
      <c r="D548" s="8">
        <f>IF(ISNA(MATCH(535,Engine!$C$2:$C$622,0)),"",INDEX('Compliance Database'!$D$2:$D$622,MATCH(535,Engine!$C$2:$C$622,0)))</f>
        <v/>
      </c>
      <c r="E548">
        <f>IF(ISNA(MATCH(535,Engine!$C$2:$C$622,0)),"",INDEX('Compliance Database'!$E$2:$E$622,MATCH(535,Engine!$C$2:$C$622,0)))</f>
        <v/>
      </c>
      <c r="F548">
        <f>IF(ISNA(MATCH(535,Engine!$C$2:$C$622,0)),"",INDEX('Compliance Database'!$F$2:$F$622,MATCH(535,Engine!$C$2:$C$622,0)))</f>
        <v/>
      </c>
      <c r="G548">
        <f>IF(ISNA(MATCH(535,Engine!$C$2:$C$622,0)),"",INDEX('Compliance Database'!$G$2:$G$622,MATCH(535,Engine!$C$2:$C$622,0)))</f>
        <v/>
      </c>
      <c r="H548">
        <f>IF(ISNA(MATCH(535,Engine!$C$2:$C$622,0)),"",INDEX('Compliance Database'!$H$2:$H$622,MATCH(535,Engine!$C$2:$C$622,0)))</f>
        <v/>
      </c>
      <c r="I548" s="8">
        <f>IF(ISNA(MATCH(535,Engine!$C$2:$C$622,0)),"",INDEX('Compliance Database'!$I$2:$I$622,MATCH(535,Engine!$C$2:$C$622,0)))</f>
        <v/>
      </c>
      <c r="J548" s="8">
        <f>IF(ISNA(MATCH(535,Engine!$C$2:$C$622,0)),"",INDEX('Compliance Database'!$J$2:$J$622,MATCH(535,Engine!$C$2:$C$622,0)))</f>
        <v/>
      </c>
      <c r="K548">
        <f>IF(ISNA(MATCH(535,Engine!$C$2:$C$622,0)),"",INDEX('Compliance Database'!$K$2:$K$622,MATCH(535,Engine!$C$2:$C$622,0)))</f>
        <v/>
      </c>
      <c r="L548" s="8">
        <f>IF(ISNA(MATCH(535,Engine!$C$2:$C$622,0)),"",INDEX('Compliance Database'!$L$2:$L$622,MATCH(535,Engine!$C$2:$C$622,0)))</f>
        <v/>
      </c>
      <c r="M548" s="8">
        <f>IF(ISNA(MATCH(535,Engine!$C$2:$C$622,0)),"",INDEX('Compliance Database'!$M$2:$M$622,MATCH(535,Engine!$C$2:$C$622,0)))</f>
        <v/>
      </c>
      <c r="N548" s="8">
        <f>IF(ISNA(MATCH(535,Engine!$C$2:$C$622,0)),"",INDEX('Compliance Database'!$N$2:$N$622,MATCH(535,Engine!$C$2:$C$622,0)))</f>
        <v/>
      </c>
      <c r="O548" s="8">
        <f>IF(ISNA(MATCH(535,Engine!$C$2:$C$622,0)),"",INDEX('Compliance Database'!$O$2:$O$622,MATCH(535,Engine!$C$2:$C$622,0)))</f>
        <v/>
      </c>
    </row>
    <row r="549">
      <c r="A549">
        <f>IF(ISNA(MATCH(536,Engine!$C$2:$C$622,0)),"",INDEX('Compliance Database'!$A$2:$A$622,MATCH(536,Engine!$C$2:$C$622,0)))</f>
        <v/>
      </c>
      <c r="B549">
        <f>IF(ISNA(MATCH(536,Engine!$C$2:$C$622,0)),"",INDEX('Compliance Database'!$B$2:$B$622,MATCH(536,Engine!$C$2:$C$622,0)))</f>
        <v/>
      </c>
      <c r="C549">
        <f>IF(ISNA(MATCH(536,Engine!$C$2:$C$622,0)),"",INDEX('Compliance Database'!$C$2:$C$622,MATCH(536,Engine!$C$2:$C$622,0)))</f>
        <v/>
      </c>
      <c r="D549" s="8">
        <f>IF(ISNA(MATCH(536,Engine!$C$2:$C$622,0)),"",INDEX('Compliance Database'!$D$2:$D$622,MATCH(536,Engine!$C$2:$C$622,0)))</f>
        <v/>
      </c>
      <c r="E549">
        <f>IF(ISNA(MATCH(536,Engine!$C$2:$C$622,0)),"",INDEX('Compliance Database'!$E$2:$E$622,MATCH(536,Engine!$C$2:$C$622,0)))</f>
        <v/>
      </c>
      <c r="F549">
        <f>IF(ISNA(MATCH(536,Engine!$C$2:$C$622,0)),"",INDEX('Compliance Database'!$F$2:$F$622,MATCH(536,Engine!$C$2:$C$622,0)))</f>
        <v/>
      </c>
      <c r="G549">
        <f>IF(ISNA(MATCH(536,Engine!$C$2:$C$622,0)),"",INDEX('Compliance Database'!$G$2:$G$622,MATCH(536,Engine!$C$2:$C$622,0)))</f>
        <v/>
      </c>
      <c r="H549">
        <f>IF(ISNA(MATCH(536,Engine!$C$2:$C$622,0)),"",INDEX('Compliance Database'!$H$2:$H$622,MATCH(536,Engine!$C$2:$C$622,0)))</f>
        <v/>
      </c>
      <c r="I549" s="8">
        <f>IF(ISNA(MATCH(536,Engine!$C$2:$C$622,0)),"",INDEX('Compliance Database'!$I$2:$I$622,MATCH(536,Engine!$C$2:$C$622,0)))</f>
        <v/>
      </c>
      <c r="J549" s="8">
        <f>IF(ISNA(MATCH(536,Engine!$C$2:$C$622,0)),"",INDEX('Compliance Database'!$J$2:$J$622,MATCH(536,Engine!$C$2:$C$622,0)))</f>
        <v/>
      </c>
      <c r="K549">
        <f>IF(ISNA(MATCH(536,Engine!$C$2:$C$622,0)),"",INDEX('Compliance Database'!$K$2:$K$622,MATCH(536,Engine!$C$2:$C$622,0)))</f>
        <v/>
      </c>
      <c r="L549" s="8">
        <f>IF(ISNA(MATCH(536,Engine!$C$2:$C$622,0)),"",INDEX('Compliance Database'!$L$2:$L$622,MATCH(536,Engine!$C$2:$C$622,0)))</f>
        <v/>
      </c>
      <c r="M549" s="8">
        <f>IF(ISNA(MATCH(536,Engine!$C$2:$C$622,0)),"",INDEX('Compliance Database'!$M$2:$M$622,MATCH(536,Engine!$C$2:$C$622,0)))</f>
        <v/>
      </c>
      <c r="N549" s="8">
        <f>IF(ISNA(MATCH(536,Engine!$C$2:$C$622,0)),"",INDEX('Compliance Database'!$N$2:$N$622,MATCH(536,Engine!$C$2:$C$622,0)))</f>
        <v/>
      </c>
      <c r="O549" s="8">
        <f>IF(ISNA(MATCH(536,Engine!$C$2:$C$622,0)),"",INDEX('Compliance Database'!$O$2:$O$622,MATCH(536,Engine!$C$2:$C$622,0)))</f>
        <v/>
      </c>
    </row>
    <row r="550">
      <c r="A550">
        <f>IF(ISNA(MATCH(537,Engine!$C$2:$C$622,0)),"",INDEX('Compliance Database'!$A$2:$A$622,MATCH(537,Engine!$C$2:$C$622,0)))</f>
        <v/>
      </c>
      <c r="B550">
        <f>IF(ISNA(MATCH(537,Engine!$C$2:$C$622,0)),"",INDEX('Compliance Database'!$B$2:$B$622,MATCH(537,Engine!$C$2:$C$622,0)))</f>
        <v/>
      </c>
      <c r="C550">
        <f>IF(ISNA(MATCH(537,Engine!$C$2:$C$622,0)),"",INDEX('Compliance Database'!$C$2:$C$622,MATCH(537,Engine!$C$2:$C$622,0)))</f>
        <v/>
      </c>
      <c r="D550" s="8">
        <f>IF(ISNA(MATCH(537,Engine!$C$2:$C$622,0)),"",INDEX('Compliance Database'!$D$2:$D$622,MATCH(537,Engine!$C$2:$C$622,0)))</f>
        <v/>
      </c>
      <c r="E550">
        <f>IF(ISNA(MATCH(537,Engine!$C$2:$C$622,0)),"",INDEX('Compliance Database'!$E$2:$E$622,MATCH(537,Engine!$C$2:$C$622,0)))</f>
        <v/>
      </c>
      <c r="F550">
        <f>IF(ISNA(MATCH(537,Engine!$C$2:$C$622,0)),"",INDEX('Compliance Database'!$F$2:$F$622,MATCH(537,Engine!$C$2:$C$622,0)))</f>
        <v/>
      </c>
      <c r="G550">
        <f>IF(ISNA(MATCH(537,Engine!$C$2:$C$622,0)),"",INDEX('Compliance Database'!$G$2:$G$622,MATCH(537,Engine!$C$2:$C$622,0)))</f>
        <v/>
      </c>
      <c r="H550">
        <f>IF(ISNA(MATCH(537,Engine!$C$2:$C$622,0)),"",INDEX('Compliance Database'!$H$2:$H$622,MATCH(537,Engine!$C$2:$C$622,0)))</f>
        <v/>
      </c>
      <c r="I550" s="8">
        <f>IF(ISNA(MATCH(537,Engine!$C$2:$C$622,0)),"",INDEX('Compliance Database'!$I$2:$I$622,MATCH(537,Engine!$C$2:$C$622,0)))</f>
        <v/>
      </c>
      <c r="J550" s="8">
        <f>IF(ISNA(MATCH(537,Engine!$C$2:$C$622,0)),"",INDEX('Compliance Database'!$J$2:$J$622,MATCH(537,Engine!$C$2:$C$622,0)))</f>
        <v/>
      </c>
      <c r="K550">
        <f>IF(ISNA(MATCH(537,Engine!$C$2:$C$622,0)),"",INDEX('Compliance Database'!$K$2:$K$622,MATCH(537,Engine!$C$2:$C$622,0)))</f>
        <v/>
      </c>
      <c r="L550" s="8">
        <f>IF(ISNA(MATCH(537,Engine!$C$2:$C$622,0)),"",INDEX('Compliance Database'!$L$2:$L$622,MATCH(537,Engine!$C$2:$C$622,0)))</f>
        <v/>
      </c>
      <c r="M550" s="8">
        <f>IF(ISNA(MATCH(537,Engine!$C$2:$C$622,0)),"",INDEX('Compliance Database'!$M$2:$M$622,MATCH(537,Engine!$C$2:$C$622,0)))</f>
        <v/>
      </c>
      <c r="N550" s="8">
        <f>IF(ISNA(MATCH(537,Engine!$C$2:$C$622,0)),"",INDEX('Compliance Database'!$N$2:$N$622,MATCH(537,Engine!$C$2:$C$622,0)))</f>
        <v/>
      </c>
      <c r="O550" s="8">
        <f>IF(ISNA(MATCH(537,Engine!$C$2:$C$622,0)),"",INDEX('Compliance Database'!$O$2:$O$622,MATCH(537,Engine!$C$2:$C$622,0)))</f>
        <v/>
      </c>
    </row>
    <row r="551">
      <c r="A551">
        <f>IF(ISNA(MATCH(538,Engine!$C$2:$C$622,0)),"",INDEX('Compliance Database'!$A$2:$A$622,MATCH(538,Engine!$C$2:$C$622,0)))</f>
        <v/>
      </c>
      <c r="B551">
        <f>IF(ISNA(MATCH(538,Engine!$C$2:$C$622,0)),"",INDEX('Compliance Database'!$B$2:$B$622,MATCH(538,Engine!$C$2:$C$622,0)))</f>
        <v/>
      </c>
      <c r="C551">
        <f>IF(ISNA(MATCH(538,Engine!$C$2:$C$622,0)),"",INDEX('Compliance Database'!$C$2:$C$622,MATCH(538,Engine!$C$2:$C$622,0)))</f>
        <v/>
      </c>
      <c r="D551" s="8">
        <f>IF(ISNA(MATCH(538,Engine!$C$2:$C$622,0)),"",INDEX('Compliance Database'!$D$2:$D$622,MATCH(538,Engine!$C$2:$C$622,0)))</f>
        <v/>
      </c>
      <c r="E551">
        <f>IF(ISNA(MATCH(538,Engine!$C$2:$C$622,0)),"",INDEX('Compliance Database'!$E$2:$E$622,MATCH(538,Engine!$C$2:$C$622,0)))</f>
        <v/>
      </c>
      <c r="F551">
        <f>IF(ISNA(MATCH(538,Engine!$C$2:$C$622,0)),"",INDEX('Compliance Database'!$F$2:$F$622,MATCH(538,Engine!$C$2:$C$622,0)))</f>
        <v/>
      </c>
      <c r="G551">
        <f>IF(ISNA(MATCH(538,Engine!$C$2:$C$622,0)),"",INDEX('Compliance Database'!$G$2:$G$622,MATCH(538,Engine!$C$2:$C$622,0)))</f>
        <v/>
      </c>
      <c r="H551">
        <f>IF(ISNA(MATCH(538,Engine!$C$2:$C$622,0)),"",INDEX('Compliance Database'!$H$2:$H$622,MATCH(538,Engine!$C$2:$C$622,0)))</f>
        <v/>
      </c>
      <c r="I551" s="8">
        <f>IF(ISNA(MATCH(538,Engine!$C$2:$C$622,0)),"",INDEX('Compliance Database'!$I$2:$I$622,MATCH(538,Engine!$C$2:$C$622,0)))</f>
        <v/>
      </c>
      <c r="J551" s="8">
        <f>IF(ISNA(MATCH(538,Engine!$C$2:$C$622,0)),"",INDEX('Compliance Database'!$J$2:$J$622,MATCH(538,Engine!$C$2:$C$622,0)))</f>
        <v/>
      </c>
      <c r="K551">
        <f>IF(ISNA(MATCH(538,Engine!$C$2:$C$622,0)),"",INDEX('Compliance Database'!$K$2:$K$622,MATCH(538,Engine!$C$2:$C$622,0)))</f>
        <v/>
      </c>
      <c r="L551" s="8">
        <f>IF(ISNA(MATCH(538,Engine!$C$2:$C$622,0)),"",INDEX('Compliance Database'!$L$2:$L$622,MATCH(538,Engine!$C$2:$C$622,0)))</f>
        <v/>
      </c>
      <c r="M551" s="8">
        <f>IF(ISNA(MATCH(538,Engine!$C$2:$C$622,0)),"",INDEX('Compliance Database'!$M$2:$M$622,MATCH(538,Engine!$C$2:$C$622,0)))</f>
        <v/>
      </c>
      <c r="N551" s="8">
        <f>IF(ISNA(MATCH(538,Engine!$C$2:$C$622,0)),"",INDEX('Compliance Database'!$N$2:$N$622,MATCH(538,Engine!$C$2:$C$622,0)))</f>
        <v/>
      </c>
      <c r="O551" s="8">
        <f>IF(ISNA(MATCH(538,Engine!$C$2:$C$622,0)),"",INDEX('Compliance Database'!$O$2:$O$622,MATCH(538,Engine!$C$2:$C$622,0)))</f>
        <v/>
      </c>
    </row>
    <row r="552">
      <c r="A552">
        <f>IF(ISNA(MATCH(539,Engine!$C$2:$C$622,0)),"",INDEX('Compliance Database'!$A$2:$A$622,MATCH(539,Engine!$C$2:$C$622,0)))</f>
        <v/>
      </c>
      <c r="B552">
        <f>IF(ISNA(MATCH(539,Engine!$C$2:$C$622,0)),"",INDEX('Compliance Database'!$B$2:$B$622,MATCH(539,Engine!$C$2:$C$622,0)))</f>
        <v/>
      </c>
      <c r="C552">
        <f>IF(ISNA(MATCH(539,Engine!$C$2:$C$622,0)),"",INDEX('Compliance Database'!$C$2:$C$622,MATCH(539,Engine!$C$2:$C$622,0)))</f>
        <v/>
      </c>
      <c r="D552" s="8">
        <f>IF(ISNA(MATCH(539,Engine!$C$2:$C$622,0)),"",INDEX('Compliance Database'!$D$2:$D$622,MATCH(539,Engine!$C$2:$C$622,0)))</f>
        <v/>
      </c>
      <c r="E552">
        <f>IF(ISNA(MATCH(539,Engine!$C$2:$C$622,0)),"",INDEX('Compliance Database'!$E$2:$E$622,MATCH(539,Engine!$C$2:$C$622,0)))</f>
        <v/>
      </c>
      <c r="F552">
        <f>IF(ISNA(MATCH(539,Engine!$C$2:$C$622,0)),"",INDEX('Compliance Database'!$F$2:$F$622,MATCH(539,Engine!$C$2:$C$622,0)))</f>
        <v/>
      </c>
      <c r="G552">
        <f>IF(ISNA(MATCH(539,Engine!$C$2:$C$622,0)),"",INDEX('Compliance Database'!$G$2:$G$622,MATCH(539,Engine!$C$2:$C$622,0)))</f>
        <v/>
      </c>
      <c r="H552">
        <f>IF(ISNA(MATCH(539,Engine!$C$2:$C$622,0)),"",INDEX('Compliance Database'!$H$2:$H$622,MATCH(539,Engine!$C$2:$C$622,0)))</f>
        <v/>
      </c>
      <c r="I552" s="8">
        <f>IF(ISNA(MATCH(539,Engine!$C$2:$C$622,0)),"",INDEX('Compliance Database'!$I$2:$I$622,MATCH(539,Engine!$C$2:$C$622,0)))</f>
        <v/>
      </c>
      <c r="J552" s="8">
        <f>IF(ISNA(MATCH(539,Engine!$C$2:$C$622,0)),"",INDEX('Compliance Database'!$J$2:$J$622,MATCH(539,Engine!$C$2:$C$622,0)))</f>
        <v/>
      </c>
      <c r="K552">
        <f>IF(ISNA(MATCH(539,Engine!$C$2:$C$622,0)),"",INDEX('Compliance Database'!$K$2:$K$622,MATCH(539,Engine!$C$2:$C$622,0)))</f>
        <v/>
      </c>
      <c r="L552" s="8">
        <f>IF(ISNA(MATCH(539,Engine!$C$2:$C$622,0)),"",INDEX('Compliance Database'!$L$2:$L$622,MATCH(539,Engine!$C$2:$C$622,0)))</f>
        <v/>
      </c>
      <c r="M552" s="8">
        <f>IF(ISNA(MATCH(539,Engine!$C$2:$C$622,0)),"",INDEX('Compliance Database'!$M$2:$M$622,MATCH(539,Engine!$C$2:$C$622,0)))</f>
        <v/>
      </c>
      <c r="N552" s="8">
        <f>IF(ISNA(MATCH(539,Engine!$C$2:$C$622,0)),"",INDEX('Compliance Database'!$N$2:$N$622,MATCH(539,Engine!$C$2:$C$622,0)))</f>
        <v/>
      </c>
      <c r="O552" s="8">
        <f>IF(ISNA(MATCH(539,Engine!$C$2:$C$622,0)),"",INDEX('Compliance Database'!$O$2:$O$622,MATCH(539,Engine!$C$2:$C$622,0)))</f>
        <v/>
      </c>
    </row>
    <row r="553">
      <c r="A553">
        <f>IF(ISNA(MATCH(540,Engine!$C$2:$C$622,0)),"",INDEX('Compliance Database'!$A$2:$A$622,MATCH(540,Engine!$C$2:$C$622,0)))</f>
        <v/>
      </c>
      <c r="B553">
        <f>IF(ISNA(MATCH(540,Engine!$C$2:$C$622,0)),"",INDEX('Compliance Database'!$B$2:$B$622,MATCH(540,Engine!$C$2:$C$622,0)))</f>
        <v/>
      </c>
      <c r="C553">
        <f>IF(ISNA(MATCH(540,Engine!$C$2:$C$622,0)),"",INDEX('Compliance Database'!$C$2:$C$622,MATCH(540,Engine!$C$2:$C$622,0)))</f>
        <v/>
      </c>
      <c r="D553" s="8">
        <f>IF(ISNA(MATCH(540,Engine!$C$2:$C$622,0)),"",INDEX('Compliance Database'!$D$2:$D$622,MATCH(540,Engine!$C$2:$C$622,0)))</f>
        <v/>
      </c>
      <c r="E553">
        <f>IF(ISNA(MATCH(540,Engine!$C$2:$C$622,0)),"",INDEX('Compliance Database'!$E$2:$E$622,MATCH(540,Engine!$C$2:$C$622,0)))</f>
        <v/>
      </c>
      <c r="F553">
        <f>IF(ISNA(MATCH(540,Engine!$C$2:$C$622,0)),"",INDEX('Compliance Database'!$F$2:$F$622,MATCH(540,Engine!$C$2:$C$622,0)))</f>
        <v/>
      </c>
      <c r="G553">
        <f>IF(ISNA(MATCH(540,Engine!$C$2:$C$622,0)),"",INDEX('Compliance Database'!$G$2:$G$622,MATCH(540,Engine!$C$2:$C$622,0)))</f>
        <v/>
      </c>
      <c r="H553">
        <f>IF(ISNA(MATCH(540,Engine!$C$2:$C$622,0)),"",INDEX('Compliance Database'!$H$2:$H$622,MATCH(540,Engine!$C$2:$C$622,0)))</f>
        <v/>
      </c>
      <c r="I553" s="8">
        <f>IF(ISNA(MATCH(540,Engine!$C$2:$C$622,0)),"",INDEX('Compliance Database'!$I$2:$I$622,MATCH(540,Engine!$C$2:$C$622,0)))</f>
        <v/>
      </c>
      <c r="J553" s="8">
        <f>IF(ISNA(MATCH(540,Engine!$C$2:$C$622,0)),"",INDEX('Compliance Database'!$J$2:$J$622,MATCH(540,Engine!$C$2:$C$622,0)))</f>
        <v/>
      </c>
      <c r="K553">
        <f>IF(ISNA(MATCH(540,Engine!$C$2:$C$622,0)),"",INDEX('Compliance Database'!$K$2:$K$622,MATCH(540,Engine!$C$2:$C$622,0)))</f>
        <v/>
      </c>
      <c r="L553" s="8">
        <f>IF(ISNA(MATCH(540,Engine!$C$2:$C$622,0)),"",INDEX('Compliance Database'!$L$2:$L$622,MATCH(540,Engine!$C$2:$C$622,0)))</f>
        <v/>
      </c>
      <c r="M553" s="8">
        <f>IF(ISNA(MATCH(540,Engine!$C$2:$C$622,0)),"",INDEX('Compliance Database'!$M$2:$M$622,MATCH(540,Engine!$C$2:$C$622,0)))</f>
        <v/>
      </c>
      <c r="N553" s="8">
        <f>IF(ISNA(MATCH(540,Engine!$C$2:$C$622,0)),"",INDEX('Compliance Database'!$N$2:$N$622,MATCH(540,Engine!$C$2:$C$622,0)))</f>
        <v/>
      </c>
      <c r="O553" s="8">
        <f>IF(ISNA(MATCH(540,Engine!$C$2:$C$622,0)),"",INDEX('Compliance Database'!$O$2:$O$622,MATCH(540,Engine!$C$2:$C$622,0)))</f>
        <v/>
      </c>
    </row>
    <row r="554">
      <c r="A554">
        <f>IF(ISNA(MATCH(541,Engine!$C$2:$C$622,0)),"",INDEX('Compliance Database'!$A$2:$A$622,MATCH(541,Engine!$C$2:$C$622,0)))</f>
        <v/>
      </c>
      <c r="B554">
        <f>IF(ISNA(MATCH(541,Engine!$C$2:$C$622,0)),"",INDEX('Compliance Database'!$B$2:$B$622,MATCH(541,Engine!$C$2:$C$622,0)))</f>
        <v/>
      </c>
      <c r="C554">
        <f>IF(ISNA(MATCH(541,Engine!$C$2:$C$622,0)),"",INDEX('Compliance Database'!$C$2:$C$622,MATCH(541,Engine!$C$2:$C$622,0)))</f>
        <v/>
      </c>
      <c r="D554" s="8">
        <f>IF(ISNA(MATCH(541,Engine!$C$2:$C$622,0)),"",INDEX('Compliance Database'!$D$2:$D$622,MATCH(541,Engine!$C$2:$C$622,0)))</f>
        <v/>
      </c>
      <c r="E554">
        <f>IF(ISNA(MATCH(541,Engine!$C$2:$C$622,0)),"",INDEX('Compliance Database'!$E$2:$E$622,MATCH(541,Engine!$C$2:$C$622,0)))</f>
        <v/>
      </c>
      <c r="F554">
        <f>IF(ISNA(MATCH(541,Engine!$C$2:$C$622,0)),"",INDEX('Compliance Database'!$F$2:$F$622,MATCH(541,Engine!$C$2:$C$622,0)))</f>
        <v/>
      </c>
      <c r="G554">
        <f>IF(ISNA(MATCH(541,Engine!$C$2:$C$622,0)),"",INDEX('Compliance Database'!$G$2:$G$622,MATCH(541,Engine!$C$2:$C$622,0)))</f>
        <v/>
      </c>
      <c r="H554">
        <f>IF(ISNA(MATCH(541,Engine!$C$2:$C$622,0)),"",INDEX('Compliance Database'!$H$2:$H$622,MATCH(541,Engine!$C$2:$C$622,0)))</f>
        <v/>
      </c>
      <c r="I554" s="8">
        <f>IF(ISNA(MATCH(541,Engine!$C$2:$C$622,0)),"",INDEX('Compliance Database'!$I$2:$I$622,MATCH(541,Engine!$C$2:$C$622,0)))</f>
        <v/>
      </c>
      <c r="J554" s="8">
        <f>IF(ISNA(MATCH(541,Engine!$C$2:$C$622,0)),"",INDEX('Compliance Database'!$J$2:$J$622,MATCH(541,Engine!$C$2:$C$622,0)))</f>
        <v/>
      </c>
      <c r="K554">
        <f>IF(ISNA(MATCH(541,Engine!$C$2:$C$622,0)),"",INDEX('Compliance Database'!$K$2:$K$622,MATCH(541,Engine!$C$2:$C$622,0)))</f>
        <v/>
      </c>
      <c r="L554" s="8">
        <f>IF(ISNA(MATCH(541,Engine!$C$2:$C$622,0)),"",INDEX('Compliance Database'!$L$2:$L$622,MATCH(541,Engine!$C$2:$C$622,0)))</f>
        <v/>
      </c>
      <c r="M554" s="8">
        <f>IF(ISNA(MATCH(541,Engine!$C$2:$C$622,0)),"",INDEX('Compliance Database'!$M$2:$M$622,MATCH(541,Engine!$C$2:$C$622,0)))</f>
        <v/>
      </c>
      <c r="N554" s="8">
        <f>IF(ISNA(MATCH(541,Engine!$C$2:$C$622,0)),"",INDEX('Compliance Database'!$N$2:$N$622,MATCH(541,Engine!$C$2:$C$622,0)))</f>
        <v/>
      </c>
      <c r="O554" s="8">
        <f>IF(ISNA(MATCH(541,Engine!$C$2:$C$622,0)),"",INDEX('Compliance Database'!$O$2:$O$622,MATCH(541,Engine!$C$2:$C$622,0)))</f>
        <v/>
      </c>
    </row>
    <row r="555">
      <c r="A555">
        <f>IF(ISNA(MATCH(542,Engine!$C$2:$C$622,0)),"",INDEX('Compliance Database'!$A$2:$A$622,MATCH(542,Engine!$C$2:$C$622,0)))</f>
        <v/>
      </c>
      <c r="B555">
        <f>IF(ISNA(MATCH(542,Engine!$C$2:$C$622,0)),"",INDEX('Compliance Database'!$B$2:$B$622,MATCH(542,Engine!$C$2:$C$622,0)))</f>
        <v/>
      </c>
      <c r="C555">
        <f>IF(ISNA(MATCH(542,Engine!$C$2:$C$622,0)),"",INDEX('Compliance Database'!$C$2:$C$622,MATCH(542,Engine!$C$2:$C$622,0)))</f>
        <v/>
      </c>
      <c r="D555" s="8">
        <f>IF(ISNA(MATCH(542,Engine!$C$2:$C$622,0)),"",INDEX('Compliance Database'!$D$2:$D$622,MATCH(542,Engine!$C$2:$C$622,0)))</f>
        <v/>
      </c>
      <c r="E555">
        <f>IF(ISNA(MATCH(542,Engine!$C$2:$C$622,0)),"",INDEX('Compliance Database'!$E$2:$E$622,MATCH(542,Engine!$C$2:$C$622,0)))</f>
        <v/>
      </c>
      <c r="F555">
        <f>IF(ISNA(MATCH(542,Engine!$C$2:$C$622,0)),"",INDEX('Compliance Database'!$F$2:$F$622,MATCH(542,Engine!$C$2:$C$622,0)))</f>
        <v/>
      </c>
      <c r="G555">
        <f>IF(ISNA(MATCH(542,Engine!$C$2:$C$622,0)),"",INDEX('Compliance Database'!$G$2:$G$622,MATCH(542,Engine!$C$2:$C$622,0)))</f>
        <v/>
      </c>
      <c r="H555">
        <f>IF(ISNA(MATCH(542,Engine!$C$2:$C$622,0)),"",INDEX('Compliance Database'!$H$2:$H$622,MATCH(542,Engine!$C$2:$C$622,0)))</f>
        <v/>
      </c>
      <c r="I555" s="8">
        <f>IF(ISNA(MATCH(542,Engine!$C$2:$C$622,0)),"",INDEX('Compliance Database'!$I$2:$I$622,MATCH(542,Engine!$C$2:$C$622,0)))</f>
        <v/>
      </c>
      <c r="J555" s="8">
        <f>IF(ISNA(MATCH(542,Engine!$C$2:$C$622,0)),"",INDEX('Compliance Database'!$J$2:$J$622,MATCH(542,Engine!$C$2:$C$622,0)))</f>
        <v/>
      </c>
      <c r="K555">
        <f>IF(ISNA(MATCH(542,Engine!$C$2:$C$622,0)),"",INDEX('Compliance Database'!$K$2:$K$622,MATCH(542,Engine!$C$2:$C$622,0)))</f>
        <v/>
      </c>
      <c r="L555" s="8">
        <f>IF(ISNA(MATCH(542,Engine!$C$2:$C$622,0)),"",INDEX('Compliance Database'!$L$2:$L$622,MATCH(542,Engine!$C$2:$C$622,0)))</f>
        <v/>
      </c>
      <c r="M555" s="8">
        <f>IF(ISNA(MATCH(542,Engine!$C$2:$C$622,0)),"",INDEX('Compliance Database'!$M$2:$M$622,MATCH(542,Engine!$C$2:$C$622,0)))</f>
        <v/>
      </c>
      <c r="N555" s="8">
        <f>IF(ISNA(MATCH(542,Engine!$C$2:$C$622,0)),"",INDEX('Compliance Database'!$N$2:$N$622,MATCH(542,Engine!$C$2:$C$622,0)))</f>
        <v/>
      </c>
      <c r="O555" s="8">
        <f>IF(ISNA(MATCH(542,Engine!$C$2:$C$622,0)),"",INDEX('Compliance Database'!$O$2:$O$622,MATCH(542,Engine!$C$2:$C$622,0)))</f>
        <v/>
      </c>
    </row>
    <row r="556">
      <c r="A556">
        <f>IF(ISNA(MATCH(543,Engine!$C$2:$C$622,0)),"",INDEX('Compliance Database'!$A$2:$A$622,MATCH(543,Engine!$C$2:$C$622,0)))</f>
        <v/>
      </c>
      <c r="B556">
        <f>IF(ISNA(MATCH(543,Engine!$C$2:$C$622,0)),"",INDEX('Compliance Database'!$B$2:$B$622,MATCH(543,Engine!$C$2:$C$622,0)))</f>
        <v/>
      </c>
      <c r="C556">
        <f>IF(ISNA(MATCH(543,Engine!$C$2:$C$622,0)),"",INDEX('Compliance Database'!$C$2:$C$622,MATCH(543,Engine!$C$2:$C$622,0)))</f>
        <v/>
      </c>
      <c r="D556" s="8">
        <f>IF(ISNA(MATCH(543,Engine!$C$2:$C$622,0)),"",INDEX('Compliance Database'!$D$2:$D$622,MATCH(543,Engine!$C$2:$C$622,0)))</f>
        <v/>
      </c>
      <c r="E556">
        <f>IF(ISNA(MATCH(543,Engine!$C$2:$C$622,0)),"",INDEX('Compliance Database'!$E$2:$E$622,MATCH(543,Engine!$C$2:$C$622,0)))</f>
        <v/>
      </c>
      <c r="F556">
        <f>IF(ISNA(MATCH(543,Engine!$C$2:$C$622,0)),"",INDEX('Compliance Database'!$F$2:$F$622,MATCH(543,Engine!$C$2:$C$622,0)))</f>
        <v/>
      </c>
      <c r="G556">
        <f>IF(ISNA(MATCH(543,Engine!$C$2:$C$622,0)),"",INDEX('Compliance Database'!$G$2:$G$622,MATCH(543,Engine!$C$2:$C$622,0)))</f>
        <v/>
      </c>
      <c r="H556">
        <f>IF(ISNA(MATCH(543,Engine!$C$2:$C$622,0)),"",INDEX('Compliance Database'!$H$2:$H$622,MATCH(543,Engine!$C$2:$C$622,0)))</f>
        <v/>
      </c>
      <c r="I556" s="8">
        <f>IF(ISNA(MATCH(543,Engine!$C$2:$C$622,0)),"",INDEX('Compliance Database'!$I$2:$I$622,MATCH(543,Engine!$C$2:$C$622,0)))</f>
        <v/>
      </c>
      <c r="J556" s="8">
        <f>IF(ISNA(MATCH(543,Engine!$C$2:$C$622,0)),"",INDEX('Compliance Database'!$J$2:$J$622,MATCH(543,Engine!$C$2:$C$622,0)))</f>
        <v/>
      </c>
      <c r="K556">
        <f>IF(ISNA(MATCH(543,Engine!$C$2:$C$622,0)),"",INDEX('Compliance Database'!$K$2:$K$622,MATCH(543,Engine!$C$2:$C$622,0)))</f>
        <v/>
      </c>
      <c r="L556" s="8">
        <f>IF(ISNA(MATCH(543,Engine!$C$2:$C$622,0)),"",INDEX('Compliance Database'!$L$2:$L$622,MATCH(543,Engine!$C$2:$C$622,0)))</f>
        <v/>
      </c>
      <c r="M556" s="8">
        <f>IF(ISNA(MATCH(543,Engine!$C$2:$C$622,0)),"",INDEX('Compliance Database'!$M$2:$M$622,MATCH(543,Engine!$C$2:$C$622,0)))</f>
        <v/>
      </c>
      <c r="N556" s="8">
        <f>IF(ISNA(MATCH(543,Engine!$C$2:$C$622,0)),"",INDEX('Compliance Database'!$N$2:$N$622,MATCH(543,Engine!$C$2:$C$622,0)))</f>
        <v/>
      </c>
      <c r="O556" s="8">
        <f>IF(ISNA(MATCH(543,Engine!$C$2:$C$622,0)),"",INDEX('Compliance Database'!$O$2:$O$622,MATCH(543,Engine!$C$2:$C$622,0)))</f>
        <v/>
      </c>
    </row>
    <row r="557">
      <c r="A557">
        <f>IF(ISNA(MATCH(544,Engine!$C$2:$C$622,0)),"",INDEX('Compliance Database'!$A$2:$A$622,MATCH(544,Engine!$C$2:$C$622,0)))</f>
        <v/>
      </c>
      <c r="B557">
        <f>IF(ISNA(MATCH(544,Engine!$C$2:$C$622,0)),"",INDEX('Compliance Database'!$B$2:$B$622,MATCH(544,Engine!$C$2:$C$622,0)))</f>
        <v/>
      </c>
      <c r="C557">
        <f>IF(ISNA(MATCH(544,Engine!$C$2:$C$622,0)),"",INDEX('Compliance Database'!$C$2:$C$622,MATCH(544,Engine!$C$2:$C$622,0)))</f>
        <v/>
      </c>
      <c r="D557" s="8">
        <f>IF(ISNA(MATCH(544,Engine!$C$2:$C$622,0)),"",INDEX('Compliance Database'!$D$2:$D$622,MATCH(544,Engine!$C$2:$C$622,0)))</f>
        <v/>
      </c>
      <c r="E557">
        <f>IF(ISNA(MATCH(544,Engine!$C$2:$C$622,0)),"",INDEX('Compliance Database'!$E$2:$E$622,MATCH(544,Engine!$C$2:$C$622,0)))</f>
        <v/>
      </c>
      <c r="F557">
        <f>IF(ISNA(MATCH(544,Engine!$C$2:$C$622,0)),"",INDEX('Compliance Database'!$F$2:$F$622,MATCH(544,Engine!$C$2:$C$622,0)))</f>
        <v/>
      </c>
      <c r="G557">
        <f>IF(ISNA(MATCH(544,Engine!$C$2:$C$622,0)),"",INDEX('Compliance Database'!$G$2:$G$622,MATCH(544,Engine!$C$2:$C$622,0)))</f>
        <v/>
      </c>
      <c r="H557">
        <f>IF(ISNA(MATCH(544,Engine!$C$2:$C$622,0)),"",INDEX('Compliance Database'!$H$2:$H$622,MATCH(544,Engine!$C$2:$C$622,0)))</f>
        <v/>
      </c>
      <c r="I557" s="8">
        <f>IF(ISNA(MATCH(544,Engine!$C$2:$C$622,0)),"",INDEX('Compliance Database'!$I$2:$I$622,MATCH(544,Engine!$C$2:$C$622,0)))</f>
        <v/>
      </c>
      <c r="J557" s="8">
        <f>IF(ISNA(MATCH(544,Engine!$C$2:$C$622,0)),"",INDEX('Compliance Database'!$J$2:$J$622,MATCH(544,Engine!$C$2:$C$622,0)))</f>
        <v/>
      </c>
      <c r="K557">
        <f>IF(ISNA(MATCH(544,Engine!$C$2:$C$622,0)),"",INDEX('Compliance Database'!$K$2:$K$622,MATCH(544,Engine!$C$2:$C$622,0)))</f>
        <v/>
      </c>
      <c r="L557" s="8">
        <f>IF(ISNA(MATCH(544,Engine!$C$2:$C$622,0)),"",INDEX('Compliance Database'!$L$2:$L$622,MATCH(544,Engine!$C$2:$C$622,0)))</f>
        <v/>
      </c>
      <c r="M557" s="8">
        <f>IF(ISNA(MATCH(544,Engine!$C$2:$C$622,0)),"",INDEX('Compliance Database'!$M$2:$M$622,MATCH(544,Engine!$C$2:$C$622,0)))</f>
        <v/>
      </c>
      <c r="N557" s="8">
        <f>IF(ISNA(MATCH(544,Engine!$C$2:$C$622,0)),"",INDEX('Compliance Database'!$N$2:$N$622,MATCH(544,Engine!$C$2:$C$622,0)))</f>
        <v/>
      </c>
      <c r="O557" s="8">
        <f>IF(ISNA(MATCH(544,Engine!$C$2:$C$622,0)),"",INDEX('Compliance Database'!$O$2:$O$622,MATCH(544,Engine!$C$2:$C$622,0)))</f>
        <v/>
      </c>
    </row>
    <row r="558">
      <c r="A558">
        <f>IF(ISNA(MATCH(545,Engine!$C$2:$C$622,0)),"",INDEX('Compliance Database'!$A$2:$A$622,MATCH(545,Engine!$C$2:$C$622,0)))</f>
        <v/>
      </c>
      <c r="B558">
        <f>IF(ISNA(MATCH(545,Engine!$C$2:$C$622,0)),"",INDEX('Compliance Database'!$B$2:$B$622,MATCH(545,Engine!$C$2:$C$622,0)))</f>
        <v/>
      </c>
      <c r="C558">
        <f>IF(ISNA(MATCH(545,Engine!$C$2:$C$622,0)),"",INDEX('Compliance Database'!$C$2:$C$622,MATCH(545,Engine!$C$2:$C$622,0)))</f>
        <v/>
      </c>
      <c r="D558" s="8">
        <f>IF(ISNA(MATCH(545,Engine!$C$2:$C$622,0)),"",INDEX('Compliance Database'!$D$2:$D$622,MATCH(545,Engine!$C$2:$C$622,0)))</f>
        <v/>
      </c>
      <c r="E558">
        <f>IF(ISNA(MATCH(545,Engine!$C$2:$C$622,0)),"",INDEX('Compliance Database'!$E$2:$E$622,MATCH(545,Engine!$C$2:$C$622,0)))</f>
        <v/>
      </c>
      <c r="F558">
        <f>IF(ISNA(MATCH(545,Engine!$C$2:$C$622,0)),"",INDEX('Compliance Database'!$F$2:$F$622,MATCH(545,Engine!$C$2:$C$622,0)))</f>
        <v/>
      </c>
      <c r="G558">
        <f>IF(ISNA(MATCH(545,Engine!$C$2:$C$622,0)),"",INDEX('Compliance Database'!$G$2:$G$622,MATCH(545,Engine!$C$2:$C$622,0)))</f>
        <v/>
      </c>
      <c r="H558">
        <f>IF(ISNA(MATCH(545,Engine!$C$2:$C$622,0)),"",INDEX('Compliance Database'!$H$2:$H$622,MATCH(545,Engine!$C$2:$C$622,0)))</f>
        <v/>
      </c>
      <c r="I558" s="8">
        <f>IF(ISNA(MATCH(545,Engine!$C$2:$C$622,0)),"",INDEX('Compliance Database'!$I$2:$I$622,MATCH(545,Engine!$C$2:$C$622,0)))</f>
        <v/>
      </c>
      <c r="J558" s="8">
        <f>IF(ISNA(MATCH(545,Engine!$C$2:$C$622,0)),"",INDEX('Compliance Database'!$J$2:$J$622,MATCH(545,Engine!$C$2:$C$622,0)))</f>
        <v/>
      </c>
      <c r="K558">
        <f>IF(ISNA(MATCH(545,Engine!$C$2:$C$622,0)),"",INDEX('Compliance Database'!$K$2:$K$622,MATCH(545,Engine!$C$2:$C$622,0)))</f>
        <v/>
      </c>
      <c r="L558" s="8">
        <f>IF(ISNA(MATCH(545,Engine!$C$2:$C$622,0)),"",INDEX('Compliance Database'!$L$2:$L$622,MATCH(545,Engine!$C$2:$C$622,0)))</f>
        <v/>
      </c>
      <c r="M558" s="8">
        <f>IF(ISNA(MATCH(545,Engine!$C$2:$C$622,0)),"",INDEX('Compliance Database'!$M$2:$M$622,MATCH(545,Engine!$C$2:$C$622,0)))</f>
        <v/>
      </c>
      <c r="N558" s="8">
        <f>IF(ISNA(MATCH(545,Engine!$C$2:$C$622,0)),"",INDEX('Compliance Database'!$N$2:$N$622,MATCH(545,Engine!$C$2:$C$622,0)))</f>
        <v/>
      </c>
      <c r="O558" s="8">
        <f>IF(ISNA(MATCH(545,Engine!$C$2:$C$622,0)),"",INDEX('Compliance Database'!$O$2:$O$622,MATCH(545,Engine!$C$2:$C$622,0)))</f>
        <v/>
      </c>
    </row>
    <row r="559">
      <c r="A559">
        <f>IF(ISNA(MATCH(546,Engine!$C$2:$C$622,0)),"",INDEX('Compliance Database'!$A$2:$A$622,MATCH(546,Engine!$C$2:$C$622,0)))</f>
        <v/>
      </c>
      <c r="B559">
        <f>IF(ISNA(MATCH(546,Engine!$C$2:$C$622,0)),"",INDEX('Compliance Database'!$B$2:$B$622,MATCH(546,Engine!$C$2:$C$622,0)))</f>
        <v/>
      </c>
      <c r="C559">
        <f>IF(ISNA(MATCH(546,Engine!$C$2:$C$622,0)),"",INDEX('Compliance Database'!$C$2:$C$622,MATCH(546,Engine!$C$2:$C$622,0)))</f>
        <v/>
      </c>
      <c r="D559" s="8">
        <f>IF(ISNA(MATCH(546,Engine!$C$2:$C$622,0)),"",INDEX('Compliance Database'!$D$2:$D$622,MATCH(546,Engine!$C$2:$C$622,0)))</f>
        <v/>
      </c>
      <c r="E559">
        <f>IF(ISNA(MATCH(546,Engine!$C$2:$C$622,0)),"",INDEX('Compliance Database'!$E$2:$E$622,MATCH(546,Engine!$C$2:$C$622,0)))</f>
        <v/>
      </c>
      <c r="F559">
        <f>IF(ISNA(MATCH(546,Engine!$C$2:$C$622,0)),"",INDEX('Compliance Database'!$F$2:$F$622,MATCH(546,Engine!$C$2:$C$622,0)))</f>
        <v/>
      </c>
      <c r="G559">
        <f>IF(ISNA(MATCH(546,Engine!$C$2:$C$622,0)),"",INDEX('Compliance Database'!$G$2:$G$622,MATCH(546,Engine!$C$2:$C$622,0)))</f>
        <v/>
      </c>
      <c r="H559">
        <f>IF(ISNA(MATCH(546,Engine!$C$2:$C$622,0)),"",INDEX('Compliance Database'!$H$2:$H$622,MATCH(546,Engine!$C$2:$C$622,0)))</f>
        <v/>
      </c>
      <c r="I559" s="8">
        <f>IF(ISNA(MATCH(546,Engine!$C$2:$C$622,0)),"",INDEX('Compliance Database'!$I$2:$I$622,MATCH(546,Engine!$C$2:$C$622,0)))</f>
        <v/>
      </c>
      <c r="J559" s="8">
        <f>IF(ISNA(MATCH(546,Engine!$C$2:$C$622,0)),"",INDEX('Compliance Database'!$J$2:$J$622,MATCH(546,Engine!$C$2:$C$622,0)))</f>
        <v/>
      </c>
      <c r="K559">
        <f>IF(ISNA(MATCH(546,Engine!$C$2:$C$622,0)),"",INDEX('Compliance Database'!$K$2:$K$622,MATCH(546,Engine!$C$2:$C$622,0)))</f>
        <v/>
      </c>
      <c r="L559" s="8">
        <f>IF(ISNA(MATCH(546,Engine!$C$2:$C$622,0)),"",INDEX('Compliance Database'!$L$2:$L$622,MATCH(546,Engine!$C$2:$C$622,0)))</f>
        <v/>
      </c>
      <c r="M559" s="8">
        <f>IF(ISNA(MATCH(546,Engine!$C$2:$C$622,0)),"",INDEX('Compliance Database'!$M$2:$M$622,MATCH(546,Engine!$C$2:$C$622,0)))</f>
        <v/>
      </c>
      <c r="N559" s="8">
        <f>IF(ISNA(MATCH(546,Engine!$C$2:$C$622,0)),"",INDEX('Compliance Database'!$N$2:$N$622,MATCH(546,Engine!$C$2:$C$622,0)))</f>
        <v/>
      </c>
      <c r="O559" s="8">
        <f>IF(ISNA(MATCH(546,Engine!$C$2:$C$622,0)),"",INDEX('Compliance Database'!$O$2:$O$622,MATCH(546,Engine!$C$2:$C$622,0)))</f>
        <v/>
      </c>
    </row>
    <row r="560">
      <c r="A560">
        <f>IF(ISNA(MATCH(547,Engine!$C$2:$C$622,0)),"",INDEX('Compliance Database'!$A$2:$A$622,MATCH(547,Engine!$C$2:$C$622,0)))</f>
        <v/>
      </c>
      <c r="B560">
        <f>IF(ISNA(MATCH(547,Engine!$C$2:$C$622,0)),"",INDEX('Compliance Database'!$B$2:$B$622,MATCH(547,Engine!$C$2:$C$622,0)))</f>
        <v/>
      </c>
      <c r="C560">
        <f>IF(ISNA(MATCH(547,Engine!$C$2:$C$622,0)),"",INDEX('Compliance Database'!$C$2:$C$622,MATCH(547,Engine!$C$2:$C$622,0)))</f>
        <v/>
      </c>
      <c r="D560" s="8">
        <f>IF(ISNA(MATCH(547,Engine!$C$2:$C$622,0)),"",INDEX('Compliance Database'!$D$2:$D$622,MATCH(547,Engine!$C$2:$C$622,0)))</f>
        <v/>
      </c>
      <c r="E560">
        <f>IF(ISNA(MATCH(547,Engine!$C$2:$C$622,0)),"",INDEX('Compliance Database'!$E$2:$E$622,MATCH(547,Engine!$C$2:$C$622,0)))</f>
        <v/>
      </c>
      <c r="F560">
        <f>IF(ISNA(MATCH(547,Engine!$C$2:$C$622,0)),"",INDEX('Compliance Database'!$F$2:$F$622,MATCH(547,Engine!$C$2:$C$622,0)))</f>
        <v/>
      </c>
      <c r="G560">
        <f>IF(ISNA(MATCH(547,Engine!$C$2:$C$622,0)),"",INDEX('Compliance Database'!$G$2:$G$622,MATCH(547,Engine!$C$2:$C$622,0)))</f>
        <v/>
      </c>
      <c r="H560">
        <f>IF(ISNA(MATCH(547,Engine!$C$2:$C$622,0)),"",INDEX('Compliance Database'!$H$2:$H$622,MATCH(547,Engine!$C$2:$C$622,0)))</f>
        <v/>
      </c>
      <c r="I560" s="8">
        <f>IF(ISNA(MATCH(547,Engine!$C$2:$C$622,0)),"",INDEX('Compliance Database'!$I$2:$I$622,MATCH(547,Engine!$C$2:$C$622,0)))</f>
        <v/>
      </c>
      <c r="J560" s="8">
        <f>IF(ISNA(MATCH(547,Engine!$C$2:$C$622,0)),"",INDEX('Compliance Database'!$J$2:$J$622,MATCH(547,Engine!$C$2:$C$622,0)))</f>
        <v/>
      </c>
      <c r="K560">
        <f>IF(ISNA(MATCH(547,Engine!$C$2:$C$622,0)),"",INDEX('Compliance Database'!$K$2:$K$622,MATCH(547,Engine!$C$2:$C$622,0)))</f>
        <v/>
      </c>
      <c r="L560" s="8">
        <f>IF(ISNA(MATCH(547,Engine!$C$2:$C$622,0)),"",INDEX('Compliance Database'!$L$2:$L$622,MATCH(547,Engine!$C$2:$C$622,0)))</f>
        <v/>
      </c>
      <c r="M560" s="8">
        <f>IF(ISNA(MATCH(547,Engine!$C$2:$C$622,0)),"",INDEX('Compliance Database'!$M$2:$M$622,MATCH(547,Engine!$C$2:$C$622,0)))</f>
        <v/>
      </c>
      <c r="N560" s="8">
        <f>IF(ISNA(MATCH(547,Engine!$C$2:$C$622,0)),"",INDEX('Compliance Database'!$N$2:$N$622,MATCH(547,Engine!$C$2:$C$622,0)))</f>
        <v/>
      </c>
      <c r="O560" s="8">
        <f>IF(ISNA(MATCH(547,Engine!$C$2:$C$622,0)),"",INDEX('Compliance Database'!$O$2:$O$622,MATCH(547,Engine!$C$2:$C$622,0)))</f>
        <v/>
      </c>
    </row>
    <row r="561">
      <c r="A561">
        <f>IF(ISNA(MATCH(548,Engine!$C$2:$C$622,0)),"",INDEX('Compliance Database'!$A$2:$A$622,MATCH(548,Engine!$C$2:$C$622,0)))</f>
        <v/>
      </c>
      <c r="B561">
        <f>IF(ISNA(MATCH(548,Engine!$C$2:$C$622,0)),"",INDEX('Compliance Database'!$B$2:$B$622,MATCH(548,Engine!$C$2:$C$622,0)))</f>
        <v/>
      </c>
      <c r="C561">
        <f>IF(ISNA(MATCH(548,Engine!$C$2:$C$622,0)),"",INDEX('Compliance Database'!$C$2:$C$622,MATCH(548,Engine!$C$2:$C$622,0)))</f>
        <v/>
      </c>
      <c r="D561" s="8">
        <f>IF(ISNA(MATCH(548,Engine!$C$2:$C$622,0)),"",INDEX('Compliance Database'!$D$2:$D$622,MATCH(548,Engine!$C$2:$C$622,0)))</f>
        <v/>
      </c>
      <c r="E561">
        <f>IF(ISNA(MATCH(548,Engine!$C$2:$C$622,0)),"",INDEX('Compliance Database'!$E$2:$E$622,MATCH(548,Engine!$C$2:$C$622,0)))</f>
        <v/>
      </c>
      <c r="F561">
        <f>IF(ISNA(MATCH(548,Engine!$C$2:$C$622,0)),"",INDEX('Compliance Database'!$F$2:$F$622,MATCH(548,Engine!$C$2:$C$622,0)))</f>
        <v/>
      </c>
      <c r="G561">
        <f>IF(ISNA(MATCH(548,Engine!$C$2:$C$622,0)),"",INDEX('Compliance Database'!$G$2:$G$622,MATCH(548,Engine!$C$2:$C$622,0)))</f>
        <v/>
      </c>
      <c r="H561">
        <f>IF(ISNA(MATCH(548,Engine!$C$2:$C$622,0)),"",INDEX('Compliance Database'!$H$2:$H$622,MATCH(548,Engine!$C$2:$C$622,0)))</f>
        <v/>
      </c>
      <c r="I561" s="8">
        <f>IF(ISNA(MATCH(548,Engine!$C$2:$C$622,0)),"",INDEX('Compliance Database'!$I$2:$I$622,MATCH(548,Engine!$C$2:$C$622,0)))</f>
        <v/>
      </c>
      <c r="J561" s="8">
        <f>IF(ISNA(MATCH(548,Engine!$C$2:$C$622,0)),"",INDEX('Compliance Database'!$J$2:$J$622,MATCH(548,Engine!$C$2:$C$622,0)))</f>
        <v/>
      </c>
      <c r="K561">
        <f>IF(ISNA(MATCH(548,Engine!$C$2:$C$622,0)),"",INDEX('Compliance Database'!$K$2:$K$622,MATCH(548,Engine!$C$2:$C$622,0)))</f>
        <v/>
      </c>
      <c r="L561" s="8">
        <f>IF(ISNA(MATCH(548,Engine!$C$2:$C$622,0)),"",INDEX('Compliance Database'!$L$2:$L$622,MATCH(548,Engine!$C$2:$C$622,0)))</f>
        <v/>
      </c>
      <c r="M561" s="8">
        <f>IF(ISNA(MATCH(548,Engine!$C$2:$C$622,0)),"",INDEX('Compliance Database'!$M$2:$M$622,MATCH(548,Engine!$C$2:$C$622,0)))</f>
        <v/>
      </c>
      <c r="N561" s="8">
        <f>IF(ISNA(MATCH(548,Engine!$C$2:$C$622,0)),"",INDEX('Compliance Database'!$N$2:$N$622,MATCH(548,Engine!$C$2:$C$622,0)))</f>
        <v/>
      </c>
      <c r="O561" s="8">
        <f>IF(ISNA(MATCH(548,Engine!$C$2:$C$622,0)),"",INDEX('Compliance Database'!$O$2:$O$622,MATCH(548,Engine!$C$2:$C$622,0)))</f>
        <v/>
      </c>
    </row>
    <row r="562">
      <c r="A562">
        <f>IF(ISNA(MATCH(549,Engine!$C$2:$C$622,0)),"",INDEX('Compliance Database'!$A$2:$A$622,MATCH(549,Engine!$C$2:$C$622,0)))</f>
        <v/>
      </c>
      <c r="B562">
        <f>IF(ISNA(MATCH(549,Engine!$C$2:$C$622,0)),"",INDEX('Compliance Database'!$B$2:$B$622,MATCH(549,Engine!$C$2:$C$622,0)))</f>
        <v/>
      </c>
      <c r="C562">
        <f>IF(ISNA(MATCH(549,Engine!$C$2:$C$622,0)),"",INDEX('Compliance Database'!$C$2:$C$622,MATCH(549,Engine!$C$2:$C$622,0)))</f>
        <v/>
      </c>
      <c r="D562" s="8">
        <f>IF(ISNA(MATCH(549,Engine!$C$2:$C$622,0)),"",INDEX('Compliance Database'!$D$2:$D$622,MATCH(549,Engine!$C$2:$C$622,0)))</f>
        <v/>
      </c>
      <c r="E562">
        <f>IF(ISNA(MATCH(549,Engine!$C$2:$C$622,0)),"",INDEX('Compliance Database'!$E$2:$E$622,MATCH(549,Engine!$C$2:$C$622,0)))</f>
        <v/>
      </c>
      <c r="F562">
        <f>IF(ISNA(MATCH(549,Engine!$C$2:$C$622,0)),"",INDEX('Compliance Database'!$F$2:$F$622,MATCH(549,Engine!$C$2:$C$622,0)))</f>
        <v/>
      </c>
      <c r="G562">
        <f>IF(ISNA(MATCH(549,Engine!$C$2:$C$622,0)),"",INDEX('Compliance Database'!$G$2:$G$622,MATCH(549,Engine!$C$2:$C$622,0)))</f>
        <v/>
      </c>
      <c r="H562">
        <f>IF(ISNA(MATCH(549,Engine!$C$2:$C$622,0)),"",INDEX('Compliance Database'!$H$2:$H$622,MATCH(549,Engine!$C$2:$C$622,0)))</f>
        <v/>
      </c>
      <c r="I562" s="8">
        <f>IF(ISNA(MATCH(549,Engine!$C$2:$C$622,0)),"",INDEX('Compliance Database'!$I$2:$I$622,MATCH(549,Engine!$C$2:$C$622,0)))</f>
        <v/>
      </c>
      <c r="J562" s="8">
        <f>IF(ISNA(MATCH(549,Engine!$C$2:$C$622,0)),"",INDEX('Compliance Database'!$J$2:$J$622,MATCH(549,Engine!$C$2:$C$622,0)))</f>
        <v/>
      </c>
      <c r="K562">
        <f>IF(ISNA(MATCH(549,Engine!$C$2:$C$622,0)),"",INDEX('Compliance Database'!$K$2:$K$622,MATCH(549,Engine!$C$2:$C$622,0)))</f>
        <v/>
      </c>
      <c r="L562" s="8">
        <f>IF(ISNA(MATCH(549,Engine!$C$2:$C$622,0)),"",INDEX('Compliance Database'!$L$2:$L$622,MATCH(549,Engine!$C$2:$C$622,0)))</f>
        <v/>
      </c>
      <c r="M562" s="8">
        <f>IF(ISNA(MATCH(549,Engine!$C$2:$C$622,0)),"",INDEX('Compliance Database'!$M$2:$M$622,MATCH(549,Engine!$C$2:$C$622,0)))</f>
        <v/>
      </c>
      <c r="N562" s="8">
        <f>IF(ISNA(MATCH(549,Engine!$C$2:$C$622,0)),"",INDEX('Compliance Database'!$N$2:$N$622,MATCH(549,Engine!$C$2:$C$622,0)))</f>
        <v/>
      </c>
      <c r="O562" s="8">
        <f>IF(ISNA(MATCH(549,Engine!$C$2:$C$622,0)),"",INDEX('Compliance Database'!$O$2:$O$622,MATCH(549,Engine!$C$2:$C$622,0)))</f>
        <v/>
      </c>
    </row>
    <row r="563">
      <c r="A563">
        <f>IF(ISNA(MATCH(550,Engine!$C$2:$C$622,0)),"",INDEX('Compliance Database'!$A$2:$A$622,MATCH(550,Engine!$C$2:$C$622,0)))</f>
        <v/>
      </c>
      <c r="B563">
        <f>IF(ISNA(MATCH(550,Engine!$C$2:$C$622,0)),"",INDEX('Compliance Database'!$B$2:$B$622,MATCH(550,Engine!$C$2:$C$622,0)))</f>
        <v/>
      </c>
      <c r="C563">
        <f>IF(ISNA(MATCH(550,Engine!$C$2:$C$622,0)),"",INDEX('Compliance Database'!$C$2:$C$622,MATCH(550,Engine!$C$2:$C$622,0)))</f>
        <v/>
      </c>
      <c r="D563" s="8">
        <f>IF(ISNA(MATCH(550,Engine!$C$2:$C$622,0)),"",INDEX('Compliance Database'!$D$2:$D$622,MATCH(550,Engine!$C$2:$C$622,0)))</f>
        <v/>
      </c>
      <c r="E563">
        <f>IF(ISNA(MATCH(550,Engine!$C$2:$C$622,0)),"",INDEX('Compliance Database'!$E$2:$E$622,MATCH(550,Engine!$C$2:$C$622,0)))</f>
        <v/>
      </c>
      <c r="F563">
        <f>IF(ISNA(MATCH(550,Engine!$C$2:$C$622,0)),"",INDEX('Compliance Database'!$F$2:$F$622,MATCH(550,Engine!$C$2:$C$622,0)))</f>
        <v/>
      </c>
      <c r="G563">
        <f>IF(ISNA(MATCH(550,Engine!$C$2:$C$622,0)),"",INDEX('Compliance Database'!$G$2:$G$622,MATCH(550,Engine!$C$2:$C$622,0)))</f>
        <v/>
      </c>
      <c r="H563">
        <f>IF(ISNA(MATCH(550,Engine!$C$2:$C$622,0)),"",INDEX('Compliance Database'!$H$2:$H$622,MATCH(550,Engine!$C$2:$C$622,0)))</f>
        <v/>
      </c>
      <c r="I563" s="8">
        <f>IF(ISNA(MATCH(550,Engine!$C$2:$C$622,0)),"",INDEX('Compliance Database'!$I$2:$I$622,MATCH(550,Engine!$C$2:$C$622,0)))</f>
        <v/>
      </c>
      <c r="J563" s="8">
        <f>IF(ISNA(MATCH(550,Engine!$C$2:$C$622,0)),"",INDEX('Compliance Database'!$J$2:$J$622,MATCH(550,Engine!$C$2:$C$622,0)))</f>
        <v/>
      </c>
      <c r="K563">
        <f>IF(ISNA(MATCH(550,Engine!$C$2:$C$622,0)),"",INDEX('Compliance Database'!$K$2:$K$622,MATCH(550,Engine!$C$2:$C$622,0)))</f>
        <v/>
      </c>
      <c r="L563" s="8">
        <f>IF(ISNA(MATCH(550,Engine!$C$2:$C$622,0)),"",INDEX('Compliance Database'!$L$2:$L$622,MATCH(550,Engine!$C$2:$C$622,0)))</f>
        <v/>
      </c>
      <c r="M563" s="8">
        <f>IF(ISNA(MATCH(550,Engine!$C$2:$C$622,0)),"",INDEX('Compliance Database'!$M$2:$M$622,MATCH(550,Engine!$C$2:$C$622,0)))</f>
        <v/>
      </c>
      <c r="N563" s="8">
        <f>IF(ISNA(MATCH(550,Engine!$C$2:$C$622,0)),"",INDEX('Compliance Database'!$N$2:$N$622,MATCH(550,Engine!$C$2:$C$622,0)))</f>
        <v/>
      </c>
      <c r="O563" s="8">
        <f>IF(ISNA(MATCH(550,Engine!$C$2:$C$622,0)),"",INDEX('Compliance Database'!$O$2:$O$622,MATCH(550,Engine!$C$2:$C$622,0)))</f>
        <v/>
      </c>
    </row>
    <row r="564">
      <c r="A564">
        <f>IF(ISNA(MATCH(551,Engine!$C$2:$C$622,0)),"",INDEX('Compliance Database'!$A$2:$A$622,MATCH(551,Engine!$C$2:$C$622,0)))</f>
        <v/>
      </c>
      <c r="B564">
        <f>IF(ISNA(MATCH(551,Engine!$C$2:$C$622,0)),"",INDEX('Compliance Database'!$B$2:$B$622,MATCH(551,Engine!$C$2:$C$622,0)))</f>
        <v/>
      </c>
      <c r="C564">
        <f>IF(ISNA(MATCH(551,Engine!$C$2:$C$622,0)),"",INDEX('Compliance Database'!$C$2:$C$622,MATCH(551,Engine!$C$2:$C$622,0)))</f>
        <v/>
      </c>
      <c r="D564" s="8">
        <f>IF(ISNA(MATCH(551,Engine!$C$2:$C$622,0)),"",INDEX('Compliance Database'!$D$2:$D$622,MATCH(551,Engine!$C$2:$C$622,0)))</f>
        <v/>
      </c>
      <c r="E564">
        <f>IF(ISNA(MATCH(551,Engine!$C$2:$C$622,0)),"",INDEX('Compliance Database'!$E$2:$E$622,MATCH(551,Engine!$C$2:$C$622,0)))</f>
        <v/>
      </c>
      <c r="F564">
        <f>IF(ISNA(MATCH(551,Engine!$C$2:$C$622,0)),"",INDEX('Compliance Database'!$F$2:$F$622,MATCH(551,Engine!$C$2:$C$622,0)))</f>
        <v/>
      </c>
      <c r="G564">
        <f>IF(ISNA(MATCH(551,Engine!$C$2:$C$622,0)),"",INDEX('Compliance Database'!$G$2:$G$622,MATCH(551,Engine!$C$2:$C$622,0)))</f>
        <v/>
      </c>
      <c r="H564">
        <f>IF(ISNA(MATCH(551,Engine!$C$2:$C$622,0)),"",INDEX('Compliance Database'!$H$2:$H$622,MATCH(551,Engine!$C$2:$C$622,0)))</f>
        <v/>
      </c>
      <c r="I564" s="8">
        <f>IF(ISNA(MATCH(551,Engine!$C$2:$C$622,0)),"",INDEX('Compliance Database'!$I$2:$I$622,MATCH(551,Engine!$C$2:$C$622,0)))</f>
        <v/>
      </c>
      <c r="J564" s="8">
        <f>IF(ISNA(MATCH(551,Engine!$C$2:$C$622,0)),"",INDEX('Compliance Database'!$J$2:$J$622,MATCH(551,Engine!$C$2:$C$622,0)))</f>
        <v/>
      </c>
      <c r="K564">
        <f>IF(ISNA(MATCH(551,Engine!$C$2:$C$622,0)),"",INDEX('Compliance Database'!$K$2:$K$622,MATCH(551,Engine!$C$2:$C$622,0)))</f>
        <v/>
      </c>
      <c r="L564" s="8">
        <f>IF(ISNA(MATCH(551,Engine!$C$2:$C$622,0)),"",INDEX('Compliance Database'!$L$2:$L$622,MATCH(551,Engine!$C$2:$C$622,0)))</f>
        <v/>
      </c>
      <c r="M564" s="8">
        <f>IF(ISNA(MATCH(551,Engine!$C$2:$C$622,0)),"",INDEX('Compliance Database'!$M$2:$M$622,MATCH(551,Engine!$C$2:$C$622,0)))</f>
        <v/>
      </c>
      <c r="N564" s="8">
        <f>IF(ISNA(MATCH(551,Engine!$C$2:$C$622,0)),"",INDEX('Compliance Database'!$N$2:$N$622,MATCH(551,Engine!$C$2:$C$622,0)))</f>
        <v/>
      </c>
      <c r="O564" s="8">
        <f>IF(ISNA(MATCH(551,Engine!$C$2:$C$622,0)),"",INDEX('Compliance Database'!$O$2:$O$622,MATCH(551,Engine!$C$2:$C$622,0)))</f>
        <v/>
      </c>
    </row>
    <row r="565">
      <c r="A565">
        <f>IF(ISNA(MATCH(552,Engine!$C$2:$C$622,0)),"",INDEX('Compliance Database'!$A$2:$A$622,MATCH(552,Engine!$C$2:$C$622,0)))</f>
        <v/>
      </c>
      <c r="B565">
        <f>IF(ISNA(MATCH(552,Engine!$C$2:$C$622,0)),"",INDEX('Compliance Database'!$B$2:$B$622,MATCH(552,Engine!$C$2:$C$622,0)))</f>
        <v/>
      </c>
      <c r="C565">
        <f>IF(ISNA(MATCH(552,Engine!$C$2:$C$622,0)),"",INDEX('Compliance Database'!$C$2:$C$622,MATCH(552,Engine!$C$2:$C$622,0)))</f>
        <v/>
      </c>
      <c r="D565" s="8">
        <f>IF(ISNA(MATCH(552,Engine!$C$2:$C$622,0)),"",INDEX('Compliance Database'!$D$2:$D$622,MATCH(552,Engine!$C$2:$C$622,0)))</f>
        <v/>
      </c>
      <c r="E565">
        <f>IF(ISNA(MATCH(552,Engine!$C$2:$C$622,0)),"",INDEX('Compliance Database'!$E$2:$E$622,MATCH(552,Engine!$C$2:$C$622,0)))</f>
        <v/>
      </c>
      <c r="F565">
        <f>IF(ISNA(MATCH(552,Engine!$C$2:$C$622,0)),"",INDEX('Compliance Database'!$F$2:$F$622,MATCH(552,Engine!$C$2:$C$622,0)))</f>
        <v/>
      </c>
      <c r="G565">
        <f>IF(ISNA(MATCH(552,Engine!$C$2:$C$622,0)),"",INDEX('Compliance Database'!$G$2:$G$622,MATCH(552,Engine!$C$2:$C$622,0)))</f>
        <v/>
      </c>
      <c r="H565">
        <f>IF(ISNA(MATCH(552,Engine!$C$2:$C$622,0)),"",INDEX('Compliance Database'!$H$2:$H$622,MATCH(552,Engine!$C$2:$C$622,0)))</f>
        <v/>
      </c>
      <c r="I565" s="8">
        <f>IF(ISNA(MATCH(552,Engine!$C$2:$C$622,0)),"",INDEX('Compliance Database'!$I$2:$I$622,MATCH(552,Engine!$C$2:$C$622,0)))</f>
        <v/>
      </c>
      <c r="J565" s="8">
        <f>IF(ISNA(MATCH(552,Engine!$C$2:$C$622,0)),"",INDEX('Compliance Database'!$J$2:$J$622,MATCH(552,Engine!$C$2:$C$622,0)))</f>
        <v/>
      </c>
      <c r="K565">
        <f>IF(ISNA(MATCH(552,Engine!$C$2:$C$622,0)),"",INDEX('Compliance Database'!$K$2:$K$622,MATCH(552,Engine!$C$2:$C$622,0)))</f>
        <v/>
      </c>
      <c r="L565" s="8">
        <f>IF(ISNA(MATCH(552,Engine!$C$2:$C$622,0)),"",INDEX('Compliance Database'!$L$2:$L$622,MATCH(552,Engine!$C$2:$C$622,0)))</f>
        <v/>
      </c>
      <c r="M565" s="8">
        <f>IF(ISNA(MATCH(552,Engine!$C$2:$C$622,0)),"",INDEX('Compliance Database'!$M$2:$M$622,MATCH(552,Engine!$C$2:$C$622,0)))</f>
        <v/>
      </c>
      <c r="N565" s="8">
        <f>IF(ISNA(MATCH(552,Engine!$C$2:$C$622,0)),"",INDEX('Compliance Database'!$N$2:$N$622,MATCH(552,Engine!$C$2:$C$622,0)))</f>
        <v/>
      </c>
      <c r="O565" s="8">
        <f>IF(ISNA(MATCH(552,Engine!$C$2:$C$622,0)),"",INDEX('Compliance Database'!$O$2:$O$622,MATCH(552,Engine!$C$2:$C$622,0)))</f>
        <v/>
      </c>
    </row>
    <row r="566">
      <c r="A566">
        <f>IF(ISNA(MATCH(553,Engine!$C$2:$C$622,0)),"",INDEX('Compliance Database'!$A$2:$A$622,MATCH(553,Engine!$C$2:$C$622,0)))</f>
        <v/>
      </c>
      <c r="B566">
        <f>IF(ISNA(MATCH(553,Engine!$C$2:$C$622,0)),"",INDEX('Compliance Database'!$B$2:$B$622,MATCH(553,Engine!$C$2:$C$622,0)))</f>
        <v/>
      </c>
      <c r="C566">
        <f>IF(ISNA(MATCH(553,Engine!$C$2:$C$622,0)),"",INDEX('Compliance Database'!$C$2:$C$622,MATCH(553,Engine!$C$2:$C$622,0)))</f>
        <v/>
      </c>
      <c r="D566" s="8">
        <f>IF(ISNA(MATCH(553,Engine!$C$2:$C$622,0)),"",INDEX('Compliance Database'!$D$2:$D$622,MATCH(553,Engine!$C$2:$C$622,0)))</f>
        <v/>
      </c>
      <c r="E566">
        <f>IF(ISNA(MATCH(553,Engine!$C$2:$C$622,0)),"",INDEX('Compliance Database'!$E$2:$E$622,MATCH(553,Engine!$C$2:$C$622,0)))</f>
        <v/>
      </c>
      <c r="F566">
        <f>IF(ISNA(MATCH(553,Engine!$C$2:$C$622,0)),"",INDEX('Compliance Database'!$F$2:$F$622,MATCH(553,Engine!$C$2:$C$622,0)))</f>
        <v/>
      </c>
      <c r="G566">
        <f>IF(ISNA(MATCH(553,Engine!$C$2:$C$622,0)),"",INDEX('Compliance Database'!$G$2:$G$622,MATCH(553,Engine!$C$2:$C$622,0)))</f>
        <v/>
      </c>
      <c r="H566">
        <f>IF(ISNA(MATCH(553,Engine!$C$2:$C$622,0)),"",INDEX('Compliance Database'!$H$2:$H$622,MATCH(553,Engine!$C$2:$C$622,0)))</f>
        <v/>
      </c>
      <c r="I566" s="8">
        <f>IF(ISNA(MATCH(553,Engine!$C$2:$C$622,0)),"",INDEX('Compliance Database'!$I$2:$I$622,MATCH(553,Engine!$C$2:$C$622,0)))</f>
        <v/>
      </c>
      <c r="J566" s="8">
        <f>IF(ISNA(MATCH(553,Engine!$C$2:$C$622,0)),"",INDEX('Compliance Database'!$J$2:$J$622,MATCH(553,Engine!$C$2:$C$622,0)))</f>
        <v/>
      </c>
      <c r="K566">
        <f>IF(ISNA(MATCH(553,Engine!$C$2:$C$622,0)),"",INDEX('Compliance Database'!$K$2:$K$622,MATCH(553,Engine!$C$2:$C$622,0)))</f>
        <v/>
      </c>
      <c r="L566" s="8">
        <f>IF(ISNA(MATCH(553,Engine!$C$2:$C$622,0)),"",INDEX('Compliance Database'!$L$2:$L$622,MATCH(553,Engine!$C$2:$C$622,0)))</f>
        <v/>
      </c>
      <c r="M566" s="8">
        <f>IF(ISNA(MATCH(553,Engine!$C$2:$C$622,0)),"",INDEX('Compliance Database'!$M$2:$M$622,MATCH(553,Engine!$C$2:$C$622,0)))</f>
        <v/>
      </c>
      <c r="N566" s="8">
        <f>IF(ISNA(MATCH(553,Engine!$C$2:$C$622,0)),"",INDEX('Compliance Database'!$N$2:$N$622,MATCH(553,Engine!$C$2:$C$622,0)))</f>
        <v/>
      </c>
      <c r="O566" s="8">
        <f>IF(ISNA(MATCH(553,Engine!$C$2:$C$622,0)),"",INDEX('Compliance Database'!$O$2:$O$622,MATCH(553,Engine!$C$2:$C$622,0)))</f>
        <v/>
      </c>
    </row>
    <row r="567">
      <c r="A567">
        <f>IF(ISNA(MATCH(554,Engine!$C$2:$C$622,0)),"",INDEX('Compliance Database'!$A$2:$A$622,MATCH(554,Engine!$C$2:$C$622,0)))</f>
        <v/>
      </c>
      <c r="B567">
        <f>IF(ISNA(MATCH(554,Engine!$C$2:$C$622,0)),"",INDEX('Compliance Database'!$B$2:$B$622,MATCH(554,Engine!$C$2:$C$622,0)))</f>
        <v/>
      </c>
      <c r="C567">
        <f>IF(ISNA(MATCH(554,Engine!$C$2:$C$622,0)),"",INDEX('Compliance Database'!$C$2:$C$622,MATCH(554,Engine!$C$2:$C$622,0)))</f>
        <v/>
      </c>
      <c r="D567" s="8">
        <f>IF(ISNA(MATCH(554,Engine!$C$2:$C$622,0)),"",INDEX('Compliance Database'!$D$2:$D$622,MATCH(554,Engine!$C$2:$C$622,0)))</f>
        <v/>
      </c>
      <c r="E567">
        <f>IF(ISNA(MATCH(554,Engine!$C$2:$C$622,0)),"",INDEX('Compliance Database'!$E$2:$E$622,MATCH(554,Engine!$C$2:$C$622,0)))</f>
        <v/>
      </c>
      <c r="F567">
        <f>IF(ISNA(MATCH(554,Engine!$C$2:$C$622,0)),"",INDEX('Compliance Database'!$F$2:$F$622,MATCH(554,Engine!$C$2:$C$622,0)))</f>
        <v/>
      </c>
      <c r="G567">
        <f>IF(ISNA(MATCH(554,Engine!$C$2:$C$622,0)),"",INDEX('Compliance Database'!$G$2:$G$622,MATCH(554,Engine!$C$2:$C$622,0)))</f>
        <v/>
      </c>
      <c r="H567">
        <f>IF(ISNA(MATCH(554,Engine!$C$2:$C$622,0)),"",INDEX('Compliance Database'!$H$2:$H$622,MATCH(554,Engine!$C$2:$C$622,0)))</f>
        <v/>
      </c>
      <c r="I567" s="8">
        <f>IF(ISNA(MATCH(554,Engine!$C$2:$C$622,0)),"",INDEX('Compliance Database'!$I$2:$I$622,MATCH(554,Engine!$C$2:$C$622,0)))</f>
        <v/>
      </c>
      <c r="J567" s="8">
        <f>IF(ISNA(MATCH(554,Engine!$C$2:$C$622,0)),"",INDEX('Compliance Database'!$J$2:$J$622,MATCH(554,Engine!$C$2:$C$622,0)))</f>
        <v/>
      </c>
      <c r="K567">
        <f>IF(ISNA(MATCH(554,Engine!$C$2:$C$622,0)),"",INDEX('Compliance Database'!$K$2:$K$622,MATCH(554,Engine!$C$2:$C$622,0)))</f>
        <v/>
      </c>
      <c r="L567" s="8">
        <f>IF(ISNA(MATCH(554,Engine!$C$2:$C$622,0)),"",INDEX('Compliance Database'!$L$2:$L$622,MATCH(554,Engine!$C$2:$C$622,0)))</f>
        <v/>
      </c>
      <c r="M567" s="8">
        <f>IF(ISNA(MATCH(554,Engine!$C$2:$C$622,0)),"",INDEX('Compliance Database'!$M$2:$M$622,MATCH(554,Engine!$C$2:$C$622,0)))</f>
        <v/>
      </c>
      <c r="N567" s="8">
        <f>IF(ISNA(MATCH(554,Engine!$C$2:$C$622,0)),"",INDEX('Compliance Database'!$N$2:$N$622,MATCH(554,Engine!$C$2:$C$622,0)))</f>
        <v/>
      </c>
      <c r="O567" s="8">
        <f>IF(ISNA(MATCH(554,Engine!$C$2:$C$622,0)),"",INDEX('Compliance Database'!$O$2:$O$622,MATCH(554,Engine!$C$2:$C$622,0)))</f>
        <v/>
      </c>
    </row>
    <row r="568">
      <c r="A568">
        <f>IF(ISNA(MATCH(555,Engine!$C$2:$C$622,0)),"",INDEX('Compliance Database'!$A$2:$A$622,MATCH(555,Engine!$C$2:$C$622,0)))</f>
        <v/>
      </c>
      <c r="B568">
        <f>IF(ISNA(MATCH(555,Engine!$C$2:$C$622,0)),"",INDEX('Compliance Database'!$B$2:$B$622,MATCH(555,Engine!$C$2:$C$622,0)))</f>
        <v/>
      </c>
      <c r="C568">
        <f>IF(ISNA(MATCH(555,Engine!$C$2:$C$622,0)),"",INDEX('Compliance Database'!$C$2:$C$622,MATCH(555,Engine!$C$2:$C$622,0)))</f>
        <v/>
      </c>
      <c r="D568" s="8">
        <f>IF(ISNA(MATCH(555,Engine!$C$2:$C$622,0)),"",INDEX('Compliance Database'!$D$2:$D$622,MATCH(555,Engine!$C$2:$C$622,0)))</f>
        <v/>
      </c>
      <c r="E568">
        <f>IF(ISNA(MATCH(555,Engine!$C$2:$C$622,0)),"",INDEX('Compliance Database'!$E$2:$E$622,MATCH(555,Engine!$C$2:$C$622,0)))</f>
        <v/>
      </c>
      <c r="F568">
        <f>IF(ISNA(MATCH(555,Engine!$C$2:$C$622,0)),"",INDEX('Compliance Database'!$F$2:$F$622,MATCH(555,Engine!$C$2:$C$622,0)))</f>
        <v/>
      </c>
      <c r="G568">
        <f>IF(ISNA(MATCH(555,Engine!$C$2:$C$622,0)),"",INDEX('Compliance Database'!$G$2:$G$622,MATCH(555,Engine!$C$2:$C$622,0)))</f>
        <v/>
      </c>
      <c r="H568">
        <f>IF(ISNA(MATCH(555,Engine!$C$2:$C$622,0)),"",INDEX('Compliance Database'!$H$2:$H$622,MATCH(555,Engine!$C$2:$C$622,0)))</f>
        <v/>
      </c>
      <c r="I568" s="8">
        <f>IF(ISNA(MATCH(555,Engine!$C$2:$C$622,0)),"",INDEX('Compliance Database'!$I$2:$I$622,MATCH(555,Engine!$C$2:$C$622,0)))</f>
        <v/>
      </c>
      <c r="J568" s="8">
        <f>IF(ISNA(MATCH(555,Engine!$C$2:$C$622,0)),"",INDEX('Compliance Database'!$J$2:$J$622,MATCH(555,Engine!$C$2:$C$622,0)))</f>
        <v/>
      </c>
      <c r="K568">
        <f>IF(ISNA(MATCH(555,Engine!$C$2:$C$622,0)),"",INDEX('Compliance Database'!$K$2:$K$622,MATCH(555,Engine!$C$2:$C$622,0)))</f>
        <v/>
      </c>
      <c r="L568" s="8">
        <f>IF(ISNA(MATCH(555,Engine!$C$2:$C$622,0)),"",INDEX('Compliance Database'!$L$2:$L$622,MATCH(555,Engine!$C$2:$C$622,0)))</f>
        <v/>
      </c>
      <c r="M568" s="8">
        <f>IF(ISNA(MATCH(555,Engine!$C$2:$C$622,0)),"",INDEX('Compliance Database'!$M$2:$M$622,MATCH(555,Engine!$C$2:$C$622,0)))</f>
        <v/>
      </c>
      <c r="N568" s="8">
        <f>IF(ISNA(MATCH(555,Engine!$C$2:$C$622,0)),"",INDEX('Compliance Database'!$N$2:$N$622,MATCH(555,Engine!$C$2:$C$622,0)))</f>
        <v/>
      </c>
      <c r="O568" s="8">
        <f>IF(ISNA(MATCH(555,Engine!$C$2:$C$622,0)),"",INDEX('Compliance Database'!$O$2:$O$622,MATCH(555,Engine!$C$2:$C$622,0)))</f>
        <v/>
      </c>
    </row>
    <row r="569">
      <c r="A569">
        <f>IF(ISNA(MATCH(556,Engine!$C$2:$C$622,0)),"",INDEX('Compliance Database'!$A$2:$A$622,MATCH(556,Engine!$C$2:$C$622,0)))</f>
        <v/>
      </c>
      <c r="B569">
        <f>IF(ISNA(MATCH(556,Engine!$C$2:$C$622,0)),"",INDEX('Compliance Database'!$B$2:$B$622,MATCH(556,Engine!$C$2:$C$622,0)))</f>
        <v/>
      </c>
      <c r="C569">
        <f>IF(ISNA(MATCH(556,Engine!$C$2:$C$622,0)),"",INDEX('Compliance Database'!$C$2:$C$622,MATCH(556,Engine!$C$2:$C$622,0)))</f>
        <v/>
      </c>
      <c r="D569" s="8">
        <f>IF(ISNA(MATCH(556,Engine!$C$2:$C$622,0)),"",INDEX('Compliance Database'!$D$2:$D$622,MATCH(556,Engine!$C$2:$C$622,0)))</f>
        <v/>
      </c>
      <c r="E569">
        <f>IF(ISNA(MATCH(556,Engine!$C$2:$C$622,0)),"",INDEX('Compliance Database'!$E$2:$E$622,MATCH(556,Engine!$C$2:$C$622,0)))</f>
        <v/>
      </c>
      <c r="F569">
        <f>IF(ISNA(MATCH(556,Engine!$C$2:$C$622,0)),"",INDEX('Compliance Database'!$F$2:$F$622,MATCH(556,Engine!$C$2:$C$622,0)))</f>
        <v/>
      </c>
      <c r="G569">
        <f>IF(ISNA(MATCH(556,Engine!$C$2:$C$622,0)),"",INDEX('Compliance Database'!$G$2:$G$622,MATCH(556,Engine!$C$2:$C$622,0)))</f>
        <v/>
      </c>
      <c r="H569">
        <f>IF(ISNA(MATCH(556,Engine!$C$2:$C$622,0)),"",INDEX('Compliance Database'!$H$2:$H$622,MATCH(556,Engine!$C$2:$C$622,0)))</f>
        <v/>
      </c>
      <c r="I569" s="8">
        <f>IF(ISNA(MATCH(556,Engine!$C$2:$C$622,0)),"",INDEX('Compliance Database'!$I$2:$I$622,MATCH(556,Engine!$C$2:$C$622,0)))</f>
        <v/>
      </c>
      <c r="J569" s="8">
        <f>IF(ISNA(MATCH(556,Engine!$C$2:$C$622,0)),"",INDEX('Compliance Database'!$J$2:$J$622,MATCH(556,Engine!$C$2:$C$622,0)))</f>
        <v/>
      </c>
      <c r="K569">
        <f>IF(ISNA(MATCH(556,Engine!$C$2:$C$622,0)),"",INDEX('Compliance Database'!$K$2:$K$622,MATCH(556,Engine!$C$2:$C$622,0)))</f>
        <v/>
      </c>
      <c r="L569" s="8">
        <f>IF(ISNA(MATCH(556,Engine!$C$2:$C$622,0)),"",INDEX('Compliance Database'!$L$2:$L$622,MATCH(556,Engine!$C$2:$C$622,0)))</f>
        <v/>
      </c>
      <c r="M569" s="8">
        <f>IF(ISNA(MATCH(556,Engine!$C$2:$C$622,0)),"",INDEX('Compliance Database'!$M$2:$M$622,MATCH(556,Engine!$C$2:$C$622,0)))</f>
        <v/>
      </c>
      <c r="N569" s="8">
        <f>IF(ISNA(MATCH(556,Engine!$C$2:$C$622,0)),"",INDEX('Compliance Database'!$N$2:$N$622,MATCH(556,Engine!$C$2:$C$622,0)))</f>
        <v/>
      </c>
      <c r="O569" s="8">
        <f>IF(ISNA(MATCH(556,Engine!$C$2:$C$622,0)),"",INDEX('Compliance Database'!$O$2:$O$622,MATCH(556,Engine!$C$2:$C$622,0)))</f>
        <v/>
      </c>
    </row>
    <row r="570">
      <c r="A570">
        <f>IF(ISNA(MATCH(557,Engine!$C$2:$C$622,0)),"",INDEX('Compliance Database'!$A$2:$A$622,MATCH(557,Engine!$C$2:$C$622,0)))</f>
        <v/>
      </c>
      <c r="B570">
        <f>IF(ISNA(MATCH(557,Engine!$C$2:$C$622,0)),"",INDEX('Compliance Database'!$B$2:$B$622,MATCH(557,Engine!$C$2:$C$622,0)))</f>
        <v/>
      </c>
      <c r="C570">
        <f>IF(ISNA(MATCH(557,Engine!$C$2:$C$622,0)),"",INDEX('Compliance Database'!$C$2:$C$622,MATCH(557,Engine!$C$2:$C$622,0)))</f>
        <v/>
      </c>
      <c r="D570" s="8">
        <f>IF(ISNA(MATCH(557,Engine!$C$2:$C$622,0)),"",INDEX('Compliance Database'!$D$2:$D$622,MATCH(557,Engine!$C$2:$C$622,0)))</f>
        <v/>
      </c>
      <c r="E570">
        <f>IF(ISNA(MATCH(557,Engine!$C$2:$C$622,0)),"",INDEX('Compliance Database'!$E$2:$E$622,MATCH(557,Engine!$C$2:$C$622,0)))</f>
        <v/>
      </c>
      <c r="F570">
        <f>IF(ISNA(MATCH(557,Engine!$C$2:$C$622,0)),"",INDEX('Compliance Database'!$F$2:$F$622,MATCH(557,Engine!$C$2:$C$622,0)))</f>
        <v/>
      </c>
      <c r="G570">
        <f>IF(ISNA(MATCH(557,Engine!$C$2:$C$622,0)),"",INDEX('Compliance Database'!$G$2:$G$622,MATCH(557,Engine!$C$2:$C$622,0)))</f>
        <v/>
      </c>
      <c r="H570">
        <f>IF(ISNA(MATCH(557,Engine!$C$2:$C$622,0)),"",INDEX('Compliance Database'!$H$2:$H$622,MATCH(557,Engine!$C$2:$C$622,0)))</f>
        <v/>
      </c>
      <c r="I570" s="8">
        <f>IF(ISNA(MATCH(557,Engine!$C$2:$C$622,0)),"",INDEX('Compliance Database'!$I$2:$I$622,MATCH(557,Engine!$C$2:$C$622,0)))</f>
        <v/>
      </c>
      <c r="J570" s="8">
        <f>IF(ISNA(MATCH(557,Engine!$C$2:$C$622,0)),"",INDEX('Compliance Database'!$J$2:$J$622,MATCH(557,Engine!$C$2:$C$622,0)))</f>
        <v/>
      </c>
      <c r="K570">
        <f>IF(ISNA(MATCH(557,Engine!$C$2:$C$622,0)),"",INDEX('Compliance Database'!$K$2:$K$622,MATCH(557,Engine!$C$2:$C$622,0)))</f>
        <v/>
      </c>
      <c r="L570" s="8">
        <f>IF(ISNA(MATCH(557,Engine!$C$2:$C$622,0)),"",INDEX('Compliance Database'!$L$2:$L$622,MATCH(557,Engine!$C$2:$C$622,0)))</f>
        <v/>
      </c>
      <c r="M570" s="8">
        <f>IF(ISNA(MATCH(557,Engine!$C$2:$C$622,0)),"",INDEX('Compliance Database'!$M$2:$M$622,MATCH(557,Engine!$C$2:$C$622,0)))</f>
        <v/>
      </c>
      <c r="N570" s="8">
        <f>IF(ISNA(MATCH(557,Engine!$C$2:$C$622,0)),"",INDEX('Compliance Database'!$N$2:$N$622,MATCH(557,Engine!$C$2:$C$622,0)))</f>
        <v/>
      </c>
      <c r="O570" s="8">
        <f>IF(ISNA(MATCH(557,Engine!$C$2:$C$622,0)),"",INDEX('Compliance Database'!$O$2:$O$622,MATCH(557,Engine!$C$2:$C$622,0)))</f>
        <v/>
      </c>
    </row>
    <row r="571">
      <c r="A571">
        <f>IF(ISNA(MATCH(558,Engine!$C$2:$C$622,0)),"",INDEX('Compliance Database'!$A$2:$A$622,MATCH(558,Engine!$C$2:$C$622,0)))</f>
        <v/>
      </c>
      <c r="B571">
        <f>IF(ISNA(MATCH(558,Engine!$C$2:$C$622,0)),"",INDEX('Compliance Database'!$B$2:$B$622,MATCH(558,Engine!$C$2:$C$622,0)))</f>
        <v/>
      </c>
      <c r="C571">
        <f>IF(ISNA(MATCH(558,Engine!$C$2:$C$622,0)),"",INDEX('Compliance Database'!$C$2:$C$622,MATCH(558,Engine!$C$2:$C$622,0)))</f>
        <v/>
      </c>
      <c r="D571" s="8">
        <f>IF(ISNA(MATCH(558,Engine!$C$2:$C$622,0)),"",INDEX('Compliance Database'!$D$2:$D$622,MATCH(558,Engine!$C$2:$C$622,0)))</f>
        <v/>
      </c>
      <c r="E571">
        <f>IF(ISNA(MATCH(558,Engine!$C$2:$C$622,0)),"",INDEX('Compliance Database'!$E$2:$E$622,MATCH(558,Engine!$C$2:$C$622,0)))</f>
        <v/>
      </c>
      <c r="F571">
        <f>IF(ISNA(MATCH(558,Engine!$C$2:$C$622,0)),"",INDEX('Compliance Database'!$F$2:$F$622,MATCH(558,Engine!$C$2:$C$622,0)))</f>
        <v/>
      </c>
      <c r="G571">
        <f>IF(ISNA(MATCH(558,Engine!$C$2:$C$622,0)),"",INDEX('Compliance Database'!$G$2:$G$622,MATCH(558,Engine!$C$2:$C$622,0)))</f>
        <v/>
      </c>
      <c r="H571">
        <f>IF(ISNA(MATCH(558,Engine!$C$2:$C$622,0)),"",INDEX('Compliance Database'!$H$2:$H$622,MATCH(558,Engine!$C$2:$C$622,0)))</f>
        <v/>
      </c>
      <c r="I571" s="8">
        <f>IF(ISNA(MATCH(558,Engine!$C$2:$C$622,0)),"",INDEX('Compliance Database'!$I$2:$I$622,MATCH(558,Engine!$C$2:$C$622,0)))</f>
        <v/>
      </c>
      <c r="J571" s="8">
        <f>IF(ISNA(MATCH(558,Engine!$C$2:$C$622,0)),"",INDEX('Compliance Database'!$J$2:$J$622,MATCH(558,Engine!$C$2:$C$622,0)))</f>
        <v/>
      </c>
      <c r="K571">
        <f>IF(ISNA(MATCH(558,Engine!$C$2:$C$622,0)),"",INDEX('Compliance Database'!$K$2:$K$622,MATCH(558,Engine!$C$2:$C$622,0)))</f>
        <v/>
      </c>
      <c r="L571" s="8">
        <f>IF(ISNA(MATCH(558,Engine!$C$2:$C$622,0)),"",INDEX('Compliance Database'!$L$2:$L$622,MATCH(558,Engine!$C$2:$C$622,0)))</f>
        <v/>
      </c>
      <c r="M571" s="8">
        <f>IF(ISNA(MATCH(558,Engine!$C$2:$C$622,0)),"",INDEX('Compliance Database'!$M$2:$M$622,MATCH(558,Engine!$C$2:$C$622,0)))</f>
        <v/>
      </c>
      <c r="N571" s="8">
        <f>IF(ISNA(MATCH(558,Engine!$C$2:$C$622,0)),"",INDEX('Compliance Database'!$N$2:$N$622,MATCH(558,Engine!$C$2:$C$622,0)))</f>
        <v/>
      </c>
      <c r="O571" s="8">
        <f>IF(ISNA(MATCH(558,Engine!$C$2:$C$622,0)),"",INDEX('Compliance Database'!$O$2:$O$622,MATCH(558,Engine!$C$2:$C$622,0)))</f>
        <v/>
      </c>
    </row>
    <row r="572">
      <c r="A572">
        <f>IF(ISNA(MATCH(559,Engine!$C$2:$C$622,0)),"",INDEX('Compliance Database'!$A$2:$A$622,MATCH(559,Engine!$C$2:$C$622,0)))</f>
        <v/>
      </c>
      <c r="B572">
        <f>IF(ISNA(MATCH(559,Engine!$C$2:$C$622,0)),"",INDEX('Compliance Database'!$B$2:$B$622,MATCH(559,Engine!$C$2:$C$622,0)))</f>
        <v/>
      </c>
      <c r="C572">
        <f>IF(ISNA(MATCH(559,Engine!$C$2:$C$622,0)),"",INDEX('Compliance Database'!$C$2:$C$622,MATCH(559,Engine!$C$2:$C$622,0)))</f>
        <v/>
      </c>
      <c r="D572" s="8">
        <f>IF(ISNA(MATCH(559,Engine!$C$2:$C$622,0)),"",INDEX('Compliance Database'!$D$2:$D$622,MATCH(559,Engine!$C$2:$C$622,0)))</f>
        <v/>
      </c>
      <c r="E572">
        <f>IF(ISNA(MATCH(559,Engine!$C$2:$C$622,0)),"",INDEX('Compliance Database'!$E$2:$E$622,MATCH(559,Engine!$C$2:$C$622,0)))</f>
        <v/>
      </c>
      <c r="F572">
        <f>IF(ISNA(MATCH(559,Engine!$C$2:$C$622,0)),"",INDEX('Compliance Database'!$F$2:$F$622,MATCH(559,Engine!$C$2:$C$622,0)))</f>
        <v/>
      </c>
      <c r="G572">
        <f>IF(ISNA(MATCH(559,Engine!$C$2:$C$622,0)),"",INDEX('Compliance Database'!$G$2:$G$622,MATCH(559,Engine!$C$2:$C$622,0)))</f>
        <v/>
      </c>
      <c r="H572">
        <f>IF(ISNA(MATCH(559,Engine!$C$2:$C$622,0)),"",INDEX('Compliance Database'!$H$2:$H$622,MATCH(559,Engine!$C$2:$C$622,0)))</f>
        <v/>
      </c>
      <c r="I572" s="8">
        <f>IF(ISNA(MATCH(559,Engine!$C$2:$C$622,0)),"",INDEX('Compliance Database'!$I$2:$I$622,MATCH(559,Engine!$C$2:$C$622,0)))</f>
        <v/>
      </c>
      <c r="J572" s="8">
        <f>IF(ISNA(MATCH(559,Engine!$C$2:$C$622,0)),"",INDEX('Compliance Database'!$J$2:$J$622,MATCH(559,Engine!$C$2:$C$622,0)))</f>
        <v/>
      </c>
      <c r="K572">
        <f>IF(ISNA(MATCH(559,Engine!$C$2:$C$622,0)),"",INDEX('Compliance Database'!$K$2:$K$622,MATCH(559,Engine!$C$2:$C$622,0)))</f>
        <v/>
      </c>
      <c r="L572" s="8">
        <f>IF(ISNA(MATCH(559,Engine!$C$2:$C$622,0)),"",INDEX('Compliance Database'!$L$2:$L$622,MATCH(559,Engine!$C$2:$C$622,0)))</f>
        <v/>
      </c>
      <c r="M572" s="8">
        <f>IF(ISNA(MATCH(559,Engine!$C$2:$C$622,0)),"",INDEX('Compliance Database'!$M$2:$M$622,MATCH(559,Engine!$C$2:$C$622,0)))</f>
        <v/>
      </c>
      <c r="N572" s="8">
        <f>IF(ISNA(MATCH(559,Engine!$C$2:$C$622,0)),"",INDEX('Compliance Database'!$N$2:$N$622,MATCH(559,Engine!$C$2:$C$622,0)))</f>
        <v/>
      </c>
      <c r="O572" s="8">
        <f>IF(ISNA(MATCH(559,Engine!$C$2:$C$622,0)),"",INDEX('Compliance Database'!$O$2:$O$622,MATCH(559,Engine!$C$2:$C$622,0)))</f>
        <v/>
      </c>
    </row>
    <row r="573">
      <c r="A573">
        <f>IF(ISNA(MATCH(560,Engine!$C$2:$C$622,0)),"",INDEX('Compliance Database'!$A$2:$A$622,MATCH(560,Engine!$C$2:$C$622,0)))</f>
        <v/>
      </c>
      <c r="B573">
        <f>IF(ISNA(MATCH(560,Engine!$C$2:$C$622,0)),"",INDEX('Compliance Database'!$B$2:$B$622,MATCH(560,Engine!$C$2:$C$622,0)))</f>
        <v/>
      </c>
      <c r="C573">
        <f>IF(ISNA(MATCH(560,Engine!$C$2:$C$622,0)),"",INDEX('Compliance Database'!$C$2:$C$622,MATCH(560,Engine!$C$2:$C$622,0)))</f>
        <v/>
      </c>
      <c r="D573" s="8">
        <f>IF(ISNA(MATCH(560,Engine!$C$2:$C$622,0)),"",INDEX('Compliance Database'!$D$2:$D$622,MATCH(560,Engine!$C$2:$C$622,0)))</f>
        <v/>
      </c>
      <c r="E573">
        <f>IF(ISNA(MATCH(560,Engine!$C$2:$C$622,0)),"",INDEX('Compliance Database'!$E$2:$E$622,MATCH(560,Engine!$C$2:$C$622,0)))</f>
        <v/>
      </c>
      <c r="F573">
        <f>IF(ISNA(MATCH(560,Engine!$C$2:$C$622,0)),"",INDEX('Compliance Database'!$F$2:$F$622,MATCH(560,Engine!$C$2:$C$622,0)))</f>
        <v/>
      </c>
      <c r="G573">
        <f>IF(ISNA(MATCH(560,Engine!$C$2:$C$622,0)),"",INDEX('Compliance Database'!$G$2:$G$622,MATCH(560,Engine!$C$2:$C$622,0)))</f>
        <v/>
      </c>
      <c r="H573">
        <f>IF(ISNA(MATCH(560,Engine!$C$2:$C$622,0)),"",INDEX('Compliance Database'!$H$2:$H$622,MATCH(560,Engine!$C$2:$C$622,0)))</f>
        <v/>
      </c>
      <c r="I573" s="8">
        <f>IF(ISNA(MATCH(560,Engine!$C$2:$C$622,0)),"",INDEX('Compliance Database'!$I$2:$I$622,MATCH(560,Engine!$C$2:$C$622,0)))</f>
        <v/>
      </c>
      <c r="J573" s="8">
        <f>IF(ISNA(MATCH(560,Engine!$C$2:$C$622,0)),"",INDEX('Compliance Database'!$J$2:$J$622,MATCH(560,Engine!$C$2:$C$622,0)))</f>
        <v/>
      </c>
      <c r="K573">
        <f>IF(ISNA(MATCH(560,Engine!$C$2:$C$622,0)),"",INDEX('Compliance Database'!$K$2:$K$622,MATCH(560,Engine!$C$2:$C$622,0)))</f>
        <v/>
      </c>
      <c r="L573" s="8">
        <f>IF(ISNA(MATCH(560,Engine!$C$2:$C$622,0)),"",INDEX('Compliance Database'!$L$2:$L$622,MATCH(560,Engine!$C$2:$C$622,0)))</f>
        <v/>
      </c>
      <c r="M573" s="8">
        <f>IF(ISNA(MATCH(560,Engine!$C$2:$C$622,0)),"",INDEX('Compliance Database'!$M$2:$M$622,MATCH(560,Engine!$C$2:$C$622,0)))</f>
        <v/>
      </c>
      <c r="N573" s="8">
        <f>IF(ISNA(MATCH(560,Engine!$C$2:$C$622,0)),"",INDEX('Compliance Database'!$N$2:$N$622,MATCH(560,Engine!$C$2:$C$622,0)))</f>
        <v/>
      </c>
      <c r="O573" s="8">
        <f>IF(ISNA(MATCH(560,Engine!$C$2:$C$622,0)),"",INDEX('Compliance Database'!$O$2:$O$622,MATCH(560,Engine!$C$2:$C$622,0)))</f>
        <v/>
      </c>
    </row>
    <row r="574">
      <c r="A574">
        <f>IF(ISNA(MATCH(561,Engine!$C$2:$C$622,0)),"",INDEX('Compliance Database'!$A$2:$A$622,MATCH(561,Engine!$C$2:$C$622,0)))</f>
        <v/>
      </c>
      <c r="B574">
        <f>IF(ISNA(MATCH(561,Engine!$C$2:$C$622,0)),"",INDEX('Compliance Database'!$B$2:$B$622,MATCH(561,Engine!$C$2:$C$622,0)))</f>
        <v/>
      </c>
      <c r="C574">
        <f>IF(ISNA(MATCH(561,Engine!$C$2:$C$622,0)),"",INDEX('Compliance Database'!$C$2:$C$622,MATCH(561,Engine!$C$2:$C$622,0)))</f>
        <v/>
      </c>
      <c r="D574" s="8">
        <f>IF(ISNA(MATCH(561,Engine!$C$2:$C$622,0)),"",INDEX('Compliance Database'!$D$2:$D$622,MATCH(561,Engine!$C$2:$C$622,0)))</f>
        <v/>
      </c>
      <c r="E574">
        <f>IF(ISNA(MATCH(561,Engine!$C$2:$C$622,0)),"",INDEX('Compliance Database'!$E$2:$E$622,MATCH(561,Engine!$C$2:$C$622,0)))</f>
        <v/>
      </c>
      <c r="F574">
        <f>IF(ISNA(MATCH(561,Engine!$C$2:$C$622,0)),"",INDEX('Compliance Database'!$F$2:$F$622,MATCH(561,Engine!$C$2:$C$622,0)))</f>
        <v/>
      </c>
      <c r="G574">
        <f>IF(ISNA(MATCH(561,Engine!$C$2:$C$622,0)),"",INDEX('Compliance Database'!$G$2:$G$622,MATCH(561,Engine!$C$2:$C$622,0)))</f>
        <v/>
      </c>
      <c r="H574">
        <f>IF(ISNA(MATCH(561,Engine!$C$2:$C$622,0)),"",INDEX('Compliance Database'!$H$2:$H$622,MATCH(561,Engine!$C$2:$C$622,0)))</f>
        <v/>
      </c>
      <c r="I574" s="8">
        <f>IF(ISNA(MATCH(561,Engine!$C$2:$C$622,0)),"",INDEX('Compliance Database'!$I$2:$I$622,MATCH(561,Engine!$C$2:$C$622,0)))</f>
        <v/>
      </c>
      <c r="J574" s="8">
        <f>IF(ISNA(MATCH(561,Engine!$C$2:$C$622,0)),"",INDEX('Compliance Database'!$J$2:$J$622,MATCH(561,Engine!$C$2:$C$622,0)))</f>
        <v/>
      </c>
      <c r="K574">
        <f>IF(ISNA(MATCH(561,Engine!$C$2:$C$622,0)),"",INDEX('Compliance Database'!$K$2:$K$622,MATCH(561,Engine!$C$2:$C$622,0)))</f>
        <v/>
      </c>
      <c r="L574" s="8">
        <f>IF(ISNA(MATCH(561,Engine!$C$2:$C$622,0)),"",INDEX('Compliance Database'!$L$2:$L$622,MATCH(561,Engine!$C$2:$C$622,0)))</f>
        <v/>
      </c>
      <c r="M574" s="8">
        <f>IF(ISNA(MATCH(561,Engine!$C$2:$C$622,0)),"",INDEX('Compliance Database'!$M$2:$M$622,MATCH(561,Engine!$C$2:$C$622,0)))</f>
        <v/>
      </c>
      <c r="N574" s="8">
        <f>IF(ISNA(MATCH(561,Engine!$C$2:$C$622,0)),"",INDEX('Compliance Database'!$N$2:$N$622,MATCH(561,Engine!$C$2:$C$622,0)))</f>
        <v/>
      </c>
      <c r="O574" s="8">
        <f>IF(ISNA(MATCH(561,Engine!$C$2:$C$622,0)),"",INDEX('Compliance Database'!$O$2:$O$622,MATCH(561,Engine!$C$2:$C$622,0)))</f>
        <v/>
      </c>
    </row>
    <row r="575">
      <c r="A575">
        <f>IF(ISNA(MATCH(562,Engine!$C$2:$C$622,0)),"",INDEX('Compliance Database'!$A$2:$A$622,MATCH(562,Engine!$C$2:$C$622,0)))</f>
        <v/>
      </c>
      <c r="B575">
        <f>IF(ISNA(MATCH(562,Engine!$C$2:$C$622,0)),"",INDEX('Compliance Database'!$B$2:$B$622,MATCH(562,Engine!$C$2:$C$622,0)))</f>
        <v/>
      </c>
      <c r="C575">
        <f>IF(ISNA(MATCH(562,Engine!$C$2:$C$622,0)),"",INDEX('Compliance Database'!$C$2:$C$622,MATCH(562,Engine!$C$2:$C$622,0)))</f>
        <v/>
      </c>
      <c r="D575" s="8">
        <f>IF(ISNA(MATCH(562,Engine!$C$2:$C$622,0)),"",INDEX('Compliance Database'!$D$2:$D$622,MATCH(562,Engine!$C$2:$C$622,0)))</f>
        <v/>
      </c>
      <c r="E575">
        <f>IF(ISNA(MATCH(562,Engine!$C$2:$C$622,0)),"",INDEX('Compliance Database'!$E$2:$E$622,MATCH(562,Engine!$C$2:$C$622,0)))</f>
        <v/>
      </c>
      <c r="F575">
        <f>IF(ISNA(MATCH(562,Engine!$C$2:$C$622,0)),"",INDEX('Compliance Database'!$F$2:$F$622,MATCH(562,Engine!$C$2:$C$622,0)))</f>
        <v/>
      </c>
      <c r="G575">
        <f>IF(ISNA(MATCH(562,Engine!$C$2:$C$622,0)),"",INDEX('Compliance Database'!$G$2:$G$622,MATCH(562,Engine!$C$2:$C$622,0)))</f>
        <v/>
      </c>
      <c r="H575">
        <f>IF(ISNA(MATCH(562,Engine!$C$2:$C$622,0)),"",INDEX('Compliance Database'!$H$2:$H$622,MATCH(562,Engine!$C$2:$C$622,0)))</f>
        <v/>
      </c>
      <c r="I575" s="8">
        <f>IF(ISNA(MATCH(562,Engine!$C$2:$C$622,0)),"",INDEX('Compliance Database'!$I$2:$I$622,MATCH(562,Engine!$C$2:$C$622,0)))</f>
        <v/>
      </c>
      <c r="J575" s="8">
        <f>IF(ISNA(MATCH(562,Engine!$C$2:$C$622,0)),"",INDEX('Compliance Database'!$J$2:$J$622,MATCH(562,Engine!$C$2:$C$622,0)))</f>
        <v/>
      </c>
      <c r="K575">
        <f>IF(ISNA(MATCH(562,Engine!$C$2:$C$622,0)),"",INDEX('Compliance Database'!$K$2:$K$622,MATCH(562,Engine!$C$2:$C$622,0)))</f>
        <v/>
      </c>
      <c r="L575" s="8">
        <f>IF(ISNA(MATCH(562,Engine!$C$2:$C$622,0)),"",INDEX('Compliance Database'!$L$2:$L$622,MATCH(562,Engine!$C$2:$C$622,0)))</f>
        <v/>
      </c>
      <c r="M575" s="8">
        <f>IF(ISNA(MATCH(562,Engine!$C$2:$C$622,0)),"",INDEX('Compliance Database'!$M$2:$M$622,MATCH(562,Engine!$C$2:$C$622,0)))</f>
        <v/>
      </c>
      <c r="N575" s="8">
        <f>IF(ISNA(MATCH(562,Engine!$C$2:$C$622,0)),"",INDEX('Compliance Database'!$N$2:$N$622,MATCH(562,Engine!$C$2:$C$622,0)))</f>
        <v/>
      </c>
      <c r="O575" s="8">
        <f>IF(ISNA(MATCH(562,Engine!$C$2:$C$622,0)),"",INDEX('Compliance Database'!$O$2:$O$622,MATCH(562,Engine!$C$2:$C$622,0)))</f>
        <v/>
      </c>
    </row>
    <row r="576">
      <c r="A576">
        <f>IF(ISNA(MATCH(563,Engine!$C$2:$C$622,0)),"",INDEX('Compliance Database'!$A$2:$A$622,MATCH(563,Engine!$C$2:$C$622,0)))</f>
        <v/>
      </c>
      <c r="B576">
        <f>IF(ISNA(MATCH(563,Engine!$C$2:$C$622,0)),"",INDEX('Compliance Database'!$B$2:$B$622,MATCH(563,Engine!$C$2:$C$622,0)))</f>
        <v/>
      </c>
      <c r="C576">
        <f>IF(ISNA(MATCH(563,Engine!$C$2:$C$622,0)),"",INDEX('Compliance Database'!$C$2:$C$622,MATCH(563,Engine!$C$2:$C$622,0)))</f>
        <v/>
      </c>
      <c r="D576" s="8">
        <f>IF(ISNA(MATCH(563,Engine!$C$2:$C$622,0)),"",INDEX('Compliance Database'!$D$2:$D$622,MATCH(563,Engine!$C$2:$C$622,0)))</f>
        <v/>
      </c>
      <c r="E576">
        <f>IF(ISNA(MATCH(563,Engine!$C$2:$C$622,0)),"",INDEX('Compliance Database'!$E$2:$E$622,MATCH(563,Engine!$C$2:$C$622,0)))</f>
        <v/>
      </c>
      <c r="F576">
        <f>IF(ISNA(MATCH(563,Engine!$C$2:$C$622,0)),"",INDEX('Compliance Database'!$F$2:$F$622,MATCH(563,Engine!$C$2:$C$622,0)))</f>
        <v/>
      </c>
      <c r="G576">
        <f>IF(ISNA(MATCH(563,Engine!$C$2:$C$622,0)),"",INDEX('Compliance Database'!$G$2:$G$622,MATCH(563,Engine!$C$2:$C$622,0)))</f>
        <v/>
      </c>
      <c r="H576">
        <f>IF(ISNA(MATCH(563,Engine!$C$2:$C$622,0)),"",INDEX('Compliance Database'!$H$2:$H$622,MATCH(563,Engine!$C$2:$C$622,0)))</f>
        <v/>
      </c>
      <c r="I576" s="8">
        <f>IF(ISNA(MATCH(563,Engine!$C$2:$C$622,0)),"",INDEX('Compliance Database'!$I$2:$I$622,MATCH(563,Engine!$C$2:$C$622,0)))</f>
        <v/>
      </c>
      <c r="J576" s="8">
        <f>IF(ISNA(MATCH(563,Engine!$C$2:$C$622,0)),"",INDEX('Compliance Database'!$J$2:$J$622,MATCH(563,Engine!$C$2:$C$622,0)))</f>
        <v/>
      </c>
      <c r="K576">
        <f>IF(ISNA(MATCH(563,Engine!$C$2:$C$622,0)),"",INDEX('Compliance Database'!$K$2:$K$622,MATCH(563,Engine!$C$2:$C$622,0)))</f>
        <v/>
      </c>
      <c r="L576" s="8">
        <f>IF(ISNA(MATCH(563,Engine!$C$2:$C$622,0)),"",INDEX('Compliance Database'!$L$2:$L$622,MATCH(563,Engine!$C$2:$C$622,0)))</f>
        <v/>
      </c>
      <c r="M576" s="8">
        <f>IF(ISNA(MATCH(563,Engine!$C$2:$C$622,0)),"",INDEX('Compliance Database'!$M$2:$M$622,MATCH(563,Engine!$C$2:$C$622,0)))</f>
        <v/>
      </c>
      <c r="N576" s="8">
        <f>IF(ISNA(MATCH(563,Engine!$C$2:$C$622,0)),"",INDEX('Compliance Database'!$N$2:$N$622,MATCH(563,Engine!$C$2:$C$622,0)))</f>
        <v/>
      </c>
      <c r="O576" s="8">
        <f>IF(ISNA(MATCH(563,Engine!$C$2:$C$622,0)),"",INDEX('Compliance Database'!$O$2:$O$622,MATCH(563,Engine!$C$2:$C$622,0)))</f>
        <v/>
      </c>
    </row>
    <row r="577">
      <c r="A577">
        <f>IF(ISNA(MATCH(564,Engine!$C$2:$C$622,0)),"",INDEX('Compliance Database'!$A$2:$A$622,MATCH(564,Engine!$C$2:$C$622,0)))</f>
        <v/>
      </c>
      <c r="B577">
        <f>IF(ISNA(MATCH(564,Engine!$C$2:$C$622,0)),"",INDEX('Compliance Database'!$B$2:$B$622,MATCH(564,Engine!$C$2:$C$622,0)))</f>
        <v/>
      </c>
      <c r="C577">
        <f>IF(ISNA(MATCH(564,Engine!$C$2:$C$622,0)),"",INDEX('Compliance Database'!$C$2:$C$622,MATCH(564,Engine!$C$2:$C$622,0)))</f>
        <v/>
      </c>
      <c r="D577" s="8">
        <f>IF(ISNA(MATCH(564,Engine!$C$2:$C$622,0)),"",INDEX('Compliance Database'!$D$2:$D$622,MATCH(564,Engine!$C$2:$C$622,0)))</f>
        <v/>
      </c>
      <c r="E577">
        <f>IF(ISNA(MATCH(564,Engine!$C$2:$C$622,0)),"",INDEX('Compliance Database'!$E$2:$E$622,MATCH(564,Engine!$C$2:$C$622,0)))</f>
        <v/>
      </c>
      <c r="F577">
        <f>IF(ISNA(MATCH(564,Engine!$C$2:$C$622,0)),"",INDEX('Compliance Database'!$F$2:$F$622,MATCH(564,Engine!$C$2:$C$622,0)))</f>
        <v/>
      </c>
      <c r="G577">
        <f>IF(ISNA(MATCH(564,Engine!$C$2:$C$622,0)),"",INDEX('Compliance Database'!$G$2:$G$622,MATCH(564,Engine!$C$2:$C$622,0)))</f>
        <v/>
      </c>
      <c r="H577">
        <f>IF(ISNA(MATCH(564,Engine!$C$2:$C$622,0)),"",INDEX('Compliance Database'!$H$2:$H$622,MATCH(564,Engine!$C$2:$C$622,0)))</f>
        <v/>
      </c>
      <c r="I577" s="8">
        <f>IF(ISNA(MATCH(564,Engine!$C$2:$C$622,0)),"",INDEX('Compliance Database'!$I$2:$I$622,MATCH(564,Engine!$C$2:$C$622,0)))</f>
        <v/>
      </c>
      <c r="J577" s="8">
        <f>IF(ISNA(MATCH(564,Engine!$C$2:$C$622,0)),"",INDEX('Compliance Database'!$J$2:$J$622,MATCH(564,Engine!$C$2:$C$622,0)))</f>
        <v/>
      </c>
      <c r="K577">
        <f>IF(ISNA(MATCH(564,Engine!$C$2:$C$622,0)),"",INDEX('Compliance Database'!$K$2:$K$622,MATCH(564,Engine!$C$2:$C$622,0)))</f>
        <v/>
      </c>
      <c r="L577" s="8">
        <f>IF(ISNA(MATCH(564,Engine!$C$2:$C$622,0)),"",INDEX('Compliance Database'!$L$2:$L$622,MATCH(564,Engine!$C$2:$C$622,0)))</f>
        <v/>
      </c>
      <c r="M577" s="8">
        <f>IF(ISNA(MATCH(564,Engine!$C$2:$C$622,0)),"",INDEX('Compliance Database'!$M$2:$M$622,MATCH(564,Engine!$C$2:$C$622,0)))</f>
        <v/>
      </c>
      <c r="N577" s="8">
        <f>IF(ISNA(MATCH(564,Engine!$C$2:$C$622,0)),"",INDEX('Compliance Database'!$N$2:$N$622,MATCH(564,Engine!$C$2:$C$622,0)))</f>
        <v/>
      </c>
      <c r="O577" s="8">
        <f>IF(ISNA(MATCH(564,Engine!$C$2:$C$622,0)),"",INDEX('Compliance Database'!$O$2:$O$622,MATCH(564,Engine!$C$2:$C$622,0)))</f>
        <v/>
      </c>
    </row>
    <row r="578">
      <c r="A578">
        <f>IF(ISNA(MATCH(565,Engine!$C$2:$C$622,0)),"",INDEX('Compliance Database'!$A$2:$A$622,MATCH(565,Engine!$C$2:$C$622,0)))</f>
        <v/>
      </c>
      <c r="B578">
        <f>IF(ISNA(MATCH(565,Engine!$C$2:$C$622,0)),"",INDEX('Compliance Database'!$B$2:$B$622,MATCH(565,Engine!$C$2:$C$622,0)))</f>
        <v/>
      </c>
      <c r="C578">
        <f>IF(ISNA(MATCH(565,Engine!$C$2:$C$622,0)),"",INDEX('Compliance Database'!$C$2:$C$622,MATCH(565,Engine!$C$2:$C$622,0)))</f>
        <v/>
      </c>
      <c r="D578" s="8">
        <f>IF(ISNA(MATCH(565,Engine!$C$2:$C$622,0)),"",INDEX('Compliance Database'!$D$2:$D$622,MATCH(565,Engine!$C$2:$C$622,0)))</f>
        <v/>
      </c>
      <c r="E578">
        <f>IF(ISNA(MATCH(565,Engine!$C$2:$C$622,0)),"",INDEX('Compliance Database'!$E$2:$E$622,MATCH(565,Engine!$C$2:$C$622,0)))</f>
        <v/>
      </c>
      <c r="F578">
        <f>IF(ISNA(MATCH(565,Engine!$C$2:$C$622,0)),"",INDEX('Compliance Database'!$F$2:$F$622,MATCH(565,Engine!$C$2:$C$622,0)))</f>
        <v/>
      </c>
      <c r="G578">
        <f>IF(ISNA(MATCH(565,Engine!$C$2:$C$622,0)),"",INDEX('Compliance Database'!$G$2:$G$622,MATCH(565,Engine!$C$2:$C$622,0)))</f>
        <v/>
      </c>
      <c r="H578">
        <f>IF(ISNA(MATCH(565,Engine!$C$2:$C$622,0)),"",INDEX('Compliance Database'!$H$2:$H$622,MATCH(565,Engine!$C$2:$C$622,0)))</f>
        <v/>
      </c>
      <c r="I578" s="8">
        <f>IF(ISNA(MATCH(565,Engine!$C$2:$C$622,0)),"",INDEX('Compliance Database'!$I$2:$I$622,MATCH(565,Engine!$C$2:$C$622,0)))</f>
        <v/>
      </c>
      <c r="J578" s="8">
        <f>IF(ISNA(MATCH(565,Engine!$C$2:$C$622,0)),"",INDEX('Compliance Database'!$J$2:$J$622,MATCH(565,Engine!$C$2:$C$622,0)))</f>
        <v/>
      </c>
      <c r="K578">
        <f>IF(ISNA(MATCH(565,Engine!$C$2:$C$622,0)),"",INDEX('Compliance Database'!$K$2:$K$622,MATCH(565,Engine!$C$2:$C$622,0)))</f>
        <v/>
      </c>
      <c r="L578" s="8">
        <f>IF(ISNA(MATCH(565,Engine!$C$2:$C$622,0)),"",INDEX('Compliance Database'!$L$2:$L$622,MATCH(565,Engine!$C$2:$C$622,0)))</f>
        <v/>
      </c>
      <c r="M578" s="8">
        <f>IF(ISNA(MATCH(565,Engine!$C$2:$C$622,0)),"",INDEX('Compliance Database'!$M$2:$M$622,MATCH(565,Engine!$C$2:$C$622,0)))</f>
        <v/>
      </c>
      <c r="N578" s="8">
        <f>IF(ISNA(MATCH(565,Engine!$C$2:$C$622,0)),"",INDEX('Compliance Database'!$N$2:$N$622,MATCH(565,Engine!$C$2:$C$622,0)))</f>
        <v/>
      </c>
      <c r="O578" s="8">
        <f>IF(ISNA(MATCH(565,Engine!$C$2:$C$622,0)),"",INDEX('Compliance Database'!$O$2:$O$622,MATCH(565,Engine!$C$2:$C$622,0)))</f>
        <v/>
      </c>
    </row>
    <row r="579">
      <c r="A579">
        <f>IF(ISNA(MATCH(566,Engine!$C$2:$C$622,0)),"",INDEX('Compliance Database'!$A$2:$A$622,MATCH(566,Engine!$C$2:$C$622,0)))</f>
        <v/>
      </c>
      <c r="B579">
        <f>IF(ISNA(MATCH(566,Engine!$C$2:$C$622,0)),"",INDEX('Compliance Database'!$B$2:$B$622,MATCH(566,Engine!$C$2:$C$622,0)))</f>
        <v/>
      </c>
      <c r="C579">
        <f>IF(ISNA(MATCH(566,Engine!$C$2:$C$622,0)),"",INDEX('Compliance Database'!$C$2:$C$622,MATCH(566,Engine!$C$2:$C$622,0)))</f>
        <v/>
      </c>
      <c r="D579" s="8">
        <f>IF(ISNA(MATCH(566,Engine!$C$2:$C$622,0)),"",INDEX('Compliance Database'!$D$2:$D$622,MATCH(566,Engine!$C$2:$C$622,0)))</f>
        <v/>
      </c>
      <c r="E579">
        <f>IF(ISNA(MATCH(566,Engine!$C$2:$C$622,0)),"",INDEX('Compliance Database'!$E$2:$E$622,MATCH(566,Engine!$C$2:$C$622,0)))</f>
        <v/>
      </c>
      <c r="F579">
        <f>IF(ISNA(MATCH(566,Engine!$C$2:$C$622,0)),"",INDEX('Compliance Database'!$F$2:$F$622,MATCH(566,Engine!$C$2:$C$622,0)))</f>
        <v/>
      </c>
      <c r="G579">
        <f>IF(ISNA(MATCH(566,Engine!$C$2:$C$622,0)),"",INDEX('Compliance Database'!$G$2:$G$622,MATCH(566,Engine!$C$2:$C$622,0)))</f>
        <v/>
      </c>
      <c r="H579">
        <f>IF(ISNA(MATCH(566,Engine!$C$2:$C$622,0)),"",INDEX('Compliance Database'!$H$2:$H$622,MATCH(566,Engine!$C$2:$C$622,0)))</f>
        <v/>
      </c>
      <c r="I579" s="8">
        <f>IF(ISNA(MATCH(566,Engine!$C$2:$C$622,0)),"",INDEX('Compliance Database'!$I$2:$I$622,MATCH(566,Engine!$C$2:$C$622,0)))</f>
        <v/>
      </c>
      <c r="J579" s="8">
        <f>IF(ISNA(MATCH(566,Engine!$C$2:$C$622,0)),"",INDEX('Compliance Database'!$J$2:$J$622,MATCH(566,Engine!$C$2:$C$622,0)))</f>
        <v/>
      </c>
      <c r="K579">
        <f>IF(ISNA(MATCH(566,Engine!$C$2:$C$622,0)),"",INDEX('Compliance Database'!$K$2:$K$622,MATCH(566,Engine!$C$2:$C$622,0)))</f>
        <v/>
      </c>
      <c r="L579" s="8">
        <f>IF(ISNA(MATCH(566,Engine!$C$2:$C$622,0)),"",INDEX('Compliance Database'!$L$2:$L$622,MATCH(566,Engine!$C$2:$C$622,0)))</f>
        <v/>
      </c>
      <c r="M579" s="8">
        <f>IF(ISNA(MATCH(566,Engine!$C$2:$C$622,0)),"",INDEX('Compliance Database'!$M$2:$M$622,MATCH(566,Engine!$C$2:$C$622,0)))</f>
        <v/>
      </c>
      <c r="N579" s="8">
        <f>IF(ISNA(MATCH(566,Engine!$C$2:$C$622,0)),"",INDEX('Compliance Database'!$N$2:$N$622,MATCH(566,Engine!$C$2:$C$622,0)))</f>
        <v/>
      </c>
      <c r="O579" s="8">
        <f>IF(ISNA(MATCH(566,Engine!$C$2:$C$622,0)),"",INDEX('Compliance Database'!$O$2:$O$622,MATCH(566,Engine!$C$2:$C$622,0)))</f>
        <v/>
      </c>
    </row>
    <row r="580">
      <c r="A580">
        <f>IF(ISNA(MATCH(567,Engine!$C$2:$C$622,0)),"",INDEX('Compliance Database'!$A$2:$A$622,MATCH(567,Engine!$C$2:$C$622,0)))</f>
        <v/>
      </c>
      <c r="B580">
        <f>IF(ISNA(MATCH(567,Engine!$C$2:$C$622,0)),"",INDEX('Compliance Database'!$B$2:$B$622,MATCH(567,Engine!$C$2:$C$622,0)))</f>
        <v/>
      </c>
      <c r="C580">
        <f>IF(ISNA(MATCH(567,Engine!$C$2:$C$622,0)),"",INDEX('Compliance Database'!$C$2:$C$622,MATCH(567,Engine!$C$2:$C$622,0)))</f>
        <v/>
      </c>
      <c r="D580" s="8">
        <f>IF(ISNA(MATCH(567,Engine!$C$2:$C$622,0)),"",INDEX('Compliance Database'!$D$2:$D$622,MATCH(567,Engine!$C$2:$C$622,0)))</f>
        <v/>
      </c>
      <c r="E580">
        <f>IF(ISNA(MATCH(567,Engine!$C$2:$C$622,0)),"",INDEX('Compliance Database'!$E$2:$E$622,MATCH(567,Engine!$C$2:$C$622,0)))</f>
        <v/>
      </c>
      <c r="F580">
        <f>IF(ISNA(MATCH(567,Engine!$C$2:$C$622,0)),"",INDEX('Compliance Database'!$F$2:$F$622,MATCH(567,Engine!$C$2:$C$622,0)))</f>
        <v/>
      </c>
      <c r="G580">
        <f>IF(ISNA(MATCH(567,Engine!$C$2:$C$622,0)),"",INDEX('Compliance Database'!$G$2:$G$622,MATCH(567,Engine!$C$2:$C$622,0)))</f>
        <v/>
      </c>
      <c r="H580">
        <f>IF(ISNA(MATCH(567,Engine!$C$2:$C$622,0)),"",INDEX('Compliance Database'!$H$2:$H$622,MATCH(567,Engine!$C$2:$C$622,0)))</f>
        <v/>
      </c>
      <c r="I580" s="8">
        <f>IF(ISNA(MATCH(567,Engine!$C$2:$C$622,0)),"",INDEX('Compliance Database'!$I$2:$I$622,MATCH(567,Engine!$C$2:$C$622,0)))</f>
        <v/>
      </c>
      <c r="J580" s="8">
        <f>IF(ISNA(MATCH(567,Engine!$C$2:$C$622,0)),"",INDEX('Compliance Database'!$J$2:$J$622,MATCH(567,Engine!$C$2:$C$622,0)))</f>
        <v/>
      </c>
      <c r="K580">
        <f>IF(ISNA(MATCH(567,Engine!$C$2:$C$622,0)),"",INDEX('Compliance Database'!$K$2:$K$622,MATCH(567,Engine!$C$2:$C$622,0)))</f>
        <v/>
      </c>
      <c r="L580" s="8">
        <f>IF(ISNA(MATCH(567,Engine!$C$2:$C$622,0)),"",INDEX('Compliance Database'!$L$2:$L$622,MATCH(567,Engine!$C$2:$C$622,0)))</f>
        <v/>
      </c>
      <c r="M580" s="8">
        <f>IF(ISNA(MATCH(567,Engine!$C$2:$C$622,0)),"",INDEX('Compliance Database'!$M$2:$M$622,MATCH(567,Engine!$C$2:$C$622,0)))</f>
        <v/>
      </c>
      <c r="N580" s="8">
        <f>IF(ISNA(MATCH(567,Engine!$C$2:$C$622,0)),"",INDEX('Compliance Database'!$N$2:$N$622,MATCH(567,Engine!$C$2:$C$622,0)))</f>
        <v/>
      </c>
      <c r="O580" s="8">
        <f>IF(ISNA(MATCH(567,Engine!$C$2:$C$622,0)),"",INDEX('Compliance Database'!$O$2:$O$622,MATCH(567,Engine!$C$2:$C$622,0)))</f>
        <v/>
      </c>
    </row>
    <row r="581">
      <c r="A581">
        <f>IF(ISNA(MATCH(568,Engine!$C$2:$C$622,0)),"",INDEX('Compliance Database'!$A$2:$A$622,MATCH(568,Engine!$C$2:$C$622,0)))</f>
        <v/>
      </c>
      <c r="B581">
        <f>IF(ISNA(MATCH(568,Engine!$C$2:$C$622,0)),"",INDEX('Compliance Database'!$B$2:$B$622,MATCH(568,Engine!$C$2:$C$622,0)))</f>
        <v/>
      </c>
      <c r="C581">
        <f>IF(ISNA(MATCH(568,Engine!$C$2:$C$622,0)),"",INDEX('Compliance Database'!$C$2:$C$622,MATCH(568,Engine!$C$2:$C$622,0)))</f>
        <v/>
      </c>
      <c r="D581" s="8">
        <f>IF(ISNA(MATCH(568,Engine!$C$2:$C$622,0)),"",INDEX('Compliance Database'!$D$2:$D$622,MATCH(568,Engine!$C$2:$C$622,0)))</f>
        <v/>
      </c>
      <c r="E581">
        <f>IF(ISNA(MATCH(568,Engine!$C$2:$C$622,0)),"",INDEX('Compliance Database'!$E$2:$E$622,MATCH(568,Engine!$C$2:$C$622,0)))</f>
        <v/>
      </c>
      <c r="F581">
        <f>IF(ISNA(MATCH(568,Engine!$C$2:$C$622,0)),"",INDEX('Compliance Database'!$F$2:$F$622,MATCH(568,Engine!$C$2:$C$622,0)))</f>
        <v/>
      </c>
      <c r="G581">
        <f>IF(ISNA(MATCH(568,Engine!$C$2:$C$622,0)),"",INDEX('Compliance Database'!$G$2:$G$622,MATCH(568,Engine!$C$2:$C$622,0)))</f>
        <v/>
      </c>
      <c r="H581">
        <f>IF(ISNA(MATCH(568,Engine!$C$2:$C$622,0)),"",INDEX('Compliance Database'!$H$2:$H$622,MATCH(568,Engine!$C$2:$C$622,0)))</f>
        <v/>
      </c>
      <c r="I581" s="8">
        <f>IF(ISNA(MATCH(568,Engine!$C$2:$C$622,0)),"",INDEX('Compliance Database'!$I$2:$I$622,MATCH(568,Engine!$C$2:$C$622,0)))</f>
        <v/>
      </c>
      <c r="J581" s="8">
        <f>IF(ISNA(MATCH(568,Engine!$C$2:$C$622,0)),"",INDEX('Compliance Database'!$J$2:$J$622,MATCH(568,Engine!$C$2:$C$622,0)))</f>
        <v/>
      </c>
      <c r="K581">
        <f>IF(ISNA(MATCH(568,Engine!$C$2:$C$622,0)),"",INDEX('Compliance Database'!$K$2:$K$622,MATCH(568,Engine!$C$2:$C$622,0)))</f>
        <v/>
      </c>
      <c r="L581" s="8">
        <f>IF(ISNA(MATCH(568,Engine!$C$2:$C$622,0)),"",INDEX('Compliance Database'!$L$2:$L$622,MATCH(568,Engine!$C$2:$C$622,0)))</f>
        <v/>
      </c>
      <c r="M581" s="8">
        <f>IF(ISNA(MATCH(568,Engine!$C$2:$C$622,0)),"",INDEX('Compliance Database'!$M$2:$M$622,MATCH(568,Engine!$C$2:$C$622,0)))</f>
        <v/>
      </c>
      <c r="N581" s="8">
        <f>IF(ISNA(MATCH(568,Engine!$C$2:$C$622,0)),"",INDEX('Compliance Database'!$N$2:$N$622,MATCH(568,Engine!$C$2:$C$622,0)))</f>
        <v/>
      </c>
      <c r="O581" s="8">
        <f>IF(ISNA(MATCH(568,Engine!$C$2:$C$622,0)),"",INDEX('Compliance Database'!$O$2:$O$622,MATCH(568,Engine!$C$2:$C$622,0)))</f>
        <v/>
      </c>
    </row>
    <row r="582">
      <c r="A582">
        <f>IF(ISNA(MATCH(569,Engine!$C$2:$C$622,0)),"",INDEX('Compliance Database'!$A$2:$A$622,MATCH(569,Engine!$C$2:$C$622,0)))</f>
        <v/>
      </c>
      <c r="B582">
        <f>IF(ISNA(MATCH(569,Engine!$C$2:$C$622,0)),"",INDEX('Compliance Database'!$B$2:$B$622,MATCH(569,Engine!$C$2:$C$622,0)))</f>
        <v/>
      </c>
      <c r="C582">
        <f>IF(ISNA(MATCH(569,Engine!$C$2:$C$622,0)),"",INDEX('Compliance Database'!$C$2:$C$622,MATCH(569,Engine!$C$2:$C$622,0)))</f>
        <v/>
      </c>
      <c r="D582" s="8">
        <f>IF(ISNA(MATCH(569,Engine!$C$2:$C$622,0)),"",INDEX('Compliance Database'!$D$2:$D$622,MATCH(569,Engine!$C$2:$C$622,0)))</f>
        <v/>
      </c>
      <c r="E582">
        <f>IF(ISNA(MATCH(569,Engine!$C$2:$C$622,0)),"",INDEX('Compliance Database'!$E$2:$E$622,MATCH(569,Engine!$C$2:$C$622,0)))</f>
        <v/>
      </c>
      <c r="F582">
        <f>IF(ISNA(MATCH(569,Engine!$C$2:$C$622,0)),"",INDEX('Compliance Database'!$F$2:$F$622,MATCH(569,Engine!$C$2:$C$622,0)))</f>
        <v/>
      </c>
      <c r="G582">
        <f>IF(ISNA(MATCH(569,Engine!$C$2:$C$622,0)),"",INDEX('Compliance Database'!$G$2:$G$622,MATCH(569,Engine!$C$2:$C$622,0)))</f>
        <v/>
      </c>
      <c r="H582">
        <f>IF(ISNA(MATCH(569,Engine!$C$2:$C$622,0)),"",INDEX('Compliance Database'!$H$2:$H$622,MATCH(569,Engine!$C$2:$C$622,0)))</f>
        <v/>
      </c>
      <c r="I582" s="8">
        <f>IF(ISNA(MATCH(569,Engine!$C$2:$C$622,0)),"",INDEX('Compliance Database'!$I$2:$I$622,MATCH(569,Engine!$C$2:$C$622,0)))</f>
        <v/>
      </c>
      <c r="J582" s="8">
        <f>IF(ISNA(MATCH(569,Engine!$C$2:$C$622,0)),"",INDEX('Compliance Database'!$J$2:$J$622,MATCH(569,Engine!$C$2:$C$622,0)))</f>
        <v/>
      </c>
      <c r="K582">
        <f>IF(ISNA(MATCH(569,Engine!$C$2:$C$622,0)),"",INDEX('Compliance Database'!$K$2:$K$622,MATCH(569,Engine!$C$2:$C$622,0)))</f>
        <v/>
      </c>
      <c r="L582" s="8">
        <f>IF(ISNA(MATCH(569,Engine!$C$2:$C$622,0)),"",INDEX('Compliance Database'!$L$2:$L$622,MATCH(569,Engine!$C$2:$C$622,0)))</f>
        <v/>
      </c>
      <c r="M582" s="8">
        <f>IF(ISNA(MATCH(569,Engine!$C$2:$C$622,0)),"",INDEX('Compliance Database'!$M$2:$M$622,MATCH(569,Engine!$C$2:$C$622,0)))</f>
        <v/>
      </c>
      <c r="N582" s="8">
        <f>IF(ISNA(MATCH(569,Engine!$C$2:$C$622,0)),"",INDEX('Compliance Database'!$N$2:$N$622,MATCH(569,Engine!$C$2:$C$622,0)))</f>
        <v/>
      </c>
      <c r="O582" s="8">
        <f>IF(ISNA(MATCH(569,Engine!$C$2:$C$622,0)),"",INDEX('Compliance Database'!$O$2:$O$622,MATCH(569,Engine!$C$2:$C$622,0)))</f>
        <v/>
      </c>
    </row>
    <row r="583">
      <c r="A583">
        <f>IF(ISNA(MATCH(570,Engine!$C$2:$C$622,0)),"",INDEX('Compliance Database'!$A$2:$A$622,MATCH(570,Engine!$C$2:$C$622,0)))</f>
        <v/>
      </c>
      <c r="B583">
        <f>IF(ISNA(MATCH(570,Engine!$C$2:$C$622,0)),"",INDEX('Compliance Database'!$B$2:$B$622,MATCH(570,Engine!$C$2:$C$622,0)))</f>
        <v/>
      </c>
      <c r="C583">
        <f>IF(ISNA(MATCH(570,Engine!$C$2:$C$622,0)),"",INDEX('Compliance Database'!$C$2:$C$622,MATCH(570,Engine!$C$2:$C$622,0)))</f>
        <v/>
      </c>
      <c r="D583" s="8">
        <f>IF(ISNA(MATCH(570,Engine!$C$2:$C$622,0)),"",INDEX('Compliance Database'!$D$2:$D$622,MATCH(570,Engine!$C$2:$C$622,0)))</f>
        <v/>
      </c>
      <c r="E583">
        <f>IF(ISNA(MATCH(570,Engine!$C$2:$C$622,0)),"",INDEX('Compliance Database'!$E$2:$E$622,MATCH(570,Engine!$C$2:$C$622,0)))</f>
        <v/>
      </c>
      <c r="F583">
        <f>IF(ISNA(MATCH(570,Engine!$C$2:$C$622,0)),"",INDEX('Compliance Database'!$F$2:$F$622,MATCH(570,Engine!$C$2:$C$622,0)))</f>
        <v/>
      </c>
      <c r="G583">
        <f>IF(ISNA(MATCH(570,Engine!$C$2:$C$622,0)),"",INDEX('Compliance Database'!$G$2:$G$622,MATCH(570,Engine!$C$2:$C$622,0)))</f>
        <v/>
      </c>
      <c r="H583">
        <f>IF(ISNA(MATCH(570,Engine!$C$2:$C$622,0)),"",INDEX('Compliance Database'!$H$2:$H$622,MATCH(570,Engine!$C$2:$C$622,0)))</f>
        <v/>
      </c>
      <c r="I583" s="8">
        <f>IF(ISNA(MATCH(570,Engine!$C$2:$C$622,0)),"",INDEX('Compliance Database'!$I$2:$I$622,MATCH(570,Engine!$C$2:$C$622,0)))</f>
        <v/>
      </c>
      <c r="J583" s="8">
        <f>IF(ISNA(MATCH(570,Engine!$C$2:$C$622,0)),"",INDEX('Compliance Database'!$J$2:$J$622,MATCH(570,Engine!$C$2:$C$622,0)))</f>
        <v/>
      </c>
      <c r="K583">
        <f>IF(ISNA(MATCH(570,Engine!$C$2:$C$622,0)),"",INDEX('Compliance Database'!$K$2:$K$622,MATCH(570,Engine!$C$2:$C$622,0)))</f>
        <v/>
      </c>
      <c r="L583" s="8">
        <f>IF(ISNA(MATCH(570,Engine!$C$2:$C$622,0)),"",INDEX('Compliance Database'!$L$2:$L$622,MATCH(570,Engine!$C$2:$C$622,0)))</f>
        <v/>
      </c>
      <c r="M583" s="8">
        <f>IF(ISNA(MATCH(570,Engine!$C$2:$C$622,0)),"",INDEX('Compliance Database'!$M$2:$M$622,MATCH(570,Engine!$C$2:$C$622,0)))</f>
        <v/>
      </c>
      <c r="N583" s="8">
        <f>IF(ISNA(MATCH(570,Engine!$C$2:$C$622,0)),"",INDEX('Compliance Database'!$N$2:$N$622,MATCH(570,Engine!$C$2:$C$622,0)))</f>
        <v/>
      </c>
      <c r="O583" s="8">
        <f>IF(ISNA(MATCH(570,Engine!$C$2:$C$622,0)),"",INDEX('Compliance Database'!$O$2:$O$622,MATCH(570,Engine!$C$2:$C$622,0)))</f>
        <v/>
      </c>
    </row>
    <row r="584">
      <c r="A584">
        <f>IF(ISNA(MATCH(571,Engine!$C$2:$C$622,0)),"",INDEX('Compliance Database'!$A$2:$A$622,MATCH(571,Engine!$C$2:$C$622,0)))</f>
        <v/>
      </c>
      <c r="B584">
        <f>IF(ISNA(MATCH(571,Engine!$C$2:$C$622,0)),"",INDEX('Compliance Database'!$B$2:$B$622,MATCH(571,Engine!$C$2:$C$622,0)))</f>
        <v/>
      </c>
      <c r="C584">
        <f>IF(ISNA(MATCH(571,Engine!$C$2:$C$622,0)),"",INDEX('Compliance Database'!$C$2:$C$622,MATCH(571,Engine!$C$2:$C$622,0)))</f>
        <v/>
      </c>
      <c r="D584" s="8">
        <f>IF(ISNA(MATCH(571,Engine!$C$2:$C$622,0)),"",INDEX('Compliance Database'!$D$2:$D$622,MATCH(571,Engine!$C$2:$C$622,0)))</f>
        <v/>
      </c>
      <c r="E584">
        <f>IF(ISNA(MATCH(571,Engine!$C$2:$C$622,0)),"",INDEX('Compliance Database'!$E$2:$E$622,MATCH(571,Engine!$C$2:$C$622,0)))</f>
        <v/>
      </c>
      <c r="F584">
        <f>IF(ISNA(MATCH(571,Engine!$C$2:$C$622,0)),"",INDEX('Compliance Database'!$F$2:$F$622,MATCH(571,Engine!$C$2:$C$622,0)))</f>
        <v/>
      </c>
      <c r="G584">
        <f>IF(ISNA(MATCH(571,Engine!$C$2:$C$622,0)),"",INDEX('Compliance Database'!$G$2:$G$622,MATCH(571,Engine!$C$2:$C$622,0)))</f>
        <v/>
      </c>
      <c r="H584">
        <f>IF(ISNA(MATCH(571,Engine!$C$2:$C$622,0)),"",INDEX('Compliance Database'!$H$2:$H$622,MATCH(571,Engine!$C$2:$C$622,0)))</f>
        <v/>
      </c>
      <c r="I584" s="8">
        <f>IF(ISNA(MATCH(571,Engine!$C$2:$C$622,0)),"",INDEX('Compliance Database'!$I$2:$I$622,MATCH(571,Engine!$C$2:$C$622,0)))</f>
        <v/>
      </c>
      <c r="J584" s="8">
        <f>IF(ISNA(MATCH(571,Engine!$C$2:$C$622,0)),"",INDEX('Compliance Database'!$J$2:$J$622,MATCH(571,Engine!$C$2:$C$622,0)))</f>
        <v/>
      </c>
      <c r="K584">
        <f>IF(ISNA(MATCH(571,Engine!$C$2:$C$622,0)),"",INDEX('Compliance Database'!$K$2:$K$622,MATCH(571,Engine!$C$2:$C$622,0)))</f>
        <v/>
      </c>
      <c r="L584" s="8">
        <f>IF(ISNA(MATCH(571,Engine!$C$2:$C$622,0)),"",INDEX('Compliance Database'!$L$2:$L$622,MATCH(571,Engine!$C$2:$C$622,0)))</f>
        <v/>
      </c>
      <c r="M584" s="8">
        <f>IF(ISNA(MATCH(571,Engine!$C$2:$C$622,0)),"",INDEX('Compliance Database'!$M$2:$M$622,MATCH(571,Engine!$C$2:$C$622,0)))</f>
        <v/>
      </c>
      <c r="N584" s="8">
        <f>IF(ISNA(MATCH(571,Engine!$C$2:$C$622,0)),"",INDEX('Compliance Database'!$N$2:$N$622,MATCH(571,Engine!$C$2:$C$622,0)))</f>
        <v/>
      </c>
      <c r="O584" s="8">
        <f>IF(ISNA(MATCH(571,Engine!$C$2:$C$622,0)),"",INDEX('Compliance Database'!$O$2:$O$622,MATCH(571,Engine!$C$2:$C$622,0)))</f>
        <v/>
      </c>
    </row>
    <row r="585">
      <c r="A585">
        <f>IF(ISNA(MATCH(572,Engine!$C$2:$C$622,0)),"",INDEX('Compliance Database'!$A$2:$A$622,MATCH(572,Engine!$C$2:$C$622,0)))</f>
        <v/>
      </c>
      <c r="B585">
        <f>IF(ISNA(MATCH(572,Engine!$C$2:$C$622,0)),"",INDEX('Compliance Database'!$B$2:$B$622,MATCH(572,Engine!$C$2:$C$622,0)))</f>
        <v/>
      </c>
      <c r="C585">
        <f>IF(ISNA(MATCH(572,Engine!$C$2:$C$622,0)),"",INDEX('Compliance Database'!$C$2:$C$622,MATCH(572,Engine!$C$2:$C$622,0)))</f>
        <v/>
      </c>
      <c r="D585" s="8">
        <f>IF(ISNA(MATCH(572,Engine!$C$2:$C$622,0)),"",INDEX('Compliance Database'!$D$2:$D$622,MATCH(572,Engine!$C$2:$C$622,0)))</f>
        <v/>
      </c>
      <c r="E585">
        <f>IF(ISNA(MATCH(572,Engine!$C$2:$C$622,0)),"",INDEX('Compliance Database'!$E$2:$E$622,MATCH(572,Engine!$C$2:$C$622,0)))</f>
        <v/>
      </c>
      <c r="F585">
        <f>IF(ISNA(MATCH(572,Engine!$C$2:$C$622,0)),"",INDEX('Compliance Database'!$F$2:$F$622,MATCH(572,Engine!$C$2:$C$622,0)))</f>
        <v/>
      </c>
      <c r="G585">
        <f>IF(ISNA(MATCH(572,Engine!$C$2:$C$622,0)),"",INDEX('Compliance Database'!$G$2:$G$622,MATCH(572,Engine!$C$2:$C$622,0)))</f>
        <v/>
      </c>
      <c r="H585">
        <f>IF(ISNA(MATCH(572,Engine!$C$2:$C$622,0)),"",INDEX('Compliance Database'!$H$2:$H$622,MATCH(572,Engine!$C$2:$C$622,0)))</f>
        <v/>
      </c>
      <c r="I585" s="8">
        <f>IF(ISNA(MATCH(572,Engine!$C$2:$C$622,0)),"",INDEX('Compliance Database'!$I$2:$I$622,MATCH(572,Engine!$C$2:$C$622,0)))</f>
        <v/>
      </c>
      <c r="J585" s="8">
        <f>IF(ISNA(MATCH(572,Engine!$C$2:$C$622,0)),"",INDEX('Compliance Database'!$J$2:$J$622,MATCH(572,Engine!$C$2:$C$622,0)))</f>
        <v/>
      </c>
      <c r="K585">
        <f>IF(ISNA(MATCH(572,Engine!$C$2:$C$622,0)),"",INDEX('Compliance Database'!$K$2:$K$622,MATCH(572,Engine!$C$2:$C$622,0)))</f>
        <v/>
      </c>
      <c r="L585" s="8">
        <f>IF(ISNA(MATCH(572,Engine!$C$2:$C$622,0)),"",INDEX('Compliance Database'!$L$2:$L$622,MATCH(572,Engine!$C$2:$C$622,0)))</f>
        <v/>
      </c>
      <c r="M585" s="8">
        <f>IF(ISNA(MATCH(572,Engine!$C$2:$C$622,0)),"",INDEX('Compliance Database'!$M$2:$M$622,MATCH(572,Engine!$C$2:$C$622,0)))</f>
        <v/>
      </c>
      <c r="N585" s="8">
        <f>IF(ISNA(MATCH(572,Engine!$C$2:$C$622,0)),"",INDEX('Compliance Database'!$N$2:$N$622,MATCH(572,Engine!$C$2:$C$622,0)))</f>
        <v/>
      </c>
      <c r="O585" s="8">
        <f>IF(ISNA(MATCH(572,Engine!$C$2:$C$622,0)),"",INDEX('Compliance Database'!$O$2:$O$622,MATCH(572,Engine!$C$2:$C$622,0)))</f>
        <v/>
      </c>
    </row>
    <row r="586">
      <c r="A586">
        <f>IF(ISNA(MATCH(573,Engine!$C$2:$C$622,0)),"",INDEX('Compliance Database'!$A$2:$A$622,MATCH(573,Engine!$C$2:$C$622,0)))</f>
        <v/>
      </c>
      <c r="B586">
        <f>IF(ISNA(MATCH(573,Engine!$C$2:$C$622,0)),"",INDEX('Compliance Database'!$B$2:$B$622,MATCH(573,Engine!$C$2:$C$622,0)))</f>
        <v/>
      </c>
      <c r="C586">
        <f>IF(ISNA(MATCH(573,Engine!$C$2:$C$622,0)),"",INDEX('Compliance Database'!$C$2:$C$622,MATCH(573,Engine!$C$2:$C$622,0)))</f>
        <v/>
      </c>
      <c r="D586" s="8">
        <f>IF(ISNA(MATCH(573,Engine!$C$2:$C$622,0)),"",INDEX('Compliance Database'!$D$2:$D$622,MATCH(573,Engine!$C$2:$C$622,0)))</f>
        <v/>
      </c>
      <c r="E586">
        <f>IF(ISNA(MATCH(573,Engine!$C$2:$C$622,0)),"",INDEX('Compliance Database'!$E$2:$E$622,MATCH(573,Engine!$C$2:$C$622,0)))</f>
        <v/>
      </c>
      <c r="F586">
        <f>IF(ISNA(MATCH(573,Engine!$C$2:$C$622,0)),"",INDEX('Compliance Database'!$F$2:$F$622,MATCH(573,Engine!$C$2:$C$622,0)))</f>
        <v/>
      </c>
      <c r="G586">
        <f>IF(ISNA(MATCH(573,Engine!$C$2:$C$622,0)),"",INDEX('Compliance Database'!$G$2:$G$622,MATCH(573,Engine!$C$2:$C$622,0)))</f>
        <v/>
      </c>
      <c r="H586">
        <f>IF(ISNA(MATCH(573,Engine!$C$2:$C$622,0)),"",INDEX('Compliance Database'!$H$2:$H$622,MATCH(573,Engine!$C$2:$C$622,0)))</f>
        <v/>
      </c>
      <c r="I586" s="8">
        <f>IF(ISNA(MATCH(573,Engine!$C$2:$C$622,0)),"",INDEX('Compliance Database'!$I$2:$I$622,MATCH(573,Engine!$C$2:$C$622,0)))</f>
        <v/>
      </c>
      <c r="J586" s="8">
        <f>IF(ISNA(MATCH(573,Engine!$C$2:$C$622,0)),"",INDEX('Compliance Database'!$J$2:$J$622,MATCH(573,Engine!$C$2:$C$622,0)))</f>
        <v/>
      </c>
      <c r="K586">
        <f>IF(ISNA(MATCH(573,Engine!$C$2:$C$622,0)),"",INDEX('Compliance Database'!$K$2:$K$622,MATCH(573,Engine!$C$2:$C$622,0)))</f>
        <v/>
      </c>
      <c r="L586" s="8">
        <f>IF(ISNA(MATCH(573,Engine!$C$2:$C$622,0)),"",INDEX('Compliance Database'!$L$2:$L$622,MATCH(573,Engine!$C$2:$C$622,0)))</f>
        <v/>
      </c>
      <c r="M586" s="8">
        <f>IF(ISNA(MATCH(573,Engine!$C$2:$C$622,0)),"",INDEX('Compliance Database'!$M$2:$M$622,MATCH(573,Engine!$C$2:$C$622,0)))</f>
        <v/>
      </c>
      <c r="N586" s="8">
        <f>IF(ISNA(MATCH(573,Engine!$C$2:$C$622,0)),"",INDEX('Compliance Database'!$N$2:$N$622,MATCH(573,Engine!$C$2:$C$622,0)))</f>
        <v/>
      </c>
      <c r="O586" s="8">
        <f>IF(ISNA(MATCH(573,Engine!$C$2:$C$622,0)),"",INDEX('Compliance Database'!$O$2:$O$622,MATCH(573,Engine!$C$2:$C$622,0)))</f>
        <v/>
      </c>
    </row>
    <row r="587">
      <c r="A587">
        <f>IF(ISNA(MATCH(574,Engine!$C$2:$C$622,0)),"",INDEX('Compliance Database'!$A$2:$A$622,MATCH(574,Engine!$C$2:$C$622,0)))</f>
        <v/>
      </c>
      <c r="B587">
        <f>IF(ISNA(MATCH(574,Engine!$C$2:$C$622,0)),"",INDEX('Compliance Database'!$B$2:$B$622,MATCH(574,Engine!$C$2:$C$622,0)))</f>
        <v/>
      </c>
      <c r="C587">
        <f>IF(ISNA(MATCH(574,Engine!$C$2:$C$622,0)),"",INDEX('Compliance Database'!$C$2:$C$622,MATCH(574,Engine!$C$2:$C$622,0)))</f>
        <v/>
      </c>
      <c r="D587" s="8">
        <f>IF(ISNA(MATCH(574,Engine!$C$2:$C$622,0)),"",INDEX('Compliance Database'!$D$2:$D$622,MATCH(574,Engine!$C$2:$C$622,0)))</f>
        <v/>
      </c>
      <c r="E587">
        <f>IF(ISNA(MATCH(574,Engine!$C$2:$C$622,0)),"",INDEX('Compliance Database'!$E$2:$E$622,MATCH(574,Engine!$C$2:$C$622,0)))</f>
        <v/>
      </c>
      <c r="F587">
        <f>IF(ISNA(MATCH(574,Engine!$C$2:$C$622,0)),"",INDEX('Compliance Database'!$F$2:$F$622,MATCH(574,Engine!$C$2:$C$622,0)))</f>
        <v/>
      </c>
      <c r="G587">
        <f>IF(ISNA(MATCH(574,Engine!$C$2:$C$622,0)),"",INDEX('Compliance Database'!$G$2:$G$622,MATCH(574,Engine!$C$2:$C$622,0)))</f>
        <v/>
      </c>
      <c r="H587">
        <f>IF(ISNA(MATCH(574,Engine!$C$2:$C$622,0)),"",INDEX('Compliance Database'!$H$2:$H$622,MATCH(574,Engine!$C$2:$C$622,0)))</f>
        <v/>
      </c>
      <c r="I587" s="8">
        <f>IF(ISNA(MATCH(574,Engine!$C$2:$C$622,0)),"",INDEX('Compliance Database'!$I$2:$I$622,MATCH(574,Engine!$C$2:$C$622,0)))</f>
        <v/>
      </c>
      <c r="J587" s="8">
        <f>IF(ISNA(MATCH(574,Engine!$C$2:$C$622,0)),"",INDEX('Compliance Database'!$J$2:$J$622,MATCH(574,Engine!$C$2:$C$622,0)))</f>
        <v/>
      </c>
      <c r="K587">
        <f>IF(ISNA(MATCH(574,Engine!$C$2:$C$622,0)),"",INDEX('Compliance Database'!$K$2:$K$622,MATCH(574,Engine!$C$2:$C$622,0)))</f>
        <v/>
      </c>
      <c r="L587" s="8">
        <f>IF(ISNA(MATCH(574,Engine!$C$2:$C$622,0)),"",INDEX('Compliance Database'!$L$2:$L$622,MATCH(574,Engine!$C$2:$C$622,0)))</f>
        <v/>
      </c>
      <c r="M587" s="8">
        <f>IF(ISNA(MATCH(574,Engine!$C$2:$C$622,0)),"",INDEX('Compliance Database'!$M$2:$M$622,MATCH(574,Engine!$C$2:$C$622,0)))</f>
        <v/>
      </c>
      <c r="N587" s="8">
        <f>IF(ISNA(MATCH(574,Engine!$C$2:$C$622,0)),"",INDEX('Compliance Database'!$N$2:$N$622,MATCH(574,Engine!$C$2:$C$622,0)))</f>
        <v/>
      </c>
      <c r="O587" s="8">
        <f>IF(ISNA(MATCH(574,Engine!$C$2:$C$622,0)),"",INDEX('Compliance Database'!$O$2:$O$622,MATCH(574,Engine!$C$2:$C$622,0)))</f>
        <v/>
      </c>
    </row>
    <row r="588">
      <c r="A588">
        <f>IF(ISNA(MATCH(575,Engine!$C$2:$C$622,0)),"",INDEX('Compliance Database'!$A$2:$A$622,MATCH(575,Engine!$C$2:$C$622,0)))</f>
        <v/>
      </c>
      <c r="B588">
        <f>IF(ISNA(MATCH(575,Engine!$C$2:$C$622,0)),"",INDEX('Compliance Database'!$B$2:$B$622,MATCH(575,Engine!$C$2:$C$622,0)))</f>
        <v/>
      </c>
      <c r="C588">
        <f>IF(ISNA(MATCH(575,Engine!$C$2:$C$622,0)),"",INDEX('Compliance Database'!$C$2:$C$622,MATCH(575,Engine!$C$2:$C$622,0)))</f>
        <v/>
      </c>
      <c r="D588" s="8">
        <f>IF(ISNA(MATCH(575,Engine!$C$2:$C$622,0)),"",INDEX('Compliance Database'!$D$2:$D$622,MATCH(575,Engine!$C$2:$C$622,0)))</f>
        <v/>
      </c>
      <c r="E588">
        <f>IF(ISNA(MATCH(575,Engine!$C$2:$C$622,0)),"",INDEX('Compliance Database'!$E$2:$E$622,MATCH(575,Engine!$C$2:$C$622,0)))</f>
        <v/>
      </c>
      <c r="F588">
        <f>IF(ISNA(MATCH(575,Engine!$C$2:$C$622,0)),"",INDEX('Compliance Database'!$F$2:$F$622,MATCH(575,Engine!$C$2:$C$622,0)))</f>
        <v/>
      </c>
      <c r="G588">
        <f>IF(ISNA(MATCH(575,Engine!$C$2:$C$622,0)),"",INDEX('Compliance Database'!$G$2:$G$622,MATCH(575,Engine!$C$2:$C$622,0)))</f>
        <v/>
      </c>
      <c r="H588">
        <f>IF(ISNA(MATCH(575,Engine!$C$2:$C$622,0)),"",INDEX('Compliance Database'!$H$2:$H$622,MATCH(575,Engine!$C$2:$C$622,0)))</f>
        <v/>
      </c>
      <c r="I588" s="8">
        <f>IF(ISNA(MATCH(575,Engine!$C$2:$C$622,0)),"",INDEX('Compliance Database'!$I$2:$I$622,MATCH(575,Engine!$C$2:$C$622,0)))</f>
        <v/>
      </c>
      <c r="J588" s="8">
        <f>IF(ISNA(MATCH(575,Engine!$C$2:$C$622,0)),"",INDEX('Compliance Database'!$J$2:$J$622,MATCH(575,Engine!$C$2:$C$622,0)))</f>
        <v/>
      </c>
      <c r="K588">
        <f>IF(ISNA(MATCH(575,Engine!$C$2:$C$622,0)),"",INDEX('Compliance Database'!$K$2:$K$622,MATCH(575,Engine!$C$2:$C$622,0)))</f>
        <v/>
      </c>
      <c r="L588" s="8">
        <f>IF(ISNA(MATCH(575,Engine!$C$2:$C$622,0)),"",INDEX('Compliance Database'!$L$2:$L$622,MATCH(575,Engine!$C$2:$C$622,0)))</f>
        <v/>
      </c>
      <c r="M588" s="8">
        <f>IF(ISNA(MATCH(575,Engine!$C$2:$C$622,0)),"",INDEX('Compliance Database'!$M$2:$M$622,MATCH(575,Engine!$C$2:$C$622,0)))</f>
        <v/>
      </c>
      <c r="N588" s="8">
        <f>IF(ISNA(MATCH(575,Engine!$C$2:$C$622,0)),"",INDEX('Compliance Database'!$N$2:$N$622,MATCH(575,Engine!$C$2:$C$622,0)))</f>
        <v/>
      </c>
      <c r="O588" s="8">
        <f>IF(ISNA(MATCH(575,Engine!$C$2:$C$622,0)),"",INDEX('Compliance Database'!$O$2:$O$622,MATCH(575,Engine!$C$2:$C$622,0)))</f>
        <v/>
      </c>
    </row>
    <row r="589">
      <c r="A589">
        <f>IF(ISNA(MATCH(576,Engine!$C$2:$C$622,0)),"",INDEX('Compliance Database'!$A$2:$A$622,MATCH(576,Engine!$C$2:$C$622,0)))</f>
        <v/>
      </c>
      <c r="B589">
        <f>IF(ISNA(MATCH(576,Engine!$C$2:$C$622,0)),"",INDEX('Compliance Database'!$B$2:$B$622,MATCH(576,Engine!$C$2:$C$622,0)))</f>
        <v/>
      </c>
      <c r="C589">
        <f>IF(ISNA(MATCH(576,Engine!$C$2:$C$622,0)),"",INDEX('Compliance Database'!$C$2:$C$622,MATCH(576,Engine!$C$2:$C$622,0)))</f>
        <v/>
      </c>
      <c r="D589" s="8">
        <f>IF(ISNA(MATCH(576,Engine!$C$2:$C$622,0)),"",INDEX('Compliance Database'!$D$2:$D$622,MATCH(576,Engine!$C$2:$C$622,0)))</f>
        <v/>
      </c>
      <c r="E589">
        <f>IF(ISNA(MATCH(576,Engine!$C$2:$C$622,0)),"",INDEX('Compliance Database'!$E$2:$E$622,MATCH(576,Engine!$C$2:$C$622,0)))</f>
        <v/>
      </c>
      <c r="F589">
        <f>IF(ISNA(MATCH(576,Engine!$C$2:$C$622,0)),"",INDEX('Compliance Database'!$F$2:$F$622,MATCH(576,Engine!$C$2:$C$622,0)))</f>
        <v/>
      </c>
      <c r="G589">
        <f>IF(ISNA(MATCH(576,Engine!$C$2:$C$622,0)),"",INDEX('Compliance Database'!$G$2:$G$622,MATCH(576,Engine!$C$2:$C$622,0)))</f>
        <v/>
      </c>
      <c r="H589">
        <f>IF(ISNA(MATCH(576,Engine!$C$2:$C$622,0)),"",INDEX('Compliance Database'!$H$2:$H$622,MATCH(576,Engine!$C$2:$C$622,0)))</f>
        <v/>
      </c>
      <c r="I589" s="8">
        <f>IF(ISNA(MATCH(576,Engine!$C$2:$C$622,0)),"",INDEX('Compliance Database'!$I$2:$I$622,MATCH(576,Engine!$C$2:$C$622,0)))</f>
        <v/>
      </c>
      <c r="J589" s="8">
        <f>IF(ISNA(MATCH(576,Engine!$C$2:$C$622,0)),"",INDEX('Compliance Database'!$J$2:$J$622,MATCH(576,Engine!$C$2:$C$622,0)))</f>
        <v/>
      </c>
      <c r="K589">
        <f>IF(ISNA(MATCH(576,Engine!$C$2:$C$622,0)),"",INDEX('Compliance Database'!$K$2:$K$622,MATCH(576,Engine!$C$2:$C$622,0)))</f>
        <v/>
      </c>
      <c r="L589" s="8">
        <f>IF(ISNA(MATCH(576,Engine!$C$2:$C$622,0)),"",INDEX('Compliance Database'!$L$2:$L$622,MATCH(576,Engine!$C$2:$C$622,0)))</f>
        <v/>
      </c>
      <c r="M589" s="8">
        <f>IF(ISNA(MATCH(576,Engine!$C$2:$C$622,0)),"",INDEX('Compliance Database'!$M$2:$M$622,MATCH(576,Engine!$C$2:$C$622,0)))</f>
        <v/>
      </c>
      <c r="N589" s="8">
        <f>IF(ISNA(MATCH(576,Engine!$C$2:$C$622,0)),"",INDEX('Compliance Database'!$N$2:$N$622,MATCH(576,Engine!$C$2:$C$622,0)))</f>
        <v/>
      </c>
      <c r="O589" s="8">
        <f>IF(ISNA(MATCH(576,Engine!$C$2:$C$622,0)),"",INDEX('Compliance Database'!$O$2:$O$622,MATCH(576,Engine!$C$2:$C$622,0)))</f>
        <v/>
      </c>
    </row>
    <row r="590">
      <c r="A590">
        <f>IF(ISNA(MATCH(577,Engine!$C$2:$C$622,0)),"",INDEX('Compliance Database'!$A$2:$A$622,MATCH(577,Engine!$C$2:$C$622,0)))</f>
        <v/>
      </c>
      <c r="B590">
        <f>IF(ISNA(MATCH(577,Engine!$C$2:$C$622,0)),"",INDEX('Compliance Database'!$B$2:$B$622,MATCH(577,Engine!$C$2:$C$622,0)))</f>
        <v/>
      </c>
      <c r="C590">
        <f>IF(ISNA(MATCH(577,Engine!$C$2:$C$622,0)),"",INDEX('Compliance Database'!$C$2:$C$622,MATCH(577,Engine!$C$2:$C$622,0)))</f>
        <v/>
      </c>
      <c r="D590" s="8">
        <f>IF(ISNA(MATCH(577,Engine!$C$2:$C$622,0)),"",INDEX('Compliance Database'!$D$2:$D$622,MATCH(577,Engine!$C$2:$C$622,0)))</f>
        <v/>
      </c>
      <c r="E590">
        <f>IF(ISNA(MATCH(577,Engine!$C$2:$C$622,0)),"",INDEX('Compliance Database'!$E$2:$E$622,MATCH(577,Engine!$C$2:$C$622,0)))</f>
        <v/>
      </c>
      <c r="F590">
        <f>IF(ISNA(MATCH(577,Engine!$C$2:$C$622,0)),"",INDEX('Compliance Database'!$F$2:$F$622,MATCH(577,Engine!$C$2:$C$622,0)))</f>
        <v/>
      </c>
      <c r="G590">
        <f>IF(ISNA(MATCH(577,Engine!$C$2:$C$622,0)),"",INDEX('Compliance Database'!$G$2:$G$622,MATCH(577,Engine!$C$2:$C$622,0)))</f>
        <v/>
      </c>
      <c r="H590">
        <f>IF(ISNA(MATCH(577,Engine!$C$2:$C$622,0)),"",INDEX('Compliance Database'!$H$2:$H$622,MATCH(577,Engine!$C$2:$C$622,0)))</f>
        <v/>
      </c>
      <c r="I590" s="8">
        <f>IF(ISNA(MATCH(577,Engine!$C$2:$C$622,0)),"",INDEX('Compliance Database'!$I$2:$I$622,MATCH(577,Engine!$C$2:$C$622,0)))</f>
        <v/>
      </c>
      <c r="J590" s="8">
        <f>IF(ISNA(MATCH(577,Engine!$C$2:$C$622,0)),"",INDEX('Compliance Database'!$J$2:$J$622,MATCH(577,Engine!$C$2:$C$622,0)))</f>
        <v/>
      </c>
      <c r="K590">
        <f>IF(ISNA(MATCH(577,Engine!$C$2:$C$622,0)),"",INDEX('Compliance Database'!$K$2:$K$622,MATCH(577,Engine!$C$2:$C$622,0)))</f>
        <v/>
      </c>
      <c r="L590" s="8">
        <f>IF(ISNA(MATCH(577,Engine!$C$2:$C$622,0)),"",INDEX('Compliance Database'!$L$2:$L$622,MATCH(577,Engine!$C$2:$C$622,0)))</f>
        <v/>
      </c>
      <c r="M590" s="8">
        <f>IF(ISNA(MATCH(577,Engine!$C$2:$C$622,0)),"",INDEX('Compliance Database'!$M$2:$M$622,MATCH(577,Engine!$C$2:$C$622,0)))</f>
        <v/>
      </c>
      <c r="N590" s="8">
        <f>IF(ISNA(MATCH(577,Engine!$C$2:$C$622,0)),"",INDEX('Compliance Database'!$N$2:$N$622,MATCH(577,Engine!$C$2:$C$622,0)))</f>
        <v/>
      </c>
      <c r="O590" s="8">
        <f>IF(ISNA(MATCH(577,Engine!$C$2:$C$622,0)),"",INDEX('Compliance Database'!$O$2:$O$622,MATCH(577,Engine!$C$2:$C$622,0)))</f>
        <v/>
      </c>
    </row>
    <row r="591">
      <c r="A591">
        <f>IF(ISNA(MATCH(578,Engine!$C$2:$C$622,0)),"",INDEX('Compliance Database'!$A$2:$A$622,MATCH(578,Engine!$C$2:$C$622,0)))</f>
        <v/>
      </c>
      <c r="B591">
        <f>IF(ISNA(MATCH(578,Engine!$C$2:$C$622,0)),"",INDEX('Compliance Database'!$B$2:$B$622,MATCH(578,Engine!$C$2:$C$622,0)))</f>
        <v/>
      </c>
      <c r="C591">
        <f>IF(ISNA(MATCH(578,Engine!$C$2:$C$622,0)),"",INDEX('Compliance Database'!$C$2:$C$622,MATCH(578,Engine!$C$2:$C$622,0)))</f>
        <v/>
      </c>
      <c r="D591" s="8">
        <f>IF(ISNA(MATCH(578,Engine!$C$2:$C$622,0)),"",INDEX('Compliance Database'!$D$2:$D$622,MATCH(578,Engine!$C$2:$C$622,0)))</f>
        <v/>
      </c>
      <c r="E591">
        <f>IF(ISNA(MATCH(578,Engine!$C$2:$C$622,0)),"",INDEX('Compliance Database'!$E$2:$E$622,MATCH(578,Engine!$C$2:$C$622,0)))</f>
        <v/>
      </c>
      <c r="F591">
        <f>IF(ISNA(MATCH(578,Engine!$C$2:$C$622,0)),"",INDEX('Compliance Database'!$F$2:$F$622,MATCH(578,Engine!$C$2:$C$622,0)))</f>
        <v/>
      </c>
      <c r="G591">
        <f>IF(ISNA(MATCH(578,Engine!$C$2:$C$622,0)),"",INDEX('Compliance Database'!$G$2:$G$622,MATCH(578,Engine!$C$2:$C$622,0)))</f>
        <v/>
      </c>
      <c r="H591">
        <f>IF(ISNA(MATCH(578,Engine!$C$2:$C$622,0)),"",INDEX('Compliance Database'!$H$2:$H$622,MATCH(578,Engine!$C$2:$C$622,0)))</f>
        <v/>
      </c>
      <c r="I591" s="8">
        <f>IF(ISNA(MATCH(578,Engine!$C$2:$C$622,0)),"",INDEX('Compliance Database'!$I$2:$I$622,MATCH(578,Engine!$C$2:$C$622,0)))</f>
        <v/>
      </c>
      <c r="J591" s="8">
        <f>IF(ISNA(MATCH(578,Engine!$C$2:$C$622,0)),"",INDEX('Compliance Database'!$J$2:$J$622,MATCH(578,Engine!$C$2:$C$622,0)))</f>
        <v/>
      </c>
      <c r="K591">
        <f>IF(ISNA(MATCH(578,Engine!$C$2:$C$622,0)),"",INDEX('Compliance Database'!$K$2:$K$622,MATCH(578,Engine!$C$2:$C$622,0)))</f>
        <v/>
      </c>
      <c r="L591" s="8">
        <f>IF(ISNA(MATCH(578,Engine!$C$2:$C$622,0)),"",INDEX('Compliance Database'!$L$2:$L$622,MATCH(578,Engine!$C$2:$C$622,0)))</f>
        <v/>
      </c>
      <c r="M591" s="8">
        <f>IF(ISNA(MATCH(578,Engine!$C$2:$C$622,0)),"",INDEX('Compliance Database'!$M$2:$M$622,MATCH(578,Engine!$C$2:$C$622,0)))</f>
        <v/>
      </c>
      <c r="N591" s="8">
        <f>IF(ISNA(MATCH(578,Engine!$C$2:$C$622,0)),"",INDEX('Compliance Database'!$N$2:$N$622,MATCH(578,Engine!$C$2:$C$622,0)))</f>
        <v/>
      </c>
      <c r="O591" s="8">
        <f>IF(ISNA(MATCH(578,Engine!$C$2:$C$622,0)),"",INDEX('Compliance Database'!$O$2:$O$622,MATCH(578,Engine!$C$2:$C$622,0)))</f>
        <v/>
      </c>
    </row>
    <row r="592">
      <c r="A592">
        <f>IF(ISNA(MATCH(579,Engine!$C$2:$C$622,0)),"",INDEX('Compliance Database'!$A$2:$A$622,MATCH(579,Engine!$C$2:$C$622,0)))</f>
        <v/>
      </c>
      <c r="B592">
        <f>IF(ISNA(MATCH(579,Engine!$C$2:$C$622,0)),"",INDEX('Compliance Database'!$B$2:$B$622,MATCH(579,Engine!$C$2:$C$622,0)))</f>
        <v/>
      </c>
      <c r="C592">
        <f>IF(ISNA(MATCH(579,Engine!$C$2:$C$622,0)),"",INDEX('Compliance Database'!$C$2:$C$622,MATCH(579,Engine!$C$2:$C$622,0)))</f>
        <v/>
      </c>
      <c r="D592" s="8">
        <f>IF(ISNA(MATCH(579,Engine!$C$2:$C$622,0)),"",INDEX('Compliance Database'!$D$2:$D$622,MATCH(579,Engine!$C$2:$C$622,0)))</f>
        <v/>
      </c>
      <c r="E592">
        <f>IF(ISNA(MATCH(579,Engine!$C$2:$C$622,0)),"",INDEX('Compliance Database'!$E$2:$E$622,MATCH(579,Engine!$C$2:$C$622,0)))</f>
        <v/>
      </c>
      <c r="F592">
        <f>IF(ISNA(MATCH(579,Engine!$C$2:$C$622,0)),"",INDEX('Compliance Database'!$F$2:$F$622,MATCH(579,Engine!$C$2:$C$622,0)))</f>
        <v/>
      </c>
      <c r="G592">
        <f>IF(ISNA(MATCH(579,Engine!$C$2:$C$622,0)),"",INDEX('Compliance Database'!$G$2:$G$622,MATCH(579,Engine!$C$2:$C$622,0)))</f>
        <v/>
      </c>
      <c r="H592">
        <f>IF(ISNA(MATCH(579,Engine!$C$2:$C$622,0)),"",INDEX('Compliance Database'!$H$2:$H$622,MATCH(579,Engine!$C$2:$C$622,0)))</f>
        <v/>
      </c>
      <c r="I592" s="8">
        <f>IF(ISNA(MATCH(579,Engine!$C$2:$C$622,0)),"",INDEX('Compliance Database'!$I$2:$I$622,MATCH(579,Engine!$C$2:$C$622,0)))</f>
        <v/>
      </c>
      <c r="J592" s="8">
        <f>IF(ISNA(MATCH(579,Engine!$C$2:$C$622,0)),"",INDEX('Compliance Database'!$J$2:$J$622,MATCH(579,Engine!$C$2:$C$622,0)))</f>
        <v/>
      </c>
      <c r="K592">
        <f>IF(ISNA(MATCH(579,Engine!$C$2:$C$622,0)),"",INDEX('Compliance Database'!$K$2:$K$622,MATCH(579,Engine!$C$2:$C$622,0)))</f>
        <v/>
      </c>
      <c r="L592" s="8">
        <f>IF(ISNA(MATCH(579,Engine!$C$2:$C$622,0)),"",INDEX('Compliance Database'!$L$2:$L$622,MATCH(579,Engine!$C$2:$C$622,0)))</f>
        <v/>
      </c>
      <c r="M592" s="8">
        <f>IF(ISNA(MATCH(579,Engine!$C$2:$C$622,0)),"",INDEX('Compliance Database'!$M$2:$M$622,MATCH(579,Engine!$C$2:$C$622,0)))</f>
        <v/>
      </c>
      <c r="N592" s="8">
        <f>IF(ISNA(MATCH(579,Engine!$C$2:$C$622,0)),"",INDEX('Compliance Database'!$N$2:$N$622,MATCH(579,Engine!$C$2:$C$622,0)))</f>
        <v/>
      </c>
      <c r="O592" s="8">
        <f>IF(ISNA(MATCH(579,Engine!$C$2:$C$622,0)),"",INDEX('Compliance Database'!$O$2:$O$622,MATCH(579,Engine!$C$2:$C$622,0)))</f>
        <v/>
      </c>
    </row>
    <row r="593">
      <c r="A593">
        <f>IF(ISNA(MATCH(580,Engine!$C$2:$C$622,0)),"",INDEX('Compliance Database'!$A$2:$A$622,MATCH(580,Engine!$C$2:$C$622,0)))</f>
        <v/>
      </c>
      <c r="B593">
        <f>IF(ISNA(MATCH(580,Engine!$C$2:$C$622,0)),"",INDEX('Compliance Database'!$B$2:$B$622,MATCH(580,Engine!$C$2:$C$622,0)))</f>
        <v/>
      </c>
      <c r="C593">
        <f>IF(ISNA(MATCH(580,Engine!$C$2:$C$622,0)),"",INDEX('Compliance Database'!$C$2:$C$622,MATCH(580,Engine!$C$2:$C$622,0)))</f>
        <v/>
      </c>
      <c r="D593" s="8">
        <f>IF(ISNA(MATCH(580,Engine!$C$2:$C$622,0)),"",INDEX('Compliance Database'!$D$2:$D$622,MATCH(580,Engine!$C$2:$C$622,0)))</f>
        <v/>
      </c>
      <c r="E593">
        <f>IF(ISNA(MATCH(580,Engine!$C$2:$C$622,0)),"",INDEX('Compliance Database'!$E$2:$E$622,MATCH(580,Engine!$C$2:$C$622,0)))</f>
        <v/>
      </c>
      <c r="F593">
        <f>IF(ISNA(MATCH(580,Engine!$C$2:$C$622,0)),"",INDEX('Compliance Database'!$F$2:$F$622,MATCH(580,Engine!$C$2:$C$622,0)))</f>
        <v/>
      </c>
      <c r="G593">
        <f>IF(ISNA(MATCH(580,Engine!$C$2:$C$622,0)),"",INDEX('Compliance Database'!$G$2:$G$622,MATCH(580,Engine!$C$2:$C$622,0)))</f>
        <v/>
      </c>
      <c r="H593">
        <f>IF(ISNA(MATCH(580,Engine!$C$2:$C$622,0)),"",INDEX('Compliance Database'!$H$2:$H$622,MATCH(580,Engine!$C$2:$C$622,0)))</f>
        <v/>
      </c>
      <c r="I593" s="8">
        <f>IF(ISNA(MATCH(580,Engine!$C$2:$C$622,0)),"",INDEX('Compliance Database'!$I$2:$I$622,MATCH(580,Engine!$C$2:$C$622,0)))</f>
        <v/>
      </c>
      <c r="J593" s="8">
        <f>IF(ISNA(MATCH(580,Engine!$C$2:$C$622,0)),"",INDEX('Compliance Database'!$J$2:$J$622,MATCH(580,Engine!$C$2:$C$622,0)))</f>
        <v/>
      </c>
      <c r="K593">
        <f>IF(ISNA(MATCH(580,Engine!$C$2:$C$622,0)),"",INDEX('Compliance Database'!$K$2:$K$622,MATCH(580,Engine!$C$2:$C$622,0)))</f>
        <v/>
      </c>
      <c r="L593" s="8">
        <f>IF(ISNA(MATCH(580,Engine!$C$2:$C$622,0)),"",INDEX('Compliance Database'!$L$2:$L$622,MATCH(580,Engine!$C$2:$C$622,0)))</f>
        <v/>
      </c>
      <c r="M593" s="8">
        <f>IF(ISNA(MATCH(580,Engine!$C$2:$C$622,0)),"",INDEX('Compliance Database'!$M$2:$M$622,MATCH(580,Engine!$C$2:$C$622,0)))</f>
        <v/>
      </c>
      <c r="N593" s="8">
        <f>IF(ISNA(MATCH(580,Engine!$C$2:$C$622,0)),"",INDEX('Compliance Database'!$N$2:$N$622,MATCH(580,Engine!$C$2:$C$622,0)))</f>
        <v/>
      </c>
      <c r="O593" s="8">
        <f>IF(ISNA(MATCH(580,Engine!$C$2:$C$622,0)),"",INDEX('Compliance Database'!$O$2:$O$622,MATCH(580,Engine!$C$2:$C$622,0)))</f>
        <v/>
      </c>
    </row>
    <row r="594">
      <c r="A594">
        <f>IF(ISNA(MATCH(581,Engine!$C$2:$C$622,0)),"",INDEX('Compliance Database'!$A$2:$A$622,MATCH(581,Engine!$C$2:$C$622,0)))</f>
        <v/>
      </c>
      <c r="B594">
        <f>IF(ISNA(MATCH(581,Engine!$C$2:$C$622,0)),"",INDEX('Compliance Database'!$B$2:$B$622,MATCH(581,Engine!$C$2:$C$622,0)))</f>
        <v/>
      </c>
      <c r="C594">
        <f>IF(ISNA(MATCH(581,Engine!$C$2:$C$622,0)),"",INDEX('Compliance Database'!$C$2:$C$622,MATCH(581,Engine!$C$2:$C$622,0)))</f>
        <v/>
      </c>
      <c r="D594" s="8">
        <f>IF(ISNA(MATCH(581,Engine!$C$2:$C$622,0)),"",INDEX('Compliance Database'!$D$2:$D$622,MATCH(581,Engine!$C$2:$C$622,0)))</f>
        <v/>
      </c>
      <c r="E594">
        <f>IF(ISNA(MATCH(581,Engine!$C$2:$C$622,0)),"",INDEX('Compliance Database'!$E$2:$E$622,MATCH(581,Engine!$C$2:$C$622,0)))</f>
        <v/>
      </c>
      <c r="F594">
        <f>IF(ISNA(MATCH(581,Engine!$C$2:$C$622,0)),"",INDEX('Compliance Database'!$F$2:$F$622,MATCH(581,Engine!$C$2:$C$622,0)))</f>
        <v/>
      </c>
      <c r="G594">
        <f>IF(ISNA(MATCH(581,Engine!$C$2:$C$622,0)),"",INDEX('Compliance Database'!$G$2:$G$622,MATCH(581,Engine!$C$2:$C$622,0)))</f>
        <v/>
      </c>
      <c r="H594">
        <f>IF(ISNA(MATCH(581,Engine!$C$2:$C$622,0)),"",INDEX('Compliance Database'!$H$2:$H$622,MATCH(581,Engine!$C$2:$C$622,0)))</f>
        <v/>
      </c>
      <c r="I594" s="8">
        <f>IF(ISNA(MATCH(581,Engine!$C$2:$C$622,0)),"",INDEX('Compliance Database'!$I$2:$I$622,MATCH(581,Engine!$C$2:$C$622,0)))</f>
        <v/>
      </c>
      <c r="J594" s="8">
        <f>IF(ISNA(MATCH(581,Engine!$C$2:$C$622,0)),"",INDEX('Compliance Database'!$J$2:$J$622,MATCH(581,Engine!$C$2:$C$622,0)))</f>
        <v/>
      </c>
      <c r="K594">
        <f>IF(ISNA(MATCH(581,Engine!$C$2:$C$622,0)),"",INDEX('Compliance Database'!$K$2:$K$622,MATCH(581,Engine!$C$2:$C$622,0)))</f>
        <v/>
      </c>
      <c r="L594" s="8">
        <f>IF(ISNA(MATCH(581,Engine!$C$2:$C$622,0)),"",INDEX('Compliance Database'!$L$2:$L$622,MATCH(581,Engine!$C$2:$C$622,0)))</f>
        <v/>
      </c>
      <c r="M594" s="8">
        <f>IF(ISNA(MATCH(581,Engine!$C$2:$C$622,0)),"",INDEX('Compliance Database'!$M$2:$M$622,MATCH(581,Engine!$C$2:$C$622,0)))</f>
        <v/>
      </c>
      <c r="N594" s="8">
        <f>IF(ISNA(MATCH(581,Engine!$C$2:$C$622,0)),"",INDEX('Compliance Database'!$N$2:$N$622,MATCH(581,Engine!$C$2:$C$622,0)))</f>
        <v/>
      </c>
      <c r="O594" s="8">
        <f>IF(ISNA(MATCH(581,Engine!$C$2:$C$622,0)),"",INDEX('Compliance Database'!$O$2:$O$622,MATCH(581,Engine!$C$2:$C$622,0)))</f>
        <v/>
      </c>
    </row>
    <row r="595">
      <c r="A595">
        <f>IF(ISNA(MATCH(582,Engine!$C$2:$C$622,0)),"",INDEX('Compliance Database'!$A$2:$A$622,MATCH(582,Engine!$C$2:$C$622,0)))</f>
        <v/>
      </c>
      <c r="B595">
        <f>IF(ISNA(MATCH(582,Engine!$C$2:$C$622,0)),"",INDEX('Compliance Database'!$B$2:$B$622,MATCH(582,Engine!$C$2:$C$622,0)))</f>
        <v/>
      </c>
      <c r="C595">
        <f>IF(ISNA(MATCH(582,Engine!$C$2:$C$622,0)),"",INDEX('Compliance Database'!$C$2:$C$622,MATCH(582,Engine!$C$2:$C$622,0)))</f>
        <v/>
      </c>
      <c r="D595" s="8">
        <f>IF(ISNA(MATCH(582,Engine!$C$2:$C$622,0)),"",INDEX('Compliance Database'!$D$2:$D$622,MATCH(582,Engine!$C$2:$C$622,0)))</f>
        <v/>
      </c>
      <c r="E595">
        <f>IF(ISNA(MATCH(582,Engine!$C$2:$C$622,0)),"",INDEX('Compliance Database'!$E$2:$E$622,MATCH(582,Engine!$C$2:$C$622,0)))</f>
        <v/>
      </c>
      <c r="F595">
        <f>IF(ISNA(MATCH(582,Engine!$C$2:$C$622,0)),"",INDEX('Compliance Database'!$F$2:$F$622,MATCH(582,Engine!$C$2:$C$622,0)))</f>
        <v/>
      </c>
      <c r="G595">
        <f>IF(ISNA(MATCH(582,Engine!$C$2:$C$622,0)),"",INDEX('Compliance Database'!$G$2:$G$622,MATCH(582,Engine!$C$2:$C$622,0)))</f>
        <v/>
      </c>
      <c r="H595">
        <f>IF(ISNA(MATCH(582,Engine!$C$2:$C$622,0)),"",INDEX('Compliance Database'!$H$2:$H$622,MATCH(582,Engine!$C$2:$C$622,0)))</f>
        <v/>
      </c>
      <c r="I595" s="8">
        <f>IF(ISNA(MATCH(582,Engine!$C$2:$C$622,0)),"",INDEX('Compliance Database'!$I$2:$I$622,MATCH(582,Engine!$C$2:$C$622,0)))</f>
        <v/>
      </c>
      <c r="J595" s="8">
        <f>IF(ISNA(MATCH(582,Engine!$C$2:$C$622,0)),"",INDEX('Compliance Database'!$J$2:$J$622,MATCH(582,Engine!$C$2:$C$622,0)))</f>
        <v/>
      </c>
      <c r="K595">
        <f>IF(ISNA(MATCH(582,Engine!$C$2:$C$622,0)),"",INDEX('Compliance Database'!$K$2:$K$622,MATCH(582,Engine!$C$2:$C$622,0)))</f>
        <v/>
      </c>
      <c r="L595" s="8">
        <f>IF(ISNA(MATCH(582,Engine!$C$2:$C$622,0)),"",INDEX('Compliance Database'!$L$2:$L$622,MATCH(582,Engine!$C$2:$C$622,0)))</f>
        <v/>
      </c>
      <c r="M595" s="8">
        <f>IF(ISNA(MATCH(582,Engine!$C$2:$C$622,0)),"",INDEX('Compliance Database'!$M$2:$M$622,MATCH(582,Engine!$C$2:$C$622,0)))</f>
        <v/>
      </c>
      <c r="N595" s="8">
        <f>IF(ISNA(MATCH(582,Engine!$C$2:$C$622,0)),"",INDEX('Compliance Database'!$N$2:$N$622,MATCH(582,Engine!$C$2:$C$622,0)))</f>
        <v/>
      </c>
      <c r="O595" s="8">
        <f>IF(ISNA(MATCH(582,Engine!$C$2:$C$622,0)),"",INDEX('Compliance Database'!$O$2:$O$622,MATCH(582,Engine!$C$2:$C$622,0)))</f>
        <v/>
      </c>
    </row>
    <row r="596">
      <c r="A596">
        <f>IF(ISNA(MATCH(583,Engine!$C$2:$C$622,0)),"",INDEX('Compliance Database'!$A$2:$A$622,MATCH(583,Engine!$C$2:$C$622,0)))</f>
        <v/>
      </c>
      <c r="B596">
        <f>IF(ISNA(MATCH(583,Engine!$C$2:$C$622,0)),"",INDEX('Compliance Database'!$B$2:$B$622,MATCH(583,Engine!$C$2:$C$622,0)))</f>
        <v/>
      </c>
      <c r="C596">
        <f>IF(ISNA(MATCH(583,Engine!$C$2:$C$622,0)),"",INDEX('Compliance Database'!$C$2:$C$622,MATCH(583,Engine!$C$2:$C$622,0)))</f>
        <v/>
      </c>
      <c r="D596" s="8">
        <f>IF(ISNA(MATCH(583,Engine!$C$2:$C$622,0)),"",INDEX('Compliance Database'!$D$2:$D$622,MATCH(583,Engine!$C$2:$C$622,0)))</f>
        <v/>
      </c>
      <c r="E596">
        <f>IF(ISNA(MATCH(583,Engine!$C$2:$C$622,0)),"",INDEX('Compliance Database'!$E$2:$E$622,MATCH(583,Engine!$C$2:$C$622,0)))</f>
        <v/>
      </c>
      <c r="F596">
        <f>IF(ISNA(MATCH(583,Engine!$C$2:$C$622,0)),"",INDEX('Compliance Database'!$F$2:$F$622,MATCH(583,Engine!$C$2:$C$622,0)))</f>
        <v/>
      </c>
      <c r="G596">
        <f>IF(ISNA(MATCH(583,Engine!$C$2:$C$622,0)),"",INDEX('Compliance Database'!$G$2:$G$622,MATCH(583,Engine!$C$2:$C$622,0)))</f>
        <v/>
      </c>
      <c r="H596">
        <f>IF(ISNA(MATCH(583,Engine!$C$2:$C$622,0)),"",INDEX('Compliance Database'!$H$2:$H$622,MATCH(583,Engine!$C$2:$C$622,0)))</f>
        <v/>
      </c>
      <c r="I596" s="8">
        <f>IF(ISNA(MATCH(583,Engine!$C$2:$C$622,0)),"",INDEX('Compliance Database'!$I$2:$I$622,MATCH(583,Engine!$C$2:$C$622,0)))</f>
        <v/>
      </c>
      <c r="J596" s="8">
        <f>IF(ISNA(MATCH(583,Engine!$C$2:$C$622,0)),"",INDEX('Compliance Database'!$J$2:$J$622,MATCH(583,Engine!$C$2:$C$622,0)))</f>
        <v/>
      </c>
      <c r="K596">
        <f>IF(ISNA(MATCH(583,Engine!$C$2:$C$622,0)),"",INDEX('Compliance Database'!$K$2:$K$622,MATCH(583,Engine!$C$2:$C$622,0)))</f>
        <v/>
      </c>
      <c r="L596" s="8">
        <f>IF(ISNA(MATCH(583,Engine!$C$2:$C$622,0)),"",INDEX('Compliance Database'!$L$2:$L$622,MATCH(583,Engine!$C$2:$C$622,0)))</f>
        <v/>
      </c>
      <c r="M596" s="8">
        <f>IF(ISNA(MATCH(583,Engine!$C$2:$C$622,0)),"",INDEX('Compliance Database'!$M$2:$M$622,MATCH(583,Engine!$C$2:$C$622,0)))</f>
        <v/>
      </c>
      <c r="N596" s="8">
        <f>IF(ISNA(MATCH(583,Engine!$C$2:$C$622,0)),"",INDEX('Compliance Database'!$N$2:$N$622,MATCH(583,Engine!$C$2:$C$622,0)))</f>
        <v/>
      </c>
      <c r="O596" s="8">
        <f>IF(ISNA(MATCH(583,Engine!$C$2:$C$622,0)),"",INDEX('Compliance Database'!$O$2:$O$622,MATCH(583,Engine!$C$2:$C$622,0)))</f>
        <v/>
      </c>
    </row>
    <row r="597">
      <c r="A597">
        <f>IF(ISNA(MATCH(584,Engine!$C$2:$C$622,0)),"",INDEX('Compliance Database'!$A$2:$A$622,MATCH(584,Engine!$C$2:$C$622,0)))</f>
        <v/>
      </c>
      <c r="B597">
        <f>IF(ISNA(MATCH(584,Engine!$C$2:$C$622,0)),"",INDEX('Compliance Database'!$B$2:$B$622,MATCH(584,Engine!$C$2:$C$622,0)))</f>
        <v/>
      </c>
      <c r="C597">
        <f>IF(ISNA(MATCH(584,Engine!$C$2:$C$622,0)),"",INDEX('Compliance Database'!$C$2:$C$622,MATCH(584,Engine!$C$2:$C$622,0)))</f>
        <v/>
      </c>
      <c r="D597" s="8">
        <f>IF(ISNA(MATCH(584,Engine!$C$2:$C$622,0)),"",INDEX('Compliance Database'!$D$2:$D$622,MATCH(584,Engine!$C$2:$C$622,0)))</f>
        <v/>
      </c>
      <c r="E597">
        <f>IF(ISNA(MATCH(584,Engine!$C$2:$C$622,0)),"",INDEX('Compliance Database'!$E$2:$E$622,MATCH(584,Engine!$C$2:$C$622,0)))</f>
        <v/>
      </c>
      <c r="F597">
        <f>IF(ISNA(MATCH(584,Engine!$C$2:$C$622,0)),"",INDEX('Compliance Database'!$F$2:$F$622,MATCH(584,Engine!$C$2:$C$622,0)))</f>
        <v/>
      </c>
      <c r="G597">
        <f>IF(ISNA(MATCH(584,Engine!$C$2:$C$622,0)),"",INDEX('Compliance Database'!$G$2:$G$622,MATCH(584,Engine!$C$2:$C$622,0)))</f>
        <v/>
      </c>
      <c r="H597">
        <f>IF(ISNA(MATCH(584,Engine!$C$2:$C$622,0)),"",INDEX('Compliance Database'!$H$2:$H$622,MATCH(584,Engine!$C$2:$C$622,0)))</f>
        <v/>
      </c>
      <c r="I597" s="8">
        <f>IF(ISNA(MATCH(584,Engine!$C$2:$C$622,0)),"",INDEX('Compliance Database'!$I$2:$I$622,MATCH(584,Engine!$C$2:$C$622,0)))</f>
        <v/>
      </c>
      <c r="J597" s="8">
        <f>IF(ISNA(MATCH(584,Engine!$C$2:$C$622,0)),"",INDEX('Compliance Database'!$J$2:$J$622,MATCH(584,Engine!$C$2:$C$622,0)))</f>
        <v/>
      </c>
      <c r="K597">
        <f>IF(ISNA(MATCH(584,Engine!$C$2:$C$622,0)),"",INDEX('Compliance Database'!$K$2:$K$622,MATCH(584,Engine!$C$2:$C$622,0)))</f>
        <v/>
      </c>
      <c r="L597" s="8">
        <f>IF(ISNA(MATCH(584,Engine!$C$2:$C$622,0)),"",INDEX('Compliance Database'!$L$2:$L$622,MATCH(584,Engine!$C$2:$C$622,0)))</f>
        <v/>
      </c>
      <c r="M597" s="8">
        <f>IF(ISNA(MATCH(584,Engine!$C$2:$C$622,0)),"",INDEX('Compliance Database'!$M$2:$M$622,MATCH(584,Engine!$C$2:$C$622,0)))</f>
        <v/>
      </c>
      <c r="N597" s="8">
        <f>IF(ISNA(MATCH(584,Engine!$C$2:$C$622,0)),"",INDEX('Compliance Database'!$N$2:$N$622,MATCH(584,Engine!$C$2:$C$622,0)))</f>
        <v/>
      </c>
      <c r="O597" s="8">
        <f>IF(ISNA(MATCH(584,Engine!$C$2:$C$622,0)),"",INDEX('Compliance Database'!$O$2:$O$622,MATCH(584,Engine!$C$2:$C$622,0)))</f>
        <v/>
      </c>
    </row>
    <row r="598">
      <c r="A598">
        <f>IF(ISNA(MATCH(585,Engine!$C$2:$C$622,0)),"",INDEX('Compliance Database'!$A$2:$A$622,MATCH(585,Engine!$C$2:$C$622,0)))</f>
        <v/>
      </c>
      <c r="B598">
        <f>IF(ISNA(MATCH(585,Engine!$C$2:$C$622,0)),"",INDEX('Compliance Database'!$B$2:$B$622,MATCH(585,Engine!$C$2:$C$622,0)))</f>
        <v/>
      </c>
      <c r="C598">
        <f>IF(ISNA(MATCH(585,Engine!$C$2:$C$622,0)),"",INDEX('Compliance Database'!$C$2:$C$622,MATCH(585,Engine!$C$2:$C$622,0)))</f>
        <v/>
      </c>
      <c r="D598" s="8">
        <f>IF(ISNA(MATCH(585,Engine!$C$2:$C$622,0)),"",INDEX('Compliance Database'!$D$2:$D$622,MATCH(585,Engine!$C$2:$C$622,0)))</f>
        <v/>
      </c>
      <c r="E598">
        <f>IF(ISNA(MATCH(585,Engine!$C$2:$C$622,0)),"",INDEX('Compliance Database'!$E$2:$E$622,MATCH(585,Engine!$C$2:$C$622,0)))</f>
        <v/>
      </c>
      <c r="F598">
        <f>IF(ISNA(MATCH(585,Engine!$C$2:$C$622,0)),"",INDEX('Compliance Database'!$F$2:$F$622,MATCH(585,Engine!$C$2:$C$622,0)))</f>
        <v/>
      </c>
      <c r="G598">
        <f>IF(ISNA(MATCH(585,Engine!$C$2:$C$622,0)),"",INDEX('Compliance Database'!$G$2:$G$622,MATCH(585,Engine!$C$2:$C$622,0)))</f>
        <v/>
      </c>
      <c r="H598">
        <f>IF(ISNA(MATCH(585,Engine!$C$2:$C$622,0)),"",INDEX('Compliance Database'!$H$2:$H$622,MATCH(585,Engine!$C$2:$C$622,0)))</f>
        <v/>
      </c>
      <c r="I598" s="8">
        <f>IF(ISNA(MATCH(585,Engine!$C$2:$C$622,0)),"",INDEX('Compliance Database'!$I$2:$I$622,MATCH(585,Engine!$C$2:$C$622,0)))</f>
        <v/>
      </c>
      <c r="J598" s="8">
        <f>IF(ISNA(MATCH(585,Engine!$C$2:$C$622,0)),"",INDEX('Compliance Database'!$J$2:$J$622,MATCH(585,Engine!$C$2:$C$622,0)))</f>
        <v/>
      </c>
      <c r="K598">
        <f>IF(ISNA(MATCH(585,Engine!$C$2:$C$622,0)),"",INDEX('Compliance Database'!$K$2:$K$622,MATCH(585,Engine!$C$2:$C$622,0)))</f>
        <v/>
      </c>
      <c r="L598" s="8">
        <f>IF(ISNA(MATCH(585,Engine!$C$2:$C$622,0)),"",INDEX('Compliance Database'!$L$2:$L$622,MATCH(585,Engine!$C$2:$C$622,0)))</f>
        <v/>
      </c>
      <c r="M598" s="8">
        <f>IF(ISNA(MATCH(585,Engine!$C$2:$C$622,0)),"",INDEX('Compliance Database'!$M$2:$M$622,MATCH(585,Engine!$C$2:$C$622,0)))</f>
        <v/>
      </c>
      <c r="N598" s="8">
        <f>IF(ISNA(MATCH(585,Engine!$C$2:$C$622,0)),"",INDEX('Compliance Database'!$N$2:$N$622,MATCH(585,Engine!$C$2:$C$622,0)))</f>
        <v/>
      </c>
      <c r="O598" s="8">
        <f>IF(ISNA(MATCH(585,Engine!$C$2:$C$622,0)),"",INDEX('Compliance Database'!$O$2:$O$622,MATCH(585,Engine!$C$2:$C$622,0)))</f>
        <v/>
      </c>
    </row>
    <row r="599">
      <c r="A599">
        <f>IF(ISNA(MATCH(586,Engine!$C$2:$C$622,0)),"",INDEX('Compliance Database'!$A$2:$A$622,MATCH(586,Engine!$C$2:$C$622,0)))</f>
        <v/>
      </c>
      <c r="B599">
        <f>IF(ISNA(MATCH(586,Engine!$C$2:$C$622,0)),"",INDEX('Compliance Database'!$B$2:$B$622,MATCH(586,Engine!$C$2:$C$622,0)))</f>
        <v/>
      </c>
      <c r="C599">
        <f>IF(ISNA(MATCH(586,Engine!$C$2:$C$622,0)),"",INDEX('Compliance Database'!$C$2:$C$622,MATCH(586,Engine!$C$2:$C$622,0)))</f>
        <v/>
      </c>
      <c r="D599" s="8">
        <f>IF(ISNA(MATCH(586,Engine!$C$2:$C$622,0)),"",INDEX('Compliance Database'!$D$2:$D$622,MATCH(586,Engine!$C$2:$C$622,0)))</f>
        <v/>
      </c>
      <c r="E599">
        <f>IF(ISNA(MATCH(586,Engine!$C$2:$C$622,0)),"",INDEX('Compliance Database'!$E$2:$E$622,MATCH(586,Engine!$C$2:$C$622,0)))</f>
        <v/>
      </c>
      <c r="F599">
        <f>IF(ISNA(MATCH(586,Engine!$C$2:$C$622,0)),"",INDEX('Compliance Database'!$F$2:$F$622,MATCH(586,Engine!$C$2:$C$622,0)))</f>
        <v/>
      </c>
      <c r="G599">
        <f>IF(ISNA(MATCH(586,Engine!$C$2:$C$622,0)),"",INDEX('Compliance Database'!$G$2:$G$622,MATCH(586,Engine!$C$2:$C$622,0)))</f>
        <v/>
      </c>
      <c r="H599">
        <f>IF(ISNA(MATCH(586,Engine!$C$2:$C$622,0)),"",INDEX('Compliance Database'!$H$2:$H$622,MATCH(586,Engine!$C$2:$C$622,0)))</f>
        <v/>
      </c>
      <c r="I599" s="8">
        <f>IF(ISNA(MATCH(586,Engine!$C$2:$C$622,0)),"",INDEX('Compliance Database'!$I$2:$I$622,MATCH(586,Engine!$C$2:$C$622,0)))</f>
        <v/>
      </c>
      <c r="J599" s="8">
        <f>IF(ISNA(MATCH(586,Engine!$C$2:$C$622,0)),"",INDEX('Compliance Database'!$J$2:$J$622,MATCH(586,Engine!$C$2:$C$622,0)))</f>
        <v/>
      </c>
      <c r="K599">
        <f>IF(ISNA(MATCH(586,Engine!$C$2:$C$622,0)),"",INDEX('Compliance Database'!$K$2:$K$622,MATCH(586,Engine!$C$2:$C$622,0)))</f>
        <v/>
      </c>
      <c r="L599" s="8">
        <f>IF(ISNA(MATCH(586,Engine!$C$2:$C$622,0)),"",INDEX('Compliance Database'!$L$2:$L$622,MATCH(586,Engine!$C$2:$C$622,0)))</f>
        <v/>
      </c>
      <c r="M599" s="8">
        <f>IF(ISNA(MATCH(586,Engine!$C$2:$C$622,0)),"",INDEX('Compliance Database'!$M$2:$M$622,MATCH(586,Engine!$C$2:$C$622,0)))</f>
        <v/>
      </c>
      <c r="N599" s="8">
        <f>IF(ISNA(MATCH(586,Engine!$C$2:$C$622,0)),"",INDEX('Compliance Database'!$N$2:$N$622,MATCH(586,Engine!$C$2:$C$622,0)))</f>
        <v/>
      </c>
      <c r="O599" s="8">
        <f>IF(ISNA(MATCH(586,Engine!$C$2:$C$622,0)),"",INDEX('Compliance Database'!$O$2:$O$622,MATCH(586,Engine!$C$2:$C$622,0)))</f>
        <v/>
      </c>
    </row>
    <row r="600">
      <c r="A600">
        <f>IF(ISNA(MATCH(587,Engine!$C$2:$C$622,0)),"",INDEX('Compliance Database'!$A$2:$A$622,MATCH(587,Engine!$C$2:$C$622,0)))</f>
        <v/>
      </c>
      <c r="B600">
        <f>IF(ISNA(MATCH(587,Engine!$C$2:$C$622,0)),"",INDEX('Compliance Database'!$B$2:$B$622,MATCH(587,Engine!$C$2:$C$622,0)))</f>
        <v/>
      </c>
      <c r="C600">
        <f>IF(ISNA(MATCH(587,Engine!$C$2:$C$622,0)),"",INDEX('Compliance Database'!$C$2:$C$622,MATCH(587,Engine!$C$2:$C$622,0)))</f>
        <v/>
      </c>
      <c r="D600" s="8">
        <f>IF(ISNA(MATCH(587,Engine!$C$2:$C$622,0)),"",INDEX('Compliance Database'!$D$2:$D$622,MATCH(587,Engine!$C$2:$C$622,0)))</f>
        <v/>
      </c>
      <c r="E600">
        <f>IF(ISNA(MATCH(587,Engine!$C$2:$C$622,0)),"",INDEX('Compliance Database'!$E$2:$E$622,MATCH(587,Engine!$C$2:$C$622,0)))</f>
        <v/>
      </c>
      <c r="F600">
        <f>IF(ISNA(MATCH(587,Engine!$C$2:$C$622,0)),"",INDEX('Compliance Database'!$F$2:$F$622,MATCH(587,Engine!$C$2:$C$622,0)))</f>
        <v/>
      </c>
      <c r="G600">
        <f>IF(ISNA(MATCH(587,Engine!$C$2:$C$622,0)),"",INDEX('Compliance Database'!$G$2:$G$622,MATCH(587,Engine!$C$2:$C$622,0)))</f>
        <v/>
      </c>
      <c r="H600">
        <f>IF(ISNA(MATCH(587,Engine!$C$2:$C$622,0)),"",INDEX('Compliance Database'!$H$2:$H$622,MATCH(587,Engine!$C$2:$C$622,0)))</f>
        <v/>
      </c>
      <c r="I600" s="8">
        <f>IF(ISNA(MATCH(587,Engine!$C$2:$C$622,0)),"",INDEX('Compliance Database'!$I$2:$I$622,MATCH(587,Engine!$C$2:$C$622,0)))</f>
        <v/>
      </c>
      <c r="J600" s="8">
        <f>IF(ISNA(MATCH(587,Engine!$C$2:$C$622,0)),"",INDEX('Compliance Database'!$J$2:$J$622,MATCH(587,Engine!$C$2:$C$622,0)))</f>
        <v/>
      </c>
      <c r="K600">
        <f>IF(ISNA(MATCH(587,Engine!$C$2:$C$622,0)),"",INDEX('Compliance Database'!$K$2:$K$622,MATCH(587,Engine!$C$2:$C$622,0)))</f>
        <v/>
      </c>
      <c r="L600" s="8">
        <f>IF(ISNA(MATCH(587,Engine!$C$2:$C$622,0)),"",INDEX('Compliance Database'!$L$2:$L$622,MATCH(587,Engine!$C$2:$C$622,0)))</f>
        <v/>
      </c>
      <c r="M600" s="8">
        <f>IF(ISNA(MATCH(587,Engine!$C$2:$C$622,0)),"",INDEX('Compliance Database'!$M$2:$M$622,MATCH(587,Engine!$C$2:$C$622,0)))</f>
        <v/>
      </c>
      <c r="N600" s="8">
        <f>IF(ISNA(MATCH(587,Engine!$C$2:$C$622,0)),"",INDEX('Compliance Database'!$N$2:$N$622,MATCH(587,Engine!$C$2:$C$622,0)))</f>
        <v/>
      </c>
      <c r="O600" s="8">
        <f>IF(ISNA(MATCH(587,Engine!$C$2:$C$622,0)),"",INDEX('Compliance Database'!$O$2:$O$622,MATCH(587,Engine!$C$2:$C$622,0)))</f>
        <v/>
      </c>
    </row>
    <row r="601">
      <c r="A601">
        <f>IF(ISNA(MATCH(588,Engine!$C$2:$C$622,0)),"",INDEX('Compliance Database'!$A$2:$A$622,MATCH(588,Engine!$C$2:$C$622,0)))</f>
        <v/>
      </c>
      <c r="B601">
        <f>IF(ISNA(MATCH(588,Engine!$C$2:$C$622,0)),"",INDEX('Compliance Database'!$B$2:$B$622,MATCH(588,Engine!$C$2:$C$622,0)))</f>
        <v/>
      </c>
      <c r="C601">
        <f>IF(ISNA(MATCH(588,Engine!$C$2:$C$622,0)),"",INDEX('Compliance Database'!$C$2:$C$622,MATCH(588,Engine!$C$2:$C$622,0)))</f>
        <v/>
      </c>
      <c r="D601" s="8">
        <f>IF(ISNA(MATCH(588,Engine!$C$2:$C$622,0)),"",INDEX('Compliance Database'!$D$2:$D$622,MATCH(588,Engine!$C$2:$C$622,0)))</f>
        <v/>
      </c>
      <c r="E601">
        <f>IF(ISNA(MATCH(588,Engine!$C$2:$C$622,0)),"",INDEX('Compliance Database'!$E$2:$E$622,MATCH(588,Engine!$C$2:$C$622,0)))</f>
        <v/>
      </c>
      <c r="F601">
        <f>IF(ISNA(MATCH(588,Engine!$C$2:$C$622,0)),"",INDEX('Compliance Database'!$F$2:$F$622,MATCH(588,Engine!$C$2:$C$622,0)))</f>
        <v/>
      </c>
      <c r="G601">
        <f>IF(ISNA(MATCH(588,Engine!$C$2:$C$622,0)),"",INDEX('Compliance Database'!$G$2:$G$622,MATCH(588,Engine!$C$2:$C$622,0)))</f>
        <v/>
      </c>
      <c r="H601">
        <f>IF(ISNA(MATCH(588,Engine!$C$2:$C$622,0)),"",INDEX('Compliance Database'!$H$2:$H$622,MATCH(588,Engine!$C$2:$C$622,0)))</f>
        <v/>
      </c>
      <c r="I601" s="8">
        <f>IF(ISNA(MATCH(588,Engine!$C$2:$C$622,0)),"",INDEX('Compliance Database'!$I$2:$I$622,MATCH(588,Engine!$C$2:$C$622,0)))</f>
        <v/>
      </c>
      <c r="J601" s="8">
        <f>IF(ISNA(MATCH(588,Engine!$C$2:$C$622,0)),"",INDEX('Compliance Database'!$J$2:$J$622,MATCH(588,Engine!$C$2:$C$622,0)))</f>
        <v/>
      </c>
      <c r="K601">
        <f>IF(ISNA(MATCH(588,Engine!$C$2:$C$622,0)),"",INDEX('Compliance Database'!$K$2:$K$622,MATCH(588,Engine!$C$2:$C$622,0)))</f>
        <v/>
      </c>
      <c r="L601" s="8">
        <f>IF(ISNA(MATCH(588,Engine!$C$2:$C$622,0)),"",INDEX('Compliance Database'!$L$2:$L$622,MATCH(588,Engine!$C$2:$C$622,0)))</f>
        <v/>
      </c>
      <c r="M601" s="8">
        <f>IF(ISNA(MATCH(588,Engine!$C$2:$C$622,0)),"",INDEX('Compliance Database'!$M$2:$M$622,MATCH(588,Engine!$C$2:$C$622,0)))</f>
        <v/>
      </c>
      <c r="N601" s="8">
        <f>IF(ISNA(MATCH(588,Engine!$C$2:$C$622,0)),"",INDEX('Compliance Database'!$N$2:$N$622,MATCH(588,Engine!$C$2:$C$622,0)))</f>
        <v/>
      </c>
      <c r="O601" s="8">
        <f>IF(ISNA(MATCH(588,Engine!$C$2:$C$622,0)),"",INDEX('Compliance Database'!$O$2:$O$622,MATCH(588,Engine!$C$2:$C$622,0)))</f>
        <v/>
      </c>
    </row>
    <row r="602">
      <c r="A602">
        <f>IF(ISNA(MATCH(589,Engine!$C$2:$C$622,0)),"",INDEX('Compliance Database'!$A$2:$A$622,MATCH(589,Engine!$C$2:$C$622,0)))</f>
        <v/>
      </c>
      <c r="B602">
        <f>IF(ISNA(MATCH(589,Engine!$C$2:$C$622,0)),"",INDEX('Compliance Database'!$B$2:$B$622,MATCH(589,Engine!$C$2:$C$622,0)))</f>
        <v/>
      </c>
      <c r="C602">
        <f>IF(ISNA(MATCH(589,Engine!$C$2:$C$622,0)),"",INDEX('Compliance Database'!$C$2:$C$622,MATCH(589,Engine!$C$2:$C$622,0)))</f>
        <v/>
      </c>
      <c r="D602" s="8">
        <f>IF(ISNA(MATCH(589,Engine!$C$2:$C$622,0)),"",INDEX('Compliance Database'!$D$2:$D$622,MATCH(589,Engine!$C$2:$C$622,0)))</f>
        <v/>
      </c>
      <c r="E602">
        <f>IF(ISNA(MATCH(589,Engine!$C$2:$C$622,0)),"",INDEX('Compliance Database'!$E$2:$E$622,MATCH(589,Engine!$C$2:$C$622,0)))</f>
        <v/>
      </c>
      <c r="F602">
        <f>IF(ISNA(MATCH(589,Engine!$C$2:$C$622,0)),"",INDEX('Compliance Database'!$F$2:$F$622,MATCH(589,Engine!$C$2:$C$622,0)))</f>
        <v/>
      </c>
      <c r="G602">
        <f>IF(ISNA(MATCH(589,Engine!$C$2:$C$622,0)),"",INDEX('Compliance Database'!$G$2:$G$622,MATCH(589,Engine!$C$2:$C$622,0)))</f>
        <v/>
      </c>
      <c r="H602">
        <f>IF(ISNA(MATCH(589,Engine!$C$2:$C$622,0)),"",INDEX('Compliance Database'!$H$2:$H$622,MATCH(589,Engine!$C$2:$C$622,0)))</f>
        <v/>
      </c>
      <c r="I602" s="8">
        <f>IF(ISNA(MATCH(589,Engine!$C$2:$C$622,0)),"",INDEX('Compliance Database'!$I$2:$I$622,MATCH(589,Engine!$C$2:$C$622,0)))</f>
        <v/>
      </c>
      <c r="J602" s="8">
        <f>IF(ISNA(MATCH(589,Engine!$C$2:$C$622,0)),"",INDEX('Compliance Database'!$J$2:$J$622,MATCH(589,Engine!$C$2:$C$622,0)))</f>
        <v/>
      </c>
      <c r="K602">
        <f>IF(ISNA(MATCH(589,Engine!$C$2:$C$622,0)),"",INDEX('Compliance Database'!$K$2:$K$622,MATCH(589,Engine!$C$2:$C$622,0)))</f>
        <v/>
      </c>
      <c r="L602" s="8">
        <f>IF(ISNA(MATCH(589,Engine!$C$2:$C$622,0)),"",INDEX('Compliance Database'!$L$2:$L$622,MATCH(589,Engine!$C$2:$C$622,0)))</f>
        <v/>
      </c>
      <c r="M602" s="8">
        <f>IF(ISNA(MATCH(589,Engine!$C$2:$C$622,0)),"",INDEX('Compliance Database'!$M$2:$M$622,MATCH(589,Engine!$C$2:$C$622,0)))</f>
        <v/>
      </c>
      <c r="N602" s="8">
        <f>IF(ISNA(MATCH(589,Engine!$C$2:$C$622,0)),"",INDEX('Compliance Database'!$N$2:$N$622,MATCH(589,Engine!$C$2:$C$622,0)))</f>
        <v/>
      </c>
      <c r="O602" s="8">
        <f>IF(ISNA(MATCH(589,Engine!$C$2:$C$622,0)),"",INDEX('Compliance Database'!$O$2:$O$622,MATCH(589,Engine!$C$2:$C$622,0)))</f>
        <v/>
      </c>
    </row>
    <row r="603">
      <c r="A603">
        <f>IF(ISNA(MATCH(590,Engine!$C$2:$C$622,0)),"",INDEX('Compliance Database'!$A$2:$A$622,MATCH(590,Engine!$C$2:$C$622,0)))</f>
        <v/>
      </c>
      <c r="B603">
        <f>IF(ISNA(MATCH(590,Engine!$C$2:$C$622,0)),"",INDEX('Compliance Database'!$B$2:$B$622,MATCH(590,Engine!$C$2:$C$622,0)))</f>
        <v/>
      </c>
      <c r="C603">
        <f>IF(ISNA(MATCH(590,Engine!$C$2:$C$622,0)),"",INDEX('Compliance Database'!$C$2:$C$622,MATCH(590,Engine!$C$2:$C$622,0)))</f>
        <v/>
      </c>
      <c r="D603" s="8">
        <f>IF(ISNA(MATCH(590,Engine!$C$2:$C$622,0)),"",INDEX('Compliance Database'!$D$2:$D$622,MATCH(590,Engine!$C$2:$C$622,0)))</f>
        <v/>
      </c>
      <c r="E603">
        <f>IF(ISNA(MATCH(590,Engine!$C$2:$C$622,0)),"",INDEX('Compliance Database'!$E$2:$E$622,MATCH(590,Engine!$C$2:$C$622,0)))</f>
        <v/>
      </c>
      <c r="F603">
        <f>IF(ISNA(MATCH(590,Engine!$C$2:$C$622,0)),"",INDEX('Compliance Database'!$F$2:$F$622,MATCH(590,Engine!$C$2:$C$622,0)))</f>
        <v/>
      </c>
      <c r="G603">
        <f>IF(ISNA(MATCH(590,Engine!$C$2:$C$622,0)),"",INDEX('Compliance Database'!$G$2:$G$622,MATCH(590,Engine!$C$2:$C$622,0)))</f>
        <v/>
      </c>
      <c r="H603">
        <f>IF(ISNA(MATCH(590,Engine!$C$2:$C$622,0)),"",INDEX('Compliance Database'!$H$2:$H$622,MATCH(590,Engine!$C$2:$C$622,0)))</f>
        <v/>
      </c>
      <c r="I603" s="8">
        <f>IF(ISNA(MATCH(590,Engine!$C$2:$C$622,0)),"",INDEX('Compliance Database'!$I$2:$I$622,MATCH(590,Engine!$C$2:$C$622,0)))</f>
        <v/>
      </c>
      <c r="J603" s="8">
        <f>IF(ISNA(MATCH(590,Engine!$C$2:$C$622,0)),"",INDEX('Compliance Database'!$J$2:$J$622,MATCH(590,Engine!$C$2:$C$622,0)))</f>
        <v/>
      </c>
      <c r="K603">
        <f>IF(ISNA(MATCH(590,Engine!$C$2:$C$622,0)),"",INDEX('Compliance Database'!$K$2:$K$622,MATCH(590,Engine!$C$2:$C$622,0)))</f>
        <v/>
      </c>
      <c r="L603" s="8">
        <f>IF(ISNA(MATCH(590,Engine!$C$2:$C$622,0)),"",INDEX('Compliance Database'!$L$2:$L$622,MATCH(590,Engine!$C$2:$C$622,0)))</f>
        <v/>
      </c>
      <c r="M603" s="8">
        <f>IF(ISNA(MATCH(590,Engine!$C$2:$C$622,0)),"",INDEX('Compliance Database'!$M$2:$M$622,MATCH(590,Engine!$C$2:$C$622,0)))</f>
        <v/>
      </c>
      <c r="N603" s="8">
        <f>IF(ISNA(MATCH(590,Engine!$C$2:$C$622,0)),"",INDEX('Compliance Database'!$N$2:$N$622,MATCH(590,Engine!$C$2:$C$622,0)))</f>
        <v/>
      </c>
      <c r="O603" s="8">
        <f>IF(ISNA(MATCH(590,Engine!$C$2:$C$622,0)),"",INDEX('Compliance Database'!$O$2:$O$622,MATCH(590,Engine!$C$2:$C$622,0)))</f>
        <v/>
      </c>
    </row>
    <row r="604">
      <c r="A604">
        <f>IF(ISNA(MATCH(591,Engine!$C$2:$C$622,0)),"",INDEX('Compliance Database'!$A$2:$A$622,MATCH(591,Engine!$C$2:$C$622,0)))</f>
        <v/>
      </c>
      <c r="B604">
        <f>IF(ISNA(MATCH(591,Engine!$C$2:$C$622,0)),"",INDEX('Compliance Database'!$B$2:$B$622,MATCH(591,Engine!$C$2:$C$622,0)))</f>
        <v/>
      </c>
      <c r="C604">
        <f>IF(ISNA(MATCH(591,Engine!$C$2:$C$622,0)),"",INDEX('Compliance Database'!$C$2:$C$622,MATCH(591,Engine!$C$2:$C$622,0)))</f>
        <v/>
      </c>
      <c r="D604" s="8">
        <f>IF(ISNA(MATCH(591,Engine!$C$2:$C$622,0)),"",INDEX('Compliance Database'!$D$2:$D$622,MATCH(591,Engine!$C$2:$C$622,0)))</f>
        <v/>
      </c>
      <c r="E604">
        <f>IF(ISNA(MATCH(591,Engine!$C$2:$C$622,0)),"",INDEX('Compliance Database'!$E$2:$E$622,MATCH(591,Engine!$C$2:$C$622,0)))</f>
        <v/>
      </c>
      <c r="F604">
        <f>IF(ISNA(MATCH(591,Engine!$C$2:$C$622,0)),"",INDEX('Compliance Database'!$F$2:$F$622,MATCH(591,Engine!$C$2:$C$622,0)))</f>
        <v/>
      </c>
      <c r="G604">
        <f>IF(ISNA(MATCH(591,Engine!$C$2:$C$622,0)),"",INDEX('Compliance Database'!$G$2:$G$622,MATCH(591,Engine!$C$2:$C$622,0)))</f>
        <v/>
      </c>
      <c r="H604">
        <f>IF(ISNA(MATCH(591,Engine!$C$2:$C$622,0)),"",INDEX('Compliance Database'!$H$2:$H$622,MATCH(591,Engine!$C$2:$C$622,0)))</f>
        <v/>
      </c>
      <c r="I604" s="8">
        <f>IF(ISNA(MATCH(591,Engine!$C$2:$C$622,0)),"",INDEX('Compliance Database'!$I$2:$I$622,MATCH(591,Engine!$C$2:$C$622,0)))</f>
        <v/>
      </c>
      <c r="J604" s="8">
        <f>IF(ISNA(MATCH(591,Engine!$C$2:$C$622,0)),"",INDEX('Compliance Database'!$J$2:$J$622,MATCH(591,Engine!$C$2:$C$622,0)))</f>
        <v/>
      </c>
      <c r="K604">
        <f>IF(ISNA(MATCH(591,Engine!$C$2:$C$622,0)),"",INDEX('Compliance Database'!$K$2:$K$622,MATCH(591,Engine!$C$2:$C$622,0)))</f>
        <v/>
      </c>
      <c r="L604" s="8">
        <f>IF(ISNA(MATCH(591,Engine!$C$2:$C$622,0)),"",INDEX('Compliance Database'!$L$2:$L$622,MATCH(591,Engine!$C$2:$C$622,0)))</f>
        <v/>
      </c>
      <c r="M604" s="8">
        <f>IF(ISNA(MATCH(591,Engine!$C$2:$C$622,0)),"",INDEX('Compliance Database'!$M$2:$M$622,MATCH(591,Engine!$C$2:$C$622,0)))</f>
        <v/>
      </c>
      <c r="N604" s="8">
        <f>IF(ISNA(MATCH(591,Engine!$C$2:$C$622,0)),"",INDEX('Compliance Database'!$N$2:$N$622,MATCH(591,Engine!$C$2:$C$622,0)))</f>
        <v/>
      </c>
      <c r="O604" s="8">
        <f>IF(ISNA(MATCH(591,Engine!$C$2:$C$622,0)),"",INDEX('Compliance Database'!$O$2:$O$622,MATCH(591,Engine!$C$2:$C$622,0)))</f>
        <v/>
      </c>
    </row>
    <row r="605">
      <c r="A605">
        <f>IF(ISNA(MATCH(592,Engine!$C$2:$C$622,0)),"",INDEX('Compliance Database'!$A$2:$A$622,MATCH(592,Engine!$C$2:$C$622,0)))</f>
        <v/>
      </c>
      <c r="B605">
        <f>IF(ISNA(MATCH(592,Engine!$C$2:$C$622,0)),"",INDEX('Compliance Database'!$B$2:$B$622,MATCH(592,Engine!$C$2:$C$622,0)))</f>
        <v/>
      </c>
      <c r="C605">
        <f>IF(ISNA(MATCH(592,Engine!$C$2:$C$622,0)),"",INDEX('Compliance Database'!$C$2:$C$622,MATCH(592,Engine!$C$2:$C$622,0)))</f>
        <v/>
      </c>
      <c r="D605" s="8">
        <f>IF(ISNA(MATCH(592,Engine!$C$2:$C$622,0)),"",INDEX('Compliance Database'!$D$2:$D$622,MATCH(592,Engine!$C$2:$C$622,0)))</f>
        <v/>
      </c>
      <c r="E605">
        <f>IF(ISNA(MATCH(592,Engine!$C$2:$C$622,0)),"",INDEX('Compliance Database'!$E$2:$E$622,MATCH(592,Engine!$C$2:$C$622,0)))</f>
        <v/>
      </c>
      <c r="F605">
        <f>IF(ISNA(MATCH(592,Engine!$C$2:$C$622,0)),"",INDEX('Compliance Database'!$F$2:$F$622,MATCH(592,Engine!$C$2:$C$622,0)))</f>
        <v/>
      </c>
      <c r="G605">
        <f>IF(ISNA(MATCH(592,Engine!$C$2:$C$622,0)),"",INDEX('Compliance Database'!$G$2:$G$622,MATCH(592,Engine!$C$2:$C$622,0)))</f>
        <v/>
      </c>
      <c r="H605">
        <f>IF(ISNA(MATCH(592,Engine!$C$2:$C$622,0)),"",INDEX('Compliance Database'!$H$2:$H$622,MATCH(592,Engine!$C$2:$C$622,0)))</f>
        <v/>
      </c>
      <c r="I605" s="8">
        <f>IF(ISNA(MATCH(592,Engine!$C$2:$C$622,0)),"",INDEX('Compliance Database'!$I$2:$I$622,MATCH(592,Engine!$C$2:$C$622,0)))</f>
        <v/>
      </c>
      <c r="J605" s="8">
        <f>IF(ISNA(MATCH(592,Engine!$C$2:$C$622,0)),"",INDEX('Compliance Database'!$J$2:$J$622,MATCH(592,Engine!$C$2:$C$622,0)))</f>
        <v/>
      </c>
      <c r="K605">
        <f>IF(ISNA(MATCH(592,Engine!$C$2:$C$622,0)),"",INDEX('Compliance Database'!$K$2:$K$622,MATCH(592,Engine!$C$2:$C$622,0)))</f>
        <v/>
      </c>
      <c r="L605" s="8">
        <f>IF(ISNA(MATCH(592,Engine!$C$2:$C$622,0)),"",INDEX('Compliance Database'!$L$2:$L$622,MATCH(592,Engine!$C$2:$C$622,0)))</f>
        <v/>
      </c>
      <c r="M605" s="8">
        <f>IF(ISNA(MATCH(592,Engine!$C$2:$C$622,0)),"",INDEX('Compliance Database'!$M$2:$M$622,MATCH(592,Engine!$C$2:$C$622,0)))</f>
        <v/>
      </c>
      <c r="N605" s="8">
        <f>IF(ISNA(MATCH(592,Engine!$C$2:$C$622,0)),"",INDEX('Compliance Database'!$N$2:$N$622,MATCH(592,Engine!$C$2:$C$622,0)))</f>
        <v/>
      </c>
      <c r="O605" s="8">
        <f>IF(ISNA(MATCH(592,Engine!$C$2:$C$622,0)),"",INDEX('Compliance Database'!$O$2:$O$622,MATCH(592,Engine!$C$2:$C$622,0)))</f>
        <v/>
      </c>
    </row>
    <row r="606">
      <c r="A606">
        <f>IF(ISNA(MATCH(593,Engine!$C$2:$C$622,0)),"",INDEX('Compliance Database'!$A$2:$A$622,MATCH(593,Engine!$C$2:$C$622,0)))</f>
        <v/>
      </c>
      <c r="B606">
        <f>IF(ISNA(MATCH(593,Engine!$C$2:$C$622,0)),"",INDEX('Compliance Database'!$B$2:$B$622,MATCH(593,Engine!$C$2:$C$622,0)))</f>
        <v/>
      </c>
      <c r="C606">
        <f>IF(ISNA(MATCH(593,Engine!$C$2:$C$622,0)),"",INDEX('Compliance Database'!$C$2:$C$622,MATCH(593,Engine!$C$2:$C$622,0)))</f>
        <v/>
      </c>
      <c r="D606" s="8">
        <f>IF(ISNA(MATCH(593,Engine!$C$2:$C$622,0)),"",INDEX('Compliance Database'!$D$2:$D$622,MATCH(593,Engine!$C$2:$C$622,0)))</f>
        <v/>
      </c>
      <c r="E606">
        <f>IF(ISNA(MATCH(593,Engine!$C$2:$C$622,0)),"",INDEX('Compliance Database'!$E$2:$E$622,MATCH(593,Engine!$C$2:$C$622,0)))</f>
        <v/>
      </c>
      <c r="F606">
        <f>IF(ISNA(MATCH(593,Engine!$C$2:$C$622,0)),"",INDEX('Compliance Database'!$F$2:$F$622,MATCH(593,Engine!$C$2:$C$622,0)))</f>
        <v/>
      </c>
      <c r="G606">
        <f>IF(ISNA(MATCH(593,Engine!$C$2:$C$622,0)),"",INDEX('Compliance Database'!$G$2:$G$622,MATCH(593,Engine!$C$2:$C$622,0)))</f>
        <v/>
      </c>
      <c r="H606">
        <f>IF(ISNA(MATCH(593,Engine!$C$2:$C$622,0)),"",INDEX('Compliance Database'!$H$2:$H$622,MATCH(593,Engine!$C$2:$C$622,0)))</f>
        <v/>
      </c>
      <c r="I606" s="8">
        <f>IF(ISNA(MATCH(593,Engine!$C$2:$C$622,0)),"",INDEX('Compliance Database'!$I$2:$I$622,MATCH(593,Engine!$C$2:$C$622,0)))</f>
        <v/>
      </c>
      <c r="J606" s="8">
        <f>IF(ISNA(MATCH(593,Engine!$C$2:$C$622,0)),"",INDEX('Compliance Database'!$J$2:$J$622,MATCH(593,Engine!$C$2:$C$622,0)))</f>
        <v/>
      </c>
      <c r="K606">
        <f>IF(ISNA(MATCH(593,Engine!$C$2:$C$622,0)),"",INDEX('Compliance Database'!$K$2:$K$622,MATCH(593,Engine!$C$2:$C$622,0)))</f>
        <v/>
      </c>
      <c r="L606" s="8">
        <f>IF(ISNA(MATCH(593,Engine!$C$2:$C$622,0)),"",INDEX('Compliance Database'!$L$2:$L$622,MATCH(593,Engine!$C$2:$C$622,0)))</f>
        <v/>
      </c>
      <c r="M606" s="8">
        <f>IF(ISNA(MATCH(593,Engine!$C$2:$C$622,0)),"",INDEX('Compliance Database'!$M$2:$M$622,MATCH(593,Engine!$C$2:$C$622,0)))</f>
        <v/>
      </c>
      <c r="N606" s="8">
        <f>IF(ISNA(MATCH(593,Engine!$C$2:$C$622,0)),"",INDEX('Compliance Database'!$N$2:$N$622,MATCH(593,Engine!$C$2:$C$622,0)))</f>
        <v/>
      </c>
      <c r="O606" s="8">
        <f>IF(ISNA(MATCH(593,Engine!$C$2:$C$622,0)),"",INDEX('Compliance Database'!$O$2:$O$622,MATCH(593,Engine!$C$2:$C$622,0)))</f>
        <v/>
      </c>
    </row>
    <row r="607">
      <c r="A607">
        <f>IF(ISNA(MATCH(594,Engine!$C$2:$C$622,0)),"",INDEX('Compliance Database'!$A$2:$A$622,MATCH(594,Engine!$C$2:$C$622,0)))</f>
        <v/>
      </c>
      <c r="B607">
        <f>IF(ISNA(MATCH(594,Engine!$C$2:$C$622,0)),"",INDEX('Compliance Database'!$B$2:$B$622,MATCH(594,Engine!$C$2:$C$622,0)))</f>
        <v/>
      </c>
      <c r="C607">
        <f>IF(ISNA(MATCH(594,Engine!$C$2:$C$622,0)),"",INDEX('Compliance Database'!$C$2:$C$622,MATCH(594,Engine!$C$2:$C$622,0)))</f>
        <v/>
      </c>
      <c r="D607" s="8">
        <f>IF(ISNA(MATCH(594,Engine!$C$2:$C$622,0)),"",INDEX('Compliance Database'!$D$2:$D$622,MATCH(594,Engine!$C$2:$C$622,0)))</f>
        <v/>
      </c>
      <c r="E607">
        <f>IF(ISNA(MATCH(594,Engine!$C$2:$C$622,0)),"",INDEX('Compliance Database'!$E$2:$E$622,MATCH(594,Engine!$C$2:$C$622,0)))</f>
        <v/>
      </c>
      <c r="F607">
        <f>IF(ISNA(MATCH(594,Engine!$C$2:$C$622,0)),"",INDEX('Compliance Database'!$F$2:$F$622,MATCH(594,Engine!$C$2:$C$622,0)))</f>
        <v/>
      </c>
      <c r="G607">
        <f>IF(ISNA(MATCH(594,Engine!$C$2:$C$622,0)),"",INDEX('Compliance Database'!$G$2:$G$622,MATCH(594,Engine!$C$2:$C$622,0)))</f>
        <v/>
      </c>
      <c r="H607">
        <f>IF(ISNA(MATCH(594,Engine!$C$2:$C$622,0)),"",INDEX('Compliance Database'!$H$2:$H$622,MATCH(594,Engine!$C$2:$C$622,0)))</f>
        <v/>
      </c>
      <c r="I607" s="8">
        <f>IF(ISNA(MATCH(594,Engine!$C$2:$C$622,0)),"",INDEX('Compliance Database'!$I$2:$I$622,MATCH(594,Engine!$C$2:$C$622,0)))</f>
        <v/>
      </c>
      <c r="J607" s="8">
        <f>IF(ISNA(MATCH(594,Engine!$C$2:$C$622,0)),"",INDEX('Compliance Database'!$J$2:$J$622,MATCH(594,Engine!$C$2:$C$622,0)))</f>
        <v/>
      </c>
      <c r="K607">
        <f>IF(ISNA(MATCH(594,Engine!$C$2:$C$622,0)),"",INDEX('Compliance Database'!$K$2:$K$622,MATCH(594,Engine!$C$2:$C$622,0)))</f>
        <v/>
      </c>
      <c r="L607" s="8">
        <f>IF(ISNA(MATCH(594,Engine!$C$2:$C$622,0)),"",INDEX('Compliance Database'!$L$2:$L$622,MATCH(594,Engine!$C$2:$C$622,0)))</f>
        <v/>
      </c>
      <c r="M607" s="8">
        <f>IF(ISNA(MATCH(594,Engine!$C$2:$C$622,0)),"",INDEX('Compliance Database'!$M$2:$M$622,MATCH(594,Engine!$C$2:$C$622,0)))</f>
        <v/>
      </c>
      <c r="N607" s="8">
        <f>IF(ISNA(MATCH(594,Engine!$C$2:$C$622,0)),"",INDEX('Compliance Database'!$N$2:$N$622,MATCH(594,Engine!$C$2:$C$622,0)))</f>
        <v/>
      </c>
      <c r="O607" s="8">
        <f>IF(ISNA(MATCH(594,Engine!$C$2:$C$622,0)),"",INDEX('Compliance Database'!$O$2:$O$622,MATCH(594,Engine!$C$2:$C$622,0)))</f>
        <v/>
      </c>
    </row>
    <row r="608">
      <c r="A608">
        <f>IF(ISNA(MATCH(595,Engine!$C$2:$C$622,0)),"",INDEX('Compliance Database'!$A$2:$A$622,MATCH(595,Engine!$C$2:$C$622,0)))</f>
        <v/>
      </c>
      <c r="B608">
        <f>IF(ISNA(MATCH(595,Engine!$C$2:$C$622,0)),"",INDEX('Compliance Database'!$B$2:$B$622,MATCH(595,Engine!$C$2:$C$622,0)))</f>
        <v/>
      </c>
      <c r="C608">
        <f>IF(ISNA(MATCH(595,Engine!$C$2:$C$622,0)),"",INDEX('Compliance Database'!$C$2:$C$622,MATCH(595,Engine!$C$2:$C$622,0)))</f>
        <v/>
      </c>
      <c r="D608" s="8">
        <f>IF(ISNA(MATCH(595,Engine!$C$2:$C$622,0)),"",INDEX('Compliance Database'!$D$2:$D$622,MATCH(595,Engine!$C$2:$C$622,0)))</f>
        <v/>
      </c>
      <c r="E608">
        <f>IF(ISNA(MATCH(595,Engine!$C$2:$C$622,0)),"",INDEX('Compliance Database'!$E$2:$E$622,MATCH(595,Engine!$C$2:$C$622,0)))</f>
        <v/>
      </c>
      <c r="F608">
        <f>IF(ISNA(MATCH(595,Engine!$C$2:$C$622,0)),"",INDEX('Compliance Database'!$F$2:$F$622,MATCH(595,Engine!$C$2:$C$622,0)))</f>
        <v/>
      </c>
      <c r="G608">
        <f>IF(ISNA(MATCH(595,Engine!$C$2:$C$622,0)),"",INDEX('Compliance Database'!$G$2:$G$622,MATCH(595,Engine!$C$2:$C$622,0)))</f>
        <v/>
      </c>
      <c r="H608">
        <f>IF(ISNA(MATCH(595,Engine!$C$2:$C$622,0)),"",INDEX('Compliance Database'!$H$2:$H$622,MATCH(595,Engine!$C$2:$C$622,0)))</f>
        <v/>
      </c>
      <c r="I608" s="8">
        <f>IF(ISNA(MATCH(595,Engine!$C$2:$C$622,0)),"",INDEX('Compliance Database'!$I$2:$I$622,MATCH(595,Engine!$C$2:$C$622,0)))</f>
        <v/>
      </c>
      <c r="J608" s="8">
        <f>IF(ISNA(MATCH(595,Engine!$C$2:$C$622,0)),"",INDEX('Compliance Database'!$J$2:$J$622,MATCH(595,Engine!$C$2:$C$622,0)))</f>
        <v/>
      </c>
      <c r="K608">
        <f>IF(ISNA(MATCH(595,Engine!$C$2:$C$622,0)),"",INDEX('Compliance Database'!$K$2:$K$622,MATCH(595,Engine!$C$2:$C$622,0)))</f>
        <v/>
      </c>
      <c r="L608" s="8">
        <f>IF(ISNA(MATCH(595,Engine!$C$2:$C$622,0)),"",INDEX('Compliance Database'!$L$2:$L$622,MATCH(595,Engine!$C$2:$C$622,0)))</f>
        <v/>
      </c>
      <c r="M608" s="8">
        <f>IF(ISNA(MATCH(595,Engine!$C$2:$C$622,0)),"",INDEX('Compliance Database'!$M$2:$M$622,MATCH(595,Engine!$C$2:$C$622,0)))</f>
        <v/>
      </c>
      <c r="N608" s="8">
        <f>IF(ISNA(MATCH(595,Engine!$C$2:$C$622,0)),"",INDEX('Compliance Database'!$N$2:$N$622,MATCH(595,Engine!$C$2:$C$622,0)))</f>
        <v/>
      </c>
      <c r="O608" s="8">
        <f>IF(ISNA(MATCH(595,Engine!$C$2:$C$622,0)),"",INDEX('Compliance Database'!$O$2:$O$622,MATCH(595,Engine!$C$2:$C$622,0)))</f>
        <v/>
      </c>
    </row>
    <row r="609">
      <c r="A609">
        <f>IF(ISNA(MATCH(596,Engine!$C$2:$C$622,0)),"",INDEX('Compliance Database'!$A$2:$A$622,MATCH(596,Engine!$C$2:$C$622,0)))</f>
        <v/>
      </c>
      <c r="B609">
        <f>IF(ISNA(MATCH(596,Engine!$C$2:$C$622,0)),"",INDEX('Compliance Database'!$B$2:$B$622,MATCH(596,Engine!$C$2:$C$622,0)))</f>
        <v/>
      </c>
      <c r="C609">
        <f>IF(ISNA(MATCH(596,Engine!$C$2:$C$622,0)),"",INDEX('Compliance Database'!$C$2:$C$622,MATCH(596,Engine!$C$2:$C$622,0)))</f>
        <v/>
      </c>
      <c r="D609" s="8">
        <f>IF(ISNA(MATCH(596,Engine!$C$2:$C$622,0)),"",INDEX('Compliance Database'!$D$2:$D$622,MATCH(596,Engine!$C$2:$C$622,0)))</f>
        <v/>
      </c>
      <c r="E609">
        <f>IF(ISNA(MATCH(596,Engine!$C$2:$C$622,0)),"",INDEX('Compliance Database'!$E$2:$E$622,MATCH(596,Engine!$C$2:$C$622,0)))</f>
        <v/>
      </c>
      <c r="F609">
        <f>IF(ISNA(MATCH(596,Engine!$C$2:$C$622,0)),"",INDEX('Compliance Database'!$F$2:$F$622,MATCH(596,Engine!$C$2:$C$622,0)))</f>
        <v/>
      </c>
      <c r="G609">
        <f>IF(ISNA(MATCH(596,Engine!$C$2:$C$622,0)),"",INDEX('Compliance Database'!$G$2:$G$622,MATCH(596,Engine!$C$2:$C$622,0)))</f>
        <v/>
      </c>
      <c r="H609">
        <f>IF(ISNA(MATCH(596,Engine!$C$2:$C$622,0)),"",INDEX('Compliance Database'!$H$2:$H$622,MATCH(596,Engine!$C$2:$C$622,0)))</f>
        <v/>
      </c>
      <c r="I609" s="8">
        <f>IF(ISNA(MATCH(596,Engine!$C$2:$C$622,0)),"",INDEX('Compliance Database'!$I$2:$I$622,MATCH(596,Engine!$C$2:$C$622,0)))</f>
        <v/>
      </c>
      <c r="J609" s="8">
        <f>IF(ISNA(MATCH(596,Engine!$C$2:$C$622,0)),"",INDEX('Compliance Database'!$J$2:$J$622,MATCH(596,Engine!$C$2:$C$622,0)))</f>
        <v/>
      </c>
      <c r="K609">
        <f>IF(ISNA(MATCH(596,Engine!$C$2:$C$622,0)),"",INDEX('Compliance Database'!$K$2:$K$622,MATCH(596,Engine!$C$2:$C$622,0)))</f>
        <v/>
      </c>
      <c r="L609" s="8">
        <f>IF(ISNA(MATCH(596,Engine!$C$2:$C$622,0)),"",INDEX('Compliance Database'!$L$2:$L$622,MATCH(596,Engine!$C$2:$C$622,0)))</f>
        <v/>
      </c>
      <c r="M609" s="8">
        <f>IF(ISNA(MATCH(596,Engine!$C$2:$C$622,0)),"",INDEX('Compliance Database'!$M$2:$M$622,MATCH(596,Engine!$C$2:$C$622,0)))</f>
        <v/>
      </c>
      <c r="N609" s="8">
        <f>IF(ISNA(MATCH(596,Engine!$C$2:$C$622,0)),"",INDEX('Compliance Database'!$N$2:$N$622,MATCH(596,Engine!$C$2:$C$622,0)))</f>
        <v/>
      </c>
      <c r="O609" s="8">
        <f>IF(ISNA(MATCH(596,Engine!$C$2:$C$622,0)),"",INDEX('Compliance Database'!$O$2:$O$622,MATCH(596,Engine!$C$2:$C$622,0)))</f>
        <v/>
      </c>
    </row>
    <row r="610">
      <c r="A610">
        <f>IF(ISNA(MATCH(597,Engine!$C$2:$C$622,0)),"",INDEX('Compliance Database'!$A$2:$A$622,MATCH(597,Engine!$C$2:$C$622,0)))</f>
        <v/>
      </c>
      <c r="B610">
        <f>IF(ISNA(MATCH(597,Engine!$C$2:$C$622,0)),"",INDEX('Compliance Database'!$B$2:$B$622,MATCH(597,Engine!$C$2:$C$622,0)))</f>
        <v/>
      </c>
      <c r="C610">
        <f>IF(ISNA(MATCH(597,Engine!$C$2:$C$622,0)),"",INDEX('Compliance Database'!$C$2:$C$622,MATCH(597,Engine!$C$2:$C$622,0)))</f>
        <v/>
      </c>
      <c r="D610" s="8">
        <f>IF(ISNA(MATCH(597,Engine!$C$2:$C$622,0)),"",INDEX('Compliance Database'!$D$2:$D$622,MATCH(597,Engine!$C$2:$C$622,0)))</f>
        <v/>
      </c>
      <c r="E610">
        <f>IF(ISNA(MATCH(597,Engine!$C$2:$C$622,0)),"",INDEX('Compliance Database'!$E$2:$E$622,MATCH(597,Engine!$C$2:$C$622,0)))</f>
        <v/>
      </c>
      <c r="F610">
        <f>IF(ISNA(MATCH(597,Engine!$C$2:$C$622,0)),"",INDEX('Compliance Database'!$F$2:$F$622,MATCH(597,Engine!$C$2:$C$622,0)))</f>
        <v/>
      </c>
      <c r="G610">
        <f>IF(ISNA(MATCH(597,Engine!$C$2:$C$622,0)),"",INDEX('Compliance Database'!$G$2:$G$622,MATCH(597,Engine!$C$2:$C$622,0)))</f>
        <v/>
      </c>
      <c r="H610">
        <f>IF(ISNA(MATCH(597,Engine!$C$2:$C$622,0)),"",INDEX('Compliance Database'!$H$2:$H$622,MATCH(597,Engine!$C$2:$C$622,0)))</f>
        <v/>
      </c>
      <c r="I610" s="8">
        <f>IF(ISNA(MATCH(597,Engine!$C$2:$C$622,0)),"",INDEX('Compliance Database'!$I$2:$I$622,MATCH(597,Engine!$C$2:$C$622,0)))</f>
        <v/>
      </c>
      <c r="J610" s="8">
        <f>IF(ISNA(MATCH(597,Engine!$C$2:$C$622,0)),"",INDEX('Compliance Database'!$J$2:$J$622,MATCH(597,Engine!$C$2:$C$622,0)))</f>
        <v/>
      </c>
      <c r="K610">
        <f>IF(ISNA(MATCH(597,Engine!$C$2:$C$622,0)),"",INDEX('Compliance Database'!$K$2:$K$622,MATCH(597,Engine!$C$2:$C$622,0)))</f>
        <v/>
      </c>
      <c r="L610" s="8">
        <f>IF(ISNA(MATCH(597,Engine!$C$2:$C$622,0)),"",INDEX('Compliance Database'!$L$2:$L$622,MATCH(597,Engine!$C$2:$C$622,0)))</f>
        <v/>
      </c>
      <c r="M610" s="8">
        <f>IF(ISNA(MATCH(597,Engine!$C$2:$C$622,0)),"",INDEX('Compliance Database'!$M$2:$M$622,MATCH(597,Engine!$C$2:$C$622,0)))</f>
        <v/>
      </c>
      <c r="N610" s="8">
        <f>IF(ISNA(MATCH(597,Engine!$C$2:$C$622,0)),"",INDEX('Compliance Database'!$N$2:$N$622,MATCH(597,Engine!$C$2:$C$622,0)))</f>
        <v/>
      </c>
      <c r="O610" s="8">
        <f>IF(ISNA(MATCH(597,Engine!$C$2:$C$622,0)),"",INDEX('Compliance Database'!$O$2:$O$622,MATCH(597,Engine!$C$2:$C$622,0)))</f>
        <v/>
      </c>
    </row>
    <row r="611">
      <c r="A611">
        <f>IF(ISNA(MATCH(598,Engine!$C$2:$C$622,0)),"",INDEX('Compliance Database'!$A$2:$A$622,MATCH(598,Engine!$C$2:$C$622,0)))</f>
        <v/>
      </c>
      <c r="B611">
        <f>IF(ISNA(MATCH(598,Engine!$C$2:$C$622,0)),"",INDEX('Compliance Database'!$B$2:$B$622,MATCH(598,Engine!$C$2:$C$622,0)))</f>
        <v/>
      </c>
      <c r="C611">
        <f>IF(ISNA(MATCH(598,Engine!$C$2:$C$622,0)),"",INDEX('Compliance Database'!$C$2:$C$622,MATCH(598,Engine!$C$2:$C$622,0)))</f>
        <v/>
      </c>
      <c r="D611" s="8">
        <f>IF(ISNA(MATCH(598,Engine!$C$2:$C$622,0)),"",INDEX('Compliance Database'!$D$2:$D$622,MATCH(598,Engine!$C$2:$C$622,0)))</f>
        <v/>
      </c>
      <c r="E611">
        <f>IF(ISNA(MATCH(598,Engine!$C$2:$C$622,0)),"",INDEX('Compliance Database'!$E$2:$E$622,MATCH(598,Engine!$C$2:$C$622,0)))</f>
        <v/>
      </c>
      <c r="F611">
        <f>IF(ISNA(MATCH(598,Engine!$C$2:$C$622,0)),"",INDEX('Compliance Database'!$F$2:$F$622,MATCH(598,Engine!$C$2:$C$622,0)))</f>
        <v/>
      </c>
      <c r="G611">
        <f>IF(ISNA(MATCH(598,Engine!$C$2:$C$622,0)),"",INDEX('Compliance Database'!$G$2:$G$622,MATCH(598,Engine!$C$2:$C$622,0)))</f>
        <v/>
      </c>
      <c r="H611">
        <f>IF(ISNA(MATCH(598,Engine!$C$2:$C$622,0)),"",INDEX('Compliance Database'!$H$2:$H$622,MATCH(598,Engine!$C$2:$C$622,0)))</f>
        <v/>
      </c>
      <c r="I611" s="8">
        <f>IF(ISNA(MATCH(598,Engine!$C$2:$C$622,0)),"",INDEX('Compliance Database'!$I$2:$I$622,MATCH(598,Engine!$C$2:$C$622,0)))</f>
        <v/>
      </c>
      <c r="J611" s="8">
        <f>IF(ISNA(MATCH(598,Engine!$C$2:$C$622,0)),"",INDEX('Compliance Database'!$J$2:$J$622,MATCH(598,Engine!$C$2:$C$622,0)))</f>
        <v/>
      </c>
      <c r="K611">
        <f>IF(ISNA(MATCH(598,Engine!$C$2:$C$622,0)),"",INDEX('Compliance Database'!$K$2:$K$622,MATCH(598,Engine!$C$2:$C$622,0)))</f>
        <v/>
      </c>
      <c r="L611" s="8">
        <f>IF(ISNA(MATCH(598,Engine!$C$2:$C$622,0)),"",INDEX('Compliance Database'!$L$2:$L$622,MATCH(598,Engine!$C$2:$C$622,0)))</f>
        <v/>
      </c>
      <c r="M611" s="8">
        <f>IF(ISNA(MATCH(598,Engine!$C$2:$C$622,0)),"",INDEX('Compliance Database'!$M$2:$M$622,MATCH(598,Engine!$C$2:$C$622,0)))</f>
        <v/>
      </c>
      <c r="N611" s="8">
        <f>IF(ISNA(MATCH(598,Engine!$C$2:$C$622,0)),"",INDEX('Compliance Database'!$N$2:$N$622,MATCH(598,Engine!$C$2:$C$622,0)))</f>
        <v/>
      </c>
      <c r="O611" s="8">
        <f>IF(ISNA(MATCH(598,Engine!$C$2:$C$622,0)),"",INDEX('Compliance Database'!$O$2:$O$622,MATCH(598,Engine!$C$2:$C$622,0)))</f>
        <v/>
      </c>
    </row>
    <row r="612">
      <c r="A612">
        <f>IF(ISNA(MATCH(599,Engine!$C$2:$C$622,0)),"",INDEX('Compliance Database'!$A$2:$A$622,MATCH(599,Engine!$C$2:$C$622,0)))</f>
        <v/>
      </c>
      <c r="B612">
        <f>IF(ISNA(MATCH(599,Engine!$C$2:$C$622,0)),"",INDEX('Compliance Database'!$B$2:$B$622,MATCH(599,Engine!$C$2:$C$622,0)))</f>
        <v/>
      </c>
      <c r="C612">
        <f>IF(ISNA(MATCH(599,Engine!$C$2:$C$622,0)),"",INDEX('Compliance Database'!$C$2:$C$622,MATCH(599,Engine!$C$2:$C$622,0)))</f>
        <v/>
      </c>
      <c r="D612" s="8">
        <f>IF(ISNA(MATCH(599,Engine!$C$2:$C$622,0)),"",INDEX('Compliance Database'!$D$2:$D$622,MATCH(599,Engine!$C$2:$C$622,0)))</f>
        <v/>
      </c>
      <c r="E612">
        <f>IF(ISNA(MATCH(599,Engine!$C$2:$C$622,0)),"",INDEX('Compliance Database'!$E$2:$E$622,MATCH(599,Engine!$C$2:$C$622,0)))</f>
        <v/>
      </c>
      <c r="F612">
        <f>IF(ISNA(MATCH(599,Engine!$C$2:$C$622,0)),"",INDEX('Compliance Database'!$F$2:$F$622,MATCH(599,Engine!$C$2:$C$622,0)))</f>
        <v/>
      </c>
      <c r="G612">
        <f>IF(ISNA(MATCH(599,Engine!$C$2:$C$622,0)),"",INDEX('Compliance Database'!$G$2:$G$622,MATCH(599,Engine!$C$2:$C$622,0)))</f>
        <v/>
      </c>
      <c r="H612">
        <f>IF(ISNA(MATCH(599,Engine!$C$2:$C$622,0)),"",INDEX('Compliance Database'!$H$2:$H$622,MATCH(599,Engine!$C$2:$C$622,0)))</f>
        <v/>
      </c>
      <c r="I612" s="8">
        <f>IF(ISNA(MATCH(599,Engine!$C$2:$C$622,0)),"",INDEX('Compliance Database'!$I$2:$I$622,MATCH(599,Engine!$C$2:$C$622,0)))</f>
        <v/>
      </c>
      <c r="J612" s="8">
        <f>IF(ISNA(MATCH(599,Engine!$C$2:$C$622,0)),"",INDEX('Compliance Database'!$J$2:$J$622,MATCH(599,Engine!$C$2:$C$622,0)))</f>
        <v/>
      </c>
      <c r="K612">
        <f>IF(ISNA(MATCH(599,Engine!$C$2:$C$622,0)),"",INDEX('Compliance Database'!$K$2:$K$622,MATCH(599,Engine!$C$2:$C$622,0)))</f>
        <v/>
      </c>
      <c r="L612" s="8">
        <f>IF(ISNA(MATCH(599,Engine!$C$2:$C$622,0)),"",INDEX('Compliance Database'!$L$2:$L$622,MATCH(599,Engine!$C$2:$C$622,0)))</f>
        <v/>
      </c>
      <c r="M612" s="8">
        <f>IF(ISNA(MATCH(599,Engine!$C$2:$C$622,0)),"",INDEX('Compliance Database'!$M$2:$M$622,MATCH(599,Engine!$C$2:$C$622,0)))</f>
        <v/>
      </c>
      <c r="N612" s="8">
        <f>IF(ISNA(MATCH(599,Engine!$C$2:$C$622,0)),"",INDEX('Compliance Database'!$N$2:$N$622,MATCH(599,Engine!$C$2:$C$622,0)))</f>
        <v/>
      </c>
      <c r="O612" s="8">
        <f>IF(ISNA(MATCH(599,Engine!$C$2:$C$622,0)),"",INDEX('Compliance Database'!$O$2:$O$622,MATCH(599,Engine!$C$2:$C$622,0)))</f>
        <v/>
      </c>
    </row>
    <row r="613">
      <c r="A613">
        <f>IF(ISNA(MATCH(600,Engine!$C$2:$C$622,0)),"",INDEX('Compliance Database'!$A$2:$A$622,MATCH(600,Engine!$C$2:$C$622,0)))</f>
        <v/>
      </c>
      <c r="B613">
        <f>IF(ISNA(MATCH(600,Engine!$C$2:$C$622,0)),"",INDEX('Compliance Database'!$B$2:$B$622,MATCH(600,Engine!$C$2:$C$622,0)))</f>
        <v/>
      </c>
      <c r="C613">
        <f>IF(ISNA(MATCH(600,Engine!$C$2:$C$622,0)),"",INDEX('Compliance Database'!$C$2:$C$622,MATCH(600,Engine!$C$2:$C$622,0)))</f>
        <v/>
      </c>
      <c r="D613" s="8">
        <f>IF(ISNA(MATCH(600,Engine!$C$2:$C$622,0)),"",INDEX('Compliance Database'!$D$2:$D$622,MATCH(600,Engine!$C$2:$C$622,0)))</f>
        <v/>
      </c>
      <c r="E613">
        <f>IF(ISNA(MATCH(600,Engine!$C$2:$C$622,0)),"",INDEX('Compliance Database'!$E$2:$E$622,MATCH(600,Engine!$C$2:$C$622,0)))</f>
        <v/>
      </c>
      <c r="F613">
        <f>IF(ISNA(MATCH(600,Engine!$C$2:$C$622,0)),"",INDEX('Compliance Database'!$F$2:$F$622,MATCH(600,Engine!$C$2:$C$622,0)))</f>
        <v/>
      </c>
      <c r="G613">
        <f>IF(ISNA(MATCH(600,Engine!$C$2:$C$622,0)),"",INDEX('Compliance Database'!$G$2:$G$622,MATCH(600,Engine!$C$2:$C$622,0)))</f>
        <v/>
      </c>
      <c r="H613">
        <f>IF(ISNA(MATCH(600,Engine!$C$2:$C$622,0)),"",INDEX('Compliance Database'!$H$2:$H$622,MATCH(600,Engine!$C$2:$C$622,0)))</f>
        <v/>
      </c>
      <c r="I613" s="8">
        <f>IF(ISNA(MATCH(600,Engine!$C$2:$C$622,0)),"",INDEX('Compliance Database'!$I$2:$I$622,MATCH(600,Engine!$C$2:$C$622,0)))</f>
        <v/>
      </c>
      <c r="J613" s="8">
        <f>IF(ISNA(MATCH(600,Engine!$C$2:$C$622,0)),"",INDEX('Compliance Database'!$J$2:$J$622,MATCH(600,Engine!$C$2:$C$622,0)))</f>
        <v/>
      </c>
      <c r="K613">
        <f>IF(ISNA(MATCH(600,Engine!$C$2:$C$622,0)),"",INDEX('Compliance Database'!$K$2:$K$622,MATCH(600,Engine!$C$2:$C$622,0)))</f>
        <v/>
      </c>
      <c r="L613" s="8">
        <f>IF(ISNA(MATCH(600,Engine!$C$2:$C$622,0)),"",INDEX('Compliance Database'!$L$2:$L$622,MATCH(600,Engine!$C$2:$C$622,0)))</f>
        <v/>
      </c>
      <c r="M613" s="8">
        <f>IF(ISNA(MATCH(600,Engine!$C$2:$C$622,0)),"",INDEX('Compliance Database'!$M$2:$M$622,MATCH(600,Engine!$C$2:$C$622,0)))</f>
        <v/>
      </c>
      <c r="N613" s="8">
        <f>IF(ISNA(MATCH(600,Engine!$C$2:$C$622,0)),"",INDEX('Compliance Database'!$N$2:$N$622,MATCH(600,Engine!$C$2:$C$622,0)))</f>
        <v/>
      </c>
      <c r="O613" s="8">
        <f>IF(ISNA(MATCH(600,Engine!$C$2:$C$622,0)),"",INDEX('Compliance Database'!$O$2:$O$622,MATCH(600,Engine!$C$2:$C$622,0)))</f>
        <v/>
      </c>
    </row>
    <row r="614">
      <c r="A614">
        <f>IF(ISNA(MATCH(601,Engine!$C$2:$C$622,0)),"",INDEX('Compliance Database'!$A$2:$A$622,MATCH(601,Engine!$C$2:$C$622,0)))</f>
        <v/>
      </c>
      <c r="B614">
        <f>IF(ISNA(MATCH(601,Engine!$C$2:$C$622,0)),"",INDEX('Compliance Database'!$B$2:$B$622,MATCH(601,Engine!$C$2:$C$622,0)))</f>
        <v/>
      </c>
      <c r="C614">
        <f>IF(ISNA(MATCH(601,Engine!$C$2:$C$622,0)),"",INDEX('Compliance Database'!$C$2:$C$622,MATCH(601,Engine!$C$2:$C$622,0)))</f>
        <v/>
      </c>
      <c r="D614" s="8">
        <f>IF(ISNA(MATCH(601,Engine!$C$2:$C$622,0)),"",INDEX('Compliance Database'!$D$2:$D$622,MATCH(601,Engine!$C$2:$C$622,0)))</f>
        <v/>
      </c>
      <c r="E614">
        <f>IF(ISNA(MATCH(601,Engine!$C$2:$C$622,0)),"",INDEX('Compliance Database'!$E$2:$E$622,MATCH(601,Engine!$C$2:$C$622,0)))</f>
        <v/>
      </c>
      <c r="F614">
        <f>IF(ISNA(MATCH(601,Engine!$C$2:$C$622,0)),"",INDEX('Compliance Database'!$F$2:$F$622,MATCH(601,Engine!$C$2:$C$622,0)))</f>
        <v/>
      </c>
      <c r="G614">
        <f>IF(ISNA(MATCH(601,Engine!$C$2:$C$622,0)),"",INDEX('Compliance Database'!$G$2:$G$622,MATCH(601,Engine!$C$2:$C$622,0)))</f>
        <v/>
      </c>
      <c r="H614">
        <f>IF(ISNA(MATCH(601,Engine!$C$2:$C$622,0)),"",INDEX('Compliance Database'!$H$2:$H$622,MATCH(601,Engine!$C$2:$C$622,0)))</f>
        <v/>
      </c>
      <c r="I614" s="8">
        <f>IF(ISNA(MATCH(601,Engine!$C$2:$C$622,0)),"",INDEX('Compliance Database'!$I$2:$I$622,MATCH(601,Engine!$C$2:$C$622,0)))</f>
        <v/>
      </c>
      <c r="J614" s="8">
        <f>IF(ISNA(MATCH(601,Engine!$C$2:$C$622,0)),"",INDEX('Compliance Database'!$J$2:$J$622,MATCH(601,Engine!$C$2:$C$622,0)))</f>
        <v/>
      </c>
      <c r="K614">
        <f>IF(ISNA(MATCH(601,Engine!$C$2:$C$622,0)),"",INDEX('Compliance Database'!$K$2:$K$622,MATCH(601,Engine!$C$2:$C$622,0)))</f>
        <v/>
      </c>
      <c r="L614" s="8">
        <f>IF(ISNA(MATCH(601,Engine!$C$2:$C$622,0)),"",INDEX('Compliance Database'!$L$2:$L$622,MATCH(601,Engine!$C$2:$C$622,0)))</f>
        <v/>
      </c>
      <c r="M614" s="8">
        <f>IF(ISNA(MATCH(601,Engine!$C$2:$C$622,0)),"",INDEX('Compliance Database'!$M$2:$M$622,MATCH(601,Engine!$C$2:$C$622,0)))</f>
        <v/>
      </c>
      <c r="N614" s="8">
        <f>IF(ISNA(MATCH(601,Engine!$C$2:$C$622,0)),"",INDEX('Compliance Database'!$N$2:$N$622,MATCH(601,Engine!$C$2:$C$622,0)))</f>
        <v/>
      </c>
      <c r="O614" s="8">
        <f>IF(ISNA(MATCH(601,Engine!$C$2:$C$622,0)),"",INDEX('Compliance Database'!$O$2:$O$622,MATCH(601,Engine!$C$2:$C$622,0)))</f>
        <v/>
      </c>
    </row>
    <row r="615">
      <c r="A615">
        <f>IF(ISNA(MATCH(602,Engine!$C$2:$C$622,0)),"",INDEX('Compliance Database'!$A$2:$A$622,MATCH(602,Engine!$C$2:$C$622,0)))</f>
        <v/>
      </c>
      <c r="B615">
        <f>IF(ISNA(MATCH(602,Engine!$C$2:$C$622,0)),"",INDEX('Compliance Database'!$B$2:$B$622,MATCH(602,Engine!$C$2:$C$622,0)))</f>
        <v/>
      </c>
      <c r="C615">
        <f>IF(ISNA(MATCH(602,Engine!$C$2:$C$622,0)),"",INDEX('Compliance Database'!$C$2:$C$622,MATCH(602,Engine!$C$2:$C$622,0)))</f>
        <v/>
      </c>
      <c r="D615" s="8">
        <f>IF(ISNA(MATCH(602,Engine!$C$2:$C$622,0)),"",INDEX('Compliance Database'!$D$2:$D$622,MATCH(602,Engine!$C$2:$C$622,0)))</f>
        <v/>
      </c>
      <c r="E615">
        <f>IF(ISNA(MATCH(602,Engine!$C$2:$C$622,0)),"",INDEX('Compliance Database'!$E$2:$E$622,MATCH(602,Engine!$C$2:$C$622,0)))</f>
        <v/>
      </c>
      <c r="F615">
        <f>IF(ISNA(MATCH(602,Engine!$C$2:$C$622,0)),"",INDEX('Compliance Database'!$F$2:$F$622,MATCH(602,Engine!$C$2:$C$622,0)))</f>
        <v/>
      </c>
      <c r="G615">
        <f>IF(ISNA(MATCH(602,Engine!$C$2:$C$622,0)),"",INDEX('Compliance Database'!$G$2:$G$622,MATCH(602,Engine!$C$2:$C$622,0)))</f>
        <v/>
      </c>
      <c r="H615">
        <f>IF(ISNA(MATCH(602,Engine!$C$2:$C$622,0)),"",INDEX('Compliance Database'!$H$2:$H$622,MATCH(602,Engine!$C$2:$C$622,0)))</f>
        <v/>
      </c>
      <c r="I615" s="8">
        <f>IF(ISNA(MATCH(602,Engine!$C$2:$C$622,0)),"",INDEX('Compliance Database'!$I$2:$I$622,MATCH(602,Engine!$C$2:$C$622,0)))</f>
        <v/>
      </c>
      <c r="J615" s="8">
        <f>IF(ISNA(MATCH(602,Engine!$C$2:$C$622,0)),"",INDEX('Compliance Database'!$J$2:$J$622,MATCH(602,Engine!$C$2:$C$622,0)))</f>
        <v/>
      </c>
      <c r="K615">
        <f>IF(ISNA(MATCH(602,Engine!$C$2:$C$622,0)),"",INDEX('Compliance Database'!$K$2:$K$622,MATCH(602,Engine!$C$2:$C$622,0)))</f>
        <v/>
      </c>
      <c r="L615" s="8">
        <f>IF(ISNA(MATCH(602,Engine!$C$2:$C$622,0)),"",INDEX('Compliance Database'!$L$2:$L$622,MATCH(602,Engine!$C$2:$C$622,0)))</f>
        <v/>
      </c>
      <c r="M615" s="8">
        <f>IF(ISNA(MATCH(602,Engine!$C$2:$C$622,0)),"",INDEX('Compliance Database'!$M$2:$M$622,MATCH(602,Engine!$C$2:$C$622,0)))</f>
        <v/>
      </c>
      <c r="N615" s="8">
        <f>IF(ISNA(MATCH(602,Engine!$C$2:$C$622,0)),"",INDEX('Compliance Database'!$N$2:$N$622,MATCH(602,Engine!$C$2:$C$622,0)))</f>
        <v/>
      </c>
      <c r="O615" s="8">
        <f>IF(ISNA(MATCH(602,Engine!$C$2:$C$622,0)),"",INDEX('Compliance Database'!$O$2:$O$622,MATCH(602,Engine!$C$2:$C$622,0)))</f>
        <v/>
      </c>
    </row>
    <row r="616">
      <c r="A616">
        <f>IF(ISNA(MATCH(603,Engine!$C$2:$C$622,0)),"",INDEX('Compliance Database'!$A$2:$A$622,MATCH(603,Engine!$C$2:$C$622,0)))</f>
        <v/>
      </c>
      <c r="B616">
        <f>IF(ISNA(MATCH(603,Engine!$C$2:$C$622,0)),"",INDEX('Compliance Database'!$B$2:$B$622,MATCH(603,Engine!$C$2:$C$622,0)))</f>
        <v/>
      </c>
      <c r="C616">
        <f>IF(ISNA(MATCH(603,Engine!$C$2:$C$622,0)),"",INDEX('Compliance Database'!$C$2:$C$622,MATCH(603,Engine!$C$2:$C$622,0)))</f>
        <v/>
      </c>
      <c r="D616" s="8">
        <f>IF(ISNA(MATCH(603,Engine!$C$2:$C$622,0)),"",INDEX('Compliance Database'!$D$2:$D$622,MATCH(603,Engine!$C$2:$C$622,0)))</f>
        <v/>
      </c>
      <c r="E616">
        <f>IF(ISNA(MATCH(603,Engine!$C$2:$C$622,0)),"",INDEX('Compliance Database'!$E$2:$E$622,MATCH(603,Engine!$C$2:$C$622,0)))</f>
        <v/>
      </c>
      <c r="F616">
        <f>IF(ISNA(MATCH(603,Engine!$C$2:$C$622,0)),"",INDEX('Compliance Database'!$F$2:$F$622,MATCH(603,Engine!$C$2:$C$622,0)))</f>
        <v/>
      </c>
      <c r="G616">
        <f>IF(ISNA(MATCH(603,Engine!$C$2:$C$622,0)),"",INDEX('Compliance Database'!$G$2:$G$622,MATCH(603,Engine!$C$2:$C$622,0)))</f>
        <v/>
      </c>
      <c r="H616">
        <f>IF(ISNA(MATCH(603,Engine!$C$2:$C$622,0)),"",INDEX('Compliance Database'!$H$2:$H$622,MATCH(603,Engine!$C$2:$C$622,0)))</f>
        <v/>
      </c>
      <c r="I616" s="8">
        <f>IF(ISNA(MATCH(603,Engine!$C$2:$C$622,0)),"",INDEX('Compliance Database'!$I$2:$I$622,MATCH(603,Engine!$C$2:$C$622,0)))</f>
        <v/>
      </c>
      <c r="J616" s="8">
        <f>IF(ISNA(MATCH(603,Engine!$C$2:$C$622,0)),"",INDEX('Compliance Database'!$J$2:$J$622,MATCH(603,Engine!$C$2:$C$622,0)))</f>
        <v/>
      </c>
      <c r="K616">
        <f>IF(ISNA(MATCH(603,Engine!$C$2:$C$622,0)),"",INDEX('Compliance Database'!$K$2:$K$622,MATCH(603,Engine!$C$2:$C$622,0)))</f>
        <v/>
      </c>
      <c r="L616" s="8">
        <f>IF(ISNA(MATCH(603,Engine!$C$2:$C$622,0)),"",INDEX('Compliance Database'!$L$2:$L$622,MATCH(603,Engine!$C$2:$C$622,0)))</f>
        <v/>
      </c>
      <c r="M616" s="8">
        <f>IF(ISNA(MATCH(603,Engine!$C$2:$C$622,0)),"",INDEX('Compliance Database'!$M$2:$M$622,MATCH(603,Engine!$C$2:$C$622,0)))</f>
        <v/>
      </c>
      <c r="N616" s="8">
        <f>IF(ISNA(MATCH(603,Engine!$C$2:$C$622,0)),"",INDEX('Compliance Database'!$N$2:$N$622,MATCH(603,Engine!$C$2:$C$622,0)))</f>
        <v/>
      </c>
      <c r="O616" s="8">
        <f>IF(ISNA(MATCH(603,Engine!$C$2:$C$622,0)),"",INDEX('Compliance Database'!$O$2:$O$622,MATCH(603,Engine!$C$2:$C$622,0)))</f>
        <v/>
      </c>
    </row>
    <row r="617">
      <c r="A617">
        <f>IF(ISNA(MATCH(604,Engine!$C$2:$C$622,0)),"",INDEX('Compliance Database'!$A$2:$A$622,MATCH(604,Engine!$C$2:$C$622,0)))</f>
        <v/>
      </c>
      <c r="B617">
        <f>IF(ISNA(MATCH(604,Engine!$C$2:$C$622,0)),"",INDEX('Compliance Database'!$B$2:$B$622,MATCH(604,Engine!$C$2:$C$622,0)))</f>
        <v/>
      </c>
      <c r="C617">
        <f>IF(ISNA(MATCH(604,Engine!$C$2:$C$622,0)),"",INDEX('Compliance Database'!$C$2:$C$622,MATCH(604,Engine!$C$2:$C$622,0)))</f>
        <v/>
      </c>
      <c r="D617" s="8">
        <f>IF(ISNA(MATCH(604,Engine!$C$2:$C$622,0)),"",INDEX('Compliance Database'!$D$2:$D$622,MATCH(604,Engine!$C$2:$C$622,0)))</f>
        <v/>
      </c>
      <c r="E617">
        <f>IF(ISNA(MATCH(604,Engine!$C$2:$C$622,0)),"",INDEX('Compliance Database'!$E$2:$E$622,MATCH(604,Engine!$C$2:$C$622,0)))</f>
        <v/>
      </c>
      <c r="F617">
        <f>IF(ISNA(MATCH(604,Engine!$C$2:$C$622,0)),"",INDEX('Compliance Database'!$F$2:$F$622,MATCH(604,Engine!$C$2:$C$622,0)))</f>
        <v/>
      </c>
      <c r="G617">
        <f>IF(ISNA(MATCH(604,Engine!$C$2:$C$622,0)),"",INDEX('Compliance Database'!$G$2:$G$622,MATCH(604,Engine!$C$2:$C$622,0)))</f>
        <v/>
      </c>
      <c r="H617">
        <f>IF(ISNA(MATCH(604,Engine!$C$2:$C$622,0)),"",INDEX('Compliance Database'!$H$2:$H$622,MATCH(604,Engine!$C$2:$C$622,0)))</f>
        <v/>
      </c>
      <c r="I617" s="8">
        <f>IF(ISNA(MATCH(604,Engine!$C$2:$C$622,0)),"",INDEX('Compliance Database'!$I$2:$I$622,MATCH(604,Engine!$C$2:$C$622,0)))</f>
        <v/>
      </c>
      <c r="J617" s="8">
        <f>IF(ISNA(MATCH(604,Engine!$C$2:$C$622,0)),"",INDEX('Compliance Database'!$J$2:$J$622,MATCH(604,Engine!$C$2:$C$622,0)))</f>
        <v/>
      </c>
      <c r="K617">
        <f>IF(ISNA(MATCH(604,Engine!$C$2:$C$622,0)),"",INDEX('Compliance Database'!$K$2:$K$622,MATCH(604,Engine!$C$2:$C$622,0)))</f>
        <v/>
      </c>
      <c r="L617" s="8">
        <f>IF(ISNA(MATCH(604,Engine!$C$2:$C$622,0)),"",INDEX('Compliance Database'!$L$2:$L$622,MATCH(604,Engine!$C$2:$C$622,0)))</f>
        <v/>
      </c>
      <c r="M617" s="8">
        <f>IF(ISNA(MATCH(604,Engine!$C$2:$C$622,0)),"",INDEX('Compliance Database'!$M$2:$M$622,MATCH(604,Engine!$C$2:$C$622,0)))</f>
        <v/>
      </c>
      <c r="N617" s="8">
        <f>IF(ISNA(MATCH(604,Engine!$C$2:$C$622,0)),"",INDEX('Compliance Database'!$N$2:$N$622,MATCH(604,Engine!$C$2:$C$622,0)))</f>
        <v/>
      </c>
      <c r="O617" s="8">
        <f>IF(ISNA(MATCH(604,Engine!$C$2:$C$622,0)),"",INDEX('Compliance Database'!$O$2:$O$622,MATCH(604,Engine!$C$2:$C$622,0)))</f>
        <v/>
      </c>
    </row>
    <row r="618">
      <c r="A618">
        <f>IF(ISNA(MATCH(605,Engine!$C$2:$C$622,0)),"",INDEX('Compliance Database'!$A$2:$A$622,MATCH(605,Engine!$C$2:$C$622,0)))</f>
        <v/>
      </c>
      <c r="B618">
        <f>IF(ISNA(MATCH(605,Engine!$C$2:$C$622,0)),"",INDEX('Compliance Database'!$B$2:$B$622,MATCH(605,Engine!$C$2:$C$622,0)))</f>
        <v/>
      </c>
      <c r="C618">
        <f>IF(ISNA(MATCH(605,Engine!$C$2:$C$622,0)),"",INDEX('Compliance Database'!$C$2:$C$622,MATCH(605,Engine!$C$2:$C$622,0)))</f>
        <v/>
      </c>
      <c r="D618" s="8">
        <f>IF(ISNA(MATCH(605,Engine!$C$2:$C$622,0)),"",INDEX('Compliance Database'!$D$2:$D$622,MATCH(605,Engine!$C$2:$C$622,0)))</f>
        <v/>
      </c>
      <c r="E618">
        <f>IF(ISNA(MATCH(605,Engine!$C$2:$C$622,0)),"",INDEX('Compliance Database'!$E$2:$E$622,MATCH(605,Engine!$C$2:$C$622,0)))</f>
        <v/>
      </c>
      <c r="F618">
        <f>IF(ISNA(MATCH(605,Engine!$C$2:$C$622,0)),"",INDEX('Compliance Database'!$F$2:$F$622,MATCH(605,Engine!$C$2:$C$622,0)))</f>
        <v/>
      </c>
      <c r="G618">
        <f>IF(ISNA(MATCH(605,Engine!$C$2:$C$622,0)),"",INDEX('Compliance Database'!$G$2:$G$622,MATCH(605,Engine!$C$2:$C$622,0)))</f>
        <v/>
      </c>
      <c r="H618">
        <f>IF(ISNA(MATCH(605,Engine!$C$2:$C$622,0)),"",INDEX('Compliance Database'!$H$2:$H$622,MATCH(605,Engine!$C$2:$C$622,0)))</f>
        <v/>
      </c>
      <c r="I618" s="8">
        <f>IF(ISNA(MATCH(605,Engine!$C$2:$C$622,0)),"",INDEX('Compliance Database'!$I$2:$I$622,MATCH(605,Engine!$C$2:$C$622,0)))</f>
        <v/>
      </c>
      <c r="J618" s="8">
        <f>IF(ISNA(MATCH(605,Engine!$C$2:$C$622,0)),"",INDEX('Compliance Database'!$J$2:$J$622,MATCH(605,Engine!$C$2:$C$622,0)))</f>
        <v/>
      </c>
      <c r="K618">
        <f>IF(ISNA(MATCH(605,Engine!$C$2:$C$622,0)),"",INDEX('Compliance Database'!$K$2:$K$622,MATCH(605,Engine!$C$2:$C$622,0)))</f>
        <v/>
      </c>
      <c r="L618" s="8">
        <f>IF(ISNA(MATCH(605,Engine!$C$2:$C$622,0)),"",INDEX('Compliance Database'!$L$2:$L$622,MATCH(605,Engine!$C$2:$C$622,0)))</f>
        <v/>
      </c>
      <c r="M618" s="8">
        <f>IF(ISNA(MATCH(605,Engine!$C$2:$C$622,0)),"",INDEX('Compliance Database'!$M$2:$M$622,MATCH(605,Engine!$C$2:$C$622,0)))</f>
        <v/>
      </c>
      <c r="N618" s="8">
        <f>IF(ISNA(MATCH(605,Engine!$C$2:$C$622,0)),"",INDEX('Compliance Database'!$N$2:$N$622,MATCH(605,Engine!$C$2:$C$622,0)))</f>
        <v/>
      </c>
      <c r="O618" s="8">
        <f>IF(ISNA(MATCH(605,Engine!$C$2:$C$622,0)),"",INDEX('Compliance Database'!$O$2:$O$622,MATCH(605,Engine!$C$2:$C$622,0)))</f>
        <v/>
      </c>
    </row>
    <row r="619">
      <c r="A619">
        <f>IF(ISNA(MATCH(606,Engine!$C$2:$C$622,0)),"",INDEX('Compliance Database'!$A$2:$A$622,MATCH(606,Engine!$C$2:$C$622,0)))</f>
        <v/>
      </c>
      <c r="B619">
        <f>IF(ISNA(MATCH(606,Engine!$C$2:$C$622,0)),"",INDEX('Compliance Database'!$B$2:$B$622,MATCH(606,Engine!$C$2:$C$622,0)))</f>
        <v/>
      </c>
      <c r="C619">
        <f>IF(ISNA(MATCH(606,Engine!$C$2:$C$622,0)),"",INDEX('Compliance Database'!$C$2:$C$622,MATCH(606,Engine!$C$2:$C$622,0)))</f>
        <v/>
      </c>
      <c r="D619" s="8">
        <f>IF(ISNA(MATCH(606,Engine!$C$2:$C$622,0)),"",INDEX('Compliance Database'!$D$2:$D$622,MATCH(606,Engine!$C$2:$C$622,0)))</f>
        <v/>
      </c>
      <c r="E619">
        <f>IF(ISNA(MATCH(606,Engine!$C$2:$C$622,0)),"",INDEX('Compliance Database'!$E$2:$E$622,MATCH(606,Engine!$C$2:$C$622,0)))</f>
        <v/>
      </c>
      <c r="F619">
        <f>IF(ISNA(MATCH(606,Engine!$C$2:$C$622,0)),"",INDEX('Compliance Database'!$F$2:$F$622,MATCH(606,Engine!$C$2:$C$622,0)))</f>
        <v/>
      </c>
      <c r="G619">
        <f>IF(ISNA(MATCH(606,Engine!$C$2:$C$622,0)),"",INDEX('Compliance Database'!$G$2:$G$622,MATCH(606,Engine!$C$2:$C$622,0)))</f>
        <v/>
      </c>
      <c r="H619">
        <f>IF(ISNA(MATCH(606,Engine!$C$2:$C$622,0)),"",INDEX('Compliance Database'!$H$2:$H$622,MATCH(606,Engine!$C$2:$C$622,0)))</f>
        <v/>
      </c>
      <c r="I619" s="8">
        <f>IF(ISNA(MATCH(606,Engine!$C$2:$C$622,0)),"",INDEX('Compliance Database'!$I$2:$I$622,MATCH(606,Engine!$C$2:$C$622,0)))</f>
        <v/>
      </c>
      <c r="J619" s="8">
        <f>IF(ISNA(MATCH(606,Engine!$C$2:$C$622,0)),"",INDEX('Compliance Database'!$J$2:$J$622,MATCH(606,Engine!$C$2:$C$622,0)))</f>
        <v/>
      </c>
      <c r="K619">
        <f>IF(ISNA(MATCH(606,Engine!$C$2:$C$622,0)),"",INDEX('Compliance Database'!$K$2:$K$622,MATCH(606,Engine!$C$2:$C$622,0)))</f>
        <v/>
      </c>
      <c r="L619" s="8">
        <f>IF(ISNA(MATCH(606,Engine!$C$2:$C$622,0)),"",INDEX('Compliance Database'!$L$2:$L$622,MATCH(606,Engine!$C$2:$C$622,0)))</f>
        <v/>
      </c>
      <c r="M619" s="8">
        <f>IF(ISNA(MATCH(606,Engine!$C$2:$C$622,0)),"",INDEX('Compliance Database'!$M$2:$M$622,MATCH(606,Engine!$C$2:$C$622,0)))</f>
        <v/>
      </c>
      <c r="N619" s="8">
        <f>IF(ISNA(MATCH(606,Engine!$C$2:$C$622,0)),"",INDEX('Compliance Database'!$N$2:$N$622,MATCH(606,Engine!$C$2:$C$622,0)))</f>
        <v/>
      </c>
      <c r="O619" s="8">
        <f>IF(ISNA(MATCH(606,Engine!$C$2:$C$622,0)),"",INDEX('Compliance Database'!$O$2:$O$622,MATCH(606,Engine!$C$2:$C$622,0)))</f>
        <v/>
      </c>
    </row>
    <row r="620">
      <c r="A620">
        <f>IF(ISNA(MATCH(607,Engine!$C$2:$C$622,0)),"",INDEX('Compliance Database'!$A$2:$A$622,MATCH(607,Engine!$C$2:$C$622,0)))</f>
        <v/>
      </c>
      <c r="B620">
        <f>IF(ISNA(MATCH(607,Engine!$C$2:$C$622,0)),"",INDEX('Compliance Database'!$B$2:$B$622,MATCH(607,Engine!$C$2:$C$622,0)))</f>
        <v/>
      </c>
      <c r="C620">
        <f>IF(ISNA(MATCH(607,Engine!$C$2:$C$622,0)),"",INDEX('Compliance Database'!$C$2:$C$622,MATCH(607,Engine!$C$2:$C$622,0)))</f>
        <v/>
      </c>
      <c r="D620" s="8">
        <f>IF(ISNA(MATCH(607,Engine!$C$2:$C$622,0)),"",INDEX('Compliance Database'!$D$2:$D$622,MATCH(607,Engine!$C$2:$C$622,0)))</f>
        <v/>
      </c>
      <c r="E620">
        <f>IF(ISNA(MATCH(607,Engine!$C$2:$C$622,0)),"",INDEX('Compliance Database'!$E$2:$E$622,MATCH(607,Engine!$C$2:$C$622,0)))</f>
        <v/>
      </c>
      <c r="F620">
        <f>IF(ISNA(MATCH(607,Engine!$C$2:$C$622,0)),"",INDEX('Compliance Database'!$F$2:$F$622,MATCH(607,Engine!$C$2:$C$622,0)))</f>
        <v/>
      </c>
      <c r="G620">
        <f>IF(ISNA(MATCH(607,Engine!$C$2:$C$622,0)),"",INDEX('Compliance Database'!$G$2:$G$622,MATCH(607,Engine!$C$2:$C$622,0)))</f>
        <v/>
      </c>
      <c r="H620">
        <f>IF(ISNA(MATCH(607,Engine!$C$2:$C$622,0)),"",INDEX('Compliance Database'!$H$2:$H$622,MATCH(607,Engine!$C$2:$C$622,0)))</f>
        <v/>
      </c>
      <c r="I620" s="8">
        <f>IF(ISNA(MATCH(607,Engine!$C$2:$C$622,0)),"",INDEX('Compliance Database'!$I$2:$I$622,MATCH(607,Engine!$C$2:$C$622,0)))</f>
        <v/>
      </c>
      <c r="J620" s="8">
        <f>IF(ISNA(MATCH(607,Engine!$C$2:$C$622,0)),"",INDEX('Compliance Database'!$J$2:$J$622,MATCH(607,Engine!$C$2:$C$622,0)))</f>
        <v/>
      </c>
      <c r="K620">
        <f>IF(ISNA(MATCH(607,Engine!$C$2:$C$622,0)),"",INDEX('Compliance Database'!$K$2:$K$622,MATCH(607,Engine!$C$2:$C$622,0)))</f>
        <v/>
      </c>
      <c r="L620" s="8">
        <f>IF(ISNA(MATCH(607,Engine!$C$2:$C$622,0)),"",INDEX('Compliance Database'!$L$2:$L$622,MATCH(607,Engine!$C$2:$C$622,0)))</f>
        <v/>
      </c>
      <c r="M620" s="8">
        <f>IF(ISNA(MATCH(607,Engine!$C$2:$C$622,0)),"",INDEX('Compliance Database'!$M$2:$M$622,MATCH(607,Engine!$C$2:$C$622,0)))</f>
        <v/>
      </c>
      <c r="N620" s="8">
        <f>IF(ISNA(MATCH(607,Engine!$C$2:$C$622,0)),"",INDEX('Compliance Database'!$N$2:$N$622,MATCH(607,Engine!$C$2:$C$622,0)))</f>
        <v/>
      </c>
      <c r="O620" s="8">
        <f>IF(ISNA(MATCH(607,Engine!$C$2:$C$622,0)),"",INDEX('Compliance Database'!$O$2:$O$622,MATCH(607,Engine!$C$2:$C$622,0)))</f>
        <v/>
      </c>
    </row>
    <row r="621">
      <c r="A621">
        <f>IF(ISNA(MATCH(608,Engine!$C$2:$C$622,0)),"",INDEX('Compliance Database'!$A$2:$A$622,MATCH(608,Engine!$C$2:$C$622,0)))</f>
        <v/>
      </c>
      <c r="B621">
        <f>IF(ISNA(MATCH(608,Engine!$C$2:$C$622,0)),"",INDEX('Compliance Database'!$B$2:$B$622,MATCH(608,Engine!$C$2:$C$622,0)))</f>
        <v/>
      </c>
      <c r="C621">
        <f>IF(ISNA(MATCH(608,Engine!$C$2:$C$622,0)),"",INDEX('Compliance Database'!$C$2:$C$622,MATCH(608,Engine!$C$2:$C$622,0)))</f>
        <v/>
      </c>
      <c r="D621" s="8">
        <f>IF(ISNA(MATCH(608,Engine!$C$2:$C$622,0)),"",INDEX('Compliance Database'!$D$2:$D$622,MATCH(608,Engine!$C$2:$C$622,0)))</f>
        <v/>
      </c>
      <c r="E621">
        <f>IF(ISNA(MATCH(608,Engine!$C$2:$C$622,0)),"",INDEX('Compliance Database'!$E$2:$E$622,MATCH(608,Engine!$C$2:$C$622,0)))</f>
        <v/>
      </c>
      <c r="F621">
        <f>IF(ISNA(MATCH(608,Engine!$C$2:$C$622,0)),"",INDEX('Compliance Database'!$F$2:$F$622,MATCH(608,Engine!$C$2:$C$622,0)))</f>
        <v/>
      </c>
      <c r="G621">
        <f>IF(ISNA(MATCH(608,Engine!$C$2:$C$622,0)),"",INDEX('Compliance Database'!$G$2:$G$622,MATCH(608,Engine!$C$2:$C$622,0)))</f>
        <v/>
      </c>
      <c r="H621">
        <f>IF(ISNA(MATCH(608,Engine!$C$2:$C$622,0)),"",INDEX('Compliance Database'!$H$2:$H$622,MATCH(608,Engine!$C$2:$C$622,0)))</f>
        <v/>
      </c>
      <c r="I621" s="8">
        <f>IF(ISNA(MATCH(608,Engine!$C$2:$C$622,0)),"",INDEX('Compliance Database'!$I$2:$I$622,MATCH(608,Engine!$C$2:$C$622,0)))</f>
        <v/>
      </c>
      <c r="J621" s="8">
        <f>IF(ISNA(MATCH(608,Engine!$C$2:$C$622,0)),"",INDEX('Compliance Database'!$J$2:$J$622,MATCH(608,Engine!$C$2:$C$622,0)))</f>
        <v/>
      </c>
      <c r="K621">
        <f>IF(ISNA(MATCH(608,Engine!$C$2:$C$622,0)),"",INDEX('Compliance Database'!$K$2:$K$622,MATCH(608,Engine!$C$2:$C$622,0)))</f>
        <v/>
      </c>
      <c r="L621" s="8">
        <f>IF(ISNA(MATCH(608,Engine!$C$2:$C$622,0)),"",INDEX('Compliance Database'!$L$2:$L$622,MATCH(608,Engine!$C$2:$C$622,0)))</f>
        <v/>
      </c>
      <c r="M621" s="8">
        <f>IF(ISNA(MATCH(608,Engine!$C$2:$C$622,0)),"",INDEX('Compliance Database'!$M$2:$M$622,MATCH(608,Engine!$C$2:$C$622,0)))</f>
        <v/>
      </c>
      <c r="N621" s="8">
        <f>IF(ISNA(MATCH(608,Engine!$C$2:$C$622,0)),"",INDEX('Compliance Database'!$N$2:$N$622,MATCH(608,Engine!$C$2:$C$622,0)))</f>
        <v/>
      </c>
      <c r="O621" s="8">
        <f>IF(ISNA(MATCH(608,Engine!$C$2:$C$622,0)),"",INDEX('Compliance Database'!$O$2:$O$622,MATCH(608,Engine!$C$2:$C$622,0)))</f>
        <v/>
      </c>
    </row>
    <row r="622">
      <c r="A622">
        <f>IF(ISNA(MATCH(609,Engine!$C$2:$C$622,0)),"",INDEX('Compliance Database'!$A$2:$A$622,MATCH(609,Engine!$C$2:$C$622,0)))</f>
        <v/>
      </c>
      <c r="B622">
        <f>IF(ISNA(MATCH(609,Engine!$C$2:$C$622,0)),"",INDEX('Compliance Database'!$B$2:$B$622,MATCH(609,Engine!$C$2:$C$622,0)))</f>
        <v/>
      </c>
      <c r="C622">
        <f>IF(ISNA(MATCH(609,Engine!$C$2:$C$622,0)),"",INDEX('Compliance Database'!$C$2:$C$622,MATCH(609,Engine!$C$2:$C$622,0)))</f>
        <v/>
      </c>
      <c r="D622" s="8">
        <f>IF(ISNA(MATCH(609,Engine!$C$2:$C$622,0)),"",INDEX('Compliance Database'!$D$2:$D$622,MATCH(609,Engine!$C$2:$C$622,0)))</f>
        <v/>
      </c>
      <c r="E622">
        <f>IF(ISNA(MATCH(609,Engine!$C$2:$C$622,0)),"",INDEX('Compliance Database'!$E$2:$E$622,MATCH(609,Engine!$C$2:$C$622,0)))</f>
        <v/>
      </c>
      <c r="F622">
        <f>IF(ISNA(MATCH(609,Engine!$C$2:$C$622,0)),"",INDEX('Compliance Database'!$F$2:$F$622,MATCH(609,Engine!$C$2:$C$622,0)))</f>
        <v/>
      </c>
      <c r="G622">
        <f>IF(ISNA(MATCH(609,Engine!$C$2:$C$622,0)),"",INDEX('Compliance Database'!$G$2:$G$622,MATCH(609,Engine!$C$2:$C$622,0)))</f>
        <v/>
      </c>
      <c r="H622">
        <f>IF(ISNA(MATCH(609,Engine!$C$2:$C$622,0)),"",INDEX('Compliance Database'!$H$2:$H$622,MATCH(609,Engine!$C$2:$C$622,0)))</f>
        <v/>
      </c>
      <c r="I622" s="8">
        <f>IF(ISNA(MATCH(609,Engine!$C$2:$C$622,0)),"",INDEX('Compliance Database'!$I$2:$I$622,MATCH(609,Engine!$C$2:$C$622,0)))</f>
        <v/>
      </c>
      <c r="J622" s="8">
        <f>IF(ISNA(MATCH(609,Engine!$C$2:$C$622,0)),"",INDEX('Compliance Database'!$J$2:$J$622,MATCH(609,Engine!$C$2:$C$622,0)))</f>
        <v/>
      </c>
      <c r="K622">
        <f>IF(ISNA(MATCH(609,Engine!$C$2:$C$622,0)),"",INDEX('Compliance Database'!$K$2:$K$622,MATCH(609,Engine!$C$2:$C$622,0)))</f>
        <v/>
      </c>
      <c r="L622" s="8">
        <f>IF(ISNA(MATCH(609,Engine!$C$2:$C$622,0)),"",INDEX('Compliance Database'!$L$2:$L$622,MATCH(609,Engine!$C$2:$C$622,0)))</f>
        <v/>
      </c>
      <c r="M622" s="8">
        <f>IF(ISNA(MATCH(609,Engine!$C$2:$C$622,0)),"",INDEX('Compliance Database'!$M$2:$M$622,MATCH(609,Engine!$C$2:$C$622,0)))</f>
        <v/>
      </c>
      <c r="N622" s="8">
        <f>IF(ISNA(MATCH(609,Engine!$C$2:$C$622,0)),"",INDEX('Compliance Database'!$N$2:$N$622,MATCH(609,Engine!$C$2:$C$622,0)))</f>
        <v/>
      </c>
      <c r="O622" s="8">
        <f>IF(ISNA(MATCH(609,Engine!$C$2:$C$622,0)),"",INDEX('Compliance Database'!$O$2:$O$622,MATCH(609,Engine!$C$2:$C$622,0)))</f>
        <v/>
      </c>
    </row>
    <row r="623">
      <c r="A623">
        <f>IF(ISNA(MATCH(610,Engine!$C$2:$C$622,0)),"",INDEX('Compliance Database'!$A$2:$A$622,MATCH(610,Engine!$C$2:$C$622,0)))</f>
        <v/>
      </c>
      <c r="B623">
        <f>IF(ISNA(MATCH(610,Engine!$C$2:$C$622,0)),"",INDEX('Compliance Database'!$B$2:$B$622,MATCH(610,Engine!$C$2:$C$622,0)))</f>
        <v/>
      </c>
      <c r="C623">
        <f>IF(ISNA(MATCH(610,Engine!$C$2:$C$622,0)),"",INDEX('Compliance Database'!$C$2:$C$622,MATCH(610,Engine!$C$2:$C$622,0)))</f>
        <v/>
      </c>
      <c r="D623" s="8">
        <f>IF(ISNA(MATCH(610,Engine!$C$2:$C$622,0)),"",INDEX('Compliance Database'!$D$2:$D$622,MATCH(610,Engine!$C$2:$C$622,0)))</f>
        <v/>
      </c>
      <c r="E623">
        <f>IF(ISNA(MATCH(610,Engine!$C$2:$C$622,0)),"",INDEX('Compliance Database'!$E$2:$E$622,MATCH(610,Engine!$C$2:$C$622,0)))</f>
        <v/>
      </c>
      <c r="F623">
        <f>IF(ISNA(MATCH(610,Engine!$C$2:$C$622,0)),"",INDEX('Compliance Database'!$F$2:$F$622,MATCH(610,Engine!$C$2:$C$622,0)))</f>
        <v/>
      </c>
      <c r="G623">
        <f>IF(ISNA(MATCH(610,Engine!$C$2:$C$622,0)),"",INDEX('Compliance Database'!$G$2:$G$622,MATCH(610,Engine!$C$2:$C$622,0)))</f>
        <v/>
      </c>
      <c r="H623">
        <f>IF(ISNA(MATCH(610,Engine!$C$2:$C$622,0)),"",INDEX('Compliance Database'!$H$2:$H$622,MATCH(610,Engine!$C$2:$C$622,0)))</f>
        <v/>
      </c>
      <c r="I623" s="8">
        <f>IF(ISNA(MATCH(610,Engine!$C$2:$C$622,0)),"",INDEX('Compliance Database'!$I$2:$I$622,MATCH(610,Engine!$C$2:$C$622,0)))</f>
        <v/>
      </c>
      <c r="J623" s="8">
        <f>IF(ISNA(MATCH(610,Engine!$C$2:$C$622,0)),"",INDEX('Compliance Database'!$J$2:$J$622,MATCH(610,Engine!$C$2:$C$622,0)))</f>
        <v/>
      </c>
      <c r="K623">
        <f>IF(ISNA(MATCH(610,Engine!$C$2:$C$622,0)),"",INDEX('Compliance Database'!$K$2:$K$622,MATCH(610,Engine!$C$2:$C$622,0)))</f>
        <v/>
      </c>
      <c r="L623" s="8">
        <f>IF(ISNA(MATCH(610,Engine!$C$2:$C$622,0)),"",INDEX('Compliance Database'!$L$2:$L$622,MATCH(610,Engine!$C$2:$C$622,0)))</f>
        <v/>
      </c>
      <c r="M623" s="8">
        <f>IF(ISNA(MATCH(610,Engine!$C$2:$C$622,0)),"",INDEX('Compliance Database'!$M$2:$M$622,MATCH(610,Engine!$C$2:$C$622,0)))</f>
        <v/>
      </c>
      <c r="N623" s="8">
        <f>IF(ISNA(MATCH(610,Engine!$C$2:$C$622,0)),"",INDEX('Compliance Database'!$N$2:$N$622,MATCH(610,Engine!$C$2:$C$622,0)))</f>
        <v/>
      </c>
      <c r="O623" s="8">
        <f>IF(ISNA(MATCH(610,Engine!$C$2:$C$622,0)),"",INDEX('Compliance Database'!$O$2:$O$622,MATCH(610,Engine!$C$2:$C$622,0)))</f>
        <v/>
      </c>
    </row>
    <row r="624">
      <c r="A624">
        <f>IF(ISNA(MATCH(611,Engine!$C$2:$C$622,0)),"",INDEX('Compliance Database'!$A$2:$A$622,MATCH(611,Engine!$C$2:$C$622,0)))</f>
        <v/>
      </c>
      <c r="B624">
        <f>IF(ISNA(MATCH(611,Engine!$C$2:$C$622,0)),"",INDEX('Compliance Database'!$B$2:$B$622,MATCH(611,Engine!$C$2:$C$622,0)))</f>
        <v/>
      </c>
      <c r="C624">
        <f>IF(ISNA(MATCH(611,Engine!$C$2:$C$622,0)),"",INDEX('Compliance Database'!$C$2:$C$622,MATCH(611,Engine!$C$2:$C$622,0)))</f>
        <v/>
      </c>
      <c r="D624" s="8">
        <f>IF(ISNA(MATCH(611,Engine!$C$2:$C$622,0)),"",INDEX('Compliance Database'!$D$2:$D$622,MATCH(611,Engine!$C$2:$C$622,0)))</f>
        <v/>
      </c>
      <c r="E624">
        <f>IF(ISNA(MATCH(611,Engine!$C$2:$C$622,0)),"",INDEX('Compliance Database'!$E$2:$E$622,MATCH(611,Engine!$C$2:$C$622,0)))</f>
        <v/>
      </c>
      <c r="F624">
        <f>IF(ISNA(MATCH(611,Engine!$C$2:$C$622,0)),"",INDEX('Compliance Database'!$F$2:$F$622,MATCH(611,Engine!$C$2:$C$622,0)))</f>
        <v/>
      </c>
      <c r="G624">
        <f>IF(ISNA(MATCH(611,Engine!$C$2:$C$622,0)),"",INDEX('Compliance Database'!$G$2:$G$622,MATCH(611,Engine!$C$2:$C$622,0)))</f>
        <v/>
      </c>
      <c r="H624">
        <f>IF(ISNA(MATCH(611,Engine!$C$2:$C$622,0)),"",INDEX('Compliance Database'!$H$2:$H$622,MATCH(611,Engine!$C$2:$C$622,0)))</f>
        <v/>
      </c>
      <c r="I624" s="8">
        <f>IF(ISNA(MATCH(611,Engine!$C$2:$C$622,0)),"",INDEX('Compliance Database'!$I$2:$I$622,MATCH(611,Engine!$C$2:$C$622,0)))</f>
        <v/>
      </c>
      <c r="J624" s="8">
        <f>IF(ISNA(MATCH(611,Engine!$C$2:$C$622,0)),"",INDEX('Compliance Database'!$J$2:$J$622,MATCH(611,Engine!$C$2:$C$622,0)))</f>
        <v/>
      </c>
      <c r="K624">
        <f>IF(ISNA(MATCH(611,Engine!$C$2:$C$622,0)),"",INDEX('Compliance Database'!$K$2:$K$622,MATCH(611,Engine!$C$2:$C$622,0)))</f>
        <v/>
      </c>
      <c r="L624" s="8">
        <f>IF(ISNA(MATCH(611,Engine!$C$2:$C$622,0)),"",INDEX('Compliance Database'!$L$2:$L$622,MATCH(611,Engine!$C$2:$C$622,0)))</f>
        <v/>
      </c>
      <c r="M624" s="8">
        <f>IF(ISNA(MATCH(611,Engine!$C$2:$C$622,0)),"",INDEX('Compliance Database'!$M$2:$M$622,MATCH(611,Engine!$C$2:$C$622,0)))</f>
        <v/>
      </c>
      <c r="N624" s="8">
        <f>IF(ISNA(MATCH(611,Engine!$C$2:$C$622,0)),"",INDEX('Compliance Database'!$N$2:$N$622,MATCH(611,Engine!$C$2:$C$622,0)))</f>
        <v/>
      </c>
      <c r="O624" s="8">
        <f>IF(ISNA(MATCH(611,Engine!$C$2:$C$622,0)),"",INDEX('Compliance Database'!$O$2:$O$622,MATCH(611,Engine!$C$2:$C$622,0)))</f>
        <v/>
      </c>
    </row>
    <row r="625">
      <c r="A625">
        <f>IF(ISNA(MATCH(612,Engine!$C$2:$C$622,0)),"",INDEX('Compliance Database'!$A$2:$A$622,MATCH(612,Engine!$C$2:$C$622,0)))</f>
        <v/>
      </c>
      <c r="B625">
        <f>IF(ISNA(MATCH(612,Engine!$C$2:$C$622,0)),"",INDEX('Compliance Database'!$B$2:$B$622,MATCH(612,Engine!$C$2:$C$622,0)))</f>
        <v/>
      </c>
      <c r="C625">
        <f>IF(ISNA(MATCH(612,Engine!$C$2:$C$622,0)),"",INDEX('Compliance Database'!$C$2:$C$622,MATCH(612,Engine!$C$2:$C$622,0)))</f>
        <v/>
      </c>
      <c r="D625" s="8">
        <f>IF(ISNA(MATCH(612,Engine!$C$2:$C$622,0)),"",INDEX('Compliance Database'!$D$2:$D$622,MATCH(612,Engine!$C$2:$C$622,0)))</f>
        <v/>
      </c>
      <c r="E625">
        <f>IF(ISNA(MATCH(612,Engine!$C$2:$C$622,0)),"",INDEX('Compliance Database'!$E$2:$E$622,MATCH(612,Engine!$C$2:$C$622,0)))</f>
        <v/>
      </c>
      <c r="F625">
        <f>IF(ISNA(MATCH(612,Engine!$C$2:$C$622,0)),"",INDEX('Compliance Database'!$F$2:$F$622,MATCH(612,Engine!$C$2:$C$622,0)))</f>
        <v/>
      </c>
      <c r="G625">
        <f>IF(ISNA(MATCH(612,Engine!$C$2:$C$622,0)),"",INDEX('Compliance Database'!$G$2:$G$622,MATCH(612,Engine!$C$2:$C$622,0)))</f>
        <v/>
      </c>
      <c r="H625">
        <f>IF(ISNA(MATCH(612,Engine!$C$2:$C$622,0)),"",INDEX('Compliance Database'!$H$2:$H$622,MATCH(612,Engine!$C$2:$C$622,0)))</f>
        <v/>
      </c>
      <c r="I625" s="8">
        <f>IF(ISNA(MATCH(612,Engine!$C$2:$C$622,0)),"",INDEX('Compliance Database'!$I$2:$I$622,MATCH(612,Engine!$C$2:$C$622,0)))</f>
        <v/>
      </c>
      <c r="J625" s="8">
        <f>IF(ISNA(MATCH(612,Engine!$C$2:$C$622,0)),"",INDEX('Compliance Database'!$J$2:$J$622,MATCH(612,Engine!$C$2:$C$622,0)))</f>
        <v/>
      </c>
      <c r="K625">
        <f>IF(ISNA(MATCH(612,Engine!$C$2:$C$622,0)),"",INDEX('Compliance Database'!$K$2:$K$622,MATCH(612,Engine!$C$2:$C$622,0)))</f>
        <v/>
      </c>
      <c r="L625" s="8">
        <f>IF(ISNA(MATCH(612,Engine!$C$2:$C$622,0)),"",INDEX('Compliance Database'!$L$2:$L$622,MATCH(612,Engine!$C$2:$C$622,0)))</f>
        <v/>
      </c>
      <c r="M625" s="8">
        <f>IF(ISNA(MATCH(612,Engine!$C$2:$C$622,0)),"",INDEX('Compliance Database'!$M$2:$M$622,MATCH(612,Engine!$C$2:$C$622,0)))</f>
        <v/>
      </c>
      <c r="N625" s="8">
        <f>IF(ISNA(MATCH(612,Engine!$C$2:$C$622,0)),"",INDEX('Compliance Database'!$N$2:$N$622,MATCH(612,Engine!$C$2:$C$622,0)))</f>
        <v/>
      </c>
      <c r="O625" s="8">
        <f>IF(ISNA(MATCH(612,Engine!$C$2:$C$622,0)),"",INDEX('Compliance Database'!$O$2:$O$622,MATCH(612,Engine!$C$2:$C$622,0)))</f>
        <v/>
      </c>
    </row>
    <row r="626">
      <c r="A626">
        <f>IF(ISNA(MATCH(613,Engine!$C$2:$C$622,0)),"",INDEX('Compliance Database'!$A$2:$A$622,MATCH(613,Engine!$C$2:$C$622,0)))</f>
        <v/>
      </c>
      <c r="B626">
        <f>IF(ISNA(MATCH(613,Engine!$C$2:$C$622,0)),"",INDEX('Compliance Database'!$B$2:$B$622,MATCH(613,Engine!$C$2:$C$622,0)))</f>
        <v/>
      </c>
      <c r="C626">
        <f>IF(ISNA(MATCH(613,Engine!$C$2:$C$622,0)),"",INDEX('Compliance Database'!$C$2:$C$622,MATCH(613,Engine!$C$2:$C$622,0)))</f>
        <v/>
      </c>
      <c r="D626" s="8">
        <f>IF(ISNA(MATCH(613,Engine!$C$2:$C$622,0)),"",INDEX('Compliance Database'!$D$2:$D$622,MATCH(613,Engine!$C$2:$C$622,0)))</f>
        <v/>
      </c>
      <c r="E626">
        <f>IF(ISNA(MATCH(613,Engine!$C$2:$C$622,0)),"",INDEX('Compliance Database'!$E$2:$E$622,MATCH(613,Engine!$C$2:$C$622,0)))</f>
        <v/>
      </c>
      <c r="F626">
        <f>IF(ISNA(MATCH(613,Engine!$C$2:$C$622,0)),"",INDEX('Compliance Database'!$F$2:$F$622,MATCH(613,Engine!$C$2:$C$622,0)))</f>
        <v/>
      </c>
      <c r="G626">
        <f>IF(ISNA(MATCH(613,Engine!$C$2:$C$622,0)),"",INDEX('Compliance Database'!$G$2:$G$622,MATCH(613,Engine!$C$2:$C$622,0)))</f>
        <v/>
      </c>
      <c r="H626">
        <f>IF(ISNA(MATCH(613,Engine!$C$2:$C$622,0)),"",INDEX('Compliance Database'!$H$2:$H$622,MATCH(613,Engine!$C$2:$C$622,0)))</f>
        <v/>
      </c>
      <c r="I626" s="8">
        <f>IF(ISNA(MATCH(613,Engine!$C$2:$C$622,0)),"",INDEX('Compliance Database'!$I$2:$I$622,MATCH(613,Engine!$C$2:$C$622,0)))</f>
        <v/>
      </c>
      <c r="J626" s="8">
        <f>IF(ISNA(MATCH(613,Engine!$C$2:$C$622,0)),"",INDEX('Compliance Database'!$J$2:$J$622,MATCH(613,Engine!$C$2:$C$622,0)))</f>
        <v/>
      </c>
      <c r="K626">
        <f>IF(ISNA(MATCH(613,Engine!$C$2:$C$622,0)),"",INDEX('Compliance Database'!$K$2:$K$622,MATCH(613,Engine!$C$2:$C$622,0)))</f>
        <v/>
      </c>
      <c r="L626" s="8">
        <f>IF(ISNA(MATCH(613,Engine!$C$2:$C$622,0)),"",INDEX('Compliance Database'!$L$2:$L$622,MATCH(613,Engine!$C$2:$C$622,0)))</f>
        <v/>
      </c>
      <c r="M626" s="8">
        <f>IF(ISNA(MATCH(613,Engine!$C$2:$C$622,0)),"",INDEX('Compliance Database'!$M$2:$M$622,MATCH(613,Engine!$C$2:$C$622,0)))</f>
        <v/>
      </c>
      <c r="N626" s="8">
        <f>IF(ISNA(MATCH(613,Engine!$C$2:$C$622,0)),"",INDEX('Compliance Database'!$N$2:$N$622,MATCH(613,Engine!$C$2:$C$622,0)))</f>
        <v/>
      </c>
      <c r="O626" s="8">
        <f>IF(ISNA(MATCH(613,Engine!$C$2:$C$622,0)),"",INDEX('Compliance Database'!$O$2:$O$622,MATCH(613,Engine!$C$2:$C$622,0)))</f>
        <v/>
      </c>
    </row>
    <row r="627">
      <c r="A627">
        <f>IF(ISNA(MATCH(614,Engine!$C$2:$C$622,0)),"",INDEX('Compliance Database'!$A$2:$A$622,MATCH(614,Engine!$C$2:$C$622,0)))</f>
        <v/>
      </c>
      <c r="B627">
        <f>IF(ISNA(MATCH(614,Engine!$C$2:$C$622,0)),"",INDEX('Compliance Database'!$B$2:$B$622,MATCH(614,Engine!$C$2:$C$622,0)))</f>
        <v/>
      </c>
      <c r="C627">
        <f>IF(ISNA(MATCH(614,Engine!$C$2:$C$622,0)),"",INDEX('Compliance Database'!$C$2:$C$622,MATCH(614,Engine!$C$2:$C$622,0)))</f>
        <v/>
      </c>
      <c r="D627" s="8">
        <f>IF(ISNA(MATCH(614,Engine!$C$2:$C$622,0)),"",INDEX('Compliance Database'!$D$2:$D$622,MATCH(614,Engine!$C$2:$C$622,0)))</f>
        <v/>
      </c>
      <c r="E627">
        <f>IF(ISNA(MATCH(614,Engine!$C$2:$C$622,0)),"",INDEX('Compliance Database'!$E$2:$E$622,MATCH(614,Engine!$C$2:$C$622,0)))</f>
        <v/>
      </c>
      <c r="F627">
        <f>IF(ISNA(MATCH(614,Engine!$C$2:$C$622,0)),"",INDEX('Compliance Database'!$F$2:$F$622,MATCH(614,Engine!$C$2:$C$622,0)))</f>
        <v/>
      </c>
      <c r="G627">
        <f>IF(ISNA(MATCH(614,Engine!$C$2:$C$622,0)),"",INDEX('Compliance Database'!$G$2:$G$622,MATCH(614,Engine!$C$2:$C$622,0)))</f>
        <v/>
      </c>
      <c r="H627">
        <f>IF(ISNA(MATCH(614,Engine!$C$2:$C$622,0)),"",INDEX('Compliance Database'!$H$2:$H$622,MATCH(614,Engine!$C$2:$C$622,0)))</f>
        <v/>
      </c>
      <c r="I627" s="8">
        <f>IF(ISNA(MATCH(614,Engine!$C$2:$C$622,0)),"",INDEX('Compliance Database'!$I$2:$I$622,MATCH(614,Engine!$C$2:$C$622,0)))</f>
        <v/>
      </c>
      <c r="J627" s="8">
        <f>IF(ISNA(MATCH(614,Engine!$C$2:$C$622,0)),"",INDEX('Compliance Database'!$J$2:$J$622,MATCH(614,Engine!$C$2:$C$622,0)))</f>
        <v/>
      </c>
      <c r="K627">
        <f>IF(ISNA(MATCH(614,Engine!$C$2:$C$622,0)),"",INDEX('Compliance Database'!$K$2:$K$622,MATCH(614,Engine!$C$2:$C$622,0)))</f>
        <v/>
      </c>
      <c r="L627" s="8">
        <f>IF(ISNA(MATCH(614,Engine!$C$2:$C$622,0)),"",INDEX('Compliance Database'!$L$2:$L$622,MATCH(614,Engine!$C$2:$C$622,0)))</f>
        <v/>
      </c>
      <c r="M627" s="8">
        <f>IF(ISNA(MATCH(614,Engine!$C$2:$C$622,0)),"",INDEX('Compliance Database'!$M$2:$M$622,MATCH(614,Engine!$C$2:$C$622,0)))</f>
        <v/>
      </c>
      <c r="N627" s="8">
        <f>IF(ISNA(MATCH(614,Engine!$C$2:$C$622,0)),"",INDEX('Compliance Database'!$N$2:$N$622,MATCH(614,Engine!$C$2:$C$622,0)))</f>
        <v/>
      </c>
      <c r="O627" s="8">
        <f>IF(ISNA(MATCH(614,Engine!$C$2:$C$622,0)),"",INDEX('Compliance Database'!$O$2:$O$622,MATCH(614,Engine!$C$2:$C$622,0)))</f>
        <v/>
      </c>
    </row>
    <row r="628">
      <c r="A628">
        <f>IF(ISNA(MATCH(615,Engine!$C$2:$C$622,0)),"",INDEX('Compliance Database'!$A$2:$A$622,MATCH(615,Engine!$C$2:$C$622,0)))</f>
        <v/>
      </c>
      <c r="B628">
        <f>IF(ISNA(MATCH(615,Engine!$C$2:$C$622,0)),"",INDEX('Compliance Database'!$B$2:$B$622,MATCH(615,Engine!$C$2:$C$622,0)))</f>
        <v/>
      </c>
      <c r="C628">
        <f>IF(ISNA(MATCH(615,Engine!$C$2:$C$622,0)),"",INDEX('Compliance Database'!$C$2:$C$622,MATCH(615,Engine!$C$2:$C$622,0)))</f>
        <v/>
      </c>
      <c r="D628" s="8">
        <f>IF(ISNA(MATCH(615,Engine!$C$2:$C$622,0)),"",INDEX('Compliance Database'!$D$2:$D$622,MATCH(615,Engine!$C$2:$C$622,0)))</f>
        <v/>
      </c>
      <c r="E628">
        <f>IF(ISNA(MATCH(615,Engine!$C$2:$C$622,0)),"",INDEX('Compliance Database'!$E$2:$E$622,MATCH(615,Engine!$C$2:$C$622,0)))</f>
        <v/>
      </c>
      <c r="F628">
        <f>IF(ISNA(MATCH(615,Engine!$C$2:$C$622,0)),"",INDEX('Compliance Database'!$F$2:$F$622,MATCH(615,Engine!$C$2:$C$622,0)))</f>
        <v/>
      </c>
      <c r="G628">
        <f>IF(ISNA(MATCH(615,Engine!$C$2:$C$622,0)),"",INDEX('Compliance Database'!$G$2:$G$622,MATCH(615,Engine!$C$2:$C$622,0)))</f>
        <v/>
      </c>
      <c r="H628">
        <f>IF(ISNA(MATCH(615,Engine!$C$2:$C$622,0)),"",INDEX('Compliance Database'!$H$2:$H$622,MATCH(615,Engine!$C$2:$C$622,0)))</f>
        <v/>
      </c>
      <c r="I628" s="8">
        <f>IF(ISNA(MATCH(615,Engine!$C$2:$C$622,0)),"",INDEX('Compliance Database'!$I$2:$I$622,MATCH(615,Engine!$C$2:$C$622,0)))</f>
        <v/>
      </c>
      <c r="J628" s="8">
        <f>IF(ISNA(MATCH(615,Engine!$C$2:$C$622,0)),"",INDEX('Compliance Database'!$J$2:$J$622,MATCH(615,Engine!$C$2:$C$622,0)))</f>
        <v/>
      </c>
      <c r="K628">
        <f>IF(ISNA(MATCH(615,Engine!$C$2:$C$622,0)),"",INDEX('Compliance Database'!$K$2:$K$622,MATCH(615,Engine!$C$2:$C$622,0)))</f>
        <v/>
      </c>
      <c r="L628" s="8">
        <f>IF(ISNA(MATCH(615,Engine!$C$2:$C$622,0)),"",INDEX('Compliance Database'!$L$2:$L$622,MATCH(615,Engine!$C$2:$C$622,0)))</f>
        <v/>
      </c>
      <c r="M628" s="8">
        <f>IF(ISNA(MATCH(615,Engine!$C$2:$C$622,0)),"",INDEX('Compliance Database'!$M$2:$M$622,MATCH(615,Engine!$C$2:$C$622,0)))</f>
        <v/>
      </c>
      <c r="N628" s="8">
        <f>IF(ISNA(MATCH(615,Engine!$C$2:$C$622,0)),"",INDEX('Compliance Database'!$N$2:$N$622,MATCH(615,Engine!$C$2:$C$622,0)))</f>
        <v/>
      </c>
      <c r="O628" s="8">
        <f>IF(ISNA(MATCH(615,Engine!$C$2:$C$622,0)),"",INDEX('Compliance Database'!$O$2:$O$622,MATCH(615,Engine!$C$2:$C$622,0)))</f>
        <v/>
      </c>
    </row>
    <row r="629">
      <c r="A629">
        <f>IF(ISNA(MATCH(616,Engine!$C$2:$C$622,0)),"",INDEX('Compliance Database'!$A$2:$A$622,MATCH(616,Engine!$C$2:$C$622,0)))</f>
        <v/>
      </c>
      <c r="B629">
        <f>IF(ISNA(MATCH(616,Engine!$C$2:$C$622,0)),"",INDEX('Compliance Database'!$B$2:$B$622,MATCH(616,Engine!$C$2:$C$622,0)))</f>
        <v/>
      </c>
      <c r="C629">
        <f>IF(ISNA(MATCH(616,Engine!$C$2:$C$622,0)),"",INDEX('Compliance Database'!$C$2:$C$622,MATCH(616,Engine!$C$2:$C$622,0)))</f>
        <v/>
      </c>
      <c r="D629" s="8">
        <f>IF(ISNA(MATCH(616,Engine!$C$2:$C$622,0)),"",INDEX('Compliance Database'!$D$2:$D$622,MATCH(616,Engine!$C$2:$C$622,0)))</f>
        <v/>
      </c>
      <c r="E629">
        <f>IF(ISNA(MATCH(616,Engine!$C$2:$C$622,0)),"",INDEX('Compliance Database'!$E$2:$E$622,MATCH(616,Engine!$C$2:$C$622,0)))</f>
        <v/>
      </c>
      <c r="F629">
        <f>IF(ISNA(MATCH(616,Engine!$C$2:$C$622,0)),"",INDEX('Compliance Database'!$F$2:$F$622,MATCH(616,Engine!$C$2:$C$622,0)))</f>
        <v/>
      </c>
      <c r="G629">
        <f>IF(ISNA(MATCH(616,Engine!$C$2:$C$622,0)),"",INDEX('Compliance Database'!$G$2:$G$622,MATCH(616,Engine!$C$2:$C$622,0)))</f>
        <v/>
      </c>
      <c r="H629">
        <f>IF(ISNA(MATCH(616,Engine!$C$2:$C$622,0)),"",INDEX('Compliance Database'!$H$2:$H$622,MATCH(616,Engine!$C$2:$C$622,0)))</f>
        <v/>
      </c>
      <c r="I629" s="8">
        <f>IF(ISNA(MATCH(616,Engine!$C$2:$C$622,0)),"",INDEX('Compliance Database'!$I$2:$I$622,MATCH(616,Engine!$C$2:$C$622,0)))</f>
        <v/>
      </c>
      <c r="J629" s="8">
        <f>IF(ISNA(MATCH(616,Engine!$C$2:$C$622,0)),"",INDEX('Compliance Database'!$J$2:$J$622,MATCH(616,Engine!$C$2:$C$622,0)))</f>
        <v/>
      </c>
      <c r="K629">
        <f>IF(ISNA(MATCH(616,Engine!$C$2:$C$622,0)),"",INDEX('Compliance Database'!$K$2:$K$622,MATCH(616,Engine!$C$2:$C$622,0)))</f>
        <v/>
      </c>
      <c r="L629" s="8">
        <f>IF(ISNA(MATCH(616,Engine!$C$2:$C$622,0)),"",INDEX('Compliance Database'!$L$2:$L$622,MATCH(616,Engine!$C$2:$C$622,0)))</f>
        <v/>
      </c>
      <c r="M629" s="8">
        <f>IF(ISNA(MATCH(616,Engine!$C$2:$C$622,0)),"",INDEX('Compliance Database'!$M$2:$M$622,MATCH(616,Engine!$C$2:$C$622,0)))</f>
        <v/>
      </c>
      <c r="N629" s="8">
        <f>IF(ISNA(MATCH(616,Engine!$C$2:$C$622,0)),"",INDEX('Compliance Database'!$N$2:$N$622,MATCH(616,Engine!$C$2:$C$622,0)))</f>
        <v/>
      </c>
      <c r="O629" s="8">
        <f>IF(ISNA(MATCH(616,Engine!$C$2:$C$622,0)),"",INDEX('Compliance Database'!$O$2:$O$622,MATCH(616,Engine!$C$2:$C$622,0)))</f>
        <v/>
      </c>
    </row>
    <row r="630">
      <c r="A630">
        <f>IF(ISNA(MATCH(617,Engine!$C$2:$C$622,0)),"",INDEX('Compliance Database'!$A$2:$A$622,MATCH(617,Engine!$C$2:$C$622,0)))</f>
        <v/>
      </c>
      <c r="B630">
        <f>IF(ISNA(MATCH(617,Engine!$C$2:$C$622,0)),"",INDEX('Compliance Database'!$B$2:$B$622,MATCH(617,Engine!$C$2:$C$622,0)))</f>
        <v/>
      </c>
      <c r="C630">
        <f>IF(ISNA(MATCH(617,Engine!$C$2:$C$622,0)),"",INDEX('Compliance Database'!$C$2:$C$622,MATCH(617,Engine!$C$2:$C$622,0)))</f>
        <v/>
      </c>
      <c r="D630" s="8">
        <f>IF(ISNA(MATCH(617,Engine!$C$2:$C$622,0)),"",INDEX('Compliance Database'!$D$2:$D$622,MATCH(617,Engine!$C$2:$C$622,0)))</f>
        <v/>
      </c>
      <c r="E630">
        <f>IF(ISNA(MATCH(617,Engine!$C$2:$C$622,0)),"",INDEX('Compliance Database'!$E$2:$E$622,MATCH(617,Engine!$C$2:$C$622,0)))</f>
        <v/>
      </c>
      <c r="F630">
        <f>IF(ISNA(MATCH(617,Engine!$C$2:$C$622,0)),"",INDEX('Compliance Database'!$F$2:$F$622,MATCH(617,Engine!$C$2:$C$622,0)))</f>
        <v/>
      </c>
      <c r="G630">
        <f>IF(ISNA(MATCH(617,Engine!$C$2:$C$622,0)),"",INDEX('Compliance Database'!$G$2:$G$622,MATCH(617,Engine!$C$2:$C$622,0)))</f>
        <v/>
      </c>
      <c r="H630">
        <f>IF(ISNA(MATCH(617,Engine!$C$2:$C$622,0)),"",INDEX('Compliance Database'!$H$2:$H$622,MATCH(617,Engine!$C$2:$C$622,0)))</f>
        <v/>
      </c>
      <c r="I630" s="8">
        <f>IF(ISNA(MATCH(617,Engine!$C$2:$C$622,0)),"",INDEX('Compliance Database'!$I$2:$I$622,MATCH(617,Engine!$C$2:$C$622,0)))</f>
        <v/>
      </c>
      <c r="J630" s="8">
        <f>IF(ISNA(MATCH(617,Engine!$C$2:$C$622,0)),"",INDEX('Compliance Database'!$J$2:$J$622,MATCH(617,Engine!$C$2:$C$622,0)))</f>
        <v/>
      </c>
      <c r="K630">
        <f>IF(ISNA(MATCH(617,Engine!$C$2:$C$622,0)),"",INDEX('Compliance Database'!$K$2:$K$622,MATCH(617,Engine!$C$2:$C$622,0)))</f>
        <v/>
      </c>
      <c r="L630" s="8">
        <f>IF(ISNA(MATCH(617,Engine!$C$2:$C$622,0)),"",INDEX('Compliance Database'!$L$2:$L$622,MATCH(617,Engine!$C$2:$C$622,0)))</f>
        <v/>
      </c>
      <c r="M630" s="8">
        <f>IF(ISNA(MATCH(617,Engine!$C$2:$C$622,0)),"",INDEX('Compliance Database'!$M$2:$M$622,MATCH(617,Engine!$C$2:$C$622,0)))</f>
        <v/>
      </c>
      <c r="N630" s="8">
        <f>IF(ISNA(MATCH(617,Engine!$C$2:$C$622,0)),"",INDEX('Compliance Database'!$N$2:$N$622,MATCH(617,Engine!$C$2:$C$622,0)))</f>
        <v/>
      </c>
      <c r="O630" s="8">
        <f>IF(ISNA(MATCH(617,Engine!$C$2:$C$622,0)),"",INDEX('Compliance Database'!$O$2:$O$622,MATCH(617,Engine!$C$2:$C$622,0)))</f>
        <v/>
      </c>
    </row>
    <row r="631">
      <c r="A631">
        <f>IF(ISNA(MATCH(618,Engine!$C$2:$C$622,0)),"",INDEX('Compliance Database'!$A$2:$A$622,MATCH(618,Engine!$C$2:$C$622,0)))</f>
        <v/>
      </c>
      <c r="B631">
        <f>IF(ISNA(MATCH(618,Engine!$C$2:$C$622,0)),"",INDEX('Compliance Database'!$B$2:$B$622,MATCH(618,Engine!$C$2:$C$622,0)))</f>
        <v/>
      </c>
      <c r="C631">
        <f>IF(ISNA(MATCH(618,Engine!$C$2:$C$622,0)),"",INDEX('Compliance Database'!$C$2:$C$622,MATCH(618,Engine!$C$2:$C$622,0)))</f>
        <v/>
      </c>
      <c r="D631" s="8">
        <f>IF(ISNA(MATCH(618,Engine!$C$2:$C$622,0)),"",INDEX('Compliance Database'!$D$2:$D$622,MATCH(618,Engine!$C$2:$C$622,0)))</f>
        <v/>
      </c>
      <c r="E631">
        <f>IF(ISNA(MATCH(618,Engine!$C$2:$C$622,0)),"",INDEX('Compliance Database'!$E$2:$E$622,MATCH(618,Engine!$C$2:$C$622,0)))</f>
        <v/>
      </c>
      <c r="F631">
        <f>IF(ISNA(MATCH(618,Engine!$C$2:$C$622,0)),"",INDEX('Compliance Database'!$F$2:$F$622,MATCH(618,Engine!$C$2:$C$622,0)))</f>
        <v/>
      </c>
      <c r="G631">
        <f>IF(ISNA(MATCH(618,Engine!$C$2:$C$622,0)),"",INDEX('Compliance Database'!$G$2:$G$622,MATCH(618,Engine!$C$2:$C$622,0)))</f>
        <v/>
      </c>
      <c r="H631">
        <f>IF(ISNA(MATCH(618,Engine!$C$2:$C$622,0)),"",INDEX('Compliance Database'!$H$2:$H$622,MATCH(618,Engine!$C$2:$C$622,0)))</f>
        <v/>
      </c>
      <c r="I631" s="8">
        <f>IF(ISNA(MATCH(618,Engine!$C$2:$C$622,0)),"",INDEX('Compliance Database'!$I$2:$I$622,MATCH(618,Engine!$C$2:$C$622,0)))</f>
        <v/>
      </c>
      <c r="J631" s="8">
        <f>IF(ISNA(MATCH(618,Engine!$C$2:$C$622,0)),"",INDEX('Compliance Database'!$J$2:$J$622,MATCH(618,Engine!$C$2:$C$622,0)))</f>
        <v/>
      </c>
      <c r="K631">
        <f>IF(ISNA(MATCH(618,Engine!$C$2:$C$622,0)),"",INDEX('Compliance Database'!$K$2:$K$622,MATCH(618,Engine!$C$2:$C$622,0)))</f>
        <v/>
      </c>
      <c r="L631" s="8">
        <f>IF(ISNA(MATCH(618,Engine!$C$2:$C$622,0)),"",INDEX('Compliance Database'!$L$2:$L$622,MATCH(618,Engine!$C$2:$C$622,0)))</f>
        <v/>
      </c>
      <c r="M631" s="8">
        <f>IF(ISNA(MATCH(618,Engine!$C$2:$C$622,0)),"",INDEX('Compliance Database'!$M$2:$M$622,MATCH(618,Engine!$C$2:$C$622,0)))</f>
        <v/>
      </c>
      <c r="N631" s="8">
        <f>IF(ISNA(MATCH(618,Engine!$C$2:$C$622,0)),"",INDEX('Compliance Database'!$N$2:$N$622,MATCH(618,Engine!$C$2:$C$622,0)))</f>
        <v/>
      </c>
      <c r="O631" s="8">
        <f>IF(ISNA(MATCH(618,Engine!$C$2:$C$622,0)),"",INDEX('Compliance Database'!$O$2:$O$622,MATCH(618,Engine!$C$2:$C$622,0)))</f>
        <v/>
      </c>
    </row>
    <row r="632">
      <c r="A632">
        <f>IF(ISNA(MATCH(619,Engine!$C$2:$C$622,0)),"",INDEX('Compliance Database'!$A$2:$A$622,MATCH(619,Engine!$C$2:$C$622,0)))</f>
        <v/>
      </c>
      <c r="B632">
        <f>IF(ISNA(MATCH(619,Engine!$C$2:$C$622,0)),"",INDEX('Compliance Database'!$B$2:$B$622,MATCH(619,Engine!$C$2:$C$622,0)))</f>
        <v/>
      </c>
      <c r="C632">
        <f>IF(ISNA(MATCH(619,Engine!$C$2:$C$622,0)),"",INDEX('Compliance Database'!$C$2:$C$622,MATCH(619,Engine!$C$2:$C$622,0)))</f>
        <v/>
      </c>
      <c r="D632" s="8">
        <f>IF(ISNA(MATCH(619,Engine!$C$2:$C$622,0)),"",INDEX('Compliance Database'!$D$2:$D$622,MATCH(619,Engine!$C$2:$C$622,0)))</f>
        <v/>
      </c>
      <c r="E632">
        <f>IF(ISNA(MATCH(619,Engine!$C$2:$C$622,0)),"",INDEX('Compliance Database'!$E$2:$E$622,MATCH(619,Engine!$C$2:$C$622,0)))</f>
        <v/>
      </c>
      <c r="F632">
        <f>IF(ISNA(MATCH(619,Engine!$C$2:$C$622,0)),"",INDEX('Compliance Database'!$F$2:$F$622,MATCH(619,Engine!$C$2:$C$622,0)))</f>
        <v/>
      </c>
      <c r="G632">
        <f>IF(ISNA(MATCH(619,Engine!$C$2:$C$622,0)),"",INDEX('Compliance Database'!$G$2:$G$622,MATCH(619,Engine!$C$2:$C$622,0)))</f>
        <v/>
      </c>
      <c r="H632">
        <f>IF(ISNA(MATCH(619,Engine!$C$2:$C$622,0)),"",INDEX('Compliance Database'!$H$2:$H$622,MATCH(619,Engine!$C$2:$C$622,0)))</f>
        <v/>
      </c>
      <c r="I632" s="8">
        <f>IF(ISNA(MATCH(619,Engine!$C$2:$C$622,0)),"",INDEX('Compliance Database'!$I$2:$I$622,MATCH(619,Engine!$C$2:$C$622,0)))</f>
        <v/>
      </c>
      <c r="J632" s="8">
        <f>IF(ISNA(MATCH(619,Engine!$C$2:$C$622,0)),"",INDEX('Compliance Database'!$J$2:$J$622,MATCH(619,Engine!$C$2:$C$622,0)))</f>
        <v/>
      </c>
      <c r="K632">
        <f>IF(ISNA(MATCH(619,Engine!$C$2:$C$622,0)),"",INDEX('Compliance Database'!$K$2:$K$622,MATCH(619,Engine!$C$2:$C$622,0)))</f>
        <v/>
      </c>
      <c r="L632" s="8">
        <f>IF(ISNA(MATCH(619,Engine!$C$2:$C$622,0)),"",INDEX('Compliance Database'!$L$2:$L$622,MATCH(619,Engine!$C$2:$C$622,0)))</f>
        <v/>
      </c>
      <c r="M632" s="8">
        <f>IF(ISNA(MATCH(619,Engine!$C$2:$C$622,0)),"",INDEX('Compliance Database'!$M$2:$M$622,MATCH(619,Engine!$C$2:$C$622,0)))</f>
        <v/>
      </c>
      <c r="N632" s="8">
        <f>IF(ISNA(MATCH(619,Engine!$C$2:$C$622,0)),"",INDEX('Compliance Database'!$N$2:$N$622,MATCH(619,Engine!$C$2:$C$622,0)))</f>
        <v/>
      </c>
      <c r="O632" s="8">
        <f>IF(ISNA(MATCH(619,Engine!$C$2:$C$622,0)),"",INDEX('Compliance Database'!$O$2:$O$622,MATCH(619,Engine!$C$2:$C$622,0)))</f>
        <v/>
      </c>
    </row>
    <row r="633">
      <c r="A633">
        <f>IF(ISNA(MATCH(620,Engine!$C$2:$C$622,0)),"",INDEX('Compliance Database'!$A$2:$A$622,MATCH(620,Engine!$C$2:$C$622,0)))</f>
        <v/>
      </c>
      <c r="B633">
        <f>IF(ISNA(MATCH(620,Engine!$C$2:$C$622,0)),"",INDEX('Compliance Database'!$B$2:$B$622,MATCH(620,Engine!$C$2:$C$622,0)))</f>
        <v/>
      </c>
      <c r="C633">
        <f>IF(ISNA(MATCH(620,Engine!$C$2:$C$622,0)),"",INDEX('Compliance Database'!$C$2:$C$622,MATCH(620,Engine!$C$2:$C$622,0)))</f>
        <v/>
      </c>
      <c r="D633" s="8">
        <f>IF(ISNA(MATCH(620,Engine!$C$2:$C$622,0)),"",INDEX('Compliance Database'!$D$2:$D$622,MATCH(620,Engine!$C$2:$C$622,0)))</f>
        <v/>
      </c>
      <c r="E633">
        <f>IF(ISNA(MATCH(620,Engine!$C$2:$C$622,0)),"",INDEX('Compliance Database'!$E$2:$E$622,MATCH(620,Engine!$C$2:$C$622,0)))</f>
        <v/>
      </c>
      <c r="F633">
        <f>IF(ISNA(MATCH(620,Engine!$C$2:$C$622,0)),"",INDEX('Compliance Database'!$F$2:$F$622,MATCH(620,Engine!$C$2:$C$622,0)))</f>
        <v/>
      </c>
      <c r="G633">
        <f>IF(ISNA(MATCH(620,Engine!$C$2:$C$622,0)),"",INDEX('Compliance Database'!$G$2:$G$622,MATCH(620,Engine!$C$2:$C$622,0)))</f>
        <v/>
      </c>
      <c r="H633">
        <f>IF(ISNA(MATCH(620,Engine!$C$2:$C$622,0)),"",INDEX('Compliance Database'!$H$2:$H$622,MATCH(620,Engine!$C$2:$C$622,0)))</f>
        <v/>
      </c>
      <c r="I633" s="8">
        <f>IF(ISNA(MATCH(620,Engine!$C$2:$C$622,0)),"",INDEX('Compliance Database'!$I$2:$I$622,MATCH(620,Engine!$C$2:$C$622,0)))</f>
        <v/>
      </c>
      <c r="J633" s="8">
        <f>IF(ISNA(MATCH(620,Engine!$C$2:$C$622,0)),"",INDEX('Compliance Database'!$J$2:$J$622,MATCH(620,Engine!$C$2:$C$622,0)))</f>
        <v/>
      </c>
      <c r="K633">
        <f>IF(ISNA(MATCH(620,Engine!$C$2:$C$622,0)),"",INDEX('Compliance Database'!$K$2:$K$622,MATCH(620,Engine!$C$2:$C$622,0)))</f>
        <v/>
      </c>
      <c r="L633" s="8">
        <f>IF(ISNA(MATCH(620,Engine!$C$2:$C$622,0)),"",INDEX('Compliance Database'!$L$2:$L$622,MATCH(620,Engine!$C$2:$C$622,0)))</f>
        <v/>
      </c>
      <c r="M633" s="8">
        <f>IF(ISNA(MATCH(620,Engine!$C$2:$C$622,0)),"",INDEX('Compliance Database'!$M$2:$M$622,MATCH(620,Engine!$C$2:$C$622,0)))</f>
        <v/>
      </c>
      <c r="N633" s="8">
        <f>IF(ISNA(MATCH(620,Engine!$C$2:$C$622,0)),"",INDEX('Compliance Database'!$N$2:$N$622,MATCH(620,Engine!$C$2:$C$622,0)))</f>
        <v/>
      </c>
      <c r="O633" s="8">
        <f>IF(ISNA(MATCH(620,Engine!$C$2:$C$622,0)),"",INDEX('Compliance Database'!$O$2:$O$622,MATCH(620,Engine!$C$2:$C$622,0)))</f>
        <v/>
      </c>
    </row>
    <row r="634">
      <c r="A634">
        <f>IF(ISNA(MATCH(621,Engine!$C$2:$C$622,0)),"",INDEX('Compliance Database'!$A$2:$A$622,MATCH(621,Engine!$C$2:$C$622,0)))</f>
        <v/>
      </c>
      <c r="B634">
        <f>IF(ISNA(MATCH(621,Engine!$C$2:$C$622,0)),"",INDEX('Compliance Database'!$B$2:$B$622,MATCH(621,Engine!$C$2:$C$622,0)))</f>
        <v/>
      </c>
      <c r="C634">
        <f>IF(ISNA(MATCH(621,Engine!$C$2:$C$622,0)),"",INDEX('Compliance Database'!$C$2:$C$622,MATCH(621,Engine!$C$2:$C$622,0)))</f>
        <v/>
      </c>
      <c r="D634" s="8">
        <f>IF(ISNA(MATCH(621,Engine!$C$2:$C$622,0)),"",INDEX('Compliance Database'!$D$2:$D$622,MATCH(621,Engine!$C$2:$C$622,0)))</f>
        <v/>
      </c>
      <c r="E634">
        <f>IF(ISNA(MATCH(621,Engine!$C$2:$C$622,0)),"",INDEX('Compliance Database'!$E$2:$E$622,MATCH(621,Engine!$C$2:$C$622,0)))</f>
        <v/>
      </c>
      <c r="F634">
        <f>IF(ISNA(MATCH(621,Engine!$C$2:$C$622,0)),"",INDEX('Compliance Database'!$F$2:$F$622,MATCH(621,Engine!$C$2:$C$622,0)))</f>
        <v/>
      </c>
      <c r="G634">
        <f>IF(ISNA(MATCH(621,Engine!$C$2:$C$622,0)),"",INDEX('Compliance Database'!$G$2:$G$622,MATCH(621,Engine!$C$2:$C$622,0)))</f>
        <v/>
      </c>
      <c r="H634">
        <f>IF(ISNA(MATCH(621,Engine!$C$2:$C$622,0)),"",INDEX('Compliance Database'!$H$2:$H$622,MATCH(621,Engine!$C$2:$C$622,0)))</f>
        <v/>
      </c>
      <c r="I634" s="8">
        <f>IF(ISNA(MATCH(621,Engine!$C$2:$C$622,0)),"",INDEX('Compliance Database'!$I$2:$I$622,MATCH(621,Engine!$C$2:$C$622,0)))</f>
        <v/>
      </c>
      <c r="J634" s="8">
        <f>IF(ISNA(MATCH(621,Engine!$C$2:$C$622,0)),"",INDEX('Compliance Database'!$J$2:$J$622,MATCH(621,Engine!$C$2:$C$622,0)))</f>
        <v/>
      </c>
      <c r="K634">
        <f>IF(ISNA(MATCH(621,Engine!$C$2:$C$622,0)),"",INDEX('Compliance Database'!$K$2:$K$622,MATCH(621,Engine!$C$2:$C$622,0)))</f>
        <v/>
      </c>
      <c r="L634" s="8">
        <f>IF(ISNA(MATCH(621,Engine!$C$2:$C$622,0)),"",INDEX('Compliance Database'!$L$2:$L$622,MATCH(621,Engine!$C$2:$C$622,0)))</f>
        <v/>
      </c>
      <c r="M634" s="8">
        <f>IF(ISNA(MATCH(621,Engine!$C$2:$C$622,0)),"",INDEX('Compliance Database'!$M$2:$M$622,MATCH(621,Engine!$C$2:$C$622,0)))</f>
        <v/>
      </c>
      <c r="N634" s="8">
        <f>IF(ISNA(MATCH(621,Engine!$C$2:$C$622,0)),"",INDEX('Compliance Database'!$N$2:$N$622,MATCH(621,Engine!$C$2:$C$622,0)))</f>
        <v/>
      </c>
      <c r="O634" s="8">
        <f>IF(ISNA(MATCH(621,Engine!$C$2:$C$622,0)),"",INDEX('Compliance Database'!$O$2:$O$622,MATCH(621,Engine!$C$2:$C$622,0)))</f>
        <v/>
      </c>
    </row>
  </sheetData>
  <mergeCells count="1">
    <mergeCell ref="A1:D1"/>
  </mergeCells>
  <dataValidations count="6">
    <dataValidation sqref="B4" showDropDown="0" showInputMessage="0" showErrorMessage="0" allowBlank="1" type="list">
      <formula1>Lists!$A$2:$A$11</formula1>
    </dataValidation>
    <dataValidation sqref="B5" showDropDown="0" showInputMessage="0" showErrorMessage="0" allowBlank="1" type="list">
      <formula1>Lists!$B$2:$B$27</formula1>
    </dataValidation>
    <dataValidation sqref="B6" showDropDown="0" showInputMessage="0" showErrorMessage="0" allowBlank="1" type="list">
      <formula1>Lists!$C$2:$C$41</formula1>
    </dataValidation>
    <dataValidation sqref="B7" showDropDown="0" showInputMessage="0" showErrorMessage="0" allowBlank="1" type="list">
      <formula1>Lists!$D$2:$D$11</formula1>
    </dataValidation>
    <dataValidation sqref="B8" showDropDown="0" showInputMessage="0" showErrorMessage="0" allowBlank="1" type="list">
      <formula1>Lists!$E$2:$E$6</formula1>
    </dataValidation>
    <dataValidation sqref="B9" showDropDown="0" showInputMessage="0" showErrorMessage="0" allowBlank="1" type="list">
      <formula1>Lists!$F$2:$F$72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30"/>
  <sheetViews>
    <sheetView showGridLines="0" workbookViewId="0">
      <pane ySplit="9" topLeftCell="A10" activePane="bottomLeft" state="frozen"/>
      <selection pane="bottomLeft" activeCell="A1" sqref="A1"/>
    </sheetView>
  </sheetViews>
  <sheetFormatPr baseColWidth="8" defaultRowHeight="15"/>
  <cols>
    <col width="18" customWidth="1" min="1" max="1"/>
    <col width="18" customWidth="1" min="2" max="2"/>
    <col width="18" customWidth="1" min="3" max="3"/>
    <col width="45" customWidth="1" min="4" max="4"/>
    <col width="18" customWidth="1" min="5" max="5"/>
    <col width="18" customWidth="1" min="6" max="6"/>
    <col width="18" customWidth="1" min="7" max="7"/>
    <col width="18" customWidth="1" min="8" max="8"/>
    <col width="45" customWidth="1" min="9" max="9"/>
    <col width="45" customWidth="1" min="10" max="10"/>
    <col width="18" customWidth="1" min="11" max="11"/>
    <col width="45" customWidth="1" min="12" max="12"/>
    <col width="45" customWidth="1" min="13" max="13"/>
    <col width="45" customWidth="1" min="14" max="14"/>
    <col width="45" customWidth="1" min="15" max="15"/>
  </cols>
  <sheetData>
    <row r="1">
      <c r="A1" s="1" t="inlineStr">
        <is>
          <t>Cross-Border Data Transfer</t>
        </is>
      </c>
    </row>
    <row r="3">
      <c r="A3" s="5" t="inlineStr">
        <is>
          <t>Pick the two countries involved in the transfer. Every relevant act/section from either country is listed below; add a keyword to narrow it.</t>
        </is>
      </c>
    </row>
    <row r="4">
      <c r="A4" s="2" t="inlineStr">
        <is>
          <t>Country A (from)</t>
        </is>
      </c>
      <c r="B4" s="6" t="inlineStr">
        <is>
          <t>Australia</t>
        </is>
      </c>
    </row>
    <row r="5">
      <c r="A5" s="2" t="inlineStr">
        <is>
          <t>Country B (to)</t>
        </is>
      </c>
      <c r="B5" s="6" t="inlineStr">
        <is>
          <t>GDPR</t>
        </is>
      </c>
    </row>
    <row r="6">
      <c r="A6" s="2" t="inlineStr">
        <is>
          <t>Keyword (free text)</t>
        </is>
      </c>
      <c r="B6" s="6" t="inlineStr"/>
    </row>
    <row r="8">
      <c r="A8" s="2" t="inlineStr">
        <is>
          <t>Matching sections (of 621 total):</t>
        </is>
      </c>
      <c r="C8" s="2">
        <f>'Transfer Engine'!$D$1</f>
        <v/>
      </c>
    </row>
    <row r="9">
      <c r="A9" s="7" t="inlineStr">
        <is>
          <t>Country</t>
        </is>
      </c>
      <c r="B9" s="7" t="inlineStr">
        <is>
          <t>Act</t>
        </is>
      </c>
      <c r="C9" s="7" t="inlineStr">
        <is>
          <t>Section</t>
        </is>
      </c>
      <c r="D9" s="7" t="inlineStr">
        <is>
          <t>Heading</t>
        </is>
      </c>
      <c r="E9" s="7" t="inlineStr">
        <is>
          <t>Pages</t>
        </is>
      </c>
      <c r="F9" s="7" t="inlineStr">
        <is>
          <t>Category</t>
        </is>
      </c>
      <c r="G9" s="7" t="inlineStr">
        <is>
          <t>Financial Relevance</t>
        </is>
      </c>
      <c r="H9" s="7" t="inlineStr">
        <is>
          <t>Confidence</t>
        </is>
      </c>
      <c r="I9" s="7" t="inlineStr">
        <is>
          <t>Topics</t>
        </is>
      </c>
      <c r="J9" s="7" t="inlineStr">
        <is>
          <t>Data Types</t>
        </is>
      </c>
      <c r="K9" s="7" t="inlineStr">
        <is>
          <t>Authority</t>
        </is>
      </c>
      <c r="L9" s="7" t="inlineStr">
        <is>
          <t>Summary</t>
        </is>
      </c>
      <c r="M9" s="7" t="inlineStr">
        <is>
          <t>DTIA Summary</t>
        </is>
      </c>
      <c r="N9" s="7" t="inlineStr">
        <is>
          <t>Requirements</t>
        </is>
      </c>
      <c r="O9" s="7" t="inlineStr">
        <is>
          <t>Source Quote</t>
        </is>
      </c>
    </row>
    <row r="10">
      <c r="A10">
        <f>IF(ISNA(MATCH(1,'Transfer Engine'!$C$2:$C$622,0)),"",INDEX('Compliance Database'!$A$2:$A$622,MATCH(1,'Transfer Engine'!$C$2:$C$622,0)))</f>
        <v/>
      </c>
      <c r="B10">
        <f>IF(ISNA(MATCH(1,'Transfer Engine'!$C$2:$C$622,0)),"",INDEX('Compliance Database'!$B$2:$B$622,MATCH(1,'Transfer Engine'!$C$2:$C$622,0)))</f>
        <v/>
      </c>
      <c r="C10">
        <f>IF(ISNA(MATCH(1,'Transfer Engine'!$C$2:$C$622,0)),"",INDEX('Compliance Database'!$C$2:$C$622,MATCH(1,'Transfer Engine'!$C$2:$C$622,0)))</f>
        <v/>
      </c>
      <c r="D10" s="8">
        <f>IF(ISNA(MATCH(1,'Transfer Engine'!$C$2:$C$622,0)),"",INDEX('Compliance Database'!$D$2:$D$622,MATCH(1,'Transfer Engine'!$C$2:$C$622,0)))</f>
        <v/>
      </c>
      <c r="E10">
        <f>IF(ISNA(MATCH(1,'Transfer Engine'!$C$2:$C$622,0)),"",INDEX('Compliance Database'!$E$2:$E$622,MATCH(1,'Transfer Engine'!$C$2:$C$622,0)))</f>
        <v/>
      </c>
      <c r="F10">
        <f>IF(ISNA(MATCH(1,'Transfer Engine'!$C$2:$C$622,0)),"",INDEX('Compliance Database'!$F$2:$F$622,MATCH(1,'Transfer Engine'!$C$2:$C$622,0)))</f>
        <v/>
      </c>
      <c r="G10">
        <f>IF(ISNA(MATCH(1,'Transfer Engine'!$C$2:$C$622,0)),"",INDEX('Compliance Database'!$G$2:$G$622,MATCH(1,'Transfer Engine'!$C$2:$C$622,0)))</f>
        <v/>
      </c>
      <c r="H10">
        <f>IF(ISNA(MATCH(1,'Transfer Engine'!$C$2:$C$622,0)),"",INDEX('Compliance Database'!$H$2:$H$622,MATCH(1,'Transfer Engine'!$C$2:$C$622,0)))</f>
        <v/>
      </c>
      <c r="I10" s="8">
        <f>IF(ISNA(MATCH(1,'Transfer Engine'!$C$2:$C$622,0)),"",INDEX('Compliance Database'!$I$2:$I$622,MATCH(1,'Transfer Engine'!$C$2:$C$622,0)))</f>
        <v/>
      </c>
      <c r="J10" s="8">
        <f>IF(ISNA(MATCH(1,'Transfer Engine'!$C$2:$C$622,0)),"",INDEX('Compliance Database'!$J$2:$J$622,MATCH(1,'Transfer Engine'!$C$2:$C$622,0)))</f>
        <v/>
      </c>
      <c r="K10">
        <f>IF(ISNA(MATCH(1,'Transfer Engine'!$C$2:$C$622,0)),"",INDEX('Compliance Database'!$K$2:$K$622,MATCH(1,'Transfer Engine'!$C$2:$C$622,0)))</f>
        <v/>
      </c>
      <c r="L10" s="8">
        <f>IF(ISNA(MATCH(1,'Transfer Engine'!$C$2:$C$622,0)),"",INDEX('Compliance Database'!$L$2:$L$622,MATCH(1,'Transfer Engine'!$C$2:$C$622,0)))</f>
        <v/>
      </c>
      <c r="M10" s="8">
        <f>IF(ISNA(MATCH(1,'Transfer Engine'!$C$2:$C$622,0)),"",INDEX('Compliance Database'!$M$2:$M$622,MATCH(1,'Transfer Engine'!$C$2:$C$622,0)))</f>
        <v/>
      </c>
      <c r="N10" s="8">
        <f>IF(ISNA(MATCH(1,'Transfer Engine'!$C$2:$C$622,0)),"",INDEX('Compliance Database'!$N$2:$N$622,MATCH(1,'Transfer Engine'!$C$2:$C$622,0)))</f>
        <v/>
      </c>
      <c r="O10" s="8">
        <f>IF(ISNA(MATCH(1,'Transfer Engine'!$C$2:$C$622,0)),"",INDEX('Compliance Database'!$O$2:$O$622,MATCH(1,'Transfer Engine'!$C$2:$C$622,0)))</f>
        <v/>
      </c>
    </row>
    <row r="11">
      <c r="A11">
        <f>IF(ISNA(MATCH(2,'Transfer Engine'!$C$2:$C$622,0)),"",INDEX('Compliance Database'!$A$2:$A$622,MATCH(2,'Transfer Engine'!$C$2:$C$622,0)))</f>
        <v/>
      </c>
      <c r="B11">
        <f>IF(ISNA(MATCH(2,'Transfer Engine'!$C$2:$C$622,0)),"",INDEX('Compliance Database'!$B$2:$B$622,MATCH(2,'Transfer Engine'!$C$2:$C$622,0)))</f>
        <v/>
      </c>
      <c r="C11">
        <f>IF(ISNA(MATCH(2,'Transfer Engine'!$C$2:$C$622,0)),"",INDEX('Compliance Database'!$C$2:$C$622,MATCH(2,'Transfer Engine'!$C$2:$C$622,0)))</f>
        <v/>
      </c>
      <c r="D11" s="8">
        <f>IF(ISNA(MATCH(2,'Transfer Engine'!$C$2:$C$622,0)),"",INDEX('Compliance Database'!$D$2:$D$622,MATCH(2,'Transfer Engine'!$C$2:$C$622,0)))</f>
        <v/>
      </c>
      <c r="E11">
        <f>IF(ISNA(MATCH(2,'Transfer Engine'!$C$2:$C$622,0)),"",INDEX('Compliance Database'!$E$2:$E$622,MATCH(2,'Transfer Engine'!$C$2:$C$622,0)))</f>
        <v/>
      </c>
      <c r="F11">
        <f>IF(ISNA(MATCH(2,'Transfer Engine'!$C$2:$C$622,0)),"",INDEX('Compliance Database'!$F$2:$F$622,MATCH(2,'Transfer Engine'!$C$2:$C$622,0)))</f>
        <v/>
      </c>
      <c r="G11">
        <f>IF(ISNA(MATCH(2,'Transfer Engine'!$C$2:$C$622,0)),"",INDEX('Compliance Database'!$G$2:$G$622,MATCH(2,'Transfer Engine'!$C$2:$C$622,0)))</f>
        <v/>
      </c>
      <c r="H11">
        <f>IF(ISNA(MATCH(2,'Transfer Engine'!$C$2:$C$622,0)),"",INDEX('Compliance Database'!$H$2:$H$622,MATCH(2,'Transfer Engine'!$C$2:$C$622,0)))</f>
        <v/>
      </c>
      <c r="I11" s="8">
        <f>IF(ISNA(MATCH(2,'Transfer Engine'!$C$2:$C$622,0)),"",INDEX('Compliance Database'!$I$2:$I$622,MATCH(2,'Transfer Engine'!$C$2:$C$622,0)))</f>
        <v/>
      </c>
      <c r="J11" s="8">
        <f>IF(ISNA(MATCH(2,'Transfer Engine'!$C$2:$C$622,0)),"",INDEX('Compliance Database'!$J$2:$J$622,MATCH(2,'Transfer Engine'!$C$2:$C$622,0)))</f>
        <v/>
      </c>
      <c r="K11">
        <f>IF(ISNA(MATCH(2,'Transfer Engine'!$C$2:$C$622,0)),"",INDEX('Compliance Database'!$K$2:$K$622,MATCH(2,'Transfer Engine'!$C$2:$C$622,0)))</f>
        <v/>
      </c>
      <c r="L11" s="8">
        <f>IF(ISNA(MATCH(2,'Transfer Engine'!$C$2:$C$622,0)),"",INDEX('Compliance Database'!$L$2:$L$622,MATCH(2,'Transfer Engine'!$C$2:$C$622,0)))</f>
        <v/>
      </c>
      <c r="M11" s="8">
        <f>IF(ISNA(MATCH(2,'Transfer Engine'!$C$2:$C$622,0)),"",INDEX('Compliance Database'!$M$2:$M$622,MATCH(2,'Transfer Engine'!$C$2:$C$622,0)))</f>
        <v/>
      </c>
      <c r="N11" s="8">
        <f>IF(ISNA(MATCH(2,'Transfer Engine'!$C$2:$C$622,0)),"",INDEX('Compliance Database'!$N$2:$N$622,MATCH(2,'Transfer Engine'!$C$2:$C$622,0)))</f>
        <v/>
      </c>
      <c r="O11" s="8">
        <f>IF(ISNA(MATCH(2,'Transfer Engine'!$C$2:$C$622,0)),"",INDEX('Compliance Database'!$O$2:$O$622,MATCH(2,'Transfer Engine'!$C$2:$C$622,0)))</f>
        <v/>
      </c>
    </row>
    <row r="12">
      <c r="A12">
        <f>IF(ISNA(MATCH(3,'Transfer Engine'!$C$2:$C$622,0)),"",INDEX('Compliance Database'!$A$2:$A$622,MATCH(3,'Transfer Engine'!$C$2:$C$622,0)))</f>
        <v/>
      </c>
      <c r="B12">
        <f>IF(ISNA(MATCH(3,'Transfer Engine'!$C$2:$C$622,0)),"",INDEX('Compliance Database'!$B$2:$B$622,MATCH(3,'Transfer Engine'!$C$2:$C$622,0)))</f>
        <v/>
      </c>
      <c r="C12">
        <f>IF(ISNA(MATCH(3,'Transfer Engine'!$C$2:$C$622,0)),"",INDEX('Compliance Database'!$C$2:$C$622,MATCH(3,'Transfer Engine'!$C$2:$C$622,0)))</f>
        <v/>
      </c>
      <c r="D12" s="8">
        <f>IF(ISNA(MATCH(3,'Transfer Engine'!$C$2:$C$622,0)),"",INDEX('Compliance Database'!$D$2:$D$622,MATCH(3,'Transfer Engine'!$C$2:$C$622,0)))</f>
        <v/>
      </c>
      <c r="E12">
        <f>IF(ISNA(MATCH(3,'Transfer Engine'!$C$2:$C$622,0)),"",INDEX('Compliance Database'!$E$2:$E$622,MATCH(3,'Transfer Engine'!$C$2:$C$622,0)))</f>
        <v/>
      </c>
      <c r="F12">
        <f>IF(ISNA(MATCH(3,'Transfer Engine'!$C$2:$C$622,0)),"",INDEX('Compliance Database'!$F$2:$F$622,MATCH(3,'Transfer Engine'!$C$2:$C$622,0)))</f>
        <v/>
      </c>
      <c r="G12">
        <f>IF(ISNA(MATCH(3,'Transfer Engine'!$C$2:$C$622,0)),"",INDEX('Compliance Database'!$G$2:$G$622,MATCH(3,'Transfer Engine'!$C$2:$C$622,0)))</f>
        <v/>
      </c>
      <c r="H12">
        <f>IF(ISNA(MATCH(3,'Transfer Engine'!$C$2:$C$622,0)),"",INDEX('Compliance Database'!$H$2:$H$622,MATCH(3,'Transfer Engine'!$C$2:$C$622,0)))</f>
        <v/>
      </c>
      <c r="I12" s="8">
        <f>IF(ISNA(MATCH(3,'Transfer Engine'!$C$2:$C$622,0)),"",INDEX('Compliance Database'!$I$2:$I$622,MATCH(3,'Transfer Engine'!$C$2:$C$622,0)))</f>
        <v/>
      </c>
      <c r="J12" s="8">
        <f>IF(ISNA(MATCH(3,'Transfer Engine'!$C$2:$C$622,0)),"",INDEX('Compliance Database'!$J$2:$J$622,MATCH(3,'Transfer Engine'!$C$2:$C$622,0)))</f>
        <v/>
      </c>
      <c r="K12">
        <f>IF(ISNA(MATCH(3,'Transfer Engine'!$C$2:$C$622,0)),"",INDEX('Compliance Database'!$K$2:$K$622,MATCH(3,'Transfer Engine'!$C$2:$C$622,0)))</f>
        <v/>
      </c>
      <c r="L12" s="8">
        <f>IF(ISNA(MATCH(3,'Transfer Engine'!$C$2:$C$622,0)),"",INDEX('Compliance Database'!$L$2:$L$622,MATCH(3,'Transfer Engine'!$C$2:$C$622,0)))</f>
        <v/>
      </c>
      <c r="M12" s="8">
        <f>IF(ISNA(MATCH(3,'Transfer Engine'!$C$2:$C$622,0)),"",INDEX('Compliance Database'!$M$2:$M$622,MATCH(3,'Transfer Engine'!$C$2:$C$622,0)))</f>
        <v/>
      </c>
      <c r="N12" s="8">
        <f>IF(ISNA(MATCH(3,'Transfer Engine'!$C$2:$C$622,0)),"",INDEX('Compliance Database'!$N$2:$N$622,MATCH(3,'Transfer Engine'!$C$2:$C$622,0)))</f>
        <v/>
      </c>
      <c r="O12" s="8">
        <f>IF(ISNA(MATCH(3,'Transfer Engine'!$C$2:$C$622,0)),"",INDEX('Compliance Database'!$O$2:$O$622,MATCH(3,'Transfer Engine'!$C$2:$C$622,0)))</f>
        <v/>
      </c>
    </row>
    <row r="13">
      <c r="A13">
        <f>IF(ISNA(MATCH(4,'Transfer Engine'!$C$2:$C$622,0)),"",INDEX('Compliance Database'!$A$2:$A$622,MATCH(4,'Transfer Engine'!$C$2:$C$622,0)))</f>
        <v/>
      </c>
      <c r="B13">
        <f>IF(ISNA(MATCH(4,'Transfer Engine'!$C$2:$C$622,0)),"",INDEX('Compliance Database'!$B$2:$B$622,MATCH(4,'Transfer Engine'!$C$2:$C$622,0)))</f>
        <v/>
      </c>
      <c r="C13">
        <f>IF(ISNA(MATCH(4,'Transfer Engine'!$C$2:$C$622,0)),"",INDEX('Compliance Database'!$C$2:$C$622,MATCH(4,'Transfer Engine'!$C$2:$C$622,0)))</f>
        <v/>
      </c>
      <c r="D13" s="8">
        <f>IF(ISNA(MATCH(4,'Transfer Engine'!$C$2:$C$622,0)),"",INDEX('Compliance Database'!$D$2:$D$622,MATCH(4,'Transfer Engine'!$C$2:$C$622,0)))</f>
        <v/>
      </c>
      <c r="E13">
        <f>IF(ISNA(MATCH(4,'Transfer Engine'!$C$2:$C$622,0)),"",INDEX('Compliance Database'!$E$2:$E$622,MATCH(4,'Transfer Engine'!$C$2:$C$622,0)))</f>
        <v/>
      </c>
      <c r="F13">
        <f>IF(ISNA(MATCH(4,'Transfer Engine'!$C$2:$C$622,0)),"",INDEX('Compliance Database'!$F$2:$F$622,MATCH(4,'Transfer Engine'!$C$2:$C$622,0)))</f>
        <v/>
      </c>
      <c r="G13">
        <f>IF(ISNA(MATCH(4,'Transfer Engine'!$C$2:$C$622,0)),"",INDEX('Compliance Database'!$G$2:$G$622,MATCH(4,'Transfer Engine'!$C$2:$C$622,0)))</f>
        <v/>
      </c>
      <c r="H13">
        <f>IF(ISNA(MATCH(4,'Transfer Engine'!$C$2:$C$622,0)),"",INDEX('Compliance Database'!$H$2:$H$622,MATCH(4,'Transfer Engine'!$C$2:$C$622,0)))</f>
        <v/>
      </c>
      <c r="I13" s="8">
        <f>IF(ISNA(MATCH(4,'Transfer Engine'!$C$2:$C$622,0)),"",INDEX('Compliance Database'!$I$2:$I$622,MATCH(4,'Transfer Engine'!$C$2:$C$622,0)))</f>
        <v/>
      </c>
      <c r="J13" s="8">
        <f>IF(ISNA(MATCH(4,'Transfer Engine'!$C$2:$C$622,0)),"",INDEX('Compliance Database'!$J$2:$J$622,MATCH(4,'Transfer Engine'!$C$2:$C$622,0)))</f>
        <v/>
      </c>
      <c r="K13">
        <f>IF(ISNA(MATCH(4,'Transfer Engine'!$C$2:$C$622,0)),"",INDEX('Compliance Database'!$K$2:$K$622,MATCH(4,'Transfer Engine'!$C$2:$C$622,0)))</f>
        <v/>
      </c>
      <c r="L13" s="8">
        <f>IF(ISNA(MATCH(4,'Transfer Engine'!$C$2:$C$622,0)),"",INDEX('Compliance Database'!$L$2:$L$622,MATCH(4,'Transfer Engine'!$C$2:$C$622,0)))</f>
        <v/>
      </c>
      <c r="M13" s="8">
        <f>IF(ISNA(MATCH(4,'Transfer Engine'!$C$2:$C$622,0)),"",INDEX('Compliance Database'!$M$2:$M$622,MATCH(4,'Transfer Engine'!$C$2:$C$622,0)))</f>
        <v/>
      </c>
      <c r="N13" s="8">
        <f>IF(ISNA(MATCH(4,'Transfer Engine'!$C$2:$C$622,0)),"",INDEX('Compliance Database'!$N$2:$N$622,MATCH(4,'Transfer Engine'!$C$2:$C$622,0)))</f>
        <v/>
      </c>
      <c r="O13" s="8">
        <f>IF(ISNA(MATCH(4,'Transfer Engine'!$C$2:$C$622,0)),"",INDEX('Compliance Database'!$O$2:$O$622,MATCH(4,'Transfer Engine'!$C$2:$C$622,0)))</f>
        <v/>
      </c>
    </row>
    <row r="14">
      <c r="A14">
        <f>IF(ISNA(MATCH(5,'Transfer Engine'!$C$2:$C$622,0)),"",INDEX('Compliance Database'!$A$2:$A$622,MATCH(5,'Transfer Engine'!$C$2:$C$622,0)))</f>
        <v/>
      </c>
      <c r="B14">
        <f>IF(ISNA(MATCH(5,'Transfer Engine'!$C$2:$C$622,0)),"",INDEX('Compliance Database'!$B$2:$B$622,MATCH(5,'Transfer Engine'!$C$2:$C$622,0)))</f>
        <v/>
      </c>
      <c r="C14">
        <f>IF(ISNA(MATCH(5,'Transfer Engine'!$C$2:$C$622,0)),"",INDEX('Compliance Database'!$C$2:$C$622,MATCH(5,'Transfer Engine'!$C$2:$C$622,0)))</f>
        <v/>
      </c>
      <c r="D14" s="8">
        <f>IF(ISNA(MATCH(5,'Transfer Engine'!$C$2:$C$622,0)),"",INDEX('Compliance Database'!$D$2:$D$622,MATCH(5,'Transfer Engine'!$C$2:$C$622,0)))</f>
        <v/>
      </c>
      <c r="E14">
        <f>IF(ISNA(MATCH(5,'Transfer Engine'!$C$2:$C$622,0)),"",INDEX('Compliance Database'!$E$2:$E$622,MATCH(5,'Transfer Engine'!$C$2:$C$622,0)))</f>
        <v/>
      </c>
      <c r="F14">
        <f>IF(ISNA(MATCH(5,'Transfer Engine'!$C$2:$C$622,0)),"",INDEX('Compliance Database'!$F$2:$F$622,MATCH(5,'Transfer Engine'!$C$2:$C$622,0)))</f>
        <v/>
      </c>
      <c r="G14">
        <f>IF(ISNA(MATCH(5,'Transfer Engine'!$C$2:$C$622,0)),"",INDEX('Compliance Database'!$G$2:$G$622,MATCH(5,'Transfer Engine'!$C$2:$C$622,0)))</f>
        <v/>
      </c>
      <c r="H14">
        <f>IF(ISNA(MATCH(5,'Transfer Engine'!$C$2:$C$622,0)),"",INDEX('Compliance Database'!$H$2:$H$622,MATCH(5,'Transfer Engine'!$C$2:$C$622,0)))</f>
        <v/>
      </c>
      <c r="I14" s="8">
        <f>IF(ISNA(MATCH(5,'Transfer Engine'!$C$2:$C$622,0)),"",INDEX('Compliance Database'!$I$2:$I$622,MATCH(5,'Transfer Engine'!$C$2:$C$622,0)))</f>
        <v/>
      </c>
      <c r="J14" s="8">
        <f>IF(ISNA(MATCH(5,'Transfer Engine'!$C$2:$C$622,0)),"",INDEX('Compliance Database'!$J$2:$J$622,MATCH(5,'Transfer Engine'!$C$2:$C$622,0)))</f>
        <v/>
      </c>
      <c r="K14">
        <f>IF(ISNA(MATCH(5,'Transfer Engine'!$C$2:$C$622,0)),"",INDEX('Compliance Database'!$K$2:$K$622,MATCH(5,'Transfer Engine'!$C$2:$C$622,0)))</f>
        <v/>
      </c>
      <c r="L14" s="8">
        <f>IF(ISNA(MATCH(5,'Transfer Engine'!$C$2:$C$622,0)),"",INDEX('Compliance Database'!$L$2:$L$622,MATCH(5,'Transfer Engine'!$C$2:$C$622,0)))</f>
        <v/>
      </c>
      <c r="M14" s="8">
        <f>IF(ISNA(MATCH(5,'Transfer Engine'!$C$2:$C$622,0)),"",INDEX('Compliance Database'!$M$2:$M$622,MATCH(5,'Transfer Engine'!$C$2:$C$622,0)))</f>
        <v/>
      </c>
      <c r="N14" s="8">
        <f>IF(ISNA(MATCH(5,'Transfer Engine'!$C$2:$C$622,0)),"",INDEX('Compliance Database'!$N$2:$N$622,MATCH(5,'Transfer Engine'!$C$2:$C$622,0)))</f>
        <v/>
      </c>
      <c r="O14" s="8">
        <f>IF(ISNA(MATCH(5,'Transfer Engine'!$C$2:$C$622,0)),"",INDEX('Compliance Database'!$O$2:$O$622,MATCH(5,'Transfer Engine'!$C$2:$C$622,0)))</f>
        <v/>
      </c>
    </row>
    <row r="15">
      <c r="A15">
        <f>IF(ISNA(MATCH(6,'Transfer Engine'!$C$2:$C$622,0)),"",INDEX('Compliance Database'!$A$2:$A$622,MATCH(6,'Transfer Engine'!$C$2:$C$622,0)))</f>
        <v/>
      </c>
      <c r="B15">
        <f>IF(ISNA(MATCH(6,'Transfer Engine'!$C$2:$C$622,0)),"",INDEX('Compliance Database'!$B$2:$B$622,MATCH(6,'Transfer Engine'!$C$2:$C$622,0)))</f>
        <v/>
      </c>
      <c r="C15">
        <f>IF(ISNA(MATCH(6,'Transfer Engine'!$C$2:$C$622,0)),"",INDEX('Compliance Database'!$C$2:$C$622,MATCH(6,'Transfer Engine'!$C$2:$C$622,0)))</f>
        <v/>
      </c>
      <c r="D15" s="8">
        <f>IF(ISNA(MATCH(6,'Transfer Engine'!$C$2:$C$622,0)),"",INDEX('Compliance Database'!$D$2:$D$622,MATCH(6,'Transfer Engine'!$C$2:$C$622,0)))</f>
        <v/>
      </c>
      <c r="E15">
        <f>IF(ISNA(MATCH(6,'Transfer Engine'!$C$2:$C$622,0)),"",INDEX('Compliance Database'!$E$2:$E$622,MATCH(6,'Transfer Engine'!$C$2:$C$622,0)))</f>
        <v/>
      </c>
      <c r="F15">
        <f>IF(ISNA(MATCH(6,'Transfer Engine'!$C$2:$C$622,0)),"",INDEX('Compliance Database'!$F$2:$F$622,MATCH(6,'Transfer Engine'!$C$2:$C$622,0)))</f>
        <v/>
      </c>
      <c r="G15">
        <f>IF(ISNA(MATCH(6,'Transfer Engine'!$C$2:$C$622,0)),"",INDEX('Compliance Database'!$G$2:$G$622,MATCH(6,'Transfer Engine'!$C$2:$C$622,0)))</f>
        <v/>
      </c>
      <c r="H15">
        <f>IF(ISNA(MATCH(6,'Transfer Engine'!$C$2:$C$622,0)),"",INDEX('Compliance Database'!$H$2:$H$622,MATCH(6,'Transfer Engine'!$C$2:$C$622,0)))</f>
        <v/>
      </c>
      <c r="I15" s="8">
        <f>IF(ISNA(MATCH(6,'Transfer Engine'!$C$2:$C$622,0)),"",INDEX('Compliance Database'!$I$2:$I$622,MATCH(6,'Transfer Engine'!$C$2:$C$622,0)))</f>
        <v/>
      </c>
      <c r="J15" s="8">
        <f>IF(ISNA(MATCH(6,'Transfer Engine'!$C$2:$C$622,0)),"",INDEX('Compliance Database'!$J$2:$J$622,MATCH(6,'Transfer Engine'!$C$2:$C$622,0)))</f>
        <v/>
      </c>
      <c r="K15">
        <f>IF(ISNA(MATCH(6,'Transfer Engine'!$C$2:$C$622,0)),"",INDEX('Compliance Database'!$K$2:$K$622,MATCH(6,'Transfer Engine'!$C$2:$C$622,0)))</f>
        <v/>
      </c>
      <c r="L15" s="8">
        <f>IF(ISNA(MATCH(6,'Transfer Engine'!$C$2:$C$622,0)),"",INDEX('Compliance Database'!$L$2:$L$622,MATCH(6,'Transfer Engine'!$C$2:$C$622,0)))</f>
        <v/>
      </c>
      <c r="M15" s="8">
        <f>IF(ISNA(MATCH(6,'Transfer Engine'!$C$2:$C$622,0)),"",INDEX('Compliance Database'!$M$2:$M$622,MATCH(6,'Transfer Engine'!$C$2:$C$622,0)))</f>
        <v/>
      </c>
      <c r="N15" s="8">
        <f>IF(ISNA(MATCH(6,'Transfer Engine'!$C$2:$C$622,0)),"",INDEX('Compliance Database'!$N$2:$N$622,MATCH(6,'Transfer Engine'!$C$2:$C$622,0)))</f>
        <v/>
      </c>
      <c r="O15" s="8">
        <f>IF(ISNA(MATCH(6,'Transfer Engine'!$C$2:$C$622,0)),"",INDEX('Compliance Database'!$O$2:$O$622,MATCH(6,'Transfer Engine'!$C$2:$C$622,0)))</f>
        <v/>
      </c>
    </row>
    <row r="16">
      <c r="A16">
        <f>IF(ISNA(MATCH(7,'Transfer Engine'!$C$2:$C$622,0)),"",INDEX('Compliance Database'!$A$2:$A$622,MATCH(7,'Transfer Engine'!$C$2:$C$622,0)))</f>
        <v/>
      </c>
      <c r="B16">
        <f>IF(ISNA(MATCH(7,'Transfer Engine'!$C$2:$C$622,0)),"",INDEX('Compliance Database'!$B$2:$B$622,MATCH(7,'Transfer Engine'!$C$2:$C$622,0)))</f>
        <v/>
      </c>
      <c r="C16">
        <f>IF(ISNA(MATCH(7,'Transfer Engine'!$C$2:$C$622,0)),"",INDEX('Compliance Database'!$C$2:$C$622,MATCH(7,'Transfer Engine'!$C$2:$C$622,0)))</f>
        <v/>
      </c>
      <c r="D16" s="8">
        <f>IF(ISNA(MATCH(7,'Transfer Engine'!$C$2:$C$622,0)),"",INDEX('Compliance Database'!$D$2:$D$622,MATCH(7,'Transfer Engine'!$C$2:$C$622,0)))</f>
        <v/>
      </c>
      <c r="E16">
        <f>IF(ISNA(MATCH(7,'Transfer Engine'!$C$2:$C$622,0)),"",INDEX('Compliance Database'!$E$2:$E$622,MATCH(7,'Transfer Engine'!$C$2:$C$622,0)))</f>
        <v/>
      </c>
      <c r="F16">
        <f>IF(ISNA(MATCH(7,'Transfer Engine'!$C$2:$C$622,0)),"",INDEX('Compliance Database'!$F$2:$F$622,MATCH(7,'Transfer Engine'!$C$2:$C$622,0)))</f>
        <v/>
      </c>
      <c r="G16">
        <f>IF(ISNA(MATCH(7,'Transfer Engine'!$C$2:$C$622,0)),"",INDEX('Compliance Database'!$G$2:$G$622,MATCH(7,'Transfer Engine'!$C$2:$C$622,0)))</f>
        <v/>
      </c>
      <c r="H16">
        <f>IF(ISNA(MATCH(7,'Transfer Engine'!$C$2:$C$622,0)),"",INDEX('Compliance Database'!$H$2:$H$622,MATCH(7,'Transfer Engine'!$C$2:$C$622,0)))</f>
        <v/>
      </c>
      <c r="I16" s="8">
        <f>IF(ISNA(MATCH(7,'Transfer Engine'!$C$2:$C$622,0)),"",INDEX('Compliance Database'!$I$2:$I$622,MATCH(7,'Transfer Engine'!$C$2:$C$622,0)))</f>
        <v/>
      </c>
      <c r="J16" s="8">
        <f>IF(ISNA(MATCH(7,'Transfer Engine'!$C$2:$C$622,0)),"",INDEX('Compliance Database'!$J$2:$J$622,MATCH(7,'Transfer Engine'!$C$2:$C$622,0)))</f>
        <v/>
      </c>
      <c r="K16">
        <f>IF(ISNA(MATCH(7,'Transfer Engine'!$C$2:$C$622,0)),"",INDEX('Compliance Database'!$K$2:$K$622,MATCH(7,'Transfer Engine'!$C$2:$C$622,0)))</f>
        <v/>
      </c>
      <c r="L16" s="8">
        <f>IF(ISNA(MATCH(7,'Transfer Engine'!$C$2:$C$622,0)),"",INDEX('Compliance Database'!$L$2:$L$622,MATCH(7,'Transfer Engine'!$C$2:$C$622,0)))</f>
        <v/>
      </c>
      <c r="M16" s="8">
        <f>IF(ISNA(MATCH(7,'Transfer Engine'!$C$2:$C$622,0)),"",INDEX('Compliance Database'!$M$2:$M$622,MATCH(7,'Transfer Engine'!$C$2:$C$622,0)))</f>
        <v/>
      </c>
      <c r="N16" s="8">
        <f>IF(ISNA(MATCH(7,'Transfer Engine'!$C$2:$C$622,0)),"",INDEX('Compliance Database'!$N$2:$N$622,MATCH(7,'Transfer Engine'!$C$2:$C$622,0)))</f>
        <v/>
      </c>
      <c r="O16" s="8">
        <f>IF(ISNA(MATCH(7,'Transfer Engine'!$C$2:$C$622,0)),"",INDEX('Compliance Database'!$O$2:$O$622,MATCH(7,'Transfer Engine'!$C$2:$C$622,0)))</f>
        <v/>
      </c>
    </row>
    <row r="17">
      <c r="A17">
        <f>IF(ISNA(MATCH(8,'Transfer Engine'!$C$2:$C$622,0)),"",INDEX('Compliance Database'!$A$2:$A$622,MATCH(8,'Transfer Engine'!$C$2:$C$622,0)))</f>
        <v/>
      </c>
      <c r="B17">
        <f>IF(ISNA(MATCH(8,'Transfer Engine'!$C$2:$C$622,0)),"",INDEX('Compliance Database'!$B$2:$B$622,MATCH(8,'Transfer Engine'!$C$2:$C$622,0)))</f>
        <v/>
      </c>
      <c r="C17">
        <f>IF(ISNA(MATCH(8,'Transfer Engine'!$C$2:$C$622,0)),"",INDEX('Compliance Database'!$C$2:$C$622,MATCH(8,'Transfer Engine'!$C$2:$C$622,0)))</f>
        <v/>
      </c>
      <c r="D17" s="8">
        <f>IF(ISNA(MATCH(8,'Transfer Engine'!$C$2:$C$622,0)),"",INDEX('Compliance Database'!$D$2:$D$622,MATCH(8,'Transfer Engine'!$C$2:$C$622,0)))</f>
        <v/>
      </c>
      <c r="E17">
        <f>IF(ISNA(MATCH(8,'Transfer Engine'!$C$2:$C$622,0)),"",INDEX('Compliance Database'!$E$2:$E$622,MATCH(8,'Transfer Engine'!$C$2:$C$622,0)))</f>
        <v/>
      </c>
      <c r="F17">
        <f>IF(ISNA(MATCH(8,'Transfer Engine'!$C$2:$C$622,0)),"",INDEX('Compliance Database'!$F$2:$F$622,MATCH(8,'Transfer Engine'!$C$2:$C$622,0)))</f>
        <v/>
      </c>
      <c r="G17">
        <f>IF(ISNA(MATCH(8,'Transfer Engine'!$C$2:$C$622,0)),"",INDEX('Compliance Database'!$G$2:$G$622,MATCH(8,'Transfer Engine'!$C$2:$C$622,0)))</f>
        <v/>
      </c>
      <c r="H17">
        <f>IF(ISNA(MATCH(8,'Transfer Engine'!$C$2:$C$622,0)),"",INDEX('Compliance Database'!$H$2:$H$622,MATCH(8,'Transfer Engine'!$C$2:$C$622,0)))</f>
        <v/>
      </c>
      <c r="I17" s="8">
        <f>IF(ISNA(MATCH(8,'Transfer Engine'!$C$2:$C$622,0)),"",INDEX('Compliance Database'!$I$2:$I$622,MATCH(8,'Transfer Engine'!$C$2:$C$622,0)))</f>
        <v/>
      </c>
      <c r="J17" s="8">
        <f>IF(ISNA(MATCH(8,'Transfer Engine'!$C$2:$C$622,0)),"",INDEX('Compliance Database'!$J$2:$J$622,MATCH(8,'Transfer Engine'!$C$2:$C$622,0)))</f>
        <v/>
      </c>
      <c r="K17">
        <f>IF(ISNA(MATCH(8,'Transfer Engine'!$C$2:$C$622,0)),"",INDEX('Compliance Database'!$K$2:$K$622,MATCH(8,'Transfer Engine'!$C$2:$C$622,0)))</f>
        <v/>
      </c>
      <c r="L17" s="8">
        <f>IF(ISNA(MATCH(8,'Transfer Engine'!$C$2:$C$622,0)),"",INDEX('Compliance Database'!$L$2:$L$622,MATCH(8,'Transfer Engine'!$C$2:$C$622,0)))</f>
        <v/>
      </c>
      <c r="M17" s="8">
        <f>IF(ISNA(MATCH(8,'Transfer Engine'!$C$2:$C$622,0)),"",INDEX('Compliance Database'!$M$2:$M$622,MATCH(8,'Transfer Engine'!$C$2:$C$622,0)))</f>
        <v/>
      </c>
      <c r="N17" s="8">
        <f>IF(ISNA(MATCH(8,'Transfer Engine'!$C$2:$C$622,0)),"",INDEX('Compliance Database'!$N$2:$N$622,MATCH(8,'Transfer Engine'!$C$2:$C$622,0)))</f>
        <v/>
      </c>
      <c r="O17" s="8">
        <f>IF(ISNA(MATCH(8,'Transfer Engine'!$C$2:$C$622,0)),"",INDEX('Compliance Database'!$O$2:$O$622,MATCH(8,'Transfer Engine'!$C$2:$C$622,0)))</f>
        <v/>
      </c>
    </row>
    <row r="18">
      <c r="A18">
        <f>IF(ISNA(MATCH(9,'Transfer Engine'!$C$2:$C$622,0)),"",INDEX('Compliance Database'!$A$2:$A$622,MATCH(9,'Transfer Engine'!$C$2:$C$622,0)))</f>
        <v/>
      </c>
      <c r="B18">
        <f>IF(ISNA(MATCH(9,'Transfer Engine'!$C$2:$C$622,0)),"",INDEX('Compliance Database'!$B$2:$B$622,MATCH(9,'Transfer Engine'!$C$2:$C$622,0)))</f>
        <v/>
      </c>
      <c r="C18">
        <f>IF(ISNA(MATCH(9,'Transfer Engine'!$C$2:$C$622,0)),"",INDEX('Compliance Database'!$C$2:$C$622,MATCH(9,'Transfer Engine'!$C$2:$C$622,0)))</f>
        <v/>
      </c>
      <c r="D18" s="8">
        <f>IF(ISNA(MATCH(9,'Transfer Engine'!$C$2:$C$622,0)),"",INDEX('Compliance Database'!$D$2:$D$622,MATCH(9,'Transfer Engine'!$C$2:$C$622,0)))</f>
        <v/>
      </c>
      <c r="E18">
        <f>IF(ISNA(MATCH(9,'Transfer Engine'!$C$2:$C$622,0)),"",INDEX('Compliance Database'!$E$2:$E$622,MATCH(9,'Transfer Engine'!$C$2:$C$622,0)))</f>
        <v/>
      </c>
      <c r="F18">
        <f>IF(ISNA(MATCH(9,'Transfer Engine'!$C$2:$C$622,0)),"",INDEX('Compliance Database'!$F$2:$F$622,MATCH(9,'Transfer Engine'!$C$2:$C$622,0)))</f>
        <v/>
      </c>
      <c r="G18">
        <f>IF(ISNA(MATCH(9,'Transfer Engine'!$C$2:$C$622,0)),"",INDEX('Compliance Database'!$G$2:$G$622,MATCH(9,'Transfer Engine'!$C$2:$C$622,0)))</f>
        <v/>
      </c>
      <c r="H18">
        <f>IF(ISNA(MATCH(9,'Transfer Engine'!$C$2:$C$622,0)),"",INDEX('Compliance Database'!$H$2:$H$622,MATCH(9,'Transfer Engine'!$C$2:$C$622,0)))</f>
        <v/>
      </c>
      <c r="I18" s="8">
        <f>IF(ISNA(MATCH(9,'Transfer Engine'!$C$2:$C$622,0)),"",INDEX('Compliance Database'!$I$2:$I$622,MATCH(9,'Transfer Engine'!$C$2:$C$622,0)))</f>
        <v/>
      </c>
      <c r="J18" s="8">
        <f>IF(ISNA(MATCH(9,'Transfer Engine'!$C$2:$C$622,0)),"",INDEX('Compliance Database'!$J$2:$J$622,MATCH(9,'Transfer Engine'!$C$2:$C$622,0)))</f>
        <v/>
      </c>
      <c r="K18">
        <f>IF(ISNA(MATCH(9,'Transfer Engine'!$C$2:$C$622,0)),"",INDEX('Compliance Database'!$K$2:$K$622,MATCH(9,'Transfer Engine'!$C$2:$C$622,0)))</f>
        <v/>
      </c>
      <c r="L18" s="8">
        <f>IF(ISNA(MATCH(9,'Transfer Engine'!$C$2:$C$622,0)),"",INDEX('Compliance Database'!$L$2:$L$622,MATCH(9,'Transfer Engine'!$C$2:$C$622,0)))</f>
        <v/>
      </c>
      <c r="M18" s="8">
        <f>IF(ISNA(MATCH(9,'Transfer Engine'!$C$2:$C$622,0)),"",INDEX('Compliance Database'!$M$2:$M$622,MATCH(9,'Transfer Engine'!$C$2:$C$622,0)))</f>
        <v/>
      </c>
      <c r="N18" s="8">
        <f>IF(ISNA(MATCH(9,'Transfer Engine'!$C$2:$C$622,0)),"",INDEX('Compliance Database'!$N$2:$N$622,MATCH(9,'Transfer Engine'!$C$2:$C$622,0)))</f>
        <v/>
      </c>
      <c r="O18" s="8">
        <f>IF(ISNA(MATCH(9,'Transfer Engine'!$C$2:$C$622,0)),"",INDEX('Compliance Database'!$O$2:$O$622,MATCH(9,'Transfer Engine'!$C$2:$C$622,0)))</f>
        <v/>
      </c>
    </row>
    <row r="19">
      <c r="A19">
        <f>IF(ISNA(MATCH(10,'Transfer Engine'!$C$2:$C$622,0)),"",INDEX('Compliance Database'!$A$2:$A$622,MATCH(10,'Transfer Engine'!$C$2:$C$622,0)))</f>
        <v/>
      </c>
      <c r="B19">
        <f>IF(ISNA(MATCH(10,'Transfer Engine'!$C$2:$C$622,0)),"",INDEX('Compliance Database'!$B$2:$B$622,MATCH(10,'Transfer Engine'!$C$2:$C$622,0)))</f>
        <v/>
      </c>
      <c r="C19">
        <f>IF(ISNA(MATCH(10,'Transfer Engine'!$C$2:$C$622,0)),"",INDEX('Compliance Database'!$C$2:$C$622,MATCH(10,'Transfer Engine'!$C$2:$C$622,0)))</f>
        <v/>
      </c>
      <c r="D19" s="8">
        <f>IF(ISNA(MATCH(10,'Transfer Engine'!$C$2:$C$622,0)),"",INDEX('Compliance Database'!$D$2:$D$622,MATCH(10,'Transfer Engine'!$C$2:$C$622,0)))</f>
        <v/>
      </c>
      <c r="E19">
        <f>IF(ISNA(MATCH(10,'Transfer Engine'!$C$2:$C$622,0)),"",INDEX('Compliance Database'!$E$2:$E$622,MATCH(10,'Transfer Engine'!$C$2:$C$622,0)))</f>
        <v/>
      </c>
      <c r="F19">
        <f>IF(ISNA(MATCH(10,'Transfer Engine'!$C$2:$C$622,0)),"",INDEX('Compliance Database'!$F$2:$F$622,MATCH(10,'Transfer Engine'!$C$2:$C$622,0)))</f>
        <v/>
      </c>
      <c r="G19">
        <f>IF(ISNA(MATCH(10,'Transfer Engine'!$C$2:$C$622,0)),"",INDEX('Compliance Database'!$G$2:$G$622,MATCH(10,'Transfer Engine'!$C$2:$C$622,0)))</f>
        <v/>
      </c>
      <c r="H19">
        <f>IF(ISNA(MATCH(10,'Transfer Engine'!$C$2:$C$622,0)),"",INDEX('Compliance Database'!$H$2:$H$622,MATCH(10,'Transfer Engine'!$C$2:$C$622,0)))</f>
        <v/>
      </c>
      <c r="I19" s="8">
        <f>IF(ISNA(MATCH(10,'Transfer Engine'!$C$2:$C$622,0)),"",INDEX('Compliance Database'!$I$2:$I$622,MATCH(10,'Transfer Engine'!$C$2:$C$622,0)))</f>
        <v/>
      </c>
      <c r="J19" s="8">
        <f>IF(ISNA(MATCH(10,'Transfer Engine'!$C$2:$C$622,0)),"",INDEX('Compliance Database'!$J$2:$J$622,MATCH(10,'Transfer Engine'!$C$2:$C$622,0)))</f>
        <v/>
      </c>
      <c r="K19">
        <f>IF(ISNA(MATCH(10,'Transfer Engine'!$C$2:$C$622,0)),"",INDEX('Compliance Database'!$K$2:$K$622,MATCH(10,'Transfer Engine'!$C$2:$C$622,0)))</f>
        <v/>
      </c>
      <c r="L19" s="8">
        <f>IF(ISNA(MATCH(10,'Transfer Engine'!$C$2:$C$622,0)),"",INDEX('Compliance Database'!$L$2:$L$622,MATCH(10,'Transfer Engine'!$C$2:$C$622,0)))</f>
        <v/>
      </c>
      <c r="M19" s="8">
        <f>IF(ISNA(MATCH(10,'Transfer Engine'!$C$2:$C$622,0)),"",INDEX('Compliance Database'!$M$2:$M$622,MATCH(10,'Transfer Engine'!$C$2:$C$622,0)))</f>
        <v/>
      </c>
      <c r="N19" s="8">
        <f>IF(ISNA(MATCH(10,'Transfer Engine'!$C$2:$C$622,0)),"",INDEX('Compliance Database'!$N$2:$N$622,MATCH(10,'Transfer Engine'!$C$2:$C$622,0)))</f>
        <v/>
      </c>
      <c r="O19" s="8">
        <f>IF(ISNA(MATCH(10,'Transfer Engine'!$C$2:$C$622,0)),"",INDEX('Compliance Database'!$O$2:$O$622,MATCH(10,'Transfer Engine'!$C$2:$C$622,0)))</f>
        <v/>
      </c>
    </row>
    <row r="20">
      <c r="A20">
        <f>IF(ISNA(MATCH(11,'Transfer Engine'!$C$2:$C$622,0)),"",INDEX('Compliance Database'!$A$2:$A$622,MATCH(11,'Transfer Engine'!$C$2:$C$622,0)))</f>
        <v/>
      </c>
      <c r="B20">
        <f>IF(ISNA(MATCH(11,'Transfer Engine'!$C$2:$C$622,0)),"",INDEX('Compliance Database'!$B$2:$B$622,MATCH(11,'Transfer Engine'!$C$2:$C$622,0)))</f>
        <v/>
      </c>
      <c r="C20">
        <f>IF(ISNA(MATCH(11,'Transfer Engine'!$C$2:$C$622,0)),"",INDEX('Compliance Database'!$C$2:$C$622,MATCH(11,'Transfer Engine'!$C$2:$C$622,0)))</f>
        <v/>
      </c>
      <c r="D20" s="8">
        <f>IF(ISNA(MATCH(11,'Transfer Engine'!$C$2:$C$622,0)),"",INDEX('Compliance Database'!$D$2:$D$622,MATCH(11,'Transfer Engine'!$C$2:$C$622,0)))</f>
        <v/>
      </c>
      <c r="E20">
        <f>IF(ISNA(MATCH(11,'Transfer Engine'!$C$2:$C$622,0)),"",INDEX('Compliance Database'!$E$2:$E$622,MATCH(11,'Transfer Engine'!$C$2:$C$622,0)))</f>
        <v/>
      </c>
      <c r="F20">
        <f>IF(ISNA(MATCH(11,'Transfer Engine'!$C$2:$C$622,0)),"",INDEX('Compliance Database'!$F$2:$F$622,MATCH(11,'Transfer Engine'!$C$2:$C$622,0)))</f>
        <v/>
      </c>
      <c r="G20">
        <f>IF(ISNA(MATCH(11,'Transfer Engine'!$C$2:$C$622,0)),"",INDEX('Compliance Database'!$G$2:$G$622,MATCH(11,'Transfer Engine'!$C$2:$C$622,0)))</f>
        <v/>
      </c>
      <c r="H20">
        <f>IF(ISNA(MATCH(11,'Transfer Engine'!$C$2:$C$622,0)),"",INDEX('Compliance Database'!$H$2:$H$622,MATCH(11,'Transfer Engine'!$C$2:$C$622,0)))</f>
        <v/>
      </c>
      <c r="I20" s="8">
        <f>IF(ISNA(MATCH(11,'Transfer Engine'!$C$2:$C$622,0)),"",INDEX('Compliance Database'!$I$2:$I$622,MATCH(11,'Transfer Engine'!$C$2:$C$622,0)))</f>
        <v/>
      </c>
      <c r="J20" s="8">
        <f>IF(ISNA(MATCH(11,'Transfer Engine'!$C$2:$C$622,0)),"",INDEX('Compliance Database'!$J$2:$J$622,MATCH(11,'Transfer Engine'!$C$2:$C$622,0)))</f>
        <v/>
      </c>
      <c r="K20">
        <f>IF(ISNA(MATCH(11,'Transfer Engine'!$C$2:$C$622,0)),"",INDEX('Compliance Database'!$K$2:$K$622,MATCH(11,'Transfer Engine'!$C$2:$C$622,0)))</f>
        <v/>
      </c>
      <c r="L20" s="8">
        <f>IF(ISNA(MATCH(11,'Transfer Engine'!$C$2:$C$622,0)),"",INDEX('Compliance Database'!$L$2:$L$622,MATCH(11,'Transfer Engine'!$C$2:$C$622,0)))</f>
        <v/>
      </c>
      <c r="M20" s="8">
        <f>IF(ISNA(MATCH(11,'Transfer Engine'!$C$2:$C$622,0)),"",INDEX('Compliance Database'!$M$2:$M$622,MATCH(11,'Transfer Engine'!$C$2:$C$622,0)))</f>
        <v/>
      </c>
      <c r="N20" s="8">
        <f>IF(ISNA(MATCH(11,'Transfer Engine'!$C$2:$C$622,0)),"",INDEX('Compliance Database'!$N$2:$N$622,MATCH(11,'Transfer Engine'!$C$2:$C$622,0)))</f>
        <v/>
      </c>
      <c r="O20" s="8">
        <f>IF(ISNA(MATCH(11,'Transfer Engine'!$C$2:$C$622,0)),"",INDEX('Compliance Database'!$O$2:$O$622,MATCH(11,'Transfer Engine'!$C$2:$C$622,0)))</f>
        <v/>
      </c>
    </row>
    <row r="21">
      <c r="A21">
        <f>IF(ISNA(MATCH(12,'Transfer Engine'!$C$2:$C$622,0)),"",INDEX('Compliance Database'!$A$2:$A$622,MATCH(12,'Transfer Engine'!$C$2:$C$622,0)))</f>
        <v/>
      </c>
      <c r="B21">
        <f>IF(ISNA(MATCH(12,'Transfer Engine'!$C$2:$C$622,0)),"",INDEX('Compliance Database'!$B$2:$B$622,MATCH(12,'Transfer Engine'!$C$2:$C$622,0)))</f>
        <v/>
      </c>
      <c r="C21">
        <f>IF(ISNA(MATCH(12,'Transfer Engine'!$C$2:$C$622,0)),"",INDEX('Compliance Database'!$C$2:$C$622,MATCH(12,'Transfer Engine'!$C$2:$C$622,0)))</f>
        <v/>
      </c>
      <c r="D21" s="8">
        <f>IF(ISNA(MATCH(12,'Transfer Engine'!$C$2:$C$622,0)),"",INDEX('Compliance Database'!$D$2:$D$622,MATCH(12,'Transfer Engine'!$C$2:$C$622,0)))</f>
        <v/>
      </c>
      <c r="E21">
        <f>IF(ISNA(MATCH(12,'Transfer Engine'!$C$2:$C$622,0)),"",INDEX('Compliance Database'!$E$2:$E$622,MATCH(12,'Transfer Engine'!$C$2:$C$622,0)))</f>
        <v/>
      </c>
      <c r="F21">
        <f>IF(ISNA(MATCH(12,'Transfer Engine'!$C$2:$C$622,0)),"",INDEX('Compliance Database'!$F$2:$F$622,MATCH(12,'Transfer Engine'!$C$2:$C$622,0)))</f>
        <v/>
      </c>
      <c r="G21">
        <f>IF(ISNA(MATCH(12,'Transfer Engine'!$C$2:$C$622,0)),"",INDEX('Compliance Database'!$G$2:$G$622,MATCH(12,'Transfer Engine'!$C$2:$C$622,0)))</f>
        <v/>
      </c>
      <c r="H21">
        <f>IF(ISNA(MATCH(12,'Transfer Engine'!$C$2:$C$622,0)),"",INDEX('Compliance Database'!$H$2:$H$622,MATCH(12,'Transfer Engine'!$C$2:$C$622,0)))</f>
        <v/>
      </c>
      <c r="I21" s="8">
        <f>IF(ISNA(MATCH(12,'Transfer Engine'!$C$2:$C$622,0)),"",INDEX('Compliance Database'!$I$2:$I$622,MATCH(12,'Transfer Engine'!$C$2:$C$622,0)))</f>
        <v/>
      </c>
      <c r="J21" s="8">
        <f>IF(ISNA(MATCH(12,'Transfer Engine'!$C$2:$C$622,0)),"",INDEX('Compliance Database'!$J$2:$J$622,MATCH(12,'Transfer Engine'!$C$2:$C$622,0)))</f>
        <v/>
      </c>
      <c r="K21">
        <f>IF(ISNA(MATCH(12,'Transfer Engine'!$C$2:$C$622,0)),"",INDEX('Compliance Database'!$K$2:$K$622,MATCH(12,'Transfer Engine'!$C$2:$C$622,0)))</f>
        <v/>
      </c>
      <c r="L21" s="8">
        <f>IF(ISNA(MATCH(12,'Transfer Engine'!$C$2:$C$622,0)),"",INDEX('Compliance Database'!$L$2:$L$622,MATCH(12,'Transfer Engine'!$C$2:$C$622,0)))</f>
        <v/>
      </c>
      <c r="M21" s="8">
        <f>IF(ISNA(MATCH(12,'Transfer Engine'!$C$2:$C$622,0)),"",INDEX('Compliance Database'!$M$2:$M$622,MATCH(12,'Transfer Engine'!$C$2:$C$622,0)))</f>
        <v/>
      </c>
      <c r="N21" s="8">
        <f>IF(ISNA(MATCH(12,'Transfer Engine'!$C$2:$C$622,0)),"",INDEX('Compliance Database'!$N$2:$N$622,MATCH(12,'Transfer Engine'!$C$2:$C$622,0)))</f>
        <v/>
      </c>
      <c r="O21" s="8">
        <f>IF(ISNA(MATCH(12,'Transfer Engine'!$C$2:$C$622,0)),"",INDEX('Compliance Database'!$O$2:$O$622,MATCH(12,'Transfer Engine'!$C$2:$C$622,0)))</f>
        <v/>
      </c>
    </row>
    <row r="22">
      <c r="A22">
        <f>IF(ISNA(MATCH(13,'Transfer Engine'!$C$2:$C$622,0)),"",INDEX('Compliance Database'!$A$2:$A$622,MATCH(13,'Transfer Engine'!$C$2:$C$622,0)))</f>
        <v/>
      </c>
      <c r="B22">
        <f>IF(ISNA(MATCH(13,'Transfer Engine'!$C$2:$C$622,0)),"",INDEX('Compliance Database'!$B$2:$B$622,MATCH(13,'Transfer Engine'!$C$2:$C$622,0)))</f>
        <v/>
      </c>
      <c r="C22">
        <f>IF(ISNA(MATCH(13,'Transfer Engine'!$C$2:$C$622,0)),"",INDEX('Compliance Database'!$C$2:$C$622,MATCH(13,'Transfer Engine'!$C$2:$C$622,0)))</f>
        <v/>
      </c>
      <c r="D22" s="8">
        <f>IF(ISNA(MATCH(13,'Transfer Engine'!$C$2:$C$622,0)),"",INDEX('Compliance Database'!$D$2:$D$622,MATCH(13,'Transfer Engine'!$C$2:$C$622,0)))</f>
        <v/>
      </c>
      <c r="E22">
        <f>IF(ISNA(MATCH(13,'Transfer Engine'!$C$2:$C$622,0)),"",INDEX('Compliance Database'!$E$2:$E$622,MATCH(13,'Transfer Engine'!$C$2:$C$622,0)))</f>
        <v/>
      </c>
      <c r="F22">
        <f>IF(ISNA(MATCH(13,'Transfer Engine'!$C$2:$C$622,0)),"",INDEX('Compliance Database'!$F$2:$F$622,MATCH(13,'Transfer Engine'!$C$2:$C$622,0)))</f>
        <v/>
      </c>
      <c r="G22">
        <f>IF(ISNA(MATCH(13,'Transfer Engine'!$C$2:$C$622,0)),"",INDEX('Compliance Database'!$G$2:$G$622,MATCH(13,'Transfer Engine'!$C$2:$C$622,0)))</f>
        <v/>
      </c>
      <c r="H22">
        <f>IF(ISNA(MATCH(13,'Transfer Engine'!$C$2:$C$622,0)),"",INDEX('Compliance Database'!$H$2:$H$622,MATCH(13,'Transfer Engine'!$C$2:$C$622,0)))</f>
        <v/>
      </c>
      <c r="I22" s="8">
        <f>IF(ISNA(MATCH(13,'Transfer Engine'!$C$2:$C$622,0)),"",INDEX('Compliance Database'!$I$2:$I$622,MATCH(13,'Transfer Engine'!$C$2:$C$622,0)))</f>
        <v/>
      </c>
      <c r="J22" s="8">
        <f>IF(ISNA(MATCH(13,'Transfer Engine'!$C$2:$C$622,0)),"",INDEX('Compliance Database'!$J$2:$J$622,MATCH(13,'Transfer Engine'!$C$2:$C$622,0)))</f>
        <v/>
      </c>
      <c r="K22">
        <f>IF(ISNA(MATCH(13,'Transfer Engine'!$C$2:$C$622,0)),"",INDEX('Compliance Database'!$K$2:$K$622,MATCH(13,'Transfer Engine'!$C$2:$C$622,0)))</f>
        <v/>
      </c>
      <c r="L22" s="8">
        <f>IF(ISNA(MATCH(13,'Transfer Engine'!$C$2:$C$622,0)),"",INDEX('Compliance Database'!$L$2:$L$622,MATCH(13,'Transfer Engine'!$C$2:$C$622,0)))</f>
        <v/>
      </c>
      <c r="M22" s="8">
        <f>IF(ISNA(MATCH(13,'Transfer Engine'!$C$2:$C$622,0)),"",INDEX('Compliance Database'!$M$2:$M$622,MATCH(13,'Transfer Engine'!$C$2:$C$622,0)))</f>
        <v/>
      </c>
      <c r="N22" s="8">
        <f>IF(ISNA(MATCH(13,'Transfer Engine'!$C$2:$C$622,0)),"",INDEX('Compliance Database'!$N$2:$N$622,MATCH(13,'Transfer Engine'!$C$2:$C$622,0)))</f>
        <v/>
      </c>
      <c r="O22" s="8">
        <f>IF(ISNA(MATCH(13,'Transfer Engine'!$C$2:$C$622,0)),"",INDEX('Compliance Database'!$O$2:$O$622,MATCH(13,'Transfer Engine'!$C$2:$C$622,0)))</f>
        <v/>
      </c>
    </row>
    <row r="23">
      <c r="A23">
        <f>IF(ISNA(MATCH(14,'Transfer Engine'!$C$2:$C$622,0)),"",INDEX('Compliance Database'!$A$2:$A$622,MATCH(14,'Transfer Engine'!$C$2:$C$622,0)))</f>
        <v/>
      </c>
      <c r="B23">
        <f>IF(ISNA(MATCH(14,'Transfer Engine'!$C$2:$C$622,0)),"",INDEX('Compliance Database'!$B$2:$B$622,MATCH(14,'Transfer Engine'!$C$2:$C$622,0)))</f>
        <v/>
      </c>
      <c r="C23">
        <f>IF(ISNA(MATCH(14,'Transfer Engine'!$C$2:$C$622,0)),"",INDEX('Compliance Database'!$C$2:$C$622,MATCH(14,'Transfer Engine'!$C$2:$C$622,0)))</f>
        <v/>
      </c>
      <c r="D23" s="8">
        <f>IF(ISNA(MATCH(14,'Transfer Engine'!$C$2:$C$622,0)),"",INDEX('Compliance Database'!$D$2:$D$622,MATCH(14,'Transfer Engine'!$C$2:$C$622,0)))</f>
        <v/>
      </c>
      <c r="E23">
        <f>IF(ISNA(MATCH(14,'Transfer Engine'!$C$2:$C$622,0)),"",INDEX('Compliance Database'!$E$2:$E$622,MATCH(14,'Transfer Engine'!$C$2:$C$622,0)))</f>
        <v/>
      </c>
      <c r="F23">
        <f>IF(ISNA(MATCH(14,'Transfer Engine'!$C$2:$C$622,0)),"",INDEX('Compliance Database'!$F$2:$F$622,MATCH(14,'Transfer Engine'!$C$2:$C$622,0)))</f>
        <v/>
      </c>
      <c r="G23">
        <f>IF(ISNA(MATCH(14,'Transfer Engine'!$C$2:$C$622,0)),"",INDEX('Compliance Database'!$G$2:$G$622,MATCH(14,'Transfer Engine'!$C$2:$C$622,0)))</f>
        <v/>
      </c>
      <c r="H23">
        <f>IF(ISNA(MATCH(14,'Transfer Engine'!$C$2:$C$622,0)),"",INDEX('Compliance Database'!$H$2:$H$622,MATCH(14,'Transfer Engine'!$C$2:$C$622,0)))</f>
        <v/>
      </c>
      <c r="I23" s="8">
        <f>IF(ISNA(MATCH(14,'Transfer Engine'!$C$2:$C$622,0)),"",INDEX('Compliance Database'!$I$2:$I$622,MATCH(14,'Transfer Engine'!$C$2:$C$622,0)))</f>
        <v/>
      </c>
      <c r="J23" s="8">
        <f>IF(ISNA(MATCH(14,'Transfer Engine'!$C$2:$C$622,0)),"",INDEX('Compliance Database'!$J$2:$J$622,MATCH(14,'Transfer Engine'!$C$2:$C$622,0)))</f>
        <v/>
      </c>
      <c r="K23">
        <f>IF(ISNA(MATCH(14,'Transfer Engine'!$C$2:$C$622,0)),"",INDEX('Compliance Database'!$K$2:$K$622,MATCH(14,'Transfer Engine'!$C$2:$C$622,0)))</f>
        <v/>
      </c>
      <c r="L23" s="8">
        <f>IF(ISNA(MATCH(14,'Transfer Engine'!$C$2:$C$622,0)),"",INDEX('Compliance Database'!$L$2:$L$622,MATCH(14,'Transfer Engine'!$C$2:$C$622,0)))</f>
        <v/>
      </c>
      <c r="M23" s="8">
        <f>IF(ISNA(MATCH(14,'Transfer Engine'!$C$2:$C$622,0)),"",INDEX('Compliance Database'!$M$2:$M$622,MATCH(14,'Transfer Engine'!$C$2:$C$622,0)))</f>
        <v/>
      </c>
      <c r="N23" s="8">
        <f>IF(ISNA(MATCH(14,'Transfer Engine'!$C$2:$C$622,0)),"",INDEX('Compliance Database'!$N$2:$N$622,MATCH(14,'Transfer Engine'!$C$2:$C$622,0)))</f>
        <v/>
      </c>
      <c r="O23" s="8">
        <f>IF(ISNA(MATCH(14,'Transfer Engine'!$C$2:$C$622,0)),"",INDEX('Compliance Database'!$O$2:$O$622,MATCH(14,'Transfer Engine'!$C$2:$C$622,0)))</f>
        <v/>
      </c>
    </row>
    <row r="24">
      <c r="A24">
        <f>IF(ISNA(MATCH(15,'Transfer Engine'!$C$2:$C$622,0)),"",INDEX('Compliance Database'!$A$2:$A$622,MATCH(15,'Transfer Engine'!$C$2:$C$622,0)))</f>
        <v/>
      </c>
      <c r="B24">
        <f>IF(ISNA(MATCH(15,'Transfer Engine'!$C$2:$C$622,0)),"",INDEX('Compliance Database'!$B$2:$B$622,MATCH(15,'Transfer Engine'!$C$2:$C$622,0)))</f>
        <v/>
      </c>
      <c r="C24">
        <f>IF(ISNA(MATCH(15,'Transfer Engine'!$C$2:$C$622,0)),"",INDEX('Compliance Database'!$C$2:$C$622,MATCH(15,'Transfer Engine'!$C$2:$C$622,0)))</f>
        <v/>
      </c>
      <c r="D24" s="8">
        <f>IF(ISNA(MATCH(15,'Transfer Engine'!$C$2:$C$622,0)),"",INDEX('Compliance Database'!$D$2:$D$622,MATCH(15,'Transfer Engine'!$C$2:$C$622,0)))</f>
        <v/>
      </c>
      <c r="E24">
        <f>IF(ISNA(MATCH(15,'Transfer Engine'!$C$2:$C$622,0)),"",INDEX('Compliance Database'!$E$2:$E$622,MATCH(15,'Transfer Engine'!$C$2:$C$622,0)))</f>
        <v/>
      </c>
      <c r="F24">
        <f>IF(ISNA(MATCH(15,'Transfer Engine'!$C$2:$C$622,0)),"",INDEX('Compliance Database'!$F$2:$F$622,MATCH(15,'Transfer Engine'!$C$2:$C$622,0)))</f>
        <v/>
      </c>
      <c r="G24">
        <f>IF(ISNA(MATCH(15,'Transfer Engine'!$C$2:$C$622,0)),"",INDEX('Compliance Database'!$G$2:$G$622,MATCH(15,'Transfer Engine'!$C$2:$C$622,0)))</f>
        <v/>
      </c>
      <c r="H24">
        <f>IF(ISNA(MATCH(15,'Transfer Engine'!$C$2:$C$622,0)),"",INDEX('Compliance Database'!$H$2:$H$622,MATCH(15,'Transfer Engine'!$C$2:$C$622,0)))</f>
        <v/>
      </c>
      <c r="I24" s="8">
        <f>IF(ISNA(MATCH(15,'Transfer Engine'!$C$2:$C$622,0)),"",INDEX('Compliance Database'!$I$2:$I$622,MATCH(15,'Transfer Engine'!$C$2:$C$622,0)))</f>
        <v/>
      </c>
      <c r="J24" s="8">
        <f>IF(ISNA(MATCH(15,'Transfer Engine'!$C$2:$C$622,0)),"",INDEX('Compliance Database'!$J$2:$J$622,MATCH(15,'Transfer Engine'!$C$2:$C$622,0)))</f>
        <v/>
      </c>
      <c r="K24">
        <f>IF(ISNA(MATCH(15,'Transfer Engine'!$C$2:$C$622,0)),"",INDEX('Compliance Database'!$K$2:$K$622,MATCH(15,'Transfer Engine'!$C$2:$C$622,0)))</f>
        <v/>
      </c>
      <c r="L24" s="8">
        <f>IF(ISNA(MATCH(15,'Transfer Engine'!$C$2:$C$622,0)),"",INDEX('Compliance Database'!$L$2:$L$622,MATCH(15,'Transfer Engine'!$C$2:$C$622,0)))</f>
        <v/>
      </c>
      <c r="M24" s="8">
        <f>IF(ISNA(MATCH(15,'Transfer Engine'!$C$2:$C$622,0)),"",INDEX('Compliance Database'!$M$2:$M$622,MATCH(15,'Transfer Engine'!$C$2:$C$622,0)))</f>
        <v/>
      </c>
      <c r="N24" s="8">
        <f>IF(ISNA(MATCH(15,'Transfer Engine'!$C$2:$C$622,0)),"",INDEX('Compliance Database'!$N$2:$N$622,MATCH(15,'Transfer Engine'!$C$2:$C$622,0)))</f>
        <v/>
      </c>
      <c r="O24" s="8">
        <f>IF(ISNA(MATCH(15,'Transfer Engine'!$C$2:$C$622,0)),"",INDEX('Compliance Database'!$O$2:$O$622,MATCH(15,'Transfer Engine'!$C$2:$C$622,0)))</f>
        <v/>
      </c>
    </row>
    <row r="25">
      <c r="A25">
        <f>IF(ISNA(MATCH(16,'Transfer Engine'!$C$2:$C$622,0)),"",INDEX('Compliance Database'!$A$2:$A$622,MATCH(16,'Transfer Engine'!$C$2:$C$622,0)))</f>
        <v/>
      </c>
      <c r="B25">
        <f>IF(ISNA(MATCH(16,'Transfer Engine'!$C$2:$C$622,0)),"",INDEX('Compliance Database'!$B$2:$B$622,MATCH(16,'Transfer Engine'!$C$2:$C$622,0)))</f>
        <v/>
      </c>
      <c r="C25">
        <f>IF(ISNA(MATCH(16,'Transfer Engine'!$C$2:$C$622,0)),"",INDEX('Compliance Database'!$C$2:$C$622,MATCH(16,'Transfer Engine'!$C$2:$C$622,0)))</f>
        <v/>
      </c>
      <c r="D25" s="8">
        <f>IF(ISNA(MATCH(16,'Transfer Engine'!$C$2:$C$622,0)),"",INDEX('Compliance Database'!$D$2:$D$622,MATCH(16,'Transfer Engine'!$C$2:$C$622,0)))</f>
        <v/>
      </c>
      <c r="E25">
        <f>IF(ISNA(MATCH(16,'Transfer Engine'!$C$2:$C$622,0)),"",INDEX('Compliance Database'!$E$2:$E$622,MATCH(16,'Transfer Engine'!$C$2:$C$622,0)))</f>
        <v/>
      </c>
      <c r="F25">
        <f>IF(ISNA(MATCH(16,'Transfer Engine'!$C$2:$C$622,0)),"",INDEX('Compliance Database'!$F$2:$F$622,MATCH(16,'Transfer Engine'!$C$2:$C$622,0)))</f>
        <v/>
      </c>
      <c r="G25">
        <f>IF(ISNA(MATCH(16,'Transfer Engine'!$C$2:$C$622,0)),"",INDEX('Compliance Database'!$G$2:$G$622,MATCH(16,'Transfer Engine'!$C$2:$C$622,0)))</f>
        <v/>
      </c>
      <c r="H25">
        <f>IF(ISNA(MATCH(16,'Transfer Engine'!$C$2:$C$622,0)),"",INDEX('Compliance Database'!$H$2:$H$622,MATCH(16,'Transfer Engine'!$C$2:$C$622,0)))</f>
        <v/>
      </c>
      <c r="I25" s="8">
        <f>IF(ISNA(MATCH(16,'Transfer Engine'!$C$2:$C$622,0)),"",INDEX('Compliance Database'!$I$2:$I$622,MATCH(16,'Transfer Engine'!$C$2:$C$622,0)))</f>
        <v/>
      </c>
      <c r="J25" s="8">
        <f>IF(ISNA(MATCH(16,'Transfer Engine'!$C$2:$C$622,0)),"",INDEX('Compliance Database'!$J$2:$J$622,MATCH(16,'Transfer Engine'!$C$2:$C$622,0)))</f>
        <v/>
      </c>
      <c r="K25">
        <f>IF(ISNA(MATCH(16,'Transfer Engine'!$C$2:$C$622,0)),"",INDEX('Compliance Database'!$K$2:$K$622,MATCH(16,'Transfer Engine'!$C$2:$C$622,0)))</f>
        <v/>
      </c>
      <c r="L25" s="8">
        <f>IF(ISNA(MATCH(16,'Transfer Engine'!$C$2:$C$622,0)),"",INDEX('Compliance Database'!$L$2:$L$622,MATCH(16,'Transfer Engine'!$C$2:$C$622,0)))</f>
        <v/>
      </c>
      <c r="M25" s="8">
        <f>IF(ISNA(MATCH(16,'Transfer Engine'!$C$2:$C$622,0)),"",INDEX('Compliance Database'!$M$2:$M$622,MATCH(16,'Transfer Engine'!$C$2:$C$622,0)))</f>
        <v/>
      </c>
      <c r="N25" s="8">
        <f>IF(ISNA(MATCH(16,'Transfer Engine'!$C$2:$C$622,0)),"",INDEX('Compliance Database'!$N$2:$N$622,MATCH(16,'Transfer Engine'!$C$2:$C$622,0)))</f>
        <v/>
      </c>
      <c r="O25" s="8">
        <f>IF(ISNA(MATCH(16,'Transfer Engine'!$C$2:$C$622,0)),"",INDEX('Compliance Database'!$O$2:$O$622,MATCH(16,'Transfer Engine'!$C$2:$C$622,0)))</f>
        <v/>
      </c>
    </row>
    <row r="26">
      <c r="A26">
        <f>IF(ISNA(MATCH(17,'Transfer Engine'!$C$2:$C$622,0)),"",INDEX('Compliance Database'!$A$2:$A$622,MATCH(17,'Transfer Engine'!$C$2:$C$622,0)))</f>
        <v/>
      </c>
      <c r="B26">
        <f>IF(ISNA(MATCH(17,'Transfer Engine'!$C$2:$C$622,0)),"",INDEX('Compliance Database'!$B$2:$B$622,MATCH(17,'Transfer Engine'!$C$2:$C$622,0)))</f>
        <v/>
      </c>
      <c r="C26">
        <f>IF(ISNA(MATCH(17,'Transfer Engine'!$C$2:$C$622,0)),"",INDEX('Compliance Database'!$C$2:$C$622,MATCH(17,'Transfer Engine'!$C$2:$C$622,0)))</f>
        <v/>
      </c>
      <c r="D26" s="8">
        <f>IF(ISNA(MATCH(17,'Transfer Engine'!$C$2:$C$622,0)),"",INDEX('Compliance Database'!$D$2:$D$622,MATCH(17,'Transfer Engine'!$C$2:$C$622,0)))</f>
        <v/>
      </c>
      <c r="E26">
        <f>IF(ISNA(MATCH(17,'Transfer Engine'!$C$2:$C$622,0)),"",INDEX('Compliance Database'!$E$2:$E$622,MATCH(17,'Transfer Engine'!$C$2:$C$622,0)))</f>
        <v/>
      </c>
      <c r="F26">
        <f>IF(ISNA(MATCH(17,'Transfer Engine'!$C$2:$C$622,0)),"",INDEX('Compliance Database'!$F$2:$F$622,MATCH(17,'Transfer Engine'!$C$2:$C$622,0)))</f>
        <v/>
      </c>
      <c r="G26">
        <f>IF(ISNA(MATCH(17,'Transfer Engine'!$C$2:$C$622,0)),"",INDEX('Compliance Database'!$G$2:$G$622,MATCH(17,'Transfer Engine'!$C$2:$C$622,0)))</f>
        <v/>
      </c>
      <c r="H26">
        <f>IF(ISNA(MATCH(17,'Transfer Engine'!$C$2:$C$622,0)),"",INDEX('Compliance Database'!$H$2:$H$622,MATCH(17,'Transfer Engine'!$C$2:$C$622,0)))</f>
        <v/>
      </c>
      <c r="I26" s="8">
        <f>IF(ISNA(MATCH(17,'Transfer Engine'!$C$2:$C$622,0)),"",INDEX('Compliance Database'!$I$2:$I$622,MATCH(17,'Transfer Engine'!$C$2:$C$622,0)))</f>
        <v/>
      </c>
      <c r="J26" s="8">
        <f>IF(ISNA(MATCH(17,'Transfer Engine'!$C$2:$C$622,0)),"",INDEX('Compliance Database'!$J$2:$J$622,MATCH(17,'Transfer Engine'!$C$2:$C$622,0)))</f>
        <v/>
      </c>
      <c r="K26">
        <f>IF(ISNA(MATCH(17,'Transfer Engine'!$C$2:$C$622,0)),"",INDEX('Compliance Database'!$K$2:$K$622,MATCH(17,'Transfer Engine'!$C$2:$C$622,0)))</f>
        <v/>
      </c>
      <c r="L26" s="8">
        <f>IF(ISNA(MATCH(17,'Transfer Engine'!$C$2:$C$622,0)),"",INDEX('Compliance Database'!$L$2:$L$622,MATCH(17,'Transfer Engine'!$C$2:$C$622,0)))</f>
        <v/>
      </c>
      <c r="M26" s="8">
        <f>IF(ISNA(MATCH(17,'Transfer Engine'!$C$2:$C$622,0)),"",INDEX('Compliance Database'!$M$2:$M$622,MATCH(17,'Transfer Engine'!$C$2:$C$622,0)))</f>
        <v/>
      </c>
      <c r="N26" s="8">
        <f>IF(ISNA(MATCH(17,'Transfer Engine'!$C$2:$C$622,0)),"",INDEX('Compliance Database'!$N$2:$N$622,MATCH(17,'Transfer Engine'!$C$2:$C$622,0)))</f>
        <v/>
      </c>
      <c r="O26" s="8">
        <f>IF(ISNA(MATCH(17,'Transfer Engine'!$C$2:$C$622,0)),"",INDEX('Compliance Database'!$O$2:$O$622,MATCH(17,'Transfer Engine'!$C$2:$C$622,0)))</f>
        <v/>
      </c>
    </row>
    <row r="27">
      <c r="A27">
        <f>IF(ISNA(MATCH(18,'Transfer Engine'!$C$2:$C$622,0)),"",INDEX('Compliance Database'!$A$2:$A$622,MATCH(18,'Transfer Engine'!$C$2:$C$622,0)))</f>
        <v/>
      </c>
      <c r="B27">
        <f>IF(ISNA(MATCH(18,'Transfer Engine'!$C$2:$C$622,0)),"",INDEX('Compliance Database'!$B$2:$B$622,MATCH(18,'Transfer Engine'!$C$2:$C$622,0)))</f>
        <v/>
      </c>
      <c r="C27">
        <f>IF(ISNA(MATCH(18,'Transfer Engine'!$C$2:$C$622,0)),"",INDEX('Compliance Database'!$C$2:$C$622,MATCH(18,'Transfer Engine'!$C$2:$C$622,0)))</f>
        <v/>
      </c>
      <c r="D27" s="8">
        <f>IF(ISNA(MATCH(18,'Transfer Engine'!$C$2:$C$622,0)),"",INDEX('Compliance Database'!$D$2:$D$622,MATCH(18,'Transfer Engine'!$C$2:$C$622,0)))</f>
        <v/>
      </c>
      <c r="E27">
        <f>IF(ISNA(MATCH(18,'Transfer Engine'!$C$2:$C$622,0)),"",INDEX('Compliance Database'!$E$2:$E$622,MATCH(18,'Transfer Engine'!$C$2:$C$622,0)))</f>
        <v/>
      </c>
      <c r="F27">
        <f>IF(ISNA(MATCH(18,'Transfer Engine'!$C$2:$C$622,0)),"",INDEX('Compliance Database'!$F$2:$F$622,MATCH(18,'Transfer Engine'!$C$2:$C$622,0)))</f>
        <v/>
      </c>
      <c r="G27">
        <f>IF(ISNA(MATCH(18,'Transfer Engine'!$C$2:$C$622,0)),"",INDEX('Compliance Database'!$G$2:$G$622,MATCH(18,'Transfer Engine'!$C$2:$C$622,0)))</f>
        <v/>
      </c>
      <c r="H27">
        <f>IF(ISNA(MATCH(18,'Transfer Engine'!$C$2:$C$622,0)),"",INDEX('Compliance Database'!$H$2:$H$622,MATCH(18,'Transfer Engine'!$C$2:$C$622,0)))</f>
        <v/>
      </c>
      <c r="I27" s="8">
        <f>IF(ISNA(MATCH(18,'Transfer Engine'!$C$2:$C$622,0)),"",INDEX('Compliance Database'!$I$2:$I$622,MATCH(18,'Transfer Engine'!$C$2:$C$622,0)))</f>
        <v/>
      </c>
      <c r="J27" s="8">
        <f>IF(ISNA(MATCH(18,'Transfer Engine'!$C$2:$C$622,0)),"",INDEX('Compliance Database'!$J$2:$J$622,MATCH(18,'Transfer Engine'!$C$2:$C$622,0)))</f>
        <v/>
      </c>
      <c r="K27">
        <f>IF(ISNA(MATCH(18,'Transfer Engine'!$C$2:$C$622,0)),"",INDEX('Compliance Database'!$K$2:$K$622,MATCH(18,'Transfer Engine'!$C$2:$C$622,0)))</f>
        <v/>
      </c>
      <c r="L27" s="8">
        <f>IF(ISNA(MATCH(18,'Transfer Engine'!$C$2:$C$622,0)),"",INDEX('Compliance Database'!$L$2:$L$622,MATCH(18,'Transfer Engine'!$C$2:$C$622,0)))</f>
        <v/>
      </c>
      <c r="M27" s="8">
        <f>IF(ISNA(MATCH(18,'Transfer Engine'!$C$2:$C$622,0)),"",INDEX('Compliance Database'!$M$2:$M$622,MATCH(18,'Transfer Engine'!$C$2:$C$622,0)))</f>
        <v/>
      </c>
      <c r="N27" s="8">
        <f>IF(ISNA(MATCH(18,'Transfer Engine'!$C$2:$C$622,0)),"",INDEX('Compliance Database'!$N$2:$N$622,MATCH(18,'Transfer Engine'!$C$2:$C$622,0)))</f>
        <v/>
      </c>
      <c r="O27" s="8">
        <f>IF(ISNA(MATCH(18,'Transfer Engine'!$C$2:$C$622,0)),"",INDEX('Compliance Database'!$O$2:$O$622,MATCH(18,'Transfer Engine'!$C$2:$C$622,0)))</f>
        <v/>
      </c>
    </row>
    <row r="28">
      <c r="A28">
        <f>IF(ISNA(MATCH(19,'Transfer Engine'!$C$2:$C$622,0)),"",INDEX('Compliance Database'!$A$2:$A$622,MATCH(19,'Transfer Engine'!$C$2:$C$622,0)))</f>
        <v/>
      </c>
      <c r="B28">
        <f>IF(ISNA(MATCH(19,'Transfer Engine'!$C$2:$C$622,0)),"",INDEX('Compliance Database'!$B$2:$B$622,MATCH(19,'Transfer Engine'!$C$2:$C$622,0)))</f>
        <v/>
      </c>
      <c r="C28">
        <f>IF(ISNA(MATCH(19,'Transfer Engine'!$C$2:$C$622,0)),"",INDEX('Compliance Database'!$C$2:$C$622,MATCH(19,'Transfer Engine'!$C$2:$C$622,0)))</f>
        <v/>
      </c>
      <c r="D28" s="8">
        <f>IF(ISNA(MATCH(19,'Transfer Engine'!$C$2:$C$622,0)),"",INDEX('Compliance Database'!$D$2:$D$622,MATCH(19,'Transfer Engine'!$C$2:$C$622,0)))</f>
        <v/>
      </c>
      <c r="E28">
        <f>IF(ISNA(MATCH(19,'Transfer Engine'!$C$2:$C$622,0)),"",INDEX('Compliance Database'!$E$2:$E$622,MATCH(19,'Transfer Engine'!$C$2:$C$622,0)))</f>
        <v/>
      </c>
      <c r="F28">
        <f>IF(ISNA(MATCH(19,'Transfer Engine'!$C$2:$C$622,0)),"",INDEX('Compliance Database'!$F$2:$F$622,MATCH(19,'Transfer Engine'!$C$2:$C$622,0)))</f>
        <v/>
      </c>
      <c r="G28">
        <f>IF(ISNA(MATCH(19,'Transfer Engine'!$C$2:$C$622,0)),"",INDEX('Compliance Database'!$G$2:$G$622,MATCH(19,'Transfer Engine'!$C$2:$C$622,0)))</f>
        <v/>
      </c>
      <c r="H28">
        <f>IF(ISNA(MATCH(19,'Transfer Engine'!$C$2:$C$622,0)),"",INDEX('Compliance Database'!$H$2:$H$622,MATCH(19,'Transfer Engine'!$C$2:$C$622,0)))</f>
        <v/>
      </c>
      <c r="I28" s="8">
        <f>IF(ISNA(MATCH(19,'Transfer Engine'!$C$2:$C$622,0)),"",INDEX('Compliance Database'!$I$2:$I$622,MATCH(19,'Transfer Engine'!$C$2:$C$622,0)))</f>
        <v/>
      </c>
      <c r="J28" s="8">
        <f>IF(ISNA(MATCH(19,'Transfer Engine'!$C$2:$C$622,0)),"",INDEX('Compliance Database'!$J$2:$J$622,MATCH(19,'Transfer Engine'!$C$2:$C$622,0)))</f>
        <v/>
      </c>
      <c r="K28">
        <f>IF(ISNA(MATCH(19,'Transfer Engine'!$C$2:$C$622,0)),"",INDEX('Compliance Database'!$K$2:$K$622,MATCH(19,'Transfer Engine'!$C$2:$C$622,0)))</f>
        <v/>
      </c>
      <c r="L28" s="8">
        <f>IF(ISNA(MATCH(19,'Transfer Engine'!$C$2:$C$622,0)),"",INDEX('Compliance Database'!$L$2:$L$622,MATCH(19,'Transfer Engine'!$C$2:$C$622,0)))</f>
        <v/>
      </c>
      <c r="M28" s="8">
        <f>IF(ISNA(MATCH(19,'Transfer Engine'!$C$2:$C$622,0)),"",INDEX('Compliance Database'!$M$2:$M$622,MATCH(19,'Transfer Engine'!$C$2:$C$622,0)))</f>
        <v/>
      </c>
      <c r="N28" s="8">
        <f>IF(ISNA(MATCH(19,'Transfer Engine'!$C$2:$C$622,0)),"",INDEX('Compliance Database'!$N$2:$N$622,MATCH(19,'Transfer Engine'!$C$2:$C$622,0)))</f>
        <v/>
      </c>
      <c r="O28" s="8">
        <f>IF(ISNA(MATCH(19,'Transfer Engine'!$C$2:$C$622,0)),"",INDEX('Compliance Database'!$O$2:$O$622,MATCH(19,'Transfer Engine'!$C$2:$C$622,0)))</f>
        <v/>
      </c>
    </row>
    <row r="29">
      <c r="A29">
        <f>IF(ISNA(MATCH(20,'Transfer Engine'!$C$2:$C$622,0)),"",INDEX('Compliance Database'!$A$2:$A$622,MATCH(20,'Transfer Engine'!$C$2:$C$622,0)))</f>
        <v/>
      </c>
      <c r="B29">
        <f>IF(ISNA(MATCH(20,'Transfer Engine'!$C$2:$C$622,0)),"",INDEX('Compliance Database'!$B$2:$B$622,MATCH(20,'Transfer Engine'!$C$2:$C$622,0)))</f>
        <v/>
      </c>
      <c r="C29">
        <f>IF(ISNA(MATCH(20,'Transfer Engine'!$C$2:$C$622,0)),"",INDEX('Compliance Database'!$C$2:$C$622,MATCH(20,'Transfer Engine'!$C$2:$C$622,0)))</f>
        <v/>
      </c>
      <c r="D29" s="8">
        <f>IF(ISNA(MATCH(20,'Transfer Engine'!$C$2:$C$622,0)),"",INDEX('Compliance Database'!$D$2:$D$622,MATCH(20,'Transfer Engine'!$C$2:$C$622,0)))</f>
        <v/>
      </c>
      <c r="E29">
        <f>IF(ISNA(MATCH(20,'Transfer Engine'!$C$2:$C$622,0)),"",INDEX('Compliance Database'!$E$2:$E$622,MATCH(20,'Transfer Engine'!$C$2:$C$622,0)))</f>
        <v/>
      </c>
      <c r="F29">
        <f>IF(ISNA(MATCH(20,'Transfer Engine'!$C$2:$C$622,0)),"",INDEX('Compliance Database'!$F$2:$F$622,MATCH(20,'Transfer Engine'!$C$2:$C$622,0)))</f>
        <v/>
      </c>
      <c r="G29">
        <f>IF(ISNA(MATCH(20,'Transfer Engine'!$C$2:$C$622,0)),"",INDEX('Compliance Database'!$G$2:$G$622,MATCH(20,'Transfer Engine'!$C$2:$C$622,0)))</f>
        <v/>
      </c>
      <c r="H29">
        <f>IF(ISNA(MATCH(20,'Transfer Engine'!$C$2:$C$622,0)),"",INDEX('Compliance Database'!$H$2:$H$622,MATCH(20,'Transfer Engine'!$C$2:$C$622,0)))</f>
        <v/>
      </c>
      <c r="I29" s="8">
        <f>IF(ISNA(MATCH(20,'Transfer Engine'!$C$2:$C$622,0)),"",INDEX('Compliance Database'!$I$2:$I$622,MATCH(20,'Transfer Engine'!$C$2:$C$622,0)))</f>
        <v/>
      </c>
      <c r="J29" s="8">
        <f>IF(ISNA(MATCH(20,'Transfer Engine'!$C$2:$C$622,0)),"",INDEX('Compliance Database'!$J$2:$J$622,MATCH(20,'Transfer Engine'!$C$2:$C$622,0)))</f>
        <v/>
      </c>
      <c r="K29">
        <f>IF(ISNA(MATCH(20,'Transfer Engine'!$C$2:$C$622,0)),"",INDEX('Compliance Database'!$K$2:$K$622,MATCH(20,'Transfer Engine'!$C$2:$C$622,0)))</f>
        <v/>
      </c>
      <c r="L29" s="8">
        <f>IF(ISNA(MATCH(20,'Transfer Engine'!$C$2:$C$622,0)),"",INDEX('Compliance Database'!$L$2:$L$622,MATCH(20,'Transfer Engine'!$C$2:$C$622,0)))</f>
        <v/>
      </c>
      <c r="M29" s="8">
        <f>IF(ISNA(MATCH(20,'Transfer Engine'!$C$2:$C$622,0)),"",INDEX('Compliance Database'!$M$2:$M$622,MATCH(20,'Transfer Engine'!$C$2:$C$622,0)))</f>
        <v/>
      </c>
      <c r="N29" s="8">
        <f>IF(ISNA(MATCH(20,'Transfer Engine'!$C$2:$C$622,0)),"",INDEX('Compliance Database'!$N$2:$N$622,MATCH(20,'Transfer Engine'!$C$2:$C$622,0)))</f>
        <v/>
      </c>
      <c r="O29" s="8">
        <f>IF(ISNA(MATCH(20,'Transfer Engine'!$C$2:$C$622,0)),"",INDEX('Compliance Database'!$O$2:$O$622,MATCH(20,'Transfer Engine'!$C$2:$C$622,0)))</f>
        <v/>
      </c>
    </row>
    <row r="30">
      <c r="A30">
        <f>IF(ISNA(MATCH(21,'Transfer Engine'!$C$2:$C$622,0)),"",INDEX('Compliance Database'!$A$2:$A$622,MATCH(21,'Transfer Engine'!$C$2:$C$622,0)))</f>
        <v/>
      </c>
      <c r="B30">
        <f>IF(ISNA(MATCH(21,'Transfer Engine'!$C$2:$C$622,0)),"",INDEX('Compliance Database'!$B$2:$B$622,MATCH(21,'Transfer Engine'!$C$2:$C$622,0)))</f>
        <v/>
      </c>
      <c r="C30">
        <f>IF(ISNA(MATCH(21,'Transfer Engine'!$C$2:$C$622,0)),"",INDEX('Compliance Database'!$C$2:$C$622,MATCH(21,'Transfer Engine'!$C$2:$C$622,0)))</f>
        <v/>
      </c>
      <c r="D30" s="8">
        <f>IF(ISNA(MATCH(21,'Transfer Engine'!$C$2:$C$622,0)),"",INDEX('Compliance Database'!$D$2:$D$622,MATCH(21,'Transfer Engine'!$C$2:$C$622,0)))</f>
        <v/>
      </c>
      <c r="E30">
        <f>IF(ISNA(MATCH(21,'Transfer Engine'!$C$2:$C$622,0)),"",INDEX('Compliance Database'!$E$2:$E$622,MATCH(21,'Transfer Engine'!$C$2:$C$622,0)))</f>
        <v/>
      </c>
      <c r="F30">
        <f>IF(ISNA(MATCH(21,'Transfer Engine'!$C$2:$C$622,0)),"",INDEX('Compliance Database'!$F$2:$F$622,MATCH(21,'Transfer Engine'!$C$2:$C$622,0)))</f>
        <v/>
      </c>
      <c r="G30">
        <f>IF(ISNA(MATCH(21,'Transfer Engine'!$C$2:$C$622,0)),"",INDEX('Compliance Database'!$G$2:$G$622,MATCH(21,'Transfer Engine'!$C$2:$C$622,0)))</f>
        <v/>
      </c>
      <c r="H30">
        <f>IF(ISNA(MATCH(21,'Transfer Engine'!$C$2:$C$622,0)),"",INDEX('Compliance Database'!$H$2:$H$622,MATCH(21,'Transfer Engine'!$C$2:$C$622,0)))</f>
        <v/>
      </c>
      <c r="I30" s="8">
        <f>IF(ISNA(MATCH(21,'Transfer Engine'!$C$2:$C$622,0)),"",INDEX('Compliance Database'!$I$2:$I$622,MATCH(21,'Transfer Engine'!$C$2:$C$622,0)))</f>
        <v/>
      </c>
      <c r="J30" s="8">
        <f>IF(ISNA(MATCH(21,'Transfer Engine'!$C$2:$C$622,0)),"",INDEX('Compliance Database'!$J$2:$J$622,MATCH(21,'Transfer Engine'!$C$2:$C$622,0)))</f>
        <v/>
      </c>
      <c r="K30">
        <f>IF(ISNA(MATCH(21,'Transfer Engine'!$C$2:$C$622,0)),"",INDEX('Compliance Database'!$K$2:$K$622,MATCH(21,'Transfer Engine'!$C$2:$C$622,0)))</f>
        <v/>
      </c>
      <c r="L30" s="8">
        <f>IF(ISNA(MATCH(21,'Transfer Engine'!$C$2:$C$622,0)),"",INDEX('Compliance Database'!$L$2:$L$622,MATCH(21,'Transfer Engine'!$C$2:$C$622,0)))</f>
        <v/>
      </c>
      <c r="M30" s="8">
        <f>IF(ISNA(MATCH(21,'Transfer Engine'!$C$2:$C$622,0)),"",INDEX('Compliance Database'!$M$2:$M$622,MATCH(21,'Transfer Engine'!$C$2:$C$622,0)))</f>
        <v/>
      </c>
      <c r="N30" s="8">
        <f>IF(ISNA(MATCH(21,'Transfer Engine'!$C$2:$C$622,0)),"",INDEX('Compliance Database'!$N$2:$N$622,MATCH(21,'Transfer Engine'!$C$2:$C$622,0)))</f>
        <v/>
      </c>
      <c r="O30" s="8">
        <f>IF(ISNA(MATCH(21,'Transfer Engine'!$C$2:$C$622,0)),"",INDEX('Compliance Database'!$O$2:$O$622,MATCH(21,'Transfer Engine'!$C$2:$C$622,0)))</f>
        <v/>
      </c>
    </row>
    <row r="31">
      <c r="A31">
        <f>IF(ISNA(MATCH(22,'Transfer Engine'!$C$2:$C$622,0)),"",INDEX('Compliance Database'!$A$2:$A$622,MATCH(22,'Transfer Engine'!$C$2:$C$622,0)))</f>
        <v/>
      </c>
      <c r="B31">
        <f>IF(ISNA(MATCH(22,'Transfer Engine'!$C$2:$C$622,0)),"",INDEX('Compliance Database'!$B$2:$B$622,MATCH(22,'Transfer Engine'!$C$2:$C$622,0)))</f>
        <v/>
      </c>
      <c r="C31">
        <f>IF(ISNA(MATCH(22,'Transfer Engine'!$C$2:$C$622,0)),"",INDEX('Compliance Database'!$C$2:$C$622,MATCH(22,'Transfer Engine'!$C$2:$C$622,0)))</f>
        <v/>
      </c>
      <c r="D31" s="8">
        <f>IF(ISNA(MATCH(22,'Transfer Engine'!$C$2:$C$622,0)),"",INDEX('Compliance Database'!$D$2:$D$622,MATCH(22,'Transfer Engine'!$C$2:$C$622,0)))</f>
        <v/>
      </c>
      <c r="E31">
        <f>IF(ISNA(MATCH(22,'Transfer Engine'!$C$2:$C$622,0)),"",INDEX('Compliance Database'!$E$2:$E$622,MATCH(22,'Transfer Engine'!$C$2:$C$622,0)))</f>
        <v/>
      </c>
      <c r="F31">
        <f>IF(ISNA(MATCH(22,'Transfer Engine'!$C$2:$C$622,0)),"",INDEX('Compliance Database'!$F$2:$F$622,MATCH(22,'Transfer Engine'!$C$2:$C$622,0)))</f>
        <v/>
      </c>
      <c r="G31">
        <f>IF(ISNA(MATCH(22,'Transfer Engine'!$C$2:$C$622,0)),"",INDEX('Compliance Database'!$G$2:$G$622,MATCH(22,'Transfer Engine'!$C$2:$C$622,0)))</f>
        <v/>
      </c>
      <c r="H31">
        <f>IF(ISNA(MATCH(22,'Transfer Engine'!$C$2:$C$622,0)),"",INDEX('Compliance Database'!$H$2:$H$622,MATCH(22,'Transfer Engine'!$C$2:$C$622,0)))</f>
        <v/>
      </c>
      <c r="I31" s="8">
        <f>IF(ISNA(MATCH(22,'Transfer Engine'!$C$2:$C$622,0)),"",INDEX('Compliance Database'!$I$2:$I$622,MATCH(22,'Transfer Engine'!$C$2:$C$622,0)))</f>
        <v/>
      </c>
      <c r="J31" s="8">
        <f>IF(ISNA(MATCH(22,'Transfer Engine'!$C$2:$C$622,0)),"",INDEX('Compliance Database'!$J$2:$J$622,MATCH(22,'Transfer Engine'!$C$2:$C$622,0)))</f>
        <v/>
      </c>
      <c r="K31">
        <f>IF(ISNA(MATCH(22,'Transfer Engine'!$C$2:$C$622,0)),"",INDEX('Compliance Database'!$K$2:$K$622,MATCH(22,'Transfer Engine'!$C$2:$C$622,0)))</f>
        <v/>
      </c>
      <c r="L31" s="8">
        <f>IF(ISNA(MATCH(22,'Transfer Engine'!$C$2:$C$622,0)),"",INDEX('Compliance Database'!$L$2:$L$622,MATCH(22,'Transfer Engine'!$C$2:$C$622,0)))</f>
        <v/>
      </c>
      <c r="M31" s="8">
        <f>IF(ISNA(MATCH(22,'Transfer Engine'!$C$2:$C$622,0)),"",INDEX('Compliance Database'!$M$2:$M$622,MATCH(22,'Transfer Engine'!$C$2:$C$622,0)))</f>
        <v/>
      </c>
      <c r="N31" s="8">
        <f>IF(ISNA(MATCH(22,'Transfer Engine'!$C$2:$C$622,0)),"",INDEX('Compliance Database'!$N$2:$N$622,MATCH(22,'Transfer Engine'!$C$2:$C$622,0)))</f>
        <v/>
      </c>
      <c r="O31" s="8">
        <f>IF(ISNA(MATCH(22,'Transfer Engine'!$C$2:$C$622,0)),"",INDEX('Compliance Database'!$O$2:$O$622,MATCH(22,'Transfer Engine'!$C$2:$C$622,0)))</f>
        <v/>
      </c>
    </row>
    <row r="32">
      <c r="A32">
        <f>IF(ISNA(MATCH(23,'Transfer Engine'!$C$2:$C$622,0)),"",INDEX('Compliance Database'!$A$2:$A$622,MATCH(23,'Transfer Engine'!$C$2:$C$622,0)))</f>
        <v/>
      </c>
      <c r="B32">
        <f>IF(ISNA(MATCH(23,'Transfer Engine'!$C$2:$C$622,0)),"",INDEX('Compliance Database'!$B$2:$B$622,MATCH(23,'Transfer Engine'!$C$2:$C$622,0)))</f>
        <v/>
      </c>
      <c r="C32">
        <f>IF(ISNA(MATCH(23,'Transfer Engine'!$C$2:$C$622,0)),"",INDEX('Compliance Database'!$C$2:$C$622,MATCH(23,'Transfer Engine'!$C$2:$C$622,0)))</f>
        <v/>
      </c>
      <c r="D32" s="8">
        <f>IF(ISNA(MATCH(23,'Transfer Engine'!$C$2:$C$622,0)),"",INDEX('Compliance Database'!$D$2:$D$622,MATCH(23,'Transfer Engine'!$C$2:$C$622,0)))</f>
        <v/>
      </c>
      <c r="E32">
        <f>IF(ISNA(MATCH(23,'Transfer Engine'!$C$2:$C$622,0)),"",INDEX('Compliance Database'!$E$2:$E$622,MATCH(23,'Transfer Engine'!$C$2:$C$622,0)))</f>
        <v/>
      </c>
      <c r="F32">
        <f>IF(ISNA(MATCH(23,'Transfer Engine'!$C$2:$C$622,0)),"",INDEX('Compliance Database'!$F$2:$F$622,MATCH(23,'Transfer Engine'!$C$2:$C$622,0)))</f>
        <v/>
      </c>
      <c r="G32">
        <f>IF(ISNA(MATCH(23,'Transfer Engine'!$C$2:$C$622,0)),"",INDEX('Compliance Database'!$G$2:$G$622,MATCH(23,'Transfer Engine'!$C$2:$C$622,0)))</f>
        <v/>
      </c>
      <c r="H32">
        <f>IF(ISNA(MATCH(23,'Transfer Engine'!$C$2:$C$622,0)),"",INDEX('Compliance Database'!$H$2:$H$622,MATCH(23,'Transfer Engine'!$C$2:$C$622,0)))</f>
        <v/>
      </c>
      <c r="I32" s="8">
        <f>IF(ISNA(MATCH(23,'Transfer Engine'!$C$2:$C$622,0)),"",INDEX('Compliance Database'!$I$2:$I$622,MATCH(23,'Transfer Engine'!$C$2:$C$622,0)))</f>
        <v/>
      </c>
      <c r="J32" s="8">
        <f>IF(ISNA(MATCH(23,'Transfer Engine'!$C$2:$C$622,0)),"",INDEX('Compliance Database'!$J$2:$J$622,MATCH(23,'Transfer Engine'!$C$2:$C$622,0)))</f>
        <v/>
      </c>
      <c r="K32">
        <f>IF(ISNA(MATCH(23,'Transfer Engine'!$C$2:$C$622,0)),"",INDEX('Compliance Database'!$K$2:$K$622,MATCH(23,'Transfer Engine'!$C$2:$C$622,0)))</f>
        <v/>
      </c>
      <c r="L32" s="8">
        <f>IF(ISNA(MATCH(23,'Transfer Engine'!$C$2:$C$622,0)),"",INDEX('Compliance Database'!$L$2:$L$622,MATCH(23,'Transfer Engine'!$C$2:$C$622,0)))</f>
        <v/>
      </c>
      <c r="M32" s="8">
        <f>IF(ISNA(MATCH(23,'Transfer Engine'!$C$2:$C$622,0)),"",INDEX('Compliance Database'!$M$2:$M$622,MATCH(23,'Transfer Engine'!$C$2:$C$622,0)))</f>
        <v/>
      </c>
      <c r="N32" s="8">
        <f>IF(ISNA(MATCH(23,'Transfer Engine'!$C$2:$C$622,0)),"",INDEX('Compliance Database'!$N$2:$N$622,MATCH(23,'Transfer Engine'!$C$2:$C$622,0)))</f>
        <v/>
      </c>
      <c r="O32" s="8">
        <f>IF(ISNA(MATCH(23,'Transfer Engine'!$C$2:$C$622,0)),"",INDEX('Compliance Database'!$O$2:$O$622,MATCH(23,'Transfer Engine'!$C$2:$C$622,0)))</f>
        <v/>
      </c>
    </row>
    <row r="33">
      <c r="A33">
        <f>IF(ISNA(MATCH(24,'Transfer Engine'!$C$2:$C$622,0)),"",INDEX('Compliance Database'!$A$2:$A$622,MATCH(24,'Transfer Engine'!$C$2:$C$622,0)))</f>
        <v/>
      </c>
      <c r="B33">
        <f>IF(ISNA(MATCH(24,'Transfer Engine'!$C$2:$C$622,0)),"",INDEX('Compliance Database'!$B$2:$B$622,MATCH(24,'Transfer Engine'!$C$2:$C$622,0)))</f>
        <v/>
      </c>
      <c r="C33">
        <f>IF(ISNA(MATCH(24,'Transfer Engine'!$C$2:$C$622,0)),"",INDEX('Compliance Database'!$C$2:$C$622,MATCH(24,'Transfer Engine'!$C$2:$C$622,0)))</f>
        <v/>
      </c>
      <c r="D33" s="8">
        <f>IF(ISNA(MATCH(24,'Transfer Engine'!$C$2:$C$622,0)),"",INDEX('Compliance Database'!$D$2:$D$622,MATCH(24,'Transfer Engine'!$C$2:$C$622,0)))</f>
        <v/>
      </c>
      <c r="E33">
        <f>IF(ISNA(MATCH(24,'Transfer Engine'!$C$2:$C$622,0)),"",INDEX('Compliance Database'!$E$2:$E$622,MATCH(24,'Transfer Engine'!$C$2:$C$622,0)))</f>
        <v/>
      </c>
      <c r="F33">
        <f>IF(ISNA(MATCH(24,'Transfer Engine'!$C$2:$C$622,0)),"",INDEX('Compliance Database'!$F$2:$F$622,MATCH(24,'Transfer Engine'!$C$2:$C$622,0)))</f>
        <v/>
      </c>
      <c r="G33">
        <f>IF(ISNA(MATCH(24,'Transfer Engine'!$C$2:$C$622,0)),"",INDEX('Compliance Database'!$G$2:$G$622,MATCH(24,'Transfer Engine'!$C$2:$C$622,0)))</f>
        <v/>
      </c>
      <c r="H33">
        <f>IF(ISNA(MATCH(24,'Transfer Engine'!$C$2:$C$622,0)),"",INDEX('Compliance Database'!$H$2:$H$622,MATCH(24,'Transfer Engine'!$C$2:$C$622,0)))</f>
        <v/>
      </c>
      <c r="I33" s="8">
        <f>IF(ISNA(MATCH(24,'Transfer Engine'!$C$2:$C$622,0)),"",INDEX('Compliance Database'!$I$2:$I$622,MATCH(24,'Transfer Engine'!$C$2:$C$622,0)))</f>
        <v/>
      </c>
      <c r="J33" s="8">
        <f>IF(ISNA(MATCH(24,'Transfer Engine'!$C$2:$C$622,0)),"",INDEX('Compliance Database'!$J$2:$J$622,MATCH(24,'Transfer Engine'!$C$2:$C$622,0)))</f>
        <v/>
      </c>
      <c r="K33">
        <f>IF(ISNA(MATCH(24,'Transfer Engine'!$C$2:$C$622,0)),"",INDEX('Compliance Database'!$K$2:$K$622,MATCH(24,'Transfer Engine'!$C$2:$C$622,0)))</f>
        <v/>
      </c>
      <c r="L33" s="8">
        <f>IF(ISNA(MATCH(24,'Transfer Engine'!$C$2:$C$622,0)),"",INDEX('Compliance Database'!$L$2:$L$622,MATCH(24,'Transfer Engine'!$C$2:$C$622,0)))</f>
        <v/>
      </c>
      <c r="M33" s="8">
        <f>IF(ISNA(MATCH(24,'Transfer Engine'!$C$2:$C$622,0)),"",INDEX('Compliance Database'!$M$2:$M$622,MATCH(24,'Transfer Engine'!$C$2:$C$622,0)))</f>
        <v/>
      </c>
      <c r="N33" s="8">
        <f>IF(ISNA(MATCH(24,'Transfer Engine'!$C$2:$C$622,0)),"",INDEX('Compliance Database'!$N$2:$N$622,MATCH(24,'Transfer Engine'!$C$2:$C$622,0)))</f>
        <v/>
      </c>
      <c r="O33" s="8">
        <f>IF(ISNA(MATCH(24,'Transfer Engine'!$C$2:$C$622,0)),"",INDEX('Compliance Database'!$O$2:$O$622,MATCH(24,'Transfer Engine'!$C$2:$C$622,0)))</f>
        <v/>
      </c>
    </row>
    <row r="34">
      <c r="A34">
        <f>IF(ISNA(MATCH(25,'Transfer Engine'!$C$2:$C$622,0)),"",INDEX('Compliance Database'!$A$2:$A$622,MATCH(25,'Transfer Engine'!$C$2:$C$622,0)))</f>
        <v/>
      </c>
      <c r="B34">
        <f>IF(ISNA(MATCH(25,'Transfer Engine'!$C$2:$C$622,0)),"",INDEX('Compliance Database'!$B$2:$B$622,MATCH(25,'Transfer Engine'!$C$2:$C$622,0)))</f>
        <v/>
      </c>
      <c r="C34">
        <f>IF(ISNA(MATCH(25,'Transfer Engine'!$C$2:$C$622,0)),"",INDEX('Compliance Database'!$C$2:$C$622,MATCH(25,'Transfer Engine'!$C$2:$C$622,0)))</f>
        <v/>
      </c>
      <c r="D34" s="8">
        <f>IF(ISNA(MATCH(25,'Transfer Engine'!$C$2:$C$622,0)),"",INDEX('Compliance Database'!$D$2:$D$622,MATCH(25,'Transfer Engine'!$C$2:$C$622,0)))</f>
        <v/>
      </c>
      <c r="E34">
        <f>IF(ISNA(MATCH(25,'Transfer Engine'!$C$2:$C$622,0)),"",INDEX('Compliance Database'!$E$2:$E$622,MATCH(25,'Transfer Engine'!$C$2:$C$622,0)))</f>
        <v/>
      </c>
      <c r="F34">
        <f>IF(ISNA(MATCH(25,'Transfer Engine'!$C$2:$C$622,0)),"",INDEX('Compliance Database'!$F$2:$F$622,MATCH(25,'Transfer Engine'!$C$2:$C$622,0)))</f>
        <v/>
      </c>
      <c r="G34">
        <f>IF(ISNA(MATCH(25,'Transfer Engine'!$C$2:$C$622,0)),"",INDEX('Compliance Database'!$G$2:$G$622,MATCH(25,'Transfer Engine'!$C$2:$C$622,0)))</f>
        <v/>
      </c>
      <c r="H34">
        <f>IF(ISNA(MATCH(25,'Transfer Engine'!$C$2:$C$622,0)),"",INDEX('Compliance Database'!$H$2:$H$622,MATCH(25,'Transfer Engine'!$C$2:$C$622,0)))</f>
        <v/>
      </c>
      <c r="I34" s="8">
        <f>IF(ISNA(MATCH(25,'Transfer Engine'!$C$2:$C$622,0)),"",INDEX('Compliance Database'!$I$2:$I$622,MATCH(25,'Transfer Engine'!$C$2:$C$622,0)))</f>
        <v/>
      </c>
      <c r="J34" s="8">
        <f>IF(ISNA(MATCH(25,'Transfer Engine'!$C$2:$C$622,0)),"",INDEX('Compliance Database'!$J$2:$J$622,MATCH(25,'Transfer Engine'!$C$2:$C$622,0)))</f>
        <v/>
      </c>
      <c r="K34">
        <f>IF(ISNA(MATCH(25,'Transfer Engine'!$C$2:$C$622,0)),"",INDEX('Compliance Database'!$K$2:$K$622,MATCH(25,'Transfer Engine'!$C$2:$C$622,0)))</f>
        <v/>
      </c>
      <c r="L34" s="8">
        <f>IF(ISNA(MATCH(25,'Transfer Engine'!$C$2:$C$622,0)),"",INDEX('Compliance Database'!$L$2:$L$622,MATCH(25,'Transfer Engine'!$C$2:$C$622,0)))</f>
        <v/>
      </c>
      <c r="M34" s="8">
        <f>IF(ISNA(MATCH(25,'Transfer Engine'!$C$2:$C$622,0)),"",INDEX('Compliance Database'!$M$2:$M$622,MATCH(25,'Transfer Engine'!$C$2:$C$622,0)))</f>
        <v/>
      </c>
      <c r="N34" s="8">
        <f>IF(ISNA(MATCH(25,'Transfer Engine'!$C$2:$C$622,0)),"",INDEX('Compliance Database'!$N$2:$N$622,MATCH(25,'Transfer Engine'!$C$2:$C$622,0)))</f>
        <v/>
      </c>
      <c r="O34" s="8">
        <f>IF(ISNA(MATCH(25,'Transfer Engine'!$C$2:$C$622,0)),"",INDEX('Compliance Database'!$O$2:$O$622,MATCH(25,'Transfer Engine'!$C$2:$C$622,0)))</f>
        <v/>
      </c>
    </row>
    <row r="35">
      <c r="A35">
        <f>IF(ISNA(MATCH(26,'Transfer Engine'!$C$2:$C$622,0)),"",INDEX('Compliance Database'!$A$2:$A$622,MATCH(26,'Transfer Engine'!$C$2:$C$622,0)))</f>
        <v/>
      </c>
      <c r="B35">
        <f>IF(ISNA(MATCH(26,'Transfer Engine'!$C$2:$C$622,0)),"",INDEX('Compliance Database'!$B$2:$B$622,MATCH(26,'Transfer Engine'!$C$2:$C$622,0)))</f>
        <v/>
      </c>
      <c r="C35">
        <f>IF(ISNA(MATCH(26,'Transfer Engine'!$C$2:$C$622,0)),"",INDEX('Compliance Database'!$C$2:$C$622,MATCH(26,'Transfer Engine'!$C$2:$C$622,0)))</f>
        <v/>
      </c>
      <c r="D35" s="8">
        <f>IF(ISNA(MATCH(26,'Transfer Engine'!$C$2:$C$622,0)),"",INDEX('Compliance Database'!$D$2:$D$622,MATCH(26,'Transfer Engine'!$C$2:$C$622,0)))</f>
        <v/>
      </c>
      <c r="E35">
        <f>IF(ISNA(MATCH(26,'Transfer Engine'!$C$2:$C$622,0)),"",INDEX('Compliance Database'!$E$2:$E$622,MATCH(26,'Transfer Engine'!$C$2:$C$622,0)))</f>
        <v/>
      </c>
      <c r="F35">
        <f>IF(ISNA(MATCH(26,'Transfer Engine'!$C$2:$C$622,0)),"",INDEX('Compliance Database'!$F$2:$F$622,MATCH(26,'Transfer Engine'!$C$2:$C$622,0)))</f>
        <v/>
      </c>
      <c r="G35">
        <f>IF(ISNA(MATCH(26,'Transfer Engine'!$C$2:$C$622,0)),"",INDEX('Compliance Database'!$G$2:$G$622,MATCH(26,'Transfer Engine'!$C$2:$C$622,0)))</f>
        <v/>
      </c>
      <c r="H35">
        <f>IF(ISNA(MATCH(26,'Transfer Engine'!$C$2:$C$622,0)),"",INDEX('Compliance Database'!$H$2:$H$622,MATCH(26,'Transfer Engine'!$C$2:$C$622,0)))</f>
        <v/>
      </c>
      <c r="I35" s="8">
        <f>IF(ISNA(MATCH(26,'Transfer Engine'!$C$2:$C$622,0)),"",INDEX('Compliance Database'!$I$2:$I$622,MATCH(26,'Transfer Engine'!$C$2:$C$622,0)))</f>
        <v/>
      </c>
      <c r="J35" s="8">
        <f>IF(ISNA(MATCH(26,'Transfer Engine'!$C$2:$C$622,0)),"",INDEX('Compliance Database'!$J$2:$J$622,MATCH(26,'Transfer Engine'!$C$2:$C$622,0)))</f>
        <v/>
      </c>
      <c r="K35">
        <f>IF(ISNA(MATCH(26,'Transfer Engine'!$C$2:$C$622,0)),"",INDEX('Compliance Database'!$K$2:$K$622,MATCH(26,'Transfer Engine'!$C$2:$C$622,0)))</f>
        <v/>
      </c>
      <c r="L35" s="8">
        <f>IF(ISNA(MATCH(26,'Transfer Engine'!$C$2:$C$622,0)),"",INDEX('Compliance Database'!$L$2:$L$622,MATCH(26,'Transfer Engine'!$C$2:$C$622,0)))</f>
        <v/>
      </c>
      <c r="M35" s="8">
        <f>IF(ISNA(MATCH(26,'Transfer Engine'!$C$2:$C$622,0)),"",INDEX('Compliance Database'!$M$2:$M$622,MATCH(26,'Transfer Engine'!$C$2:$C$622,0)))</f>
        <v/>
      </c>
      <c r="N35" s="8">
        <f>IF(ISNA(MATCH(26,'Transfer Engine'!$C$2:$C$622,0)),"",INDEX('Compliance Database'!$N$2:$N$622,MATCH(26,'Transfer Engine'!$C$2:$C$622,0)))</f>
        <v/>
      </c>
      <c r="O35" s="8">
        <f>IF(ISNA(MATCH(26,'Transfer Engine'!$C$2:$C$622,0)),"",INDEX('Compliance Database'!$O$2:$O$622,MATCH(26,'Transfer Engine'!$C$2:$C$622,0)))</f>
        <v/>
      </c>
    </row>
    <row r="36">
      <c r="A36">
        <f>IF(ISNA(MATCH(27,'Transfer Engine'!$C$2:$C$622,0)),"",INDEX('Compliance Database'!$A$2:$A$622,MATCH(27,'Transfer Engine'!$C$2:$C$622,0)))</f>
        <v/>
      </c>
      <c r="B36">
        <f>IF(ISNA(MATCH(27,'Transfer Engine'!$C$2:$C$622,0)),"",INDEX('Compliance Database'!$B$2:$B$622,MATCH(27,'Transfer Engine'!$C$2:$C$622,0)))</f>
        <v/>
      </c>
      <c r="C36">
        <f>IF(ISNA(MATCH(27,'Transfer Engine'!$C$2:$C$622,0)),"",INDEX('Compliance Database'!$C$2:$C$622,MATCH(27,'Transfer Engine'!$C$2:$C$622,0)))</f>
        <v/>
      </c>
      <c r="D36" s="8">
        <f>IF(ISNA(MATCH(27,'Transfer Engine'!$C$2:$C$622,0)),"",INDEX('Compliance Database'!$D$2:$D$622,MATCH(27,'Transfer Engine'!$C$2:$C$622,0)))</f>
        <v/>
      </c>
      <c r="E36">
        <f>IF(ISNA(MATCH(27,'Transfer Engine'!$C$2:$C$622,0)),"",INDEX('Compliance Database'!$E$2:$E$622,MATCH(27,'Transfer Engine'!$C$2:$C$622,0)))</f>
        <v/>
      </c>
      <c r="F36">
        <f>IF(ISNA(MATCH(27,'Transfer Engine'!$C$2:$C$622,0)),"",INDEX('Compliance Database'!$F$2:$F$622,MATCH(27,'Transfer Engine'!$C$2:$C$622,0)))</f>
        <v/>
      </c>
      <c r="G36">
        <f>IF(ISNA(MATCH(27,'Transfer Engine'!$C$2:$C$622,0)),"",INDEX('Compliance Database'!$G$2:$G$622,MATCH(27,'Transfer Engine'!$C$2:$C$622,0)))</f>
        <v/>
      </c>
      <c r="H36">
        <f>IF(ISNA(MATCH(27,'Transfer Engine'!$C$2:$C$622,0)),"",INDEX('Compliance Database'!$H$2:$H$622,MATCH(27,'Transfer Engine'!$C$2:$C$622,0)))</f>
        <v/>
      </c>
      <c r="I36" s="8">
        <f>IF(ISNA(MATCH(27,'Transfer Engine'!$C$2:$C$622,0)),"",INDEX('Compliance Database'!$I$2:$I$622,MATCH(27,'Transfer Engine'!$C$2:$C$622,0)))</f>
        <v/>
      </c>
      <c r="J36" s="8">
        <f>IF(ISNA(MATCH(27,'Transfer Engine'!$C$2:$C$622,0)),"",INDEX('Compliance Database'!$J$2:$J$622,MATCH(27,'Transfer Engine'!$C$2:$C$622,0)))</f>
        <v/>
      </c>
      <c r="K36">
        <f>IF(ISNA(MATCH(27,'Transfer Engine'!$C$2:$C$622,0)),"",INDEX('Compliance Database'!$K$2:$K$622,MATCH(27,'Transfer Engine'!$C$2:$C$622,0)))</f>
        <v/>
      </c>
      <c r="L36" s="8">
        <f>IF(ISNA(MATCH(27,'Transfer Engine'!$C$2:$C$622,0)),"",INDEX('Compliance Database'!$L$2:$L$622,MATCH(27,'Transfer Engine'!$C$2:$C$622,0)))</f>
        <v/>
      </c>
      <c r="M36" s="8">
        <f>IF(ISNA(MATCH(27,'Transfer Engine'!$C$2:$C$622,0)),"",INDEX('Compliance Database'!$M$2:$M$622,MATCH(27,'Transfer Engine'!$C$2:$C$622,0)))</f>
        <v/>
      </c>
      <c r="N36" s="8">
        <f>IF(ISNA(MATCH(27,'Transfer Engine'!$C$2:$C$622,0)),"",INDEX('Compliance Database'!$N$2:$N$622,MATCH(27,'Transfer Engine'!$C$2:$C$622,0)))</f>
        <v/>
      </c>
      <c r="O36" s="8">
        <f>IF(ISNA(MATCH(27,'Transfer Engine'!$C$2:$C$622,0)),"",INDEX('Compliance Database'!$O$2:$O$622,MATCH(27,'Transfer Engine'!$C$2:$C$622,0)))</f>
        <v/>
      </c>
    </row>
    <row r="37">
      <c r="A37">
        <f>IF(ISNA(MATCH(28,'Transfer Engine'!$C$2:$C$622,0)),"",INDEX('Compliance Database'!$A$2:$A$622,MATCH(28,'Transfer Engine'!$C$2:$C$622,0)))</f>
        <v/>
      </c>
      <c r="B37">
        <f>IF(ISNA(MATCH(28,'Transfer Engine'!$C$2:$C$622,0)),"",INDEX('Compliance Database'!$B$2:$B$622,MATCH(28,'Transfer Engine'!$C$2:$C$622,0)))</f>
        <v/>
      </c>
      <c r="C37">
        <f>IF(ISNA(MATCH(28,'Transfer Engine'!$C$2:$C$622,0)),"",INDEX('Compliance Database'!$C$2:$C$622,MATCH(28,'Transfer Engine'!$C$2:$C$622,0)))</f>
        <v/>
      </c>
      <c r="D37" s="8">
        <f>IF(ISNA(MATCH(28,'Transfer Engine'!$C$2:$C$622,0)),"",INDEX('Compliance Database'!$D$2:$D$622,MATCH(28,'Transfer Engine'!$C$2:$C$622,0)))</f>
        <v/>
      </c>
      <c r="E37">
        <f>IF(ISNA(MATCH(28,'Transfer Engine'!$C$2:$C$622,0)),"",INDEX('Compliance Database'!$E$2:$E$622,MATCH(28,'Transfer Engine'!$C$2:$C$622,0)))</f>
        <v/>
      </c>
      <c r="F37">
        <f>IF(ISNA(MATCH(28,'Transfer Engine'!$C$2:$C$622,0)),"",INDEX('Compliance Database'!$F$2:$F$622,MATCH(28,'Transfer Engine'!$C$2:$C$622,0)))</f>
        <v/>
      </c>
      <c r="G37">
        <f>IF(ISNA(MATCH(28,'Transfer Engine'!$C$2:$C$622,0)),"",INDEX('Compliance Database'!$G$2:$G$622,MATCH(28,'Transfer Engine'!$C$2:$C$622,0)))</f>
        <v/>
      </c>
      <c r="H37">
        <f>IF(ISNA(MATCH(28,'Transfer Engine'!$C$2:$C$622,0)),"",INDEX('Compliance Database'!$H$2:$H$622,MATCH(28,'Transfer Engine'!$C$2:$C$622,0)))</f>
        <v/>
      </c>
      <c r="I37" s="8">
        <f>IF(ISNA(MATCH(28,'Transfer Engine'!$C$2:$C$622,0)),"",INDEX('Compliance Database'!$I$2:$I$622,MATCH(28,'Transfer Engine'!$C$2:$C$622,0)))</f>
        <v/>
      </c>
      <c r="J37" s="8">
        <f>IF(ISNA(MATCH(28,'Transfer Engine'!$C$2:$C$622,0)),"",INDEX('Compliance Database'!$J$2:$J$622,MATCH(28,'Transfer Engine'!$C$2:$C$622,0)))</f>
        <v/>
      </c>
      <c r="K37">
        <f>IF(ISNA(MATCH(28,'Transfer Engine'!$C$2:$C$622,0)),"",INDEX('Compliance Database'!$K$2:$K$622,MATCH(28,'Transfer Engine'!$C$2:$C$622,0)))</f>
        <v/>
      </c>
      <c r="L37" s="8">
        <f>IF(ISNA(MATCH(28,'Transfer Engine'!$C$2:$C$622,0)),"",INDEX('Compliance Database'!$L$2:$L$622,MATCH(28,'Transfer Engine'!$C$2:$C$622,0)))</f>
        <v/>
      </c>
      <c r="M37" s="8">
        <f>IF(ISNA(MATCH(28,'Transfer Engine'!$C$2:$C$622,0)),"",INDEX('Compliance Database'!$M$2:$M$622,MATCH(28,'Transfer Engine'!$C$2:$C$622,0)))</f>
        <v/>
      </c>
      <c r="N37" s="8">
        <f>IF(ISNA(MATCH(28,'Transfer Engine'!$C$2:$C$622,0)),"",INDEX('Compliance Database'!$N$2:$N$622,MATCH(28,'Transfer Engine'!$C$2:$C$622,0)))</f>
        <v/>
      </c>
      <c r="O37" s="8">
        <f>IF(ISNA(MATCH(28,'Transfer Engine'!$C$2:$C$622,0)),"",INDEX('Compliance Database'!$O$2:$O$622,MATCH(28,'Transfer Engine'!$C$2:$C$622,0)))</f>
        <v/>
      </c>
    </row>
    <row r="38">
      <c r="A38">
        <f>IF(ISNA(MATCH(29,'Transfer Engine'!$C$2:$C$622,0)),"",INDEX('Compliance Database'!$A$2:$A$622,MATCH(29,'Transfer Engine'!$C$2:$C$622,0)))</f>
        <v/>
      </c>
      <c r="B38">
        <f>IF(ISNA(MATCH(29,'Transfer Engine'!$C$2:$C$622,0)),"",INDEX('Compliance Database'!$B$2:$B$622,MATCH(29,'Transfer Engine'!$C$2:$C$622,0)))</f>
        <v/>
      </c>
      <c r="C38">
        <f>IF(ISNA(MATCH(29,'Transfer Engine'!$C$2:$C$622,0)),"",INDEX('Compliance Database'!$C$2:$C$622,MATCH(29,'Transfer Engine'!$C$2:$C$622,0)))</f>
        <v/>
      </c>
      <c r="D38" s="8">
        <f>IF(ISNA(MATCH(29,'Transfer Engine'!$C$2:$C$622,0)),"",INDEX('Compliance Database'!$D$2:$D$622,MATCH(29,'Transfer Engine'!$C$2:$C$622,0)))</f>
        <v/>
      </c>
      <c r="E38">
        <f>IF(ISNA(MATCH(29,'Transfer Engine'!$C$2:$C$622,0)),"",INDEX('Compliance Database'!$E$2:$E$622,MATCH(29,'Transfer Engine'!$C$2:$C$622,0)))</f>
        <v/>
      </c>
      <c r="F38">
        <f>IF(ISNA(MATCH(29,'Transfer Engine'!$C$2:$C$622,0)),"",INDEX('Compliance Database'!$F$2:$F$622,MATCH(29,'Transfer Engine'!$C$2:$C$622,0)))</f>
        <v/>
      </c>
      <c r="G38">
        <f>IF(ISNA(MATCH(29,'Transfer Engine'!$C$2:$C$622,0)),"",INDEX('Compliance Database'!$G$2:$G$622,MATCH(29,'Transfer Engine'!$C$2:$C$622,0)))</f>
        <v/>
      </c>
      <c r="H38">
        <f>IF(ISNA(MATCH(29,'Transfer Engine'!$C$2:$C$622,0)),"",INDEX('Compliance Database'!$H$2:$H$622,MATCH(29,'Transfer Engine'!$C$2:$C$622,0)))</f>
        <v/>
      </c>
      <c r="I38" s="8">
        <f>IF(ISNA(MATCH(29,'Transfer Engine'!$C$2:$C$622,0)),"",INDEX('Compliance Database'!$I$2:$I$622,MATCH(29,'Transfer Engine'!$C$2:$C$622,0)))</f>
        <v/>
      </c>
      <c r="J38" s="8">
        <f>IF(ISNA(MATCH(29,'Transfer Engine'!$C$2:$C$622,0)),"",INDEX('Compliance Database'!$J$2:$J$622,MATCH(29,'Transfer Engine'!$C$2:$C$622,0)))</f>
        <v/>
      </c>
      <c r="K38">
        <f>IF(ISNA(MATCH(29,'Transfer Engine'!$C$2:$C$622,0)),"",INDEX('Compliance Database'!$K$2:$K$622,MATCH(29,'Transfer Engine'!$C$2:$C$622,0)))</f>
        <v/>
      </c>
      <c r="L38" s="8">
        <f>IF(ISNA(MATCH(29,'Transfer Engine'!$C$2:$C$622,0)),"",INDEX('Compliance Database'!$L$2:$L$622,MATCH(29,'Transfer Engine'!$C$2:$C$622,0)))</f>
        <v/>
      </c>
      <c r="M38" s="8">
        <f>IF(ISNA(MATCH(29,'Transfer Engine'!$C$2:$C$622,0)),"",INDEX('Compliance Database'!$M$2:$M$622,MATCH(29,'Transfer Engine'!$C$2:$C$622,0)))</f>
        <v/>
      </c>
      <c r="N38" s="8">
        <f>IF(ISNA(MATCH(29,'Transfer Engine'!$C$2:$C$622,0)),"",INDEX('Compliance Database'!$N$2:$N$622,MATCH(29,'Transfer Engine'!$C$2:$C$622,0)))</f>
        <v/>
      </c>
      <c r="O38" s="8">
        <f>IF(ISNA(MATCH(29,'Transfer Engine'!$C$2:$C$622,0)),"",INDEX('Compliance Database'!$O$2:$O$622,MATCH(29,'Transfer Engine'!$C$2:$C$622,0)))</f>
        <v/>
      </c>
    </row>
    <row r="39">
      <c r="A39">
        <f>IF(ISNA(MATCH(30,'Transfer Engine'!$C$2:$C$622,0)),"",INDEX('Compliance Database'!$A$2:$A$622,MATCH(30,'Transfer Engine'!$C$2:$C$622,0)))</f>
        <v/>
      </c>
      <c r="B39">
        <f>IF(ISNA(MATCH(30,'Transfer Engine'!$C$2:$C$622,0)),"",INDEX('Compliance Database'!$B$2:$B$622,MATCH(30,'Transfer Engine'!$C$2:$C$622,0)))</f>
        <v/>
      </c>
      <c r="C39">
        <f>IF(ISNA(MATCH(30,'Transfer Engine'!$C$2:$C$622,0)),"",INDEX('Compliance Database'!$C$2:$C$622,MATCH(30,'Transfer Engine'!$C$2:$C$622,0)))</f>
        <v/>
      </c>
      <c r="D39" s="8">
        <f>IF(ISNA(MATCH(30,'Transfer Engine'!$C$2:$C$622,0)),"",INDEX('Compliance Database'!$D$2:$D$622,MATCH(30,'Transfer Engine'!$C$2:$C$622,0)))</f>
        <v/>
      </c>
      <c r="E39">
        <f>IF(ISNA(MATCH(30,'Transfer Engine'!$C$2:$C$622,0)),"",INDEX('Compliance Database'!$E$2:$E$622,MATCH(30,'Transfer Engine'!$C$2:$C$622,0)))</f>
        <v/>
      </c>
      <c r="F39">
        <f>IF(ISNA(MATCH(30,'Transfer Engine'!$C$2:$C$622,0)),"",INDEX('Compliance Database'!$F$2:$F$622,MATCH(30,'Transfer Engine'!$C$2:$C$622,0)))</f>
        <v/>
      </c>
      <c r="G39">
        <f>IF(ISNA(MATCH(30,'Transfer Engine'!$C$2:$C$622,0)),"",INDEX('Compliance Database'!$G$2:$G$622,MATCH(30,'Transfer Engine'!$C$2:$C$622,0)))</f>
        <v/>
      </c>
      <c r="H39">
        <f>IF(ISNA(MATCH(30,'Transfer Engine'!$C$2:$C$622,0)),"",INDEX('Compliance Database'!$H$2:$H$622,MATCH(30,'Transfer Engine'!$C$2:$C$622,0)))</f>
        <v/>
      </c>
      <c r="I39" s="8">
        <f>IF(ISNA(MATCH(30,'Transfer Engine'!$C$2:$C$622,0)),"",INDEX('Compliance Database'!$I$2:$I$622,MATCH(30,'Transfer Engine'!$C$2:$C$622,0)))</f>
        <v/>
      </c>
      <c r="J39" s="8">
        <f>IF(ISNA(MATCH(30,'Transfer Engine'!$C$2:$C$622,0)),"",INDEX('Compliance Database'!$J$2:$J$622,MATCH(30,'Transfer Engine'!$C$2:$C$622,0)))</f>
        <v/>
      </c>
      <c r="K39">
        <f>IF(ISNA(MATCH(30,'Transfer Engine'!$C$2:$C$622,0)),"",INDEX('Compliance Database'!$K$2:$K$622,MATCH(30,'Transfer Engine'!$C$2:$C$622,0)))</f>
        <v/>
      </c>
      <c r="L39" s="8">
        <f>IF(ISNA(MATCH(30,'Transfer Engine'!$C$2:$C$622,0)),"",INDEX('Compliance Database'!$L$2:$L$622,MATCH(30,'Transfer Engine'!$C$2:$C$622,0)))</f>
        <v/>
      </c>
      <c r="M39" s="8">
        <f>IF(ISNA(MATCH(30,'Transfer Engine'!$C$2:$C$622,0)),"",INDEX('Compliance Database'!$M$2:$M$622,MATCH(30,'Transfer Engine'!$C$2:$C$622,0)))</f>
        <v/>
      </c>
      <c r="N39" s="8">
        <f>IF(ISNA(MATCH(30,'Transfer Engine'!$C$2:$C$622,0)),"",INDEX('Compliance Database'!$N$2:$N$622,MATCH(30,'Transfer Engine'!$C$2:$C$622,0)))</f>
        <v/>
      </c>
      <c r="O39" s="8">
        <f>IF(ISNA(MATCH(30,'Transfer Engine'!$C$2:$C$622,0)),"",INDEX('Compliance Database'!$O$2:$O$622,MATCH(30,'Transfer Engine'!$C$2:$C$622,0)))</f>
        <v/>
      </c>
    </row>
    <row r="40">
      <c r="A40">
        <f>IF(ISNA(MATCH(31,'Transfer Engine'!$C$2:$C$622,0)),"",INDEX('Compliance Database'!$A$2:$A$622,MATCH(31,'Transfer Engine'!$C$2:$C$622,0)))</f>
        <v/>
      </c>
      <c r="B40">
        <f>IF(ISNA(MATCH(31,'Transfer Engine'!$C$2:$C$622,0)),"",INDEX('Compliance Database'!$B$2:$B$622,MATCH(31,'Transfer Engine'!$C$2:$C$622,0)))</f>
        <v/>
      </c>
      <c r="C40">
        <f>IF(ISNA(MATCH(31,'Transfer Engine'!$C$2:$C$622,0)),"",INDEX('Compliance Database'!$C$2:$C$622,MATCH(31,'Transfer Engine'!$C$2:$C$622,0)))</f>
        <v/>
      </c>
      <c r="D40" s="8">
        <f>IF(ISNA(MATCH(31,'Transfer Engine'!$C$2:$C$622,0)),"",INDEX('Compliance Database'!$D$2:$D$622,MATCH(31,'Transfer Engine'!$C$2:$C$622,0)))</f>
        <v/>
      </c>
      <c r="E40">
        <f>IF(ISNA(MATCH(31,'Transfer Engine'!$C$2:$C$622,0)),"",INDEX('Compliance Database'!$E$2:$E$622,MATCH(31,'Transfer Engine'!$C$2:$C$622,0)))</f>
        <v/>
      </c>
      <c r="F40">
        <f>IF(ISNA(MATCH(31,'Transfer Engine'!$C$2:$C$622,0)),"",INDEX('Compliance Database'!$F$2:$F$622,MATCH(31,'Transfer Engine'!$C$2:$C$622,0)))</f>
        <v/>
      </c>
      <c r="G40">
        <f>IF(ISNA(MATCH(31,'Transfer Engine'!$C$2:$C$622,0)),"",INDEX('Compliance Database'!$G$2:$G$622,MATCH(31,'Transfer Engine'!$C$2:$C$622,0)))</f>
        <v/>
      </c>
      <c r="H40">
        <f>IF(ISNA(MATCH(31,'Transfer Engine'!$C$2:$C$622,0)),"",INDEX('Compliance Database'!$H$2:$H$622,MATCH(31,'Transfer Engine'!$C$2:$C$622,0)))</f>
        <v/>
      </c>
      <c r="I40" s="8">
        <f>IF(ISNA(MATCH(31,'Transfer Engine'!$C$2:$C$622,0)),"",INDEX('Compliance Database'!$I$2:$I$622,MATCH(31,'Transfer Engine'!$C$2:$C$622,0)))</f>
        <v/>
      </c>
      <c r="J40" s="8">
        <f>IF(ISNA(MATCH(31,'Transfer Engine'!$C$2:$C$622,0)),"",INDEX('Compliance Database'!$J$2:$J$622,MATCH(31,'Transfer Engine'!$C$2:$C$622,0)))</f>
        <v/>
      </c>
      <c r="K40">
        <f>IF(ISNA(MATCH(31,'Transfer Engine'!$C$2:$C$622,0)),"",INDEX('Compliance Database'!$K$2:$K$622,MATCH(31,'Transfer Engine'!$C$2:$C$622,0)))</f>
        <v/>
      </c>
      <c r="L40" s="8">
        <f>IF(ISNA(MATCH(31,'Transfer Engine'!$C$2:$C$622,0)),"",INDEX('Compliance Database'!$L$2:$L$622,MATCH(31,'Transfer Engine'!$C$2:$C$622,0)))</f>
        <v/>
      </c>
      <c r="M40" s="8">
        <f>IF(ISNA(MATCH(31,'Transfer Engine'!$C$2:$C$622,0)),"",INDEX('Compliance Database'!$M$2:$M$622,MATCH(31,'Transfer Engine'!$C$2:$C$622,0)))</f>
        <v/>
      </c>
      <c r="N40" s="8">
        <f>IF(ISNA(MATCH(31,'Transfer Engine'!$C$2:$C$622,0)),"",INDEX('Compliance Database'!$N$2:$N$622,MATCH(31,'Transfer Engine'!$C$2:$C$622,0)))</f>
        <v/>
      </c>
      <c r="O40" s="8">
        <f>IF(ISNA(MATCH(31,'Transfer Engine'!$C$2:$C$622,0)),"",INDEX('Compliance Database'!$O$2:$O$622,MATCH(31,'Transfer Engine'!$C$2:$C$622,0)))</f>
        <v/>
      </c>
    </row>
    <row r="41">
      <c r="A41">
        <f>IF(ISNA(MATCH(32,'Transfer Engine'!$C$2:$C$622,0)),"",INDEX('Compliance Database'!$A$2:$A$622,MATCH(32,'Transfer Engine'!$C$2:$C$622,0)))</f>
        <v/>
      </c>
      <c r="B41">
        <f>IF(ISNA(MATCH(32,'Transfer Engine'!$C$2:$C$622,0)),"",INDEX('Compliance Database'!$B$2:$B$622,MATCH(32,'Transfer Engine'!$C$2:$C$622,0)))</f>
        <v/>
      </c>
      <c r="C41">
        <f>IF(ISNA(MATCH(32,'Transfer Engine'!$C$2:$C$622,0)),"",INDEX('Compliance Database'!$C$2:$C$622,MATCH(32,'Transfer Engine'!$C$2:$C$622,0)))</f>
        <v/>
      </c>
      <c r="D41" s="8">
        <f>IF(ISNA(MATCH(32,'Transfer Engine'!$C$2:$C$622,0)),"",INDEX('Compliance Database'!$D$2:$D$622,MATCH(32,'Transfer Engine'!$C$2:$C$622,0)))</f>
        <v/>
      </c>
      <c r="E41">
        <f>IF(ISNA(MATCH(32,'Transfer Engine'!$C$2:$C$622,0)),"",INDEX('Compliance Database'!$E$2:$E$622,MATCH(32,'Transfer Engine'!$C$2:$C$622,0)))</f>
        <v/>
      </c>
      <c r="F41">
        <f>IF(ISNA(MATCH(32,'Transfer Engine'!$C$2:$C$622,0)),"",INDEX('Compliance Database'!$F$2:$F$622,MATCH(32,'Transfer Engine'!$C$2:$C$622,0)))</f>
        <v/>
      </c>
      <c r="G41">
        <f>IF(ISNA(MATCH(32,'Transfer Engine'!$C$2:$C$622,0)),"",INDEX('Compliance Database'!$G$2:$G$622,MATCH(32,'Transfer Engine'!$C$2:$C$622,0)))</f>
        <v/>
      </c>
      <c r="H41">
        <f>IF(ISNA(MATCH(32,'Transfer Engine'!$C$2:$C$622,0)),"",INDEX('Compliance Database'!$H$2:$H$622,MATCH(32,'Transfer Engine'!$C$2:$C$622,0)))</f>
        <v/>
      </c>
      <c r="I41" s="8">
        <f>IF(ISNA(MATCH(32,'Transfer Engine'!$C$2:$C$622,0)),"",INDEX('Compliance Database'!$I$2:$I$622,MATCH(32,'Transfer Engine'!$C$2:$C$622,0)))</f>
        <v/>
      </c>
      <c r="J41" s="8">
        <f>IF(ISNA(MATCH(32,'Transfer Engine'!$C$2:$C$622,0)),"",INDEX('Compliance Database'!$J$2:$J$622,MATCH(32,'Transfer Engine'!$C$2:$C$622,0)))</f>
        <v/>
      </c>
      <c r="K41">
        <f>IF(ISNA(MATCH(32,'Transfer Engine'!$C$2:$C$622,0)),"",INDEX('Compliance Database'!$K$2:$K$622,MATCH(32,'Transfer Engine'!$C$2:$C$622,0)))</f>
        <v/>
      </c>
      <c r="L41" s="8">
        <f>IF(ISNA(MATCH(32,'Transfer Engine'!$C$2:$C$622,0)),"",INDEX('Compliance Database'!$L$2:$L$622,MATCH(32,'Transfer Engine'!$C$2:$C$622,0)))</f>
        <v/>
      </c>
      <c r="M41" s="8">
        <f>IF(ISNA(MATCH(32,'Transfer Engine'!$C$2:$C$622,0)),"",INDEX('Compliance Database'!$M$2:$M$622,MATCH(32,'Transfer Engine'!$C$2:$C$622,0)))</f>
        <v/>
      </c>
      <c r="N41" s="8">
        <f>IF(ISNA(MATCH(32,'Transfer Engine'!$C$2:$C$622,0)),"",INDEX('Compliance Database'!$N$2:$N$622,MATCH(32,'Transfer Engine'!$C$2:$C$622,0)))</f>
        <v/>
      </c>
      <c r="O41" s="8">
        <f>IF(ISNA(MATCH(32,'Transfer Engine'!$C$2:$C$622,0)),"",INDEX('Compliance Database'!$O$2:$O$622,MATCH(32,'Transfer Engine'!$C$2:$C$622,0)))</f>
        <v/>
      </c>
    </row>
    <row r="42">
      <c r="A42">
        <f>IF(ISNA(MATCH(33,'Transfer Engine'!$C$2:$C$622,0)),"",INDEX('Compliance Database'!$A$2:$A$622,MATCH(33,'Transfer Engine'!$C$2:$C$622,0)))</f>
        <v/>
      </c>
      <c r="B42">
        <f>IF(ISNA(MATCH(33,'Transfer Engine'!$C$2:$C$622,0)),"",INDEX('Compliance Database'!$B$2:$B$622,MATCH(33,'Transfer Engine'!$C$2:$C$622,0)))</f>
        <v/>
      </c>
      <c r="C42">
        <f>IF(ISNA(MATCH(33,'Transfer Engine'!$C$2:$C$622,0)),"",INDEX('Compliance Database'!$C$2:$C$622,MATCH(33,'Transfer Engine'!$C$2:$C$622,0)))</f>
        <v/>
      </c>
      <c r="D42" s="8">
        <f>IF(ISNA(MATCH(33,'Transfer Engine'!$C$2:$C$622,0)),"",INDEX('Compliance Database'!$D$2:$D$622,MATCH(33,'Transfer Engine'!$C$2:$C$622,0)))</f>
        <v/>
      </c>
      <c r="E42">
        <f>IF(ISNA(MATCH(33,'Transfer Engine'!$C$2:$C$622,0)),"",INDEX('Compliance Database'!$E$2:$E$622,MATCH(33,'Transfer Engine'!$C$2:$C$622,0)))</f>
        <v/>
      </c>
      <c r="F42">
        <f>IF(ISNA(MATCH(33,'Transfer Engine'!$C$2:$C$622,0)),"",INDEX('Compliance Database'!$F$2:$F$622,MATCH(33,'Transfer Engine'!$C$2:$C$622,0)))</f>
        <v/>
      </c>
      <c r="G42">
        <f>IF(ISNA(MATCH(33,'Transfer Engine'!$C$2:$C$622,0)),"",INDEX('Compliance Database'!$G$2:$G$622,MATCH(33,'Transfer Engine'!$C$2:$C$622,0)))</f>
        <v/>
      </c>
      <c r="H42">
        <f>IF(ISNA(MATCH(33,'Transfer Engine'!$C$2:$C$622,0)),"",INDEX('Compliance Database'!$H$2:$H$622,MATCH(33,'Transfer Engine'!$C$2:$C$622,0)))</f>
        <v/>
      </c>
      <c r="I42" s="8">
        <f>IF(ISNA(MATCH(33,'Transfer Engine'!$C$2:$C$622,0)),"",INDEX('Compliance Database'!$I$2:$I$622,MATCH(33,'Transfer Engine'!$C$2:$C$622,0)))</f>
        <v/>
      </c>
      <c r="J42" s="8">
        <f>IF(ISNA(MATCH(33,'Transfer Engine'!$C$2:$C$622,0)),"",INDEX('Compliance Database'!$J$2:$J$622,MATCH(33,'Transfer Engine'!$C$2:$C$622,0)))</f>
        <v/>
      </c>
      <c r="K42">
        <f>IF(ISNA(MATCH(33,'Transfer Engine'!$C$2:$C$622,0)),"",INDEX('Compliance Database'!$K$2:$K$622,MATCH(33,'Transfer Engine'!$C$2:$C$622,0)))</f>
        <v/>
      </c>
      <c r="L42" s="8">
        <f>IF(ISNA(MATCH(33,'Transfer Engine'!$C$2:$C$622,0)),"",INDEX('Compliance Database'!$L$2:$L$622,MATCH(33,'Transfer Engine'!$C$2:$C$622,0)))</f>
        <v/>
      </c>
      <c r="M42" s="8">
        <f>IF(ISNA(MATCH(33,'Transfer Engine'!$C$2:$C$622,0)),"",INDEX('Compliance Database'!$M$2:$M$622,MATCH(33,'Transfer Engine'!$C$2:$C$622,0)))</f>
        <v/>
      </c>
      <c r="N42" s="8">
        <f>IF(ISNA(MATCH(33,'Transfer Engine'!$C$2:$C$622,0)),"",INDEX('Compliance Database'!$N$2:$N$622,MATCH(33,'Transfer Engine'!$C$2:$C$622,0)))</f>
        <v/>
      </c>
      <c r="O42" s="8">
        <f>IF(ISNA(MATCH(33,'Transfer Engine'!$C$2:$C$622,0)),"",INDEX('Compliance Database'!$O$2:$O$622,MATCH(33,'Transfer Engine'!$C$2:$C$622,0)))</f>
        <v/>
      </c>
    </row>
    <row r="43">
      <c r="A43">
        <f>IF(ISNA(MATCH(34,'Transfer Engine'!$C$2:$C$622,0)),"",INDEX('Compliance Database'!$A$2:$A$622,MATCH(34,'Transfer Engine'!$C$2:$C$622,0)))</f>
        <v/>
      </c>
      <c r="B43">
        <f>IF(ISNA(MATCH(34,'Transfer Engine'!$C$2:$C$622,0)),"",INDEX('Compliance Database'!$B$2:$B$622,MATCH(34,'Transfer Engine'!$C$2:$C$622,0)))</f>
        <v/>
      </c>
      <c r="C43">
        <f>IF(ISNA(MATCH(34,'Transfer Engine'!$C$2:$C$622,0)),"",INDEX('Compliance Database'!$C$2:$C$622,MATCH(34,'Transfer Engine'!$C$2:$C$622,0)))</f>
        <v/>
      </c>
      <c r="D43" s="8">
        <f>IF(ISNA(MATCH(34,'Transfer Engine'!$C$2:$C$622,0)),"",INDEX('Compliance Database'!$D$2:$D$622,MATCH(34,'Transfer Engine'!$C$2:$C$622,0)))</f>
        <v/>
      </c>
      <c r="E43">
        <f>IF(ISNA(MATCH(34,'Transfer Engine'!$C$2:$C$622,0)),"",INDEX('Compliance Database'!$E$2:$E$622,MATCH(34,'Transfer Engine'!$C$2:$C$622,0)))</f>
        <v/>
      </c>
      <c r="F43">
        <f>IF(ISNA(MATCH(34,'Transfer Engine'!$C$2:$C$622,0)),"",INDEX('Compliance Database'!$F$2:$F$622,MATCH(34,'Transfer Engine'!$C$2:$C$622,0)))</f>
        <v/>
      </c>
      <c r="G43">
        <f>IF(ISNA(MATCH(34,'Transfer Engine'!$C$2:$C$622,0)),"",INDEX('Compliance Database'!$G$2:$G$622,MATCH(34,'Transfer Engine'!$C$2:$C$622,0)))</f>
        <v/>
      </c>
      <c r="H43">
        <f>IF(ISNA(MATCH(34,'Transfer Engine'!$C$2:$C$622,0)),"",INDEX('Compliance Database'!$H$2:$H$622,MATCH(34,'Transfer Engine'!$C$2:$C$622,0)))</f>
        <v/>
      </c>
      <c r="I43" s="8">
        <f>IF(ISNA(MATCH(34,'Transfer Engine'!$C$2:$C$622,0)),"",INDEX('Compliance Database'!$I$2:$I$622,MATCH(34,'Transfer Engine'!$C$2:$C$622,0)))</f>
        <v/>
      </c>
      <c r="J43" s="8">
        <f>IF(ISNA(MATCH(34,'Transfer Engine'!$C$2:$C$622,0)),"",INDEX('Compliance Database'!$J$2:$J$622,MATCH(34,'Transfer Engine'!$C$2:$C$622,0)))</f>
        <v/>
      </c>
      <c r="K43">
        <f>IF(ISNA(MATCH(34,'Transfer Engine'!$C$2:$C$622,0)),"",INDEX('Compliance Database'!$K$2:$K$622,MATCH(34,'Transfer Engine'!$C$2:$C$622,0)))</f>
        <v/>
      </c>
      <c r="L43" s="8">
        <f>IF(ISNA(MATCH(34,'Transfer Engine'!$C$2:$C$622,0)),"",INDEX('Compliance Database'!$L$2:$L$622,MATCH(34,'Transfer Engine'!$C$2:$C$622,0)))</f>
        <v/>
      </c>
      <c r="M43" s="8">
        <f>IF(ISNA(MATCH(34,'Transfer Engine'!$C$2:$C$622,0)),"",INDEX('Compliance Database'!$M$2:$M$622,MATCH(34,'Transfer Engine'!$C$2:$C$622,0)))</f>
        <v/>
      </c>
      <c r="N43" s="8">
        <f>IF(ISNA(MATCH(34,'Transfer Engine'!$C$2:$C$622,0)),"",INDEX('Compliance Database'!$N$2:$N$622,MATCH(34,'Transfer Engine'!$C$2:$C$622,0)))</f>
        <v/>
      </c>
      <c r="O43" s="8">
        <f>IF(ISNA(MATCH(34,'Transfer Engine'!$C$2:$C$622,0)),"",INDEX('Compliance Database'!$O$2:$O$622,MATCH(34,'Transfer Engine'!$C$2:$C$622,0)))</f>
        <v/>
      </c>
    </row>
    <row r="44">
      <c r="A44">
        <f>IF(ISNA(MATCH(35,'Transfer Engine'!$C$2:$C$622,0)),"",INDEX('Compliance Database'!$A$2:$A$622,MATCH(35,'Transfer Engine'!$C$2:$C$622,0)))</f>
        <v/>
      </c>
      <c r="B44">
        <f>IF(ISNA(MATCH(35,'Transfer Engine'!$C$2:$C$622,0)),"",INDEX('Compliance Database'!$B$2:$B$622,MATCH(35,'Transfer Engine'!$C$2:$C$622,0)))</f>
        <v/>
      </c>
      <c r="C44">
        <f>IF(ISNA(MATCH(35,'Transfer Engine'!$C$2:$C$622,0)),"",INDEX('Compliance Database'!$C$2:$C$622,MATCH(35,'Transfer Engine'!$C$2:$C$622,0)))</f>
        <v/>
      </c>
      <c r="D44" s="8">
        <f>IF(ISNA(MATCH(35,'Transfer Engine'!$C$2:$C$622,0)),"",INDEX('Compliance Database'!$D$2:$D$622,MATCH(35,'Transfer Engine'!$C$2:$C$622,0)))</f>
        <v/>
      </c>
      <c r="E44">
        <f>IF(ISNA(MATCH(35,'Transfer Engine'!$C$2:$C$622,0)),"",INDEX('Compliance Database'!$E$2:$E$622,MATCH(35,'Transfer Engine'!$C$2:$C$622,0)))</f>
        <v/>
      </c>
      <c r="F44">
        <f>IF(ISNA(MATCH(35,'Transfer Engine'!$C$2:$C$622,0)),"",INDEX('Compliance Database'!$F$2:$F$622,MATCH(35,'Transfer Engine'!$C$2:$C$622,0)))</f>
        <v/>
      </c>
      <c r="G44">
        <f>IF(ISNA(MATCH(35,'Transfer Engine'!$C$2:$C$622,0)),"",INDEX('Compliance Database'!$G$2:$G$622,MATCH(35,'Transfer Engine'!$C$2:$C$622,0)))</f>
        <v/>
      </c>
      <c r="H44">
        <f>IF(ISNA(MATCH(35,'Transfer Engine'!$C$2:$C$622,0)),"",INDEX('Compliance Database'!$H$2:$H$622,MATCH(35,'Transfer Engine'!$C$2:$C$622,0)))</f>
        <v/>
      </c>
      <c r="I44" s="8">
        <f>IF(ISNA(MATCH(35,'Transfer Engine'!$C$2:$C$622,0)),"",INDEX('Compliance Database'!$I$2:$I$622,MATCH(35,'Transfer Engine'!$C$2:$C$622,0)))</f>
        <v/>
      </c>
      <c r="J44" s="8">
        <f>IF(ISNA(MATCH(35,'Transfer Engine'!$C$2:$C$622,0)),"",INDEX('Compliance Database'!$J$2:$J$622,MATCH(35,'Transfer Engine'!$C$2:$C$622,0)))</f>
        <v/>
      </c>
      <c r="K44">
        <f>IF(ISNA(MATCH(35,'Transfer Engine'!$C$2:$C$622,0)),"",INDEX('Compliance Database'!$K$2:$K$622,MATCH(35,'Transfer Engine'!$C$2:$C$622,0)))</f>
        <v/>
      </c>
      <c r="L44" s="8">
        <f>IF(ISNA(MATCH(35,'Transfer Engine'!$C$2:$C$622,0)),"",INDEX('Compliance Database'!$L$2:$L$622,MATCH(35,'Transfer Engine'!$C$2:$C$622,0)))</f>
        <v/>
      </c>
      <c r="M44" s="8">
        <f>IF(ISNA(MATCH(35,'Transfer Engine'!$C$2:$C$622,0)),"",INDEX('Compliance Database'!$M$2:$M$622,MATCH(35,'Transfer Engine'!$C$2:$C$622,0)))</f>
        <v/>
      </c>
      <c r="N44" s="8">
        <f>IF(ISNA(MATCH(35,'Transfer Engine'!$C$2:$C$622,0)),"",INDEX('Compliance Database'!$N$2:$N$622,MATCH(35,'Transfer Engine'!$C$2:$C$622,0)))</f>
        <v/>
      </c>
      <c r="O44" s="8">
        <f>IF(ISNA(MATCH(35,'Transfer Engine'!$C$2:$C$622,0)),"",INDEX('Compliance Database'!$O$2:$O$622,MATCH(35,'Transfer Engine'!$C$2:$C$622,0)))</f>
        <v/>
      </c>
    </row>
    <row r="45">
      <c r="A45">
        <f>IF(ISNA(MATCH(36,'Transfer Engine'!$C$2:$C$622,0)),"",INDEX('Compliance Database'!$A$2:$A$622,MATCH(36,'Transfer Engine'!$C$2:$C$622,0)))</f>
        <v/>
      </c>
      <c r="B45">
        <f>IF(ISNA(MATCH(36,'Transfer Engine'!$C$2:$C$622,0)),"",INDEX('Compliance Database'!$B$2:$B$622,MATCH(36,'Transfer Engine'!$C$2:$C$622,0)))</f>
        <v/>
      </c>
      <c r="C45">
        <f>IF(ISNA(MATCH(36,'Transfer Engine'!$C$2:$C$622,0)),"",INDEX('Compliance Database'!$C$2:$C$622,MATCH(36,'Transfer Engine'!$C$2:$C$622,0)))</f>
        <v/>
      </c>
      <c r="D45" s="8">
        <f>IF(ISNA(MATCH(36,'Transfer Engine'!$C$2:$C$622,0)),"",INDEX('Compliance Database'!$D$2:$D$622,MATCH(36,'Transfer Engine'!$C$2:$C$622,0)))</f>
        <v/>
      </c>
      <c r="E45">
        <f>IF(ISNA(MATCH(36,'Transfer Engine'!$C$2:$C$622,0)),"",INDEX('Compliance Database'!$E$2:$E$622,MATCH(36,'Transfer Engine'!$C$2:$C$622,0)))</f>
        <v/>
      </c>
      <c r="F45">
        <f>IF(ISNA(MATCH(36,'Transfer Engine'!$C$2:$C$622,0)),"",INDEX('Compliance Database'!$F$2:$F$622,MATCH(36,'Transfer Engine'!$C$2:$C$622,0)))</f>
        <v/>
      </c>
      <c r="G45">
        <f>IF(ISNA(MATCH(36,'Transfer Engine'!$C$2:$C$622,0)),"",INDEX('Compliance Database'!$G$2:$G$622,MATCH(36,'Transfer Engine'!$C$2:$C$622,0)))</f>
        <v/>
      </c>
      <c r="H45">
        <f>IF(ISNA(MATCH(36,'Transfer Engine'!$C$2:$C$622,0)),"",INDEX('Compliance Database'!$H$2:$H$622,MATCH(36,'Transfer Engine'!$C$2:$C$622,0)))</f>
        <v/>
      </c>
      <c r="I45" s="8">
        <f>IF(ISNA(MATCH(36,'Transfer Engine'!$C$2:$C$622,0)),"",INDEX('Compliance Database'!$I$2:$I$622,MATCH(36,'Transfer Engine'!$C$2:$C$622,0)))</f>
        <v/>
      </c>
      <c r="J45" s="8">
        <f>IF(ISNA(MATCH(36,'Transfer Engine'!$C$2:$C$622,0)),"",INDEX('Compliance Database'!$J$2:$J$622,MATCH(36,'Transfer Engine'!$C$2:$C$622,0)))</f>
        <v/>
      </c>
      <c r="K45">
        <f>IF(ISNA(MATCH(36,'Transfer Engine'!$C$2:$C$622,0)),"",INDEX('Compliance Database'!$K$2:$K$622,MATCH(36,'Transfer Engine'!$C$2:$C$622,0)))</f>
        <v/>
      </c>
      <c r="L45" s="8">
        <f>IF(ISNA(MATCH(36,'Transfer Engine'!$C$2:$C$622,0)),"",INDEX('Compliance Database'!$L$2:$L$622,MATCH(36,'Transfer Engine'!$C$2:$C$622,0)))</f>
        <v/>
      </c>
      <c r="M45" s="8">
        <f>IF(ISNA(MATCH(36,'Transfer Engine'!$C$2:$C$622,0)),"",INDEX('Compliance Database'!$M$2:$M$622,MATCH(36,'Transfer Engine'!$C$2:$C$622,0)))</f>
        <v/>
      </c>
      <c r="N45" s="8">
        <f>IF(ISNA(MATCH(36,'Transfer Engine'!$C$2:$C$622,0)),"",INDEX('Compliance Database'!$N$2:$N$622,MATCH(36,'Transfer Engine'!$C$2:$C$622,0)))</f>
        <v/>
      </c>
      <c r="O45" s="8">
        <f>IF(ISNA(MATCH(36,'Transfer Engine'!$C$2:$C$622,0)),"",INDEX('Compliance Database'!$O$2:$O$622,MATCH(36,'Transfer Engine'!$C$2:$C$622,0)))</f>
        <v/>
      </c>
    </row>
    <row r="46">
      <c r="A46">
        <f>IF(ISNA(MATCH(37,'Transfer Engine'!$C$2:$C$622,0)),"",INDEX('Compliance Database'!$A$2:$A$622,MATCH(37,'Transfer Engine'!$C$2:$C$622,0)))</f>
        <v/>
      </c>
      <c r="B46">
        <f>IF(ISNA(MATCH(37,'Transfer Engine'!$C$2:$C$622,0)),"",INDEX('Compliance Database'!$B$2:$B$622,MATCH(37,'Transfer Engine'!$C$2:$C$622,0)))</f>
        <v/>
      </c>
      <c r="C46">
        <f>IF(ISNA(MATCH(37,'Transfer Engine'!$C$2:$C$622,0)),"",INDEX('Compliance Database'!$C$2:$C$622,MATCH(37,'Transfer Engine'!$C$2:$C$622,0)))</f>
        <v/>
      </c>
      <c r="D46" s="8">
        <f>IF(ISNA(MATCH(37,'Transfer Engine'!$C$2:$C$622,0)),"",INDEX('Compliance Database'!$D$2:$D$622,MATCH(37,'Transfer Engine'!$C$2:$C$622,0)))</f>
        <v/>
      </c>
      <c r="E46">
        <f>IF(ISNA(MATCH(37,'Transfer Engine'!$C$2:$C$622,0)),"",INDEX('Compliance Database'!$E$2:$E$622,MATCH(37,'Transfer Engine'!$C$2:$C$622,0)))</f>
        <v/>
      </c>
      <c r="F46">
        <f>IF(ISNA(MATCH(37,'Transfer Engine'!$C$2:$C$622,0)),"",INDEX('Compliance Database'!$F$2:$F$622,MATCH(37,'Transfer Engine'!$C$2:$C$622,0)))</f>
        <v/>
      </c>
      <c r="G46">
        <f>IF(ISNA(MATCH(37,'Transfer Engine'!$C$2:$C$622,0)),"",INDEX('Compliance Database'!$G$2:$G$622,MATCH(37,'Transfer Engine'!$C$2:$C$622,0)))</f>
        <v/>
      </c>
      <c r="H46">
        <f>IF(ISNA(MATCH(37,'Transfer Engine'!$C$2:$C$622,0)),"",INDEX('Compliance Database'!$H$2:$H$622,MATCH(37,'Transfer Engine'!$C$2:$C$622,0)))</f>
        <v/>
      </c>
      <c r="I46" s="8">
        <f>IF(ISNA(MATCH(37,'Transfer Engine'!$C$2:$C$622,0)),"",INDEX('Compliance Database'!$I$2:$I$622,MATCH(37,'Transfer Engine'!$C$2:$C$622,0)))</f>
        <v/>
      </c>
      <c r="J46" s="8">
        <f>IF(ISNA(MATCH(37,'Transfer Engine'!$C$2:$C$622,0)),"",INDEX('Compliance Database'!$J$2:$J$622,MATCH(37,'Transfer Engine'!$C$2:$C$622,0)))</f>
        <v/>
      </c>
      <c r="K46">
        <f>IF(ISNA(MATCH(37,'Transfer Engine'!$C$2:$C$622,0)),"",INDEX('Compliance Database'!$K$2:$K$622,MATCH(37,'Transfer Engine'!$C$2:$C$622,0)))</f>
        <v/>
      </c>
      <c r="L46" s="8">
        <f>IF(ISNA(MATCH(37,'Transfer Engine'!$C$2:$C$622,0)),"",INDEX('Compliance Database'!$L$2:$L$622,MATCH(37,'Transfer Engine'!$C$2:$C$622,0)))</f>
        <v/>
      </c>
      <c r="M46" s="8">
        <f>IF(ISNA(MATCH(37,'Transfer Engine'!$C$2:$C$622,0)),"",INDEX('Compliance Database'!$M$2:$M$622,MATCH(37,'Transfer Engine'!$C$2:$C$622,0)))</f>
        <v/>
      </c>
      <c r="N46" s="8">
        <f>IF(ISNA(MATCH(37,'Transfer Engine'!$C$2:$C$622,0)),"",INDEX('Compliance Database'!$N$2:$N$622,MATCH(37,'Transfer Engine'!$C$2:$C$622,0)))</f>
        <v/>
      </c>
      <c r="O46" s="8">
        <f>IF(ISNA(MATCH(37,'Transfer Engine'!$C$2:$C$622,0)),"",INDEX('Compliance Database'!$O$2:$O$622,MATCH(37,'Transfer Engine'!$C$2:$C$622,0)))</f>
        <v/>
      </c>
    </row>
    <row r="47">
      <c r="A47">
        <f>IF(ISNA(MATCH(38,'Transfer Engine'!$C$2:$C$622,0)),"",INDEX('Compliance Database'!$A$2:$A$622,MATCH(38,'Transfer Engine'!$C$2:$C$622,0)))</f>
        <v/>
      </c>
      <c r="B47">
        <f>IF(ISNA(MATCH(38,'Transfer Engine'!$C$2:$C$622,0)),"",INDEX('Compliance Database'!$B$2:$B$622,MATCH(38,'Transfer Engine'!$C$2:$C$622,0)))</f>
        <v/>
      </c>
      <c r="C47">
        <f>IF(ISNA(MATCH(38,'Transfer Engine'!$C$2:$C$622,0)),"",INDEX('Compliance Database'!$C$2:$C$622,MATCH(38,'Transfer Engine'!$C$2:$C$622,0)))</f>
        <v/>
      </c>
      <c r="D47" s="8">
        <f>IF(ISNA(MATCH(38,'Transfer Engine'!$C$2:$C$622,0)),"",INDEX('Compliance Database'!$D$2:$D$622,MATCH(38,'Transfer Engine'!$C$2:$C$622,0)))</f>
        <v/>
      </c>
      <c r="E47">
        <f>IF(ISNA(MATCH(38,'Transfer Engine'!$C$2:$C$622,0)),"",INDEX('Compliance Database'!$E$2:$E$622,MATCH(38,'Transfer Engine'!$C$2:$C$622,0)))</f>
        <v/>
      </c>
      <c r="F47">
        <f>IF(ISNA(MATCH(38,'Transfer Engine'!$C$2:$C$622,0)),"",INDEX('Compliance Database'!$F$2:$F$622,MATCH(38,'Transfer Engine'!$C$2:$C$622,0)))</f>
        <v/>
      </c>
      <c r="G47">
        <f>IF(ISNA(MATCH(38,'Transfer Engine'!$C$2:$C$622,0)),"",INDEX('Compliance Database'!$G$2:$G$622,MATCH(38,'Transfer Engine'!$C$2:$C$622,0)))</f>
        <v/>
      </c>
      <c r="H47">
        <f>IF(ISNA(MATCH(38,'Transfer Engine'!$C$2:$C$622,0)),"",INDEX('Compliance Database'!$H$2:$H$622,MATCH(38,'Transfer Engine'!$C$2:$C$622,0)))</f>
        <v/>
      </c>
      <c r="I47" s="8">
        <f>IF(ISNA(MATCH(38,'Transfer Engine'!$C$2:$C$622,0)),"",INDEX('Compliance Database'!$I$2:$I$622,MATCH(38,'Transfer Engine'!$C$2:$C$622,0)))</f>
        <v/>
      </c>
      <c r="J47" s="8">
        <f>IF(ISNA(MATCH(38,'Transfer Engine'!$C$2:$C$622,0)),"",INDEX('Compliance Database'!$J$2:$J$622,MATCH(38,'Transfer Engine'!$C$2:$C$622,0)))</f>
        <v/>
      </c>
      <c r="K47">
        <f>IF(ISNA(MATCH(38,'Transfer Engine'!$C$2:$C$622,0)),"",INDEX('Compliance Database'!$K$2:$K$622,MATCH(38,'Transfer Engine'!$C$2:$C$622,0)))</f>
        <v/>
      </c>
      <c r="L47" s="8">
        <f>IF(ISNA(MATCH(38,'Transfer Engine'!$C$2:$C$622,0)),"",INDEX('Compliance Database'!$L$2:$L$622,MATCH(38,'Transfer Engine'!$C$2:$C$622,0)))</f>
        <v/>
      </c>
      <c r="M47" s="8">
        <f>IF(ISNA(MATCH(38,'Transfer Engine'!$C$2:$C$622,0)),"",INDEX('Compliance Database'!$M$2:$M$622,MATCH(38,'Transfer Engine'!$C$2:$C$622,0)))</f>
        <v/>
      </c>
      <c r="N47" s="8">
        <f>IF(ISNA(MATCH(38,'Transfer Engine'!$C$2:$C$622,0)),"",INDEX('Compliance Database'!$N$2:$N$622,MATCH(38,'Transfer Engine'!$C$2:$C$622,0)))</f>
        <v/>
      </c>
      <c r="O47" s="8">
        <f>IF(ISNA(MATCH(38,'Transfer Engine'!$C$2:$C$622,0)),"",INDEX('Compliance Database'!$O$2:$O$622,MATCH(38,'Transfer Engine'!$C$2:$C$622,0)))</f>
        <v/>
      </c>
    </row>
    <row r="48">
      <c r="A48">
        <f>IF(ISNA(MATCH(39,'Transfer Engine'!$C$2:$C$622,0)),"",INDEX('Compliance Database'!$A$2:$A$622,MATCH(39,'Transfer Engine'!$C$2:$C$622,0)))</f>
        <v/>
      </c>
      <c r="B48">
        <f>IF(ISNA(MATCH(39,'Transfer Engine'!$C$2:$C$622,0)),"",INDEX('Compliance Database'!$B$2:$B$622,MATCH(39,'Transfer Engine'!$C$2:$C$622,0)))</f>
        <v/>
      </c>
      <c r="C48">
        <f>IF(ISNA(MATCH(39,'Transfer Engine'!$C$2:$C$622,0)),"",INDEX('Compliance Database'!$C$2:$C$622,MATCH(39,'Transfer Engine'!$C$2:$C$622,0)))</f>
        <v/>
      </c>
      <c r="D48" s="8">
        <f>IF(ISNA(MATCH(39,'Transfer Engine'!$C$2:$C$622,0)),"",INDEX('Compliance Database'!$D$2:$D$622,MATCH(39,'Transfer Engine'!$C$2:$C$622,0)))</f>
        <v/>
      </c>
      <c r="E48">
        <f>IF(ISNA(MATCH(39,'Transfer Engine'!$C$2:$C$622,0)),"",INDEX('Compliance Database'!$E$2:$E$622,MATCH(39,'Transfer Engine'!$C$2:$C$622,0)))</f>
        <v/>
      </c>
      <c r="F48">
        <f>IF(ISNA(MATCH(39,'Transfer Engine'!$C$2:$C$622,0)),"",INDEX('Compliance Database'!$F$2:$F$622,MATCH(39,'Transfer Engine'!$C$2:$C$622,0)))</f>
        <v/>
      </c>
      <c r="G48">
        <f>IF(ISNA(MATCH(39,'Transfer Engine'!$C$2:$C$622,0)),"",INDEX('Compliance Database'!$G$2:$G$622,MATCH(39,'Transfer Engine'!$C$2:$C$622,0)))</f>
        <v/>
      </c>
      <c r="H48">
        <f>IF(ISNA(MATCH(39,'Transfer Engine'!$C$2:$C$622,0)),"",INDEX('Compliance Database'!$H$2:$H$622,MATCH(39,'Transfer Engine'!$C$2:$C$622,0)))</f>
        <v/>
      </c>
      <c r="I48" s="8">
        <f>IF(ISNA(MATCH(39,'Transfer Engine'!$C$2:$C$622,0)),"",INDEX('Compliance Database'!$I$2:$I$622,MATCH(39,'Transfer Engine'!$C$2:$C$622,0)))</f>
        <v/>
      </c>
      <c r="J48" s="8">
        <f>IF(ISNA(MATCH(39,'Transfer Engine'!$C$2:$C$622,0)),"",INDEX('Compliance Database'!$J$2:$J$622,MATCH(39,'Transfer Engine'!$C$2:$C$622,0)))</f>
        <v/>
      </c>
      <c r="K48">
        <f>IF(ISNA(MATCH(39,'Transfer Engine'!$C$2:$C$622,0)),"",INDEX('Compliance Database'!$K$2:$K$622,MATCH(39,'Transfer Engine'!$C$2:$C$622,0)))</f>
        <v/>
      </c>
      <c r="L48" s="8">
        <f>IF(ISNA(MATCH(39,'Transfer Engine'!$C$2:$C$622,0)),"",INDEX('Compliance Database'!$L$2:$L$622,MATCH(39,'Transfer Engine'!$C$2:$C$622,0)))</f>
        <v/>
      </c>
      <c r="M48" s="8">
        <f>IF(ISNA(MATCH(39,'Transfer Engine'!$C$2:$C$622,0)),"",INDEX('Compliance Database'!$M$2:$M$622,MATCH(39,'Transfer Engine'!$C$2:$C$622,0)))</f>
        <v/>
      </c>
      <c r="N48" s="8">
        <f>IF(ISNA(MATCH(39,'Transfer Engine'!$C$2:$C$622,0)),"",INDEX('Compliance Database'!$N$2:$N$622,MATCH(39,'Transfer Engine'!$C$2:$C$622,0)))</f>
        <v/>
      </c>
      <c r="O48" s="8">
        <f>IF(ISNA(MATCH(39,'Transfer Engine'!$C$2:$C$622,0)),"",INDEX('Compliance Database'!$O$2:$O$622,MATCH(39,'Transfer Engine'!$C$2:$C$622,0)))</f>
        <v/>
      </c>
    </row>
    <row r="49">
      <c r="A49">
        <f>IF(ISNA(MATCH(40,'Transfer Engine'!$C$2:$C$622,0)),"",INDEX('Compliance Database'!$A$2:$A$622,MATCH(40,'Transfer Engine'!$C$2:$C$622,0)))</f>
        <v/>
      </c>
      <c r="B49">
        <f>IF(ISNA(MATCH(40,'Transfer Engine'!$C$2:$C$622,0)),"",INDEX('Compliance Database'!$B$2:$B$622,MATCH(40,'Transfer Engine'!$C$2:$C$622,0)))</f>
        <v/>
      </c>
      <c r="C49">
        <f>IF(ISNA(MATCH(40,'Transfer Engine'!$C$2:$C$622,0)),"",INDEX('Compliance Database'!$C$2:$C$622,MATCH(40,'Transfer Engine'!$C$2:$C$622,0)))</f>
        <v/>
      </c>
      <c r="D49" s="8">
        <f>IF(ISNA(MATCH(40,'Transfer Engine'!$C$2:$C$622,0)),"",INDEX('Compliance Database'!$D$2:$D$622,MATCH(40,'Transfer Engine'!$C$2:$C$622,0)))</f>
        <v/>
      </c>
      <c r="E49">
        <f>IF(ISNA(MATCH(40,'Transfer Engine'!$C$2:$C$622,0)),"",INDEX('Compliance Database'!$E$2:$E$622,MATCH(40,'Transfer Engine'!$C$2:$C$622,0)))</f>
        <v/>
      </c>
      <c r="F49">
        <f>IF(ISNA(MATCH(40,'Transfer Engine'!$C$2:$C$622,0)),"",INDEX('Compliance Database'!$F$2:$F$622,MATCH(40,'Transfer Engine'!$C$2:$C$622,0)))</f>
        <v/>
      </c>
      <c r="G49">
        <f>IF(ISNA(MATCH(40,'Transfer Engine'!$C$2:$C$622,0)),"",INDEX('Compliance Database'!$G$2:$G$622,MATCH(40,'Transfer Engine'!$C$2:$C$622,0)))</f>
        <v/>
      </c>
      <c r="H49">
        <f>IF(ISNA(MATCH(40,'Transfer Engine'!$C$2:$C$622,0)),"",INDEX('Compliance Database'!$H$2:$H$622,MATCH(40,'Transfer Engine'!$C$2:$C$622,0)))</f>
        <v/>
      </c>
      <c r="I49" s="8">
        <f>IF(ISNA(MATCH(40,'Transfer Engine'!$C$2:$C$622,0)),"",INDEX('Compliance Database'!$I$2:$I$622,MATCH(40,'Transfer Engine'!$C$2:$C$622,0)))</f>
        <v/>
      </c>
      <c r="J49" s="8">
        <f>IF(ISNA(MATCH(40,'Transfer Engine'!$C$2:$C$622,0)),"",INDEX('Compliance Database'!$J$2:$J$622,MATCH(40,'Transfer Engine'!$C$2:$C$622,0)))</f>
        <v/>
      </c>
      <c r="K49">
        <f>IF(ISNA(MATCH(40,'Transfer Engine'!$C$2:$C$622,0)),"",INDEX('Compliance Database'!$K$2:$K$622,MATCH(40,'Transfer Engine'!$C$2:$C$622,0)))</f>
        <v/>
      </c>
      <c r="L49" s="8">
        <f>IF(ISNA(MATCH(40,'Transfer Engine'!$C$2:$C$622,0)),"",INDEX('Compliance Database'!$L$2:$L$622,MATCH(40,'Transfer Engine'!$C$2:$C$622,0)))</f>
        <v/>
      </c>
      <c r="M49" s="8">
        <f>IF(ISNA(MATCH(40,'Transfer Engine'!$C$2:$C$622,0)),"",INDEX('Compliance Database'!$M$2:$M$622,MATCH(40,'Transfer Engine'!$C$2:$C$622,0)))</f>
        <v/>
      </c>
      <c r="N49" s="8">
        <f>IF(ISNA(MATCH(40,'Transfer Engine'!$C$2:$C$622,0)),"",INDEX('Compliance Database'!$N$2:$N$622,MATCH(40,'Transfer Engine'!$C$2:$C$622,0)))</f>
        <v/>
      </c>
      <c r="O49" s="8">
        <f>IF(ISNA(MATCH(40,'Transfer Engine'!$C$2:$C$622,0)),"",INDEX('Compliance Database'!$O$2:$O$622,MATCH(40,'Transfer Engine'!$C$2:$C$622,0)))</f>
        <v/>
      </c>
    </row>
    <row r="50">
      <c r="A50">
        <f>IF(ISNA(MATCH(41,'Transfer Engine'!$C$2:$C$622,0)),"",INDEX('Compliance Database'!$A$2:$A$622,MATCH(41,'Transfer Engine'!$C$2:$C$622,0)))</f>
        <v/>
      </c>
      <c r="B50">
        <f>IF(ISNA(MATCH(41,'Transfer Engine'!$C$2:$C$622,0)),"",INDEX('Compliance Database'!$B$2:$B$622,MATCH(41,'Transfer Engine'!$C$2:$C$622,0)))</f>
        <v/>
      </c>
      <c r="C50">
        <f>IF(ISNA(MATCH(41,'Transfer Engine'!$C$2:$C$622,0)),"",INDEX('Compliance Database'!$C$2:$C$622,MATCH(41,'Transfer Engine'!$C$2:$C$622,0)))</f>
        <v/>
      </c>
      <c r="D50" s="8">
        <f>IF(ISNA(MATCH(41,'Transfer Engine'!$C$2:$C$622,0)),"",INDEX('Compliance Database'!$D$2:$D$622,MATCH(41,'Transfer Engine'!$C$2:$C$622,0)))</f>
        <v/>
      </c>
      <c r="E50">
        <f>IF(ISNA(MATCH(41,'Transfer Engine'!$C$2:$C$622,0)),"",INDEX('Compliance Database'!$E$2:$E$622,MATCH(41,'Transfer Engine'!$C$2:$C$622,0)))</f>
        <v/>
      </c>
      <c r="F50">
        <f>IF(ISNA(MATCH(41,'Transfer Engine'!$C$2:$C$622,0)),"",INDEX('Compliance Database'!$F$2:$F$622,MATCH(41,'Transfer Engine'!$C$2:$C$622,0)))</f>
        <v/>
      </c>
      <c r="G50">
        <f>IF(ISNA(MATCH(41,'Transfer Engine'!$C$2:$C$622,0)),"",INDEX('Compliance Database'!$G$2:$G$622,MATCH(41,'Transfer Engine'!$C$2:$C$622,0)))</f>
        <v/>
      </c>
      <c r="H50">
        <f>IF(ISNA(MATCH(41,'Transfer Engine'!$C$2:$C$622,0)),"",INDEX('Compliance Database'!$H$2:$H$622,MATCH(41,'Transfer Engine'!$C$2:$C$622,0)))</f>
        <v/>
      </c>
      <c r="I50" s="8">
        <f>IF(ISNA(MATCH(41,'Transfer Engine'!$C$2:$C$622,0)),"",INDEX('Compliance Database'!$I$2:$I$622,MATCH(41,'Transfer Engine'!$C$2:$C$622,0)))</f>
        <v/>
      </c>
      <c r="J50" s="8">
        <f>IF(ISNA(MATCH(41,'Transfer Engine'!$C$2:$C$622,0)),"",INDEX('Compliance Database'!$J$2:$J$622,MATCH(41,'Transfer Engine'!$C$2:$C$622,0)))</f>
        <v/>
      </c>
      <c r="K50">
        <f>IF(ISNA(MATCH(41,'Transfer Engine'!$C$2:$C$622,0)),"",INDEX('Compliance Database'!$K$2:$K$622,MATCH(41,'Transfer Engine'!$C$2:$C$622,0)))</f>
        <v/>
      </c>
      <c r="L50" s="8">
        <f>IF(ISNA(MATCH(41,'Transfer Engine'!$C$2:$C$622,0)),"",INDEX('Compliance Database'!$L$2:$L$622,MATCH(41,'Transfer Engine'!$C$2:$C$622,0)))</f>
        <v/>
      </c>
      <c r="M50" s="8">
        <f>IF(ISNA(MATCH(41,'Transfer Engine'!$C$2:$C$622,0)),"",INDEX('Compliance Database'!$M$2:$M$622,MATCH(41,'Transfer Engine'!$C$2:$C$622,0)))</f>
        <v/>
      </c>
      <c r="N50" s="8">
        <f>IF(ISNA(MATCH(41,'Transfer Engine'!$C$2:$C$622,0)),"",INDEX('Compliance Database'!$N$2:$N$622,MATCH(41,'Transfer Engine'!$C$2:$C$622,0)))</f>
        <v/>
      </c>
      <c r="O50" s="8">
        <f>IF(ISNA(MATCH(41,'Transfer Engine'!$C$2:$C$622,0)),"",INDEX('Compliance Database'!$O$2:$O$622,MATCH(41,'Transfer Engine'!$C$2:$C$622,0)))</f>
        <v/>
      </c>
    </row>
    <row r="51">
      <c r="A51">
        <f>IF(ISNA(MATCH(42,'Transfer Engine'!$C$2:$C$622,0)),"",INDEX('Compliance Database'!$A$2:$A$622,MATCH(42,'Transfer Engine'!$C$2:$C$622,0)))</f>
        <v/>
      </c>
      <c r="B51">
        <f>IF(ISNA(MATCH(42,'Transfer Engine'!$C$2:$C$622,0)),"",INDEX('Compliance Database'!$B$2:$B$622,MATCH(42,'Transfer Engine'!$C$2:$C$622,0)))</f>
        <v/>
      </c>
      <c r="C51">
        <f>IF(ISNA(MATCH(42,'Transfer Engine'!$C$2:$C$622,0)),"",INDEX('Compliance Database'!$C$2:$C$622,MATCH(42,'Transfer Engine'!$C$2:$C$622,0)))</f>
        <v/>
      </c>
      <c r="D51" s="8">
        <f>IF(ISNA(MATCH(42,'Transfer Engine'!$C$2:$C$622,0)),"",INDEX('Compliance Database'!$D$2:$D$622,MATCH(42,'Transfer Engine'!$C$2:$C$622,0)))</f>
        <v/>
      </c>
      <c r="E51">
        <f>IF(ISNA(MATCH(42,'Transfer Engine'!$C$2:$C$622,0)),"",INDEX('Compliance Database'!$E$2:$E$622,MATCH(42,'Transfer Engine'!$C$2:$C$622,0)))</f>
        <v/>
      </c>
      <c r="F51">
        <f>IF(ISNA(MATCH(42,'Transfer Engine'!$C$2:$C$622,0)),"",INDEX('Compliance Database'!$F$2:$F$622,MATCH(42,'Transfer Engine'!$C$2:$C$622,0)))</f>
        <v/>
      </c>
      <c r="G51">
        <f>IF(ISNA(MATCH(42,'Transfer Engine'!$C$2:$C$622,0)),"",INDEX('Compliance Database'!$G$2:$G$622,MATCH(42,'Transfer Engine'!$C$2:$C$622,0)))</f>
        <v/>
      </c>
      <c r="H51">
        <f>IF(ISNA(MATCH(42,'Transfer Engine'!$C$2:$C$622,0)),"",INDEX('Compliance Database'!$H$2:$H$622,MATCH(42,'Transfer Engine'!$C$2:$C$622,0)))</f>
        <v/>
      </c>
      <c r="I51" s="8">
        <f>IF(ISNA(MATCH(42,'Transfer Engine'!$C$2:$C$622,0)),"",INDEX('Compliance Database'!$I$2:$I$622,MATCH(42,'Transfer Engine'!$C$2:$C$622,0)))</f>
        <v/>
      </c>
      <c r="J51" s="8">
        <f>IF(ISNA(MATCH(42,'Transfer Engine'!$C$2:$C$622,0)),"",INDEX('Compliance Database'!$J$2:$J$622,MATCH(42,'Transfer Engine'!$C$2:$C$622,0)))</f>
        <v/>
      </c>
      <c r="K51">
        <f>IF(ISNA(MATCH(42,'Transfer Engine'!$C$2:$C$622,0)),"",INDEX('Compliance Database'!$K$2:$K$622,MATCH(42,'Transfer Engine'!$C$2:$C$622,0)))</f>
        <v/>
      </c>
      <c r="L51" s="8">
        <f>IF(ISNA(MATCH(42,'Transfer Engine'!$C$2:$C$622,0)),"",INDEX('Compliance Database'!$L$2:$L$622,MATCH(42,'Transfer Engine'!$C$2:$C$622,0)))</f>
        <v/>
      </c>
      <c r="M51" s="8">
        <f>IF(ISNA(MATCH(42,'Transfer Engine'!$C$2:$C$622,0)),"",INDEX('Compliance Database'!$M$2:$M$622,MATCH(42,'Transfer Engine'!$C$2:$C$622,0)))</f>
        <v/>
      </c>
      <c r="N51" s="8">
        <f>IF(ISNA(MATCH(42,'Transfer Engine'!$C$2:$C$622,0)),"",INDEX('Compliance Database'!$N$2:$N$622,MATCH(42,'Transfer Engine'!$C$2:$C$622,0)))</f>
        <v/>
      </c>
      <c r="O51" s="8">
        <f>IF(ISNA(MATCH(42,'Transfer Engine'!$C$2:$C$622,0)),"",INDEX('Compliance Database'!$O$2:$O$622,MATCH(42,'Transfer Engine'!$C$2:$C$622,0)))</f>
        <v/>
      </c>
    </row>
    <row r="52">
      <c r="A52">
        <f>IF(ISNA(MATCH(43,'Transfer Engine'!$C$2:$C$622,0)),"",INDEX('Compliance Database'!$A$2:$A$622,MATCH(43,'Transfer Engine'!$C$2:$C$622,0)))</f>
        <v/>
      </c>
      <c r="B52">
        <f>IF(ISNA(MATCH(43,'Transfer Engine'!$C$2:$C$622,0)),"",INDEX('Compliance Database'!$B$2:$B$622,MATCH(43,'Transfer Engine'!$C$2:$C$622,0)))</f>
        <v/>
      </c>
      <c r="C52">
        <f>IF(ISNA(MATCH(43,'Transfer Engine'!$C$2:$C$622,0)),"",INDEX('Compliance Database'!$C$2:$C$622,MATCH(43,'Transfer Engine'!$C$2:$C$622,0)))</f>
        <v/>
      </c>
      <c r="D52" s="8">
        <f>IF(ISNA(MATCH(43,'Transfer Engine'!$C$2:$C$622,0)),"",INDEX('Compliance Database'!$D$2:$D$622,MATCH(43,'Transfer Engine'!$C$2:$C$622,0)))</f>
        <v/>
      </c>
      <c r="E52">
        <f>IF(ISNA(MATCH(43,'Transfer Engine'!$C$2:$C$622,0)),"",INDEX('Compliance Database'!$E$2:$E$622,MATCH(43,'Transfer Engine'!$C$2:$C$622,0)))</f>
        <v/>
      </c>
      <c r="F52">
        <f>IF(ISNA(MATCH(43,'Transfer Engine'!$C$2:$C$622,0)),"",INDEX('Compliance Database'!$F$2:$F$622,MATCH(43,'Transfer Engine'!$C$2:$C$622,0)))</f>
        <v/>
      </c>
      <c r="G52">
        <f>IF(ISNA(MATCH(43,'Transfer Engine'!$C$2:$C$622,0)),"",INDEX('Compliance Database'!$G$2:$G$622,MATCH(43,'Transfer Engine'!$C$2:$C$622,0)))</f>
        <v/>
      </c>
      <c r="H52">
        <f>IF(ISNA(MATCH(43,'Transfer Engine'!$C$2:$C$622,0)),"",INDEX('Compliance Database'!$H$2:$H$622,MATCH(43,'Transfer Engine'!$C$2:$C$622,0)))</f>
        <v/>
      </c>
      <c r="I52" s="8">
        <f>IF(ISNA(MATCH(43,'Transfer Engine'!$C$2:$C$622,0)),"",INDEX('Compliance Database'!$I$2:$I$622,MATCH(43,'Transfer Engine'!$C$2:$C$622,0)))</f>
        <v/>
      </c>
      <c r="J52" s="8">
        <f>IF(ISNA(MATCH(43,'Transfer Engine'!$C$2:$C$622,0)),"",INDEX('Compliance Database'!$J$2:$J$622,MATCH(43,'Transfer Engine'!$C$2:$C$622,0)))</f>
        <v/>
      </c>
      <c r="K52">
        <f>IF(ISNA(MATCH(43,'Transfer Engine'!$C$2:$C$622,0)),"",INDEX('Compliance Database'!$K$2:$K$622,MATCH(43,'Transfer Engine'!$C$2:$C$622,0)))</f>
        <v/>
      </c>
      <c r="L52" s="8">
        <f>IF(ISNA(MATCH(43,'Transfer Engine'!$C$2:$C$622,0)),"",INDEX('Compliance Database'!$L$2:$L$622,MATCH(43,'Transfer Engine'!$C$2:$C$622,0)))</f>
        <v/>
      </c>
      <c r="M52" s="8">
        <f>IF(ISNA(MATCH(43,'Transfer Engine'!$C$2:$C$622,0)),"",INDEX('Compliance Database'!$M$2:$M$622,MATCH(43,'Transfer Engine'!$C$2:$C$622,0)))</f>
        <v/>
      </c>
      <c r="N52" s="8">
        <f>IF(ISNA(MATCH(43,'Transfer Engine'!$C$2:$C$622,0)),"",INDEX('Compliance Database'!$N$2:$N$622,MATCH(43,'Transfer Engine'!$C$2:$C$622,0)))</f>
        <v/>
      </c>
      <c r="O52" s="8">
        <f>IF(ISNA(MATCH(43,'Transfer Engine'!$C$2:$C$622,0)),"",INDEX('Compliance Database'!$O$2:$O$622,MATCH(43,'Transfer Engine'!$C$2:$C$622,0)))</f>
        <v/>
      </c>
    </row>
    <row r="53">
      <c r="A53">
        <f>IF(ISNA(MATCH(44,'Transfer Engine'!$C$2:$C$622,0)),"",INDEX('Compliance Database'!$A$2:$A$622,MATCH(44,'Transfer Engine'!$C$2:$C$622,0)))</f>
        <v/>
      </c>
      <c r="B53">
        <f>IF(ISNA(MATCH(44,'Transfer Engine'!$C$2:$C$622,0)),"",INDEX('Compliance Database'!$B$2:$B$622,MATCH(44,'Transfer Engine'!$C$2:$C$622,0)))</f>
        <v/>
      </c>
      <c r="C53">
        <f>IF(ISNA(MATCH(44,'Transfer Engine'!$C$2:$C$622,0)),"",INDEX('Compliance Database'!$C$2:$C$622,MATCH(44,'Transfer Engine'!$C$2:$C$622,0)))</f>
        <v/>
      </c>
      <c r="D53" s="8">
        <f>IF(ISNA(MATCH(44,'Transfer Engine'!$C$2:$C$622,0)),"",INDEX('Compliance Database'!$D$2:$D$622,MATCH(44,'Transfer Engine'!$C$2:$C$622,0)))</f>
        <v/>
      </c>
      <c r="E53">
        <f>IF(ISNA(MATCH(44,'Transfer Engine'!$C$2:$C$622,0)),"",INDEX('Compliance Database'!$E$2:$E$622,MATCH(44,'Transfer Engine'!$C$2:$C$622,0)))</f>
        <v/>
      </c>
      <c r="F53">
        <f>IF(ISNA(MATCH(44,'Transfer Engine'!$C$2:$C$622,0)),"",INDEX('Compliance Database'!$F$2:$F$622,MATCH(44,'Transfer Engine'!$C$2:$C$622,0)))</f>
        <v/>
      </c>
      <c r="G53">
        <f>IF(ISNA(MATCH(44,'Transfer Engine'!$C$2:$C$622,0)),"",INDEX('Compliance Database'!$G$2:$G$622,MATCH(44,'Transfer Engine'!$C$2:$C$622,0)))</f>
        <v/>
      </c>
      <c r="H53">
        <f>IF(ISNA(MATCH(44,'Transfer Engine'!$C$2:$C$622,0)),"",INDEX('Compliance Database'!$H$2:$H$622,MATCH(44,'Transfer Engine'!$C$2:$C$622,0)))</f>
        <v/>
      </c>
      <c r="I53" s="8">
        <f>IF(ISNA(MATCH(44,'Transfer Engine'!$C$2:$C$622,0)),"",INDEX('Compliance Database'!$I$2:$I$622,MATCH(44,'Transfer Engine'!$C$2:$C$622,0)))</f>
        <v/>
      </c>
      <c r="J53" s="8">
        <f>IF(ISNA(MATCH(44,'Transfer Engine'!$C$2:$C$622,0)),"",INDEX('Compliance Database'!$J$2:$J$622,MATCH(44,'Transfer Engine'!$C$2:$C$622,0)))</f>
        <v/>
      </c>
      <c r="K53">
        <f>IF(ISNA(MATCH(44,'Transfer Engine'!$C$2:$C$622,0)),"",INDEX('Compliance Database'!$K$2:$K$622,MATCH(44,'Transfer Engine'!$C$2:$C$622,0)))</f>
        <v/>
      </c>
      <c r="L53" s="8">
        <f>IF(ISNA(MATCH(44,'Transfer Engine'!$C$2:$C$622,0)),"",INDEX('Compliance Database'!$L$2:$L$622,MATCH(44,'Transfer Engine'!$C$2:$C$622,0)))</f>
        <v/>
      </c>
      <c r="M53" s="8">
        <f>IF(ISNA(MATCH(44,'Transfer Engine'!$C$2:$C$622,0)),"",INDEX('Compliance Database'!$M$2:$M$622,MATCH(44,'Transfer Engine'!$C$2:$C$622,0)))</f>
        <v/>
      </c>
      <c r="N53" s="8">
        <f>IF(ISNA(MATCH(44,'Transfer Engine'!$C$2:$C$622,0)),"",INDEX('Compliance Database'!$N$2:$N$622,MATCH(44,'Transfer Engine'!$C$2:$C$622,0)))</f>
        <v/>
      </c>
      <c r="O53" s="8">
        <f>IF(ISNA(MATCH(44,'Transfer Engine'!$C$2:$C$622,0)),"",INDEX('Compliance Database'!$O$2:$O$622,MATCH(44,'Transfer Engine'!$C$2:$C$622,0)))</f>
        <v/>
      </c>
    </row>
    <row r="54">
      <c r="A54">
        <f>IF(ISNA(MATCH(45,'Transfer Engine'!$C$2:$C$622,0)),"",INDEX('Compliance Database'!$A$2:$A$622,MATCH(45,'Transfer Engine'!$C$2:$C$622,0)))</f>
        <v/>
      </c>
      <c r="B54">
        <f>IF(ISNA(MATCH(45,'Transfer Engine'!$C$2:$C$622,0)),"",INDEX('Compliance Database'!$B$2:$B$622,MATCH(45,'Transfer Engine'!$C$2:$C$622,0)))</f>
        <v/>
      </c>
      <c r="C54">
        <f>IF(ISNA(MATCH(45,'Transfer Engine'!$C$2:$C$622,0)),"",INDEX('Compliance Database'!$C$2:$C$622,MATCH(45,'Transfer Engine'!$C$2:$C$622,0)))</f>
        <v/>
      </c>
      <c r="D54" s="8">
        <f>IF(ISNA(MATCH(45,'Transfer Engine'!$C$2:$C$622,0)),"",INDEX('Compliance Database'!$D$2:$D$622,MATCH(45,'Transfer Engine'!$C$2:$C$622,0)))</f>
        <v/>
      </c>
      <c r="E54">
        <f>IF(ISNA(MATCH(45,'Transfer Engine'!$C$2:$C$622,0)),"",INDEX('Compliance Database'!$E$2:$E$622,MATCH(45,'Transfer Engine'!$C$2:$C$622,0)))</f>
        <v/>
      </c>
      <c r="F54">
        <f>IF(ISNA(MATCH(45,'Transfer Engine'!$C$2:$C$622,0)),"",INDEX('Compliance Database'!$F$2:$F$622,MATCH(45,'Transfer Engine'!$C$2:$C$622,0)))</f>
        <v/>
      </c>
      <c r="G54">
        <f>IF(ISNA(MATCH(45,'Transfer Engine'!$C$2:$C$622,0)),"",INDEX('Compliance Database'!$G$2:$G$622,MATCH(45,'Transfer Engine'!$C$2:$C$622,0)))</f>
        <v/>
      </c>
      <c r="H54">
        <f>IF(ISNA(MATCH(45,'Transfer Engine'!$C$2:$C$622,0)),"",INDEX('Compliance Database'!$H$2:$H$622,MATCH(45,'Transfer Engine'!$C$2:$C$622,0)))</f>
        <v/>
      </c>
      <c r="I54" s="8">
        <f>IF(ISNA(MATCH(45,'Transfer Engine'!$C$2:$C$622,0)),"",INDEX('Compliance Database'!$I$2:$I$622,MATCH(45,'Transfer Engine'!$C$2:$C$622,0)))</f>
        <v/>
      </c>
      <c r="J54" s="8">
        <f>IF(ISNA(MATCH(45,'Transfer Engine'!$C$2:$C$622,0)),"",INDEX('Compliance Database'!$J$2:$J$622,MATCH(45,'Transfer Engine'!$C$2:$C$622,0)))</f>
        <v/>
      </c>
      <c r="K54">
        <f>IF(ISNA(MATCH(45,'Transfer Engine'!$C$2:$C$622,0)),"",INDEX('Compliance Database'!$K$2:$K$622,MATCH(45,'Transfer Engine'!$C$2:$C$622,0)))</f>
        <v/>
      </c>
      <c r="L54" s="8">
        <f>IF(ISNA(MATCH(45,'Transfer Engine'!$C$2:$C$622,0)),"",INDEX('Compliance Database'!$L$2:$L$622,MATCH(45,'Transfer Engine'!$C$2:$C$622,0)))</f>
        <v/>
      </c>
      <c r="M54" s="8">
        <f>IF(ISNA(MATCH(45,'Transfer Engine'!$C$2:$C$622,0)),"",INDEX('Compliance Database'!$M$2:$M$622,MATCH(45,'Transfer Engine'!$C$2:$C$622,0)))</f>
        <v/>
      </c>
      <c r="N54" s="8">
        <f>IF(ISNA(MATCH(45,'Transfer Engine'!$C$2:$C$622,0)),"",INDEX('Compliance Database'!$N$2:$N$622,MATCH(45,'Transfer Engine'!$C$2:$C$622,0)))</f>
        <v/>
      </c>
      <c r="O54" s="8">
        <f>IF(ISNA(MATCH(45,'Transfer Engine'!$C$2:$C$622,0)),"",INDEX('Compliance Database'!$O$2:$O$622,MATCH(45,'Transfer Engine'!$C$2:$C$622,0)))</f>
        <v/>
      </c>
    </row>
    <row r="55">
      <c r="A55">
        <f>IF(ISNA(MATCH(46,'Transfer Engine'!$C$2:$C$622,0)),"",INDEX('Compliance Database'!$A$2:$A$622,MATCH(46,'Transfer Engine'!$C$2:$C$622,0)))</f>
        <v/>
      </c>
      <c r="B55">
        <f>IF(ISNA(MATCH(46,'Transfer Engine'!$C$2:$C$622,0)),"",INDEX('Compliance Database'!$B$2:$B$622,MATCH(46,'Transfer Engine'!$C$2:$C$622,0)))</f>
        <v/>
      </c>
      <c r="C55">
        <f>IF(ISNA(MATCH(46,'Transfer Engine'!$C$2:$C$622,0)),"",INDEX('Compliance Database'!$C$2:$C$622,MATCH(46,'Transfer Engine'!$C$2:$C$622,0)))</f>
        <v/>
      </c>
      <c r="D55" s="8">
        <f>IF(ISNA(MATCH(46,'Transfer Engine'!$C$2:$C$622,0)),"",INDEX('Compliance Database'!$D$2:$D$622,MATCH(46,'Transfer Engine'!$C$2:$C$622,0)))</f>
        <v/>
      </c>
      <c r="E55">
        <f>IF(ISNA(MATCH(46,'Transfer Engine'!$C$2:$C$622,0)),"",INDEX('Compliance Database'!$E$2:$E$622,MATCH(46,'Transfer Engine'!$C$2:$C$622,0)))</f>
        <v/>
      </c>
      <c r="F55">
        <f>IF(ISNA(MATCH(46,'Transfer Engine'!$C$2:$C$622,0)),"",INDEX('Compliance Database'!$F$2:$F$622,MATCH(46,'Transfer Engine'!$C$2:$C$622,0)))</f>
        <v/>
      </c>
      <c r="G55">
        <f>IF(ISNA(MATCH(46,'Transfer Engine'!$C$2:$C$622,0)),"",INDEX('Compliance Database'!$G$2:$G$622,MATCH(46,'Transfer Engine'!$C$2:$C$622,0)))</f>
        <v/>
      </c>
      <c r="H55">
        <f>IF(ISNA(MATCH(46,'Transfer Engine'!$C$2:$C$622,0)),"",INDEX('Compliance Database'!$H$2:$H$622,MATCH(46,'Transfer Engine'!$C$2:$C$622,0)))</f>
        <v/>
      </c>
      <c r="I55" s="8">
        <f>IF(ISNA(MATCH(46,'Transfer Engine'!$C$2:$C$622,0)),"",INDEX('Compliance Database'!$I$2:$I$622,MATCH(46,'Transfer Engine'!$C$2:$C$622,0)))</f>
        <v/>
      </c>
      <c r="J55" s="8">
        <f>IF(ISNA(MATCH(46,'Transfer Engine'!$C$2:$C$622,0)),"",INDEX('Compliance Database'!$J$2:$J$622,MATCH(46,'Transfer Engine'!$C$2:$C$622,0)))</f>
        <v/>
      </c>
      <c r="K55">
        <f>IF(ISNA(MATCH(46,'Transfer Engine'!$C$2:$C$622,0)),"",INDEX('Compliance Database'!$K$2:$K$622,MATCH(46,'Transfer Engine'!$C$2:$C$622,0)))</f>
        <v/>
      </c>
      <c r="L55" s="8">
        <f>IF(ISNA(MATCH(46,'Transfer Engine'!$C$2:$C$622,0)),"",INDEX('Compliance Database'!$L$2:$L$622,MATCH(46,'Transfer Engine'!$C$2:$C$622,0)))</f>
        <v/>
      </c>
      <c r="M55" s="8">
        <f>IF(ISNA(MATCH(46,'Transfer Engine'!$C$2:$C$622,0)),"",INDEX('Compliance Database'!$M$2:$M$622,MATCH(46,'Transfer Engine'!$C$2:$C$622,0)))</f>
        <v/>
      </c>
      <c r="N55" s="8">
        <f>IF(ISNA(MATCH(46,'Transfer Engine'!$C$2:$C$622,0)),"",INDEX('Compliance Database'!$N$2:$N$622,MATCH(46,'Transfer Engine'!$C$2:$C$622,0)))</f>
        <v/>
      </c>
      <c r="O55" s="8">
        <f>IF(ISNA(MATCH(46,'Transfer Engine'!$C$2:$C$622,0)),"",INDEX('Compliance Database'!$O$2:$O$622,MATCH(46,'Transfer Engine'!$C$2:$C$622,0)))</f>
        <v/>
      </c>
    </row>
    <row r="56">
      <c r="A56">
        <f>IF(ISNA(MATCH(47,'Transfer Engine'!$C$2:$C$622,0)),"",INDEX('Compliance Database'!$A$2:$A$622,MATCH(47,'Transfer Engine'!$C$2:$C$622,0)))</f>
        <v/>
      </c>
      <c r="B56">
        <f>IF(ISNA(MATCH(47,'Transfer Engine'!$C$2:$C$622,0)),"",INDEX('Compliance Database'!$B$2:$B$622,MATCH(47,'Transfer Engine'!$C$2:$C$622,0)))</f>
        <v/>
      </c>
      <c r="C56">
        <f>IF(ISNA(MATCH(47,'Transfer Engine'!$C$2:$C$622,0)),"",INDEX('Compliance Database'!$C$2:$C$622,MATCH(47,'Transfer Engine'!$C$2:$C$622,0)))</f>
        <v/>
      </c>
      <c r="D56" s="8">
        <f>IF(ISNA(MATCH(47,'Transfer Engine'!$C$2:$C$622,0)),"",INDEX('Compliance Database'!$D$2:$D$622,MATCH(47,'Transfer Engine'!$C$2:$C$622,0)))</f>
        <v/>
      </c>
      <c r="E56">
        <f>IF(ISNA(MATCH(47,'Transfer Engine'!$C$2:$C$622,0)),"",INDEX('Compliance Database'!$E$2:$E$622,MATCH(47,'Transfer Engine'!$C$2:$C$622,0)))</f>
        <v/>
      </c>
      <c r="F56">
        <f>IF(ISNA(MATCH(47,'Transfer Engine'!$C$2:$C$622,0)),"",INDEX('Compliance Database'!$F$2:$F$622,MATCH(47,'Transfer Engine'!$C$2:$C$622,0)))</f>
        <v/>
      </c>
      <c r="G56">
        <f>IF(ISNA(MATCH(47,'Transfer Engine'!$C$2:$C$622,0)),"",INDEX('Compliance Database'!$G$2:$G$622,MATCH(47,'Transfer Engine'!$C$2:$C$622,0)))</f>
        <v/>
      </c>
      <c r="H56">
        <f>IF(ISNA(MATCH(47,'Transfer Engine'!$C$2:$C$622,0)),"",INDEX('Compliance Database'!$H$2:$H$622,MATCH(47,'Transfer Engine'!$C$2:$C$622,0)))</f>
        <v/>
      </c>
      <c r="I56" s="8">
        <f>IF(ISNA(MATCH(47,'Transfer Engine'!$C$2:$C$622,0)),"",INDEX('Compliance Database'!$I$2:$I$622,MATCH(47,'Transfer Engine'!$C$2:$C$622,0)))</f>
        <v/>
      </c>
      <c r="J56" s="8">
        <f>IF(ISNA(MATCH(47,'Transfer Engine'!$C$2:$C$622,0)),"",INDEX('Compliance Database'!$J$2:$J$622,MATCH(47,'Transfer Engine'!$C$2:$C$622,0)))</f>
        <v/>
      </c>
      <c r="K56">
        <f>IF(ISNA(MATCH(47,'Transfer Engine'!$C$2:$C$622,0)),"",INDEX('Compliance Database'!$K$2:$K$622,MATCH(47,'Transfer Engine'!$C$2:$C$622,0)))</f>
        <v/>
      </c>
      <c r="L56" s="8">
        <f>IF(ISNA(MATCH(47,'Transfer Engine'!$C$2:$C$622,0)),"",INDEX('Compliance Database'!$L$2:$L$622,MATCH(47,'Transfer Engine'!$C$2:$C$622,0)))</f>
        <v/>
      </c>
      <c r="M56" s="8">
        <f>IF(ISNA(MATCH(47,'Transfer Engine'!$C$2:$C$622,0)),"",INDEX('Compliance Database'!$M$2:$M$622,MATCH(47,'Transfer Engine'!$C$2:$C$622,0)))</f>
        <v/>
      </c>
      <c r="N56" s="8">
        <f>IF(ISNA(MATCH(47,'Transfer Engine'!$C$2:$C$622,0)),"",INDEX('Compliance Database'!$N$2:$N$622,MATCH(47,'Transfer Engine'!$C$2:$C$622,0)))</f>
        <v/>
      </c>
      <c r="O56" s="8">
        <f>IF(ISNA(MATCH(47,'Transfer Engine'!$C$2:$C$622,0)),"",INDEX('Compliance Database'!$O$2:$O$622,MATCH(47,'Transfer Engine'!$C$2:$C$622,0)))</f>
        <v/>
      </c>
    </row>
    <row r="57">
      <c r="A57">
        <f>IF(ISNA(MATCH(48,'Transfer Engine'!$C$2:$C$622,0)),"",INDEX('Compliance Database'!$A$2:$A$622,MATCH(48,'Transfer Engine'!$C$2:$C$622,0)))</f>
        <v/>
      </c>
      <c r="B57">
        <f>IF(ISNA(MATCH(48,'Transfer Engine'!$C$2:$C$622,0)),"",INDEX('Compliance Database'!$B$2:$B$622,MATCH(48,'Transfer Engine'!$C$2:$C$622,0)))</f>
        <v/>
      </c>
      <c r="C57">
        <f>IF(ISNA(MATCH(48,'Transfer Engine'!$C$2:$C$622,0)),"",INDEX('Compliance Database'!$C$2:$C$622,MATCH(48,'Transfer Engine'!$C$2:$C$622,0)))</f>
        <v/>
      </c>
      <c r="D57" s="8">
        <f>IF(ISNA(MATCH(48,'Transfer Engine'!$C$2:$C$622,0)),"",INDEX('Compliance Database'!$D$2:$D$622,MATCH(48,'Transfer Engine'!$C$2:$C$622,0)))</f>
        <v/>
      </c>
      <c r="E57">
        <f>IF(ISNA(MATCH(48,'Transfer Engine'!$C$2:$C$622,0)),"",INDEX('Compliance Database'!$E$2:$E$622,MATCH(48,'Transfer Engine'!$C$2:$C$622,0)))</f>
        <v/>
      </c>
      <c r="F57">
        <f>IF(ISNA(MATCH(48,'Transfer Engine'!$C$2:$C$622,0)),"",INDEX('Compliance Database'!$F$2:$F$622,MATCH(48,'Transfer Engine'!$C$2:$C$622,0)))</f>
        <v/>
      </c>
      <c r="G57">
        <f>IF(ISNA(MATCH(48,'Transfer Engine'!$C$2:$C$622,0)),"",INDEX('Compliance Database'!$G$2:$G$622,MATCH(48,'Transfer Engine'!$C$2:$C$622,0)))</f>
        <v/>
      </c>
      <c r="H57">
        <f>IF(ISNA(MATCH(48,'Transfer Engine'!$C$2:$C$622,0)),"",INDEX('Compliance Database'!$H$2:$H$622,MATCH(48,'Transfer Engine'!$C$2:$C$622,0)))</f>
        <v/>
      </c>
      <c r="I57" s="8">
        <f>IF(ISNA(MATCH(48,'Transfer Engine'!$C$2:$C$622,0)),"",INDEX('Compliance Database'!$I$2:$I$622,MATCH(48,'Transfer Engine'!$C$2:$C$622,0)))</f>
        <v/>
      </c>
      <c r="J57" s="8">
        <f>IF(ISNA(MATCH(48,'Transfer Engine'!$C$2:$C$622,0)),"",INDEX('Compliance Database'!$J$2:$J$622,MATCH(48,'Transfer Engine'!$C$2:$C$622,0)))</f>
        <v/>
      </c>
      <c r="K57">
        <f>IF(ISNA(MATCH(48,'Transfer Engine'!$C$2:$C$622,0)),"",INDEX('Compliance Database'!$K$2:$K$622,MATCH(48,'Transfer Engine'!$C$2:$C$622,0)))</f>
        <v/>
      </c>
      <c r="L57" s="8">
        <f>IF(ISNA(MATCH(48,'Transfer Engine'!$C$2:$C$622,0)),"",INDEX('Compliance Database'!$L$2:$L$622,MATCH(48,'Transfer Engine'!$C$2:$C$622,0)))</f>
        <v/>
      </c>
      <c r="M57" s="8">
        <f>IF(ISNA(MATCH(48,'Transfer Engine'!$C$2:$C$622,0)),"",INDEX('Compliance Database'!$M$2:$M$622,MATCH(48,'Transfer Engine'!$C$2:$C$622,0)))</f>
        <v/>
      </c>
      <c r="N57" s="8">
        <f>IF(ISNA(MATCH(48,'Transfer Engine'!$C$2:$C$622,0)),"",INDEX('Compliance Database'!$N$2:$N$622,MATCH(48,'Transfer Engine'!$C$2:$C$622,0)))</f>
        <v/>
      </c>
      <c r="O57" s="8">
        <f>IF(ISNA(MATCH(48,'Transfer Engine'!$C$2:$C$622,0)),"",INDEX('Compliance Database'!$O$2:$O$622,MATCH(48,'Transfer Engine'!$C$2:$C$622,0)))</f>
        <v/>
      </c>
    </row>
    <row r="58">
      <c r="A58">
        <f>IF(ISNA(MATCH(49,'Transfer Engine'!$C$2:$C$622,0)),"",INDEX('Compliance Database'!$A$2:$A$622,MATCH(49,'Transfer Engine'!$C$2:$C$622,0)))</f>
        <v/>
      </c>
      <c r="B58">
        <f>IF(ISNA(MATCH(49,'Transfer Engine'!$C$2:$C$622,0)),"",INDEX('Compliance Database'!$B$2:$B$622,MATCH(49,'Transfer Engine'!$C$2:$C$622,0)))</f>
        <v/>
      </c>
      <c r="C58">
        <f>IF(ISNA(MATCH(49,'Transfer Engine'!$C$2:$C$622,0)),"",INDEX('Compliance Database'!$C$2:$C$622,MATCH(49,'Transfer Engine'!$C$2:$C$622,0)))</f>
        <v/>
      </c>
      <c r="D58" s="8">
        <f>IF(ISNA(MATCH(49,'Transfer Engine'!$C$2:$C$622,0)),"",INDEX('Compliance Database'!$D$2:$D$622,MATCH(49,'Transfer Engine'!$C$2:$C$622,0)))</f>
        <v/>
      </c>
      <c r="E58">
        <f>IF(ISNA(MATCH(49,'Transfer Engine'!$C$2:$C$622,0)),"",INDEX('Compliance Database'!$E$2:$E$622,MATCH(49,'Transfer Engine'!$C$2:$C$622,0)))</f>
        <v/>
      </c>
      <c r="F58">
        <f>IF(ISNA(MATCH(49,'Transfer Engine'!$C$2:$C$622,0)),"",INDEX('Compliance Database'!$F$2:$F$622,MATCH(49,'Transfer Engine'!$C$2:$C$622,0)))</f>
        <v/>
      </c>
      <c r="G58">
        <f>IF(ISNA(MATCH(49,'Transfer Engine'!$C$2:$C$622,0)),"",INDEX('Compliance Database'!$G$2:$G$622,MATCH(49,'Transfer Engine'!$C$2:$C$622,0)))</f>
        <v/>
      </c>
      <c r="H58">
        <f>IF(ISNA(MATCH(49,'Transfer Engine'!$C$2:$C$622,0)),"",INDEX('Compliance Database'!$H$2:$H$622,MATCH(49,'Transfer Engine'!$C$2:$C$622,0)))</f>
        <v/>
      </c>
      <c r="I58" s="8">
        <f>IF(ISNA(MATCH(49,'Transfer Engine'!$C$2:$C$622,0)),"",INDEX('Compliance Database'!$I$2:$I$622,MATCH(49,'Transfer Engine'!$C$2:$C$622,0)))</f>
        <v/>
      </c>
      <c r="J58" s="8">
        <f>IF(ISNA(MATCH(49,'Transfer Engine'!$C$2:$C$622,0)),"",INDEX('Compliance Database'!$J$2:$J$622,MATCH(49,'Transfer Engine'!$C$2:$C$622,0)))</f>
        <v/>
      </c>
      <c r="K58">
        <f>IF(ISNA(MATCH(49,'Transfer Engine'!$C$2:$C$622,0)),"",INDEX('Compliance Database'!$K$2:$K$622,MATCH(49,'Transfer Engine'!$C$2:$C$622,0)))</f>
        <v/>
      </c>
      <c r="L58" s="8">
        <f>IF(ISNA(MATCH(49,'Transfer Engine'!$C$2:$C$622,0)),"",INDEX('Compliance Database'!$L$2:$L$622,MATCH(49,'Transfer Engine'!$C$2:$C$622,0)))</f>
        <v/>
      </c>
      <c r="M58" s="8">
        <f>IF(ISNA(MATCH(49,'Transfer Engine'!$C$2:$C$622,0)),"",INDEX('Compliance Database'!$M$2:$M$622,MATCH(49,'Transfer Engine'!$C$2:$C$622,0)))</f>
        <v/>
      </c>
      <c r="N58" s="8">
        <f>IF(ISNA(MATCH(49,'Transfer Engine'!$C$2:$C$622,0)),"",INDEX('Compliance Database'!$N$2:$N$622,MATCH(49,'Transfer Engine'!$C$2:$C$622,0)))</f>
        <v/>
      </c>
      <c r="O58" s="8">
        <f>IF(ISNA(MATCH(49,'Transfer Engine'!$C$2:$C$622,0)),"",INDEX('Compliance Database'!$O$2:$O$622,MATCH(49,'Transfer Engine'!$C$2:$C$622,0)))</f>
        <v/>
      </c>
    </row>
    <row r="59">
      <c r="A59">
        <f>IF(ISNA(MATCH(50,'Transfer Engine'!$C$2:$C$622,0)),"",INDEX('Compliance Database'!$A$2:$A$622,MATCH(50,'Transfer Engine'!$C$2:$C$622,0)))</f>
        <v/>
      </c>
      <c r="B59">
        <f>IF(ISNA(MATCH(50,'Transfer Engine'!$C$2:$C$622,0)),"",INDEX('Compliance Database'!$B$2:$B$622,MATCH(50,'Transfer Engine'!$C$2:$C$622,0)))</f>
        <v/>
      </c>
      <c r="C59">
        <f>IF(ISNA(MATCH(50,'Transfer Engine'!$C$2:$C$622,0)),"",INDEX('Compliance Database'!$C$2:$C$622,MATCH(50,'Transfer Engine'!$C$2:$C$622,0)))</f>
        <v/>
      </c>
      <c r="D59" s="8">
        <f>IF(ISNA(MATCH(50,'Transfer Engine'!$C$2:$C$622,0)),"",INDEX('Compliance Database'!$D$2:$D$622,MATCH(50,'Transfer Engine'!$C$2:$C$622,0)))</f>
        <v/>
      </c>
      <c r="E59">
        <f>IF(ISNA(MATCH(50,'Transfer Engine'!$C$2:$C$622,0)),"",INDEX('Compliance Database'!$E$2:$E$622,MATCH(50,'Transfer Engine'!$C$2:$C$622,0)))</f>
        <v/>
      </c>
      <c r="F59">
        <f>IF(ISNA(MATCH(50,'Transfer Engine'!$C$2:$C$622,0)),"",INDEX('Compliance Database'!$F$2:$F$622,MATCH(50,'Transfer Engine'!$C$2:$C$622,0)))</f>
        <v/>
      </c>
      <c r="G59">
        <f>IF(ISNA(MATCH(50,'Transfer Engine'!$C$2:$C$622,0)),"",INDEX('Compliance Database'!$G$2:$G$622,MATCH(50,'Transfer Engine'!$C$2:$C$622,0)))</f>
        <v/>
      </c>
      <c r="H59">
        <f>IF(ISNA(MATCH(50,'Transfer Engine'!$C$2:$C$622,0)),"",INDEX('Compliance Database'!$H$2:$H$622,MATCH(50,'Transfer Engine'!$C$2:$C$622,0)))</f>
        <v/>
      </c>
      <c r="I59" s="8">
        <f>IF(ISNA(MATCH(50,'Transfer Engine'!$C$2:$C$622,0)),"",INDEX('Compliance Database'!$I$2:$I$622,MATCH(50,'Transfer Engine'!$C$2:$C$622,0)))</f>
        <v/>
      </c>
      <c r="J59" s="8">
        <f>IF(ISNA(MATCH(50,'Transfer Engine'!$C$2:$C$622,0)),"",INDEX('Compliance Database'!$J$2:$J$622,MATCH(50,'Transfer Engine'!$C$2:$C$622,0)))</f>
        <v/>
      </c>
      <c r="K59">
        <f>IF(ISNA(MATCH(50,'Transfer Engine'!$C$2:$C$622,0)),"",INDEX('Compliance Database'!$K$2:$K$622,MATCH(50,'Transfer Engine'!$C$2:$C$622,0)))</f>
        <v/>
      </c>
      <c r="L59" s="8">
        <f>IF(ISNA(MATCH(50,'Transfer Engine'!$C$2:$C$622,0)),"",INDEX('Compliance Database'!$L$2:$L$622,MATCH(50,'Transfer Engine'!$C$2:$C$622,0)))</f>
        <v/>
      </c>
      <c r="M59" s="8">
        <f>IF(ISNA(MATCH(50,'Transfer Engine'!$C$2:$C$622,0)),"",INDEX('Compliance Database'!$M$2:$M$622,MATCH(50,'Transfer Engine'!$C$2:$C$622,0)))</f>
        <v/>
      </c>
      <c r="N59" s="8">
        <f>IF(ISNA(MATCH(50,'Transfer Engine'!$C$2:$C$622,0)),"",INDEX('Compliance Database'!$N$2:$N$622,MATCH(50,'Transfer Engine'!$C$2:$C$622,0)))</f>
        <v/>
      </c>
      <c r="O59" s="8">
        <f>IF(ISNA(MATCH(50,'Transfer Engine'!$C$2:$C$622,0)),"",INDEX('Compliance Database'!$O$2:$O$622,MATCH(50,'Transfer Engine'!$C$2:$C$622,0)))</f>
        <v/>
      </c>
    </row>
    <row r="60">
      <c r="A60">
        <f>IF(ISNA(MATCH(51,'Transfer Engine'!$C$2:$C$622,0)),"",INDEX('Compliance Database'!$A$2:$A$622,MATCH(51,'Transfer Engine'!$C$2:$C$622,0)))</f>
        <v/>
      </c>
      <c r="B60">
        <f>IF(ISNA(MATCH(51,'Transfer Engine'!$C$2:$C$622,0)),"",INDEX('Compliance Database'!$B$2:$B$622,MATCH(51,'Transfer Engine'!$C$2:$C$622,0)))</f>
        <v/>
      </c>
      <c r="C60">
        <f>IF(ISNA(MATCH(51,'Transfer Engine'!$C$2:$C$622,0)),"",INDEX('Compliance Database'!$C$2:$C$622,MATCH(51,'Transfer Engine'!$C$2:$C$622,0)))</f>
        <v/>
      </c>
      <c r="D60" s="8">
        <f>IF(ISNA(MATCH(51,'Transfer Engine'!$C$2:$C$622,0)),"",INDEX('Compliance Database'!$D$2:$D$622,MATCH(51,'Transfer Engine'!$C$2:$C$622,0)))</f>
        <v/>
      </c>
      <c r="E60">
        <f>IF(ISNA(MATCH(51,'Transfer Engine'!$C$2:$C$622,0)),"",INDEX('Compliance Database'!$E$2:$E$622,MATCH(51,'Transfer Engine'!$C$2:$C$622,0)))</f>
        <v/>
      </c>
      <c r="F60">
        <f>IF(ISNA(MATCH(51,'Transfer Engine'!$C$2:$C$622,0)),"",INDEX('Compliance Database'!$F$2:$F$622,MATCH(51,'Transfer Engine'!$C$2:$C$622,0)))</f>
        <v/>
      </c>
      <c r="G60">
        <f>IF(ISNA(MATCH(51,'Transfer Engine'!$C$2:$C$622,0)),"",INDEX('Compliance Database'!$G$2:$G$622,MATCH(51,'Transfer Engine'!$C$2:$C$622,0)))</f>
        <v/>
      </c>
      <c r="H60">
        <f>IF(ISNA(MATCH(51,'Transfer Engine'!$C$2:$C$622,0)),"",INDEX('Compliance Database'!$H$2:$H$622,MATCH(51,'Transfer Engine'!$C$2:$C$622,0)))</f>
        <v/>
      </c>
      <c r="I60" s="8">
        <f>IF(ISNA(MATCH(51,'Transfer Engine'!$C$2:$C$622,0)),"",INDEX('Compliance Database'!$I$2:$I$622,MATCH(51,'Transfer Engine'!$C$2:$C$622,0)))</f>
        <v/>
      </c>
      <c r="J60" s="8">
        <f>IF(ISNA(MATCH(51,'Transfer Engine'!$C$2:$C$622,0)),"",INDEX('Compliance Database'!$J$2:$J$622,MATCH(51,'Transfer Engine'!$C$2:$C$622,0)))</f>
        <v/>
      </c>
      <c r="K60">
        <f>IF(ISNA(MATCH(51,'Transfer Engine'!$C$2:$C$622,0)),"",INDEX('Compliance Database'!$K$2:$K$622,MATCH(51,'Transfer Engine'!$C$2:$C$622,0)))</f>
        <v/>
      </c>
      <c r="L60" s="8">
        <f>IF(ISNA(MATCH(51,'Transfer Engine'!$C$2:$C$622,0)),"",INDEX('Compliance Database'!$L$2:$L$622,MATCH(51,'Transfer Engine'!$C$2:$C$622,0)))</f>
        <v/>
      </c>
      <c r="M60" s="8">
        <f>IF(ISNA(MATCH(51,'Transfer Engine'!$C$2:$C$622,0)),"",INDEX('Compliance Database'!$M$2:$M$622,MATCH(51,'Transfer Engine'!$C$2:$C$622,0)))</f>
        <v/>
      </c>
      <c r="N60" s="8">
        <f>IF(ISNA(MATCH(51,'Transfer Engine'!$C$2:$C$622,0)),"",INDEX('Compliance Database'!$N$2:$N$622,MATCH(51,'Transfer Engine'!$C$2:$C$622,0)))</f>
        <v/>
      </c>
      <c r="O60" s="8">
        <f>IF(ISNA(MATCH(51,'Transfer Engine'!$C$2:$C$622,0)),"",INDEX('Compliance Database'!$O$2:$O$622,MATCH(51,'Transfer Engine'!$C$2:$C$622,0)))</f>
        <v/>
      </c>
    </row>
    <row r="61">
      <c r="A61">
        <f>IF(ISNA(MATCH(52,'Transfer Engine'!$C$2:$C$622,0)),"",INDEX('Compliance Database'!$A$2:$A$622,MATCH(52,'Transfer Engine'!$C$2:$C$622,0)))</f>
        <v/>
      </c>
      <c r="B61">
        <f>IF(ISNA(MATCH(52,'Transfer Engine'!$C$2:$C$622,0)),"",INDEX('Compliance Database'!$B$2:$B$622,MATCH(52,'Transfer Engine'!$C$2:$C$622,0)))</f>
        <v/>
      </c>
      <c r="C61">
        <f>IF(ISNA(MATCH(52,'Transfer Engine'!$C$2:$C$622,0)),"",INDEX('Compliance Database'!$C$2:$C$622,MATCH(52,'Transfer Engine'!$C$2:$C$622,0)))</f>
        <v/>
      </c>
      <c r="D61" s="8">
        <f>IF(ISNA(MATCH(52,'Transfer Engine'!$C$2:$C$622,0)),"",INDEX('Compliance Database'!$D$2:$D$622,MATCH(52,'Transfer Engine'!$C$2:$C$622,0)))</f>
        <v/>
      </c>
      <c r="E61">
        <f>IF(ISNA(MATCH(52,'Transfer Engine'!$C$2:$C$622,0)),"",INDEX('Compliance Database'!$E$2:$E$622,MATCH(52,'Transfer Engine'!$C$2:$C$622,0)))</f>
        <v/>
      </c>
      <c r="F61">
        <f>IF(ISNA(MATCH(52,'Transfer Engine'!$C$2:$C$622,0)),"",INDEX('Compliance Database'!$F$2:$F$622,MATCH(52,'Transfer Engine'!$C$2:$C$622,0)))</f>
        <v/>
      </c>
      <c r="G61">
        <f>IF(ISNA(MATCH(52,'Transfer Engine'!$C$2:$C$622,0)),"",INDEX('Compliance Database'!$G$2:$G$622,MATCH(52,'Transfer Engine'!$C$2:$C$622,0)))</f>
        <v/>
      </c>
      <c r="H61">
        <f>IF(ISNA(MATCH(52,'Transfer Engine'!$C$2:$C$622,0)),"",INDEX('Compliance Database'!$H$2:$H$622,MATCH(52,'Transfer Engine'!$C$2:$C$622,0)))</f>
        <v/>
      </c>
      <c r="I61" s="8">
        <f>IF(ISNA(MATCH(52,'Transfer Engine'!$C$2:$C$622,0)),"",INDEX('Compliance Database'!$I$2:$I$622,MATCH(52,'Transfer Engine'!$C$2:$C$622,0)))</f>
        <v/>
      </c>
      <c r="J61" s="8">
        <f>IF(ISNA(MATCH(52,'Transfer Engine'!$C$2:$C$622,0)),"",INDEX('Compliance Database'!$J$2:$J$622,MATCH(52,'Transfer Engine'!$C$2:$C$622,0)))</f>
        <v/>
      </c>
      <c r="K61">
        <f>IF(ISNA(MATCH(52,'Transfer Engine'!$C$2:$C$622,0)),"",INDEX('Compliance Database'!$K$2:$K$622,MATCH(52,'Transfer Engine'!$C$2:$C$622,0)))</f>
        <v/>
      </c>
      <c r="L61" s="8">
        <f>IF(ISNA(MATCH(52,'Transfer Engine'!$C$2:$C$622,0)),"",INDEX('Compliance Database'!$L$2:$L$622,MATCH(52,'Transfer Engine'!$C$2:$C$622,0)))</f>
        <v/>
      </c>
      <c r="M61" s="8">
        <f>IF(ISNA(MATCH(52,'Transfer Engine'!$C$2:$C$622,0)),"",INDEX('Compliance Database'!$M$2:$M$622,MATCH(52,'Transfer Engine'!$C$2:$C$622,0)))</f>
        <v/>
      </c>
      <c r="N61" s="8">
        <f>IF(ISNA(MATCH(52,'Transfer Engine'!$C$2:$C$622,0)),"",INDEX('Compliance Database'!$N$2:$N$622,MATCH(52,'Transfer Engine'!$C$2:$C$622,0)))</f>
        <v/>
      </c>
      <c r="O61" s="8">
        <f>IF(ISNA(MATCH(52,'Transfer Engine'!$C$2:$C$622,0)),"",INDEX('Compliance Database'!$O$2:$O$622,MATCH(52,'Transfer Engine'!$C$2:$C$622,0)))</f>
        <v/>
      </c>
    </row>
    <row r="62">
      <c r="A62">
        <f>IF(ISNA(MATCH(53,'Transfer Engine'!$C$2:$C$622,0)),"",INDEX('Compliance Database'!$A$2:$A$622,MATCH(53,'Transfer Engine'!$C$2:$C$622,0)))</f>
        <v/>
      </c>
      <c r="B62">
        <f>IF(ISNA(MATCH(53,'Transfer Engine'!$C$2:$C$622,0)),"",INDEX('Compliance Database'!$B$2:$B$622,MATCH(53,'Transfer Engine'!$C$2:$C$622,0)))</f>
        <v/>
      </c>
      <c r="C62">
        <f>IF(ISNA(MATCH(53,'Transfer Engine'!$C$2:$C$622,0)),"",INDEX('Compliance Database'!$C$2:$C$622,MATCH(53,'Transfer Engine'!$C$2:$C$622,0)))</f>
        <v/>
      </c>
      <c r="D62" s="8">
        <f>IF(ISNA(MATCH(53,'Transfer Engine'!$C$2:$C$622,0)),"",INDEX('Compliance Database'!$D$2:$D$622,MATCH(53,'Transfer Engine'!$C$2:$C$622,0)))</f>
        <v/>
      </c>
      <c r="E62">
        <f>IF(ISNA(MATCH(53,'Transfer Engine'!$C$2:$C$622,0)),"",INDEX('Compliance Database'!$E$2:$E$622,MATCH(53,'Transfer Engine'!$C$2:$C$622,0)))</f>
        <v/>
      </c>
      <c r="F62">
        <f>IF(ISNA(MATCH(53,'Transfer Engine'!$C$2:$C$622,0)),"",INDEX('Compliance Database'!$F$2:$F$622,MATCH(53,'Transfer Engine'!$C$2:$C$622,0)))</f>
        <v/>
      </c>
      <c r="G62">
        <f>IF(ISNA(MATCH(53,'Transfer Engine'!$C$2:$C$622,0)),"",INDEX('Compliance Database'!$G$2:$G$622,MATCH(53,'Transfer Engine'!$C$2:$C$622,0)))</f>
        <v/>
      </c>
      <c r="H62">
        <f>IF(ISNA(MATCH(53,'Transfer Engine'!$C$2:$C$622,0)),"",INDEX('Compliance Database'!$H$2:$H$622,MATCH(53,'Transfer Engine'!$C$2:$C$622,0)))</f>
        <v/>
      </c>
      <c r="I62" s="8">
        <f>IF(ISNA(MATCH(53,'Transfer Engine'!$C$2:$C$622,0)),"",INDEX('Compliance Database'!$I$2:$I$622,MATCH(53,'Transfer Engine'!$C$2:$C$622,0)))</f>
        <v/>
      </c>
      <c r="J62" s="8">
        <f>IF(ISNA(MATCH(53,'Transfer Engine'!$C$2:$C$622,0)),"",INDEX('Compliance Database'!$J$2:$J$622,MATCH(53,'Transfer Engine'!$C$2:$C$622,0)))</f>
        <v/>
      </c>
      <c r="K62">
        <f>IF(ISNA(MATCH(53,'Transfer Engine'!$C$2:$C$622,0)),"",INDEX('Compliance Database'!$K$2:$K$622,MATCH(53,'Transfer Engine'!$C$2:$C$622,0)))</f>
        <v/>
      </c>
      <c r="L62" s="8">
        <f>IF(ISNA(MATCH(53,'Transfer Engine'!$C$2:$C$622,0)),"",INDEX('Compliance Database'!$L$2:$L$622,MATCH(53,'Transfer Engine'!$C$2:$C$622,0)))</f>
        <v/>
      </c>
      <c r="M62" s="8">
        <f>IF(ISNA(MATCH(53,'Transfer Engine'!$C$2:$C$622,0)),"",INDEX('Compliance Database'!$M$2:$M$622,MATCH(53,'Transfer Engine'!$C$2:$C$622,0)))</f>
        <v/>
      </c>
      <c r="N62" s="8">
        <f>IF(ISNA(MATCH(53,'Transfer Engine'!$C$2:$C$622,0)),"",INDEX('Compliance Database'!$N$2:$N$622,MATCH(53,'Transfer Engine'!$C$2:$C$622,0)))</f>
        <v/>
      </c>
      <c r="O62" s="8">
        <f>IF(ISNA(MATCH(53,'Transfer Engine'!$C$2:$C$622,0)),"",INDEX('Compliance Database'!$O$2:$O$622,MATCH(53,'Transfer Engine'!$C$2:$C$622,0)))</f>
        <v/>
      </c>
    </row>
    <row r="63">
      <c r="A63">
        <f>IF(ISNA(MATCH(54,'Transfer Engine'!$C$2:$C$622,0)),"",INDEX('Compliance Database'!$A$2:$A$622,MATCH(54,'Transfer Engine'!$C$2:$C$622,0)))</f>
        <v/>
      </c>
      <c r="B63">
        <f>IF(ISNA(MATCH(54,'Transfer Engine'!$C$2:$C$622,0)),"",INDEX('Compliance Database'!$B$2:$B$622,MATCH(54,'Transfer Engine'!$C$2:$C$622,0)))</f>
        <v/>
      </c>
      <c r="C63">
        <f>IF(ISNA(MATCH(54,'Transfer Engine'!$C$2:$C$622,0)),"",INDEX('Compliance Database'!$C$2:$C$622,MATCH(54,'Transfer Engine'!$C$2:$C$622,0)))</f>
        <v/>
      </c>
      <c r="D63" s="8">
        <f>IF(ISNA(MATCH(54,'Transfer Engine'!$C$2:$C$622,0)),"",INDEX('Compliance Database'!$D$2:$D$622,MATCH(54,'Transfer Engine'!$C$2:$C$622,0)))</f>
        <v/>
      </c>
      <c r="E63">
        <f>IF(ISNA(MATCH(54,'Transfer Engine'!$C$2:$C$622,0)),"",INDEX('Compliance Database'!$E$2:$E$622,MATCH(54,'Transfer Engine'!$C$2:$C$622,0)))</f>
        <v/>
      </c>
      <c r="F63">
        <f>IF(ISNA(MATCH(54,'Transfer Engine'!$C$2:$C$622,0)),"",INDEX('Compliance Database'!$F$2:$F$622,MATCH(54,'Transfer Engine'!$C$2:$C$622,0)))</f>
        <v/>
      </c>
      <c r="G63">
        <f>IF(ISNA(MATCH(54,'Transfer Engine'!$C$2:$C$622,0)),"",INDEX('Compliance Database'!$G$2:$G$622,MATCH(54,'Transfer Engine'!$C$2:$C$622,0)))</f>
        <v/>
      </c>
      <c r="H63">
        <f>IF(ISNA(MATCH(54,'Transfer Engine'!$C$2:$C$622,0)),"",INDEX('Compliance Database'!$H$2:$H$622,MATCH(54,'Transfer Engine'!$C$2:$C$622,0)))</f>
        <v/>
      </c>
      <c r="I63" s="8">
        <f>IF(ISNA(MATCH(54,'Transfer Engine'!$C$2:$C$622,0)),"",INDEX('Compliance Database'!$I$2:$I$622,MATCH(54,'Transfer Engine'!$C$2:$C$622,0)))</f>
        <v/>
      </c>
      <c r="J63" s="8">
        <f>IF(ISNA(MATCH(54,'Transfer Engine'!$C$2:$C$622,0)),"",INDEX('Compliance Database'!$J$2:$J$622,MATCH(54,'Transfer Engine'!$C$2:$C$622,0)))</f>
        <v/>
      </c>
      <c r="K63">
        <f>IF(ISNA(MATCH(54,'Transfer Engine'!$C$2:$C$622,0)),"",INDEX('Compliance Database'!$K$2:$K$622,MATCH(54,'Transfer Engine'!$C$2:$C$622,0)))</f>
        <v/>
      </c>
      <c r="L63" s="8">
        <f>IF(ISNA(MATCH(54,'Transfer Engine'!$C$2:$C$622,0)),"",INDEX('Compliance Database'!$L$2:$L$622,MATCH(54,'Transfer Engine'!$C$2:$C$622,0)))</f>
        <v/>
      </c>
      <c r="M63" s="8">
        <f>IF(ISNA(MATCH(54,'Transfer Engine'!$C$2:$C$622,0)),"",INDEX('Compliance Database'!$M$2:$M$622,MATCH(54,'Transfer Engine'!$C$2:$C$622,0)))</f>
        <v/>
      </c>
      <c r="N63" s="8">
        <f>IF(ISNA(MATCH(54,'Transfer Engine'!$C$2:$C$622,0)),"",INDEX('Compliance Database'!$N$2:$N$622,MATCH(54,'Transfer Engine'!$C$2:$C$622,0)))</f>
        <v/>
      </c>
      <c r="O63" s="8">
        <f>IF(ISNA(MATCH(54,'Transfer Engine'!$C$2:$C$622,0)),"",INDEX('Compliance Database'!$O$2:$O$622,MATCH(54,'Transfer Engine'!$C$2:$C$622,0)))</f>
        <v/>
      </c>
    </row>
    <row r="64">
      <c r="A64">
        <f>IF(ISNA(MATCH(55,'Transfer Engine'!$C$2:$C$622,0)),"",INDEX('Compliance Database'!$A$2:$A$622,MATCH(55,'Transfer Engine'!$C$2:$C$622,0)))</f>
        <v/>
      </c>
      <c r="B64">
        <f>IF(ISNA(MATCH(55,'Transfer Engine'!$C$2:$C$622,0)),"",INDEX('Compliance Database'!$B$2:$B$622,MATCH(55,'Transfer Engine'!$C$2:$C$622,0)))</f>
        <v/>
      </c>
      <c r="C64">
        <f>IF(ISNA(MATCH(55,'Transfer Engine'!$C$2:$C$622,0)),"",INDEX('Compliance Database'!$C$2:$C$622,MATCH(55,'Transfer Engine'!$C$2:$C$622,0)))</f>
        <v/>
      </c>
      <c r="D64" s="8">
        <f>IF(ISNA(MATCH(55,'Transfer Engine'!$C$2:$C$622,0)),"",INDEX('Compliance Database'!$D$2:$D$622,MATCH(55,'Transfer Engine'!$C$2:$C$622,0)))</f>
        <v/>
      </c>
      <c r="E64">
        <f>IF(ISNA(MATCH(55,'Transfer Engine'!$C$2:$C$622,0)),"",INDEX('Compliance Database'!$E$2:$E$622,MATCH(55,'Transfer Engine'!$C$2:$C$622,0)))</f>
        <v/>
      </c>
      <c r="F64">
        <f>IF(ISNA(MATCH(55,'Transfer Engine'!$C$2:$C$622,0)),"",INDEX('Compliance Database'!$F$2:$F$622,MATCH(55,'Transfer Engine'!$C$2:$C$622,0)))</f>
        <v/>
      </c>
      <c r="G64">
        <f>IF(ISNA(MATCH(55,'Transfer Engine'!$C$2:$C$622,0)),"",INDEX('Compliance Database'!$G$2:$G$622,MATCH(55,'Transfer Engine'!$C$2:$C$622,0)))</f>
        <v/>
      </c>
      <c r="H64">
        <f>IF(ISNA(MATCH(55,'Transfer Engine'!$C$2:$C$622,0)),"",INDEX('Compliance Database'!$H$2:$H$622,MATCH(55,'Transfer Engine'!$C$2:$C$622,0)))</f>
        <v/>
      </c>
      <c r="I64" s="8">
        <f>IF(ISNA(MATCH(55,'Transfer Engine'!$C$2:$C$622,0)),"",INDEX('Compliance Database'!$I$2:$I$622,MATCH(55,'Transfer Engine'!$C$2:$C$622,0)))</f>
        <v/>
      </c>
      <c r="J64" s="8">
        <f>IF(ISNA(MATCH(55,'Transfer Engine'!$C$2:$C$622,0)),"",INDEX('Compliance Database'!$J$2:$J$622,MATCH(55,'Transfer Engine'!$C$2:$C$622,0)))</f>
        <v/>
      </c>
      <c r="K64">
        <f>IF(ISNA(MATCH(55,'Transfer Engine'!$C$2:$C$622,0)),"",INDEX('Compliance Database'!$K$2:$K$622,MATCH(55,'Transfer Engine'!$C$2:$C$622,0)))</f>
        <v/>
      </c>
      <c r="L64" s="8">
        <f>IF(ISNA(MATCH(55,'Transfer Engine'!$C$2:$C$622,0)),"",INDEX('Compliance Database'!$L$2:$L$622,MATCH(55,'Transfer Engine'!$C$2:$C$622,0)))</f>
        <v/>
      </c>
      <c r="M64" s="8">
        <f>IF(ISNA(MATCH(55,'Transfer Engine'!$C$2:$C$622,0)),"",INDEX('Compliance Database'!$M$2:$M$622,MATCH(55,'Transfer Engine'!$C$2:$C$622,0)))</f>
        <v/>
      </c>
      <c r="N64" s="8">
        <f>IF(ISNA(MATCH(55,'Transfer Engine'!$C$2:$C$622,0)),"",INDEX('Compliance Database'!$N$2:$N$622,MATCH(55,'Transfer Engine'!$C$2:$C$622,0)))</f>
        <v/>
      </c>
      <c r="O64" s="8">
        <f>IF(ISNA(MATCH(55,'Transfer Engine'!$C$2:$C$622,0)),"",INDEX('Compliance Database'!$O$2:$O$622,MATCH(55,'Transfer Engine'!$C$2:$C$622,0)))</f>
        <v/>
      </c>
    </row>
    <row r="65">
      <c r="A65">
        <f>IF(ISNA(MATCH(56,'Transfer Engine'!$C$2:$C$622,0)),"",INDEX('Compliance Database'!$A$2:$A$622,MATCH(56,'Transfer Engine'!$C$2:$C$622,0)))</f>
        <v/>
      </c>
      <c r="B65">
        <f>IF(ISNA(MATCH(56,'Transfer Engine'!$C$2:$C$622,0)),"",INDEX('Compliance Database'!$B$2:$B$622,MATCH(56,'Transfer Engine'!$C$2:$C$622,0)))</f>
        <v/>
      </c>
      <c r="C65">
        <f>IF(ISNA(MATCH(56,'Transfer Engine'!$C$2:$C$622,0)),"",INDEX('Compliance Database'!$C$2:$C$622,MATCH(56,'Transfer Engine'!$C$2:$C$622,0)))</f>
        <v/>
      </c>
      <c r="D65" s="8">
        <f>IF(ISNA(MATCH(56,'Transfer Engine'!$C$2:$C$622,0)),"",INDEX('Compliance Database'!$D$2:$D$622,MATCH(56,'Transfer Engine'!$C$2:$C$622,0)))</f>
        <v/>
      </c>
      <c r="E65">
        <f>IF(ISNA(MATCH(56,'Transfer Engine'!$C$2:$C$622,0)),"",INDEX('Compliance Database'!$E$2:$E$622,MATCH(56,'Transfer Engine'!$C$2:$C$622,0)))</f>
        <v/>
      </c>
      <c r="F65">
        <f>IF(ISNA(MATCH(56,'Transfer Engine'!$C$2:$C$622,0)),"",INDEX('Compliance Database'!$F$2:$F$622,MATCH(56,'Transfer Engine'!$C$2:$C$622,0)))</f>
        <v/>
      </c>
      <c r="G65">
        <f>IF(ISNA(MATCH(56,'Transfer Engine'!$C$2:$C$622,0)),"",INDEX('Compliance Database'!$G$2:$G$622,MATCH(56,'Transfer Engine'!$C$2:$C$622,0)))</f>
        <v/>
      </c>
      <c r="H65">
        <f>IF(ISNA(MATCH(56,'Transfer Engine'!$C$2:$C$622,0)),"",INDEX('Compliance Database'!$H$2:$H$622,MATCH(56,'Transfer Engine'!$C$2:$C$622,0)))</f>
        <v/>
      </c>
      <c r="I65" s="8">
        <f>IF(ISNA(MATCH(56,'Transfer Engine'!$C$2:$C$622,0)),"",INDEX('Compliance Database'!$I$2:$I$622,MATCH(56,'Transfer Engine'!$C$2:$C$622,0)))</f>
        <v/>
      </c>
      <c r="J65" s="8">
        <f>IF(ISNA(MATCH(56,'Transfer Engine'!$C$2:$C$622,0)),"",INDEX('Compliance Database'!$J$2:$J$622,MATCH(56,'Transfer Engine'!$C$2:$C$622,0)))</f>
        <v/>
      </c>
      <c r="K65">
        <f>IF(ISNA(MATCH(56,'Transfer Engine'!$C$2:$C$622,0)),"",INDEX('Compliance Database'!$K$2:$K$622,MATCH(56,'Transfer Engine'!$C$2:$C$622,0)))</f>
        <v/>
      </c>
      <c r="L65" s="8">
        <f>IF(ISNA(MATCH(56,'Transfer Engine'!$C$2:$C$622,0)),"",INDEX('Compliance Database'!$L$2:$L$622,MATCH(56,'Transfer Engine'!$C$2:$C$622,0)))</f>
        <v/>
      </c>
      <c r="M65" s="8">
        <f>IF(ISNA(MATCH(56,'Transfer Engine'!$C$2:$C$622,0)),"",INDEX('Compliance Database'!$M$2:$M$622,MATCH(56,'Transfer Engine'!$C$2:$C$622,0)))</f>
        <v/>
      </c>
      <c r="N65" s="8">
        <f>IF(ISNA(MATCH(56,'Transfer Engine'!$C$2:$C$622,0)),"",INDEX('Compliance Database'!$N$2:$N$622,MATCH(56,'Transfer Engine'!$C$2:$C$622,0)))</f>
        <v/>
      </c>
      <c r="O65" s="8">
        <f>IF(ISNA(MATCH(56,'Transfer Engine'!$C$2:$C$622,0)),"",INDEX('Compliance Database'!$O$2:$O$622,MATCH(56,'Transfer Engine'!$C$2:$C$622,0)))</f>
        <v/>
      </c>
    </row>
    <row r="66">
      <c r="A66">
        <f>IF(ISNA(MATCH(57,'Transfer Engine'!$C$2:$C$622,0)),"",INDEX('Compliance Database'!$A$2:$A$622,MATCH(57,'Transfer Engine'!$C$2:$C$622,0)))</f>
        <v/>
      </c>
      <c r="B66">
        <f>IF(ISNA(MATCH(57,'Transfer Engine'!$C$2:$C$622,0)),"",INDEX('Compliance Database'!$B$2:$B$622,MATCH(57,'Transfer Engine'!$C$2:$C$622,0)))</f>
        <v/>
      </c>
      <c r="C66">
        <f>IF(ISNA(MATCH(57,'Transfer Engine'!$C$2:$C$622,0)),"",INDEX('Compliance Database'!$C$2:$C$622,MATCH(57,'Transfer Engine'!$C$2:$C$622,0)))</f>
        <v/>
      </c>
      <c r="D66" s="8">
        <f>IF(ISNA(MATCH(57,'Transfer Engine'!$C$2:$C$622,0)),"",INDEX('Compliance Database'!$D$2:$D$622,MATCH(57,'Transfer Engine'!$C$2:$C$622,0)))</f>
        <v/>
      </c>
      <c r="E66">
        <f>IF(ISNA(MATCH(57,'Transfer Engine'!$C$2:$C$622,0)),"",INDEX('Compliance Database'!$E$2:$E$622,MATCH(57,'Transfer Engine'!$C$2:$C$622,0)))</f>
        <v/>
      </c>
      <c r="F66">
        <f>IF(ISNA(MATCH(57,'Transfer Engine'!$C$2:$C$622,0)),"",INDEX('Compliance Database'!$F$2:$F$622,MATCH(57,'Transfer Engine'!$C$2:$C$622,0)))</f>
        <v/>
      </c>
      <c r="G66">
        <f>IF(ISNA(MATCH(57,'Transfer Engine'!$C$2:$C$622,0)),"",INDEX('Compliance Database'!$G$2:$G$622,MATCH(57,'Transfer Engine'!$C$2:$C$622,0)))</f>
        <v/>
      </c>
      <c r="H66">
        <f>IF(ISNA(MATCH(57,'Transfer Engine'!$C$2:$C$622,0)),"",INDEX('Compliance Database'!$H$2:$H$622,MATCH(57,'Transfer Engine'!$C$2:$C$622,0)))</f>
        <v/>
      </c>
      <c r="I66" s="8">
        <f>IF(ISNA(MATCH(57,'Transfer Engine'!$C$2:$C$622,0)),"",INDEX('Compliance Database'!$I$2:$I$622,MATCH(57,'Transfer Engine'!$C$2:$C$622,0)))</f>
        <v/>
      </c>
      <c r="J66" s="8">
        <f>IF(ISNA(MATCH(57,'Transfer Engine'!$C$2:$C$622,0)),"",INDEX('Compliance Database'!$J$2:$J$622,MATCH(57,'Transfer Engine'!$C$2:$C$622,0)))</f>
        <v/>
      </c>
      <c r="K66">
        <f>IF(ISNA(MATCH(57,'Transfer Engine'!$C$2:$C$622,0)),"",INDEX('Compliance Database'!$K$2:$K$622,MATCH(57,'Transfer Engine'!$C$2:$C$622,0)))</f>
        <v/>
      </c>
      <c r="L66" s="8">
        <f>IF(ISNA(MATCH(57,'Transfer Engine'!$C$2:$C$622,0)),"",INDEX('Compliance Database'!$L$2:$L$622,MATCH(57,'Transfer Engine'!$C$2:$C$622,0)))</f>
        <v/>
      </c>
      <c r="M66" s="8">
        <f>IF(ISNA(MATCH(57,'Transfer Engine'!$C$2:$C$622,0)),"",INDEX('Compliance Database'!$M$2:$M$622,MATCH(57,'Transfer Engine'!$C$2:$C$622,0)))</f>
        <v/>
      </c>
      <c r="N66" s="8">
        <f>IF(ISNA(MATCH(57,'Transfer Engine'!$C$2:$C$622,0)),"",INDEX('Compliance Database'!$N$2:$N$622,MATCH(57,'Transfer Engine'!$C$2:$C$622,0)))</f>
        <v/>
      </c>
      <c r="O66" s="8">
        <f>IF(ISNA(MATCH(57,'Transfer Engine'!$C$2:$C$622,0)),"",INDEX('Compliance Database'!$O$2:$O$622,MATCH(57,'Transfer Engine'!$C$2:$C$622,0)))</f>
        <v/>
      </c>
    </row>
    <row r="67">
      <c r="A67">
        <f>IF(ISNA(MATCH(58,'Transfer Engine'!$C$2:$C$622,0)),"",INDEX('Compliance Database'!$A$2:$A$622,MATCH(58,'Transfer Engine'!$C$2:$C$622,0)))</f>
        <v/>
      </c>
      <c r="B67">
        <f>IF(ISNA(MATCH(58,'Transfer Engine'!$C$2:$C$622,0)),"",INDEX('Compliance Database'!$B$2:$B$622,MATCH(58,'Transfer Engine'!$C$2:$C$622,0)))</f>
        <v/>
      </c>
      <c r="C67">
        <f>IF(ISNA(MATCH(58,'Transfer Engine'!$C$2:$C$622,0)),"",INDEX('Compliance Database'!$C$2:$C$622,MATCH(58,'Transfer Engine'!$C$2:$C$622,0)))</f>
        <v/>
      </c>
      <c r="D67" s="8">
        <f>IF(ISNA(MATCH(58,'Transfer Engine'!$C$2:$C$622,0)),"",INDEX('Compliance Database'!$D$2:$D$622,MATCH(58,'Transfer Engine'!$C$2:$C$622,0)))</f>
        <v/>
      </c>
      <c r="E67">
        <f>IF(ISNA(MATCH(58,'Transfer Engine'!$C$2:$C$622,0)),"",INDEX('Compliance Database'!$E$2:$E$622,MATCH(58,'Transfer Engine'!$C$2:$C$622,0)))</f>
        <v/>
      </c>
      <c r="F67">
        <f>IF(ISNA(MATCH(58,'Transfer Engine'!$C$2:$C$622,0)),"",INDEX('Compliance Database'!$F$2:$F$622,MATCH(58,'Transfer Engine'!$C$2:$C$622,0)))</f>
        <v/>
      </c>
      <c r="G67">
        <f>IF(ISNA(MATCH(58,'Transfer Engine'!$C$2:$C$622,0)),"",INDEX('Compliance Database'!$G$2:$G$622,MATCH(58,'Transfer Engine'!$C$2:$C$622,0)))</f>
        <v/>
      </c>
      <c r="H67">
        <f>IF(ISNA(MATCH(58,'Transfer Engine'!$C$2:$C$622,0)),"",INDEX('Compliance Database'!$H$2:$H$622,MATCH(58,'Transfer Engine'!$C$2:$C$622,0)))</f>
        <v/>
      </c>
      <c r="I67" s="8">
        <f>IF(ISNA(MATCH(58,'Transfer Engine'!$C$2:$C$622,0)),"",INDEX('Compliance Database'!$I$2:$I$622,MATCH(58,'Transfer Engine'!$C$2:$C$622,0)))</f>
        <v/>
      </c>
      <c r="J67" s="8">
        <f>IF(ISNA(MATCH(58,'Transfer Engine'!$C$2:$C$622,0)),"",INDEX('Compliance Database'!$J$2:$J$622,MATCH(58,'Transfer Engine'!$C$2:$C$622,0)))</f>
        <v/>
      </c>
      <c r="K67">
        <f>IF(ISNA(MATCH(58,'Transfer Engine'!$C$2:$C$622,0)),"",INDEX('Compliance Database'!$K$2:$K$622,MATCH(58,'Transfer Engine'!$C$2:$C$622,0)))</f>
        <v/>
      </c>
      <c r="L67" s="8">
        <f>IF(ISNA(MATCH(58,'Transfer Engine'!$C$2:$C$622,0)),"",INDEX('Compliance Database'!$L$2:$L$622,MATCH(58,'Transfer Engine'!$C$2:$C$622,0)))</f>
        <v/>
      </c>
      <c r="M67" s="8">
        <f>IF(ISNA(MATCH(58,'Transfer Engine'!$C$2:$C$622,0)),"",INDEX('Compliance Database'!$M$2:$M$622,MATCH(58,'Transfer Engine'!$C$2:$C$622,0)))</f>
        <v/>
      </c>
      <c r="N67" s="8">
        <f>IF(ISNA(MATCH(58,'Transfer Engine'!$C$2:$C$622,0)),"",INDEX('Compliance Database'!$N$2:$N$622,MATCH(58,'Transfer Engine'!$C$2:$C$622,0)))</f>
        <v/>
      </c>
      <c r="O67" s="8">
        <f>IF(ISNA(MATCH(58,'Transfer Engine'!$C$2:$C$622,0)),"",INDEX('Compliance Database'!$O$2:$O$622,MATCH(58,'Transfer Engine'!$C$2:$C$622,0)))</f>
        <v/>
      </c>
    </row>
    <row r="68">
      <c r="A68">
        <f>IF(ISNA(MATCH(59,'Transfer Engine'!$C$2:$C$622,0)),"",INDEX('Compliance Database'!$A$2:$A$622,MATCH(59,'Transfer Engine'!$C$2:$C$622,0)))</f>
        <v/>
      </c>
      <c r="B68">
        <f>IF(ISNA(MATCH(59,'Transfer Engine'!$C$2:$C$622,0)),"",INDEX('Compliance Database'!$B$2:$B$622,MATCH(59,'Transfer Engine'!$C$2:$C$622,0)))</f>
        <v/>
      </c>
      <c r="C68">
        <f>IF(ISNA(MATCH(59,'Transfer Engine'!$C$2:$C$622,0)),"",INDEX('Compliance Database'!$C$2:$C$622,MATCH(59,'Transfer Engine'!$C$2:$C$622,0)))</f>
        <v/>
      </c>
      <c r="D68" s="8">
        <f>IF(ISNA(MATCH(59,'Transfer Engine'!$C$2:$C$622,0)),"",INDEX('Compliance Database'!$D$2:$D$622,MATCH(59,'Transfer Engine'!$C$2:$C$622,0)))</f>
        <v/>
      </c>
      <c r="E68">
        <f>IF(ISNA(MATCH(59,'Transfer Engine'!$C$2:$C$622,0)),"",INDEX('Compliance Database'!$E$2:$E$622,MATCH(59,'Transfer Engine'!$C$2:$C$622,0)))</f>
        <v/>
      </c>
      <c r="F68">
        <f>IF(ISNA(MATCH(59,'Transfer Engine'!$C$2:$C$622,0)),"",INDEX('Compliance Database'!$F$2:$F$622,MATCH(59,'Transfer Engine'!$C$2:$C$622,0)))</f>
        <v/>
      </c>
      <c r="G68">
        <f>IF(ISNA(MATCH(59,'Transfer Engine'!$C$2:$C$622,0)),"",INDEX('Compliance Database'!$G$2:$G$622,MATCH(59,'Transfer Engine'!$C$2:$C$622,0)))</f>
        <v/>
      </c>
      <c r="H68">
        <f>IF(ISNA(MATCH(59,'Transfer Engine'!$C$2:$C$622,0)),"",INDEX('Compliance Database'!$H$2:$H$622,MATCH(59,'Transfer Engine'!$C$2:$C$622,0)))</f>
        <v/>
      </c>
      <c r="I68" s="8">
        <f>IF(ISNA(MATCH(59,'Transfer Engine'!$C$2:$C$622,0)),"",INDEX('Compliance Database'!$I$2:$I$622,MATCH(59,'Transfer Engine'!$C$2:$C$622,0)))</f>
        <v/>
      </c>
      <c r="J68" s="8">
        <f>IF(ISNA(MATCH(59,'Transfer Engine'!$C$2:$C$622,0)),"",INDEX('Compliance Database'!$J$2:$J$622,MATCH(59,'Transfer Engine'!$C$2:$C$622,0)))</f>
        <v/>
      </c>
      <c r="K68">
        <f>IF(ISNA(MATCH(59,'Transfer Engine'!$C$2:$C$622,0)),"",INDEX('Compliance Database'!$K$2:$K$622,MATCH(59,'Transfer Engine'!$C$2:$C$622,0)))</f>
        <v/>
      </c>
      <c r="L68" s="8">
        <f>IF(ISNA(MATCH(59,'Transfer Engine'!$C$2:$C$622,0)),"",INDEX('Compliance Database'!$L$2:$L$622,MATCH(59,'Transfer Engine'!$C$2:$C$622,0)))</f>
        <v/>
      </c>
      <c r="M68" s="8">
        <f>IF(ISNA(MATCH(59,'Transfer Engine'!$C$2:$C$622,0)),"",INDEX('Compliance Database'!$M$2:$M$622,MATCH(59,'Transfer Engine'!$C$2:$C$622,0)))</f>
        <v/>
      </c>
      <c r="N68" s="8">
        <f>IF(ISNA(MATCH(59,'Transfer Engine'!$C$2:$C$622,0)),"",INDEX('Compliance Database'!$N$2:$N$622,MATCH(59,'Transfer Engine'!$C$2:$C$622,0)))</f>
        <v/>
      </c>
      <c r="O68" s="8">
        <f>IF(ISNA(MATCH(59,'Transfer Engine'!$C$2:$C$622,0)),"",INDEX('Compliance Database'!$O$2:$O$622,MATCH(59,'Transfer Engine'!$C$2:$C$622,0)))</f>
        <v/>
      </c>
    </row>
    <row r="69">
      <c r="A69">
        <f>IF(ISNA(MATCH(60,'Transfer Engine'!$C$2:$C$622,0)),"",INDEX('Compliance Database'!$A$2:$A$622,MATCH(60,'Transfer Engine'!$C$2:$C$622,0)))</f>
        <v/>
      </c>
      <c r="B69">
        <f>IF(ISNA(MATCH(60,'Transfer Engine'!$C$2:$C$622,0)),"",INDEX('Compliance Database'!$B$2:$B$622,MATCH(60,'Transfer Engine'!$C$2:$C$622,0)))</f>
        <v/>
      </c>
      <c r="C69">
        <f>IF(ISNA(MATCH(60,'Transfer Engine'!$C$2:$C$622,0)),"",INDEX('Compliance Database'!$C$2:$C$622,MATCH(60,'Transfer Engine'!$C$2:$C$622,0)))</f>
        <v/>
      </c>
      <c r="D69" s="8">
        <f>IF(ISNA(MATCH(60,'Transfer Engine'!$C$2:$C$622,0)),"",INDEX('Compliance Database'!$D$2:$D$622,MATCH(60,'Transfer Engine'!$C$2:$C$622,0)))</f>
        <v/>
      </c>
      <c r="E69">
        <f>IF(ISNA(MATCH(60,'Transfer Engine'!$C$2:$C$622,0)),"",INDEX('Compliance Database'!$E$2:$E$622,MATCH(60,'Transfer Engine'!$C$2:$C$622,0)))</f>
        <v/>
      </c>
      <c r="F69">
        <f>IF(ISNA(MATCH(60,'Transfer Engine'!$C$2:$C$622,0)),"",INDEX('Compliance Database'!$F$2:$F$622,MATCH(60,'Transfer Engine'!$C$2:$C$622,0)))</f>
        <v/>
      </c>
      <c r="G69">
        <f>IF(ISNA(MATCH(60,'Transfer Engine'!$C$2:$C$622,0)),"",INDEX('Compliance Database'!$G$2:$G$622,MATCH(60,'Transfer Engine'!$C$2:$C$622,0)))</f>
        <v/>
      </c>
      <c r="H69">
        <f>IF(ISNA(MATCH(60,'Transfer Engine'!$C$2:$C$622,0)),"",INDEX('Compliance Database'!$H$2:$H$622,MATCH(60,'Transfer Engine'!$C$2:$C$622,0)))</f>
        <v/>
      </c>
      <c r="I69" s="8">
        <f>IF(ISNA(MATCH(60,'Transfer Engine'!$C$2:$C$622,0)),"",INDEX('Compliance Database'!$I$2:$I$622,MATCH(60,'Transfer Engine'!$C$2:$C$622,0)))</f>
        <v/>
      </c>
      <c r="J69" s="8">
        <f>IF(ISNA(MATCH(60,'Transfer Engine'!$C$2:$C$622,0)),"",INDEX('Compliance Database'!$J$2:$J$622,MATCH(60,'Transfer Engine'!$C$2:$C$622,0)))</f>
        <v/>
      </c>
      <c r="K69">
        <f>IF(ISNA(MATCH(60,'Transfer Engine'!$C$2:$C$622,0)),"",INDEX('Compliance Database'!$K$2:$K$622,MATCH(60,'Transfer Engine'!$C$2:$C$622,0)))</f>
        <v/>
      </c>
      <c r="L69" s="8">
        <f>IF(ISNA(MATCH(60,'Transfer Engine'!$C$2:$C$622,0)),"",INDEX('Compliance Database'!$L$2:$L$622,MATCH(60,'Transfer Engine'!$C$2:$C$622,0)))</f>
        <v/>
      </c>
      <c r="M69" s="8">
        <f>IF(ISNA(MATCH(60,'Transfer Engine'!$C$2:$C$622,0)),"",INDEX('Compliance Database'!$M$2:$M$622,MATCH(60,'Transfer Engine'!$C$2:$C$622,0)))</f>
        <v/>
      </c>
      <c r="N69" s="8">
        <f>IF(ISNA(MATCH(60,'Transfer Engine'!$C$2:$C$622,0)),"",INDEX('Compliance Database'!$N$2:$N$622,MATCH(60,'Transfer Engine'!$C$2:$C$622,0)))</f>
        <v/>
      </c>
      <c r="O69" s="8">
        <f>IF(ISNA(MATCH(60,'Transfer Engine'!$C$2:$C$622,0)),"",INDEX('Compliance Database'!$O$2:$O$622,MATCH(60,'Transfer Engine'!$C$2:$C$622,0)))</f>
        <v/>
      </c>
    </row>
    <row r="70">
      <c r="A70">
        <f>IF(ISNA(MATCH(61,'Transfer Engine'!$C$2:$C$622,0)),"",INDEX('Compliance Database'!$A$2:$A$622,MATCH(61,'Transfer Engine'!$C$2:$C$622,0)))</f>
        <v/>
      </c>
      <c r="B70">
        <f>IF(ISNA(MATCH(61,'Transfer Engine'!$C$2:$C$622,0)),"",INDEX('Compliance Database'!$B$2:$B$622,MATCH(61,'Transfer Engine'!$C$2:$C$622,0)))</f>
        <v/>
      </c>
      <c r="C70">
        <f>IF(ISNA(MATCH(61,'Transfer Engine'!$C$2:$C$622,0)),"",INDEX('Compliance Database'!$C$2:$C$622,MATCH(61,'Transfer Engine'!$C$2:$C$622,0)))</f>
        <v/>
      </c>
      <c r="D70" s="8">
        <f>IF(ISNA(MATCH(61,'Transfer Engine'!$C$2:$C$622,0)),"",INDEX('Compliance Database'!$D$2:$D$622,MATCH(61,'Transfer Engine'!$C$2:$C$622,0)))</f>
        <v/>
      </c>
      <c r="E70">
        <f>IF(ISNA(MATCH(61,'Transfer Engine'!$C$2:$C$622,0)),"",INDEX('Compliance Database'!$E$2:$E$622,MATCH(61,'Transfer Engine'!$C$2:$C$622,0)))</f>
        <v/>
      </c>
      <c r="F70">
        <f>IF(ISNA(MATCH(61,'Transfer Engine'!$C$2:$C$622,0)),"",INDEX('Compliance Database'!$F$2:$F$622,MATCH(61,'Transfer Engine'!$C$2:$C$622,0)))</f>
        <v/>
      </c>
      <c r="G70">
        <f>IF(ISNA(MATCH(61,'Transfer Engine'!$C$2:$C$622,0)),"",INDEX('Compliance Database'!$G$2:$G$622,MATCH(61,'Transfer Engine'!$C$2:$C$622,0)))</f>
        <v/>
      </c>
      <c r="H70">
        <f>IF(ISNA(MATCH(61,'Transfer Engine'!$C$2:$C$622,0)),"",INDEX('Compliance Database'!$H$2:$H$622,MATCH(61,'Transfer Engine'!$C$2:$C$622,0)))</f>
        <v/>
      </c>
      <c r="I70" s="8">
        <f>IF(ISNA(MATCH(61,'Transfer Engine'!$C$2:$C$622,0)),"",INDEX('Compliance Database'!$I$2:$I$622,MATCH(61,'Transfer Engine'!$C$2:$C$622,0)))</f>
        <v/>
      </c>
      <c r="J70" s="8">
        <f>IF(ISNA(MATCH(61,'Transfer Engine'!$C$2:$C$622,0)),"",INDEX('Compliance Database'!$J$2:$J$622,MATCH(61,'Transfer Engine'!$C$2:$C$622,0)))</f>
        <v/>
      </c>
      <c r="K70">
        <f>IF(ISNA(MATCH(61,'Transfer Engine'!$C$2:$C$622,0)),"",INDEX('Compliance Database'!$K$2:$K$622,MATCH(61,'Transfer Engine'!$C$2:$C$622,0)))</f>
        <v/>
      </c>
      <c r="L70" s="8">
        <f>IF(ISNA(MATCH(61,'Transfer Engine'!$C$2:$C$622,0)),"",INDEX('Compliance Database'!$L$2:$L$622,MATCH(61,'Transfer Engine'!$C$2:$C$622,0)))</f>
        <v/>
      </c>
      <c r="M70" s="8">
        <f>IF(ISNA(MATCH(61,'Transfer Engine'!$C$2:$C$622,0)),"",INDEX('Compliance Database'!$M$2:$M$622,MATCH(61,'Transfer Engine'!$C$2:$C$622,0)))</f>
        <v/>
      </c>
      <c r="N70" s="8">
        <f>IF(ISNA(MATCH(61,'Transfer Engine'!$C$2:$C$622,0)),"",INDEX('Compliance Database'!$N$2:$N$622,MATCH(61,'Transfer Engine'!$C$2:$C$622,0)))</f>
        <v/>
      </c>
      <c r="O70" s="8">
        <f>IF(ISNA(MATCH(61,'Transfer Engine'!$C$2:$C$622,0)),"",INDEX('Compliance Database'!$O$2:$O$622,MATCH(61,'Transfer Engine'!$C$2:$C$622,0)))</f>
        <v/>
      </c>
    </row>
    <row r="71">
      <c r="A71">
        <f>IF(ISNA(MATCH(62,'Transfer Engine'!$C$2:$C$622,0)),"",INDEX('Compliance Database'!$A$2:$A$622,MATCH(62,'Transfer Engine'!$C$2:$C$622,0)))</f>
        <v/>
      </c>
      <c r="B71">
        <f>IF(ISNA(MATCH(62,'Transfer Engine'!$C$2:$C$622,0)),"",INDEX('Compliance Database'!$B$2:$B$622,MATCH(62,'Transfer Engine'!$C$2:$C$622,0)))</f>
        <v/>
      </c>
      <c r="C71">
        <f>IF(ISNA(MATCH(62,'Transfer Engine'!$C$2:$C$622,0)),"",INDEX('Compliance Database'!$C$2:$C$622,MATCH(62,'Transfer Engine'!$C$2:$C$622,0)))</f>
        <v/>
      </c>
      <c r="D71" s="8">
        <f>IF(ISNA(MATCH(62,'Transfer Engine'!$C$2:$C$622,0)),"",INDEX('Compliance Database'!$D$2:$D$622,MATCH(62,'Transfer Engine'!$C$2:$C$622,0)))</f>
        <v/>
      </c>
      <c r="E71">
        <f>IF(ISNA(MATCH(62,'Transfer Engine'!$C$2:$C$622,0)),"",INDEX('Compliance Database'!$E$2:$E$622,MATCH(62,'Transfer Engine'!$C$2:$C$622,0)))</f>
        <v/>
      </c>
      <c r="F71">
        <f>IF(ISNA(MATCH(62,'Transfer Engine'!$C$2:$C$622,0)),"",INDEX('Compliance Database'!$F$2:$F$622,MATCH(62,'Transfer Engine'!$C$2:$C$622,0)))</f>
        <v/>
      </c>
      <c r="G71">
        <f>IF(ISNA(MATCH(62,'Transfer Engine'!$C$2:$C$622,0)),"",INDEX('Compliance Database'!$G$2:$G$622,MATCH(62,'Transfer Engine'!$C$2:$C$622,0)))</f>
        <v/>
      </c>
      <c r="H71">
        <f>IF(ISNA(MATCH(62,'Transfer Engine'!$C$2:$C$622,0)),"",INDEX('Compliance Database'!$H$2:$H$622,MATCH(62,'Transfer Engine'!$C$2:$C$622,0)))</f>
        <v/>
      </c>
      <c r="I71" s="8">
        <f>IF(ISNA(MATCH(62,'Transfer Engine'!$C$2:$C$622,0)),"",INDEX('Compliance Database'!$I$2:$I$622,MATCH(62,'Transfer Engine'!$C$2:$C$622,0)))</f>
        <v/>
      </c>
      <c r="J71" s="8">
        <f>IF(ISNA(MATCH(62,'Transfer Engine'!$C$2:$C$622,0)),"",INDEX('Compliance Database'!$J$2:$J$622,MATCH(62,'Transfer Engine'!$C$2:$C$622,0)))</f>
        <v/>
      </c>
      <c r="K71">
        <f>IF(ISNA(MATCH(62,'Transfer Engine'!$C$2:$C$622,0)),"",INDEX('Compliance Database'!$K$2:$K$622,MATCH(62,'Transfer Engine'!$C$2:$C$622,0)))</f>
        <v/>
      </c>
      <c r="L71" s="8">
        <f>IF(ISNA(MATCH(62,'Transfer Engine'!$C$2:$C$622,0)),"",INDEX('Compliance Database'!$L$2:$L$622,MATCH(62,'Transfer Engine'!$C$2:$C$622,0)))</f>
        <v/>
      </c>
      <c r="M71" s="8">
        <f>IF(ISNA(MATCH(62,'Transfer Engine'!$C$2:$C$622,0)),"",INDEX('Compliance Database'!$M$2:$M$622,MATCH(62,'Transfer Engine'!$C$2:$C$622,0)))</f>
        <v/>
      </c>
      <c r="N71" s="8">
        <f>IF(ISNA(MATCH(62,'Transfer Engine'!$C$2:$C$622,0)),"",INDEX('Compliance Database'!$N$2:$N$622,MATCH(62,'Transfer Engine'!$C$2:$C$622,0)))</f>
        <v/>
      </c>
      <c r="O71" s="8">
        <f>IF(ISNA(MATCH(62,'Transfer Engine'!$C$2:$C$622,0)),"",INDEX('Compliance Database'!$O$2:$O$622,MATCH(62,'Transfer Engine'!$C$2:$C$622,0)))</f>
        <v/>
      </c>
    </row>
    <row r="72">
      <c r="A72">
        <f>IF(ISNA(MATCH(63,'Transfer Engine'!$C$2:$C$622,0)),"",INDEX('Compliance Database'!$A$2:$A$622,MATCH(63,'Transfer Engine'!$C$2:$C$622,0)))</f>
        <v/>
      </c>
      <c r="B72">
        <f>IF(ISNA(MATCH(63,'Transfer Engine'!$C$2:$C$622,0)),"",INDEX('Compliance Database'!$B$2:$B$622,MATCH(63,'Transfer Engine'!$C$2:$C$622,0)))</f>
        <v/>
      </c>
      <c r="C72">
        <f>IF(ISNA(MATCH(63,'Transfer Engine'!$C$2:$C$622,0)),"",INDEX('Compliance Database'!$C$2:$C$622,MATCH(63,'Transfer Engine'!$C$2:$C$622,0)))</f>
        <v/>
      </c>
      <c r="D72" s="8">
        <f>IF(ISNA(MATCH(63,'Transfer Engine'!$C$2:$C$622,0)),"",INDEX('Compliance Database'!$D$2:$D$622,MATCH(63,'Transfer Engine'!$C$2:$C$622,0)))</f>
        <v/>
      </c>
      <c r="E72">
        <f>IF(ISNA(MATCH(63,'Transfer Engine'!$C$2:$C$622,0)),"",INDEX('Compliance Database'!$E$2:$E$622,MATCH(63,'Transfer Engine'!$C$2:$C$622,0)))</f>
        <v/>
      </c>
      <c r="F72">
        <f>IF(ISNA(MATCH(63,'Transfer Engine'!$C$2:$C$622,0)),"",INDEX('Compliance Database'!$F$2:$F$622,MATCH(63,'Transfer Engine'!$C$2:$C$622,0)))</f>
        <v/>
      </c>
      <c r="G72">
        <f>IF(ISNA(MATCH(63,'Transfer Engine'!$C$2:$C$622,0)),"",INDEX('Compliance Database'!$G$2:$G$622,MATCH(63,'Transfer Engine'!$C$2:$C$622,0)))</f>
        <v/>
      </c>
      <c r="H72">
        <f>IF(ISNA(MATCH(63,'Transfer Engine'!$C$2:$C$622,0)),"",INDEX('Compliance Database'!$H$2:$H$622,MATCH(63,'Transfer Engine'!$C$2:$C$622,0)))</f>
        <v/>
      </c>
      <c r="I72" s="8">
        <f>IF(ISNA(MATCH(63,'Transfer Engine'!$C$2:$C$622,0)),"",INDEX('Compliance Database'!$I$2:$I$622,MATCH(63,'Transfer Engine'!$C$2:$C$622,0)))</f>
        <v/>
      </c>
      <c r="J72" s="8">
        <f>IF(ISNA(MATCH(63,'Transfer Engine'!$C$2:$C$622,0)),"",INDEX('Compliance Database'!$J$2:$J$622,MATCH(63,'Transfer Engine'!$C$2:$C$622,0)))</f>
        <v/>
      </c>
      <c r="K72">
        <f>IF(ISNA(MATCH(63,'Transfer Engine'!$C$2:$C$622,0)),"",INDEX('Compliance Database'!$K$2:$K$622,MATCH(63,'Transfer Engine'!$C$2:$C$622,0)))</f>
        <v/>
      </c>
      <c r="L72" s="8">
        <f>IF(ISNA(MATCH(63,'Transfer Engine'!$C$2:$C$622,0)),"",INDEX('Compliance Database'!$L$2:$L$622,MATCH(63,'Transfer Engine'!$C$2:$C$622,0)))</f>
        <v/>
      </c>
      <c r="M72" s="8">
        <f>IF(ISNA(MATCH(63,'Transfer Engine'!$C$2:$C$622,0)),"",INDEX('Compliance Database'!$M$2:$M$622,MATCH(63,'Transfer Engine'!$C$2:$C$622,0)))</f>
        <v/>
      </c>
      <c r="N72" s="8">
        <f>IF(ISNA(MATCH(63,'Transfer Engine'!$C$2:$C$622,0)),"",INDEX('Compliance Database'!$N$2:$N$622,MATCH(63,'Transfer Engine'!$C$2:$C$622,0)))</f>
        <v/>
      </c>
      <c r="O72" s="8">
        <f>IF(ISNA(MATCH(63,'Transfer Engine'!$C$2:$C$622,0)),"",INDEX('Compliance Database'!$O$2:$O$622,MATCH(63,'Transfer Engine'!$C$2:$C$622,0)))</f>
        <v/>
      </c>
    </row>
    <row r="73">
      <c r="A73">
        <f>IF(ISNA(MATCH(64,'Transfer Engine'!$C$2:$C$622,0)),"",INDEX('Compliance Database'!$A$2:$A$622,MATCH(64,'Transfer Engine'!$C$2:$C$622,0)))</f>
        <v/>
      </c>
      <c r="B73">
        <f>IF(ISNA(MATCH(64,'Transfer Engine'!$C$2:$C$622,0)),"",INDEX('Compliance Database'!$B$2:$B$622,MATCH(64,'Transfer Engine'!$C$2:$C$622,0)))</f>
        <v/>
      </c>
      <c r="C73">
        <f>IF(ISNA(MATCH(64,'Transfer Engine'!$C$2:$C$622,0)),"",INDEX('Compliance Database'!$C$2:$C$622,MATCH(64,'Transfer Engine'!$C$2:$C$622,0)))</f>
        <v/>
      </c>
      <c r="D73" s="8">
        <f>IF(ISNA(MATCH(64,'Transfer Engine'!$C$2:$C$622,0)),"",INDEX('Compliance Database'!$D$2:$D$622,MATCH(64,'Transfer Engine'!$C$2:$C$622,0)))</f>
        <v/>
      </c>
      <c r="E73">
        <f>IF(ISNA(MATCH(64,'Transfer Engine'!$C$2:$C$622,0)),"",INDEX('Compliance Database'!$E$2:$E$622,MATCH(64,'Transfer Engine'!$C$2:$C$622,0)))</f>
        <v/>
      </c>
      <c r="F73">
        <f>IF(ISNA(MATCH(64,'Transfer Engine'!$C$2:$C$622,0)),"",INDEX('Compliance Database'!$F$2:$F$622,MATCH(64,'Transfer Engine'!$C$2:$C$622,0)))</f>
        <v/>
      </c>
      <c r="G73">
        <f>IF(ISNA(MATCH(64,'Transfer Engine'!$C$2:$C$622,0)),"",INDEX('Compliance Database'!$G$2:$G$622,MATCH(64,'Transfer Engine'!$C$2:$C$622,0)))</f>
        <v/>
      </c>
      <c r="H73">
        <f>IF(ISNA(MATCH(64,'Transfer Engine'!$C$2:$C$622,0)),"",INDEX('Compliance Database'!$H$2:$H$622,MATCH(64,'Transfer Engine'!$C$2:$C$622,0)))</f>
        <v/>
      </c>
      <c r="I73" s="8">
        <f>IF(ISNA(MATCH(64,'Transfer Engine'!$C$2:$C$622,0)),"",INDEX('Compliance Database'!$I$2:$I$622,MATCH(64,'Transfer Engine'!$C$2:$C$622,0)))</f>
        <v/>
      </c>
      <c r="J73" s="8">
        <f>IF(ISNA(MATCH(64,'Transfer Engine'!$C$2:$C$622,0)),"",INDEX('Compliance Database'!$J$2:$J$622,MATCH(64,'Transfer Engine'!$C$2:$C$622,0)))</f>
        <v/>
      </c>
      <c r="K73">
        <f>IF(ISNA(MATCH(64,'Transfer Engine'!$C$2:$C$622,0)),"",INDEX('Compliance Database'!$K$2:$K$622,MATCH(64,'Transfer Engine'!$C$2:$C$622,0)))</f>
        <v/>
      </c>
      <c r="L73" s="8">
        <f>IF(ISNA(MATCH(64,'Transfer Engine'!$C$2:$C$622,0)),"",INDEX('Compliance Database'!$L$2:$L$622,MATCH(64,'Transfer Engine'!$C$2:$C$622,0)))</f>
        <v/>
      </c>
      <c r="M73" s="8">
        <f>IF(ISNA(MATCH(64,'Transfer Engine'!$C$2:$C$622,0)),"",INDEX('Compliance Database'!$M$2:$M$622,MATCH(64,'Transfer Engine'!$C$2:$C$622,0)))</f>
        <v/>
      </c>
      <c r="N73" s="8">
        <f>IF(ISNA(MATCH(64,'Transfer Engine'!$C$2:$C$622,0)),"",INDEX('Compliance Database'!$N$2:$N$622,MATCH(64,'Transfer Engine'!$C$2:$C$622,0)))</f>
        <v/>
      </c>
      <c r="O73" s="8">
        <f>IF(ISNA(MATCH(64,'Transfer Engine'!$C$2:$C$622,0)),"",INDEX('Compliance Database'!$O$2:$O$622,MATCH(64,'Transfer Engine'!$C$2:$C$622,0)))</f>
        <v/>
      </c>
    </row>
    <row r="74">
      <c r="A74">
        <f>IF(ISNA(MATCH(65,'Transfer Engine'!$C$2:$C$622,0)),"",INDEX('Compliance Database'!$A$2:$A$622,MATCH(65,'Transfer Engine'!$C$2:$C$622,0)))</f>
        <v/>
      </c>
      <c r="B74">
        <f>IF(ISNA(MATCH(65,'Transfer Engine'!$C$2:$C$622,0)),"",INDEX('Compliance Database'!$B$2:$B$622,MATCH(65,'Transfer Engine'!$C$2:$C$622,0)))</f>
        <v/>
      </c>
      <c r="C74">
        <f>IF(ISNA(MATCH(65,'Transfer Engine'!$C$2:$C$622,0)),"",INDEX('Compliance Database'!$C$2:$C$622,MATCH(65,'Transfer Engine'!$C$2:$C$622,0)))</f>
        <v/>
      </c>
      <c r="D74" s="8">
        <f>IF(ISNA(MATCH(65,'Transfer Engine'!$C$2:$C$622,0)),"",INDEX('Compliance Database'!$D$2:$D$622,MATCH(65,'Transfer Engine'!$C$2:$C$622,0)))</f>
        <v/>
      </c>
      <c r="E74">
        <f>IF(ISNA(MATCH(65,'Transfer Engine'!$C$2:$C$622,0)),"",INDEX('Compliance Database'!$E$2:$E$622,MATCH(65,'Transfer Engine'!$C$2:$C$622,0)))</f>
        <v/>
      </c>
      <c r="F74">
        <f>IF(ISNA(MATCH(65,'Transfer Engine'!$C$2:$C$622,0)),"",INDEX('Compliance Database'!$F$2:$F$622,MATCH(65,'Transfer Engine'!$C$2:$C$622,0)))</f>
        <v/>
      </c>
      <c r="G74">
        <f>IF(ISNA(MATCH(65,'Transfer Engine'!$C$2:$C$622,0)),"",INDEX('Compliance Database'!$G$2:$G$622,MATCH(65,'Transfer Engine'!$C$2:$C$622,0)))</f>
        <v/>
      </c>
      <c r="H74">
        <f>IF(ISNA(MATCH(65,'Transfer Engine'!$C$2:$C$622,0)),"",INDEX('Compliance Database'!$H$2:$H$622,MATCH(65,'Transfer Engine'!$C$2:$C$622,0)))</f>
        <v/>
      </c>
      <c r="I74" s="8">
        <f>IF(ISNA(MATCH(65,'Transfer Engine'!$C$2:$C$622,0)),"",INDEX('Compliance Database'!$I$2:$I$622,MATCH(65,'Transfer Engine'!$C$2:$C$622,0)))</f>
        <v/>
      </c>
      <c r="J74" s="8">
        <f>IF(ISNA(MATCH(65,'Transfer Engine'!$C$2:$C$622,0)),"",INDEX('Compliance Database'!$J$2:$J$622,MATCH(65,'Transfer Engine'!$C$2:$C$622,0)))</f>
        <v/>
      </c>
      <c r="K74">
        <f>IF(ISNA(MATCH(65,'Transfer Engine'!$C$2:$C$622,0)),"",INDEX('Compliance Database'!$K$2:$K$622,MATCH(65,'Transfer Engine'!$C$2:$C$622,0)))</f>
        <v/>
      </c>
      <c r="L74" s="8">
        <f>IF(ISNA(MATCH(65,'Transfer Engine'!$C$2:$C$622,0)),"",INDEX('Compliance Database'!$L$2:$L$622,MATCH(65,'Transfer Engine'!$C$2:$C$622,0)))</f>
        <v/>
      </c>
      <c r="M74" s="8">
        <f>IF(ISNA(MATCH(65,'Transfer Engine'!$C$2:$C$622,0)),"",INDEX('Compliance Database'!$M$2:$M$622,MATCH(65,'Transfer Engine'!$C$2:$C$622,0)))</f>
        <v/>
      </c>
      <c r="N74" s="8">
        <f>IF(ISNA(MATCH(65,'Transfer Engine'!$C$2:$C$622,0)),"",INDEX('Compliance Database'!$N$2:$N$622,MATCH(65,'Transfer Engine'!$C$2:$C$622,0)))</f>
        <v/>
      </c>
      <c r="O74" s="8">
        <f>IF(ISNA(MATCH(65,'Transfer Engine'!$C$2:$C$622,0)),"",INDEX('Compliance Database'!$O$2:$O$622,MATCH(65,'Transfer Engine'!$C$2:$C$622,0)))</f>
        <v/>
      </c>
    </row>
    <row r="75">
      <c r="A75">
        <f>IF(ISNA(MATCH(66,'Transfer Engine'!$C$2:$C$622,0)),"",INDEX('Compliance Database'!$A$2:$A$622,MATCH(66,'Transfer Engine'!$C$2:$C$622,0)))</f>
        <v/>
      </c>
      <c r="B75">
        <f>IF(ISNA(MATCH(66,'Transfer Engine'!$C$2:$C$622,0)),"",INDEX('Compliance Database'!$B$2:$B$622,MATCH(66,'Transfer Engine'!$C$2:$C$622,0)))</f>
        <v/>
      </c>
      <c r="C75">
        <f>IF(ISNA(MATCH(66,'Transfer Engine'!$C$2:$C$622,0)),"",INDEX('Compliance Database'!$C$2:$C$622,MATCH(66,'Transfer Engine'!$C$2:$C$622,0)))</f>
        <v/>
      </c>
      <c r="D75" s="8">
        <f>IF(ISNA(MATCH(66,'Transfer Engine'!$C$2:$C$622,0)),"",INDEX('Compliance Database'!$D$2:$D$622,MATCH(66,'Transfer Engine'!$C$2:$C$622,0)))</f>
        <v/>
      </c>
      <c r="E75">
        <f>IF(ISNA(MATCH(66,'Transfer Engine'!$C$2:$C$622,0)),"",INDEX('Compliance Database'!$E$2:$E$622,MATCH(66,'Transfer Engine'!$C$2:$C$622,0)))</f>
        <v/>
      </c>
      <c r="F75">
        <f>IF(ISNA(MATCH(66,'Transfer Engine'!$C$2:$C$622,0)),"",INDEX('Compliance Database'!$F$2:$F$622,MATCH(66,'Transfer Engine'!$C$2:$C$622,0)))</f>
        <v/>
      </c>
      <c r="G75">
        <f>IF(ISNA(MATCH(66,'Transfer Engine'!$C$2:$C$622,0)),"",INDEX('Compliance Database'!$G$2:$G$622,MATCH(66,'Transfer Engine'!$C$2:$C$622,0)))</f>
        <v/>
      </c>
      <c r="H75">
        <f>IF(ISNA(MATCH(66,'Transfer Engine'!$C$2:$C$622,0)),"",INDEX('Compliance Database'!$H$2:$H$622,MATCH(66,'Transfer Engine'!$C$2:$C$622,0)))</f>
        <v/>
      </c>
      <c r="I75" s="8">
        <f>IF(ISNA(MATCH(66,'Transfer Engine'!$C$2:$C$622,0)),"",INDEX('Compliance Database'!$I$2:$I$622,MATCH(66,'Transfer Engine'!$C$2:$C$622,0)))</f>
        <v/>
      </c>
      <c r="J75" s="8">
        <f>IF(ISNA(MATCH(66,'Transfer Engine'!$C$2:$C$622,0)),"",INDEX('Compliance Database'!$J$2:$J$622,MATCH(66,'Transfer Engine'!$C$2:$C$622,0)))</f>
        <v/>
      </c>
      <c r="K75">
        <f>IF(ISNA(MATCH(66,'Transfer Engine'!$C$2:$C$622,0)),"",INDEX('Compliance Database'!$K$2:$K$622,MATCH(66,'Transfer Engine'!$C$2:$C$622,0)))</f>
        <v/>
      </c>
      <c r="L75" s="8">
        <f>IF(ISNA(MATCH(66,'Transfer Engine'!$C$2:$C$622,0)),"",INDEX('Compliance Database'!$L$2:$L$622,MATCH(66,'Transfer Engine'!$C$2:$C$622,0)))</f>
        <v/>
      </c>
      <c r="M75" s="8">
        <f>IF(ISNA(MATCH(66,'Transfer Engine'!$C$2:$C$622,0)),"",INDEX('Compliance Database'!$M$2:$M$622,MATCH(66,'Transfer Engine'!$C$2:$C$622,0)))</f>
        <v/>
      </c>
      <c r="N75" s="8">
        <f>IF(ISNA(MATCH(66,'Transfer Engine'!$C$2:$C$622,0)),"",INDEX('Compliance Database'!$N$2:$N$622,MATCH(66,'Transfer Engine'!$C$2:$C$622,0)))</f>
        <v/>
      </c>
      <c r="O75" s="8">
        <f>IF(ISNA(MATCH(66,'Transfer Engine'!$C$2:$C$622,0)),"",INDEX('Compliance Database'!$O$2:$O$622,MATCH(66,'Transfer Engine'!$C$2:$C$622,0)))</f>
        <v/>
      </c>
    </row>
    <row r="76">
      <c r="A76">
        <f>IF(ISNA(MATCH(67,'Transfer Engine'!$C$2:$C$622,0)),"",INDEX('Compliance Database'!$A$2:$A$622,MATCH(67,'Transfer Engine'!$C$2:$C$622,0)))</f>
        <v/>
      </c>
      <c r="B76">
        <f>IF(ISNA(MATCH(67,'Transfer Engine'!$C$2:$C$622,0)),"",INDEX('Compliance Database'!$B$2:$B$622,MATCH(67,'Transfer Engine'!$C$2:$C$622,0)))</f>
        <v/>
      </c>
      <c r="C76">
        <f>IF(ISNA(MATCH(67,'Transfer Engine'!$C$2:$C$622,0)),"",INDEX('Compliance Database'!$C$2:$C$622,MATCH(67,'Transfer Engine'!$C$2:$C$622,0)))</f>
        <v/>
      </c>
      <c r="D76" s="8">
        <f>IF(ISNA(MATCH(67,'Transfer Engine'!$C$2:$C$622,0)),"",INDEX('Compliance Database'!$D$2:$D$622,MATCH(67,'Transfer Engine'!$C$2:$C$622,0)))</f>
        <v/>
      </c>
      <c r="E76">
        <f>IF(ISNA(MATCH(67,'Transfer Engine'!$C$2:$C$622,0)),"",INDEX('Compliance Database'!$E$2:$E$622,MATCH(67,'Transfer Engine'!$C$2:$C$622,0)))</f>
        <v/>
      </c>
      <c r="F76">
        <f>IF(ISNA(MATCH(67,'Transfer Engine'!$C$2:$C$622,0)),"",INDEX('Compliance Database'!$F$2:$F$622,MATCH(67,'Transfer Engine'!$C$2:$C$622,0)))</f>
        <v/>
      </c>
      <c r="G76">
        <f>IF(ISNA(MATCH(67,'Transfer Engine'!$C$2:$C$622,0)),"",INDEX('Compliance Database'!$G$2:$G$622,MATCH(67,'Transfer Engine'!$C$2:$C$622,0)))</f>
        <v/>
      </c>
      <c r="H76">
        <f>IF(ISNA(MATCH(67,'Transfer Engine'!$C$2:$C$622,0)),"",INDEX('Compliance Database'!$H$2:$H$622,MATCH(67,'Transfer Engine'!$C$2:$C$622,0)))</f>
        <v/>
      </c>
      <c r="I76" s="8">
        <f>IF(ISNA(MATCH(67,'Transfer Engine'!$C$2:$C$622,0)),"",INDEX('Compliance Database'!$I$2:$I$622,MATCH(67,'Transfer Engine'!$C$2:$C$622,0)))</f>
        <v/>
      </c>
      <c r="J76" s="8">
        <f>IF(ISNA(MATCH(67,'Transfer Engine'!$C$2:$C$622,0)),"",INDEX('Compliance Database'!$J$2:$J$622,MATCH(67,'Transfer Engine'!$C$2:$C$622,0)))</f>
        <v/>
      </c>
      <c r="K76">
        <f>IF(ISNA(MATCH(67,'Transfer Engine'!$C$2:$C$622,0)),"",INDEX('Compliance Database'!$K$2:$K$622,MATCH(67,'Transfer Engine'!$C$2:$C$622,0)))</f>
        <v/>
      </c>
      <c r="L76" s="8">
        <f>IF(ISNA(MATCH(67,'Transfer Engine'!$C$2:$C$622,0)),"",INDEX('Compliance Database'!$L$2:$L$622,MATCH(67,'Transfer Engine'!$C$2:$C$622,0)))</f>
        <v/>
      </c>
      <c r="M76" s="8">
        <f>IF(ISNA(MATCH(67,'Transfer Engine'!$C$2:$C$622,0)),"",INDEX('Compliance Database'!$M$2:$M$622,MATCH(67,'Transfer Engine'!$C$2:$C$622,0)))</f>
        <v/>
      </c>
      <c r="N76" s="8">
        <f>IF(ISNA(MATCH(67,'Transfer Engine'!$C$2:$C$622,0)),"",INDEX('Compliance Database'!$N$2:$N$622,MATCH(67,'Transfer Engine'!$C$2:$C$622,0)))</f>
        <v/>
      </c>
      <c r="O76" s="8">
        <f>IF(ISNA(MATCH(67,'Transfer Engine'!$C$2:$C$622,0)),"",INDEX('Compliance Database'!$O$2:$O$622,MATCH(67,'Transfer Engine'!$C$2:$C$622,0)))</f>
        <v/>
      </c>
    </row>
    <row r="77">
      <c r="A77">
        <f>IF(ISNA(MATCH(68,'Transfer Engine'!$C$2:$C$622,0)),"",INDEX('Compliance Database'!$A$2:$A$622,MATCH(68,'Transfer Engine'!$C$2:$C$622,0)))</f>
        <v/>
      </c>
      <c r="B77">
        <f>IF(ISNA(MATCH(68,'Transfer Engine'!$C$2:$C$622,0)),"",INDEX('Compliance Database'!$B$2:$B$622,MATCH(68,'Transfer Engine'!$C$2:$C$622,0)))</f>
        <v/>
      </c>
      <c r="C77">
        <f>IF(ISNA(MATCH(68,'Transfer Engine'!$C$2:$C$622,0)),"",INDEX('Compliance Database'!$C$2:$C$622,MATCH(68,'Transfer Engine'!$C$2:$C$622,0)))</f>
        <v/>
      </c>
      <c r="D77" s="8">
        <f>IF(ISNA(MATCH(68,'Transfer Engine'!$C$2:$C$622,0)),"",INDEX('Compliance Database'!$D$2:$D$622,MATCH(68,'Transfer Engine'!$C$2:$C$622,0)))</f>
        <v/>
      </c>
      <c r="E77">
        <f>IF(ISNA(MATCH(68,'Transfer Engine'!$C$2:$C$622,0)),"",INDEX('Compliance Database'!$E$2:$E$622,MATCH(68,'Transfer Engine'!$C$2:$C$622,0)))</f>
        <v/>
      </c>
      <c r="F77">
        <f>IF(ISNA(MATCH(68,'Transfer Engine'!$C$2:$C$622,0)),"",INDEX('Compliance Database'!$F$2:$F$622,MATCH(68,'Transfer Engine'!$C$2:$C$622,0)))</f>
        <v/>
      </c>
      <c r="G77">
        <f>IF(ISNA(MATCH(68,'Transfer Engine'!$C$2:$C$622,0)),"",INDEX('Compliance Database'!$G$2:$G$622,MATCH(68,'Transfer Engine'!$C$2:$C$622,0)))</f>
        <v/>
      </c>
      <c r="H77">
        <f>IF(ISNA(MATCH(68,'Transfer Engine'!$C$2:$C$622,0)),"",INDEX('Compliance Database'!$H$2:$H$622,MATCH(68,'Transfer Engine'!$C$2:$C$622,0)))</f>
        <v/>
      </c>
      <c r="I77" s="8">
        <f>IF(ISNA(MATCH(68,'Transfer Engine'!$C$2:$C$622,0)),"",INDEX('Compliance Database'!$I$2:$I$622,MATCH(68,'Transfer Engine'!$C$2:$C$622,0)))</f>
        <v/>
      </c>
      <c r="J77" s="8">
        <f>IF(ISNA(MATCH(68,'Transfer Engine'!$C$2:$C$622,0)),"",INDEX('Compliance Database'!$J$2:$J$622,MATCH(68,'Transfer Engine'!$C$2:$C$622,0)))</f>
        <v/>
      </c>
      <c r="K77">
        <f>IF(ISNA(MATCH(68,'Transfer Engine'!$C$2:$C$622,0)),"",INDEX('Compliance Database'!$K$2:$K$622,MATCH(68,'Transfer Engine'!$C$2:$C$622,0)))</f>
        <v/>
      </c>
      <c r="L77" s="8">
        <f>IF(ISNA(MATCH(68,'Transfer Engine'!$C$2:$C$622,0)),"",INDEX('Compliance Database'!$L$2:$L$622,MATCH(68,'Transfer Engine'!$C$2:$C$622,0)))</f>
        <v/>
      </c>
      <c r="M77" s="8">
        <f>IF(ISNA(MATCH(68,'Transfer Engine'!$C$2:$C$622,0)),"",INDEX('Compliance Database'!$M$2:$M$622,MATCH(68,'Transfer Engine'!$C$2:$C$622,0)))</f>
        <v/>
      </c>
      <c r="N77" s="8">
        <f>IF(ISNA(MATCH(68,'Transfer Engine'!$C$2:$C$622,0)),"",INDEX('Compliance Database'!$N$2:$N$622,MATCH(68,'Transfer Engine'!$C$2:$C$622,0)))</f>
        <v/>
      </c>
      <c r="O77" s="8">
        <f>IF(ISNA(MATCH(68,'Transfer Engine'!$C$2:$C$622,0)),"",INDEX('Compliance Database'!$O$2:$O$622,MATCH(68,'Transfer Engine'!$C$2:$C$622,0)))</f>
        <v/>
      </c>
    </row>
    <row r="78">
      <c r="A78">
        <f>IF(ISNA(MATCH(69,'Transfer Engine'!$C$2:$C$622,0)),"",INDEX('Compliance Database'!$A$2:$A$622,MATCH(69,'Transfer Engine'!$C$2:$C$622,0)))</f>
        <v/>
      </c>
      <c r="B78">
        <f>IF(ISNA(MATCH(69,'Transfer Engine'!$C$2:$C$622,0)),"",INDEX('Compliance Database'!$B$2:$B$622,MATCH(69,'Transfer Engine'!$C$2:$C$622,0)))</f>
        <v/>
      </c>
      <c r="C78">
        <f>IF(ISNA(MATCH(69,'Transfer Engine'!$C$2:$C$622,0)),"",INDEX('Compliance Database'!$C$2:$C$622,MATCH(69,'Transfer Engine'!$C$2:$C$622,0)))</f>
        <v/>
      </c>
      <c r="D78" s="8">
        <f>IF(ISNA(MATCH(69,'Transfer Engine'!$C$2:$C$622,0)),"",INDEX('Compliance Database'!$D$2:$D$622,MATCH(69,'Transfer Engine'!$C$2:$C$622,0)))</f>
        <v/>
      </c>
      <c r="E78">
        <f>IF(ISNA(MATCH(69,'Transfer Engine'!$C$2:$C$622,0)),"",INDEX('Compliance Database'!$E$2:$E$622,MATCH(69,'Transfer Engine'!$C$2:$C$622,0)))</f>
        <v/>
      </c>
      <c r="F78">
        <f>IF(ISNA(MATCH(69,'Transfer Engine'!$C$2:$C$622,0)),"",INDEX('Compliance Database'!$F$2:$F$622,MATCH(69,'Transfer Engine'!$C$2:$C$622,0)))</f>
        <v/>
      </c>
      <c r="G78">
        <f>IF(ISNA(MATCH(69,'Transfer Engine'!$C$2:$C$622,0)),"",INDEX('Compliance Database'!$G$2:$G$622,MATCH(69,'Transfer Engine'!$C$2:$C$622,0)))</f>
        <v/>
      </c>
      <c r="H78">
        <f>IF(ISNA(MATCH(69,'Transfer Engine'!$C$2:$C$622,0)),"",INDEX('Compliance Database'!$H$2:$H$622,MATCH(69,'Transfer Engine'!$C$2:$C$622,0)))</f>
        <v/>
      </c>
      <c r="I78" s="8">
        <f>IF(ISNA(MATCH(69,'Transfer Engine'!$C$2:$C$622,0)),"",INDEX('Compliance Database'!$I$2:$I$622,MATCH(69,'Transfer Engine'!$C$2:$C$622,0)))</f>
        <v/>
      </c>
      <c r="J78" s="8">
        <f>IF(ISNA(MATCH(69,'Transfer Engine'!$C$2:$C$622,0)),"",INDEX('Compliance Database'!$J$2:$J$622,MATCH(69,'Transfer Engine'!$C$2:$C$622,0)))</f>
        <v/>
      </c>
      <c r="K78">
        <f>IF(ISNA(MATCH(69,'Transfer Engine'!$C$2:$C$622,0)),"",INDEX('Compliance Database'!$K$2:$K$622,MATCH(69,'Transfer Engine'!$C$2:$C$622,0)))</f>
        <v/>
      </c>
      <c r="L78" s="8">
        <f>IF(ISNA(MATCH(69,'Transfer Engine'!$C$2:$C$622,0)),"",INDEX('Compliance Database'!$L$2:$L$622,MATCH(69,'Transfer Engine'!$C$2:$C$622,0)))</f>
        <v/>
      </c>
      <c r="M78" s="8">
        <f>IF(ISNA(MATCH(69,'Transfer Engine'!$C$2:$C$622,0)),"",INDEX('Compliance Database'!$M$2:$M$622,MATCH(69,'Transfer Engine'!$C$2:$C$622,0)))</f>
        <v/>
      </c>
      <c r="N78" s="8">
        <f>IF(ISNA(MATCH(69,'Transfer Engine'!$C$2:$C$622,0)),"",INDEX('Compliance Database'!$N$2:$N$622,MATCH(69,'Transfer Engine'!$C$2:$C$622,0)))</f>
        <v/>
      </c>
      <c r="O78" s="8">
        <f>IF(ISNA(MATCH(69,'Transfer Engine'!$C$2:$C$622,0)),"",INDEX('Compliance Database'!$O$2:$O$622,MATCH(69,'Transfer Engine'!$C$2:$C$622,0)))</f>
        <v/>
      </c>
    </row>
    <row r="79">
      <c r="A79">
        <f>IF(ISNA(MATCH(70,'Transfer Engine'!$C$2:$C$622,0)),"",INDEX('Compliance Database'!$A$2:$A$622,MATCH(70,'Transfer Engine'!$C$2:$C$622,0)))</f>
        <v/>
      </c>
      <c r="B79">
        <f>IF(ISNA(MATCH(70,'Transfer Engine'!$C$2:$C$622,0)),"",INDEX('Compliance Database'!$B$2:$B$622,MATCH(70,'Transfer Engine'!$C$2:$C$622,0)))</f>
        <v/>
      </c>
      <c r="C79">
        <f>IF(ISNA(MATCH(70,'Transfer Engine'!$C$2:$C$622,0)),"",INDEX('Compliance Database'!$C$2:$C$622,MATCH(70,'Transfer Engine'!$C$2:$C$622,0)))</f>
        <v/>
      </c>
      <c r="D79" s="8">
        <f>IF(ISNA(MATCH(70,'Transfer Engine'!$C$2:$C$622,0)),"",INDEX('Compliance Database'!$D$2:$D$622,MATCH(70,'Transfer Engine'!$C$2:$C$622,0)))</f>
        <v/>
      </c>
      <c r="E79">
        <f>IF(ISNA(MATCH(70,'Transfer Engine'!$C$2:$C$622,0)),"",INDEX('Compliance Database'!$E$2:$E$622,MATCH(70,'Transfer Engine'!$C$2:$C$622,0)))</f>
        <v/>
      </c>
      <c r="F79">
        <f>IF(ISNA(MATCH(70,'Transfer Engine'!$C$2:$C$622,0)),"",INDEX('Compliance Database'!$F$2:$F$622,MATCH(70,'Transfer Engine'!$C$2:$C$622,0)))</f>
        <v/>
      </c>
      <c r="G79">
        <f>IF(ISNA(MATCH(70,'Transfer Engine'!$C$2:$C$622,0)),"",INDEX('Compliance Database'!$G$2:$G$622,MATCH(70,'Transfer Engine'!$C$2:$C$622,0)))</f>
        <v/>
      </c>
      <c r="H79">
        <f>IF(ISNA(MATCH(70,'Transfer Engine'!$C$2:$C$622,0)),"",INDEX('Compliance Database'!$H$2:$H$622,MATCH(70,'Transfer Engine'!$C$2:$C$622,0)))</f>
        <v/>
      </c>
      <c r="I79" s="8">
        <f>IF(ISNA(MATCH(70,'Transfer Engine'!$C$2:$C$622,0)),"",INDEX('Compliance Database'!$I$2:$I$622,MATCH(70,'Transfer Engine'!$C$2:$C$622,0)))</f>
        <v/>
      </c>
      <c r="J79" s="8">
        <f>IF(ISNA(MATCH(70,'Transfer Engine'!$C$2:$C$622,0)),"",INDEX('Compliance Database'!$J$2:$J$622,MATCH(70,'Transfer Engine'!$C$2:$C$622,0)))</f>
        <v/>
      </c>
      <c r="K79">
        <f>IF(ISNA(MATCH(70,'Transfer Engine'!$C$2:$C$622,0)),"",INDEX('Compliance Database'!$K$2:$K$622,MATCH(70,'Transfer Engine'!$C$2:$C$622,0)))</f>
        <v/>
      </c>
      <c r="L79" s="8">
        <f>IF(ISNA(MATCH(70,'Transfer Engine'!$C$2:$C$622,0)),"",INDEX('Compliance Database'!$L$2:$L$622,MATCH(70,'Transfer Engine'!$C$2:$C$622,0)))</f>
        <v/>
      </c>
      <c r="M79" s="8">
        <f>IF(ISNA(MATCH(70,'Transfer Engine'!$C$2:$C$622,0)),"",INDEX('Compliance Database'!$M$2:$M$622,MATCH(70,'Transfer Engine'!$C$2:$C$622,0)))</f>
        <v/>
      </c>
      <c r="N79" s="8">
        <f>IF(ISNA(MATCH(70,'Transfer Engine'!$C$2:$C$622,0)),"",INDEX('Compliance Database'!$N$2:$N$622,MATCH(70,'Transfer Engine'!$C$2:$C$622,0)))</f>
        <v/>
      </c>
      <c r="O79" s="8">
        <f>IF(ISNA(MATCH(70,'Transfer Engine'!$C$2:$C$622,0)),"",INDEX('Compliance Database'!$O$2:$O$622,MATCH(70,'Transfer Engine'!$C$2:$C$622,0)))</f>
        <v/>
      </c>
    </row>
    <row r="80">
      <c r="A80">
        <f>IF(ISNA(MATCH(71,'Transfer Engine'!$C$2:$C$622,0)),"",INDEX('Compliance Database'!$A$2:$A$622,MATCH(71,'Transfer Engine'!$C$2:$C$622,0)))</f>
        <v/>
      </c>
      <c r="B80">
        <f>IF(ISNA(MATCH(71,'Transfer Engine'!$C$2:$C$622,0)),"",INDEX('Compliance Database'!$B$2:$B$622,MATCH(71,'Transfer Engine'!$C$2:$C$622,0)))</f>
        <v/>
      </c>
      <c r="C80">
        <f>IF(ISNA(MATCH(71,'Transfer Engine'!$C$2:$C$622,0)),"",INDEX('Compliance Database'!$C$2:$C$622,MATCH(71,'Transfer Engine'!$C$2:$C$622,0)))</f>
        <v/>
      </c>
      <c r="D80" s="8">
        <f>IF(ISNA(MATCH(71,'Transfer Engine'!$C$2:$C$622,0)),"",INDEX('Compliance Database'!$D$2:$D$622,MATCH(71,'Transfer Engine'!$C$2:$C$622,0)))</f>
        <v/>
      </c>
      <c r="E80">
        <f>IF(ISNA(MATCH(71,'Transfer Engine'!$C$2:$C$622,0)),"",INDEX('Compliance Database'!$E$2:$E$622,MATCH(71,'Transfer Engine'!$C$2:$C$622,0)))</f>
        <v/>
      </c>
      <c r="F80">
        <f>IF(ISNA(MATCH(71,'Transfer Engine'!$C$2:$C$622,0)),"",INDEX('Compliance Database'!$F$2:$F$622,MATCH(71,'Transfer Engine'!$C$2:$C$622,0)))</f>
        <v/>
      </c>
      <c r="G80">
        <f>IF(ISNA(MATCH(71,'Transfer Engine'!$C$2:$C$622,0)),"",INDEX('Compliance Database'!$G$2:$G$622,MATCH(71,'Transfer Engine'!$C$2:$C$622,0)))</f>
        <v/>
      </c>
      <c r="H80">
        <f>IF(ISNA(MATCH(71,'Transfer Engine'!$C$2:$C$622,0)),"",INDEX('Compliance Database'!$H$2:$H$622,MATCH(71,'Transfer Engine'!$C$2:$C$622,0)))</f>
        <v/>
      </c>
      <c r="I80" s="8">
        <f>IF(ISNA(MATCH(71,'Transfer Engine'!$C$2:$C$622,0)),"",INDEX('Compliance Database'!$I$2:$I$622,MATCH(71,'Transfer Engine'!$C$2:$C$622,0)))</f>
        <v/>
      </c>
      <c r="J80" s="8">
        <f>IF(ISNA(MATCH(71,'Transfer Engine'!$C$2:$C$622,0)),"",INDEX('Compliance Database'!$J$2:$J$622,MATCH(71,'Transfer Engine'!$C$2:$C$622,0)))</f>
        <v/>
      </c>
      <c r="K80">
        <f>IF(ISNA(MATCH(71,'Transfer Engine'!$C$2:$C$622,0)),"",INDEX('Compliance Database'!$K$2:$K$622,MATCH(71,'Transfer Engine'!$C$2:$C$622,0)))</f>
        <v/>
      </c>
      <c r="L80" s="8">
        <f>IF(ISNA(MATCH(71,'Transfer Engine'!$C$2:$C$622,0)),"",INDEX('Compliance Database'!$L$2:$L$622,MATCH(71,'Transfer Engine'!$C$2:$C$622,0)))</f>
        <v/>
      </c>
      <c r="M80" s="8">
        <f>IF(ISNA(MATCH(71,'Transfer Engine'!$C$2:$C$622,0)),"",INDEX('Compliance Database'!$M$2:$M$622,MATCH(71,'Transfer Engine'!$C$2:$C$622,0)))</f>
        <v/>
      </c>
      <c r="N80" s="8">
        <f>IF(ISNA(MATCH(71,'Transfer Engine'!$C$2:$C$622,0)),"",INDEX('Compliance Database'!$N$2:$N$622,MATCH(71,'Transfer Engine'!$C$2:$C$622,0)))</f>
        <v/>
      </c>
      <c r="O80" s="8">
        <f>IF(ISNA(MATCH(71,'Transfer Engine'!$C$2:$C$622,0)),"",INDEX('Compliance Database'!$O$2:$O$622,MATCH(71,'Transfer Engine'!$C$2:$C$622,0)))</f>
        <v/>
      </c>
    </row>
    <row r="81">
      <c r="A81">
        <f>IF(ISNA(MATCH(72,'Transfer Engine'!$C$2:$C$622,0)),"",INDEX('Compliance Database'!$A$2:$A$622,MATCH(72,'Transfer Engine'!$C$2:$C$622,0)))</f>
        <v/>
      </c>
      <c r="B81">
        <f>IF(ISNA(MATCH(72,'Transfer Engine'!$C$2:$C$622,0)),"",INDEX('Compliance Database'!$B$2:$B$622,MATCH(72,'Transfer Engine'!$C$2:$C$622,0)))</f>
        <v/>
      </c>
      <c r="C81">
        <f>IF(ISNA(MATCH(72,'Transfer Engine'!$C$2:$C$622,0)),"",INDEX('Compliance Database'!$C$2:$C$622,MATCH(72,'Transfer Engine'!$C$2:$C$622,0)))</f>
        <v/>
      </c>
      <c r="D81" s="8">
        <f>IF(ISNA(MATCH(72,'Transfer Engine'!$C$2:$C$622,0)),"",INDEX('Compliance Database'!$D$2:$D$622,MATCH(72,'Transfer Engine'!$C$2:$C$622,0)))</f>
        <v/>
      </c>
      <c r="E81">
        <f>IF(ISNA(MATCH(72,'Transfer Engine'!$C$2:$C$622,0)),"",INDEX('Compliance Database'!$E$2:$E$622,MATCH(72,'Transfer Engine'!$C$2:$C$622,0)))</f>
        <v/>
      </c>
      <c r="F81">
        <f>IF(ISNA(MATCH(72,'Transfer Engine'!$C$2:$C$622,0)),"",INDEX('Compliance Database'!$F$2:$F$622,MATCH(72,'Transfer Engine'!$C$2:$C$622,0)))</f>
        <v/>
      </c>
      <c r="G81">
        <f>IF(ISNA(MATCH(72,'Transfer Engine'!$C$2:$C$622,0)),"",INDEX('Compliance Database'!$G$2:$G$622,MATCH(72,'Transfer Engine'!$C$2:$C$622,0)))</f>
        <v/>
      </c>
      <c r="H81">
        <f>IF(ISNA(MATCH(72,'Transfer Engine'!$C$2:$C$622,0)),"",INDEX('Compliance Database'!$H$2:$H$622,MATCH(72,'Transfer Engine'!$C$2:$C$622,0)))</f>
        <v/>
      </c>
      <c r="I81" s="8">
        <f>IF(ISNA(MATCH(72,'Transfer Engine'!$C$2:$C$622,0)),"",INDEX('Compliance Database'!$I$2:$I$622,MATCH(72,'Transfer Engine'!$C$2:$C$622,0)))</f>
        <v/>
      </c>
      <c r="J81" s="8">
        <f>IF(ISNA(MATCH(72,'Transfer Engine'!$C$2:$C$622,0)),"",INDEX('Compliance Database'!$J$2:$J$622,MATCH(72,'Transfer Engine'!$C$2:$C$622,0)))</f>
        <v/>
      </c>
      <c r="K81">
        <f>IF(ISNA(MATCH(72,'Transfer Engine'!$C$2:$C$622,0)),"",INDEX('Compliance Database'!$K$2:$K$622,MATCH(72,'Transfer Engine'!$C$2:$C$622,0)))</f>
        <v/>
      </c>
      <c r="L81" s="8">
        <f>IF(ISNA(MATCH(72,'Transfer Engine'!$C$2:$C$622,0)),"",INDEX('Compliance Database'!$L$2:$L$622,MATCH(72,'Transfer Engine'!$C$2:$C$622,0)))</f>
        <v/>
      </c>
      <c r="M81" s="8">
        <f>IF(ISNA(MATCH(72,'Transfer Engine'!$C$2:$C$622,0)),"",INDEX('Compliance Database'!$M$2:$M$622,MATCH(72,'Transfer Engine'!$C$2:$C$622,0)))</f>
        <v/>
      </c>
      <c r="N81" s="8">
        <f>IF(ISNA(MATCH(72,'Transfer Engine'!$C$2:$C$622,0)),"",INDEX('Compliance Database'!$N$2:$N$622,MATCH(72,'Transfer Engine'!$C$2:$C$622,0)))</f>
        <v/>
      </c>
      <c r="O81" s="8">
        <f>IF(ISNA(MATCH(72,'Transfer Engine'!$C$2:$C$622,0)),"",INDEX('Compliance Database'!$O$2:$O$622,MATCH(72,'Transfer Engine'!$C$2:$C$622,0)))</f>
        <v/>
      </c>
    </row>
    <row r="82">
      <c r="A82">
        <f>IF(ISNA(MATCH(73,'Transfer Engine'!$C$2:$C$622,0)),"",INDEX('Compliance Database'!$A$2:$A$622,MATCH(73,'Transfer Engine'!$C$2:$C$622,0)))</f>
        <v/>
      </c>
      <c r="B82">
        <f>IF(ISNA(MATCH(73,'Transfer Engine'!$C$2:$C$622,0)),"",INDEX('Compliance Database'!$B$2:$B$622,MATCH(73,'Transfer Engine'!$C$2:$C$622,0)))</f>
        <v/>
      </c>
      <c r="C82">
        <f>IF(ISNA(MATCH(73,'Transfer Engine'!$C$2:$C$622,0)),"",INDEX('Compliance Database'!$C$2:$C$622,MATCH(73,'Transfer Engine'!$C$2:$C$622,0)))</f>
        <v/>
      </c>
      <c r="D82" s="8">
        <f>IF(ISNA(MATCH(73,'Transfer Engine'!$C$2:$C$622,0)),"",INDEX('Compliance Database'!$D$2:$D$622,MATCH(73,'Transfer Engine'!$C$2:$C$622,0)))</f>
        <v/>
      </c>
      <c r="E82">
        <f>IF(ISNA(MATCH(73,'Transfer Engine'!$C$2:$C$622,0)),"",INDEX('Compliance Database'!$E$2:$E$622,MATCH(73,'Transfer Engine'!$C$2:$C$622,0)))</f>
        <v/>
      </c>
      <c r="F82">
        <f>IF(ISNA(MATCH(73,'Transfer Engine'!$C$2:$C$622,0)),"",INDEX('Compliance Database'!$F$2:$F$622,MATCH(73,'Transfer Engine'!$C$2:$C$622,0)))</f>
        <v/>
      </c>
      <c r="G82">
        <f>IF(ISNA(MATCH(73,'Transfer Engine'!$C$2:$C$622,0)),"",INDEX('Compliance Database'!$G$2:$G$622,MATCH(73,'Transfer Engine'!$C$2:$C$622,0)))</f>
        <v/>
      </c>
      <c r="H82">
        <f>IF(ISNA(MATCH(73,'Transfer Engine'!$C$2:$C$622,0)),"",INDEX('Compliance Database'!$H$2:$H$622,MATCH(73,'Transfer Engine'!$C$2:$C$622,0)))</f>
        <v/>
      </c>
      <c r="I82" s="8">
        <f>IF(ISNA(MATCH(73,'Transfer Engine'!$C$2:$C$622,0)),"",INDEX('Compliance Database'!$I$2:$I$622,MATCH(73,'Transfer Engine'!$C$2:$C$622,0)))</f>
        <v/>
      </c>
      <c r="J82" s="8">
        <f>IF(ISNA(MATCH(73,'Transfer Engine'!$C$2:$C$622,0)),"",INDEX('Compliance Database'!$J$2:$J$622,MATCH(73,'Transfer Engine'!$C$2:$C$622,0)))</f>
        <v/>
      </c>
      <c r="K82">
        <f>IF(ISNA(MATCH(73,'Transfer Engine'!$C$2:$C$622,0)),"",INDEX('Compliance Database'!$K$2:$K$622,MATCH(73,'Transfer Engine'!$C$2:$C$622,0)))</f>
        <v/>
      </c>
      <c r="L82" s="8">
        <f>IF(ISNA(MATCH(73,'Transfer Engine'!$C$2:$C$622,0)),"",INDEX('Compliance Database'!$L$2:$L$622,MATCH(73,'Transfer Engine'!$C$2:$C$622,0)))</f>
        <v/>
      </c>
      <c r="M82" s="8">
        <f>IF(ISNA(MATCH(73,'Transfer Engine'!$C$2:$C$622,0)),"",INDEX('Compliance Database'!$M$2:$M$622,MATCH(73,'Transfer Engine'!$C$2:$C$622,0)))</f>
        <v/>
      </c>
      <c r="N82" s="8">
        <f>IF(ISNA(MATCH(73,'Transfer Engine'!$C$2:$C$622,0)),"",INDEX('Compliance Database'!$N$2:$N$622,MATCH(73,'Transfer Engine'!$C$2:$C$622,0)))</f>
        <v/>
      </c>
      <c r="O82" s="8">
        <f>IF(ISNA(MATCH(73,'Transfer Engine'!$C$2:$C$622,0)),"",INDEX('Compliance Database'!$O$2:$O$622,MATCH(73,'Transfer Engine'!$C$2:$C$622,0)))</f>
        <v/>
      </c>
    </row>
    <row r="83">
      <c r="A83">
        <f>IF(ISNA(MATCH(74,'Transfer Engine'!$C$2:$C$622,0)),"",INDEX('Compliance Database'!$A$2:$A$622,MATCH(74,'Transfer Engine'!$C$2:$C$622,0)))</f>
        <v/>
      </c>
      <c r="B83">
        <f>IF(ISNA(MATCH(74,'Transfer Engine'!$C$2:$C$622,0)),"",INDEX('Compliance Database'!$B$2:$B$622,MATCH(74,'Transfer Engine'!$C$2:$C$622,0)))</f>
        <v/>
      </c>
      <c r="C83">
        <f>IF(ISNA(MATCH(74,'Transfer Engine'!$C$2:$C$622,0)),"",INDEX('Compliance Database'!$C$2:$C$622,MATCH(74,'Transfer Engine'!$C$2:$C$622,0)))</f>
        <v/>
      </c>
      <c r="D83" s="8">
        <f>IF(ISNA(MATCH(74,'Transfer Engine'!$C$2:$C$622,0)),"",INDEX('Compliance Database'!$D$2:$D$622,MATCH(74,'Transfer Engine'!$C$2:$C$622,0)))</f>
        <v/>
      </c>
      <c r="E83">
        <f>IF(ISNA(MATCH(74,'Transfer Engine'!$C$2:$C$622,0)),"",INDEX('Compliance Database'!$E$2:$E$622,MATCH(74,'Transfer Engine'!$C$2:$C$622,0)))</f>
        <v/>
      </c>
      <c r="F83">
        <f>IF(ISNA(MATCH(74,'Transfer Engine'!$C$2:$C$622,0)),"",INDEX('Compliance Database'!$F$2:$F$622,MATCH(74,'Transfer Engine'!$C$2:$C$622,0)))</f>
        <v/>
      </c>
      <c r="G83">
        <f>IF(ISNA(MATCH(74,'Transfer Engine'!$C$2:$C$622,0)),"",INDEX('Compliance Database'!$G$2:$G$622,MATCH(74,'Transfer Engine'!$C$2:$C$622,0)))</f>
        <v/>
      </c>
      <c r="H83">
        <f>IF(ISNA(MATCH(74,'Transfer Engine'!$C$2:$C$622,0)),"",INDEX('Compliance Database'!$H$2:$H$622,MATCH(74,'Transfer Engine'!$C$2:$C$622,0)))</f>
        <v/>
      </c>
      <c r="I83" s="8">
        <f>IF(ISNA(MATCH(74,'Transfer Engine'!$C$2:$C$622,0)),"",INDEX('Compliance Database'!$I$2:$I$622,MATCH(74,'Transfer Engine'!$C$2:$C$622,0)))</f>
        <v/>
      </c>
      <c r="J83" s="8">
        <f>IF(ISNA(MATCH(74,'Transfer Engine'!$C$2:$C$622,0)),"",INDEX('Compliance Database'!$J$2:$J$622,MATCH(74,'Transfer Engine'!$C$2:$C$622,0)))</f>
        <v/>
      </c>
      <c r="K83">
        <f>IF(ISNA(MATCH(74,'Transfer Engine'!$C$2:$C$622,0)),"",INDEX('Compliance Database'!$K$2:$K$622,MATCH(74,'Transfer Engine'!$C$2:$C$622,0)))</f>
        <v/>
      </c>
      <c r="L83" s="8">
        <f>IF(ISNA(MATCH(74,'Transfer Engine'!$C$2:$C$622,0)),"",INDEX('Compliance Database'!$L$2:$L$622,MATCH(74,'Transfer Engine'!$C$2:$C$622,0)))</f>
        <v/>
      </c>
      <c r="M83" s="8">
        <f>IF(ISNA(MATCH(74,'Transfer Engine'!$C$2:$C$622,0)),"",INDEX('Compliance Database'!$M$2:$M$622,MATCH(74,'Transfer Engine'!$C$2:$C$622,0)))</f>
        <v/>
      </c>
      <c r="N83" s="8">
        <f>IF(ISNA(MATCH(74,'Transfer Engine'!$C$2:$C$622,0)),"",INDEX('Compliance Database'!$N$2:$N$622,MATCH(74,'Transfer Engine'!$C$2:$C$622,0)))</f>
        <v/>
      </c>
      <c r="O83" s="8">
        <f>IF(ISNA(MATCH(74,'Transfer Engine'!$C$2:$C$622,0)),"",INDEX('Compliance Database'!$O$2:$O$622,MATCH(74,'Transfer Engine'!$C$2:$C$622,0)))</f>
        <v/>
      </c>
    </row>
    <row r="84">
      <c r="A84">
        <f>IF(ISNA(MATCH(75,'Transfer Engine'!$C$2:$C$622,0)),"",INDEX('Compliance Database'!$A$2:$A$622,MATCH(75,'Transfer Engine'!$C$2:$C$622,0)))</f>
        <v/>
      </c>
      <c r="B84">
        <f>IF(ISNA(MATCH(75,'Transfer Engine'!$C$2:$C$622,0)),"",INDEX('Compliance Database'!$B$2:$B$622,MATCH(75,'Transfer Engine'!$C$2:$C$622,0)))</f>
        <v/>
      </c>
      <c r="C84">
        <f>IF(ISNA(MATCH(75,'Transfer Engine'!$C$2:$C$622,0)),"",INDEX('Compliance Database'!$C$2:$C$622,MATCH(75,'Transfer Engine'!$C$2:$C$622,0)))</f>
        <v/>
      </c>
      <c r="D84" s="8">
        <f>IF(ISNA(MATCH(75,'Transfer Engine'!$C$2:$C$622,0)),"",INDEX('Compliance Database'!$D$2:$D$622,MATCH(75,'Transfer Engine'!$C$2:$C$622,0)))</f>
        <v/>
      </c>
      <c r="E84">
        <f>IF(ISNA(MATCH(75,'Transfer Engine'!$C$2:$C$622,0)),"",INDEX('Compliance Database'!$E$2:$E$622,MATCH(75,'Transfer Engine'!$C$2:$C$622,0)))</f>
        <v/>
      </c>
      <c r="F84">
        <f>IF(ISNA(MATCH(75,'Transfer Engine'!$C$2:$C$622,0)),"",INDEX('Compliance Database'!$F$2:$F$622,MATCH(75,'Transfer Engine'!$C$2:$C$622,0)))</f>
        <v/>
      </c>
      <c r="G84">
        <f>IF(ISNA(MATCH(75,'Transfer Engine'!$C$2:$C$622,0)),"",INDEX('Compliance Database'!$G$2:$G$622,MATCH(75,'Transfer Engine'!$C$2:$C$622,0)))</f>
        <v/>
      </c>
      <c r="H84">
        <f>IF(ISNA(MATCH(75,'Transfer Engine'!$C$2:$C$622,0)),"",INDEX('Compliance Database'!$H$2:$H$622,MATCH(75,'Transfer Engine'!$C$2:$C$622,0)))</f>
        <v/>
      </c>
      <c r="I84" s="8">
        <f>IF(ISNA(MATCH(75,'Transfer Engine'!$C$2:$C$622,0)),"",INDEX('Compliance Database'!$I$2:$I$622,MATCH(75,'Transfer Engine'!$C$2:$C$622,0)))</f>
        <v/>
      </c>
      <c r="J84" s="8">
        <f>IF(ISNA(MATCH(75,'Transfer Engine'!$C$2:$C$622,0)),"",INDEX('Compliance Database'!$J$2:$J$622,MATCH(75,'Transfer Engine'!$C$2:$C$622,0)))</f>
        <v/>
      </c>
      <c r="K84">
        <f>IF(ISNA(MATCH(75,'Transfer Engine'!$C$2:$C$622,0)),"",INDEX('Compliance Database'!$K$2:$K$622,MATCH(75,'Transfer Engine'!$C$2:$C$622,0)))</f>
        <v/>
      </c>
      <c r="L84" s="8">
        <f>IF(ISNA(MATCH(75,'Transfer Engine'!$C$2:$C$622,0)),"",INDEX('Compliance Database'!$L$2:$L$622,MATCH(75,'Transfer Engine'!$C$2:$C$622,0)))</f>
        <v/>
      </c>
      <c r="M84" s="8">
        <f>IF(ISNA(MATCH(75,'Transfer Engine'!$C$2:$C$622,0)),"",INDEX('Compliance Database'!$M$2:$M$622,MATCH(75,'Transfer Engine'!$C$2:$C$622,0)))</f>
        <v/>
      </c>
      <c r="N84" s="8">
        <f>IF(ISNA(MATCH(75,'Transfer Engine'!$C$2:$C$622,0)),"",INDEX('Compliance Database'!$N$2:$N$622,MATCH(75,'Transfer Engine'!$C$2:$C$622,0)))</f>
        <v/>
      </c>
      <c r="O84" s="8">
        <f>IF(ISNA(MATCH(75,'Transfer Engine'!$C$2:$C$622,0)),"",INDEX('Compliance Database'!$O$2:$O$622,MATCH(75,'Transfer Engine'!$C$2:$C$622,0)))</f>
        <v/>
      </c>
    </row>
    <row r="85">
      <c r="A85">
        <f>IF(ISNA(MATCH(76,'Transfer Engine'!$C$2:$C$622,0)),"",INDEX('Compliance Database'!$A$2:$A$622,MATCH(76,'Transfer Engine'!$C$2:$C$622,0)))</f>
        <v/>
      </c>
      <c r="B85">
        <f>IF(ISNA(MATCH(76,'Transfer Engine'!$C$2:$C$622,0)),"",INDEX('Compliance Database'!$B$2:$B$622,MATCH(76,'Transfer Engine'!$C$2:$C$622,0)))</f>
        <v/>
      </c>
      <c r="C85">
        <f>IF(ISNA(MATCH(76,'Transfer Engine'!$C$2:$C$622,0)),"",INDEX('Compliance Database'!$C$2:$C$622,MATCH(76,'Transfer Engine'!$C$2:$C$622,0)))</f>
        <v/>
      </c>
      <c r="D85" s="8">
        <f>IF(ISNA(MATCH(76,'Transfer Engine'!$C$2:$C$622,0)),"",INDEX('Compliance Database'!$D$2:$D$622,MATCH(76,'Transfer Engine'!$C$2:$C$622,0)))</f>
        <v/>
      </c>
      <c r="E85">
        <f>IF(ISNA(MATCH(76,'Transfer Engine'!$C$2:$C$622,0)),"",INDEX('Compliance Database'!$E$2:$E$622,MATCH(76,'Transfer Engine'!$C$2:$C$622,0)))</f>
        <v/>
      </c>
      <c r="F85">
        <f>IF(ISNA(MATCH(76,'Transfer Engine'!$C$2:$C$622,0)),"",INDEX('Compliance Database'!$F$2:$F$622,MATCH(76,'Transfer Engine'!$C$2:$C$622,0)))</f>
        <v/>
      </c>
      <c r="G85">
        <f>IF(ISNA(MATCH(76,'Transfer Engine'!$C$2:$C$622,0)),"",INDEX('Compliance Database'!$G$2:$G$622,MATCH(76,'Transfer Engine'!$C$2:$C$622,0)))</f>
        <v/>
      </c>
      <c r="H85">
        <f>IF(ISNA(MATCH(76,'Transfer Engine'!$C$2:$C$622,0)),"",INDEX('Compliance Database'!$H$2:$H$622,MATCH(76,'Transfer Engine'!$C$2:$C$622,0)))</f>
        <v/>
      </c>
      <c r="I85" s="8">
        <f>IF(ISNA(MATCH(76,'Transfer Engine'!$C$2:$C$622,0)),"",INDEX('Compliance Database'!$I$2:$I$622,MATCH(76,'Transfer Engine'!$C$2:$C$622,0)))</f>
        <v/>
      </c>
      <c r="J85" s="8">
        <f>IF(ISNA(MATCH(76,'Transfer Engine'!$C$2:$C$622,0)),"",INDEX('Compliance Database'!$J$2:$J$622,MATCH(76,'Transfer Engine'!$C$2:$C$622,0)))</f>
        <v/>
      </c>
      <c r="K85">
        <f>IF(ISNA(MATCH(76,'Transfer Engine'!$C$2:$C$622,0)),"",INDEX('Compliance Database'!$K$2:$K$622,MATCH(76,'Transfer Engine'!$C$2:$C$622,0)))</f>
        <v/>
      </c>
      <c r="L85" s="8">
        <f>IF(ISNA(MATCH(76,'Transfer Engine'!$C$2:$C$622,0)),"",INDEX('Compliance Database'!$L$2:$L$622,MATCH(76,'Transfer Engine'!$C$2:$C$622,0)))</f>
        <v/>
      </c>
      <c r="M85" s="8">
        <f>IF(ISNA(MATCH(76,'Transfer Engine'!$C$2:$C$622,0)),"",INDEX('Compliance Database'!$M$2:$M$622,MATCH(76,'Transfer Engine'!$C$2:$C$622,0)))</f>
        <v/>
      </c>
      <c r="N85" s="8">
        <f>IF(ISNA(MATCH(76,'Transfer Engine'!$C$2:$C$622,0)),"",INDEX('Compliance Database'!$N$2:$N$622,MATCH(76,'Transfer Engine'!$C$2:$C$622,0)))</f>
        <v/>
      </c>
      <c r="O85" s="8">
        <f>IF(ISNA(MATCH(76,'Transfer Engine'!$C$2:$C$622,0)),"",INDEX('Compliance Database'!$O$2:$O$622,MATCH(76,'Transfer Engine'!$C$2:$C$622,0)))</f>
        <v/>
      </c>
    </row>
    <row r="86">
      <c r="A86">
        <f>IF(ISNA(MATCH(77,'Transfer Engine'!$C$2:$C$622,0)),"",INDEX('Compliance Database'!$A$2:$A$622,MATCH(77,'Transfer Engine'!$C$2:$C$622,0)))</f>
        <v/>
      </c>
      <c r="B86">
        <f>IF(ISNA(MATCH(77,'Transfer Engine'!$C$2:$C$622,0)),"",INDEX('Compliance Database'!$B$2:$B$622,MATCH(77,'Transfer Engine'!$C$2:$C$622,0)))</f>
        <v/>
      </c>
      <c r="C86">
        <f>IF(ISNA(MATCH(77,'Transfer Engine'!$C$2:$C$622,0)),"",INDEX('Compliance Database'!$C$2:$C$622,MATCH(77,'Transfer Engine'!$C$2:$C$622,0)))</f>
        <v/>
      </c>
      <c r="D86" s="8">
        <f>IF(ISNA(MATCH(77,'Transfer Engine'!$C$2:$C$622,0)),"",INDEX('Compliance Database'!$D$2:$D$622,MATCH(77,'Transfer Engine'!$C$2:$C$622,0)))</f>
        <v/>
      </c>
      <c r="E86">
        <f>IF(ISNA(MATCH(77,'Transfer Engine'!$C$2:$C$622,0)),"",INDEX('Compliance Database'!$E$2:$E$622,MATCH(77,'Transfer Engine'!$C$2:$C$622,0)))</f>
        <v/>
      </c>
      <c r="F86">
        <f>IF(ISNA(MATCH(77,'Transfer Engine'!$C$2:$C$622,0)),"",INDEX('Compliance Database'!$F$2:$F$622,MATCH(77,'Transfer Engine'!$C$2:$C$622,0)))</f>
        <v/>
      </c>
      <c r="G86">
        <f>IF(ISNA(MATCH(77,'Transfer Engine'!$C$2:$C$622,0)),"",INDEX('Compliance Database'!$G$2:$G$622,MATCH(77,'Transfer Engine'!$C$2:$C$622,0)))</f>
        <v/>
      </c>
      <c r="H86">
        <f>IF(ISNA(MATCH(77,'Transfer Engine'!$C$2:$C$622,0)),"",INDEX('Compliance Database'!$H$2:$H$622,MATCH(77,'Transfer Engine'!$C$2:$C$622,0)))</f>
        <v/>
      </c>
      <c r="I86" s="8">
        <f>IF(ISNA(MATCH(77,'Transfer Engine'!$C$2:$C$622,0)),"",INDEX('Compliance Database'!$I$2:$I$622,MATCH(77,'Transfer Engine'!$C$2:$C$622,0)))</f>
        <v/>
      </c>
      <c r="J86" s="8">
        <f>IF(ISNA(MATCH(77,'Transfer Engine'!$C$2:$C$622,0)),"",INDEX('Compliance Database'!$J$2:$J$622,MATCH(77,'Transfer Engine'!$C$2:$C$622,0)))</f>
        <v/>
      </c>
      <c r="K86">
        <f>IF(ISNA(MATCH(77,'Transfer Engine'!$C$2:$C$622,0)),"",INDEX('Compliance Database'!$K$2:$K$622,MATCH(77,'Transfer Engine'!$C$2:$C$622,0)))</f>
        <v/>
      </c>
      <c r="L86" s="8">
        <f>IF(ISNA(MATCH(77,'Transfer Engine'!$C$2:$C$622,0)),"",INDEX('Compliance Database'!$L$2:$L$622,MATCH(77,'Transfer Engine'!$C$2:$C$622,0)))</f>
        <v/>
      </c>
      <c r="M86" s="8">
        <f>IF(ISNA(MATCH(77,'Transfer Engine'!$C$2:$C$622,0)),"",INDEX('Compliance Database'!$M$2:$M$622,MATCH(77,'Transfer Engine'!$C$2:$C$622,0)))</f>
        <v/>
      </c>
      <c r="N86" s="8">
        <f>IF(ISNA(MATCH(77,'Transfer Engine'!$C$2:$C$622,0)),"",INDEX('Compliance Database'!$N$2:$N$622,MATCH(77,'Transfer Engine'!$C$2:$C$622,0)))</f>
        <v/>
      </c>
      <c r="O86" s="8">
        <f>IF(ISNA(MATCH(77,'Transfer Engine'!$C$2:$C$622,0)),"",INDEX('Compliance Database'!$O$2:$O$622,MATCH(77,'Transfer Engine'!$C$2:$C$622,0)))</f>
        <v/>
      </c>
    </row>
    <row r="87">
      <c r="A87">
        <f>IF(ISNA(MATCH(78,'Transfer Engine'!$C$2:$C$622,0)),"",INDEX('Compliance Database'!$A$2:$A$622,MATCH(78,'Transfer Engine'!$C$2:$C$622,0)))</f>
        <v/>
      </c>
      <c r="B87">
        <f>IF(ISNA(MATCH(78,'Transfer Engine'!$C$2:$C$622,0)),"",INDEX('Compliance Database'!$B$2:$B$622,MATCH(78,'Transfer Engine'!$C$2:$C$622,0)))</f>
        <v/>
      </c>
      <c r="C87">
        <f>IF(ISNA(MATCH(78,'Transfer Engine'!$C$2:$C$622,0)),"",INDEX('Compliance Database'!$C$2:$C$622,MATCH(78,'Transfer Engine'!$C$2:$C$622,0)))</f>
        <v/>
      </c>
      <c r="D87" s="8">
        <f>IF(ISNA(MATCH(78,'Transfer Engine'!$C$2:$C$622,0)),"",INDEX('Compliance Database'!$D$2:$D$622,MATCH(78,'Transfer Engine'!$C$2:$C$622,0)))</f>
        <v/>
      </c>
      <c r="E87">
        <f>IF(ISNA(MATCH(78,'Transfer Engine'!$C$2:$C$622,0)),"",INDEX('Compliance Database'!$E$2:$E$622,MATCH(78,'Transfer Engine'!$C$2:$C$622,0)))</f>
        <v/>
      </c>
      <c r="F87">
        <f>IF(ISNA(MATCH(78,'Transfer Engine'!$C$2:$C$622,0)),"",INDEX('Compliance Database'!$F$2:$F$622,MATCH(78,'Transfer Engine'!$C$2:$C$622,0)))</f>
        <v/>
      </c>
      <c r="G87">
        <f>IF(ISNA(MATCH(78,'Transfer Engine'!$C$2:$C$622,0)),"",INDEX('Compliance Database'!$G$2:$G$622,MATCH(78,'Transfer Engine'!$C$2:$C$622,0)))</f>
        <v/>
      </c>
      <c r="H87">
        <f>IF(ISNA(MATCH(78,'Transfer Engine'!$C$2:$C$622,0)),"",INDEX('Compliance Database'!$H$2:$H$622,MATCH(78,'Transfer Engine'!$C$2:$C$622,0)))</f>
        <v/>
      </c>
      <c r="I87" s="8">
        <f>IF(ISNA(MATCH(78,'Transfer Engine'!$C$2:$C$622,0)),"",INDEX('Compliance Database'!$I$2:$I$622,MATCH(78,'Transfer Engine'!$C$2:$C$622,0)))</f>
        <v/>
      </c>
      <c r="J87" s="8">
        <f>IF(ISNA(MATCH(78,'Transfer Engine'!$C$2:$C$622,0)),"",INDEX('Compliance Database'!$J$2:$J$622,MATCH(78,'Transfer Engine'!$C$2:$C$622,0)))</f>
        <v/>
      </c>
      <c r="K87">
        <f>IF(ISNA(MATCH(78,'Transfer Engine'!$C$2:$C$622,0)),"",INDEX('Compliance Database'!$K$2:$K$622,MATCH(78,'Transfer Engine'!$C$2:$C$622,0)))</f>
        <v/>
      </c>
      <c r="L87" s="8">
        <f>IF(ISNA(MATCH(78,'Transfer Engine'!$C$2:$C$622,0)),"",INDEX('Compliance Database'!$L$2:$L$622,MATCH(78,'Transfer Engine'!$C$2:$C$622,0)))</f>
        <v/>
      </c>
      <c r="M87" s="8">
        <f>IF(ISNA(MATCH(78,'Transfer Engine'!$C$2:$C$622,0)),"",INDEX('Compliance Database'!$M$2:$M$622,MATCH(78,'Transfer Engine'!$C$2:$C$622,0)))</f>
        <v/>
      </c>
      <c r="N87" s="8">
        <f>IF(ISNA(MATCH(78,'Transfer Engine'!$C$2:$C$622,0)),"",INDEX('Compliance Database'!$N$2:$N$622,MATCH(78,'Transfer Engine'!$C$2:$C$622,0)))</f>
        <v/>
      </c>
      <c r="O87" s="8">
        <f>IF(ISNA(MATCH(78,'Transfer Engine'!$C$2:$C$622,0)),"",INDEX('Compliance Database'!$O$2:$O$622,MATCH(78,'Transfer Engine'!$C$2:$C$622,0)))</f>
        <v/>
      </c>
    </row>
    <row r="88">
      <c r="A88">
        <f>IF(ISNA(MATCH(79,'Transfer Engine'!$C$2:$C$622,0)),"",INDEX('Compliance Database'!$A$2:$A$622,MATCH(79,'Transfer Engine'!$C$2:$C$622,0)))</f>
        <v/>
      </c>
      <c r="B88">
        <f>IF(ISNA(MATCH(79,'Transfer Engine'!$C$2:$C$622,0)),"",INDEX('Compliance Database'!$B$2:$B$622,MATCH(79,'Transfer Engine'!$C$2:$C$622,0)))</f>
        <v/>
      </c>
      <c r="C88">
        <f>IF(ISNA(MATCH(79,'Transfer Engine'!$C$2:$C$622,0)),"",INDEX('Compliance Database'!$C$2:$C$622,MATCH(79,'Transfer Engine'!$C$2:$C$622,0)))</f>
        <v/>
      </c>
      <c r="D88" s="8">
        <f>IF(ISNA(MATCH(79,'Transfer Engine'!$C$2:$C$622,0)),"",INDEX('Compliance Database'!$D$2:$D$622,MATCH(79,'Transfer Engine'!$C$2:$C$622,0)))</f>
        <v/>
      </c>
      <c r="E88">
        <f>IF(ISNA(MATCH(79,'Transfer Engine'!$C$2:$C$622,0)),"",INDEX('Compliance Database'!$E$2:$E$622,MATCH(79,'Transfer Engine'!$C$2:$C$622,0)))</f>
        <v/>
      </c>
      <c r="F88">
        <f>IF(ISNA(MATCH(79,'Transfer Engine'!$C$2:$C$622,0)),"",INDEX('Compliance Database'!$F$2:$F$622,MATCH(79,'Transfer Engine'!$C$2:$C$622,0)))</f>
        <v/>
      </c>
      <c r="G88">
        <f>IF(ISNA(MATCH(79,'Transfer Engine'!$C$2:$C$622,0)),"",INDEX('Compliance Database'!$G$2:$G$622,MATCH(79,'Transfer Engine'!$C$2:$C$622,0)))</f>
        <v/>
      </c>
      <c r="H88">
        <f>IF(ISNA(MATCH(79,'Transfer Engine'!$C$2:$C$622,0)),"",INDEX('Compliance Database'!$H$2:$H$622,MATCH(79,'Transfer Engine'!$C$2:$C$622,0)))</f>
        <v/>
      </c>
      <c r="I88" s="8">
        <f>IF(ISNA(MATCH(79,'Transfer Engine'!$C$2:$C$622,0)),"",INDEX('Compliance Database'!$I$2:$I$622,MATCH(79,'Transfer Engine'!$C$2:$C$622,0)))</f>
        <v/>
      </c>
      <c r="J88" s="8">
        <f>IF(ISNA(MATCH(79,'Transfer Engine'!$C$2:$C$622,0)),"",INDEX('Compliance Database'!$J$2:$J$622,MATCH(79,'Transfer Engine'!$C$2:$C$622,0)))</f>
        <v/>
      </c>
      <c r="K88">
        <f>IF(ISNA(MATCH(79,'Transfer Engine'!$C$2:$C$622,0)),"",INDEX('Compliance Database'!$K$2:$K$622,MATCH(79,'Transfer Engine'!$C$2:$C$622,0)))</f>
        <v/>
      </c>
      <c r="L88" s="8">
        <f>IF(ISNA(MATCH(79,'Transfer Engine'!$C$2:$C$622,0)),"",INDEX('Compliance Database'!$L$2:$L$622,MATCH(79,'Transfer Engine'!$C$2:$C$622,0)))</f>
        <v/>
      </c>
      <c r="M88" s="8">
        <f>IF(ISNA(MATCH(79,'Transfer Engine'!$C$2:$C$622,0)),"",INDEX('Compliance Database'!$M$2:$M$622,MATCH(79,'Transfer Engine'!$C$2:$C$622,0)))</f>
        <v/>
      </c>
      <c r="N88" s="8">
        <f>IF(ISNA(MATCH(79,'Transfer Engine'!$C$2:$C$622,0)),"",INDEX('Compliance Database'!$N$2:$N$622,MATCH(79,'Transfer Engine'!$C$2:$C$622,0)))</f>
        <v/>
      </c>
      <c r="O88" s="8">
        <f>IF(ISNA(MATCH(79,'Transfer Engine'!$C$2:$C$622,0)),"",INDEX('Compliance Database'!$O$2:$O$622,MATCH(79,'Transfer Engine'!$C$2:$C$622,0)))</f>
        <v/>
      </c>
    </row>
    <row r="89">
      <c r="A89">
        <f>IF(ISNA(MATCH(80,'Transfer Engine'!$C$2:$C$622,0)),"",INDEX('Compliance Database'!$A$2:$A$622,MATCH(80,'Transfer Engine'!$C$2:$C$622,0)))</f>
        <v/>
      </c>
      <c r="B89">
        <f>IF(ISNA(MATCH(80,'Transfer Engine'!$C$2:$C$622,0)),"",INDEX('Compliance Database'!$B$2:$B$622,MATCH(80,'Transfer Engine'!$C$2:$C$622,0)))</f>
        <v/>
      </c>
      <c r="C89">
        <f>IF(ISNA(MATCH(80,'Transfer Engine'!$C$2:$C$622,0)),"",INDEX('Compliance Database'!$C$2:$C$622,MATCH(80,'Transfer Engine'!$C$2:$C$622,0)))</f>
        <v/>
      </c>
      <c r="D89" s="8">
        <f>IF(ISNA(MATCH(80,'Transfer Engine'!$C$2:$C$622,0)),"",INDEX('Compliance Database'!$D$2:$D$622,MATCH(80,'Transfer Engine'!$C$2:$C$622,0)))</f>
        <v/>
      </c>
      <c r="E89">
        <f>IF(ISNA(MATCH(80,'Transfer Engine'!$C$2:$C$622,0)),"",INDEX('Compliance Database'!$E$2:$E$622,MATCH(80,'Transfer Engine'!$C$2:$C$622,0)))</f>
        <v/>
      </c>
      <c r="F89">
        <f>IF(ISNA(MATCH(80,'Transfer Engine'!$C$2:$C$622,0)),"",INDEX('Compliance Database'!$F$2:$F$622,MATCH(80,'Transfer Engine'!$C$2:$C$622,0)))</f>
        <v/>
      </c>
      <c r="G89">
        <f>IF(ISNA(MATCH(80,'Transfer Engine'!$C$2:$C$622,0)),"",INDEX('Compliance Database'!$G$2:$G$622,MATCH(80,'Transfer Engine'!$C$2:$C$622,0)))</f>
        <v/>
      </c>
      <c r="H89">
        <f>IF(ISNA(MATCH(80,'Transfer Engine'!$C$2:$C$622,0)),"",INDEX('Compliance Database'!$H$2:$H$622,MATCH(80,'Transfer Engine'!$C$2:$C$622,0)))</f>
        <v/>
      </c>
      <c r="I89" s="8">
        <f>IF(ISNA(MATCH(80,'Transfer Engine'!$C$2:$C$622,0)),"",INDEX('Compliance Database'!$I$2:$I$622,MATCH(80,'Transfer Engine'!$C$2:$C$622,0)))</f>
        <v/>
      </c>
      <c r="J89" s="8">
        <f>IF(ISNA(MATCH(80,'Transfer Engine'!$C$2:$C$622,0)),"",INDEX('Compliance Database'!$J$2:$J$622,MATCH(80,'Transfer Engine'!$C$2:$C$622,0)))</f>
        <v/>
      </c>
      <c r="K89">
        <f>IF(ISNA(MATCH(80,'Transfer Engine'!$C$2:$C$622,0)),"",INDEX('Compliance Database'!$K$2:$K$622,MATCH(80,'Transfer Engine'!$C$2:$C$622,0)))</f>
        <v/>
      </c>
      <c r="L89" s="8">
        <f>IF(ISNA(MATCH(80,'Transfer Engine'!$C$2:$C$622,0)),"",INDEX('Compliance Database'!$L$2:$L$622,MATCH(80,'Transfer Engine'!$C$2:$C$622,0)))</f>
        <v/>
      </c>
      <c r="M89" s="8">
        <f>IF(ISNA(MATCH(80,'Transfer Engine'!$C$2:$C$622,0)),"",INDEX('Compliance Database'!$M$2:$M$622,MATCH(80,'Transfer Engine'!$C$2:$C$622,0)))</f>
        <v/>
      </c>
      <c r="N89" s="8">
        <f>IF(ISNA(MATCH(80,'Transfer Engine'!$C$2:$C$622,0)),"",INDEX('Compliance Database'!$N$2:$N$622,MATCH(80,'Transfer Engine'!$C$2:$C$622,0)))</f>
        <v/>
      </c>
      <c r="O89" s="8">
        <f>IF(ISNA(MATCH(80,'Transfer Engine'!$C$2:$C$622,0)),"",INDEX('Compliance Database'!$O$2:$O$622,MATCH(80,'Transfer Engine'!$C$2:$C$622,0)))</f>
        <v/>
      </c>
    </row>
    <row r="90">
      <c r="A90">
        <f>IF(ISNA(MATCH(81,'Transfer Engine'!$C$2:$C$622,0)),"",INDEX('Compliance Database'!$A$2:$A$622,MATCH(81,'Transfer Engine'!$C$2:$C$622,0)))</f>
        <v/>
      </c>
      <c r="B90">
        <f>IF(ISNA(MATCH(81,'Transfer Engine'!$C$2:$C$622,0)),"",INDEX('Compliance Database'!$B$2:$B$622,MATCH(81,'Transfer Engine'!$C$2:$C$622,0)))</f>
        <v/>
      </c>
      <c r="C90">
        <f>IF(ISNA(MATCH(81,'Transfer Engine'!$C$2:$C$622,0)),"",INDEX('Compliance Database'!$C$2:$C$622,MATCH(81,'Transfer Engine'!$C$2:$C$622,0)))</f>
        <v/>
      </c>
      <c r="D90" s="8">
        <f>IF(ISNA(MATCH(81,'Transfer Engine'!$C$2:$C$622,0)),"",INDEX('Compliance Database'!$D$2:$D$622,MATCH(81,'Transfer Engine'!$C$2:$C$622,0)))</f>
        <v/>
      </c>
      <c r="E90">
        <f>IF(ISNA(MATCH(81,'Transfer Engine'!$C$2:$C$622,0)),"",INDEX('Compliance Database'!$E$2:$E$622,MATCH(81,'Transfer Engine'!$C$2:$C$622,0)))</f>
        <v/>
      </c>
      <c r="F90">
        <f>IF(ISNA(MATCH(81,'Transfer Engine'!$C$2:$C$622,0)),"",INDEX('Compliance Database'!$F$2:$F$622,MATCH(81,'Transfer Engine'!$C$2:$C$622,0)))</f>
        <v/>
      </c>
      <c r="G90">
        <f>IF(ISNA(MATCH(81,'Transfer Engine'!$C$2:$C$622,0)),"",INDEX('Compliance Database'!$G$2:$G$622,MATCH(81,'Transfer Engine'!$C$2:$C$622,0)))</f>
        <v/>
      </c>
      <c r="H90">
        <f>IF(ISNA(MATCH(81,'Transfer Engine'!$C$2:$C$622,0)),"",INDEX('Compliance Database'!$H$2:$H$622,MATCH(81,'Transfer Engine'!$C$2:$C$622,0)))</f>
        <v/>
      </c>
      <c r="I90" s="8">
        <f>IF(ISNA(MATCH(81,'Transfer Engine'!$C$2:$C$622,0)),"",INDEX('Compliance Database'!$I$2:$I$622,MATCH(81,'Transfer Engine'!$C$2:$C$622,0)))</f>
        <v/>
      </c>
      <c r="J90" s="8">
        <f>IF(ISNA(MATCH(81,'Transfer Engine'!$C$2:$C$622,0)),"",INDEX('Compliance Database'!$J$2:$J$622,MATCH(81,'Transfer Engine'!$C$2:$C$622,0)))</f>
        <v/>
      </c>
      <c r="K90">
        <f>IF(ISNA(MATCH(81,'Transfer Engine'!$C$2:$C$622,0)),"",INDEX('Compliance Database'!$K$2:$K$622,MATCH(81,'Transfer Engine'!$C$2:$C$622,0)))</f>
        <v/>
      </c>
      <c r="L90" s="8">
        <f>IF(ISNA(MATCH(81,'Transfer Engine'!$C$2:$C$622,0)),"",INDEX('Compliance Database'!$L$2:$L$622,MATCH(81,'Transfer Engine'!$C$2:$C$622,0)))</f>
        <v/>
      </c>
      <c r="M90" s="8">
        <f>IF(ISNA(MATCH(81,'Transfer Engine'!$C$2:$C$622,0)),"",INDEX('Compliance Database'!$M$2:$M$622,MATCH(81,'Transfer Engine'!$C$2:$C$622,0)))</f>
        <v/>
      </c>
      <c r="N90" s="8">
        <f>IF(ISNA(MATCH(81,'Transfer Engine'!$C$2:$C$622,0)),"",INDEX('Compliance Database'!$N$2:$N$622,MATCH(81,'Transfer Engine'!$C$2:$C$622,0)))</f>
        <v/>
      </c>
      <c r="O90" s="8">
        <f>IF(ISNA(MATCH(81,'Transfer Engine'!$C$2:$C$622,0)),"",INDEX('Compliance Database'!$O$2:$O$622,MATCH(81,'Transfer Engine'!$C$2:$C$622,0)))</f>
        <v/>
      </c>
    </row>
    <row r="91">
      <c r="A91">
        <f>IF(ISNA(MATCH(82,'Transfer Engine'!$C$2:$C$622,0)),"",INDEX('Compliance Database'!$A$2:$A$622,MATCH(82,'Transfer Engine'!$C$2:$C$622,0)))</f>
        <v/>
      </c>
      <c r="B91">
        <f>IF(ISNA(MATCH(82,'Transfer Engine'!$C$2:$C$622,0)),"",INDEX('Compliance Database'!$B$2:$B$622,MATCH(82,'Transfer Engine'!$C$2:$C$622,0)))</f>
        <v/>
      </c>
      <c r="C91">
        <f>IF(ISNA(MATCH(82,'Transfer Engine'!$C$2:$C$622,0)),"",INDEX('Compliance Database'!$C$2:$C$622,MATCH(82,'Transfer Engine'!$C$2:$C$622,0)))</f>
        <v/>
      </c>
      <c r="D91" s="8">
        <f>IF(ISNA(MATCH(82,'Transfer Engine'!$C$2:$C$622,0)),"",INDEX('Compliance Database'!$D$2:$D$622,MATCH(82,'Transfer Engine'!$C$2:$C$622,0)))</f>
        <v/>
      </c>
      <c r="E91">
        <f>IF(ISNA(MATCH(82,'Transfer Engine'!$C$2:$C$622,0)),"",INDEX('Compliance Database'!$E$2:$E$622,MATCH(82,'Transfer Engine'!$C$2:$C$622,0)))</f>
        <v/>
      </c>
      <c r="F91">
        <f>IF(ISNA(MATCH(82,'Transfer Engine'!$C$2:$C$622,0)),"",INDEX('Compliance Database'!$F$2:$F$622,MATCH(82,'Transfer Engine'!$C$2:$C$622,0)))</f>
        <v/>
      </c>
      <c r="G91">
        <f>IF(ISNA(MATCH(82,'Transfer Engine'!$C$2:$C$622,0)),"",INDEX('Compliance Database'!$G$2:$G$622,MATCH(82,'Transfer Engine'!$C$2:$C$622,0)))</f>
        <v/>
      </c>
      <c r="H91">
        <f>IF(ISNA(MATCH(82,'Transfer Engine'!$C$2:$C$622,0)),"",INDEX('Compliance Database'!$H$2:$H$622,MATCH(82,'Transfer Engine'!$C$2:$C$622,0)))</f>
        <v/>
      </c>
      <c r="I91" s="8">
        <f>IF(ISNA(MATCH(82,'Transfer Engine'!$C$2:$C$622,0)),"",INDEX('Compliance Database'!$I$2:$I$622,MATCH(82,'Transfer Engine'!$C$2:$C$622,0)))</f>
        <v/>
      </c>
      <c r="J91" s="8">
        <f>IF(ISNA(MATCH(82,'Transfer Engine'!$C$2:$C$622,0)),"",INDEX('Compliance Database'!$J$2:$J$622,MATCH(82,'Transfer Engine'!$C$2:$C$622,0)))</f>
        <v/>
      </c>
      <c r="K91">
        <f>IF(ISNA(MATCH(82,'Transfer Engine'!$C$2:$C$622,0)),"",INDEX('Compliance Database'!$K$2:$K$622,MATCH(82,'Transfer Engine'!$C$2:$C$622,0)))</f>
        <v/>
      </c>
      <c r="L91" s="8">
        <f>IF(ISNA(MATCH(82,'Transfer Engine'!$C$2:$C$622,0)),"",INDEX('Compliance Database'!$L$2:$L$622,MATCH(82,'Transfer Engine'!$C$2:$C$622,0)))</f>
        <v/>
      </c>
      <c r="M91" s="8">
        <f>IF(ISNA(MATCH(82,'Transfer Engine'!$C$2:$C$622,0)),"",INDEX('Compliance Database'!$M$2:$M$622,MATCH(82,'Transfer Engine'!$C$2:$C$622,0)))</f>
        <v/>
      </c>
      <c r="N91" s="8">
        <f>IF(ISNA(MATCH(82,'Transfer Engine'!$C$2:$C$622,0)),"",INDEX('Compliance Database'!$N$2:$N$622,MATCH(82,'Transfer Engine'!$C$2:$C$622,0)))</f>
        <v/>
      </c>
      <c r="O91" s="8">
        <f>IF(ISNA(MATCH(82,'Transfer Engine'!$C$2:$C$622,0)),"",INDEX('Compliance Database'!$O$2:$O$622,MATCH(82,'Transfer Engine'!$C$2:$C$622,0)))</f>
        <v/>
      </c>
    </row>
    <row r="92">
      <c r="A92">
        <f>IF(ISNA(MATCH(83,'Transfer Engine'!$C$2:$C$622,0)),"",INDEX('Compliance Database'!$A$2:$A$622,MATCH(83,'Transfer Engine'!$C$2:$C$622,0)))</f>
        <v/>
      </c>
      <c r="B92">
        <f>IF(ISNA(MATCH(83,'Transfer Engine'!$C$2:$C$622,0)),"",INDEX('Compliance Database'!$B$2:$B$622,MATCH(83,'Transfer Engine'!$C$2:$C$622,0)))</f>
        <v/>
      </c>
      <c r="C92">
        <f>IF(ISNA(MATCH(83,'Transfer Engine'!$C$2:$C$622,0)),"",INDEX('Compliance Database'!$C$2:$C$622,MATCH(83,'Transfer Engine'!$C$2:$C$622,0)))</f>
        <v/>
      </c>
      <c r="D92" s="8">
        <f>IF(ISNA(MATCH(83,'Transfer Engine'!$C$2:$C$622,0)),"",INDEX('Compliance Database'!$D$2:$D$622,MATCH(83,'Transfer Engine'!$C$2:$C$622,0)))</f>
        <v/>
      </c>
      <c r="E92">
        <f>IF(ISNA(MATCH(83,'Transfer Engine'!$C$2:$C$622,0)),"",INDEX('Compliance Database'!$E$2:$E$622,MATCH(83,'Transfer Engine'!$C$2:$C$622,0)))</f>
        <v/>
      </c>
      <c r="F92">
        <f>IF(ISNA(MATCH(83,'Transfer Engine'!$C$2:$C$622,0)),"",INDEX('Compliance Database'!$F$2:$F$622,MATCH(83,'Transfer Engine'!$C$2:$C$622,0)))</f>
        <v/>
      </c>
      <c r="G92">
        <f>IF(ISNA(MATCH(83,'Transfer Engine'!$C$2:$C$622,0)),"",INDEX('Compliance Database'!$G$2:$G$622,MATCH(83,'Transfer Engine'!$C$2:$C$622,0)))</f>
        <v/>
      </c>
      <c r="H92">
        <f>IF(ISNA(MATCH(83,'Transfer Engine'!$C$2:$C$622,0)),"",INDEX('Compliance Database'!$H$2:$H$622,MATCH(83,'Transfer Engine'!$C$2:$C$622,0)))</f>
        <v/>
      </c>
      <c r="I92" s="8">
        <f>IF(ISNA(MATCH(83,'Transfer Engine'!$C$2:$C$622,0)),"",INDEX('Compliance Database'!$I$2:$I$622,MATCH(83,'Transfer Engine'!$C$2:$C$622,0)))</f>
        <v/>
      </c>
      <c r="J92" s="8">
        <f>IF(ISNA(MATCH(83,'Transfer Engine'!$C$2:$C$622,0)),"",INDEX('Compliance Database'!$J$2:$J$622,MATCH(83,'Transfer Engine'!$C$2:$C$622,0)))</f>
        <v/>
      </c>
      <c r="K92">
        <f>IF(ISNA(MATCH(83,'Transfer Engine'!$C$2:$C$622,0)),"",INDEX('Compliance Database'!$K$2:$K$622,MATCH(83,'Transfer Engine'!$C$2:$C$622,0)))</f>
        <v/>
      </c>
      <c r="L92" s="8">
        <f>IF(ISNA(MATCH(83,'Transfer Engine'!$C$2:$C$622,0)),"",INDEX('Compliance Database'!$L$2:$L$622,MATCH(83,'Transfer Engine'!$C$2:$C$622,0)))</f>
        <v/>
      </c>
      <c r="M92" s="8">
        <f>IF(ISNA(MATCH(83,'Transfer Engine'!$C$2:$C$622,0)),"",INDEX('Compliance Database'!$M$2:$M$622,MATCH(83,'Transfer Engine'!$C$2:$C$622,0)))</f>
        <v/>
      </c>
      <c r="N92" s="8">
        <f>IF(ISNA(MATCH(83,'Transfer Engine'!$C$2:$C$622,0)),"",INDEX('Compliance Database'!$N$2:$N$622,MATCH(83,'Transfer Engine'!$C$2:$C$622,0)))</f>
        <v/>
      </c>
      <c r="O92" s="8">
        <f>IF(ISNA(MATCH(83,'Transfer Engine'!$C$2:$C$622,0)),"",INDEX('Compliance Database'!$O$2:$O$622,MATCH(83,'Transfer Engine'!$C$2:$C$622,0)))</f>
        <v/>
      </c>
    </row>
    <row r="93">
      <c r="A93">
        <f>IF(ISNA(MATCH(84,'Transfer Engine'!$C$2:$C$622,0)),"",INDEX('Compliance Database'!$A$2:$A$622,MATCH(84,'Transfer Engine'!$C$2:$C$622,0)))</f>
        <v/>
      </c>
      <c r="B93">
        <f>IF(ISNA(MATCH(84,'Transfer Engine'!$C$2:$C$622,0)),"",INDEX('Compliance Database'!$B$2:$B$622,MATCH(84,'Transfer Engine'!$C$2:$C$622,0)))</f>
        <v/>
      </c>
      <c r="C93">
        <f>IF(ISNA(MATCH(84,'Transfer Engine'!$C$2:$C$622,0)),"",INDEX('Compliance Database'!$C$2:$C$622,MATCH(84,'Transfer Engine'!$C$2:$C$622,0)))</f>
        <v/>
      </c>
      <c r="D93" s="8">
        <f>IF(ISNA(MATCH(84,'Transfer Engine'!$C$2:$C$622,0)),"",INDEX('Compliance Database'!$D$2:$D$622,MATCH(84,'Transfer Engine'!$C$2:$C$622,0)))</f>
        <v/>
      </c>
      <c r="E93">
        <f>IF(ISNA(MATCH(84,'Transfer Engine'!$C$2:$C$622,0)),"",INDEX('Compliance Database'!$E$2:$E$622,MATCH(84,'Transfer Engine'!$C$2:$C$622,0)))</f>
        <v/>
      </c>
      <c r="F93">
        <f>IF(ISNA(MATCH(84,'Transfer Engine'!$C$2:$C$622,0)),"",INDEX('Compliance Database'!$F$2:$F$622,MATCH(84,'Transfer Engine'!$C$2:$C$622,0)))</f>
        <v/>
      </c>
      <c r="G93">
        <f>IF(ISNA(MATCH(84,'Transfer Engine'!$C$2:$C$622,0)),"",INDEX('Compliance Database'!$G$2:$G$622,MATCH(84,'Transfer Engine'!$C$2:$C$622,0)))</f>
        <v/>
      </c>
      <c r="H93">
        <f>IF(ISNA(MATCH(84,'Transfer Engine'!$C$2:$C$622,0)),"",INDEX('Compliance Database'!$H$2:$H$622,MATCH(84,'Transfer Engine'!$C$2:$C$622,0)))</f>
        <v/>
      </c>
      <c r="I93" s="8">
        <f>IF(ISNA(MATCH(84,'Transfer Engine'!$C$2:$C$622,0)),"",INDEX('Compliance Database'!$I$2:$I$622,MATCH(84,'Transfer Engine'!$C$2:$C$622,0)))</f>
        <v/>
      </c>
      <c r="J93" s="8">
        <f>IF(ISNA(MATCH(84,'Transfer Engine'!$C$2:$C$622,0)),"",INDEX('Compliance Database'!$J$2:$J$622,MATCH(84,'Transfer Engine'!$C$2:$C$622,0)))</f>
        <v/>
      </c>
      <c r="K93">
        <f>IF(ISNA(MATCH(84,'Transfer Engine'!$C$2:$C$622,0)),"",INDEX('Compliance Database'!$K$2:$K$622,MATCH(84,'Transfer Engine'!$C$2:$C$622,0)))</f>
        <v/>
      </c>
      <c r="L93" s="8">
        <f>IF(ISNA(MATCH(84,'Transfer Engine'!$C$2:$C$622,0)),"",INDEX('Compliance Database'!$L$2:$L$622,MATCH(84,'Transfer Engine'!$C$2:$C$622,0)))</f>
        <v/>
      </c>
      <c r="M93" s="8">
        <f>IF(ISNA(MATCH(84,'Transfer Engine'!$C$2:$C$622,0)),"",INDEX('Compliance Database'!$M$2:$M$622,MATCH(84,'Transfer Engine'!$C$2:$C$622,0)))</f>
        <v/>
      </c>
      <c r="N93" s="8">
        <f>IF(ISNA(MATCH(84,'Transfer Engine'!$C$2:$C$622,0)),"",INDEX('Compliance Database'!$N$2:$N$622,MATCH(84,'Transfer Engine'!$C$2:$C$622,0)))</f>
        <v/>
      </c>
      <c r="O93" s="8">
        <f>IF(ISNA(MATCH(84,'Transfer Engine'!$C$2:$C$622,0)),"",INDEX('Compliance Database'!$O$2:$O$622,MATCH(84,'Transfer Engine'!$C$2:$C$622,0)))</f>
        <v/>
      </c>
    </row>
    <row r="94">
      <c r="A94">
        <f>IF(ISNA(MATCH(85,'Transfer Engine'!$C$2:$C$622,0)),"",INDEX('Compliance Database'!$A$2:$A$622,MATCH(85,'Transfer Engine'!$C$2:$C$622,0)))</f>
        <v/>
      </c>
      <c r="B94">
        <f>IF(ISNA(MATCH(85,'Transfer Engine'!$C$2:$C$622,0)),"",INDEX('Compliance Database'!$B$2:$B$622,MATCH(85,'Transfer Engine'!$C$2:$C$622,0)))</f>
        <v/>
      </c>
      <c r="C94">
        <f>IF(ISNA(MATCH(85,'Transfer Engine'!$C$2:$C$622,0)),"",INDEX('Compliance Database'!$C$2:$C$622,MATCH(85,'Transfer Engine'!$C$2:$C$622,0)))</f>
        <v/>
      </c>
      <c r="D94" s="8">
        <f>IF(ISNA(MATCH(85,'Transfer Engine'!$C$2:$C$622,0)),"",INDEX('Compliance Database'!$D$2:$D$622,MATCH(85,'Transfer Engine'!$C$2:$C$622,0)))</f>
        <v/>
      </c>
      <c r="E94">
        <f>IF(ISNA(MATCH(85,'Transfer Engine'!$C$2:$C$622,0)),"",INDEX('Compliance Database'!$E$2:$E$622,MATCH(85,'Transfer Engine'!$C$2:$C$622,0)))</f>
        <v/>
      </c>
      <c r="F94">
        <f>IF(ISNA(MATCH(85,'Transfer Engine'!$C$2:$C$622,0)),"",INDEX('Compliance Database'!$F$2:$F$622,MATCH(85,'Transfer Engine'!$C$2:$C$622,0)))</f>
        <v/>
      </c>
      <c r="G94">
        <f>IF(ISNA(MATCH(85,'Transfer Engine'!$C$2:$C$622,0)),"",INDEX('Compliance Database'!$G$2:$G$622,MATCH(85,'Transfer Engine'!$C$2:$C$622,0)))</f>
        <v/>
      </c>
      <c r="H94">
        <f>IF(ISNA(MATCH(85,'Transfer Engine'!$C$2:$C$622,0)),"",INDEX('Compliance Database'!$H$2:$H$622,MATCH(85,'Transfer Engine'!$C$2:$C$622,0)))</f>
        <v/>
      </c>
      <c r="I94" s="8">
        <f>IF(ISNA(MATCH(85,'Transfer Engine'!$C$2:$C$622,0)),"",INDEX('Compliance Database'!$I$2:$I$622,MATCH(85,'Transfer Engine'!$C$2:$C$622,0)))</f>
        <v/>
      </c>
      <c r="J94" s="8">
        <f>IF(ISNA(MATCH(85,'Transfer Engine'!$C$2:$C$622,0)),"",INDEX('Compliance Database'!$J$2:$J$622,MATCH(85,'Transfer Engine'!$C$2:$C$622,0)))</f>
        <v/>
      </c>
      <c r="K94">
        <f>IF(ISNA(MATCH(85,'Transfer Engine'!$C$2:$C$622,0)),"",INDEX('Compliance Database'!$K$2:$K$622,MATCH(85,'Transfer Engine'!$C$2:$C$622,0)))</f>
        <v/>
      </c>
      <c r="L94" s="8">
        <f>IF(ISNA(MATCH(85,'Transfer Engine'!$C$2:$C$622,0)),"",INDEX('Compliance Database'!$L$2:$L$622,MATCH(85,'Transfer Engine'!$C$2:$C$622,0)))</f>
        <v/>
      </c>
      <c r="M94" s="8">
        <f>IF(ISNA(MATCH(85,'Transfer Engine'!$C$2:$C$622,0)),"",INDEX('Compliance Database'!$M$2:$M$622,MATCH(85,'Transfer Engine'!$C$2:$C$622,0)))</f>
        <v/>
      </c>
      <c r="N94" s="8">
        <f>IF(ISNA(MATCH(85,'Transfer Engine'!$C$2:$C$622,0)),"",INDEX('Compliance Database'!$N$2:$N$622,MATCH(85,'Transfer Engine'!$C$2:$C$622,0)))</f>
        <v/>
      </c>
      <c r="O94" s="8">
        <f>IF(ISNA(MATCH(85,'Transfer Engine'!$C$2:$C$622,0)),"",INDEX('Compliance Database'!$O$2:$O$622,MATCH(85,'Transfer Engine'!$C$2:$C$622,0)))</f>
        <v/>
      </c>
    </row>
    <row r="95">
      <c r="A95">
        <f>IF(ISNA(MATCH(86,'Transfer Engine'!$C$2:$C$622,0)),"",INDEX('Compliance Database'!$A$2:$A$622,MATCH(86,'Transfer Engine'!$C$2:$C$622,0)))</f>
        <v/>
      </c>
      <c r="B95">
        <f>IF(ISNA(MATCH(86,'Transfer Engine'!$C$2:$C$622,0)),"",INDEX('Compliance Database'!$B$2:$B$622,MATCH(86,'Transfer Engine'!$C$2:$C$622,0)))</f>
        <v/>
      </c>
      <c r="C95">
        <f>IF(ISNA(MATCH(86,'Transfer Engine'!$C$2:$C$622,0)),"",INDEX('Compliance Database'!$C$2:$C$622,MATCH(86,'Transfer Engine'!$C$2:$C$622,0)))</f>
        <v/>
      </c>
      <c r="D95" s="8">
        <f>IF(ISNA(MATCH(86,'Transfer Engine'!$C$2:$C$622,0)),"",INDEX('Compliance Database'!$D$2:$D$622,MATCH(86,'Transfer Engine'!$C$2:$C$622,0)))</f>
        <v/>
      </c>
      <c r="E95">
        <f>IF(ISNA(MATCH(86,'Transfer Engine'!$C$2:$C$622,0)),"",INDEX('Compliance Database'!$E$2:$E$622,MATCH(86,'Transfer Engine'!$C$2:$C$622,0)))</f>
        <v/>
      </c>
      <c r="F95">
        <f>IF(ISNA(MATCH(86,'Transfer Engine'!$C$2:$C$622,0)),"",INDEX('Compliance Database'!$F$2:$F$622,MATCH(86,'Transfer Engine'!$C$2:$C$622,0)))</f>
        <v/>
      </c>
      <c r="G95">
        <f>IF(ISNA(MATCH(86,'Transfer Engine'!$C$2:$C$622,0)),"",INDEX('Compliance Database'!$G$2:$G$622,MATCH(86,'Transfer Engine'!$C$2:$C$622,0)))</f>
        <v/>
      </c>
      <c r="H95">
        <f>IF(ISNA(MATCH(86,'Transfer Engine'!$C$2:$C$622,0)),"",INDEX('Compliance Database'!$H$2:$H$622,MATCH(86,'Transfer Engine'!$C$2:$C$622,0)))</f>
        <v/>
      </c>
      <c r="I95" s="8">
        <f>IF(ISNA(MATCH(86,'Transfer Engine'!$C$2:$C$622,0)),"",INDEX('Compliance Database'!$I$2:$I$622,MATCH(86,'Transfer Engine'!$C$2:$C$622,0)))</f>
        <v/>
      </c>
      <c r="J95" s="8">
        <f>IF(ISNA(MATCH(86,'Transfer Engine'!$C$2:$C$622,0)),"",INDEX('Compliance Database'!$J$2:$J$622,MATCH(86,'Transfer Engine'!$C$2:$C$622,0)))</f>
        <v/>
      </c>
      <c r="K95">
        <f>IF(ISNA(MATCH(86,'Transfer Engine'!$C$2:$C$622,0)),"",INDEX('Compliance Database'!$K$2:$K$622,MATCH(86,'Transfer Engine'!$C$2:$C$622,0)))</f>
        <v/>
      </c>
      <c r="L95" s="8">
        <f>IF(ISNA(MATCH(86,'Transfer Engine'!$C$2:$C$622,0)),"",INDEX('Compliance Database'!$L$2:$L$622,MATCH(86,'Transfer Engine'!$C$2:$C$622,0)))</f>
        <v/>
      </c>
      <c r="M95" s="8">
        <f>IF(ISNA(MATCH(86,'Transfer Engine'!$C$2:$C$622,0)),"",INDEX('Compliance Database'!$M$2:$M$622,MATCH(86,'Transfer Engine'!$C$2:$C$622,0)))</f>
        <v/>
      </c>
      <c r="N95" s="8">
        <f>IF(ISNA(MATCH(86,'Transfer Engine'!$C$2:$C$622,0)),"",INDEX('Compliance Database'!$N$2:$N$622,MATCH(86,'Transfer Engine'!$C$2:$C$622,0)))</f>
        <v/>
      </c>
      <c r="O95" s="8">
        <f>IF(ISNA(MATCH(86,'Transfer Engine'!$C$2:$C$622,0)),"",INDEX('Compliance Database'!$O$2:$O$622,MATCH(86,'Transfer Engine'!$C$2:$C$622,0)))</f>
        <v/>
      </c>
    </row>
    <row r="96">
      <c r="A96">
        <f>IF(ISNA(MATCH(87,'Transfer Engine'!$C$2:$C$622,0)),"",INDEX('Compliance Database'!$A$2:$A$622,MATCH(87,'Transfer Engine'!$C$2:$C$622,0)))</f>
        <v/>
      </c>
      <c r="B96">
        <f>IF(ISNA(MATCH(87,'Transfer Engine'!$C$2:$C$622,0)),"",INDEX('Compliance Database'!$B$2:$B$622,MATCH(87,'Transfer Engine'!$C$2:$C$622,0)))</f>
        <v/>
      </c>
      <c r="C96">
        <f>IF(ISNA(MATCH(87,'Transfer Engine'!$C$2:$C$622,0)),"",INDEX('Compliance Database'!$C$2:$C$622,MATCH(87,'Transfer Engine'!$C$2:$C$622,0)))</f>
        <v/>
      </c>
      <c r="D96" s="8">
        <f>IF(ISNA(MATCH(87,'Transfer Engine'!$C$2:$C$622,0)),"",INDEX('Compliance Database'!$D$2:$D$622,MATCH(87,'Transfer Engine'!$C$2:$C$622,0)))</f>
        <v/>
      </c>
      <c r="E96">
        <f>IF(ISNA(MATCH(87,'Transfer Engine'!$C$2:$C$622,0)),"",INDEX('Compliance Database'!$E$2:$E$622,MATCH(87,'Transfer Engine'!$C$2:$C$622,0)))</f>
        <v/>
      </c>
      <c r="F96">
        <f>IF(ISNA(MATCH(87,'Transfer Engine'!$C$2:$C$622,0)),"",INDEX('Compliance Database'!$F$2:$F$622,MATCH(87,'Transfer Engine'!$C$2:$C$622,0)))</f>
        <v/>
      </c>
      <c r="G96">
        <f>IF(ISNA(MATCH(87,'Transfer Engine'!$C$2:$C$622,0)),"",INDEX('Compliance Database'!$G$2:$G$622,MATCH(87,'Transfer Engine'!$C$2:$C$622,0)))</f>
        <v/>
      </c>
      <c r="H96">
        <f>IF(ISNA(MATCH(87,'Transfer Engine'!$C$2:$C$622,0)),"",INDEX('Compliance Database'!$H$2:$H$622,MATCH(87,'Transfer Engine'!$C$2:$C$622,0)))</f>
        <v/>
      </c>
      <c r="I96" s="8">
        <f>IF(ISNA(MATCH(87,'Transfer Engine'!$C$2:$C$622,0)),"",INDEX('Compliance Database'!$I$2:$I$622,MATCH(87,'Transfer Engine'!$C$2:$C$622,0)))</f>
        <v/>
      </c>
      <c r="J96" s="8">
        <f>IF(ISNA(MATCH(87,'Transfer Engine'!$C$2:$C$622,0)),"",INDEX('Compliance Database'!$J$2:$J$622,MATCH(87,'Transfer Engine'!$C$2:$C$622,0)))</f>
        <v/>
      </c>
      <c r="K96">
        <f>IF(ISNA(MATCH(87,'Transfer Engine'!$C$2:$C$622,0)),"",INDEX('Compliance Database'!$K$2:$K$622,MATCH(87,'Transfer Engine'!$C$2:$C$622,0)))</f>
        <v/>
      </c>
      <c r="L96" s="8">
        <f>IF(ISNA(MATCH(87,'Transfer Engine'!$C$2:$C$622,0)),"",INDEX('Compliance Database'!$L$2:$L$622,MATCH(87,'Transfer Engine'!$C$2:$C$622,0)))</f>
        <v/>
      </c>
      <c r="M96" s="8">
        <f>IF(ISNA(MATCH(87,'Transfer Engine'!$C$2:$C$622,0)),"",INDEX('Compliance Database'!$M$2:$M$622,MATCH(87,'Transfer Engine'!$C$2:$C$622,0)))</f>
        <v/>
      </c>
      <c r="N96" s="8">
        <f>IF(ISNA(MATCH(87,'Transfer Engine'!$C$2:$C$622,0)),"",INDEX('Compliance Database'!$N$2:$N$622,MATCH(87,'Transfer Engine'!$C$2:$C$622,0)))</f>
        <v/>
      </c>
      <c r="O96" s="8">
        <f>IF(ISNA(MATCH(87,'Transfer Engine'!$C$2:$C$622,0)),"",INDEX('Compliance Database'!$O$2:$O$622,MATCH(87,'Transfer Engine'!$C$2:$C$622,0)))</f>
        <v/>
      </c>
    </row>
    <row r="97">
      <c r="A97">
        <f>IF(ISNA(MATCH(88,'Transfer Engine'!$C$2:$C$622,0)),"",INDEX('Compliance Database'!$A$2:$A$622,MATCH(88,'Transfer Engine'!$C$2:$C$622,0)))</f>
        <v/>
      </c>
      <c r="B97">
        <f>IF(ISNA(MATCH(88,'Transfer Engine'!$C$2:$C$622,0)),"",INDEX('Compliance Database'!$B$2:$B$622,MATCH(88,'Transfer Engine'!$C$2:$C$622,0)))</f>
        <v/>
      </c>
      <c r="C97">
        <f>IF(ISNA(MATCH(88,'Transfer Engine'!$C$2:$C$622,0)),"",INDEX('Compliance Database'!$C$2:$C$622,MATCH(88,'Transfer Engine'!$C$2:$C$622,0)))</f>
        <v/>
      </c>
      <c r="D97" s="8">
        <f>IF(ISNA(MATCH(88,'Transfer Engine'!$C$2:$C$622,0)),"",INDEX('Compliance Database'!$D$2:$D$622,MATCH(88,'Transfer Engine'!$C$2:$C$622,0)))</f>
        <v/>
      </c>
      <c r="E97">
        <f>IF(ISNA(MATCH(88,'Transfer Engine'!$C$2:$C$622,0)),"",INDEX('Compliance Database'!$E$2:$E$622,MATCH(88,'Transfer Engine'!$C$2:$C$622,0)))</f>
        <v/>
      </c>
      <c r="F97">
        <f>IF(ISNA(MATCH(88,'Transfer Engine'!$C$2:$C$622,0)),"",INDEX('Compliance Database'!$F$2:$F$622,MATCH(88,'Transfer Engine'!$C$2:$C$622,0)))</f>
        <v/>
      </c>
      <c r="G97">
        <f>IF(ISNA(MATCH(88,'Transfer Engine'!$C$2:$C$622,0)),"",INDEX('Compliance Database'!$G$2:$G$622,MATCH(88,'Transfer Engine'!$C$2:$C$622,0)))</f>
        <v/>
      </c>
      <c r="H97">
        <f>IF(ISNA(MATCH(88,'Transfer Engine'!$C$2:$C$622,0)),"",INDEX('Compliance Database'!$H$2:$H$622,MATCH(88,'Transfer Engine'!$C$2:$C$622,0)))</f>
        <v/>
      </c>
      <c r="I97" s="8">
        <f>IF(ISNA(MATCH(88,'Transfer Engine'!$C$2:$C$622,0)),"",INDEX('Compliance Database'!$I$2:$I$622,MATCH(88,'Transfer Engine'!$C$2:$C$622,0)))</f>
        <v/>
      </c>
      <c r="J97" s="8">
        <f>IF(ISNA(MATCH(88,'Transfer Engine'!$C$2:$C$622,0)),"",INDEX('Compliance Database'!$J$2:$J$622,MATCH(88,'Transfer Engine'!$C$2:$C$622,0)))</f>
        <v/>
      </c>
      <c r="K97">
        <f>IF(ISNA(MATCH(88,'Transfer Engine'!$C$2:$C$622,0)),"",INDEX('Compliance Database'!$K$2:$K$622,MATCH(88,'Transfer Engine'!$C$2:$C$622,0)))</f>
        <v/>
      </c>
      <c r="L97" s="8">
        <f>IF(ISNA(MATCH(88,'Transfer Engine'!$C$2:$C$622,0)),"",INDEX('Compliance Database'!$L$2:$L$622,MATCH(88,'Transfer Engine'!$C$2:$C$622,0)))</f>
        <v/>
      </c>
      <c r="M97" s="8">
        <f>IF(ISNA(MATCH(88,'Transfer Engine'!$C$2:$C$622,0)),"",INDEX('Compliance Database'!$M$2:$M$622,MATCH(88,'Transfer Engine'!$C$2:$C$622,0)))</f>
        <v/>
      </c>
      <c r="N97" s="8">
        <f>IF(ISNA(MATCH(88,'Transfer Engine'!$C$2:$C$622,0)),"",INDEX('Compliance Database'!$N$2:$N$622,MATCH(88,'Transfer Engine'!$C$2:$C$622,0)))</f>
        <v/>
      </c>
      <c r="O97" s="8">
        <f>IF(ISNA(MATCH(88,'Transfer Engine'!$C$2:$C$622,0)),"",INDEX('Compliance Database'!$O$2:$O$622,MATCH(88,'Transfer Engine'!$C$2:$C$622,0)))</f>
        <v/>
      </c>
    </row>
    <row r="98">
      <c r="A98">
        <f>IF(ISNA(MATCH(89,'Transfer Engine'!$C$2:$C$622,0)),"",INDEX('Compliance Database'!$A$2:$A$622,MATCH(89,'Transfer Engine'!$C$2:$C$622,0)))</f>
        <v/>
      </c>
      <c r="B98">
        <f>IF(ISNA(MATCH(89,'Transfer Engine'!$C$2:$C$622,0)),"",INDEX('Compliance Database'!$B$2:$B$622,MATCH(89,'Transfer Engine'!$C$2:$C$622,0)))</f>
        <v/>
      </c>
      <c r="C98">
        <f>IF(ISNA(MATCH(89,'Transfer Engine'!$C$2:$C$622,0)),"",INDEX('Compliance Database'!$C$2:$C$622,MATCH(89,'Transfer Engine'!$C$2:$C$622,0)))</f>
        <v/>
      </c>
      <c r="D98" s="8">
        <f>IF(ISNA(MATCH(89,'Transfer Engine'!$C$2:$C$622,0)),"",INDEX('Compliance Database'!$D$2:$D$622,MATCH(89,'Transfer Engine'!$C$2:$C$622,0)))</f>
        <v/>
      </c>
      <c r="E98">
        <f>IF(ISNA(MATCH(89,'Transfer Engine'!$C$2:$C$622,0)),"",INDEX('Compliance Database'!$E$2:$E$622,MATCH(89,'Transfer Engine'!$C$2:$C$622,0)))</f>
        <v/>
      </c>
      <c r="F98">
        <f>IF(ISNA(MATCH(89,'Transfer Engine'!$C$2:$C$622,0)),"",INDEX('Compliance Database'!$F$2:$F$622,MATCH(89,'Transfer Engine'!$C$2:$C$622,0)))</f>
        <v/>
      </c>
      <c r="G98">
        <f>IF(ISNA(MATCH(89,'Transfer Engine'!$C$2:$C$622,0)),"",INDEX('Compliance Database'!$G$2:$G$622,MATCH(89,'Transfer Engine'!$C$2:$C$622,0)))</f>
        <v/>
      </c>
      <c r="H98">
        <f>IF(ISNA(MATCH(89,'Transfer Engine'!$C$2:$C$622,0)),"",INDEX('Compliance Database'!$H$2:$H$622,MATCH(89,'Transfer Engine'!$C$2:$C$622,0)))</f>
        <v/>
      </c>
      <c r="I98" s="8">
        <f>IF(ISNA(MATCH(89,'Transfer Engine'!$C$2:$C$622,0)),"",INDEX('Compliance Database'!$I$2:$I$622,MATCH(89,'Transfer Engine'!$C$2:$C$622,0)))</f>
        <v/>
      </c>
      <c r="J98" s="8">
        <f>IF(ISNA(MATCH(89,'Transfer Engine'!$C$2:$C$622,0)),"",INDEX('Compliance Database'!$J$2:$J$622,MATCH(89,'Transfer Engine'!$C$2:$C$622,0)))</f>
        <v/>
      </c>
      <c r="K98">
        <f>IF(ISNA(MATCH(89,'Transfer Engine'!$C$2:$C$622,0)),"",INDEX('Compliance Database'!$K$2:$K$622,MATCH(89,'Transfer Engine'!$C$2:$C$622,0)))</f>
        <v/>
      </c>
      <c r="L98" s="8">
        <f>IF(ISNA(MATCH(89,'Transfer Engine'!$C$2:$C$622,0)),"",INDEX('Compliance Database'!$L$2:$L$622,MATCH(89,'Transfer Engine'!$C$2:$C$622,0)))</f>
        <v/>
      </c>
      <c r="M98" s="8">
        <f>IF(ISNA(MATCH(89,'Transfer Engine'!$C$2:$C$622,0)),"",INDEX('Compliance Database'!$M$2:$M$622,MATCH(89,'Transfer Engine'!$C$2:$C$622,0)))</f>
        <v/>
      </c>
      <c r="N98" s="8">
        <f>IF(ISNA(MATCH(89,'Transfer Engine'!$C$2:$C$622,0)),"",INDEX('Compliance Database'!$N$2:$N$622,MATCH(89,'Transfer Engine'!$C$2:$C$622,0)))</f>
        <v/>
      </c>
      <c r="O98" s="8">
        <f>IF(ISNA(MATCH(89,'Transfer Engine'!$C$2:$C$622,0)),"",INDEX('Compliance Database'!$O$2:$O$622,MATCH(89,'Transfer Engine'!$C$2:$C$622,0)))</f>
        <v/>
      </c>
    </row>
    <row r="99">
      <c r="A99">
        <f>IF(ISNA(MATCH(90,'Transfer Engine'!$C$2:$C$622,0)),"",INDEX('Compliance Database'!$A$2:$A$622,MATCH(90,'Transfer Engine'!$C$2:$C$622,0)))</f>
        <v/>
      </c>
      <c r="B99">
        <f>IF(ISNA(MATCH(90,'Transfer Engine'!$C$2:$C$622,0)),"",INDEX('Compliance Database'!$B$2:$B$622,MATCH(90,'Transfer Engine'!$C$2:$C$622,0)))</f>
        <v/>
      </c>
      <c r="C99">
        <f>IF(ISNA(MATCH(90,'Transfer Engine'!$C$2:$C$622,0)),"",INDEX('Compliance Database'!$C$2:$C$622,MATCH(90,'Transfer Engine'!$C$2:$C$622,0)))</f>
        <v/>
      </c>
      <c r="D99" s="8">
        <f>IF(ISNA(MATCH(90,'Transfer Engine'!$C$2:$C$622,0)),"",INDEX('Compliance Database'!$D$2:$D$622,MATCH(90,'Transfer Engine'!$C$2:$C$622,0)))</f>
        <v/>
      </c>
      <c r="E99">
        <f>IF(ISNA(MATCH(90,'Transfer Engine'!$C$2:$C$622,0)),"",INDEX('Compliance Database'!$E$2:$E$622,MATCH(90,'Transfer Engine'!$C$2:$C$622,0)))</f>
        <v/>
      </c>
      <c r="F99">
        <f>IF(ISNA(MATCH(90,'Transfer Engine'!$C$2:$C$622,0)),"",INDEX('Compliance Database'!$F$2:$F$622,MATCH(90,'Transfer Engine'!$C$2:$C$622,0)))</f>
        <v/>
      </c>
      <c r="G99">
        <f>IF(ISNA(MATCH(90,'Transfer Engine'!$C$2:$C$622,0)),"",INDEX('Compliance Database'!$G$2:$G$622,MATCH(90,'Transfer Engine'!$C$2:$C$622,0)))</f>
        <v/>
      </c>
      <c r="H99">
        <f>IF(ISNA(MATCH(90,'Transfer Engine'!$C$2:$C$622,0)),"",INDEX('Compliance Database'!$H$2:$H$622,MATCH(90,'Transfer Engine'!$C$2:$C$622,0)))</f>
        <v/>
      </c>
      <c r="I99" s="8">
        <f>IF(ISNA(MATCH(90,'Transfer Engine'!$C$2:$C$622,0)),"",INDEX('Compliance Database'!$I$2:$I$622,MATCH(90,'Transfer Engine'!$C$2:$C$622,0)))</f>
        <v/>
      </c>
      <c r="J99" s="8">
        <f>IF(ISNA(MATCH(90,'Transfer Engine'!$C$2:$C$622,0)),"",INDEX('Compliance Database'!$J$2:$J$622,MATCH(90,'Transfer Engine'!$C$2:$C$622,0)))</f>
        <v/>
      </c>
      <c r="K99">
        <f>IF(ISNA(MATCH(90,'Transfer Engine'!$C$2:$C$622,0)),"",INDEX('Compliance Database'!$K$2:$K$622,MATCH(90,'Transfer Engine'!$C$2:$C$622,0)))</f>
        <v/>
      </c>
      <c r="L99" s="8">
        <f>IF(ISNA(MATCH(90,'Transfer Engine'!$C$2:$C$622,0)),"",INDEX('Compliance Database'!$L$2:$L$622,MATCH(90,'Transfer Engine'!$C$2:$C$622,0)))</f>
        <v/>
      </c>
      <c r="M99" s="8">
        <f>IF(ISNA(MATCH(90,'Transfer Engine'!$C$2:$C$622,0)),"",INDEX('Compliance Database'!$M$2:$M$622,MATCH(90,'Transfer Engine'!$C$2:$C$622,0)))</f>
        <v/>
      </c>
      <c r="N99" s="8">
        <f>IF(ISNA(MATCH(90,'Transfer Engine'!$C$2:$C$622,0)),"",INDEX('Compliance Database'!$N$2:$N$622,MATCH(90,'Transfer Engine'!$C$2:$C$622,0)))</f>
        <v/>
      </c>
      <c r="O99" s="8">
        <f>IF(ISNA(MATCH(90,'Transfer Engine'!$C$2:$C$622,0)),"",INDEX('Compliance Database'!$O$2:$O$622,MATCH(90,'Transfer Engine'!$C$2:$C$622,0)))</f>
        <v/>
      </c>
    </row>
    <row r="100">
      <c r="A100">
        <f>IF(ISNA(MATCH(91,'Transfer Engine'!$C$2:$C$622,0)),"",INDEX('Compliance Database'!$A$2:$A$622,MATCH(91,'Transfer Engine'!$C$2:$C$622,0)))</f>
        <v/>
      </c>
      <c r="B100">
        <f>IF(ISNA(MATCH(91,'Transfer Engine'!$C$2:$C$622,0)),"",INDEX('Compliance Database'!$B$2:$B$622,MATCH(91,'Transfer Engine'!$C$2:$C$622,0)))</f>
        <v/>
      </c>
      <c r="C100">
        <f>IF(ISNA(MATCH(91,'Transfer Engine'!$C$2:$C$622,0)),"",INDEX('Compliance Database'!$C$2:$C$622,MATCH(91,'Transfer Engine'!$C$2:$C$622,0)))</f>
        <v/>
      </c>
      <c r="D100" s="8">
        <f>IF(ISNA(MATCH(91,'Transfer Engine'!$C$2:$C$622,0)),"",INDEX('Compliance Database'!$D$2:$D$622,MATCH(91,'Transfer Engine'!$C$2:$C$622,0)))</f>
        <v/>
      </c>
      <c r="E100">
        <f>IF(ISNA(MATCH(91,'Transfer Engine'!$C$2:$C$622,0)),"",INDEX('Compliance Database'!$E$2:$E$622,MATCH(91,'Transfer Engine'!$C$2:$C$622,0)))</f>
        <v/>
      </c>
      <c r="F100">
        <f>IF(ISNA(MATCH(91,'Transfer Engine'!$C$2:$C$622,0)),"",INDEX('Compliance Database'!$F$2:$F$622,MATCH(91,'Transfer Engine'!$C$2:$C$622,0)))</f>
        <v/>
      </c>
      <c r="G100">
        <f>IF(ISNA(MATCH(91,'Transfer Engine'!$C$2:$C$622,0)),"",INDEX('Compliance Database'!$G$2:$G$622,MATCH(91,'Transfer Engine'!$C$2:$C$622,0)))</f>
        <v/>
      </c>
      <c r="H100">
        <f>IF(ISNA(MATCH(91,'Transfer Engine'!$C$2:$C$622,0)),"",INDEX('Compliance Database'!$H$2:$H$622,MATCH(91,'Transfer Engine'!$C$2:$C$622,0)))</f>
        <v/>
      </c>
      <c r="I100" s="8">
        <f>IF(ISNA(MATCH(91,'Transfer Engine'!$C$2:$C$622,0)),"",INDEX('Compliance Database'!$I$2:$I$622,MATCH(91,'Transfer Engine'!$C$2:$C$622,0)))</f>
        <v/>
      </c>
      <c r="J100" s="8">
        <f>IF(ISNA(MATCH(91,'Transfer Engine'!$C$2:$C$622,0)),"",INDEX('Compliance Database'!$J$2:$J$622,MATCH(91,'Transfer Engine'!$C$2:$C$622,0)))</f>
        <v/>
      </c>
      <c r="K100">
        <f>IF(ISNA(MATCH(91,'Transfer Engine'!$C$2:$C$622,0)),"",INDEX('Compliance Database'!$K$2:$K$622,MATCH(91,'Transfer Engine'!$C$2:$C$622,0)))</f>
        <v/>
      </c>
      <c r="L100" s="8">
        <f>IF(ISNA(MATCH(91,'Transfer Engine'!$C$2:$C$622,0)),"",INDEX('Compliance Database'!$L$2:$L$622,MATCH(91,'Transfer Engine'!$C$2:$C$622,0)))</f>
        <v/>
      </c>
      <c r="M100" s="8">
        <f>IF(ISNA(MATCH(91,'Transfer Engine'!$C$2:$C$622,0)),"",INDEX('Compliance Database'!$M$2:$M$622,MATCH(91,'Transfer Engine'!$C$2:$C$622,0)))</f>
        <v/>
      </c>
      <c r="N100" s="8">
        <f>IF(ISNA(MATCH(91,'Transfer Engine'!$C$2:$C$622,0)),"",INDEX('Compliance Database'!$N$2:$N$622,MATCH(91,'Transfer Engine'!$C$2:$C$622,0)))</f>
        <v/>
      </c>
      <c r="O100" s="8">
        <f>IF(ISNA(MATCH(91,'Transfer Engine'!$C$2:$C$622,0)),"",INDEX('Compliance Database'!$O$2:$O$622,MATCH(91,'Transfer Engine'!$C$2:$C$622,0)))</f>
        <v/>
      </c>
    </row>
    <row r="101">
      <c r="A101">
        <f>IF(ISNA(MATCH(92,'Transfer Engine'!$C$2:$C$622,0)),"",INDEX('Compliance Database'!$A$2:$A$622,MATCH(92,'Transfer Engine'!$C$2:$C$622,0)))</f>
        <v/>
      </c>
      <c r="B101">
        <f>IF(ISNA(MATCH(92,'Transfer Engine'!$C$2:$C$622,0)),"",INDEX('Compliance Database'!$B$2:$B$622,MATCH(92,'Transfer Engine'!$C$2:$C$622,0)))</f>
        <v/>
      </c>
      <c r="C101">
        <f>IF(ISNA(MATCH(92,'Transfer Engine'!$C$2:$C$622,0)),"",INDEX('Compliance Database'!$C$2:$C$622,MATCH(92,'Transfer Engine'!$C$2:$C$622,0)))</f>
        <v/>
      </c>
      <c r="D101" s="8">
        <f>IF(ISNA(MATCH(92,'Transfer Engine'!$C$2:$C$622,0)),"",INDEX('Compliance Database'!$D$2:$D$622,MATCH(92,'Transfer Engine'!$C$2:$C$622,0)))</f>
        <v/>
      </c>
      <c r="E101">
        <f>IF(ISNA(MATCH(92,'Transfer Engine'!$C$2:$C$622,0)),"",INDEX('Compliance Database'!$E$2:$E$622,MATCH(92,'Transfer Engine'!$C$2:$C$622,0)))</f>
        <v/>
      </c>
      <c r="F101">
        <f>IF(ISNA(MATCH(92,'Transfer Engine'!$C$2:$C$622,0)),"",INDEX('Compliance Database'!$F$2:$F$622,MATCH(92,'Transfer Engine'!$C$2:$C$622,0)))</f>
        <v/>
      </c>
      <c r="G101">
        <f>IF(ISNA(MATCH(92,'Transfer Engine'!$C$2:$C$622,0)),"",INDEX('Compliance Database'!$G$2:$G$622,MATCH(92,'Transfer Engine'!$C$2:$C$622,0)))</f>
        <v/>
      </c>
      <c r="H101">
        <f>IF(ISNA(MATCH(92,'Transfer Engine'!$C$2:$C$622,0)),"",INDEX('Compliance Database'!$H$2:$H$622,MATCH(92,'Transfer Engine'!$C$2:$C$622,0)))</f>
        <v/>
      </c>
      <c r="I101" s="8">
        <f>IF(ISNA(MATCH(92,'Transfer Engine'!$C$2:$C$622,0)),"",INDEX('Compliance Database'!$I$2:$I$622,MATCH(92,'Transfer Engine'!$C$2:$C$622,0)))</f>
        <v/>
      </c>
      <c r="J101" s="8">
        <f>IF(ISNA(MATCH(92,'Transfer Engine'!$C$2:$C$622,0)),"",INDEX('Compliance Database'!$J$2:$J$622,MATCH(92,'Transfer Engine'!$C$2:$C$622,0)))</f>
        <v/>
      </c>
      <c r="K101">
        <f>IF(ISNA(MATCH(92,'Transfer Engine'!$C$2:$C$622,0)),"",INDEX('Compliance Database'!$K$2:$K$622,MATCH(92,'Transfer Engine'!$C$2:$C$622,0)))</f>
        <v/>
      </c>
      <c r="L101" s="8">
        <f>IF(ISNA(MATCH(92,'Transfer Engine'!$C$2:$C$622,0)),"",INDEX('Compliance Database'!$L$2:$L$622,MATCH(92,'Transfer Engine'!$C$2:$C$622,0)))</f>
        <v/>
      </c>
      <c r="M101" s="8">
        <f>IF(ISNA(MATCH(92,'Transfer Engine'!$C$2:$C$622,0)),"",INDEX('Compliance Database'!$M$2:$M$622,MATCH(92,'Transfer Engine'!$C$2:$C$622,0)))</f>
        <v/>
      </c>
      <c r="N101" s="8">
        <f>IF(ISNA(MATCH(92,'Transfer Engine'!$C$2:$C$622,0)),"",INDEX('Compliance Database'!$N$2:$N$622,MATCH(92,'Transfer Engine'!$C$2:$C$622,0)))</f>
        <v/>
      </c>
      <c r="O101" s="8">
        <f>IF(ISNA(MATCH(92,'Transfer Engine'!$C$2:$C$622,0)),"",INDEX('Compliance Database'!$O$2:$O$622,MATCH(92,'Transfer Engine'!$C$2:$C$622,0)))</f>
        <v/>
      </c>
    </row>
    <row r="102">
      <c r="A102">
        <f>IF(ISNA(MATCH(93,'Transfer Engine'!$C$2:$C$622,0)),"",INDEX('Compliance Database'!$A$2:$A$622,MATCH(93,'Transfer Engine'!$C$2:$C$622,0)))</f>
        <v/>
      </c>
      <c r="B102">
        <f>IF(ISNA(MATCH(93,'Transfer Engine'!$C$2:$C$622,0)),"",INDEX('Compliance Database'!$B$2:$B$622,MATCH(93,'Transfer Engine'!$C$2:$C$622,0)))</f>
        <v/>
      </c>
      <c r="C102">
        <f>IF(ISNA(MATCH(93,'Transfer Engine'!$C$2:$C$622,0)),"",INDEX('Compliance Database'!$C$2:$C$622,MATCH(93,'Transfer Engine'!$C$2:$C$622,0)))</f>
        <v/>
      </c>
      <c r="D102" s="8">
        <f>IF(ISNA(MATCH(93,'Transfer Engine'!$C$2:$C$622,0)),"",INDEX('Compliance Database'!$D$2:$D$622,MATCH(93,'Transfer Engine'!$C$2:$C$622,0)))</f>
        <v/>
      </c>
      <c r="E102">
        <f>IF(ISNA(MATCH(93,'Transfer Engine'!$C$2:$C$622,0)),"",INDEX('Compliance Database'!$E$2:$E$622,MATCH(93,'Transfer Engine'!$C$2:$C$622,0)))</f>
        <v/>
      </c>
      <c r="F102">
        <f>IF(ISNA(MATCH(93,'Transfer Engine'!$C$2:$C$622,0)),"",INDEX('Compliance Database'!$F$2:$F$622,MATCH(93,'Transfer Engine'!$C$2:$C$622,0)))</f>
        <v/>
      </c>
      <c r="G102">
        <f>IF(ISNA(MATCH(93,'Transfer Engine'!$C$2:$C$622,0)),"",INDEX('Compliance Database'!$G$2:$G$622,MATCH(93,'Transfer Engine'!$C$2:$C$622,0)))</f>
        <v/>
      </c>
      <c r="H102">
        <f>IF(ISNA(MATCH(93,'Transfer Engine'!$C$2:$C$622,0)),"",INDEX('Compliance Database'!$H$2:$H$622,MATCH(93,'Transfer Engine'!$C$2:$C$622,0)))</f>
        <v/>
      </c>
      <c r="I102" s="8">
        <f>IF(ISNA(MATCH(93,'Transfer Engine'!$C$2:$C$622,0)),"",INDEX('Compliance Database'!$I$2:$I$622,MATCH(93,'Transfer Engine'!$C$2:$C$622,0)))</f>
        <v/>
      </c>
      <c r="J102" s="8">
        <f>IF(ISNA(MATCH(93,'Transfer Engine'!$C$2:$C$622,0)),"",INDEX('Compliance Database'!$J$2:$J$622,MATCH(93,'Transfer Engine'!$C$2:$C$622,0)))</f>
        <v/>
      </c>
      <c r="K102">
        <f>IF(ISNA(MATCH(93,'Transfer Engine'!$C$2:$C$622,0)),"",INDEX('Compliance Database'!$K$2:$K$622,MATCH(93,'Transfer Engine'!$C$2:$C$622,0)))</f>
        <v/>
      </c>
      <c r="L102" s="8">
        <f>IF(ISNA(MATCH(93,'Transfer Engine'!$C$2:$C$622,0)),"",INDEX('Compliance Database'!$L$2:$L$622,MATCH(93,'Transfer Engine'!$C$2:$C$622,0)))</f>
        <v/>
      </c>
      <c r="M102" s="8">
        <f>IF(ISNA(MATCH(93,'Transfer Engine'!$C$2:$C$622,0)),"",INDEX('Compliance Database'!$M$2:$M$622,MATCH(93,'Transfer Engine'!$C$2:$C$622,0)))</f>
        <v/>
      </c>
      <c r="N102" s="8">
        <f>IF(ISNA(MATCH(93,'Transfer Engine'!$C$2:$C$622,0)),"",INDEX('Compliance Database'!$N$2:$N$622,MATCH(93,'Transfer Engine'!$C$2:$C$622,0)))</f>
        <v/>
      </c>
      <c r="O102" s="8">
        <f>IF(ISNA(MATCH(93,'Transfer Engine'!$C$2:$C$622,0)),"",INDEX('Compliance Database'!$O$2:$O$622,MATCH(93,'Transfer Engine'!$C$2:$C$622,0)))</f>
        <v/>
      </c>
    </row>
    <row r="103">
      <c r="A103">
        <f>IF(ISNA(MATCH(94,'Transfer Engine'!$C$2:$C$622,0)),"",INDEX('Compliance Database'!$A$2:$A$622,MATCH(94,'Transfer Engine'!$C$2:$C$622,0)))</f>
        <v/>
      </c>
      <c r="B103">
        <f>IF(ISNA(MATCH(94,'Transfer Engine'!$C$2:$C$622,0)),"",INDEX('Compliance Database'!$B$2:$B$622,MATCH(94,'Transfer Engine'!$C$2:$C$622,0)))</f>
        <v/>
      </c>
      <c r="C103">
        <f>IF(ISNA(MATCH(94,'Transfer Engine'!$C$2:$C$622,0)),"",INDEX('Compliance Database'!$C$2:$C$622,MATCH(94,'Transfer Engine'!$C$2:$C$622,0)))</f>
        <v/>
      </c>
      <c r="D103" s="8">
        <f>IF(ISNA(MATCH(94,'Transfer Engine'!$C$2:$C$622,0)),"",INDEX('Compliance Database'!$D$2:$D$622,MATCH(94,'Transfer Engine'!$C$2:$C$622,0)))</f>
        <v/>
      </c>
      <c r="E103">
        <f>IF(ISNA(MATCH(94,'Transfer Engine'!$C$2:$C$622,0)),"",INDEX('Compliance Database'!$E$2:$E$622,MATCH(94,'Transfer Engine'!$C$2:$C$622,0)))</f>
        <v/>
      </c>
      <c r="F103">
        <f>IF(ISNA(MATCH(94,'Transfer Engine'!$C$2:$C$622,0)),"",INDEX('Compliance Database'!$F$2:$F$622,MATCH(94,'Transfer Engine'!$C$2:$C$622,0)))</f>
        <v/>
      </c>
      <c r="G103">
        <f>IF(ISNA(MATCH(94,'Transfer Engine'!$C$2:$C$622,0)),"",INDEX('Compliance Database'!$G$2:$G$622,MATCH(94,'Transfer Engine'!$C$2:$C$622,0)))</f>
        <v/>
      </c>
      <c r="H103">
        <f>IF(ISNA(MATCH(94,'Transfer Engine'!$C$2:$C$622,0)),"",INDEX('Compliance Database'!$H$2:$H$622,MATCH(94,'Transfer Engine'!$C$2:$C$622,0)))</f>
        <v/>
      </c>
      <c r="I103" s="8">
        <f>IF(ISNA(MATCH(94,'Transfer Engine'!$C$2:$C$622,0)),"",INDEX('Compliance Database'!$I$2:$I$622,MATCH(94,'Transfer Engine'!$C$2:$C$622,0)))</f>
        <v/>
      </c>
      <c r="J103" s="8">
        <f>IF(ISNA(MATCH(94,'Transfer Engine'!$C$2:$C$622,0)),"",INDEX('Compliance Database'!$J$2:$J$622,MATCH(94,'Transfer Engine'!$C$2:$C$622,0)))</f>
        <v/>
      </c>
      <c r="K103">
        <f>IF(ISNA(MATCH(94,'Transfer Engine'!$C$2:$C$622,0)),"",INDEX('Compliance Database'!$K$2:$K$622,MATCH(94,'Transfer Engine'!$C$2:$C$622,0)))</f>
        <v/>
      </c>
      <c r="L103" s="8">
        <f>IF(ISNA(MATCH(94,'Transfer Engine'!$C$2:$C$622,0)),"",INDEX('Compliance Database'!$L$2:$L$622,MATCH(94,'Transfer Engine'!$C$2:$C$622,0)))</f>
        <v/>
      </c>
      <c r="M103" s="8">
        <f>IF(ISNA(MATCH(94,'Transfer Engine'!$C$2:$C$622,0)),"",INDEX('Compliance Database'!$M$2:$M$622,MATCH(94,'Transfer Engine'!$C$2:$C$622,0)))</f>
        <v/>
      </c>
      <c r="N103" s="8">
        <f>IF(ISNA(MATCH(94,'Transfer Engine'!$C$2:$C$622,0)),"",INDEX('Compliance Database'!$N$2:$N$622,MATCH(94,'Transfer Engine'!$C$2:$C$622,0)))</f>
        <v/>
      </c>
      <c r="O103" s="8">
        <f>IF(ISNA(MATCH(94,'Transfer Engine'!$C$2:$C$622,0)),"",INDEX('Compliance Database'!$O$2:$O$622,MATCH(94,'Transfer Engine'!$C$2:$C$622,0)))</f>
        <v/>
      </c>
    </row>
    <row r="104">
      <c r="A104">
        <f>IF(ISNA(MATCH(95,'Transfer Engine'!$C$2:$C$622,0)),"",INDEX('Compliance Database'!$A$2:$A$622,MATCH(95,'Transfer Engine'!$C$2:$C$622,0)))</f>
        <v/>
      </c>
      <c r="B104">
        <f>IF(ISNA(MATCH(95,'Transfer Engine'!$C$2:$C$622,0)),"",INDEX('Compliance Database'!$B$2:$B$622,MATCH(95,'Transfer Engine'!$C$2:$C$622,0)))</f>
        <v/>
      </c>
      <c r="C104">
        <f>IF(ISNA(MATCH(95,'Transfer Engine'!$C$2:$C$622,0)),"",INDEX('Compliance Database'!$C$2:$C$622,MATCH(95,'Transfer Engine'!$C$2:$C$622,0)))</f>
        <v/>
      </c>
      <c r="D104" s="8">
        <f>IF(ISNA(MATCH(95,'Transfer Engine'!$C$2:$C$622,0)),"",INDEX('Compliance Database'!$D$2:$D$622,MATCH(95,'Transfer Engine'!$C$2:$C$622,0)))</f>
        <v/>
      </c>
      <c r="E104">
        <f>IF(ISNA(MATCH(95,'Transfer Engine'!$C$2:$C$622,0)),"",INDEX('Compliance Database'!$E$2:$E$622,MATCH(95,'Transfer Engine'!$C$2:$C$622,0)))</f>
        <v/>
      </c>
      <c r="F104">
        <f>IF(ISNA(MATCH(95,'Transfer Engine'!$C$2:$C$622,0)),"",INDEX('Compliance Database'!$F$2:$F$622,MATCH(95,'Transfer Engine'!$C$2:$C$622,0)))</f>
        <v/>
      </c>
      <c r="G104">
        <f>IF(ISNA(MATCH(95,'Transfer Engine'!$C$2:$C$622,0)),"",INDEX('Compliance Database'!$G$2:$G$622,MATCH(95,'Transfer Engine'!$C$2:$C$622,0)))</f>
        <v/>
      </c>
      <c r="H104">
        <f>IF(ISNA(MATCH(95,'Transfer Engine'!$C$2:$C$622,0)),"",INDEX('Compliance Database'!$H$2:$H$622,MATCH(95,'Transfer Engine'!$C$2:$C$622,0)))</f>
        <v/>
      </c>
      <c r="I104" s="8">
        <f>IF(ISNA(MATCH(95,'Transfer Engine'!$C$2:$C$622,0)),"",INDEX('Compliance Database'!$I$2:$I$622,MATCH(95,'Transfer Engine'!$C$2:$C$622,0)))</f>
        <v/>
      </c>
      <c r="J104" s="8">
        <f>IF(ISNA(MATCH(95,'Transfer Engine'!$C$2:$C$622,0)),"",INDEX('Compliance Database'!$J$2:$J$622,MATCH(95,'Transfer Engine'!$C$2:$C$622,0)))</f>
        <v/>
      </c>
      <c r="K104">
        <f>IF(ISNA(MATCH(95,'Transfer Engine'!$C$2:$C$622,0)),"",INDEX('Compliance Database'!$K$2:$K$622,MATCH(95,'Transfer Engine'!$C$2:$C$622,0)))</f>
        <v/>
      </c>
      <c r="L104" s="8">
        <f>IF(ISNA(MATCH(95,'Transfer Engine'!$C$2:$C$622,0)),"",INDEX('Compliance Database'!$L$2:$L$622,MATCH(95,'Transfer Engine'!$C$2:$C$622,0)))</f>
        <v/>
      </c>
      <c r="M104" s="8">
        <f>IF(ISNA(MATCH(95,'Transfer Engine'!$C$2:$C$622,0)),"",INDEX('Compliance Database'!$M$2:$M$622,MATCH(95,'Transfer Engine'!$C$2:$C$622,0)))</f>
        <v/>
      </c>
      <c r="N104" s="8">
        <f>IF(ISNA(MATCH(95,'Transfer Engine'!$C$2:$C$622,0)),"",INDEX('Compliance Database'!$N$2:$N$622,MATCH(95,'Transfer Engine'!$C$2:$C$622,0)))</f>
        <v/>
      </c>
      <c r="O104" s="8">
        <f>IF(ISNA(MATCH(95,'Transfer Engine'!$C$2:$C$622,0)),"",INDEX('Compliance Database'!$O$2:$O$622,MATCH(95,'Transfer Engine'!$C$2:$C$622,0)))</f>
        <v/>
      </c>
    </row>
    <row r="105">
      <c r="A105">
        <f>IF(ISNA(MATCH(96,'Transfer Engine'!$C$2:$C$622,0)),"",INDEX('Compliance Database'!$A$2:$A$622,MATCH(96,'Transfer Engine'!$C$2:$C$622,0)))</f>
        <v/>
      </c>
      <c r="B105">
        <f>IF(ISNA(MATCH(96,'Transfer Engine'!$C$2:$C$622,0)),"",INDEX('Compliance Database'!$B$2:$B$622,MATCH(96,'Transfer Engine'!$C$2:$C$622,0)))</f>
        <v/>
      </c>
      <c r="C105">
        <f>IF(ISNA(MATCH(96,'Transfer Engine'!$C$2:$C$622,0)),"",INDEX('Compliance Database'!$C$2:$C$622,MATCH(96,'Transfer Engine'!$C$2:$C$622,0)))</f>
        <v/>
      </c>
      <c r="D105" s="8">
        <f>IF(ISNA(MATCH(96,'Transfer Engine'!$C$2:$C$622,0)),"",INDEX('Compliance Database'!$D$2:$D$622,MATCH(96,'Transfer Engine'!$C$2:$C$622,0)))</f>
        <v/>
      </c>
      <c r="E105">
        <f>IF(ISNA(MATCH(96,'Transfer Engine'!$C$2:$C$622,0)),"",INDEX('Compliance Database'!$E$2:$E$622,MATCH(96,'Transfer Engine'!$C$2:$C$622,0)))</f>
        <v/>
      </c>
      <c r="F105">
        <f>IF(ISNA(MATCH(96,'Transfer Engine'!$C$2:$C$622,0)),"",INDEX('Compliance Database'!$F$2:$F$622,MATCH(96,'Transfer Engine'!$C$2:$C$622,0)))</f>
        <v/>
      </c>
      <c r="G105">
        <f>IF(ISNA(MATCH(96,'Transfer Engine'!$C$2:$C$622,0)),"",INDEX('Compliance Database'!$G$2:$G$622,MATCH(96,'Transfer Engine'!$C$2:$C$622,0)))</f>
        <v/>
      </c>
      <c r="H105">
        <f>IF(ISNA(MATCH(96,'Transfer Engine'!$C$2:$C$622,0)),"",INDEX('Compliance Database'!$H$2:$H$622,MATCH(96,'Transfer Engine'!$C$2:$C$622,0)))</f>
        <v/>
      </c>
      <c r="I105" s="8">
        <f>IF(ISNA(MATCH(96,'Transfer Engine'!$C$2:$C$622,0)),"",INDEX('Compliance Database'!$I$2:$I$622,MATCH(96,'Transfer Engine'!$C$2:$C$622,0)))</f>
        <v/>
      </c>
      <c r="J105" s="8">
        <f>IF(ISNA(MATCH(96,'Transfer Engine'!$C$2:$C$622,0)),"",INDEX('Compliance Database'!$J$2:$J$622,MATCH(96,'Transfer Engine'!$C$2:$C$622,0)))</f>
        <v/>
      </c>
      <c r="K105">
        <f>IF(ISNA(MATCH(96,'Transfer Engine'!$C$2:$C$622,0)),"",INDEX('Compliance Database'!$K$2:$K$622,MATCH(96,'Transfer Engine'!$C$2:$C$622,0)))</f>
        <v/>
      </c>
      <c r="L105" s="8">
        <f>IF(ISNA(MATCH(96,'Transfer Engine'!$C$2:$C$622,0)),"",INDEX('Compliance Database'!$L$2:$L$622,MATCH(96,'Transfer Engine'!$C$2:$C$622,0)))</f>
        <v/>
      </c>
      <c r="M105" s="8">
        <f>IF(ISNA(MATCH(96,'Transfer Engine'!$C$2:$C$622,0)),"",INDEX('Compliance Database'!$M$2:$M$622,MATCH(96,'Transfer Engine'!$C$2:$C$622,0)))</f>
        <v/>
      </c>
      <c r="N105" s="8">
        <f>IF(ISNA(MATCH(96,'Transfer Engine'!$C$2:$C$622,0)),"",INDEX('Compliance Database'!$N$2:$N$622,MATCH(96,'Transfer Engine'!$C$2:$C$622,0)))</f>
        <v/>
      </c>
      <c r="O105" s="8">
        <f>IF(ISNA(MATCH(96,'Transfer Engine'!$C$2:$C$622,0)),"",INDEX('Compliance Database'!$O$2:$O$622,MATCH(96,'Transfer Engine'!$C$2:$C$622,0)))</f>
        <v/>
      </c>
    </row>
    <row r="106">
      <c r="A106">
        <f>IF(ISNA(MATCH(97,'Transfer Engine'!$C$2:$C$622,0)),"",INDEX('Compliance Database'!$A$2:$A$622,MATCH(97,'Transfer Engine'!$C$2:$C$622,0)))</f>
        <v/>
      </c>
      <c r="B106">
        <f>IF(ISNA(MATCH(97,'Transfer Engine'!$C$2:$C$622,0)),"",INDEX('Compliance Database'!$B$2:$B$622,MATCH(97,'Transfer Engine'!$C$2:$C$622,0)))</f>
        <v/>
      </c>
      <c r="C106">
        <f>IF(ISNA(MATCH(97,'Transfer Engine'!$C$2:$C$622,0)),"",INDEX('Compliance Database'!$C$2:$C$622,MATCH(97,'Transfer Engine'!$C$2:$C$622,0)))</f>
        <v/>
      </c>
      <c r="D106" s="8">
        <f>IF(ISNA(MATCH(97,'Transfer Engine'!$C$2:$C$622,0)),"",INDEX('Compliance Database'!$D$2:$D$622,MATCH(97,'Transfer Engine'!$C$2:$C$622,0)))</f>
        <v/>
      </c>
      <c r="E106">
        <f>IF(ISNA(MATCH(97,'Transfer Engine'!$C$2:$C$622,0)),"",INDEX('Compliance Database'!$E$2:$E$622,MATCH(97,'Transfer Engine'!$C$2:$C$622,0)))</f>
        <v/>
      </c>
      <c r="F106">
        <f>IF(ISNA(MATCH(97,'Transfer Engine'!$C$2:$C$622,0)),"",INDEX('Compliance Database'!$F$2:$F$622,MATCH(97,'Transfer Engine'!$C$2:$C$622,0)))</f>
        <v/>
      </c>
      <c r="G106">
        <f>IF(ISNA(MATCH(97,'Transfer Engine'!$C$2:$C$622,0)),"",INDEX('Compliance Database'!$G$2:$G$622,MATCH(97,'Transfer Engine'!$C$2:$C$622,0)))</f>
        <v/>
      </c>
      <c r="H106">
        <f>IF(ISNA(MATCH(97,'Transfer Engine'!$C$2:$C$622,0)),"",INDEX('Compliance Database'!$H$2:$H$622,MATCH(97,'Transfer Engine'!$C$2:$C$622,0)))</f>
        <v/>
      </c>
      <c r="I106" s="8">
        <f>IF(ISNA(MATCH(97,'Transfer Engine'!$C$2:$C$622,0)),"",INDEX('Compliance Database'!$I$2:$I$622,MATCH(97,'Transfer Engine'!$C$2:$C$622,0)))</f>
        <v/>
      </c>
      <c r="J106" s="8">
        <f>IF(ISNA(MATCH(97,'Transfer Engine'!$C$2:$C$622,0)),"",INDEX('Compliance Database'!$J$2:$J$622,MATCH(97,'Transfer Engine'!$C$2:$C$622,0)))</f>
        <v/>
      </c>
      <c r="K106">
        <f>IF(ISNA(MATCH(97,'Transfer Engine'!$C$2:$C$622,0)),"",INDEX('Compliance Database'!$K$2:$K$622,MATCH(97,'Transfer Engine'!$C$2:$C$622,0)))</f>
        <v/>
      </c>
      <c r="L106" s="8">
        <f>IF(ISNA(MATCH(97,'Transfer Engine'!$C$2:$C$622,0)),"",INDEX('Compliance Database'!$L$2:$L$622,MATCH(97,'Transfer Engine'!$C$2:$C$622,0)))</f>
        <v/>
      </c>
      <c r="M106" s="8">
        <f>IF(ISNA(MATCH(97,'Transfer Engine'!$C$2:$C$622,0)),"",INDEX('Compliance Database'!$M$2:$M$622,MATCH(97,'Transfer Engine'!$C$2:$C$622,0)))</f>
        <v/>
      </c>
      <c r="N106" s="8">
        <f>IF(ISNA(MATCH(97,'Transfer Engine'!$C$2:$C$622,0)),"",INDEX('Compliance Database'!$N$2:$N$622,MATCH(97,'Transfer Engine'!$C$2:$C$622,0)))</f>
        <v/>
      </c>
      <c r="O106" s="8">
        <f>IF(ISNA(MATCH(97,'Transfer Engine'!$C$2:$C$622,0)),"",INDEX('Compliance Database'!$O$2:$O$622,MATCH(97,'Transfer Engine'!$C$2:$C$622,0)))</f>
        <v/>
      </c>
    </row>
    <row r="107">
      <c r="A107">
        <f>IF(ISNA(MATCH(98,'Transfer Engine'!$C$2:$C$622,0)),"",INDEX('Compliance Database'!$A$2:$A$622,MATCH(98,'Transfer Engine'!$C$2:$C$622,0)))</f>
        <v/>
      </c>
      <c r="B107">
        <f>IF(ISNA(MATCH(98,'Transfer Engine'!$C$2:$C$622,0)),"",INDEX('Compliance Database'!$B$2:$B$622,MATCH(98,'Transfer Engine'!$C$2:$C$622,0)))</f>
        <v/>
      </c>
      <c r="C107">
        <f>IF(ISNA(MATCH(98,'Transfer Engine'!$C$2:$C$622,0)),"",INDEX('Compliance Database'!$C$2:$C$622,MATCH(98,'Transfer Engine'!$C$2:$C$622,0)))</f>
        <v/>
      </c>
      <c r="D107" s="8">
        <f>IF(ISNA(MATCH(98,'Transfer Engine'!$C$2:$C$622,0)),"",INDEX('Compliance Database'!$D$2:$D$622,MATCH(98,'Transfer Engine'!$C$2:$C$622,0)))</f>
        <v/>
      </c>
      <c r="E107">
        <f>IF(ISNA(MATCH(98,'Transfer Engine'!$C$2:$C$622,0)),"",INDEX('Compliance Database'!$E$2:$E$622,MATCH(98,'Transfer Engine'!$C$2:$C$622,0)))</f>
        <v/>
      </c>
      <c r="F107">
        <f>IF(ISNA(MATCH(98,'Transfer Engine'!$C$2:$C$622,0)),"",INDEX('Compliance Database'!$F$2:$F$622,MATCH(98,'Transfer Engine'!$C$2:$C$622,0)))</f>
        <v/>
      </c>
      <c r="G107">
        <f>IF(ISNA(MATCH(98,'Transfer Engine'!$C$2:$C$622,0)),"",INDEX('Compliance Database'!$G$2:$G$622,MATCH(98,'Transfer Engine'!$C$2:$C$622,0)))</f>
        <v/>
      </c>
      <c r="H107">
        <f>IF(ISNA(MATCH(98,'Transfer Engine'!$C$2:$C$622,0)),"",INDEX('Compliance Database'!$H$2:$H$622,MATCH(98,'Transfer Engine'!$C$2:$C$622,0)))</f>
        <v/>
      </c>
      <c r="I107" s="8">
        <f>IF(ISNA(MATCH(98,'Transfer Engine'!$C$2:$C$622,0)),"",INDEX('Compliance Database'!$I$2:$I$622,MATCH(98,'Transfer Engine'!$C$2:$C$622,0)))</f>
        <v/>
      </c>
      <c r="J107" s="8">
        <f>IF(ISNA(MATCH(98,'Transfer Engine'!$C$2:$C$622,0)),"",INDEX('Compliance Database'!$J$2:$J$622,MATCH(98,'Transfer Engine'!$C$2:$C$622,0)))</f>
        <v/>
      </c>
      <c r="K107">
        <f>IF(ISNA(MATCH(98,'Transfer Engine'!$C$2:$C$622,0)),"",INDEX('Compliance Database'!$K$2:$K$622,MATCH(98,'Transfer Engine'!$C$2:$C$622,0)))</f>
        <v/>
      </c>
      <c r="L107" s="8">
        <f>IF(ISNA(MATCH(98,'Transfer Engine'!$C$2:$C$622,0)),"",INDEX('Compliance Database'!$L$2:$L$622,MATCH(98,'Transfer Engine'!$C$2:$C$622,0)))</f>
        <v/>
      </c>
      <c r="M107" s="8">
        <f>IF(ISNA(MATCH(98,'Transfer Engine'!$C$2:$C$622,0)),"",INDEX('Compliance Database'!$M$2:$M$622,MATCH(98,'Transfer Engine'!$C$2:$C$622,0)))</f>
        <v/>
      </c>
      <c r="N107" s="8">
        <f>IF(ISNA(MATCH(98,'Transfer Engine'!$C$2:$C$622,0)),"",INDEX('Compliance Database'!$N$2:$N$622,MATCH(98,'Transfer Engine'!$C$2:$C$622,0)))</f>
        <v/>
      </c>
      <c r="O107" s="8">
        <f>IF(ISNA(MATCH(98,'Transfer Engine'!$C$2:$C$622,0)),"",INDEX('Compliance Database'!$O$2:$O$622,MATCH(98,'Transfer Engine'!$C$2:$C$622,0)))</f>
        <v/>
      </c>
    </row>
    <row r="108">
      <c r="A108">
        <f>IF(ISNA(MATCH(99,'Transfer Engine'!$C$2:$C$622,0)),"",INDEX('Compliance Database'!$A$2:$A$622,MATCH(99,'Transfer Engine'!$C$2:$C$622,0)))</f>
        <v/>
      </c>
      <c r="B108">
        <f>IF(ISNA(MATCH(99,'Transfer Engine'!$C$2:$C$622,0)),"",INDEX('Compliance Database'!$B$2:$B$622,MATCH(99,'Transfer Engine'!$C$2:$C$622,0)))</f>
        <v/>
      </c>
      <c r="C108">
        <f>IF(ISNA(MATCH(99,'Transfer Engine'!$C$2:$C$622,0)),"",INDEX('Compliance Database'!$C$2:$C$622,MATCH(99,'Transfer Engine'!$C$2:$C$622,0)))</f>
        <v/>
      </c>
      <c r="D108" s="8">
        <f>IF(ISNA(MATCH(99,'Transfer Engine'!$C$2:$C$622,0)),"",INDEX('Compliance Database'!$D$2:$D$622,MATCH(99,'Transfer Engine'!$C$2:$C$622,0)))</f>
        <v/>
      </c>
      <c r="E108">
        <f>IF(ISNA(MATCH(99,'Transfer Engine'!$C$2:$C$622,0)),"",INDEX('Compliance Database'!$E$2:$E$622,MATCH(99,'Transfer Engine'!$C$2:$C$622,0)))</f>
        <v/>
      </c>
      <c r="F108">
        <f>IF(ISNA(MATCH(99,'Transfer Engine'!$C$2:$C$622,0)),"",INDEX('Compliance Database'!$F$2:$F$622,MATCH(99,'Transfer Engine'!$C$2:$C$622,0)))</f>
        <v/>
      </c>
      <c r="G108">
        <f>IF(ISNA(MATCH(99,'Transfer Engine'!$C$2:$C$622,0)),"",INDEX('Compliance Database'!$G$2:$G$622,MATCH(99,'Transfer Engine'!$C$2:$C$622,0)))</f>
        <v/>
      </c>
      <c r="H108">
        <f>IF(ISNA(MATCH(99,'Transfer Engine'!$C$2:$C$622,0)),"",INDEX('Compliance Database'!$H$2:$H$622,MATCH(99,'Transfer Engine'!$C$2:$C$622,0)))</f>
        <v/>
      </c>
      <c r="I108" s="8">
        <f>IF(ISNA(MATCH(99,'Transfer Engine'!$C$2:$C$622,0)),"",INDEX('Compliance Database'!$I$2:$I$622,MATCH(99,'Transfer Engine'!$C$2:$C$622,0)))</f>
        <v/>
      </c>
      <c r="J108" s="8">
        <f>IF(ISNA(MATCH(99,'Transfer Engine'!$C$2:$C$622,0)),"",INDEX('Compliance Database'!$J$2:$J$622,MATCH(99,'Transfer Engine'!$C$2:$C$622,0)))</f>
        <v/>
      </c>
      <c r="K108">
        <f>IF(ISNA(MATCH(99,'Transfer Engine'!$C$2:$C$622,0)),"",INDEX('Compliance Database'!$K$2:$K$622,MATCH(99,'Transfer Engine'!$C$2:$C$622,0)))</f>
        <v/>
      </c>
      <c r="L108" s="8">
        <f>IF(ISNA(MATCH(99,'Transfer Engine'!$C$2:$C$622,0)),"",INDEX('Compliance Database'!$L$2:$L$622,MATCH(99,'Transfer Engine'!$C$2:$C$622,0)))</f>
        <v/>
      </c>
      <c r="M108" s="8">
        <f>IF(ISNA(MATCH(99,'Transfer Engine'!$C$2:$C$622,0)),"",INDEX('Compliance Database'!$M$2:$M$622,MATCH(99,'Transfer Engine'!$C$2:$C$622,0)))</f>
        <v/>
      </c>
      <c r="N108" s="8">
        <f>IF(ISNA(MATCH(99,'Transfer Engine'!$C$2:$C$622,0)),"",INDEX('Compliance Database'!$N$2:$N$622,MATCH(99,'Transfer Engine'!$C$2:$C$622,0)))</f>
        <v/>
      </c>
      <c r="O108" s="8">
        <f>IF(ISNA(MATCH(99,'Transfer Engine'!$C$2:$C$622,0)),"",INDEX('Compliance Database'!$O$2:$O$622,MATCH(99,'Transfer Engine'!$C$2:$C$622,0)))</f>
        <v/>
      </c>
    </row>
    <row r="109">
      <c r="A109">
        <f>IF(ISNA(MATCH(100,'Transfer Engine'!$C$2:$C$622,0)),"",INDEX('Compliance Database'!$A$2:$A$622,MATCH(100,'Transfer Engine'!$C$2:$C$622,0)))</f>
        <v/>
      </c>
      <c r="B109">
        <f>IF(ISNA(MATCH(100,'Transfer Engine'!$C$2:$C$622,0)),"",INDEX('Compliance Database'!$B$2:$B$622,MATCH(100,'Transfer Engine'!$C$2:$C$622,0)))</f>
        <v/>
      </c>
      <c r="C109">
        <f>IF(ISNA(MATCH(100,'Transfer Engine'!$C$2:$C$622,0)),"",INDEX('Compliance Database'!$C$2:$C$622,MATCH(100,'Transfer Engine'!$C$2:$C$622,0)))</f>
        <v/>
      </c>
      <c r="D109" s="8">
        <f>IF(ISNA(MATCH(100,'Transfer Engine'!$C$2:$C$622,0)),"",INDEX('Compliance Database'!$D$2:$D$622,MATCH(100,'Transfer Engine'!$C$2:$C$622,0)))</f>
        <v/>
      </c>
      <c r="E109">
        <f>IF(ISNA(MATCH(100,'Transfer Engine'!$C$2:$C$622,0)),"",INDEX('Compliance Database'!$E$2:$E$622,MATCH(100,'Transfer Engine'!$C$2:$C$622,0)))</f>
        <v/>
      </c>
      <c r="F109">
        <f>IF(ISNA(MATCH(100,'Transfer Engine'!$C$2:$C$622,0)),"",INDEX('Compliance Database'!$F$2:$F$622,MATCH(100,'Transfer Engine'!$C$2:$C$622,0)))</f>
        <v/>
      </c>
      <c r="G109">
        <f>IF(ISNA(MATCH(100,'Transfer Engine'!$C$2:$C$622,0)),"",INDEX('Compliance Database'!$G$2:$G$622,MATCH(100,'Transfer Engine'!$C$2:$C$622,0)))</f>
        <v/>
      </c>
      <c r="H109">
        <f>IF(ISNA(MATCH(100,'Transfer Engine'!$C$2:$C$622,0)),"",INDEX('Compliance Database'!$H$2:$H$622,MATCH(100,'Transfer Engine'!$C$2:$C$622,0)))</f>
        <v/>
      </c>
      <c r="I109" s="8">
        <f>IF(ISNA(MATCH(100,'Transfer Engine'!$C$2:$C$622,0)),"",INDEX('Compliance Database'!$I$2:$I$622,MATCH(100,'Transfer Engine'!$C$2:$C$622,0)))</f>
        <v/>
      </c>
      <c r="J109" s="8">
        <f>IF(ISNA(MATCH(100,'Transfer Engine'!$C$2:$C$622,0)),"",INDEX('Compliance Database'!$J$2:$J$622,MATCH(100,'Transfer Engine'!$C$2:$C$622,0)))</f>
        <v/>
      </c>
      <c r="K109">
        <f>IF(ISNA(MATCH(100,'Transfer Engine'!$C$2:$C$622,0)),"",INDEX('Compliance Database'!$K$2:$K$622,MATCH(100,'Transfer Engine'!$C$2:$C$622,0)))</f>
        <v/>
      </c>
      <c r="L109" s="8">
        <f>IF(ISNA(MATCH(100,'Transfer Engine'!$C$2:$C$622,0)),"",INDEX('Compliance Database'!$L$2:$L$622,MATCH(100,'Transfer Engine'!$C$2:$C$622,0)))</f>
        <v/>
      </c>
      <c r="M109" s="8">
        <f>IF(ISNA(MATCH(100,'Transfer Engine'!$C$2:$C$622,0)),"",INDEX('Compliance Database'!$M$2:$M$622,MATCH(100,'Transfer Engine'!$C$2:$C$622,0)))</f>
        <v/>
      </c>
      <c r="N109" s="8">
        <f>IF(ISNA(MATCH(100,'Transfer Engine'!$C$2:$C$622,0)),"",INDEX('Compliance Database'!$N$2:$N$622,MATCH(100,'Transfer Engine'!$C$2:$C$622,0)))</f>
        <v/>
      </c>
      <c r="O109" s="8">
        <f>IF(ISNA(MATCH(100,'Transfer Engine'!$C$2:$C$622,0)),"",INDEX('Compliance Database'!$O$2:$O$622,MATCH(100,'Transfer Engine'!$C$2:$C$622,0)))</f>
        <v/>
      </c>
    </row>
    <row r="110">
      <c r="A110">
        <f>IF(ISNA(MATCH(101,'Transfer Engine'!$C$2:$C$622,0)),"",INDEX('Compliance Database'!$A$2:$A$622,MATCH(101,'Transfer Engine'!$C$2:$C$622,0)))</f>
        <v/>
      </c>
      <c r="B110">
        <f>IF(ISNA(MATCH(101,'Transfer Engine'!$C$2:$C$622,0)),"",INDEX('Compliance Database'!$B$2:$B$622,MATCH(101,'Transfer Engine'!$C$2:$C$622,0)))</f>
        <v/>
      </c>
      <c r="C110">
        <f>IF(ISNA(MATCH(101,'Transfer Engine'!$C$2:$C$622,0)),"",INDEX('Compliance Database'!$C$2:$C$622,MATCH(101,'Transfer Engine'!$C$2:$C$622,0)))</f>
        <v/>
      </c>
      <c r="D110" s="8">
        <f>IF(ISNA(MATCH(101,'Transfer Engine'!$C$2:$C$622,0)),"",INDEX('Compliance Database'!$D$2:$D$622,MATCH(101,'Transfer Engine'!$C$2:$C$622,0)))</f>
        <v/>
      </c>
      <c r="E110">
        <f>IF(ISNA(MATCH(101,'Transfer Engine'!$C$2:$C$622,0)),"",INDEX('Compliance Database'!$E$2:$E$622,MATCH(101,'Transfer Engine'!$C$2:$C$622,0)))</f>
        <v/>
      </c>
      <c r="F110">
        <f>IF(ISNA(MATCH(101,'Transfer Engine'!$C$2:$C$622,0)),"",INDEX('Compliance Database'!$F$2:$F$622,MATCH(101,'Transfer Engine'!$C$2:$C$622,0)))</f>
        <v/>
      </c>
      <c r="G110">
        <f>IF(ISNA(MATCH(101,'Transfer Engine'!$C$2:$C$622,0)),"",INDEX('Compliance Database'!$G$2:$G$622,MATCH(101,'Transfer Engine'!$C$2:$C$622,0)))</f>
        <v/>
      </c>
      <c r="H110">
        <f>IF(ISNA(MATCH(101,'Transfer Engine'!$C$2:$C$622,0)),"",INDEX('Compliance Database'!$H$2:$H$622,MATCH(101,'Transfer Engine'!$C$2:$C$622,0)))</f>
        <v/>
      </c>
      <c r="I110" s="8">
        <f>IF(ISNA(MATCH(101,'Transfer Engine'!$C$2:$C$622,0)),"",INDEX('Compliance Database'!$I$2:$I$622,MATCH(101,'Transfer Engine'!$C$2:$C$622,0)))</f>
        <v/>
      </c>
      <c r="J110" s="8">
        <f>IF(ISNA(MATCH(101,'Transfer Engine'!$C$2:$C$622,0)),"",INDEX('Compliance Database'!$J$2:$J$622,MATCH(101,'Transfer Engine'!$C$2:$C$622,0)))</f>
        <v/>
      </c>
      <c r="K110">
        <f>IF(ISNA(MATCH(101,'Transfer Engine'!$C$2:$C$622,0)),"",INDEX('Compliance Database'!$K$2:$K$622,MATCH(101,'Transfer Engine'!$C$2:$C$622,0)))</f>
        <v/>
      </c>
      <c r="L110" s="8">
        <f>IF(ISNA(MATCH(101,'Transfer Engine'!$C$2:$C$622,0)),"",INDEX('Compliance Database'!$L$2:$L$622,MATCH(101,'Transfer Engine'!$C$2:$C$622,0)))</f>
        <v/>
      </c>
      <c r="M110" s="8">
        <f>IF(ISNA(MATCH(101,'Transfer Engine'!$C$2:$C$622,0)),"",INDEX('Compliance Database'!$M$2:$M$622,MATCH(101,'Transfer Engine'!$C$2:$C$622,0)))</f>
        <v/>
      </c>
      <c r="N110" s="8">
        <f>IF(ISNA(MATCH(101,'Transfer Engine'!$C$2:$C$622,0)),"",INDEX('Compliance Database'!$N$2:$N$622,MATCH(101,'Transfer Engine'!$C$2:$C$622,0)))</f>
        <v/>
      </c>
      <c r="O110" s="8">
        <f>IF(ISNA(MATCH(101,'Transfer Engine'!$C$2:$C$622,0)),"",INDEX('Compliance Database'!$O$2:$O$622,MATCH(101,'Transfer Engine'!$C$2:$C$622,0)))</f>
        <v/>
      </c>
    </row>
    <row r="111">
      <c r="A111">
        <f>IF(ISNA(MATCH(102,'Transfer Engine'!$C$2:$C$622,0)),"",INDEX('Compliance Database'!$A$2:$A$622,MATCH(102,'Transfer Engine'!$C$2:$C$622,0)))</f>
        <v/>
      </c>
      <c r="B111">
        <f>IF(ISNA(MATCH(102,'Transfer Engine'!$C$2:$C$622,0)),"",INDEX('Compliance Database'!$B$2:$B$622,MATCH(102,'Transfer Engine'!$C$2:$C$622,0)))</f>
        <v/>
      </c>
      <c r="C111">
        <f>IF(ISNA(MATCH(102,'Transfer Engine'!$C$2:$C$622,0)),"",INDEX('Compliance Database'!$C$2:$C$622,MATCH(102,'Transfer Engine'!$C$2:$C$622,0)))</f>
        <v/>
      </c>
      <c r="D111" s="8">
        <f>IF(ISNA(MATCH(102,'Transfer Engine'!$C$2:$C$622,0)),"",INDEX('Compliance Database'!$D$2:$D$622,MATCH(102,'Transfer Engine'!$C$2:$C$622,0)))</f>
        <v/>
      </c>
      <c r="E111">
        <f>IF(ISNA(MATCH(102,'Transfer Engine'!$C$2:$C$622,0)),"",INDEX('Compliance Database'!$E$2:$E$622,MATCH(102,'Transfer Engine'!$C$2:$C$622,0)))</f>
        <v/>
      </c>
      <c r="F111">
        <f>IF(ISNA(MATCH(102,'Transfer Engine'!$C$2:$C$622,0)),"",INDEX('Compliance Database'!$F$2:$F$622,MATCH(102,'Transfer Engine'!$C$2:$C$622,0)))</f>
        <v/>
      </c>
      <c r="G111">
        <f>IF(ISNA(MATCH(102,'Transfer Engine'!$C$2:$C$622,0)),"",INDEX('Compliance Database'!$G$2:$G$622,MATCH(102,'Transfer Engine'!$C$2:$C$622,0)))</f>
        <v/>
      </c>
      <c r="H111">
        <f>IF(ISNA(MATCH(102,'Transfer Engine'!$C$2:$C$622,0)),"",INDEX('Compliance Database'!$H$2:$H$622,MATCH(102,'Transfer Engine'!$C$2:$C$622,0)))</f>
        <v/>
      </c>
      <c r="I111" s="8">
        <f>IF(ISNA(MATCH(102,'Transfer Engine'!$C$2:$C$622,0)),"",INDEX('Compliance Database'!$I$2:$I$622,MATCH(102,'Transfer Engine'!$C$2:$C$622,0)))</f>
        <v/>
      </c>
      <c r="J111" s="8">
        <f>IF(ISNA(MATCH(102,'Transfer Engine'!$C$2:$C$622,0)),"",INDEX('Compliance Database'!$J$2:$J$622,MATCH(102,'Transfer Engine'!$C$2:$C$622,0)))</f>
        <v/>
      </c>
      <c r="K111">
        <f>IF(ISNA(MATCH(102,'Transfer Engine'!$C$2:$C$622,0)),"",INDEX('Compliance Database'!$K$2:$K$622,MATCH(102,'Transfer Engine'!$C$2:$C$622,0)))</f>
        <v/>
      </c>
      <c r="L111" s="8">
        <f>IF(ISNA(MATCH(102,'Transfer Engine'!$C$2:$C$622,0)),"",INDEX('Compliance Database'!$L$2:$L$622,MATCH(102,'Transfer Engine'!$C$2:$C$622,0)))</f>
        <v/>
      </c>
      <c r="M111" s="8">
        <f>IF(ISNA(MATCH(102,'Transfer Engine'!$C$2:$C$622,0)),"",INDEX('Compliance Database'!$M$2:$M$622,MATCH(102,'Transfer Engine'!$C$2:$C$622,0)))</f>
        <v/>
      </c>
      <c r="N111" s="8">
        <f>IF(ISNA(MATCH(102,'Transfer Engine'!$C$2:$C$622,0)),"",INDEX('Compliance Database'!$N$2:$N$622,MATCH(102,'Transfer Engine'!$C$2:$C$622,0)))</f>
        <v/>
      </c>
      <c r="O111" s="8">
        <f>IF(ISNA(MATCH(102,'Transfer Engine'!$C$2:$C$622,0)),"",INDEX('Compliance Database'!$O$2:$O$622,MATCH(102,'Transfer Engine'!$C$2:$C$622,0)))</f>
        <v/>
      </c>
    </row>
    <row r="112">
      <c r="A112">
        <f>IF(ISNA(MATCH(103,'Transfer Engine'!$C$2:$C$622,0)),"",INDEX('Compliance Database'!$A$2:$A$622,MATCH(103,'Transfer Engine'!$C$2:$C$622,0)))</f>
        <v/>
      </c>
      <c r="B112">
        <f>IF(ISNA(MATCH(103,'Transfer Engine'!$C$2:$C$622,0)),"",INDEX('Compliance Database'!$B$2:$B$622,MATCH(103,'Transfer Engine'!$C$2:$C$622,0)))</f>
        <v/>
      </c>
      <c r="C112">
        <f>IF(ISNA(MATCH(103,'Transfer Engine'!$C$2:$C$622,0)),"",INDEX('Compliance Database'!$C$2:$C$622,MATCH(103,'Transfer Engine'!$C$2:$C$622,0)))</f>
        <v/>
      </c>
      <c r="D112" s="8">
        <f>IF(ISNA(MATCH(103,'Transfer Engine'!$C$2:$C$622,0)),"",INDEX('Compliance Database'!$D$2:$D$622,MATCH(103,'Transfer Engine'!$C$2:$C$622,0)))</f>
        <v/>
      </c>
      <c r="E112">
        <f>IF(ISNA(MATCH(103,'Transfer Engine'!$C$2:$C$622,0)),"",INDEX('Compliance Database'!$E$2:$E$622,MATCH(103,'Transfer Engine'!$C$2:$C$622,0)))</f>
        <v/>
      </c>
      <c r="F112">
        <f>IF(ISNA(MATCH(103,'Transfer Engine'!$C$2:$C$622,0)),"",INDEX('Compliance Database'!$F$2:$F$622,MATCH(103,'Transfer Engine'!$C$2:$C$622,0)))</f>
        <v/>
      </c>
      <c r="G112">
        <f>IF(ISNA(MATCH(103,'Transfer Engine'!$C$2:$C$622,0)),"",INDEX('Compliance Database'!$G$2:$G$622,MATCH(103,'Transfer Engine'!$C$2:$C$622,0)))</f>
        <v/>
      </c>
      <c r="H112">
        <f>IF(ISNA(MATCH(103,'Transfer Engine'!$C$2:$C$622,0)),"",INDEX('Compliance Database'!$H$2:$H$622,MATCH(103,'Transfer Engine'!$C$2:$C$622,0)))</f>
        <v/>
      </c>
      <c r="I112" s="8">
        <f>IF(ISNA(MATCH(103,'Transfer Engine'!$C$2:$C$622,0)),"",INDEX('Compliance Database'!$I$2:$I$622,MATCH(103,'Transfer Engine'!$C$2:$C$622,0)))</f>
        <v/>
      </c>
      <c r="J112" s="8">
        <f>IF(ISNA(MATCH(103,'Transfer Engine'!$C$2:$C$622,0)),"",INDEX('Compliance Database'!$J$2:$J$622,MATCH(103,'Transfer Engine'!$C$2:$C$622,0)))</f>
        <v/>
      </c>
      <c r="K112">
        <f>IF(ISNA(MATCH(103,'Transfer Engine'!$C$2:$C$622,0)),"",INDEX('Compliance Database'!$K$2:$K$622,MATCH(103,'Transfer Engine'!$C$2:$C$622,0)))</f>
        <v/>
      </c>
      <c r="L112" s="8">
        <f>IF(ISNA(MATCH(103,'Transfer Engine'!$C$2:$C$622,0)),"",INDEX('Compliance Database'!$L$2:$L$622,MATCH(103,'Transfer Engine'!$C$2:$C$622,0)))</f>
        <v/>
      </c>
      <c r="M112" s="8">
        <f>IF(ISNA(MATCH(103,'Transfer Engine'!$C$2:$C$622,0)),"",INDEX('Compliance Database'!$M$2:$M$622,MATCH(103,'Transfer Engine'!$C$2:$C$622,0)))</f>
        <v/>
      </c>
      <c r="N112" s="8">
        <f>IF(ISNA(MATCH(103,'Transfer Engine'!$C$2:$C$622,0)),"",INDEX('Compliance Database'!$N$2:$N$622,MATCH(103,'Transfer Engine'!$C$2:$C$622,0)))</f>
        <v/>
      </c>
      <c r="O112" s="8">
        <f>IF(ISNA(MATCH(103,'Transfer Engine'!$C$2:$C$622,0)),"",INDEX('Compliance Database'!$O$2:$O$622,MATCH(103,'Transfer Engine'!$C$2:$C$622,0)))</f>
        <v/>
      </c>
    </row>
    <row r="113">
      <c r="A113">
        <f>IF(ISNA(MATCH(104,'Transfer Engine'!$C$2:$C$622,0)),"",INDEX('Compliance Database'!$A$2:$A$622,MATCH(104,'Transfer Engine'!$C$2:$C$622,0)))</f>
        <v/>
      </c>
      <c r="B113">
        <f>IF(ISNA(MATCH(104,'Transfer Engine'!$C$2:$C$622,0)),"",INDEX('Compliance Database'!$B$2:$B$622,MATCH(104,'Transfer Engine'!$C$2:$C$622,0)))</f>
        <v/>
      </c>
      <c r="C113">
        <f>IF(ISNA(MATCH(104,'Transfer Engine'!$C$2:$C$622,0)),"",INDEX('Compliance Database'!$C$2:$C$622,MATCH(104,'Transfer Engine'!$C$2:$C$622,0)))</f>
        <v/>
      </c>
      <c r="D113" s="8">
        <f>IF(ISNA(MATCH(104,'Transfer Engine'!$C$2:$C$622,0)),"",INDEX('Compliance Database'!$D$2:$D$622,MATCH(104,'Transfer Engine'!$C$2:$C$622,0)))</f>
        <v/>
      </c>
      <c r="E113">
        <f>IF(ISNA(MATCH(104,'Transfer Engine'!$C$2:$C$622,0)),"",INDEX('Compliance Database'!$E$2:$E$622,MATCH(104,'Transfer Engine'!$C$2:$C$622,0)))</f>
        <v/>
      </c>
      <c r="F113">
        <f>IF(ISNA(MATCH(104,'Transfer Engine'!$C$2:$C$622,0)),"",INDEX('Compliance Database'!$F$2:$F$622,MATCH(104,'Transfer Engine'!$C$2:$C$622,0)))</f>
        <v/>
      </c>
      <c r="G113">
        <f>IF(ISNA(MATCH(104,'Transfer Engine'!$C$2:$C$622,0)),"",INDEX('Compliance Database'!$G$2:$G$622,MATCH(104,'Transfer Engine'!$C$2:$C$622,0)))</f>
        <v/>
      </c>
      <c r="H113">
        <f>IF(ISNA(MATCH(104,'Transfer Engine'!$C$2:$C$622,0)),"",INDEX('Compliance Database'!$H$2:$H$622,MATCH(104,'Transfer Engine'!$C$2:$C$622,0)))</f>
        <v/>
      </c>
      <c r="I113" s="8">
        <f>IF(ISNA(MATCH(104,'Transfer Engine'!$C$2:$C$622,0)),"",INDEX('Compliance Database'!$I$2:$I$622,MATCH(104,'Transfer Engine'!$C$2:$C$622,0)))</f>
        <v/>
      </c>
      <c r="J113" s="8">
        <f>IF(ISNA(MATCH(104,'Transfer Engine'!$C$2:$C$622,0)),"",INDEX('Compliance Database'!$J$2:$J$622,MATCH(104,'Transfer Engine'!$C$2:$C$622,0)))</f>
        <v/>
      </c>
      <c r="K113">
        <f>IF(ISNA(MATCH(104,'Transfer Engine'!$C$2:$C$622,0)),"",INDEX('Compliance Database'!$K$2:$K$622,MATCH(104,'Transfer Engine'!$C$2:$C$622,0)))</f>
        <v/>
      </c>
      <c r="L113" s="8">
        <f>IF(ISNA(MATCH(104,'Transfer Engine'!$C$2:$C$622,0)),"",INDEX('Compliance Database'!$L$2:$L$622,MATCH(104,'Transfer Engine'!$C$2:$C$622,0)))</f>
        <v/>
      </c>
      <c r="M113" s="8">
        <f>IF(ISNA(MATCH(104,'Transfer Engine'!$C$2:$C$622,0)),"",INDEX('Compliance Database'!$M$2:$M$622,MATCH(104,'Transfer Engine'!$C$2:$C$622,0)))</f>
        <v/>
      </c>
      <c r="N113" s="8">
        <f>IF(ISNA(MATCH(104,'Transfer Engine'!$C$2:$C$622,0)),"",INDEX('Compliance Database'!$N$2:$N$622,MATCH(104,'Transfer Engine'!$C$2:$C$622,0)))</f>
        <v/>
      </c>
      <c r="O113" s="8">
        <f>IF(ISNA(MATCH(104,'Transfer Engine'!$C$2:$C$622,0)),"",INDEX('Compliance Database'!$O$2:$O$622,MATCH(104,'Transfer Engine'!$C$2:$C$622,0)))</f>
        <v/>
      </c>
    </row>
    <row r="114">
      <c r="A114">
        <f>IF(ISNA(MATCH(105,'Transfer Engine'!$C$2:$C$622,0)),"",INDEX('Compliance Database'!$A$2:$A$622,MATCH(105,'Transfer Engine'!$C$2:$C$622,0)))</f>
        <v/>
      </c>
      <c r="B114">
        <f>IF(ISNA(MATCH(105,'Transfer Engine'!$C$2:$C$622,0)),"",INDEX('Compliance Database'!$B$2:$B$622,MATCH(105,'Transfer Engine'!$C$2:$C$622,0)))</f>
        <v/>
      </c>
      <c r="C114">
        <f>IF(ISNA(MATCH(105,'Transfer Engine'!$C$2:$C$622,0)),"",INDEX('Compliance Database'!$C$2:$C$622,MATCH(105,'Transfer Engine'!$C$2:$C$622,0)))</f>
        <v/>
      </c>
      <c r="D114" s="8">
        <f>IF(ISNA(MATCH(105,'Transfer Engine'!$C$2:$C$622,0)),"",INDEX('Compliance Database'!$D$2:$D$622,MATCH(105,'Transfer Engine'!$C$2:$C$622,0)))</f>
        <v/>
      </c>
      <c r="E114">
        <f>IF(ISNA(MATCH(105,'Transfer Engine'!$C$2:$C$622,0)),"",INDEX('Compliance Database'!$E$2:$E$622,MATCH(105,'Transfer Engine'!$C$2:$C$622,0)))</f>
        <v/>
      </c>
      <c r="F114">
        <f>IF(ISNA(MATCH(105,'Transfer Engine'!$C$2:$C$622,0)),"",INDEX('Compliance Database'!$F$2:$F$622,MATCH(105,'Transfer Engine'!$C$2:$C$622,0)))</f>
        <v/>
      </c>
      <c r="G114">
        <f>IF(ISNA(MATCH(105,'Transfer Engine'!$C$2:$C$622,0)),"",INDEX('Compliance Database'!$G$2:$G$622,MATCH(105,'Transfer Engine'!$C$2:$C$622,0)))</f>
        <v/>
      </c>
      <c r="H114">
        <f>IF(ISNA(MATCH(105,'Transfer Engine'!$C$2:$C$622,0)),"",INDEX('Compliance Database'!$H$2:$H$622,MATCH(105,'Transfer Engine'!$C$2:$C$622,0)))</f>
        <v/>
      </c>
      <c r="I114" s="8">
        <f>IF(ISNA(MATCH(105,'Transfer Engine'!$C$2:$C$622,0)),"",INDEX('Compliance Database'!$I$2:$I$622,MATCH(105,'Transfer Engine'!$C$2:$C$622,0)))</f>
        <v/>
      </c>
      <c r="J114" s="8">
        <f>IF(ISNA(MATCH(105,'Transfer Engine'!$C$2:$C$622,0)),"",INDEX('Compliance Database'!$J$2:$J$622,MATCH(105,'Transfer Engine'!$C$2:$C$622,0)))</f>
        <v/>
      </c>
      <c r="K114">
        <f>IF(ISNA(MATCH(105,'Transfer Engine'!$C$2:$C$622,0)),"",INDEX('Compliance Database'!$K$2:$K$622,MATCH(105,'Transfer Engine'!$C$2:$C$622,0)))</f>
        <v/>
      </c>
      <c r="L114" s="8">
        <f>IF(ISNA(MATCH(105,'Transfer Engine'!$C$2:$C$622,0)),"",INDEX('Compliance Database'!$L$2:$L$622,MATCH(105,'Transfer Engine'!$C$2:$C$622,0)))</f>
        <v/>
      </c>
      <c r="M114" s="8">
        <f>IF(ISNA(MATCH(105,'Transfer Engine'!$C$2:$C$622,0)),"",INDEX('Compliance Database'!$M$2:$M$622,MATCH(105,'Transfer Engine'!$C$2:$C$622,0)))</f>
        <v/>
      </c>
      <c r="N114" s="8">
        <f>IF(ISNA(MATCH(105,'Transfer Engine'!$C$2:$C$622,0)),"",INDEX('Compliance Database'!$N$2:$N$622,MATCH(105,'Transfer Engine'!$C$2:$C$622,0)))</f>
        <v/>
      </c>
      <c r="O114" s="8">
        <f>IF(ISNA(MATCH(105,'Transfer Engine'!$C$2:$C$622,0)),"",INDEX('Compliance Database'!$O$2:$O$622,MATCH(105,'Transfer Engine'!$C$2:$C$622,0)))</f>
        <v/>
      </c>
    </row>
    <row r="115">
      <c r="A115">
        <f>IF(ISNA(MATCH(106,'Transfer Engine'!$C$2:$C$622,0)),"",INDEX('Compliance Database'!$A$2:$A$622,MATCH(106,'Transfer Engine'!$C$2:$C$622,0)))</f>
        <v/>
      </c>
      <c r="B115">
        <f>IF(ISNA(MATCH(106,'Transfer Engine'!$C$2:$C$622,0)),"",INDEX('Compliance Database'!$B$2:$B$622,MATCH(106,'Transfer Engine'!$C$2:$C$622,0)))</f>
        <v/>
      </c>
      <c r="C115">
        <f>IF(ISNA(MATCH(106,'Transfer Engine'!$C$2:$C$622,0)),"",INDEX('Compliance Database'!$C$2:$C$622,MATCH(106,'Transfer Engine'!$C$2:$C$622,0)))</f>
        <v/>
      </c>
      <c r="D115" s="8">
        <f>IF(ISNA(MATCH(106,'Transfer Engine'!$C$2:$C$622,0)),"",INDEX('Compliance Database'!$D$2:$D$622,MATCH(106,'Transfer Engine'!$C$2:$C$622,0)))</f>
        <v/>
      </c>
      <c r="E115">
        <f>IF(ISNA(MATCH(106,'Transfer Engine'!$C$2:$C$622,0)),"",INDEX('Compliance Database'!$E$2:$E$622,MATCH(106,'Transfer Engine'!$C$2:$C$622,0)))</f>
        <v/>
      </c>
      <c r="F115">
        <f>IF(ISNA(MATCH(106,'Transfer Engine'!$C$2:$C$622,0)),"",INDEX('Compliance Database'!$F$2:$F$622,MATCH(106,'Transfer Engine'!$C$2:$C$622,0)))</f>
        <v/>
      </c>
      <c r="G115">
        <f>IF(ISNA(MATCH(106,'Transfer Engine'!$C$2:$C$622,0)),"",INDEX('Compliance Database'!$G$2:$G$622,MATCH(106,'Transfer Engine'!$C$2:$C$622,0)))</f>
        <v/>
      </c>
      <c r="H115">
        <f>IF(ISNA(MATCH(106,'Transfer Engine'!$C$2:$C$622,0)),"",INDEX('Compliance Database'!$H$2:$H$622,MATCH(106,'Transfer Engine'!$C$2:$C$622,0)))</f>
        <v/>
      </c>
      <c r="I115" s="8">
        <f>IF(ISNA(MATCH(106,'Transfer Engine'!$C$2:$C$622,0)),"",INDEX('Compliance Database'!$I$2:$I$622,MATCH(106,'Transfer Engine'!$C$2:$C$622,0)))</f>
        <v/>
      </c>
      <c r="J115" s="8">
        <f>IF(ISNA(MATCH(106,'Transfer Engine'!$C$2:$C$622,0)),"",INDEX('Compliance Database'!$J$2:$J$622,MATCH(106,'Transfer Engine'!$C$2:$C$622,0)))</f>
        <v/>
      </c>
      <c r="K115">
        <f>IF(ISNA(MATCH(106,'Transfer Engine'!$C$2:$C$622,0)),"",INDEX('Compliance Database'!$K$2:$K$622,MATCH(106,'Transfer Engine'!$C$2:$C$622,0)))</f>
        <v/>
      </c>
      <c r="L115" s="8">
        <f>IF(ISNA(MATCH(106,'Transfer Engine'!$C$2:$C$622,0)),"",INDEX('Compliance Database'!$L$2:$L$622,MATCH(106,'Transfer Engine'!$C$2:$C$622,0)))</f>
        <v/>
      </c>
      <c r="M115" s="8">
        <f>IF(ISNA(MATCH(106,'Transfer Engine'!$C$2:$C$622,0)),"",INDEX('Compliance Database'!$M$2:$M$622,MATCH(106,'Transfer Engine'!$C$2:$C$622,0)))</f>
        <v/>
      </c>
      <c r="N115" s="8">
        <f>IF(ISNA(MATCH(106,'Transfer Engine'!$C$2:$C$622,0)),"",INDEX('Compliance Database'!$N$2:$N$622,MATCH(106,'Transfer Engine'!$C$2:$C$622,0)))</f>
        <v/>
      </c>
      <c r="O115" s="8">
        <f>IF(ISNA(MATCH(106,'Transfer Engine'!$C$2:$C$622,0)),"",INDEX('Compliance Database'!$O$2:$O$622,MATCH(106,'Transfer Engine'!$C$2:$C$622,0)))</f>
        <v/>
      </c>
    </row>
    <row r="116">
      <c r="A116">
        <f>IF(ISNA(MATCH(107,'Transfer Engine'!$C$2:$C$622,0)),"",INDEX('Compliance Database'!$A$2:$A$622,MATCH(107,'Transfer Engine'!$C$2:$C$622,0)))</f>
        <v/>
      </c>
      <c r="B116">
        <f>IF(ISNA(MATCH(107,'Transfer Engine'!$C$2:$C$622,0)),"",INDEX('Compliance Database'!$B$2:$B$622,MATCH(107,'Transfer Engine'!$C$2:$C$622,0)))</f>
        <v/>
      </c>
      <c r="C116">
        <f>IF(ISNA(MATCH(107,'Transfer Engine'!$C$2:$C$622,0)),"",INDEX('Compliance Database'!$C$2:$C$622,MATCH(107,'Transfer Engine'!$C$2:$C$622,0)))</f>
        <v/>
      </c>
      <c r="D116" s="8">
        <f>IF(ISNA(MATCH(107,'Transfer Engine'!$C$2:$C$622,0)),"",INDEX('Compliance Database'!$D$2:$D$622,MATCH(107,'Transfer Engine'!$C$2:$C$622,0)))</f>
        <v/>
      </c>
      <c r="E116">
        <f>IF(ISNA(MATCH(107,'Transfer Engine'!$C$2:$C$622,0)),"",INDEX('Compliance Database'!$E$2:$E$622,MATCH(107,'Transfer Engine'!$C$2:$C$622,0)))</f>
        <v/>
      </c>
      <c r="F116">
        <f>IF(ISNA(MATCH(107,'Transfer Engine'!$C$2:$C$622,0)),"",INDEX('Compliance Database'!$F$2:$F$622,MATCH(107,'Transfer Engine'!$C$2:$C$622,0)))</f>
        <v/>
      </c>
      <c r="G116">
        <f>IF(ISNA(MATCH(107,'Transfer Engine'!$C$2:$C$622,0)),"",INDEX('Compliance Database'!$G$2:$G$622,MATCH(107,'Transfer Engine'!$C$2:$C$622,0)))</f>
        <v/>
      </c>
      <c r="H116">
        <f>IF(ISNA(MATCH(107,'Transfer Engine'!$C$2:$C$622,0)),"",INDEX('Compliance Database'!$H$2:$H$622,MATCH(107,'Transfer Engine'!$C$2:$C$622,0)))</f>
        <v/>
      </c>
      <c r="I116" s="8">
        <f>IF(ISNA(MATCH(107,'Transfer Engine'!$C$2:$C$622,0)),"",INDEX('Compliance Database'!$I$2:$I$622,MATCH(107,'Transfer Engine'!$C$2:$C$622,0)))</f>
        <v/>
      </c>
      <c r="J116" s="8">
        <f>IF(ISNA(MATCH(107,'Transfer Engine'!$C$2:$C$622,0)),"",INDEX('Compliance Database'!$J$2:$J$622,MATCH(107,'Transfer Engine'!$C$2:$C$622,0)))</f>
        <v/>
      </c>
      <c r="K116">
        <f>IF(ISNA(MATCH(107,'Transfer Engine'!$C$2:$C$622,0)),"",INDEX('Compliance Database'!$K$2:$K$622,MATCH(107,'Transfer Engine'!$C$2:$C$622,0)))</f>
        <v/>
      </c>
      <c r="L116" s="8">
        <f>IF(ISNA(MATCH(107,'Transfer Engine'!$C$2:$C$622,0)),"",INDEX('Compliance Database'!$L$2:$L$622,MATCH(107,'Transfer Engine'!$C$2:$C$622,0)))</f>
        <v/>
      </c>
      <c r="M116" s="8">
        <f>IF(ISNA(MATCH(107,'Transfer Engine'!$C$2:$C$622,0)),"",INDEX('Compliance Database'!$M$2:$M$622,MATCH(107,'Transfer Engine'!$C$2:$C$622,0)))</f>
        <v/>
      </c>
      <c r="N116" s="8">
        <f>IF(ISNA(MATCH(107,'Transfer Engine'!$C$2:$C$622,0)),"",INDEX('Compliance Database'!$N$2:$N$622,MATCH(107,'Transfer Engine'!$C$2:$C$622,0)))</f>
        <v/>
      </c>
      <c r="O116" s="8">
        <f>IF(ISNA(MATCH(107,'Transfer Engine'!$C$2:$C$622,0)),"",INDEX('Compliance Database'!$O$2:$O$622,MATCH(107,'Transfer Engine'!$C$2:$C$622,0)))</f>
        <v/>
      </c>
    </row>
    <row r="117">
      <c r="A117">
        <f>IF(ISNA(MATCH(108,'Transfer Engine'!$C$2:$C$622,0)),"",INDEX('Compliance Database'!$A$2:$A$622,MATCH(108,'Transfer Engine'!$C$2:$C$622,0)))</f>
        <v/>
      </c>
      <c r="B117">
        <f>IF(ISNA(MATCH(108,'Transfer Engine'!$C$2:$C$622,0)),"",INDEX('Compliance Database'!$B$2:$B$622,MATCH(108,'Transfer Engine'!$C$2:$C$622,0)))</f>
        <v/>
      </c>
      <c r="C117">
        <f>IF(ISNA(MATCH(108,'Transfer Engine'!$C$2:$C$622,0)),"",INDEX('Compliance Database'!$C$2:$C$622,MATCH(108,'Transfer Engine'!$C$2:$C$622,0)))</f>
        <v/>
      </c>
      <c r="D117" s="8">
        <f>IF(ISNA(MATCH(108,'Transfer Engine'!$C$2:$C$622,0)),"",INDEX('Compliance Database'!$D$2:$D$622,MATCH(108,'Transfer Engine'!$C$2:$C$622,0)))</f>
        <v/>
      </c>
      <c r="E117">
        <f>IF(ISNA(MATCH(108,'Transfer Engine'!$C$2:$C$622,0)),"",INDEX('Compliance Database'!$E$2:$E$622,MATCH(108,'Transfer Engine'!$C$2:$C$622,0)))</f>
        <v/>
      </c>
      <c r="F117">
        <f>IF(ISNA(MATCH(108,'Transfer Engine'!$C$2:$C$622,0)),"",INDEX('Compliance Database'!$F$2:$F$622,MATCH(108,'Transfer Engine'!$C$2:$C$622,0)))</f>
        <v/>
      </c>
      <c r="G117">
        <f>IF(ISNA(MATCH(108,'Transfer Engine'!$C$2:$C$622,0)),"",INDEX('Compliance Database'!$G$2:$G$622,MATCH(108,'Transfer Engine'!$C$2:$C$622,0)))</f>
        <v/>
      </c>
      <c r="H117">
        <f>IF(ISNA(MATCH(108,'Transfer Engine'!$C$2:$C$622,0)),"",INDEX('Compliance Database'!$H$2:$H$622,MATCH(108,'Transfer Engine'!$C$2:$C$622,0)))</f>
        <v/>
      </c>
      <c r="I117" s="8">
        <f>IF(ISNA(MATCH(108,'Transfer Engine'!$C$2:$C$622,0)),"",INDEX('Compliance Database'!$I$2:$I$622,MATCH(108,'Transfer Engine'!$C$2:$C$622,0)))</f>
        <v/>
      </c>
      <c r="J117" s="8">
        <f>IF(ISNA(MATCH(108,'Transfer Engine'!$C$2:$C$622,0)),"",INDEX('Compliance Database'!$J$2:$J$622,MATCH(108,'Transfer Engine'!$C$2:$C$622,0)))</f>
        <v/>
      </c>
      <c r="K117">
        <f>IF(ISNA(MATCH(108,'Transfer Engine'!$C$2:$C$622,0)),"",INDEX('Compliance Database'!$K$2:$K$622,MATCH(108,'Transfer Engine'!$C$2:$C$622,0)))</f>
        <v/>
      </c>
      <c r="L117" s="8">
        <f>IF(ISNA(MATCH(108,'Transfer Engine'!$C$2:$C$622,0)),"",INDEX('Compliance Database'!$L$2:$L$622,MATCH(108,'Transfer Engine'!$C$2:$C$622,0)))</f>
        <v/>
      </c>
      <c r="M117" s="8">
        <f>IF(ISNA(MATCH(108,'Transfer Engine'!$C$2:$C$622,0)),"",INDEX('Compliance Database'!$M$2:$M$622,MATCH(108,'Transfer Engine'!$C$2:$C$622,0)))</f>
        <v/>
      </c>
      <c r="N117" s="8">
        <f>IF(ISNA(MATCH(108,'Transfer Engine'!$C$2:$C$622,0)),"",INDEX('Compliance Database'!$N$2:$N$622,MATCH(108,'Transfer Engine'!$C$2:$C$622,0)))</f>
        <v/>
      </c>
      <c r="O117" s="8">
        <f>IF(ISNA(MATCH(108,'Transfer Engine'!$C$2:$C$622,0)),"",INDEX('Compliance Database'!$O$2:$O$622,MATCH(108,'Transfer Engine'!$C$2:$C$622,0)))</f>
        <v/>
      </c>
    </row>
    <row r="118">
      <c r="A118">
        <f>IF(ISNA(MATCH(109,'Transfer Engine'!$C$2:$C$622,0)),"",INDEX('Compliance Database'!$A$2:$A$622,MATCH(109,'Transfer Engine'!$C$2:$C$622,0)))</f>
        <v/>
      </c>
      <c r="B118">
        <f>IF(ISNA(MATCH(109,'Transfer Engine'!$C$2:$C$622,0)),"",INDEX('Compliance Database'!$B$2:$B$622,MATCH(109,'Transfer Engine'!$C$2:$C$622,0)))</f>
        <v/>
      </c>
      <c r="C118">
        <f>IF(ISNA(MATCH(109,'Transfer Engine'!$C$2:$C$622,0)),"",INDEX('Compliance Database'!$C$2:$C$622,MATCH(109,'Transfer Engine'!$C$2:$C$622,0)))</f>
        <v/>
      </c>
      <c r="D118" s="8">
        <f>IF(ISNA(MATCH(109,'Transfer Engine'!$C$2:$C$622,0)),"",INDEX('Compliance Database'!$D$2:$D$622,MATCH(109,'Transfer Engine'!$C$2:$C$622,0)))</f>
        <v/>
      </c>
      <c r="E118">
        <f>IF(ISNA(MATCH(109,'Transfer Engine'!$C$2:$C$622,0)),"",INDEX('Compliance Database'!$E$2:$E$622,MATCH(109,'Transfer Engine'!$C$2:$C$622,0)))</f>
        <v/>
      </c>
      <c r="F118">
        <f>IF(ISNA(MATCH(109,'Transfer Engine'!$C$2:$C$622,0)),"",INDEX('Compliance Database'!$F$2:$F$622,MATCH(109,'Transfer Engine'!$C$2:$C$622,0)))</f>
        <v/>
      </c>
      <c r="G118">
        <f>IF(ISNA(MATCH(109,'Transfer Engine'!$C$2:$C$622,0)),"",INDEX('Compliance Database'!$G$2:$G$622,MATCH(109,'Transfer Engine'!$C$2:$C$622,0)))</f>
        <v/>
      </c>
      <c r="H118">
        <f>IF(ISNA(MATCH(109,'Transfer Engine'!$C$2:$C$622,0)),"",INDEX('Compliance Database'!$H$2:$H$622,MATCH(109,'Transfer Engine'!$C$2:$C$622,0)))</f>
        <v/>
      </c>
      <c r="I118" s="8">
        <f>IF(ISNA(MATCH(109,'Transfer Engine'!$C$2:$C$622,0)),"",INDEX('Compliance Database'!$I$2:$I$622,MATCH(109,'Transfer Engine'!$C$2:$C$622,0)))</f>
        <v/>
      </c>
      <c r="J118" s="8">
        <f>IF(ISNA(MATCH(109,'Transfer Engine'!$C$2:$C$622,0)),"",INDEX('Compliance Database'!$J$2:$J$622,MATCH(109,'Transfer Engine'!$C$2:$C$622,0)))</f>
        <v/>
      </c>
      <c r="K118">
        <f>IF(ISNA(MATCH(109,'Transfer Engine'!$C$2:$C$622,0)),"",INDEX('Compliance Database'!$K$2:$K$622,MATCH(109,'Transfer Engine'!$C$2:$C$622,0)))</f>
        <v/>
      </c>
      <c r="L118" s="8">
        <f>IF(ISNA(MATCH(109,'Transfer Engine'!$C$2:$C$622,0)),"",INDEX('Compliance Database'!$L$2:$L$622,MATCH(109,'Transfer Engine'!$C$2:$C$622,0)))</f>
        <v/>
      </c>
      <c r="M118" s="8">
        <f>IF(ISNA(MATCH(109,'Transfer Engine'!$C$2:$C$622,0)),"",INDEX('Compliance Database'!$M$2:$M$622,MATCH(109,'Transfer Engine'!$C$2:$C$622,0)))</f>
        <v/>
      </c>
      <c r="N118" s="8">
        <f>IF(ISNA(MATCH(109,'Transfer Engine'!$C$2:$C$622,0)),"",INDEX('Compliance Database'!$N$2:$N$622,MATCH(109,'Transfer Engine'!$C$2:$C$622,0)))</f>
        <v/>
      </c>
      <c r="O118" s="8">
        <f>IF(ISNA(MATCH(109,'Transfer Engine'!$C$2:$C$622,0)),"",INDEX('Compliance Database'!$O$2:$O$622,MATCH(109,'Transfer Engine'!$C$2:$C$622,0)))</f>
        <v/>
      </c>
    </row>
    <row r="119">
      <c r="A119">
        <f>IF(ISNA(MATCH(110,'Transfer Engine'!$C$2:$C$622,0)),"",INDEX('Compliance Database'!$A$2:$A$622,MATCH(110,'Transfer Engine'!$C$2:$C$622,0)))</f>
        <v/>
      </c>
      <c r="B119">
        <f>IF(ISNA(MATCH(110,'Transfer Engine'!$C$2:$C$622,0)),"",INDEX('Compliance Database'!$B$2:$B$622,MATCH(110,'Transfer Engine'!$C$2:$C$622,0)))</f>
        <v/>
      </c>
      <c r="C119">
        <f>IF(ISNA(MATCH(110,'Transfer Engine'!$C$2:$C$622,0)),"",INDEX('Compliance Database'!$C$2:$C$622,MATCH(110,'Transfer Engine'!$C$2:$C$622,0)))</f>
        <v/>
      </c>
      <c r="D119" s="8">
        <f>IF(ISNA(MATCH(110,'Transfer Engine'!$C$2:$C$622,0)),"",INDEX('Compliance Database'!$D$2:$D$622,MATCH(110,'Transfer Engine'!$C$2:$C$622,0)))</f>
        <v/>
      </c>
      <c r="E119">
        <f>IF(ISNA(MATCH(110,'Transfer Engine'!$C$2:$C$622,0)),"",INDEX('Compliance Database'!$E$2:$E$622,MATCH(110,'Transfer Engine'!$C$2:$C$622,0)))</f>
        <v/>
      </c>
      <c r="F119">
        <f>IF(ISNA(MATCH(110,'Transfer Engine'!$C$2:$C$622,0)),"",INDEX('Compliance Database'!$F$2:$F$622,MATCH(110,'Transfer Engine'!$C$2:$C$622,0)))</f>
        <v/>
      </c>
      <c r="G119">
        <f>IF(ISNA(MATCH(110,'Transfer Engine'!$C$2:$C$622,0)),"",INDEX('Compliance Database'!$G$2:$G$622,MATCH(110,'Transfer Engine'!$C$2:$C$622,0)))</f>
        <v/>
      </c>
      <c r="H119">
        <f>IF(ISNA(MATCH(110,'Transfer Engine'!$C$2:$C$622,0)),"",INDEX('Compliance Database'!$H$2:$H$622,MATCH(110,'Transfer Engine'!$C$2:$C$622,0)))</f>
        <v/>
      </c>
      <c r="I119" s="8">
        <f>IF(ISNA(MATCH(110,'Transfer Engine'!$C$2:$C$622,0)),"",INDEX('Compliance Database'!$I$2:$I$622,MATCH(110,'Transfer Engine'!$C$2:$C$622,0)))</f>
        <v/>
      </c>
      <c r="J119" s="8">
        <f>IF(ISNA(MATCH(110,'Transfer Engine'!$C$2:$C$622,0)),"",INDEX('Compliance Database'!$J$2:$J$622,MATCH(110,'Transfer Engine'!$C$2:$C$622,0)))</f>
        <v/>
      </c>
      <c r="K119">
        <f>IF(ISNA(MATCH(110,'Transfer Engine'!$C$2:$C$622,0)),"",INDEX('Compliance Database'!$K$2:$K$622,MATCH(110,'Transfer Engine'!$C$2:$C$622,0)))</f>
        <v/>
      </c>
      <c r="L119" s="8">
        <f>IF(ISNA(MATCH(110,'Transfer Engine'!$C$2:$C$622,0)),"",INDEX('Compliance Database'!$L$2:$L$622,MATCH(110,'Transfer Engine'!$C$2:$C$622,0)))</f>
        <v/>
      </c>
      <c r="M119" s="8">
        <f>IF(ISNA(MATCH(110,'Transfer Engine'!$C$2:$C$622,0)),"",INDEX('Compliance Database'!$M$2:$M$622,MATCH(110,'Transfer Engine'!$C$2:$C$622,0)))</f>
        <v/>
      </c>
      <c r="N119" s="8">
        <f>IF(ISNA(MATCH(110,'Transfer Engine'!$C$2:$C$622,0)),"",INDEX('Compliance Database'!$N$2:$N$622,MATCH(110,'Transfer Engine'!$C$2:$C$622,0)))</f>
        <v/>
      </c>
      <c r="O119" s="8">
        <f>IF(ISNA(MATCH(110,'Transfer Engine'!$C$2:$C$622,0)),"",INDEX('Compliance Database'!$O$2:$O$622,MATCH(110,'Transfer Engine'!$C$2:$C$622,0)))</f>
        <v/>
      </c>
    </row>
    <row r="120">
      <c r="A120">
        <f>IF(ISNA(MATCH(111,'Transfer Engine'!$C$2:$C$622,0)),"",INDEX('Compliance Database'!$A$2:$A$622,MATCH(111,'Transfer Engine'!$C$2:$C$622,0)))</f>
        <v/>
      </c>
      <c r="B120">
        <f>IF(ISNA(MATCH(111,'Transfer Engine'!$C$2:$C$622,0)),"",INDEX('Compliance Database'!$B$2:$B$622,MATCH(111,'Transfer Engine'!$C$2:$C$622,0)))</f>
        <v/>
      </c>
      <c r="C120">
        <f>IF(ISNA(MATCH(111,'Transfer Engine'!$C$2:$C$622,0)),"",INDEX('Compliance Database'!$C$2:$C$622,MATCH(111,'Transfer Engine'!$C$2:$C$622,0)))</f>
        <v/>
      </c>
      <c r="D120" s="8">
        <f>IF(ISNA(MATCH(111,'Transfer Engine'!$C$2:$C$622,0)),"",INDEX('Compliance Database'!$D$2:$D$622,MATCH(111,'Transfer Engine'!$C$2:$C$622,0)))</f>
        <v/>
      </c>
      <c r="E120">
        <f>IF(ISNA(MATCH(111,'Transfer Engine'!$C$2:$C$622,0)),"",INDEX('Compliance Database'!$E$2:$E$622,MATCH(111,'Transfer Engine'!$C$2:$C$622,0)))</f>
        <v/>
      </c>
      <c r="F120">
        <f>IF(ISNA(MATCH(111,'Transfer Engine'!$C$2:$C$622,0)),"",INDEX('Compliance Database'!$F$2:$F$622,MATCH(111,'Transfer Engine'!$C$2:$C$622,0)))</f>
        <v/>
      </c>
      <c r="G120">
        <f>IF(ISNA(MATCH(111,'Transfer Engine'!$C$2:$C$622,0)),"",INDEX('Compliance Database'!$G$2:$G$622,MATCH(111,'Transfer Engine'!$C$2:$C$622,0)))</f>
        <v/>
      </c>
      <c r="H120">
        <f>IF(ISNA(MATCH(111,'Transfer Engine'!$C$2:$C$622,0)),"",INDEX('Compliance Database'!$H$2:$H$622,MATCH(111,'Transfer Engine'!$C$2:$C$622,0)))</f>
        <v/>
      </c>
      <c r="I120" s="8">
        <f>IF(ISNA(MATCH(111,'Transfer Engine'!$C$2:$C$622,0)),"",INDEX('Compliance Database'!$I$2:$I$622,MATCH(111,'Transfer Engine'!$C$2:$C$622,0)))</f>
        <v/>
      </c>
      <c r="J120" s="8">
        <f>IF(ISNA(MATCH(111,'Transfer Engine'!$C$2:$C$622,0)),"",INDEX('Compliance Database'!$J$2:$J$622,MATCH(111,'Transfer Engine'!$C$2:$C$622,0)))</f>
        <v/>
      </c>
      <c r="K120">
        <f>IF(ISNA(MATCH(111,'Transfer Engine'!$C$2:$C$622,0)),"",INDEX('Compliance Database'!$K$2:$K$622,MATCH(111,'Transfer Engine'!$C$2:$C$622,0)))</f>
        <v/>
      </c>
      <c r="L120" s="8">
        <f>IF(ISNA(MATCH(111,'Transfer Engine'!$C$2:$C$622,0)),"",INDEX('Compliance Database'!$L$2:$L$622,MATCH(111,'Transfer Engine'!$C$2:$C$622,0)))</f>
        <v/>
      </c>
      <c r="M120" s="8">
        <f>IF(ISNA(MATCH(111,'Transfer Engine'!$C$2:$C$622,0)),"",INDEX('Compliance Database'!$M$2:$M$622,MATCH(111,'Transfer Engine'!$C$2:$C$622,0)))</f>
        <v/>
      </c>
      <c r="N120" s="8">
        <f>IF(ISNA(MATCH(111,'Transfer Engine'!$C$2:$C$622,0)),"",INDEX('Compliance Database'!$N$2:$N$622,MATCH(111,'Transfer Engine'!$C$2:$C$622,0)))</f>
        <v/>
      </c>
      <c r="O120" s="8">
        <f>IF(ISNA(MATCH(111,'Transfer Engine'!$C$2:$C$622,0)),"",INDEX('Compliance Database'!$O$2:$O$622,MATCH(111,'Transfer Engine'!$C$2:$C$622,0)))</f>
        <v/>
      </c>
    </row>
    <row r="121">
      <c r="A121">
        <f>IF(ISNA(MATCH(112,'Transfer Engine'!$C$2:$C$622,0)),"",INDEX('Compliance Database'!$A$2:$A$622,MATCH(112,'Transfer Engine'!$C$2:$C$622,0)))</f>
        <v/>
      </c>
      <c r="B121">
        <f>IF(ISNA(MATCH(112,'Transfer Engine'!$C$2:$C$622,0)),"",INDEX('Compliance Database'!$B$2:$B$622,MATCH(112,'Transfer Engine'!$C$2:$C$622,0)))</f>
        <v/>
      </c>
      <c r="C121">
        <f>IF(ISNA(MATCH(112,'Transfer Engine'!$C$2:$C$622,0)),"",INDEX('Compliance Database'!$C$2:$C$622,MATCH(112,'Transfer Engine'!$C$2:$C$622,0)))</f>
        <v/>
      </c>
      <c r="D121" s="8">
        <f>IF(ISNA(MATCH(112,'Transfer Engine'!$C$2:$C$622,0)),"",INDEX('Compliance Database'!$D$2:$D$622,MATCH(112,'Transfer Engine'!$C$2:$C$622,0)))</f>
        <v/>
      </c>
      <c r="E121">
        <f>IF(ISNA(MATCH(112,'Transfer Engine'!$C$2:$C$622,0)),"",INDEX('Compliance Database'!$E$2:$E$622,MATCH(112,'Transfer Engine'!$C$2:$C$622,0)))</f>
        <v/>
      </c>
      <c r="F121">
        <f>IF(ISNA(MATCH(112,'Transfer Engine'!$C$2:$C$622,0)),"",INDEX('Compliance Database'!$F$2:$F$622,MATCH(112,'Transfer Engine'!$C$2:$C$622,0)))</f>
        <v/>
      </c>
      <c r="G121">
        <f>IF(ISNA(MATCH(112,'Transfer Engine'!$C$2:$C$622,0)),"",INDEX('Compliance Database'!$G$2:$G$622,MATCH(112,'Transfer Engine'!$C$2:$C$622,0)))</f>
        <v/>
      </c>
      <c r="H121">
        <f>IF(ISNA(MATCH(112,'Transfer Engine'!$C$2:$C$622,0)),"",INDEX('Compliance Database'!$H$2:$H$622,MATCH(112,'Transfer Engine'!$C$2:$C$622,0)))</f>
        <v/>
      </c>
      <c r="I121" s="8">
        <f>IF(ISNA(MATCH(112,'Transfer Engine'!$C$2:$C$622,0)),"",INDEX('Compliance Database'!$I$2:$I$622,MATCH(112,'Transfer Engine'!$C$2:$C$622,0)))</f>
        <v/>
      </c>
      <c r="J121" s="8">
        <f>IF(ISNA(MATCH(112,'Transfer Engine'!$C$2:$C$622,0)),"",INDEX('Compliance Database'!$J$2:$J$622,MATCH(112,'Transfer Engine'!$C$2:$C$622,0)))</f>
        <v/>
      </c>
      <c r="K121">
        <f>IF(ISNA(MATCH(112,'Transfer Engine'!$C$2:$C$622,0)),"",INDEX('Compliance Database'!$K$2:$K$622,MATCH(112,'Transfer Engine'!$C$2:$C$622,0)))</f>
        <v/>
      </c>
      <c r="L121" s="8">
        <f>IF(ISNA(MATCH(112,'Transfer Engine'!$C$2:$C$622,0)),"",INDEX('Compliance Database'!$L$2:$L$622,MATCH(112,'Transfer Engine'!$C$2:$C$622,0)))</f>
        <v/>
      </c>
      <c r="M121" s="8">
        <f>IF(ISNA(MATCH(112,'Transfer Engine'!$C$2:$C$622,0)),"",INDEX('Compliance Database'!$M$2:$M$622,MATCH(112,'Transfer Engine'!$C$2:$C$622,0)))</f>
        <v/>
      </c>
      <c r="N121" s="8">
        <f>IF(ISNA(MATCH(112,'Transfer Engine'!$C$2:$C$622,0)),"",INDEX('Compliance Database'!$N$2:$N$622,MATCH(112,'Transfer Engine'!$C$2:$C$622,0)))</f>
        <v/>
      </c>
      <c r="O121" s="8">
        <f>IF(ISNA(MATCH(112,'Transfer Engine'!$C$2:$C$622,0)),"",INDEX('Compliance Database'!$O$2:$O$622,MATCH(112,'Transfer Engine'!$C$2:$C$622,0)))</f>
        <v/>
      </c>
    </row>
    <row r="122">
      <c r="A122">
        <f>IF(ISNA(MATCH(113,'Transfer Engine'!$C$2:$C$622,0)),"",INDEX('Compliance Database'!$A$2:$A$622,MATCH(113,'Transfer Engine'!$C$2:$C$622,0)))</f>
        <v/>
      </c>
      <c r="B122">
        <f>IF(ISNA(MATCH(113,'Transfer Engine'!$C$2:$C$622,0)),"",INDEX('Compliance Database'!$B$2:$B$622,MATCH(113,'Transfer Engine'!$C$2:$C$622,0)))</f>
        <v/>
      </c>
      <c r="C122">
        <f>IF(ISNA(MATCH(113,'Transfer Engine'!$C$2:$C$622,0)),"",INDEX('Compliance Database'!$C$2:$C$622,MATCH(113,'Transfer Engine'!$C$2:$C$622,0)))</f>
        <v/>
      </c>
      <c r="D122" s="8">
        <f>IF(ISNA(MATCH(113,'Transfer Engine'!$C$2:$C$622,0)),"",INDEX('Compliance Database'!$D$2:$D$622,MATCH(113,'Transfer Engine'!$C$2:$C$622,0)))</f>
        <v/>
      </c>
      <c r="E122">
        <f>IF(ISNA(MATCH(113,'Transfer Engine'!$C$2:$C$622,0)),"",INDEX('Compliance Database'!$E$2:$E$622,MATCH(113,'Transfer Engine'!$C$2:$C$622,0)))</f>
        <v/>
      </c>
      <c r="F122">
        <f>IF(ISNA(MATCH(113,'Transfer Engine'!$C$2:$C$622,0)),"",INDEX('Compliance Database'!$F$2:$F$622,MATCH(113,'Transfer Engine'!$C$2:$C$622,0)))</f>
        <v/>
      </c>
      <c r="G122">
        <f>IF(ISNA(MATCH(113,'Transfer Engine'!$C$2:$C$622,0)),"",INDEX('Compliance Database'!$G$2:$G$622,MATCH(113,'Transfer Engine'!$C$2:$C$622,0)))</f>
        <v/>
      </c>
      <c r="H122">
        <f>IF(ISNA(MATCH(113,'Transfer Engine'!$C$2:$C$622,0)),"",INDEX('Compliance Database'!$H$2:$H$622,MATCH(113,'Transfer Engine'!$C$2:$C$622,0)))</f>
        <v/>
      </c>
      <c r="I122" s="8">
        <f>IF(ISNA(MATCH(113,'Transfer Engine'!$C$2:$C$622,0)),"",INDEX('Compliance Database'!$I$2:$I$622,MATCH(113,'Transfer Engine'!$C$2:$C$622,0)))</f>
        <v/>
      </c>
      <c r="J122" s="8">
        <f>IF(ISNA(MATCH(113,'Transfer Engine'!$C$2:$C$622,0)),"",INDEX('Compliance Database'!$J$2:$J$622,MATCH(113,'Transfer Engine'!$C$2:$C$622,0)))</f>
        <v/>
      </c>
      <c r="K122">
        <f>IF(ISNA(MATCH(113,'Transfer Engine'!$C$2:$C$622,0)),"",INDEX('Compliance Database'!$K$2:$K$622,MATCH(113,'Transfer Engine'!$C$2:$C$622,0)))</f>
        <v/>
      </c>
      <c r="L122" s="8">
        <f>IF(ISNA(MATCH(113,'Transfer Engine'!$C$2:$C$622,0)),"",INDEX('Compliance Database'!$L$2:$L$622,MATCH(113,'Transfer Engine'!$C$2:$C$622,0)))</f>
        <v/>
      </c>
      <c r="M122" s="8">
        <f>IF(ISNA(MATCH(113,'Transfer Engine'!$C$2:$C$622,0)),"",INDEX('Compliance Database'!$M$2:$M$622,MATCH(113,'Transfer Engine'!$C$2:$C$622,0)))</f>
        <v/>
      </c>
      <c r="N122" s="8">
        <f>IF(ISNA(MATCH(113,'Transfer Engine'!$C$2:$C$622,0)),"",INDEX('Compliance Database'!$N$2:$N$622,MATCH(113,'Transfer Engine'!$C$2:$C$622,0)))</f>
        <v/>
      </c>
      <c r="O122" s="8">
        <f>IF(ISNA(MATCH(113,'Transfer Engine'!$C$2:$C$622,0)),"",INDEX('Compliance Database'!$O$2:$O$622,MATCH(113,'Transfer Engine'!$C$2:$C$622,0)))</f>
        <v/>
      </c>
    </row>
    <row r="123">
      <c r="A123">
        <f>IF(ISNA(MATCH(114,'Transfer Engine'!$C$2:$C$622,0)),"",INDEX('Compliance Database'!$A$2:$A$622,MATCH(114,'Transfer Engine'!$C$2:$C$622,0)))</f>
        <v/>
      </c>
      <c r="B123">
        <f>IF(ISNA(MATCH(114,'Transfer Engine'!$C$2:$C$622,0)),"",INDEX('Compliance Database'!$B$2:$B$622,MATCH(114,'Transfer Engine'!$C$2:$C$622,0)))</f>
        <v/>
      </c>
      <c r="C123">
        <f>IF(ISNA(MATCH(114,'Transfer Engine'!$C$2:$C$622,0)),"",INDEX('Compliance Database'!$C$2:$C$622,MATCH(114,'Transfer Engine'!$C$2:$C$622,0)))</f>
        <v/>
      </c>
      <c r="D123" s="8">
        <f>IF(ISNA(MATCH(114,'Transfer Engine'!$C$2:$C$622,0)),"",INDEX('Compliance Database'!$D$2:$D$622,MATCH(114,'Transfer Engine'!$C$2:$C$622,0)))</f>
        <v/>
      </c>
      <c r="E123">
        <f>IF(ISNA(MATCH(114,'Transfer Engine'!$C$2:$C$622,0)),"",INDEX('Compliance Database'!$E$2:$E$622,MATCH(114,'Transfer Engine'!$C$2:$C$622,0)))</f>
        <v/>
      </c>
      <c r="F123">
        <f>IF(ISNA(MATCH(114,'Transfer Engine'!$C$2:$C$622,0)),"",INDEX('Compliance Database'!$F$2:$F$622,MATCH(114,'Transfer Engine'!$C$2:$C$622,0)))</f>
        <v/>
      </c>
      <c r="G123">
        <f>IF(ISNA(MATCH(114,'Transfer Engine'!$C$2:$C$622,0)),"",INDEX('Compliance Database'!$G$2:$G$622,MATCH(114,'Transfer Engine'!$C$2:$C$622,0)))</f>
        <v/>
      </c>
      <c r="H123">
        <f>IF(ISNA(MATCH(114,'Transfer Engine'!$C$2:$C$622,0)),"",INDEX('Compliance Database'!$H$2:$H$622,MATCH(114,'Transfer Engine'!$C$2:$C$622,0)))</f>
        <v/>
      </c>
      <c r="I123" s="8">
        <f>IF(ISNA(MATCH(114,'Transfer Engine'!$C$2:$C$622,0)),"",INDEX('Compliance Database'!$I$2:$I$622,MATCH(114,'Transfer Engine'!$C$2:$C$622,0)))</f>
        <v/>
      </c>
      <c r="J123" s="8">
        <f>IF(ISNA(MATCH(114,'Transfer Engine'!$C$2:$C$622,0)),"",INDEX('Compliance Database'!$J$2:$J$622,MATCH(114,'Transfer Engine'!$C$2:$C$622,0)))</f>
        <v/>
      </c>
      <c r="K123">
        <f>IF(ISNA(MATCH(114,'Transfer Engine'!$C$2:$C$622,0)),"",INDEX('Compliance Database'!$K$2:$K$622,MATCH(114,'Transfer Engine'!$C$2:$C$622,0)))</f>
        <v/>
      </c>
      <c r="L123" s="8">
        <f>IF(ISNA(MATCH(114,'Transfer Engine'!$C$2:$C$622,0)),"",INDEX('Compliance Database'!$L$2:$L$622,MATCH(114,'Transfer Engine'!$C$2:$C$622,0)))</f>
        <v/>
      </c>
      <c r="M123" s="8">
        <f>IF(ISNA(MATCH(114,'Transfer Engine'!$C$2:$C$622,0)),"",INDEX('Compliance Database'!$M$2:$M$622,MATCH(114,'Transfer Engine'!$C$2:$C$622,0)))</f>
        <v/>
      </c>
      <c r="N123" s="8">
        <f>IF(ISNA(MATCH(114,'Transfer Engine'!$C$2:$C$622,0)),"",INDEX('Compliance Database'!$N$2:$N$622,MATCH(114,'Transfer Engine'!$C$2:$C$622,0)))</f>
        <v/>
      </c>
      <c r="O123" s="8">
        <f>IF(ISNA(MATCH(114,'Transfer Engine'!$C$2:$C$622,0)),"",INDEX('Compliance Database'!$O$2:$O$622,MATCH(114,'Transfer Engine'!$C$2:$C$622,0)))</f>
        <v/>
      </c>
    </row>
    <row r="124">
      <c r="A124">
        <f>IF(ISNA(MATCH(115,'Transfer Engine'!$C$2:$C$622,0)),"",INDEX('Compliance Database'!$A$2:$A$622,MATCH(115,'Transfer Engine'!$C$2:$C$622,0)))</f>
        <v/>
      </c>
      <c r="B124">
        <f>IF(ISNA(MATCH(115,'Transfer Engine'!$C$2:$C$622,0)),"",INDEX('Compliance Database'!$B$2:$B$622,MATCH(115,'Transfer Engine'!$C$2:$C$622,0)))</f>
        <v/>
      </c>
      <c r="C124">
        <f>IF(ISNA(MATCH(115,'Transfer Engine'!$C$2:$C$622,0)),"",INDEX('Compliance Database'!$C$2:$C$622,MATCH(115,'Transfer Engine'!$C$2:$C$622,0)))</f>
        <v/>
      </c>
      <c r="D124" s="8">
        <f>IF(ISNA(MATCH(115,'Transfer Engine'!$C$2:$C$622,0)),"",INDEX('Compliance Database'!$D$2:$D$622,MATCH(115,'Transfer Engine'!$C$2:$C$622,0)))</f>
        <v/>
      </c>
      <c r="E124">
        <f>IF(ISNA(MATCH(115,'Transfer Engine'!$C$2:$C$622,0)),"",INDEX('Compliance Database'!$E$2:$E$622,MATCH(115,'Transfer Engine'!$C$2:$C$622,0)))</f>
        <v/>
      </c>
      <c r="F124">
        <f>IF(ISNA(MATCH(115,'Transfer Engine'!$C$2:$C$622,0)),"",INDEX('Compliance Database'!$F$2:$F$622,MATCH(115,'Transfer Engine'!$C$2:$C$622,0)))</f>
        <v/>
      </c>
      <c r="G124">
        <f>IF(ISNA(MATCH(115,'Transfer Engine'!$C$2:$C$622,0)),"",INDEX('Compliance Database'!$G$2:$G$622,MATCH(115,'Transfer Engine'!$C$2:$C$622,0)))</f>
        <v/>
      </c>
      <c r="H124">
        <f>IF(ISNA(MATCH(115,'Transfer Engine'!$C$2:$C$622,0)),"",INDEX('Compliance Database'!$H$2:$H$622,MATCH(115,'Transfer Engine'!$C$2:$C$622,0)))</f>
        <v/>
      </c>
      <c r="I124" s="8">
        <f>IF(ISNA(MATCH(115,'Transfer Engine'!$C$2:$C$622,0)),"",INDEX('Compliance Database'!$I$2:$I$622,MATCH(115,'Transfer Engine'!$C$2:$C$622,0)))</f>
        <v/>
      </c>
      <c r="J124" s="8">
        <f>IF(ISNA(MATCH(115,'Transfer Engine'!$C$2:$C$622,0)),"",INDEX('Compliance Database'!$J$2:$J$622,MATCH(115,'Transfer Engine'!$C$2:$C$622,0)))</f>
        <v/>
      </c>
      <c r="K124">
        <f>IF(ISNA(MATCH(115,'Transfer Engine'!$C$2:$C$622,0)),"",INDEX('Compliance Database'!$K$2:$K$622,MATCH(115,'Transfer Engine'!$C$2:$C$622,0)))</f>
        <v/>
      </c>
      <c r="L124" s="8">
        <f>IF(ISNA(MATCH(115,'Transfer Engine'!$C$2:$C$622,0)),"",INDEX('Compliance Database'!$L$2:$L$622,MATCH(115,'Transfer Engine'!$C$2:$C$622,0)))</f>
        <v/>
      </c>
      <c r="M124" s="8">
        <f>IF(ISNA(MATCH(115,'Transfer Engine'!$C$2:$C$622,0)),"",INDEX('Compliance Database'!$M$2:$M$622,MATCH(115,'Transfer Engine'!$C$2:$C$622,0)))</f>
        <v/>
      </c>
      <c r="N124" s="8">
        <f>IF(ISNA(MATCH(115,'Transfer Engine'!$C$2:$C$622,0)),"",INDEX('Compliance Database'!$N$2:$N$622,MATCH(115,'Transfer Engine'!$C$2:$C$622,0)))</f>
        <v/>
      </c>
      <c r="O124" s="8">
        <f>IF(ISNA(MATCH(115,'Transfer Engine'!$C$2:$C$622,0)),"",INDEX('Compliance Database'!$O$2:$O$622,MATCH(115,'Transfer Engine'!$C$2:$C$622,0)))</f>
        <v/>
      </c>
    </row>
    <row r="125">
      <c r="A125">
        <f>IF(ISNA(MATCH(116,'Transfer Engine'!$C$2:$C$622,0)),"",INDEX('Compliance Database'!$A$2:$A$622,MATCH(116,'Transfer Engine'!$C$2:$C$622,0)))</f>
        <v/>
      </c>
      <c r="B125">
        <f>IF(ISNA(MATCH(116,'Transfer Engine'!$C$2:$C$622,0)),"",INDEX('Compliance Database'!$B$2:$B$622,MATCH(116,'Transfer Engine'!$C$2:$C$622,0)))</f>
        <v/>
      </c>
      <c r="C125">
        <f>IF(ISNA(MATCH(116,'Transfer Engine'!$C$2:$C$622,0)),"",INDEX('Compliance Database'!$C$2:$C$622,MATCH(116,'Transfer Engine'!$C$2:$C$622,0)))</f>
        <v/>
      </c>
      <c r="D125" s="8">
        <f>IF(ISNA(MATCH(116,'Transfer Engine'!$C$2:$C$622,0)),"",INDEX('Compliance Database'!$D$2:$D$622,MATCH(116,'Transfer Engine'!$C$2:$C$622,0)))</f>
        <v/>
      </c>
      <c r="E125">
        <f>IF(ISNA(MATCH(116,'Transfer Engine'!$C$2:$C$622,0)),"",INDEX('Compliance Database'!$E$2:$E$622,MATCH(116,'Transfer Engine'!$C$2:$C$622,0)))</f>
        <v/>
      </c>
      <c r="F125">
        <f>IF(ISNA(MATCH(116,'Transfer Engine'!$C$2:$C$622,0)),"",INDEX('Compliance Database'!$F$2:$F$622,MATCH(116,'Transfer Engine'!$C$2:$C$622,0)))</f>
        <v/>
      </c>
      <c r="G125">
        <f>IF(ISNA(MATCH(116,'Transfer Engine'!$C$2:$C$622,0)),"",INDEX('Compliance Database'!$G$2:$G$622,MATCH(116,'Transfer Engine'!$C$2:$C$622,0)))</f>
        <v/>
      </c>
      <c r="H125">
        <f>IF(ISNA(MATCH(116,'Transfer Engine'!$C$2:$C$622,0)),"",INDEX('Compliance Database'!$H$2:$H$622,MATCH(116,'Transfer Engine'!$C$2:$C$622,0)))</f>
        <v/>
      </c>
      <c r="I125" s="8">
        <f>IF(ISNA(MATCH(116,'Transfer Engine'!$C$2:$C$622,0)),"",INDEX('Compliance Database'!$I$2:$I$622,MATCH(116,'Transfer Engine'!$C$2:$C$622,0)))</f>
        <v/>
      </c>
      <c r="J125" s="8">
        <f>IF(ISNA(MATCH(116,'Transfer Engine'!$C$2:$C$622,0)),"",INDEX('Compliance Database'!$J$2:$J$622,MATCH(116,'Transfer Engine'!$C$2:$C$622,0)))</f>
        <v/>
      </c>
      <c r="K125">
        <f>IF(ISNA(MATCH(116,'Transfer Engine'!$C$2:$C$622,0)),"",INDEX('Compliance Database'!$K$2:$K$622,MATCH(116,'Transfer Engine'!$C$2:$C$622,0)))</f>
        <v/>
      </c>
      <c r="L125" s="8">
        <f>IF(ISNA(MATCH(116,'Transfer Engine'!$C$2:$C$622,0)),"",INDEX('Compliance Database'!$L$2:$L$622,MATCH(116,'Transfer Engine'!$C$2:$C$622,0)))</f>
        <v/>
      </c>
      <c r="M125" s="8">
        <f>IF(ISNA(MATCH(116,'Transfer Engine'!$C$2:$C$622,0)),"",INDEX('Compliance Database'!$M$2:$M$622,MATCH(116,'Transfer Engine'!$C$2:$C$622,0)))</f>
        <v/>
      </c>
      <c r="N125" s="8">
        <f>IF(ISNA(MATCH(116,'Transfer Engine'!$C$2:$C$622,0)),"",INDEX('Compliance Database'!$N$2:$N$622,MATCH(116,'Transfer Engine'!$C$2:$C$622,0)))</f>
        <v/>
      </c>
      <c r="O125" s="8">
        <f>IF(ISNA(MATCH(116,'Transfer Engine'!$C$2:$C$622,0)),"",INDEX('Compliance Database'!$O$2:$O$622,MATCH(116,'Transfer Engine'!$C$2:$C$622,0)))</f>
        <v/>
      </c>
    </row>
    <row r="126">
      <c r="A126">
        <f>IF(ISNA(MATCH(117,'Transfer Engine'!$C$2:$C$622,0)),"",INDEX('Compliance Database'!$A$2:$A$622,MATCH(117,'Transfer Engine'!$C$2:$C$622,0)))</f>
        <v/>
      </c>
      <c r="B126">
        <f>IF(ISNA(MATCH(117,'Transfer Engine'!$C$2:$C$622,0)),"",INDEX('Compliance Database'!$B$2:$B$622,MATCH(117,'Transfer Engine'!$C$2:$C$622,0)))</f>
        <v/>
      </c>
      <c r="C126">
        <f>IF(ISNA(MATCH(117,'Transfer Engine'!$C$2:$C$622,0)),"",INDEX('Compliance Database'!$C$2:$C$622,MATCH(117,'Transfer Engine'!$C$2:$C$622,0)))</f>
        <v/>
      </c>
      <c r="D126" s="8">
        <f>IF(ISNA(MATCH(117,'Transfer Engine'!$C$2:$C$622,0)),"",INDEX('Compliance Database'!$D$2:$D$622,MATCH(117,'Transfer Engine'!$C$2:$C$622,0)))</f>
        <v/>
      </c>
      <c r="E126">
        <f>IF(ISNA(MATCH(117,'Transfer Engine'!$C$2:$C$622,0)),"",INDEX('Compliance Database'!$E$2:$E$622,MATCH(117,'Transfer Engine'!$C$2:$C$622,0)))</f>
        <v/>
      </c>
      <c r="F126">
        <f>IF(ISNA(MATCH(117,'Transfer Engine'!$C$2:$C$622,0)),"",INDEX('Compliance Database'!$F$2:$F$622,MATCH(117,'Transfer Engine'!$C$2:$C$622,0)))</f>
        <v/>
      </c>
      <c r="G126">
        <f>IF(ISNA(MATCH(117,'Transfer Engine'!$C$2:$C$622,0)),"",INDEX('Compliance Database'!$G$2:$G$622,MATCH(117,'Transfer Engine'!$C$2:$C$622,0)))</f>
        <v/>
      </c>
      <c r="H126">
        <f>IF(ISNA(MATCH(117,'Transfer Engine'!$C$2:$C$622,0)),"",INDEX('Compliance Database'!$H$2:$H$622,MATCH(117,'Transfer Engine'!$C$2:$C$622,0)))</f>
        <v/>
      </c>
      <c r="I126" s="8">
        <f>IF(ISNA(MATCH(117,'Transfer Engine'!$C$2:$C$622,0)),"",INDEX('Compliance Database'!$I$2:$I$622,MATCH(117,'Transfer Engine'!$C$2:$C$622,0)))</f>
        <v/>
      </c>
      <c r="J126" s="8">
        <f>IF(ISNA(MATCH(117,'Transfer Engine'!$C$2:$C$622,0)),"",INDEX('Compliance Database'!$J$2:$J$622,MATCH(117,'Transfer Engine'!$C$2:$C$622,0)))</f>
        <v/>
      </c>
      <c r="K126">
        <f>IF(ISNA(MATCH(117,'Transfer Engine'!$C$2:$C$622,0)),"",INDEX('Compliance Database'!$K$2:$K$622,MATCH(117,'Transfer Engine'!$C$2:$C$622,0)))</f>
        <v/>
      </c>
      <c r="L126" s="8">
        <f>IF(ISNA(MATCH(117,'Transfer Engine'!$C$2:$C$622,0)),"",INDEX('Compliance Database'!$L$2:$L$622,MATCH(117,'Transfer Engine'!$C$2:$C$622,0)))</f>
        <v/>
      </c>
      <c r="M126" s="8">
        <f>IF(ISNA(MATCH(117,'Transfer Engine'!$C$2:$C$622,0)),"",INDEX('Compliance Database'!$M$2:$M$622,MATCH(117,'Transfer Engine'!$C$2:$C$622,0)))</f>
        <v/>
      </c>
      <c r="N126" s="8">
        <f>IF(ISNA(MATCH(117,'Transfer Engine'!$C$2:$C$622,0)),"",INDEX('Compliance Database'!$N$2:$N$622,MATCH(117,'Transfer Engine'!$C$2:$C$622,0)))</f>
        <v/>
      </c>
      <c r="O126" s="8">
        <f>IF(ISNA(MATCH(117,'Transfer Engine'!$C$2:$C$622,0)),"",INDEX('Compliance Database'!$O$2:$O$622,MATCH(117,'Transfer Engine'!$C$2:$C$622,0)))</f>
        <v/>
      </c>
    </row>
    <row r="127">
      <c r="A127">
        <f>IF(ISNA(MATCH(118,'Transfer Engine'!$C$2:$C$622,0)),"",INDEX('Compliance Database'!$A$2:$A$622,MATCH(118,'Transfer Engine'!$C$2:$C$622,0)))</f>
        <v/>
      </c>
      <c r="B127">
        <f>IF(ISNA(MATCH(118,'Transfer Engine'!$C$2:$C$622,0)),"",INDEX('Compliance Database'!$B$2:$B$622,MATCH(118,'Transfer Engine'!$C$2:$C$622,0)))</f>
        <v/>
      </c>
      <c r="C127">
        <f>IF(ISNA(MATCH(118,'Transfer Engine'!$C$2:$C$622,0)),"",INDEX('Compliance Database'!$C$2:$C$622,MATCH(118,'Transfer Engine'!$C$2:$C$622,0)))</f>
        <v/>
      </c>
      <c r="D127" s="8">
        <f>IF(ISNA(MATCH(118,'Transfer Engine'!$C$2:$C$622,0)),"",INDEX('Compliance Database'!$D$2:$D$622,MATCH(118,'Transfer Engine'!$C$2:$C$622,0)))</f>
        <v/>
      </c>
      <c r="E127">
        <f>IF(ISNA(MATCH(118,'Transfer Engine'!$C$2:$C$622,0)),"",INDEX('Compliance Database'!$E$2:$E$622,MATCH(118,'Transfer Engine'!$C$2:$C$622,0)))</f>
        <v/>
      </c>
      <c r="F127">
        <f>IF(ISNA(MATCH(118,'Transfer Engine'!$C$2:$C$622,0)),"",INDEX('Compliance Database'!$F$2:$F$622,MATCH(118,'Transfer Engine'!$C$2:$C$622,0)))</f>
        <v/>
      </c>
      <c r="G127">
        <f>IF(ISNA(MATCH(118,'Transfer Engine'!$C$2:$C$622,0)),"",INDEX('Compliance Database'!$G$2:$G$622,MATCH(118,'Transfer Engine'!$C$2:$C$622,0)))</f>
        <v/>
      </c>
      <c r="H127">
        <f>IF(ISNA(MATCH(118,'Transfer Engine'!$C$2:$C$622,0)),"",INDEX('Compliance Database'!$H$2:$H$622,MATCH(118,'Transfer Engine'!$C$2:$C$622,0)))</f>
        <v/>
      </c>
      <c r="I127" s="8">
        <f>IF(ISNA(MATCH(118,'Transfer Engine'!$C$2:$C$622,0)),"",INDEX('Compliance Database'!$I$2:$I$622,MATCH(118,'Transfer Engine'!$C$2:$C$622,0)))</f>
        <v/>
      </c>
      <c r="J127" s="8">
        <f>IF(ISNA(MATCH(118,'Transfer Engine'!$C$2:$C$622,0)),"",INDEX('Compliance Database'!$J$2:$J$622,MATCH(118,'Transfer Engine'!$C$2:$C$622,0)))</f>
        <v/>
      </c>
      <c r="K127">
        <f>IF(ISNA(MATCH(118,'Transfer Engine'!$C$2:$C$622,0)),"",INDEX('Compliance Database'!$K$2:$K$622,MATCH(118,'Transfer Engine'!$C$2:$C$622,0)))</f>
        <v/>
      </c>
      <c r="L127" s="8">
        <f>IF(ISNA(MATCH(118,'Transfer Engine'!$C$2:$C$622,0)),"",INDEX('Compliance Database'!$L$2:$L$622,MATCH(118,'Transfer Engine'!$C$2:$C$622,0)))</f>
        <v/>
      </c>
      <c r="M127" s="8">
        <f>IF(ISNA(MATCH(118,'Transfer Engine'!$C$2:$C$622,0)),"",INDEX('Compliance Database'!$M$2:$M$622,MATCH(118,'Transfer Engine'!$C$2:$C$622,0)))</f>
        <v/>
      </c>
      <c r="N127" s="8">
        <f>IF(ISNA(MATCH(118,'Transfer Engine'!$C$2:$C$622,0)),"",INDEX('Compliance Database'!$N$2:$N$622,MATCH(118,'Transfer Engine'!$C$2:$C$622,0)))</f>
        <v/>
      </c>
      <c r="O127" s="8">
        <f>IF(ISNA(MATCH(118,'Transfer Engine'!$C$2:$C$622,0)),"",INDEX('Compliance Database'!$O$2:$O$622,MATCH(118,'Transfer Engine'!$C$2:$C$622,0)))</f>
        <v/>
      </c>
    </row>
    <row r="128">
      <c r="A128">
        <f>IF(ISNA(MATCH(119,'Transfer Engine'!$C$2:$C$622,0)),"",INDEX('Compliance Database'!$A$2:$A$622,MATCH(119,'Transfer Engine'!$C$2:$C$622,0)))</f>
        <v/>
      </c>
      <c r="B128">
        <f>IF(ISNA(MATCH(119,'Transfer Engine'!$C$2:$C$622,0)),"",INDEX('Compliance Database'!$B$2:$B$622,MATCH(119,'Transfer Engine'!$C$2:$C$622,0)))</f>
        <v/>
      </c>
      <c r="C128">
        <f>IF(ISNA(MATCH(119,'Transfer Engine'!$C$2:$C$622,0)),"",INDEX('Compliance Database'!$C$2:$C$622,MATCH(119,'Transfer Engine'!$C$2:$C$622,0)))</f>
        <v/>
      </c>
      <c r="D128" s="8">
        <f>IF(ISNA(MATCH(119,'Transfer Engine'!$C$2:$C$622,0)),"",INDEX('Compliance Database'!$D$2:$D$622,MATCH(119,'Transfer Engine'!$C$2:$C$622,0)))</f>
        <v/>
      </c>
      <c r="E128">
        <f>IF(ISNA(MATCH(119,'Transfer Engine'!$C$2:$C$622,0)),"",INDEX('Compliance Database'!$E$2:$E$622,MATCH(119,'Transfer Engine'!$C$2:$C$622,0)))</f>
        <v/>
      </c>
      <c r="F128">
        <f>IF(ISNA(MATCH(119,'Transfer Engine'!$C$2:$C$622,0)),"",INDEX('Compliance Database'!$F$2:$F$622,MATCH(119,'Transfer Engine'!$C$2:$C$622,0)))</f>
        <v/>
      </c>
      <c r="G128">
        <f>IF(ISNA(MATCH(119,'Transfer Engine'!$C$2:$C$622,0)),"",INDEX('Compliance Database'!$G$2:$G$622,MATCH(119,'Transfer Engine'!$C$2:$C$622,0)))</f>
        <v/>
      </c>
      <c r="H128">
        <f>IF(ISNA(MATCH(119,'Transfer Engine'!$C$2:$C$622,0)),"",INDEX('Compliance Database'!$H$2:$H$622,MATCH(119,'Transfer Engine'!$C$2:$C$622,0)))</f>
        <v/>
      </c>
      <c r="I128" s="8">
        <f>IF(ISNA(MATCH(119,'Transfer Engine'!$C$2:$C$622,0)),"",INDEX('Compliance Database'!$I$2:$I$622,MATCH(119,'Transfer Engine'!$C$2:$C$622,0)))</f>
        <v/>
      </c>
      <c r="J128" s="8">
        <f>IF(ISNA(MATCH(119,'Transfer Engine'!$C$2:$C$622,0)),"",INDEX('Compliance Database'!$J$2:$J$622,MATCH(119,'Transfer Engine'!$C$2:$C$622,0)))</f>
        <v/>
      </c>
      <c r="K128">
        <f>IF(ISNA(MATCH(119,'Transfer Engine'!$C$2:$C$622,0)),"",INDEX('Compliance Database'!$K$2:$K$622,MATCH(119,'Transfer Engine'!$C$2:$C$622,0)))</f>
        <v/>
      </c>
      <c r="L128" s="8">
        <f>IF(ISNA(MATCH(119,'Transfer Engine'!$C$2:$C$622,0)),"",INDEX('Compliance Database'!$L$2:$L$622,MATCH(119,'Transfer Engine'!$C$2:$C$622,0)))</f>
        <v/>
      </c>
      <c r="M128" s="8">
        <f>IF(ISNA(MATCH(119,'Transfer Engine'!$C$2:$C$622,0)),"",INDEX('Compliance Database'!$M$2:$M$622,MATCH(119,'Transfer Engine'!$C$2:$C$622,0)))</f>
        <v/>
      </c>
      <c r="N128" s="8">
        <f>IF(ISNA(MATCH(119,'Transfer Engine'!$C$2:$C$622,0)),"",INDEX('Compliance Database'!$N$2:$N$622,MATCH(119,'Transfer Engine'!$C$2:$C$622,0)))</f>
        <v/>
      </c>
      <c r="O128" s="8">
        <f>IF(ISNA(MATCH(119,'Transfer Engine'!$C$2:$C$622,0)),"",INDEX('Compliance Database'!$O$2:$O$622,MATCH(119,'Transfer Engine'!$C$2:$C$622,0)))</f>
        <v/>
      </c>
    </row>
    <row r="129">
      <c r="A129">
        <f>IF(ISNA(MATCH(120,'Transfer Engine'!$C$2:$C$622,0)),"",INDEX('Compliance Database'!$A$2:$A$622,MATCH(120,'Transfer Engine'!$C$2:$C$622,0)))</f>
        <v/>
      </c>
      <c r="B129">
        <f>IF(ISNA(MATCH(120,'Transfer Engine'!$C$2:$C$622,0)),"",INDEX('Compliance Database'!$B$2:$B$622,MATCH(120,'Transfer Engine'!$C$2:$C$622,0)))</f>
        <v/>
      </c>
      <c r="C129">
        <f>IF(ISNA(MATCH(120,'Transfer Engine'!$C$2:$C$622,0)),"",INDEX('Compliance Database'!$C$2:$C$622,MATCH(120,'Transfer Engine'!$C$2:$C$622,0)))</f>
        <v/>
      </c>
      <c r="D129" s="8">
        <f>IF(ISNA(MATCH(120,'Transfer Engine'!$C$2:$C$622,0)),"",INDEX('Compliance Database'!$D$2:$D$622,MATCH(120,'Transfer Engine'!$C$2:$C$622,0)))</f>
        <v/>
      </c>
      <c r="E129">
        <f>IF(ISNA(MATCH(120,'Transfer Engine'!$C$2:$C$622,0)),"",INDEX('Compliance Database'!$E$2:$E$622,MATCH(120,'Transfer Engine'!$C$2:$C$622,0)))</f>
        <v/>
      </c>
      <c r="F129">
        <f>IF(ISNA(MATCH(120,'Transfer Engine'!$C$2:$C$622,0)),"",INDEX('Compliance Database'!$F$2:$F$622,MATCH(120,'Transfer Engine'!$C$2:$C$622,0)))</f>
        <v/>
      </c>
      <c r="G129">
        <f>IF(ISNA(MATCH(120,'Transfer Engine'!$C$2:$C$622,0)),"",INDEX('Compliance Database'!$G$2:$G$622,MATCH(120,'Transfer Engine'!$C$2:$C$622,0)))</f>
        <v/>
      </c>
      <c r="H129">
        <f>IF(ISNA(MATCH(120,'Transfer Engine'!$C$2:$C$622,0)),"",INDEX('Compliance Database'!$H$2:$H$622,MATCH(120,'Transfer Engine'!$C$2:$C$622,0)))</f>
        <v/>
      </c>
      <c r="I129" s="8">
        <f>IF(ISNA(MATCH(120,'Transfer Engine'!$C$2:$C$622,0)),"",INDEX('Compliance Database'!$I$2:$I$622,MATCH(120,'Transfer Engine'!$C$2:$C$622,0)))</f>
        <v/>
      </c>
      <c r="J129" s="8">
        <f>IF(ISNA(MATCH(120,'Transfer Engine'!$C$2:$C$622,0)),"",INDEX('Compliance Database'!$J$2:$J$622,MATCH(120,'Transfer Engine'!$C$2:$C$622,0)))</f>
        <v/>
      </c>
      <c r="K129">
        <f>IF(ISNA(MATCH(120,'Transfer Engine'!$C$2:$C$622,0)),"",INDEX('Compliance Database'!$K$2:$K$622,MATCH(120,'Transfer Engine'!$C$2:$C$622,0)))</f>
        <v/>
      </c>
      <c r="L129" s="8">
        <f>IF(ISNA(MATCH(120,'Transfer Engine'!$C$2:$C$622,0)),"",INDEX('Compliance Database'!$L$2:$L$622,MATCH(120,'Transfer Engine'!$C$2:$C$622,0)))</f>
        <v/>
      </c>
      <c r="M129" s="8">
        <f>IF(ISNA(MATCH(120,'Transfer Engine'!$C$2:$C$622,0)),"",INDEX('Compliance Database'!$M$2:$M$622,MATCH(120,'Transfer Engine'!$C$2:$C$622,0)))</f>
        <v/>
      </c>
      <c r="N129" s="8">
        <f>IF(ISNA(MATCH(120,'Transfer Engine'!$C$2:$C$622,0)),"",INDEX('Compliance Database'!$N$2:$N$622,MATCH(120,'Transfer Engine'!$C$2:$C$622,0)))</f>
        <v/>
      </c>
      <c r="O129" s="8">
        <f>IF(ISNA(MATCH(120,'Transfer Engine'!$C$2:$C$622,0)),"",INDEX('Compliance Database'!$O$2:$O$622,MATCH(120,'Transfer Engine'!$C$2:$C$622,0)))</f>
        <v/>
      </c>
    </row>
    <row r="130">
      <c r="A130">
        <f>IF(ISNA(MATCH(121,'Transfer Engine'!$C$2:$C$622,0)),"",INDEX('Compliance Database'!$A$2:$A$622,MATCH(121,'Transfer Engine'!$C$2:$C$622,0)))</f>
        <v/>
      </c>
      <c r="B130">
        <f>IF(ISNA(MATCH(121,'Transfer Engine'!$C$2:$C$622,0)),"",INDEX('Compliance Database'!$B$2:$B$622,MATCH(121,'Transfer Engine'!$C$2:$C$622,0)))</f>
        <v/>
      </c>
      <c r="C130">
        <f>IF(ISNA(MATCH(121,'Transfer Engine'!$C$2:$C$622,0)),"",INDEX('Compliance Database'!$C$2:$C$622,MATCH(121,'Transfer Engine'!$C$2:$C$622,0)))</f>
        <v/>
      </c>
      <c r="D130" s="8">
        <f>IF(ISNA(MATCH(121,'Transfer Engine'!$C$2:$C$622,0)),"",INDEX('Compliance Database'!$D$2:$D$622,MATCH(121,'Transfer Engine'!$C$2:$C$622,0)))</f>
        <v/>
      </c>
      <c r="E130">
        <f>IF(ISNA(MATCH(121,'Transfer Engine'!$C$2:$C$622,0)),"",INDEX('Compliance Database'!$E$2:$E$622,MATCH(121,'Transfer Engine'!$C$2:$C$622,0)))</f>
        <v/>
      </c>
      <c r="F130">
        <f>IF(ISNA(MATCH(121,'Transfer Engine'!$C$2:$C$622,0)),"",INDEX('Compliance Database'!$F$2:$F$622,MATCH(121,'Transfer Engine'!$C$2:$C$622,0)))</f>
        <v/>
      </c>
      <c r="G130">
        <f>IF(ISNA(MATCH(121,'Transfer Engine'!$C$2:$C$622,0)),"",INDEX('Compliance Database'!$G$2:$G$622,MATCH(121,'Transfer Engine'!$C$2:$C$622,0)))</f>
        <v/>
      </c>
      <c r="H130">
        <f>IF(ISNA(MATCH(121,'Transfer Engine'!$C$2:$C$622,0)),"",INDEX('Compliance Database'!$H$2:$H$622,MATCH(121,'Transfer Engine'!$C$2:$C$622,0)))</f>
        <v/>
      </c>
      <c r="I130" s="8">
        <f>IF(ISNA(MATCH(121,'Transfer Engine'!$C$2:$C$622,0)),"",INDEX('Compliance Database'!$I$2:$I$622,MATCH(121,'Transfer Engine'!$C$2:$C$622,0)))</f>
        <v/>
      </c>
      <c r="J130" s="8">
        <f>IF(ISNA(MATCH(121,'Transfer Engine'!$C$2:$C$622,0)),"",INDEX('Compliance Database'!$J$2:$J$622,MATCH(121,'Transfer Engine'!$C$2:$C$622,0)))</f>
        <v/>
      </c>
      <c r="K130">
        <f>IF(ISNA(MATCH(121,'Transfer Engine'!$C$2:$C$622,0)),"",INDEX('Compliance Database'!$K$2:$K$622,MATCH(121,'Transfer Engine'!$C$2:$C$622,0)))</f>
        <v/>
      </c>
      <c r="L130" s="8">
        <f>IF(ISNA(MATCH(121,'Transfer Engine'!$C$2:$C$622,0)),"",INDEX('Compliance Database'!$L$2:$L$622,MATCH(121,'Transfer Engine'!$C$2:$C$622,0)))</f>
        <v/>
      </c>
      <c r="M130" s="8">
        <f>IF(ISNA(MATCH(121,'Transfer Engine'!$C$2:$C$622,0)),"",INDEX('Compliance Database'!$M$2:$M$622,MATCH(121,'Transfer Engine'!$C$2:$C$622,0)))</f>
        <v/>
      </c>
      <c r="N130" s="8">
        <f>IF(ISNA(MATCH(121,'Transfer Engine'!$C$2:$C$622,0)),"",INDEX('Compliance Database'!$N$2:$N$622,MATCH(121,'Transfer Engine'!$C$2:$C$622,0)))</f>
        <v/>
      </c>
      <c r="O130" s="8">
        <f>IF(ISNA(MATCH(121,'Transfer Engine'!$C$2:$C$622,0)),"",INDEX('Compliance Database'!$O$2:$O$622,MATCH(121,'Transfer Engine'!$C$2:$C$622,0)))</f>
        <v/>
      </c>
    </row>
    <row r="131">
      <c r="A131">
        <f>IF(ISNA(MATCH(122,'Transfer Engine'!$C$2:$C$622,0)),"",INDEX('Compliance Database'!$A$2:$A$622,MATCH(122,'Transfer Engine'!$C$2:$C$622,0)))</f>
        <v/>
      </c>
      <c r="B131">
        <f>IF(ISNA(MATCH(122,'Transfer Engine'!$C$2:$C$622,0)),"",INDEX('Compliance Database'!$B$2:$B$622,MATCH(122,'Transfer Engine'!$C$2:$C$622,0)))</f>
        <v/>
      </c>
      <c r="C131">
        <f>IF(ISNA(MATCH(122,'Transfer Engine'!$C$2:$C$622,0)),"",INDEX('Compliance Database'!$C$2:$C$622,MATCH(122,'Transfer Engine'!$C$2:$C$622,0)))</f>
        <v/>
      </c>
      <c r="D131" s="8">
        <f>IF(ISNA(MATCH(122,'Transfer Engine'!$C$2:$C$622,0)),"",INDEX('Compliance Database'!$D$2:$D$622,MATCH(122,'Transfer Engine'!$C$2:$C$622,0)))</f>
        <v/>
      </c>
      <c r="E131">
        <f>IF(ISNA(MATCH(122,'Transfer Engine'!$C$2:$C$622,0)),"",INDEX('Compliance Database'!$E$2:$E$622,MATCH(122,'Transfer Engine'!$C$2:$C$622,0)))</f>
        <v/>
      </c>
      <c r="F131">
        <f>IF(ISNA(MATCH(122,'Transfer Engine'!$C$2:$C$622,0)),"",INDEX('Compliance Database'!$F$2:$F$622,MATCH(122,'Transfer Engine'!$C$2:$C$622,0)))</f>
        <v/>
      </c>
      <c r="G131">
        <f>IF(ISNA(MATCH(122,'Transfer Engine'!$C$2:$C$622,0)),"",INDEX('Compliance Database'!$G$2:$G$622,MATCH(122,'Transfer Engine'!$C$2:$C$622,0)))</f>
        <v/>
      </c>
      <c r="H131">
        <f>IF(ISNA(MATCH(122,'Transfer Engine'!$C$2:$C$622,0)),"",INDEX('Compliance Database'!$H$2:$H$622,MATCH(122,'Transfer Engine'!$C$2:$C$622,0)))</f>
        <v/>
      </c>
      <c r="I131" s="8">
        <f>IF(ISNA(MATCH(122,'Transfer Engine'!$C$2:$C$622,0)),"",INDEX('Compliance Database'!$I$2:$I$622,MATCH(122,'Transfer Engine'!$C$2:$C$622,0)))</f>
        <v/>
      </c>
      <c r="J131" s="8">
        <f>IF(ISNA(MATCH(122,'Transfer Engine'!$C$2:$C$622,0)),"",INDEX('Compliance Database'!$J$2:$J$622,MATCH(122,'Transfer Engine'!$C$2:$C$622,0)))</f>
        <v/>
      </c>
      <c r="K131">
        <f>IF(ISNA(MATCH(122,'Transfer Engine'!$C$2:$C$622,0)),"",INDEX('Compliance Database'!$K$2:$K$622,MATCH(122,'Transfer Engine'!$C$2:$C$622,0)))</f>
        <v/>
      </c>
      <c r="L131" s="8">
        <f>IF(ISNA(MATCH(122,'Transfer Engine'!$C$2:$C$622,0)),"",INDEX('Compliance Database'!$L$2:$L$622,MATCH(122,'Transfer Engine'!$C$2:$C$622,0)))</f>
        <v/>
      </c>
      <c r="M131" s="8">
        <f>IF(ISNA(MATCH(122,'Transfer Engine'!$C$2:$C$622,0)),"",INDEX('Compliance Database'!$M$2:$M$622,MATCH(122,'Transfer Engine'!$C$2:$C$622,0)))</f>
        <v/>
      </c>
      <c r="N131" s="8">
        <f>IF(ISNA(MATCH(122,'Transfer Engine'!$C$2:$C$622,0)),"",INDEX('Compliance Database'!$N$2:$N$622,MATCH(122,'Transfer Engine'!$C$2:$C$622,0)))</f>
        <v/>
      </c>
      <c r="O131" s="8">
        <f>IF(ISNA(MATCH(122,'Transfer Engine'!$C$2:$C$622,0)),"",INDEX('Compliance Database'!$O$2:$O$622,MATCH(122,'Transfer Engine'!$C$2:$C$622,0)))</f>
        <v/>
      </c>
    </row>
    <row r="132">
      <c r="A132">
        <f>IF(ISNA(MATCH(123,'Transfer Engine'!$C$2:$C$622,0)),"",INDEX('Compliance Database'!$A$2:$A$622,MATCH(123,'Transfer Engine'!$C$2:$C$622,0)))</f>
        <v/>
      </c>
      <c r="B132">
        <f>IF(ISNA(MATCH(123,'Transfer Engine'!$C$2:$C$622,0)),"",INDEX('Compliance Database'!$B$2:$B$622,MATCH(123,'Transfer Engine'!$C$2:$C$622,0)))</f>
        <v/>
      </c>
      <c r="C132">
        <f>IF(ISNA(MATCH(123,'Transfer Engine'!$C$2:$C$622,0)),"",INDEX('Compliance Database'!$C$2:$C$622,MATCH(123,'Transfer Engine'!$C$2:$C$622,0)))</f>
        <v/>
      </c>
      <c r="D132" s="8">
        <f>IF(ISNA(MATCH(123,'Transfer Engine'!$C$2:$C$622,0)),"",INDEX('Compliance Database'!$D$2:$D$622,MATCH(123,'Transfer Engine'!$C$2:$C$622,0)))</f>
        <v/>
      </c>
      <c r="E132">
        <f>IF(ISNA(MATCH(123,'Transfer Engine'!$C$2:$C$622,0)),"",INDEX('Compliance Database'!$E$2:$E$622,MATCH(123,'Transfer Engine'!$C$2:$C$622,0)))</f>
        <v/>
      </c>
      <c r="F132">
        <f>IF(ISNA(MATCH(123,'Transfer Engine'!$C$2:$C$622,0)),"",INDEX('Compliance Database'!$F$2:$F$622,MATCH(123,'Transfer Engine'!$C$2:$C$622,0)))</f>
        <v/>
      </c>
      <c r="G132">
        <f>IF(ISNA(MATCH(123,'Transfer Engine'!$C$2:$C$622,0)),"",INDEX('Compliance Database'!$G$2:$G$622,MATCH(123,'Transfer Engine'!$C$2:$C$622,0)))</f>
        <v/>
      </c>
      <c r="H132">
        <f>IF(ISNA(MATCH(123,'Transfer Engine'!$C$2:$C$622,0)),"",INDEX('Compliance Database'!$H$2:$H$622,MATCH(123,'Transfer Engine'!$C$2:$C$622,0)))</f>
        <v/>
      </c>
      <c r="I132" s="8">
        <f>IF(ISNA(MATCH(123,'Transfer Engine'!$C$2:$C$622,0)),"",INDEX('Compliance Database'!$I$2:$I$622,MATCH(123,'Transfer Engine'!$C$2:$C$622,0)))</f>
        <v/>
      </c>
      <c r="J132" s="8">
        <f>IF(ISNA(MATCH(123,'Transfer Engine'!$C$2:$C$622,0)),"",INDEX('Compliance Database'!$J$2:$J$622,MATCH(123,'Transfer Engine'!$C$2:$C$622,0)))</f>
        <v/>
      </c>
      <c r="K132">
        <f>IF(ISNA(MATCH(123,'Transfer Engine'!$C$2:$C$622,0)),"",INDEX('Compliance Database'!$K$2:$K$622,MATCH(123,'Transfer Engine'!$C$2:$C$622,0)))</f>
        <v/>
      </c>
      <c r="L132" s="8">
        <f>IF(ISNA(MATCH(123,'Transfer Engine'!$C$2:$C$622,0)),"",INDEX('Compliance Database'!$L$2:$L$622,MATCH(123,'Transfer Engine'!$C$2:$C$622,0)))</f>
        <v/>
      </c>
      <c r="M132" s="8">
        <f>IF(ISNA(MATCH(123,'Transfer Engine'!$C$2:$C$622,0)),"",INDEX('Compliance Database'!$M$2:$M$622,MATCH(123,'Transfer Engine'!$C$2:$C$622,0)))</f>
        <v/>
      </c>
      <c r="N132" s="8">
        <f>IF(ISNA(MATCH(123,'Transfer Engine'!$C$2:$C$622,0)),"",INDEX('Compliance Database'!$N$2:$N$622,MATCH(123,'Transfer Engine'!$C$2:$C$622,0)))</f>
        <v/>
      </c>
      <c r="O132" s="8">
        <f>IF(ISNA(MATCH(123,'Transfer Engine'!$C$2:$C$622,0)),"",INDEX('Compliance Database'!$O$2:$O$622,MATCH(123,'Transfer Engine'!$C$2:$C$622,0)))</f>
        <v/>
      </c>
    </row>
    <row r="133">
      <c r="A133">
        <f>IF(ISNA(MATCH(124,'Transfer Engine'!$C$2:$C$622,0)),"",INDEX('Compliance Database'!$A$2:$A$622,MATCH(124,'Transfer Engine'!$C$2:$C$622,0)))</f>
        <v/>
      </c>
      <c r="B133">
        <f>IF(ISNA(MATCH(124,'Transfer Engine'!$C$2:$C$622,0)),"",INDEX('Compliance Database'!$B$2:$B$622,MATCH(124,'Transfer Engine'!$C$2:$C$622,0)))</f>
        <v/>
      </c>
      <c r="C133">
        <f>IF(ISNA(MATCH(124,'Transfer Engine'!$C$2:$C$622,0)),"",INDEX('Compliance Database'!$C$2:$C$622,MATCH(124,'Transfer Engine'!$C$2:$C$622,0)))</f>
        <v/>
      </c>
      <c r="D133" s="8">
        <f>IF(ISNA(MATCH(124,'Transfer Engine'!$C$2:$C$622,0)),"",INDEX('Compliance Database'!$D$2:$D$622,MATCH(124,'Transfer Engine'!$C$2:$C$622,0)))</f>
        <v/>
      </c>
      <c r="E133">
        <f>IF(ISNA(MATCH(124,'Transfer Engine'!$C$2:$C$622,0)),"",INDEX('Compliance Database'!$E$2:$E$622,MATCH(124,'Transfer Engine'!$C$2:$C$622,0)))</f>
        <v/>
      </c>
      <c r="F133">
        <f>IF(ISNA(MATCH(124,'Transfer Engine'!$C$2:$C$622,0)),"",INDEX('Compliance Database'!$F$2:$F$622,MATCH(124,'Transfer Engine'!$C$2:$C$622,0)))</f>
        <v/>
      </c>
      <c r="G133">
        <f>IF(ISNA(MATCH(124,'Transfer Engine'!$C$2:$C$622,0)),"",INDEX('Compliance Database'!$G$2:$G$622,MATCH(124,'Transfer Engine'!$C$2:$C$622,0)))</f>
        <v/>
      </c>
      <c r="H133">
        <f>IF(ISNA(MATCH(124,'Transfer Engine'!$C$2:$C$622,0)),"",INDEX('Compliance Database'!$H$2:$H$622,MATCH(124,'Transfer Engine'!$C$2:$C$622,0)))</f>
        <v/>
      </c>
      <c r="I133" s="8">
        <f>IF(ISNA(MATCH(124,'Transfer Engine'!$C$2:$C$622,0)),"",INDEX('Compliance Database'!$I$2:$I$622,MATCH(124,'Transfer Engine'!$C$2:$C$622,0)))</f>
        <v/>
      </c>
      <c r="J133" s="8">
        <f>IF(ISNA(MATCH(124,'Transfer Engine'!$C$2:$C$622,0)),"",INDEX('Compliance Database'!$J$2:$J$622,MATCH(124,'Transfer Engine'!$C$2:$C$622,0)))</f>
        <v/>
      </c>
      <c r="K133">
        <f>IF(ISNA(MATCH(124,'Transfer Engine'!$C$2:$C$622,0)),"",INDEX('Compliance Database'!$K$2:$K$622,MATCH(124,'Transfer Engine'!$C$2:$C$622,0)))</f>
        <v/>
      </c>
      <c r="L133" s="8">
        <f>IF(ISNA(MATCH(124,'Transfer Engine'!$C$2:$C$622,0)),"",INDEX('Compliance Database'!$L$2:$L$622,MATCH(124,'Transfer Engine'!$C$2:$C$622,0)))</f>
        <v/>
      </c>
      <c r="M133" s="8">
        <f>IF(ISNA(MATCH(124,'Transfer Engine'!$C$2:$C$622,0)),"",INDEX('Compliance Database'!$M$2:$M$622,MATCH(124,'Transfer Engine'!$C$2:$C$622,0)))</f>
        <v/>
      </c>
      <c r="N133" s="8">
        <f>IF(ISNA(MATCH(124,'Transfer Engine'!$C$2:$C$622,0)),"",INDEX('Compliance Database'!$N$2:$N$622,MATCH(124,'Transfer Engine'!$C$2:$C$622,0)))</f>
        <v/>
      </c>
      <c r="O133" s="8">
        <f>IF(ISNA(MATCH(124,'Transfer Engine'!$C$2:$C$622,0)),"",INDEX('Compliance Database'!$O$2:$O$622,MATCH(124,'Transfer Engine'!$C$2:$C$622,0)))</f>
        <v/>
      </c>
    </row>
    <row r="134">
      <c r="A134">
        <f>IF(ISNA(MATCH(125,'Transfer Engine'!$C$2:$C$622,0)),"",INDEX('Compliance Database'!$A$2:$A$622,MATCH(125,'Transfer Engine'!$C$2:$C$622,0)))</f>
        <v/>
      </c>
      <c r="B134">
        <f>IF(ISNA(MATCH(125,'Transfer Engine'!$C$2:$C$622,0)),"",INDEX('Compliance Database'!$B$2:$B$622,MATCH(125,'Transfer Engine'!$C$2:$C$622,0)))</f>
        <v/>
      </c>
      <c r="C134">
        <f>IF(ISNA(MATCH(125,'Transfer Engine'!$C$2:$C$622,0)),"",INDEX('Compliance Database'!$C$2:$C$622,MATCH(125,'Transfer Engine'!$C$2:$C$622,0)))</f>
        <v/>
      </c>
      <c r="D134" s="8">
        <f>IF(ISNA(MATCH(125,'Transfer Engine'!$C$2:$C$622,0)),"",INDEX('Compliance Database'!$D$2:$D$622,MATCH(125,'Transfer Engine'!$C$2:$C$622,0)))</f>
        <v/>
      </c>
      <c r="E134">
        <f>IF(ISNA(MATCH(125,'Transfer Engine'!$C$2:$C$622,0)),"",INDEX('Compliance Database'!$E$2:$E$622,MATCH(125,'Transfer Engine'!$C$2:$C$622,0)))</f>
        <v/>
      </c>
      <c r="F134">
        <f>IF(ISNA(MATCH(125,'Transfer Engine'!$C$2:$C$622,0)),"",INDEX('Compliance Database'!$F$2:$F$622,MATCH(125,'Transfer Engine'!$C$2:$C$622,0)))</f>
        <v/>
      </c>
      <c r="G134">
        <f>IF(ISNA(MATCH(125,'Transfer Engine'!$C$2:$C$622,0)),"",INDEX('Compliance Database'!$G$2:$G$622,MATCH(125,'Transfer Engine'!$C$2:$C$622,0)))</f>
        <v/>
      </c>
      <c r="H134">
        <f>IF(ISNA(MATCH(125,'Transfer Engine'!$C$2:$C$622,0)),"",INDEX('Compliance Database'!$H$2:$H$622,MATCH(125,'Transfer Engine'!$C$2:$C$622,0)))</f>
        <v/>
      </c>
      <c r="I134" s="8">
        <f>IF(ISNA(MATCH(125,'Transfer Engine'!$C$2:$C$622,0)),"",INDEX('Compliance Database'!$I$2:$I$622,MATCH(125,'Transfer Engine'!$C$2:$C$622,0)))</f>
        <v/>
      </c>
      <c r="J134" s="8">
        <f>IF(ISNA(MATCH(125,'Transfer Engine'!$C$2:$C$622,0)),"",INDEX('Compliance Database'!$J$2:$J$622,MATCH(125,'Transfer Engine'!$C$2:$C$622,0)))</f>
        <v/>
      </c>
      <c r="K134">
        <f>IF(ISNA(MATCH(125,'Transfer Engine'!$C$2:$C$622,0)),"",INDEX('Compliance Database'!$K$2:$K$622,MATCH(125,'Transfer Engine'!$C$2:$C$622,0)))</f>
        <v/>
      </c>
      <c r="L134" s="8">
        <f>IF(ISNA(MATCH(125,'Transfer Engine'!$C$2:$C$622,0)),"",INDEX('Compliance Database'!$L$2:$L$622,MATCH(125,'Transfer Engine'!$C$2:$C$622,0)))</f>
        <v/>
      </c>
      <c r="M134" s="8">
        <f>IF(ISNA(MATCH(125,'Transfer Engine'!$C$2:$C$622,0)),"",INDEX('Compliance Database'!$M$2:$M$622,MATCH(125,'Transfer Engine'!$C$2:$C$622,0)))</f>
        <v/>
      </c>
      <c r="N134" s="8">
        <f>IF(ISNA(MATCH(125,'Transfer Engine'!$C$2:$C$622,0)),"",INDEX('Compliance Database'!$N$2:$N$622,MATCH(125,'Transfer Engine'!$C$2:$C$622,0)))</f>
        <v/>
      </c>
      <c r="O134" s="8">
        <f>IF(ISNA(MATCH(125,'Transfer Engine'!$C$2:$C$622,0)),"",INDEX('Compliance Database'!$O$2:$O$622,MATCH(125,'Transfer Engine'!$C$2:$C$622,0)))</f>
        <v/>
      </c>
    </row>
    <row r="135">
      <c r="A135">
        <f>IF(ISNA(MATCH(126,'Transfer Engine'!$C$2:$C$622,0)),"",INDEX('Compliance Database'!$A$2:$A$622,MATCH(126,'Transfer Engine'!$C$2:$C$622,0)))</f>
        <v/>
      </c>
      <c r="B135">
        <f>IF(ISNA(MATCH(126,'Transfer Engine'!$C$2:$C$622,0)),"",INDEX('Compliance Database'!$B$2:$B$622,MATCH(126,'Transfer Engine'!$C$2:$C$622,0)))</f>
        <v/>
      </c>
      <c r="C135">
        <f>IF(ISNA(MATCH(126,'Transfer Engine'!$C$2:$C$622,0)),"",INDEX('Compliance Database'!$C$2:$C$622,MATCH(126,'Transfer Engine'!$C$2:$C$622,0)))</f>
        <v/>
      </c>
      <c r="D135" s="8">
        <f>IF(ISNA(MATCH(126,'Transfer Engine'!$C$2:$C$622,0)),"",INDEX('Compliance Database'!$D$2:$D$622,MATCH(126,'Transfer Engine'!$C$2:$C$622,0)))</f>
        <v/>
      </c>
      <c r="E135">
        <f>IF(ISNA(MATCH(126,'Transfer Engine'!$C$2:$C$622,0)),"",INDEX('Compliance Database'!$E$2:$E$622,MATCH(126,'Transfer Engine'!$C$2:$C$622,0)))</f>
        <v/>
      </c>
      <c r="F135">
        <f>IF(ISNA(MATCH(126,'Transfer Engine'!$C$2:$C$622,0)),"",INDEX('Compliance Database'!$F$2:$F$622,MATCH(126,'Transfer Engine'!$C$2:$C$622,0)))</f>
        <v/>
      </c>
      <c r="G135">
        <f>IF(ISNA(MATCH(126,'Transfer Engine'!$C$2:$C$622,0)),"",INDEX('Compliance Database'!$G$2:$G$622,MATCH(126,'Transfer Engine'!$C$2:$C$622,0)))</f>
        <v/>
      </c>
      <c r="H135">
        <f>IF(ISNA(MATCH(126,'Transfer Engine'!$C$2:$C$622,0)),"",INDEX('Compliance Database'!$H$2:$H$622,MATCH(126,'Transfer Engine'!$C$2:$C$622,0)))</f>
        <v/>
      </c>
      <c r="I135" s="8">
        <f>IF(ISNA(MATCH(126,'Transfer Engine'!$C$2:$C$622,0)),"",INDEX('Compliance Database'!$I$2:$I$622,MATCH(126,'Transfer Engine'!$C$2:$C$622,0)))</f>
        <v/>
      </c>
      <c r="J135" s="8">
        <f>IF(ISNA(MATCH(126,'Transfer Engine'!$C$2:$C$622,0)),"",INDEX('Compliance Database'!$J$2:$J$622,MATCH(126,'Transfer Engine'!$C$2:$C$622,0)))</f>
        <v/>
      </c>
      <c r="K135">
        <f>IF(ISNA(MATCH(126,'Transfer Engine'!$C$2:$C$622,0)),"",INDEX('Compliance Database'!$K$2:$K$622,MATCH(126,'Transfer Engine'!$C$2:$C$622,0)))</f>
        <v/>
      </c>
      <c r="L135" s="8">
        <f>IF(ISNA(MATCH(126,'Transfer Engine'!$C$2:$C$622,0)),"",INDEX('Compliance Database'!$L$2:$L$622,MATCH(126,'Transfer Engine'!$C$2:$C$622,0)))</f>
        <v/>
      </c>
      <c r="M135" s="8">
        <f>IF(ISNA(MATCH(126,'Transfer Engine'!$C$2:$C$622,0)),"",INDEX('Compliance Database'!$M$2:$M$622,MATCH(126,'Transfer Engine'!$C$2:$C$622,0)))</f>
        <v/>
      </c>
      <c r="N135" s="8">
        <f>IF(ISNA(MATCH(126,'Transfer Engine'!$C$2:$C$622,0)),"",INDEX('Compliance Database'!$N$2:$N$622,MATCH(126,'Transfer Engine'!$C$2:$C$622,0)))</f>
        <v/>
      </c>
      <c r="O135" s="8">
        <f>IF(ISNA(MATCH(126,'Transfer Engine'!$C$2:$C$622,0)),"",INDEX('Compliance Database'!$O$2:$O$622,MATCH(126,'Transfer Engine'!$C$2:$C$622,0)))</f>
        <v/>
      </c>
    </row>
    <row r="136">
      <c r="A136">
        <f>IF(ISNA(MATCH(127,'Transfer Engine'!$C$2:$C$622,0)),"",INDEX('Compliance Database'!$A$2:$A$622,MATCH(127,'Transfer Engine'!$C$2:$C$622,0)))</f>
        <v/>
      </c>
      <c r="B136">
        <f>IF(ISNA(MATCH(127,'Transfer Engine'!$C$2:$C$622,0)),"",INDEX('Compliance Database'!$B$2:$B$622,MATCH(127,'Transfer Engine'!$C$2:$C$622,0)))</f>
        <v/>
      </c>
      <c r="C136">
        <f>IF(ISNA(MATCH(127,'Transfer Engine'!$C$2:$C$622,0)),"",INDEX('Compliance Database'!$C$2:$C$622,MATCH(127,'Transfer Engine'!$C$2:$C$622,0)))</f>
        <v/>
      </c>
      <c r="D136" s="8">
        <f>IF(ISNA(MATCH(127,'Transfer Engine'!$C$2:$C$622,0)),"",INDEX('Compliance Database'!$D$2:$D$622,MATCH(127,'Transfer Engine'!$C$2:$C$622,0)))</f>
        <v/>
      </c>
      <c r="E136">
        <f>IF(ISNA(MATCH(127,'Transfer Engine'!$C$2:$C$622,0)),"",INDEX('Compliance Database'!$E$2:$E$622,MATCH(127,'Transfer Engine'!$C$2:$C$622,0)))</f>
        <v/>
      </c>
      <c r="F136">
        <f>IF(ISNA(MATCH(127,'Transfer Engine'!$C$2:$C$622,0)),"",INDEX('Compliance Database'!$F$2:$F$622,MATCH(127,'Transfer Engine'!$C$2:$C$622,0)))</f>
        <v/>
      </c>
      <c r="G136">
        <f>IF(ISNA(MATCH(127,'Transfer Engine'!$C$2:$C$622,0)),"",INDEX('Compliance Database'!$G$2:$G$622,MATCH(127,'Transfer Engine'!$C$2:$C$622,0)))</f>
        <v/>
      </c>
      <c r="H136">
        <f>IF(ISNA(MATCH(127,'Transfer Engine'!$C$2:$C$622,0)),"",INDEX('Compliance Database'!$H$2:$H$622,MATCH(127,'Transfer Engine'!$C$2:$C$622,0)))</f>
        <v/>
      </c>
      <c r="I136" s="8">
        <f>IF(ISNA(MATCH(127,'Transfer Engine'!$C$2:$C$622,0)),"",INDEX('Compliance Database'!$I$2:$I$622,MATCH(127,'Transfer Engine'!$C$2:$C$622,0)))</f>
        <v/>
      </c>
      <c r="J136" s="8">
        <f>IF(ISNA(MATCH(127,'Transfer Engine'!$C$2:$C$622,0)),"",INDEX('Compliance Database'!$J$2:$J$622,MATCH(127,'Transfer Engine'!$C$2:$C$622,0)))</f>
        <v/>
      </c>
      <c r="K136">
        <f>IF(ISNA(MATCH(127,'Transfer Engine'!$C$2:$C$622,0)),"",INDEX('Compliance Database'!$K$2:$K$622,MATCH(127,'Transfer Engine'!$C$2:$C$622,0)))</f>
        <v/>
      </c>
      <c r="L136" s="8">
        <f>IF(ISNA(MATCH(127,'Transfer Engine'!$C$2:$C$622,0)),"",INDEX('Compliance Database'!$L$2:$L$622,MATCH(127,'Transfer Engine'!$C$2:$C$622,0)))</f>
        <v/>
      </c>
      <c r="M136" s="8">
        <f>IF(ISNA(MATCH(127,'Transfer Engine'!$C$2:$C$622,0)),"",INDEX('Compliance Database'!$M$2:$M$622,MATCH(127,'Transfer Engine'!$C$2:$C$622,0)))</f>
        <v/>
      </c>
      <c r="N136" s="8">
        <f>IF(ISNA(MATCH(127,'Transfer Engine'!$C$2:$C$622,0)),"",INDEX('Compliance Database'!$N$2:$N$622,MATCH(127,'Transfer Engine'!$C$2:$C$622,0)))</f>
        <v/>
      </c>
      <c r="O136" s="8">
        <f>IF(ISNA(MATCH(127,'Transfer Engine'!$C$2:$C$622,0)),"",INDEX('Compliance Database'!$O$2:$O$622,MATCH(127,'Transfer Engine'!$C$2:$C$622,0)))</f>
        <v/>
      </c>
    </row>
    <row r="137">
      <c r="A137">
        <f>IF(ISNA(MATCH(128,'Transfer Engine'!$C$2:$C$622,0)),"",INDEX('Compliance Database'!$A$2:$A$622,MATCH(128,'Transfer Engine'!$C$2:$C$622,0)))</f>
        <v/>
      </c>
      <c r="B137">
        <f>IF(ISNA(MATCH(128,'Transfer Engine'!$C$2:$C$622,0)),"",INDEX('Compliance Database'!$B$2:$B$622,MATCH(128,'Transfer Engine'!$C$2:$C$622,0)))</f>
        <v/>
      </c>
      <c r="C137">
        <f>IF(ISNA(MATCH(128,'Transfer Engine'!$C$2:$C$622,0)),"",INDEX('Compliance Database'!$C$2:$C$622,MATCH(128,'Transfer Engine'!$C$2:$C$622,0)))</f>
        <v/>
      </c>
      <c r="D137" s="8">
        <f>IF(ISNA(MATCH(128,'Transfer Engine'!$C$2:$C$622,0)),"",INDEX('Compliance Database'!$D$2:$D$622,MATCH(128,'Transfer Engine'!$C$2:$C$622,0)))</f>
        <v/>
      </c>
      <c r="E137">
        <f>IF(ISNA(MATCH(128,'Transfer Engine'!$C$2:$C$622,0)),"",INDEX('Compliance Database'!$E$2:$E$622,MATCH(128,'Transfer Engine'!$C$2:$C$622,0)))</f>
        <v/>
      </c>
      <c r="F137">
        <f>IF(ISNA(MATCH(128,'Transfer Engine'!$C$2:$C$622,0)),"",INDEX('Compliance Database'!$F$2:$F$622,MATCH(128,'Transfer Engine'!$C$2:$C$622,0)))</f>
        <v/>
      </c>
      <c r="G137">
        <f>IF(ISNA(MATCH(128,'Transfer Engine'!$C$2:$C$622,0)),"",INDEX('Compliance Database'!$G$2:$G$622,MATCH(128,'Transfer Engine'!$C$2:$C$622,0)))</f>
        <v/>
      </c>
      <c r="H137">
        <f>IF(ISNA(MATCH(128,'Transfer Engine'!$C$2:$C$622,0)),"",INDEX('Compliance Database'!$H$2:$H$622,MATCH(128,'Transfer Engine'!$C$2:$C$622,0)))</f>
        <v/>
      </c>
      <c r="I137" s="8">
        <f>IF(ISNA(MATCH(128,'Transfer Engine'!$C$2:$C$622,0)),"",INDEX('Compliance Database'!$I$2:$I$622,MATCH(128,'Transfer Engine'!$C$2:$C$622,0)))</f>
        <v/>
      </c>
      <c r="J137" s="8">
        <f>IF(ISNA(MATCH(128,'Transfer Engine'!$C$2:$C$622,0)),"",INDEX('Compliance Database'!$J$2:$J$622,MATCH(128,'Transfer Engine'!$C$2:$C$622,0)))</f>
        <v/>
      </c>
      <c r="K137">
        <f>IF(ISNA(MATCH(128,'Transfer Engine'!$C$2:$C$622,0)),"",INDEX('Compliance Database'!$K$2:$K$622,MATCH(128,'Transfer Engine'!$C$2:$C$622,0)))</f>
        <v/>
      </c>
      <c r="L137" s="8">
        <f>IF(ISNA(MATCH(128,'Transfer Engine'!$C$2:$C$622,0)),"",INDEX('Compliance Database'!$L$2:$L$622,MATCH(128,'Transfer Engine'!$C$2:$C$622,0)))</f>
        <v/>
      </c>
      <c r="M137" s="8">
        <f>IF(ISNA(MATCH(128,'Transfer Engine'!$C$2:$C$622,0)),"",INDEX('Compliance Database'!$M$2:$M$622,MATCH(128,'Transfer Engine'!$C$2:$C$622,0)))</f>
        <v/>
      </c>
      <c r="N137" s="8">
        <f>IF(ISNA(MATCH(128,'Transfer Engine'!$C$2:$C$622,0)),"",INDEX('Compliance Database'!$N$2:$N$622,MATCH(128,'Transfer Engine'!$C$2:$C$622,0)))</f>
        <v/>
      </c>
      <c r="O137" s="8">
        <f>IF(ISNA(MATCH(128,'Transfer Engine'!$C$2:$C$622,0)),"",INDEX('Compliance Database'!$O$2:$O$622,MATCH(128,'Transfer Engine'!$C$2:$C$622,0)))</f>
        <v/>
      </c>
    </row>
    <row r="138">
      <c r="A138">
        <f>IF(ISNA(MATCH(129,'Transfer Engine'!$C$2:$C$622,0)),"",INDEX('Compliance Database'!$A$2:$A$622,MATCH(129,'Transfer Engine'!$C$2:$C$622,0)))</f>
        <v/>
      </c>
      <c r="B138">
        <f>IF(ISNA(MATCH(129,'Transfer Engine'!$C$2:$C$622,0)),"",INDEX('Compliance Database'!$B$2:$B$622,MATCH(129,'Transfer Engine'!$C$2:$C$622,0)))</f>
        <v/>
      </c>
      <c r="C138">
        <f>IF(ISNA(MATCH(129,'Transfer Engine'!$C$2:$C$622,0)),"",INDEX('Compliance Database'!$C$2:$C$622,MATCH(129,'Transfer Engine'!$C$2:$C$622,0)))</f>
        <v/>
      </c>
      <c r="D138" s="8">
        <f>IF(ISNA(MATCH(129,'Transfer Engine'!$C$2:$C$622,0)),"",INDEX('Compliance Database'!$D$2:$D$622,MATCH(129,'Transfer Engine'!$C$2:$C$622,0)))</f>
        <v/>
      </c>
      <c r="E138">
        <f>IF(ISNA(MATCH(129,'Transfer Engine'!$C$2:$C$622,0)),"",INDEX('Compliance Database'!$E$2:$E$622,MATCH(129,'Transfer Engine'!$C$2:$C$622,0)))</f>
        <v/>
      </c>
      <c r="F138">
        <f>IF(ISNA(MATCH(129,'Transfer Engine'!$C$2:$C$622,0)),"",INDEX('Compliance Database'!$F$2:$F$622,MATCH(129,'Transfer Engine'!$C$2:$C$622,0)))</f>
        <v/>
      </c>
      <c r="G138">
        <f>IF(ISNA(MATCH(129,'Transfer Engine'!$C$2:$C$622,0)),"",INDEX('Compliance Database'!$G$2:$G$622,MATCH(129,'Transfer Engine'!$C$2:$C$622,0)))</f>
        <v/>
      </c>
      <c r="H138">
        <f>IF(ISNA(MATCH(129,'Transfer Engine'!$C$2:$C$622,0)),"",INDEX('Compliance Database'!$H$2:$H$622,MATCH(129,'Transfer Engine'!$C$2:$C$622,0)))</f>
        <v/>
      </c>
      <c r="I138" s="8">
        <f>IF(ISNA(MATCH(129,'Transfer Engine'!$C$2:$C$622,0)),"",INDEX('Compliance Database'!$I$2:$I$622,MATCH(129,'Transfer Engine'!$C$2:$C$622,0)))</f>
        <v/>
      </c>
      <c r="J138" s="8">
        <f>IF(ISNA(MATCH(129,'Transfer Engine'!$C$2:$C$622,0)),"",INDEX('Compliance Database'!$J$2:$J$622,MATCH(129,'Transfer Engine'!$C$2:$C$622,0)))</f>
        <v/>
      </c>
      <c r="K138">
        <f>IF(ISNA(MATCH(129,'Transfer Engine'!$C$2:$C$622,0)),"",INDEX('Compliance Database'!$K$2:$K$622,MATCH(129,'Transfer Engine'!$C$2:$C$622,0)))</f>
        <v/>
      </c>
      <c r="L138" s="8">
        <f>IF(ISNA(MATCH(129,'Transfer Engine'!$C$2:$C$622,0)),"",INDEX('Compliance Database'!$L$2:$L$622,MATCH(129,'Transfer Engine'!$C$2:$C$622,0)))</f>
        <v/>
      </c>
      <c r="M138" s="8">
        <f>IF(ISNA(MATCH(129,'Transfer Engine'!$C$2:$C$622,0)),"",INDEX('Compliance Database'!$M$2:$M$622,MATCH(129,'Transfer Engine'!$C$2:$C$622,0)))</f>
        <v/>
      </c>
      <c r="N138" s="8">
        <f>IF(ISNA(MATCH(129,'Transfer Engine'!$C$2:$C$622,0)),"",INDEX('Compliance Database'!$N$2:$N$622,MATCH(129,'Transfer Engine'!$C$2:$C$622,0)))</f>
        <v/>
      </c>
      <c r="O138" s="8">
        <f>IF(ISNA(MATCH(129,'Transfer Engine'!$C$2:$C$622,0)),"",INDEX('Compliance Database'!$O$2:$O$622,MATCH(129,'Transfer Engine'!$C$2:$C$622,0)))</f>
        <v/>
      </c>
    </row>
    <row r="139">
      <c r="A139">
        <f>IF(ISNA(MATCH(130,'Transfer Engine'!$C$2:$C$622,0)),"",INDEX('Compliance Database'!$A$2:$A$622,MATCH(130,'Transfer Engine'!$C$2:$C$622,0)))</f>
        <v/>
      </c>
      <c r="B139">
        <f>IF(ISNA(MATCH(130,'Transfer Engine'!$C$2:$C$622,0)),"",INDEX('Compliance Database'!$B$2:$B$622,MATCH(130,'Transfer Engine'!$C$2:$C$622,0)))</f>
        <v/>
      </c>
      <c r="C139">
        <f>IF(ISNA(MATCH(130,'Transfer Engine'!$C$2:$C$622,0)),"",INDEX('Compliance Database'!$C$2:$C$622,MATCH(130,'Transfer Engine'!$C$2:$C$622,0)))</f>
        <v/>
      </c>
      <c r="D139" s="8">
        <f>IF(ISNA(MATCH(130,'Transfer Engine'!$C$2:$C$622,0)),"",INDEX('Compliance Database'!$D$2:$D$622,MATCH(130,'Transfer Engine'!$C$2:$C$622,0)))</f>
        <v/>
      </c>
      <c r="E139">
        <f>IF(ISNA(MATCH(130,'Transfer Engine'!$C$2:$C$622,0)),"",INDEX('Compliance Database'!$E$2:$E$622,MATCH(130,'Transfer Engine'!$C$2:$C$622,0)))</f>
        <v/>
      </c>
      <c r="F139">
        <f>IF(ISNA(MATCH(130,'Transfer Engine'!$C$2:$C$622,0)),"",INDEX('Compliance Database'!$F$2:$F$622,MATCH(130,'Transfer Engine'!$C$2:$C$622,0)))</f>
        <v/>
      </c>
      <c r="G139">
        <f>IF(ISNA(MATCH(130,'Transfer Engine'!$C$2:$C$622,0)),"",INDEX('Compliance Database'!$G$2:$G$622,MATCH(130,'Transfer Engine'!$C$2:$C$622,0)))</f>
        <v/>
      </c>
      <c r="H139">
        <f>IF(ISNA(MATCH(130,'Transfer Engine'!$C$2:$C$622,0)),"",INDEX('Compliance Database'!$H$2:$H$622,MATCH(130,'Transfer Engine'!$C$2:$C$622,0)))</f>
        <v/>
      </c>
      <c r="I139" s="8">
        <f>IF(ISNA(MATCH(130,'Transfer Engine'!$C$2:$C$622,0)),"",INDEX('Compliance Database'!$I$2:$I$622,MATCH(130,'Transfer Engine'!$C$2:$C$622,0)))</f>
        <v/>
      </c>
      <c r="J139" s="8">
        <f>IF(ISNA(MATCH(130,'Transfer Engine'!$C$2:$C$622,0)),"",INDEX('Compliance Database'!$J$2:$J$622,MATCH(130,'Transfer Engine'!$C$2:$C$622,0)))</f>
        <v/>
      </c>
      <c r="K139">
        <f>IF(ISNA(MATCH(130,'Transfer Engine'!$C$2:$C$622,0)),"",INDEX('Compliance Database'!$K$2:$K$622,MATCH(130,'Transfer Engine'!$C$2:$C$622,0)))</f>
        <v/>
      </c>
      <c r="L139" s="8">
        <f>IF(ISNA(MATCH(130,'Transfer Engine'!$C$2:$C$622,0)),"",INDEX('Compliance Database'!$L$2:$L$622,MATCH(130,'Transfer Engine'!$C$2:$C$622,0)))</f>
        <v/>
      </c>
      <c r="M139" s="8">
        <f>IF(ISNA(MATCH(130,'Transfer Engine'!$C$2:$C$622,0)),"",INDEX('Compliance Database'!$M$2:$M$622,MATCH(130,'Transfer Engine'!$C$2:$C$622,0)))</f>
        <v/>
      </c>
      <c r="N139" s="8">
        <f>IF(ISNA(MATCH(130,'Transfer Engine'!$C$2:$C$622,0)),"",INDEX('Compliance Database'!$N$2:$N$622,MATCH(130,'Transfer Engine'!$C$2:$C$622,0)))</f>
        <v/>
      </c>
      <c r="O139" s="8">
        <f>IF(ISNA(MATCH(130,'Transfer Engine'!$C$2:$C$622,0)),"",INDEX('Compliance Database'!$O$2:$O$622,MATCH(130,'Transfer Engine'!$C$2:$C$622,0)))</f>
        <v/>
      </c>
    </row>
    <row r="140">
      <c r="A140">
        <f>IF(ISNA(MATCH(131,'Transfer Engine'!$C$2:$C$622,0)),"",INDEX('Compliance Database'!$A$2:$A$622,MATCH(131,'Transfer Engine'!$C$2:$C$622,0)))</f>
        <v/>
      </c>
      <c r="B140">
        <f>IF(ISNA(MATCH(131,'Transfer Engine'!$C$2:$C$622,0)),"",INDEX('Compliance Database'!$B$2:$B$622,MATCH(131,'Transfer Engine'!$C$2:$C$622,0)))</f>
        <v/>
      </c>
      <c r="C140">
        <f>IF(ISNA(MATCH(131,'Transfer Engine'!$C$2:$C$622,0)),"",INDEX('Compliance Database'!$C$2:$C$622,MATCH(131,'Transfer Engine'!$C$2:$C$622,0)))</f>
        <v/>
      </c>
      <c r="D140" s="8">
        <f>IF(ISNA(MATCH(131,'Transfer Engine'!$C$2:$C$622,0)),"",INDEX('Compliance Database'!$D$2:$D$622,MATCH(131,'Transfer Engine'!$C$2:$C$622,0)))</f>
        <v/>
      </c>
      <c r="E140">
        <f>IF(ISNA(MATCH(131,'Transfer Engine'!$C$2:$C$622,0)),"",INDEX('Compliance Database'!$E$2:$E$622,MATCH(131,'Transfer Engine'!$C$2:$C$622,0)))</f>
        <v/>
      </c>
      <c r="F140">
        <f>IF(ISNA(MATCH(131,'Transfer Engine'!$C$2:$C$622,0)),"",INDEX('Compliance Database'!$F$2:$F$622,MATCH(131,'Transfer Engine'!$C$2:$C$622,0)))</f>
        <v/>
      </c>
      <c r="G140">
        <f>IF(ISNA(MATCH(131,'Transfer Engine'!$C$2:$C$622,0)),"",INDEX('Compliance Database'!$G$2:$G$622,MATCH(131,'Transfer Engine'!$C$2:$C$622,0)))</f>
        <v/>
      </c>
      <c r="H140">
        <f>IF(ISNA(MATCH(131,'Transfer Engine'!$C$2:$C$622,0)),"",INDEX('Compliance Database'!$H$2:$H$622,MATCH(131,'Transfer Engine'!$C$2:$C$622,0)))</f>
        <v/>
      </c>
      <c r="I140" s="8">
        <f>IF(ISNA(MATCH(131,'Transfer Engine'!$C$2:$C$622,0)),"",INDEX('Compliance Database'!$I$2:$I$622,MATCH(131,'Transfer Engine'!$C$2:$C$622,0)))</f>
        <v/>
      </c>
      <c r="J140" s="8">
        <f>IF(ISNA(MATCH(131,'Transfer Engine'!$C$2:$C$622,0)),"",INDEX('Compliance Database'!$J$2:$J$622,MATCH(131,'Transfer Engine'!$C$2:$C$622,0)))</f>
        <v/>
      </c>
      <c r="K140">
        <f>IF(ISNA(MATCH(131,'Transfer Engine'!$C$2:$C$622,0)),"",INDEX('Compliance Database'!$K$2:$K$622,MATCH(131,'Transfer Engine'!$C$2:$C$622,0)))</f>
        <v/>
      </c>
      <c r="L140" s="8">
        <f>IF(ISNA(MATCH(131,'Transfer Engine'!$C$2:$C$622,0)),"",INDEX('Compliance Database'!$L$2:$L$622,MATCH(131,'Transfer Engine'!$C$2:$C$622,0)))</f>
        <v/>
      </c>
      <c r="M140" s="8">
        <f>IF(ISNA(MATCH(131,'Transfer Engine'!$C$2:$C$622,0)),"",INDEX('Compliance Database'!$M$2:$M$622,MATCH(131,'Transfer Engine'!$C$2:$C$622,0)))</f>
        <v/>
      </c>
      <c r="N140" s="8">
        <f>IF(ISNA(MATCH(131,'Transfer Engine'!$C$2:$C$622,0)),"",INDEX('Compliance Database'!$N$2:$N$622,MATCH(131,'Transfer Engine'!$C$2:$C$622,0)))</f>
        <v/>
      </c>
      <c r="O140" s="8">
        <f>IF(ISNA(MATCH(131,'Transfer Engine'!$C$2:$C$622,0)),"",INDEX('Compliance Database'!$O$2:$O$622,MATCH(131,'Transfer Engine'!$C$2:$C$622,0)))</f>
        <v/>
      </c>
    </row>
    <row r="141">
      <c r="A141">
        <f>IF(ISNA(MATCH(132,'Transfer Engine'!$C$2:$C$622,0)),"",INDEX('Compliance Database'!$A$2:$A$622,MATCH(132,'Transfer Engine'!$C$2:$C$622,0)))</f>
        <v/>
      </c>
      <c r="B141">
        <f>IF(ISNA(MATCH(132,'Transfer Engine'!$C$2:$C$622,0)),"",INDEX('Compliance Database'!$B$2:$B$622,MATCH(132,'Transfer Engine'!$C$2:$C$622,0)))</f>
        <v/>
      </c>
      <c r="C141">
        <f>IF(ISNA(MATCH(132,'Transfer Engine'!$C$2:$C$622,0)),"",INDEX('Compliance Database'!$C$2:$C$622,MATCH(132,'Transfer Engine'!$C$2:$C$622,0)))</f>
        <v/>
      </c>
      <c r="D141" s="8">
        <f>IF(ISNA(MATCH(132,'Transfer Engine'!$C$2:$C$622,0)),"",INDEX('Compliance Database'!$D$2:$D$622,MATCH(132,'Transfer Engine'!$C$2:$C$622,0)))</f>
        <v/>
      </c>
      <c r="E141">
        <f>IF(ISNA(MATCH(132,'Transfer Engine'!$C$2:$C$622,0)),"",INDEX('Compliance Database'!$E$2:$E$622,MATCH(132,'Transfer Engine'!$C$2:$C$622,0)))</f>
        <v/>
      </c>
      <c r="F141">
        <f>IF(ISNA(MATCH(132,'Transfer Engine'!$C$2:$C$622,0)),"",INDEX('Compliance Database'!$F$2:$F$622,MATCH(132,'Transfer Engine'!$C$2:$C$622,0)))</f>
        <v/>
      </c>
      <c r="G141">
        <f>IF(ISNA(MATCH(132,'Transfer Engine'!$C$2:$C$622,0)),"",INDEX('Compliance Database'!$G$2:$G$622,MATCH(132,'Transfer Engine'!$C$2:$C$622,0)))</f>
        <v/>
      </c>
      <c r="H141">
        <f>IF(ISNA(MATCH(132,'Transfer Engine'!$C$2:$C$622,0)),"",INDEX('Compliance Database'!$H$2:$H$622,MATCH(132,'Transfer Engine'!$C$2:$C$622,0)))</f>
        <v/>
      </c>
      <c r="I141" s="8">
        <f>IF(ISNA(MATCH(132,'Transfer Engine'!$C$2:$C$622,0)),"",INDEX('Compliance Database'!$I$2:$I$622,MATCH(132,'Transfer Engine'!$C$2:$C$622,0)))</f>
        <v/>
      </c>
      <c r="J141" s="8">
        <f>IF(ISNA(MATCH(132,'Transfer Engine'!$C$2:$C$622,0)),"",INDEX('Compliance Database'!$J$2:$J$622,MATCH(132,'Transfer Engine'!$C$2:$C$622,0)))</f>
        <v/>
      </c>
      <c r="K141">
        <f>IF(ISNA(MATCH(132,'Transfer Engine'!$C$2:$C$622,0)),"",INDEX('Compliance Database'!$K$2:$K$622,MATCH(132,'Transfer Engine'!$C$2:$C$622,0)))</f>
        <v/>
      </c>
      <c r="L141" s="8">
        <f>IF(ISNA(MATCH(132,'Transfer Engine'!$C$2:$C$622,0)),"",INDEX('Compliance Database'!$L$2:$L$622,MATCH(132,'Transfer Engine'!$C$2:$C$622,0)))</f>
        <v/>
      </c>
      <c r="M141" s="8">
        <f>IF(ISNA(MATCH(132,'Transfer Engine'!$C$2:$C$622,0)),"",INDEX('Compliance Database'!$M$2:$M$622,MATCH(132,'Transfer Engine'!$C$2:$C$622,0)))</f>
        <v/>
      </c>
      <c r="N141" s="8">
        <f>IF(ISNA(MATCH(132,'Transfer Engine'!$C$2:$C$622,0)),"",INDEX('Compliance Database'!$N$2:$N$622,MATCH(132,'Transfer Engine'!$C$2:$C$622,0)))</f>
        <v/>
      </c>
      <c r="O141" s="8">
        <f>IF(ISNA(MATCH(132,'Transfer Engine'!$C$2:$C$622,0)),"",INDEX('Compliance Database'!$O$2:$O$622,MATCH(132,'Transfer Engine'!$C$2:$C$622,0)))</f>
        <v/>
      </c>
    </row>
    <row r="142">
      <c r="A142">
        <f>IF(ISNA(MATCH(133,'Transfer Engine'!$C$2:$C$622,0)),"",INDEX('Compliance Database'!$A$2:$A$622,MATCH(133,'Transfer Engine'!$C$2:$C$622,0)))</f>
        <v/>
      </c>
      <c r="B142">
        <f>IF(ISNA(MATCH(133,'Transfer Engine'!$C$2:$C$622,0)),"",INDEX('Compliance Database'!$B$2:$B$622,MATCH(133,'Transfer Engine'!$C$2:$C$622,0)))</f>
        <v/>
      </c>
      <c r="C142">
        <f>IF(ISNA(MATCH(133,'Transfer Engine'!$C$2:$C$622,0)),"",INDEX('Compliance Database'!$C$2:$C$622,MATCH(133,'Transfer Engine'!$C$2:$C$622,0)))</f>
        <v/>
      </c>
      <c r="D142" s="8">
        <f>IF(ISNA(MATCH(133,'Transfer Engine'!$C$2:$C$622,0)),"",INDEX('Compliance Database'!$D$2:$D$622,MATCH(133,'Transfer Engine'!$C$2:$C$622,0)))</f>
        <v/>
      </c>
      <c r="E142">
        <f>IF(ISNA(MATCH(133,'Transfer Engine'!$C$2:$C$622,0)),"",INDEX('Compliance Database'!$E$2:$E$622,MATCH(133,'Transfer Engine'!$C$2:$C$622,0)))</f>
        <v/>
      </c>
      <c r="F142">
        <f>IF(ISNA(MATCH(133,'Transfer Engine'!$C$2:$C$622,0)),"",INDEX('Compliance Database'!$F$2:$F$622,MATCH(133,'Transfer Engine'!$C$2:$C$622,0)))</f>
        <v/>
      </c>
      <c r="G142">
        <f>IF(ISNA(MATCH(133,'Transfer Engine'!$C$2:$C$622,0)),"",INDEX('Compliance Database'!$G$2:$G$622,MATCH(133,'Transfer Engine'!$C$2:$C$622,0)))</f>
        <v/>
      </c>
      <c r="H142">
        <f>IF(ISNA(MATCH(133,'Transfer Engine'!$C$2:$C$622,0)),"",INDEX('Compliance Database'!$H$2:$H$622,MATCH(133,'Transfer Engine'!$C$2:$C$622,0)))</f>
        <v/>
      </c>
      <c r="I142" s="8">
        <f>IF(ISNA(MATCH(133,'Transfer Engine'!$C$2:$C$622,0)),"",INDEX('Compliance Database'!$I$2:$I$622,MATCH(133,'Transfer Engine'!$C$2:$C$622,0)))</f>
        <v/>
      </c>
      <c r="J142" s="8">
        <f>IF(ISNA(MATCH(133,'Transfer Engine'!$C$2:$C$622,0)),"",INDEX('Compliance Database'!$J$2:$J$622,MATCH(133,'Transfer Engine'!$C$2:$C$622,0)))</f>
        <v/>
      </c>
      <c r="K142">
        <f>IF(ISNA(MATCH(133,'Transfer Engine'!$C$2:$C$622,0)),"",INDEX('Compliance Database'!$K$2:$K$622,MATCH(133,'Transfer Engine'!$C$2:$C$622,0)))</f>
        <v/>
      </c>
      <c r="L142" s="8">
        <f>IF(ISNA(MATCH(133,'Transfer Engine'!$C$2:$C$622,0)),"",INDEX('Compliance Database'!$L$2:$L$622,MATCH(133,'Transfer Engine'!$C$2:$C$622,0)))</f>
        <v/>
      </c>
      <c r="M142" s="8">
        <f>IF(ISNA(MATCH(133,'Transfer Engine'!$C$2:$C$622,0)),"",INDEX('Compliance Database'!$M$2:$M$622,MATCH(133,'Transfer Engine'!$C$2:$C$622,0)))</f>
        <v/>
      </c>
      <c r="N142" s="8">
        <f>IF(ISNA(MATCH(133,'Transfer Engine'!$C$2:$C$622,0)),"",INDEX('Compliance Database'!$N$2:$N$622,MATCH(133,'Transfer Engine'!$C$2:$C$622,0)))</f>
        <v/>
      </c>
      <c r="O142" s="8">
        <f>IF(ISNA(MATCH(133,'Transfer Engine'!$C$2:$C$622,0)),"",INDEX('Compliance Database'!$O$2:$O$622,MATCH(133,'Transfer Engine'!$C$2:$C$622,0)))</f>
        <v/>
      </c>
    </row>
    <row r="143">
      <c r="A143">
        <f>IF(ISNA(MATCH(134,'Transfer Engine'!$C$2:$C$622,0)),"",INDEX('Compliance Database'!$A$2:$A$622,MATCH(134,'Transfer Engine'!$C$2:$C$622,0)))</f>
        <v/>
      </c>
      <c r="B143">
        <f>IF(ISNA(MATCH(134,'Transfer Engine'!$C$2:$C$622,0)),"",INDEX('Compliance Database'!$B$2:$B$622,MATCH(134,'Transfer Engine'!$C$2:$C$622,0)))</f>
        <v/>
      </c>
      <c r="C143">
        <f>IF(ISNA(MATCH(134,'Transfer Engine'!$C$2:$C$622,0)),"",INDEX('Compliance Database'!$C$2:$C$622,MATCH(134,'Transfer Engine'!$C$2:$C$622,0)))</f>
        <v/>
      </c>
      <c r="D143" s="8">
        <f>IF(ISNA(MATCH(134,'Transfer Engine'!$C$2:$C$622,0)),"",INDEX('Compliance Database'!$D$2:$D$622,MATCH(134,'Transfer Engine'!$C$2:$C$622,0)))</f>
        <v/>
      </c>
      <c r="E143">
        <f>IF(ISNA(MATCH(134,'Transfer Engine'!$C$2:$C$622,0)),"",INDEX('Compliance Database'!$E$2:$E$622,MATCH(134,'Transfer Engine'!$C$2:$C$622,0)))</f>
        <v/>
      </c>
      <c r="F143">
        <f>IF(ISNA(MATCH(134,'Transfer Engine'!$C$2:$C$622,0)),"",INDEX('Compliance Database'!$F$2:$F$622,MATCH(134,'Transfer Engine'!$C$2:$C$622,0)))</f>
        <v/>
      </c>
      <c r="G143">
        <f>IF(ISNA(MATCH(134,'Transfer Engine'!$C$2:$C$622,0)),"",INDEX('Compliance Database'!$G$2:$G$622,MATCH(134,'Transfer Engine'!$C$2:$C$622,0)))</f>
        <v/>
      </c>
      <c r="H143">
        <f>IF(ISNA(MATCH(134,'Transfer Engine'!$C$2:$C$622,0)),"",INDEX('Compliance Database'!$H$2:$H$622,MATCH(134,'Transfer Engine'!$C$2:$C$622,0)))</f>
        <v/>
      </c>
      <c r="I143" s="8">
        <f>IF(ISNA(MATCH(134,'Transfer Engine'!$C$2:$C$622,0)),"",INDEX('Compliance Database'!$I$2:$I$622,MATCH(134,'Transfer Engine'!$C$2:$C$622,0)))</f>
        <v/>
      </c>
      <c r="J143" s="8">
        <f>IF(ISNA(MATCH(134,'Transfer Engine'!$C$2:$C$622,0)),"",INDEX('Compliance Database'!$J$2:$J$622,MATCH(134,'Transfer Engine'!$C$2:$C$622,0)))</f>
        <v/>
      </c>
      <c r="K143">
        <f>IF(ISNA(MATCH(134,'Transfer Engine'!$C$2:$C$622,0)),"",INDEX('Compliance Database'!$K$2:$K$622,MATCH(134,'Transfer Engine'!$C$2:$C$622,0)))</f>
        <v/>
      </c>
      <c r="L143" s="8">
        <f>IF(ISNA(MATCH(134,'Transfer Engine'!$C$2:$C$622,0)),"",INDEX('Compliance Database'!$L$2:$L$622,MATCH(134,'Transfer Engine'!$C$2:$C$622,0)))</f>
        <v/>
      </c>
      <c r="M143" s="8">
        <f>IF(ISNA(MATCH(134,'Transfer Engine'!$C$2:$C$622,0)),"",INDEX('Compliance Database'!$M$2:$M$622,MATCH(134,'Transfer Engine'!$C$2:$C$622,0)))</f>
        <v/>
      </c>
      <c r="N143" s="8">
        <f>IF(ISNA(MATCH(134,'Transfer Engine'!$C$2:$C$622,0)),"",INDEX('Compliance Database'!$N$2:$N$622,MATCH(134,'Transfer Engine'!$C$2:$C$622,0)))</f>
        <v/>
      </c>
      <c r="O143" s="8">
        <f>IF(ISNA(MATCH(134,'Transfer Engine'!$C$2:$C$622,0)),"",INDEX('Compliance Database'!$O$2:$O$622,MATCH(134,'Transfer Engine'!$C$2:$C$622,0)))</f>
        <v/>
      </c>
    </row>
    <row r="144">
      <c r="A144">
        <f>IF(ISNA(MATCH(135,'Transfer Engine'!$C$2:$C$622,0)),"",INDEX('Compliance Database'!$A$2:$A$622,MATCH(135,'Transfer Engine'!$C$2:$C$622,0)))</f>
        <v/>
      </c>
      <c r="B144">
        <f>IF(ISNA(MATCH(135,'Transfer Engine'!$C$2:$C$622,0)),"",INDEX('Compliance Database'!$B$2:$B$622,MATCH(135,'Transfer Engine'!$C$2:$C$622,0)))</f>
        <v/>
      </c>
      <c r="C144">
        <f>IF(ISNA(MATCH(135,'Transfer Engine'!$C$2:$C$622,0)),"",INDEX('Compliance Database'!$C$2:$C$622,MATCH(135,'Transfer Engine'!$C$2:$C$622,0)))</f>
        <v/>
      </c>
      <c r="D144" s="8">
        <f>IF(ISNA(MATCH(135,'Transfer Engine'!$C$2:$C$622,0)),"",INDEX('Compliance Database'!$D$2:$D$622,MATCH(135,'Transfer Engine'!$C$2:$C$622,0)))</f>
        <v/>
      </c>
      <c r="E144">
        <f>IF(ISNA(MATCH(135,'Transfer Engine'!$C$2:$C$622,0)),"",INDEX('Compliance Database'!$E$2:$E$622,MATCH(135,'Transfer Engine'!$C$2:$C$622,0)))</f>
        <v/>
      </c>
      <c r="F144">
        <f>IF(ISNA(MATCH(135,'Transfer Engine'!$C$2:$C$622,0)),"",INDEX('Compliance Database'!$F$2:$F$622,MATCH(135,'Transfer Engine'!$C$2:$C$622,0)))</f>
        <v/>
      </c>
      <c r="G144">
        <f>IF(ISNA(MATCH(135,'Transfer Engine'!$C$2:$C$622,0)),"",INDEX('Compliance Database'!$G$2:$G$622,MATCH(135,'Transfer Engine'!$C$2:$C$622,0)))</f>
        <v/>
      </c>
      <c r="H144">
        <f>IF(ISNA(MATCH(135,'Transfer Engine'!$C$2:$C$622,0)),"",INDEX('Compliance Database'!$H$2:$H$622,MATCH(135,'Transfer Engine'!$C$2:$C$622,0)))</f>
        <v/>
      </c>
      <c r="I144" s="8">
        <f>IF(ISNA(MATCH(135,'Transfer Engine'!$C$2:$C$622,0)),"",INDEX('Compliance Database'!$I$2:$I$622,MATCH(135,'Transfer Engine'!$C$2:$C$622,0)))</f>
        <v/>
      </c>
      <c r="J144" s="8">
        <f>IF(ISNA(MATCH(135,'Transfer Engine'!$C$2:$C$622,0)),"",INDEX('Compliance Database'!$J$2:$J$622,MATCH(135,'Transfer Engine'!$C$2:$C$622,0)))</f>
        <v/>
      </c>
      <c r="K144">
        <f>IF(ISNA(MATCH(135,'Transfer Engine'!$C$2:$C$622,0)),"",INDEX('Compliance Database'!$K$2:$K$622,MATCH(135,'Transfer Engine'!$C$2:$C$622,0)))</f>
        <v/>
      </c>
      <c r="L144" s="8">
        <f>IF(ISNA(MATCH(135,'Transfer Engine'!$C$2:$C$622,0)),"",INDEX('Compliance Database'!$L$2:$L$622,MATCH(135,'Transfer Engine'!$C$2:$C$622,0)))</f>
        <v/>
      </c>
      <c r="M144" s="8">
        <f>IF(ISNA(MATCH(135,'Transfer Engine'!$C$2:$C$622,0)),"",INDEX('Compliance Database'!$M$2:$M$622,MATCH(135,'Transfer Engine'!$C$2:$C$622,0)))</f>
        <v/>
      </c>
      <c r="N144" s="8">
        <f>IF(ISNA(MATCH(135,'Transfer Engine'!$C$2:$C$622,0)),"",INDEX('Compliance Database'!$N$2:$N$622,MATCH(135,'Transfer Engine'!$C$2:$C$622,0)))</f>
        <v/>
      </c>
      <c r="O144" s="8">
        <f>IF(ISNA(MATCH(135,'Transfer Engine'!$C$2:$C$622,0)),"",INDEX('Compliance Database'!$O$2:$O$622,MATCH(135,'Transfer Engine'!$C$2:$C$622,0)))</f>
        <v/>
      </c>
    </row>
    <row r="145">
      <c r="A145">
        <f>IF(ISNA(MATCH(136,'Transfer Engine'!$C$2:$C$622,0)),"",INDEX('Compliance Database'!$A$2:$A$622,MATCH(136,'Transfer Engine'!$C$2:$C$622,0)))</f>
        <v/>
      </c>
      <c r="B145">
        <f>IF(ISNA(MATCH(136,'Transfer Engine'!$C$2:$C$622,0)),"",INDEX('Compliance Database'!$B$2:$B$622,MATCH(136,'Transfer Engine'!$C$2:$C$622,0)))</f>
        <v/>
      </c>
      <c r="C145">
        <f>IF(ISNA(MATCH(136,'Transfer Engine'!$C$2:$C$622,0)),"",INDEX('Compliance Database'!$C$2:$C$622,MATCH(136,'Transfer Engine'!$C$2:$C$622,0)))</f>
        <v/>
      </c>
      <c r="D145" s="8">
        <f>IF(ISNA(MATCH(136,'Transfer Engine'!$C$2:$C$622,0)),"",INDEX('Compliance Database'!$D$2:$D$622,MATCH(136,'Transfer Engine'!$C$2:$C$622,0)))</f>
        <v/>
      </c>
      <c r="E145">
        <f>IF(ISNA(MATCH(136,'Transfer Engine'!$C$2:$C$622,0)),"",INDEX('Compliance Database'!$E$2:$E$622,MATCH(136,'Transfer Engine'!$C$2:$C$622,0)))</f>
        <v/>
      </c>
      <c r="F145">
        <f>IF(ISNA(MATCH(136,'Transfer Engine'!$C$2:$C$622,0)),"",INDEX('Compliance Database'!$F$2:$F$622,MATCH(136,'Transfer Engine'!$C$2:$C$622,0)))</f>
        <v/>
      </c>
      <c r="G145">
        <f>IF(ISNA(MATCH(136,'Transfer Engine'!$C$2:$C$622,0)),"",INDEX('Compliance Database'!$G$2:$G$622,MATCH(136,'Transfer Engine'!$C$2:$C$622,0)))</f>
        <v/>
      </c>
      <c r="H145">
        <f>IF(ISNA(MATCH(136,'Transfer Engine'!$C$2:$C$622,0)),"",INDEX('Compliance Database'!$H$2:$H$622,MATCH(136,'Transfer Engine'!$C$2:$C$622,0)))</f>
        <v/>
      </c>
      <c r="I145" s="8">
        <f>IF(ISNA(MATCH(136,'Transfer Engine'!$C$2:$C$622,0)),"",INDEX('Compliance Database'!$I$2:$I$622,MATCH(136,'Transfer Engine'!$C$2:$C$622,0)))</f>
        <v/>
      </c>
      <c r="J145" s="8">
        <f>IF(ISNA(MATCH(136,'Transfer Engine'!$C$2:$C$622,0)),"",INDEX('Compliance Database'!$J$2:$J$622,MATCH(136,'Transfer Engine'!$C$2:$C$622,0)))</f>
        <v/>
      </c>
      <c r="K145">
        <f>IF(ISNA(MATCH(136,'Transfer Engine'!$C$2:$C$622,0)),"",INDEX('Compliance Database'!$K$2:$K$622,MATCH(136,'Transfer Engine'!$C$2:$C$622,0)))</f>
        <v/>
      </c>
      <c r="L145" s="8">
        <f>IF(ISNA(MATCH(136,'Transfer Engine'!$C$2:$C$622,0)),"",INDEX('Compliance Database'!$L$2:$L$622,MATCH(136,'Transfer Engine'!$C$2:$C$622,0)))</f>
        <v/>
      </c>
      <c r="M145" s="8">
        <f>IF(ISNA(MATCH(136,'Transfer Engine'!$C$2:$C$622,0)),"",INDEX('Compliance Database'!$M$2:$M$622,MATCH(136,'Transfer Engine'!$C$2:$C$622,0)))</f>
        <v/>
      </c>
      <c r="N145" s="8">
        <f>IF(ISNA(MATCH(136,'Transfer Engine'!$C$2:$C$622,0)),"",INDEX('Compliance Database'!$N$2:$N$622,MATCH(136,'Transfer Engine'!$C$2:$C$622,0)))</f>
        <v/>
      </c>
      <c r="O145" s="8">
        <f>IF(ISNA(MATCH(136,'Transfer Engine'!$C$2:$C$622,0)),"",INDEX('Compliance Database'!$O$2:$O$622,MATCH(136,'Transfer Engine'!$C$2:$C$622,0)))</f>
        <v/>
      </c>
    </row>
    <row r="146">
      <c r="A146">
        <f>IF(ISNA(MATCH(137,'Transfer Engine'!$C$2:$C$622,0)),"",INDEX('Compliance Database'!$A$2:$A$622,MATCH(137,'Transfer Engine'!$C$2:$C$622,0)))</f>
        <v/>
      </c>
      <c r="B146">
        <f>IF(ISNA(MATCH(137,'Transfer Engine'!$C$2:$C$622,0)),"",INDEX('Compliance Database'!$B$2:$B$622,MATCH(137,'Transfer Engine'!$C$2:$C$622,0)))</f>
        <v/>
      </c>
      <c r="C146">
        <f>IF(ISNA(MATCH(137,'Transfer Engine'!$C$2:$C$622,0)),"",INDEX('Compliance Database'!$C$2:$C$622,MATCH(137,'Transfer Engine'!$C$2:$C$622,0)))</f>
        <v/>
      </c>
      <c r="D146" s="8">
        <f>IF(ISNA(MATCH(137,'Transfer Engine'!$C$2:$C$622,0)),"",INDEX('Compliance Database'!$D$2:$D$622,MATCH(137,'Transfer Engine'!$C$2:$C$622,0)))</f>
        <v/>
      </c>
      <c r="E146">
        <f>IF(ISNA(MATCH(137,'Transfer Engine'!$C$2:$C$622,0)),"",INDEX('Compliance Database'!$E$2:$E$622,MATCH(137,'Transfer Engine'!$C$2:$C$622,0)))</f>
        <v/>
      </c>
      <c r="F146">
        <f>IF(ISNA(MATCH(137,'Transfer Engine'!$C$2:$C$622,0)),"",INDEX('Compliance Database'!$F$2:$F$622,MATCH(137,'Transfer Engine'!$C$2:$C$622,0)))</f>
        <v/>
      </c>
      <c r="G146">
        <f>IF(ISNA(MATCH(137,'Transfer Engine'!$C$2:$C$622,0)),"",INDEX('Compliance Database'!$G$2:$G$622,MATCH(137,'Transfer Engine'!$C$2:$C$622,0)))</f>
        <v/>
      </c>
      <c r="H146">
        <f>IF(ISNA(MATCH(137,'Transfer Engine'!$C$2:$C$622,0)),"",INDEX('Compliance Database'!$H$2:$H$622,MATCH(137,'Transfer Engine'!$C$2:$C$622,0)))</f>
        <v/>
      </c>
      <c r="I146" s="8">
        <f>IF(ISNA(MATCH(137,'Transfer Engine'!$C$2:$C$622,0)),"",INDEX('Compliance Database'!$I$2:$I$622,MATCH(137,'Transfer Engine'!$C$2:$C$622,0)))</f>
        <v/>
      </c>
      <c r="J146" s="8">
        <f>IF(ISNA(MATCH(137,'Transfer Engine'!$C$2:$C$622,0)),"",INDEX('Compliance Database'!$J$2:$J$622,MATCH(137,'Transfer Engine'!$C$2:$C$622,0)))</f>
        <v/>
      </c>
      <c r="K146">
        <f>IF(ISNA(MATCH(137,'Transfer Engine'!$C$2:$C$622,0)),"",INDEX('Compliance Database'!$K$2:$K$622,MATCH(137,'Transfer Engine'!$C$2:$C$622,0)))</f>
        <v/>
      </c>
      <c r="L146" s="8">
        <f>IF(ISNA(MATCH(137,'Transfer Engine'!$C$2:$C$622,0)),"",INDEX('Compliance Database'!$L$2:$L$622,MATCH(137,'Transfer Engine'!$C$2:$C$622,0)))</f>
        <v/>
      </c>
      <c r="M146" s="8">
        <f>IF(ISNA(MATCH(137,'Transfer Engine'!$C$2:$C$622,0)),"",INDEX('Compliance Database'!$M$2:$M$622,MATCH(137,'Transfer Engine'!$C$2:$C$622,0)))</f>
        <v/>
      </c>
      <c r="N146" s="8">
        <f>IF(ISNA(MATCH(137,'Transfer Engine'!$C$2:$C$622,0)),"",INDEX('Compliance Database'!$N$2:$N$622,MATCH(137,'Transfer Engine'!$C$2:$C$622,0)))</f>
        <v/>
      </c>
      <c r="O146" s="8">
        <f>IF(ISNA(MATCH(137,'Transfer Engine'!$C$2:$C$622,0)),"",INDEX('Compliance Database'!$O$2:$O$622,MATCH(137,'Transfer Engine'!$C$2:$C$622,0)))</f>
        <v/>
      </c>
    </row>
    <row r="147">
      <c r="A147">
        <f>IF(ISNA(MATCH(138,'Transfer Engine'!$C$2:$C$622,0)),"",INDEX('Compliance Database'!$A$2:$A$622,MATCH(138,'Transfer Engine'!$C$2:$C$622,0)))</f>
        <v/>
      </c>
      <c r="B147">
        <f>IF(ISNA(MATCH(138,'Transfer Engine'!$C$2:$C$622,0)),"",INDEX('Compliance Database'!$B$2:$B$622,MATCH(138,'Transfer Engine'!$C$2:$C$622,0)))</f>
        <v/>
      </c>
      <c r="C147">
        <f>IF(ISNA(MATCH(138,'Transfer Engine'!$C$2:$C$622,0)),"",INDEX('Compliance Database'!$C$2:$C$622,MATCH(138,'Transfer Engine'!$C$2:$C$622,0)))</f>
        <v/>
      </c>
      <c r="D147" s="8">
        <f>IF(ISNA(MATCH(138,'Transfer Engine'!$C$2:$C$622,0)),"",INDEX('Compliance Database'!$D$2:$D$622,MATCH(138,'Transfer Engine'!$C$2:$C$622,0)))</f>
        <v/>
      </c>
      <c r="E147">
        <f>IF(ISNA(MATCH(138,'Transfer Engine'!$C$2:$C$622,0)),"",INDEX('Compliance Database'!$E$2:$E$622,MATCH(138,'Transfer Engine'!$C$2:$C$622,0)))</f>
        <v/>
      </c>
      <c r="F147">
        <f>IF(ISNA(MATCH(138,'Transfer Engine'!$C$2:$C$622,0)),"",INDEX('Compliance Database'!$F$2:$F$622,MATCH(138,'Transfer Engine'!$C$2:$C$622,0)))</f>
        <v/>
      </c>
      <c r="G147">
        <f>IF(ISNA(MATCH(138,'Transfer Engine'!$C$2:$C$622,0)),"",INDEX('Compliance Database'!$G$2:$G$622,MATCH(138,'Transfer Engine'!$C$2:$C$622,0)))</f>
        <v/>
      </c>
      <c r="H147">
        <f>IF(ISNA(MATCH(138,'Transfer Engine'!$C$2:$C$622,0)),"",INDEX('Compliance Database'!$H$2:$H$622,MATCH(138,'Transfer Engine'!$C$2:$C$622,0)))</f>
        <v/>
      </c>
      <c r="I147" s="8">
        <f>IF(ISNA(MATCH(138,'Transfer Engine'!$C$2:$C$622,0)),"",INDEX('Compliance Database'!$I$2:$I$622,MATCH(138,'Transfer Engine'!$C$2:$C$622,0)))</f>
        <v/>
      </c>
      <c r="J147" s="8">
        <f>IF(ISNA(MATCH(138,'Transfer Engine'!$C$2:$C$622,0)),"",INDEX('Compliance Database'!$J$2:$J$622,MATCH(138,'Transfer Engine'!$C$2:$C$622,0)))</f>
        <v/>
      </c>
      <c r="K147">
        <f>IF(ISNA(MATCH(138,'Transfer Engine'!$C$2:$C$622,0)),"",INDEX('Compliance Database'!$K$2:$K$622,MATCH(138,'Transfer Engine'!$C$2:$C$622,0)))</f>
        <v/>
      </c>
      <c r="L147" s="8">
        <f>IF(ISNA(MATCH(138,'Transfer Engine'!$C$2:$C$622,0)),"",INDEX('Compliance Database'!$L$2:$L$622,MATCH(138,'Transfer Engine'!$C$2:$C$622,0)))</f>
        <v/>
      </c>
      <c r="M147" s="8">
        <f>IF(ISNA(MATCH(138,'Transfer Engine'!$C$2:$C$622,0)),"",INDEX('Compliance Database'!$M$2:$M$622,MATCH(138,'Transfer Engine'!$C$2:$C$622,0)))</f>
        <v/>
      </c>
      <c r="N147" s="8">
        <f>IF(ISNA(MATCH(138,'Transfer Engine'!$C$2:$C$622,0)),"",INDEX('Compliance Database'!$N$2:$N$622,MATCH(138,'Transfer Engine'!$C$2:$C$622,0)))</f>
        <v/>
      </c>
      <c r="O147" s="8">
        <f>IF(ISNA(MATCH(138,'Transfer Engine'!$C$2:$C$622,0)),"",INDEX('Compliance Database'!$O$2:$O$622,MATCH(138,'Transfer Engine'!$C$2:$C$622,0)))</f>
        <v/>
      </c>
    </row>
    <row r="148">
      <c r="A148">
        <f>IF(ISNA(MATCH(139,'Transfer Engine'!$C$2:$C$622,0)),"",INDEX('Compliance Database'!$A$2:$A$622,MATCH(139,'Transfer Engine'!$C$2:$C$622,0)))</f>
        <v/>
      </c>
      <c r="B148">
        <f>IF(ISNA(MATCH(139,'Transfer Engine'!$C$2:$C$622,0)),"",INDEX('Compliance Database'!$B$2:$B$622,MATCH(139,'Transfer Engine'!$C$2:$C$622,0)))</f>
        <v/>
      </c>
      <c r="C148">
        <f>IF(ISNA(MATCH(139,'Transfer Engine'!$C$2:$C$622,0)),"",INDEX('Compliance Database'!$C$2:$C$622,MATCH(139,'Transfer Engine'!$C$2:$C$622,0)))</f>
        <v/>
      </c>
      <c r="D148" s="8">
        <f>IF(ISNA(MATCH(139,'Transfer Engine'!$C$2:$C$622,0)),"",INDEX('Compliance Database'!$D$2:$D$622,MATCH(139,'Transfer Engine'!$C$2:$C$622,0)))</f>
        <v/>
      </c>
      <c r="E148">
        <f>IF(ISNA(MATCH(139,'Transfer Engine'!$C$2:$C$622,0)),"",INDEX('Compliance Database'!$E$2:$E$622,MATCH(139,'Transfer Engine'!$C$2:$C$622,0)))</f>
        <v/>
      </c>
      <c r="F148">
        <f>IF(ISNA(MATCH(139,'Transfer Engine'!$C$2:$C$622,0)),"",INDEX('Compliance Database'!$F$2:$F$622,MATCH(139,'Transfer Engine'!$C$2:$C$622,0)))</f>
        <v/>
      </c>
      <c r="G148">
        <f>IF(ISNA(MATCH(139,'Transfer Engine'!$C$2:$C$622,0)),"",INDEX('Compliance Database'!$G$2:$G$622,MATCH(139,'Transfer Engine'!$C$2:$C$622,0)))</f>
        <v/>
      </c>
      <c r="H148">
        <f>IF(ISNA(MATCH(139,'Transfer Engine'!$C$2:$C$622,0)),"",INDEX('Compliance Database'!$H$2:$H$622,MATCH(139,'Transfer Engine'!$C$2:$C$622,0)))</f>
        <v/>
      </c>
      <c r="I148" s="8">
        <f>IF(ISNA(MATCH(139,'Transfer Engine'!$C$2:$C$622,0)),"",INDEX('Compliance Database'!$I$2:$I$622,MATCH(139,'Transfer Engine'!$C$2:$C$622,0)))</f>
        <v/>
      </c>
      <c r="J148" s="8">
        <f>IF(ISNA(MATCH(139,'Transfer Engine'!$C$2:$C$622,0)),"",INDEX('Compliance Database'!$J$2:$J$622,MATCH(139,'Transfer Engine'!$C$2:$C$622,0)))</f>
        <v/>
      </c>
      <c r="K148">
        <f>IF(ISNA(MATCH(139,'Transfer Engine'!$C$2:$C$622,0)),"",INDEX('Compliance Database'!$K$2:$K$622,MATCH(139,'Transfer Engine'!$C$2:$C$622,0)))</f>
        <v/>
      </c>
      <c r="L148" s="8">
        <f>IF(ISNA(MATCH(139,'Transfer Engine'!$C$2:$C$622,0)),"",INDEX('Compliance Database'!$L$2:$L$622,MATCH(139,'Transfer Engine'!$C$2:$C$622,0)))</f>
        <v/>
      </c>
      <c r="M148" s="8">
        <f>IF(ISNA(MATCH(139,'Transfer Engine'!$C$2:$C$622,0)),"",INDEX('Compliance Database'!$M$2:$M$622,MATCH(139,'Transfer Engine'!$C$2:$C$622,0)))</f>
        <v/>
      </c>
      <c r="N148" s="8">
        <f>IF(ISNA(MATCH(139,'Transfer Engine'!$C$2:$C$622,0)),"",INDEX('Compliance Database'!$N$2:$N$622,MATCH(139,'Transfer Engine'!$C$2:$C$622,0)))</f>
        <v/>
      </c>
      <c r="O148" s="8">
        <f>IF(ISNA(MATCH(139,'Transfer Engine'!$C$2:$C$622,0)),"",INDEX('Compliance Database'!$O$2:$O$622,MATCH(139,'Transfer Engine'!$C$2:$C$622,0)))</f>
        <v/>
      </c>
    </row>
    <row r="149">
      <c r="A149">
        <f>IF(ISNA(MATCH(140,'Transfer Engine'!$C$2:$C$622,0)),"",INDEX('Compliance Database'!$A$2:$A$622,MATCH(140,'Transfer Engine'!$C$2:$C$622,0)))</f>
        <v/>
      </c>
      <c r="B149">
        <f>IF(ISNA(MATCH(140,'Transfer Engine'!$C$2:$C$622,0)),"",INDEX('Compliance Database'!$B$2:$B$622,MATCH(140,'Transfer Engine'!$C$2:$C$622,0)))</f>
        <v/>
      </c>
      <c r="C149">
        <f>IF(ISNA(MATCH(140,'Transfer Engine'!$C$2:$C$622,0)),"",INDEX('Compliance Database'!$C$2:$C$622,MATCH(140,'Transfer Engine'!$C$2:$C$622,0)))</f>
        <v/>
      </c>
      <c r="D149" s="8">
        <f>IF(ISNA(MATCH(140,'Transfer Engine'!$C$2:$C$622,0)),"",INDEX('Compliance Database'!$D$2:$D$622,MATCH(140,'Transfer Engine'!$C$2:$C$622,0)))</f>
        <v/>
      </c>
      <c r="E149">
        <f>IF(ISNA(MATCH(140,'Transfer Engine'!$C$2:$C$622,0)),"",INDEX('Compliance Database'!$E$2:$E$622,MATCH(140,'Transfer Engine'!$C$2:$C$622,0)))</f>
        <v/>
      </c>
      <c r="F149">
        <f>IF(ISNA(MATCH(140,'Transfer Engine'!$C$2:$C$622,0)),"",INDEX('Compliance Database'!$F$2:$F$622,MATCH(140,'Transfer Engine'!$C$2:$C$622,0)))</f>
        <v/>
      </c>
      <c r="G149">
        <f>IF(ISNA(MATCH(140,'Transfer Engine'!$C$2:$C$622,0)),"",INDEX('Compliance Database'!$G$2:$G$622,MATCH(140,'Transfer Engine'!$C$2:$C$622,0)))</f>
        <v/>
      </c>
      <c r="H149">
        <f>IF(ISNA(MATCH(140,'Transfer Engine'!$C$2:$C$622,0)),"",INDEX('Compliance Database'!$H$2:$H$622,MATCH(140,'Transfer Engine'!$C$2:$C$622,0)))</f>
        <v/>
      </c>
      <c r="I149" s="8">
        <f>IF(ISNA(MATCH(140,'Transfer Engine'!$C$2:$C$622,0)),"",INDEX('Compliance Database'!$I$2:$I$622,MATCH(140,'Transfer Engine'!$C$2:$C$622,0)))</f>
        <v/>
      </c>
      <c r="J149" s="8">
        <f>IF(ISNA(MATCH(140,'Transfer Engine'!$C$2:$C$622,0)),"",INDEX('Compliance Database'!$J$2:$J$622,MATCH(140,'Transfer Engine'!$C$2:$C$622,0)))</f>
        <v/>
      </c>
      <c r="K149">
        <f>IF(ISNA(MATCH(140,'Transfer Engine'!$C$2:$C$622,0)),"",INDEX('Compliance Database'!$K$2:$K$622,MATCH(140,'Transfer Engine'!$C$2:$C$622,0)))</f>
        <v/>
      </c>
      <c r="L149" s="8">
        <f>IF(ISNA(MATCH(140,'Transfer Engine'!$C$2:$C$622,0)),"",INDEX('Compliance Database'!$L$2:$L$622,MATCH(140,'Transfer Engine'!$C$2:$C$622,0)))</f>
        <v/>
      </c>
      <c r="M149" s="8">
        <f>IF(ISNA(MATCH(140,'Transfer Engine'!$C$2:$C$622,0)),"",INDEX('Compliance Database'!$M$2:$M$622,MATCH(140,'Transfer Engine'!$C$2:$C$622,0)))</f>
        <v/>
      </c>
      <c r="N149" s="8">
        <f>IF(ISNA(MATCH(140,'Transfer Engine'!$C$2:$C$622,0)),"",INDEX('Compliance Database'!$N$2:$N$622,MATCH(140,'Transfer Engine'!$C$2:$C$622,0)))</f>
        <v/>
      </c>
      <c r="O149" s="8">
        <f>IF(ISNA(MATCH(140,'Transfer Engine'!$C$2:$C$622,0)),"",INDEX('Compliance Database'!$O$2:$O$622,MATCH(140,'Transfer Engine'!$C$2:$C$622,0)))</f>
        <v/>
      </c>
    </row>
    <row r="150">
      <c r="A150">
        <f>IF(ISNA(MATCH(141,'Transfer Engine'!$C$2:$C$622,0)),"",INDEX('Compliance Database'!$A$2:$A$622,MATCH(141,'Transfer Engine'!$C$2:$C$622,0)))</f>
        <v/>
      </c>
      <c r="B150">
        <f>IF(ISNA(MATCH(141,'Transfer Engine'!$C$2:$C$622,0)),"",INDEX('Compliance Database'!$B$2:$B$622,MATCH(141,'Transfer Engine'!$C$2:$C$622,0)))</f>
        <v/>
      </c>
      <c r="C150">
        <f>IF(ISNA(MATCH(141,'Transfer Engine'!$C$2:$C$622,0)),"",INDEX('Compliance Database'!$C$2:$C$622,MATCH(141,'Transfer Engine'!$C$2:$C$622,0)))</f>
        <v/>
      </c>
      <c r="D150" s="8">
        <f>IF(ISNA(MATCH(141,'Transfer Engine'!$C$2:$C$622,0)),"",INDEX('Compliance Database'!$D$2:$D$622,MATCH(141,'Transfer Engine'!$C$2:$C$622,0)))</f>
        <v/>
      </c>
      <c r="E150">
        <f>IF(ISNA(MATCH(141,'Transfer Engine'!$C$2:$C$622,0)),"",INDEX('Compliance Database'!$E$2:$E$622,MATCH(141,'Transfer Engine'!$C$2:$C$622,0)))</f>
        <v/>
      </c>
      <c r="F150">
        <f>IF(ISNA(MATCH(141,'Transfer Engine'!$C$2:$C$622,0)),"",INDEX('Compliance Database'!$F$2:$F$622,MATCH(141,'Transfer Engine'!$C$2:$C$622,0)))</f>
        <v/>
      </c>
      <c r="G150">
        <f>IF(ISNA(MATCH(141,'Transfer Engine'!$C$2:$C$622,0)),"",INDEX('Compliance Database'!$G$2:$G$622,MATCH(141,'Transfer Engine'!$C$2:$C$622,0)))</f>
        <v/>
      </c>
      <c r="H150">
        <f>IF(ISNA(MATCH(141,'Transfer Engine'!$C$2:$C$622,0)),"",INDEX('Compliance Database'!$H$2:$H$622,MATCH(141,'Transfer Engine'!$C$2:$C$622,0)))</f>
        <v/>
      </c>
      <c r="I150" s="8">
        <f>IF(ISNA(MATCH(141,'Transfer Engine'!$C$2:$C$622,0)),"",INDEX('Compliance Database'!$I$2:$I$622,MATCH(141,'Transfer Engine'!$C$2:$C$622,0)))</f>
        <v/>
      </c>
      <c r="J150" s="8">
        <f>IF(ISNA(MATCH(141,'Transfer Engine'!$C$2:$C$622,0)),"",INDEX('Compliance Database'!$J$2:$J$622,MATCH(141,'Transfer Engine'!$C$2:$C$622,0)))</f>
        <v/>
      </c>
      <c r="K150">
        <f>IF(ISNA(MATCH(141,'Transfer Engine'!$C$2:$C$622,0)),"",INDEX('Compliance Database'!$K$2:$K$622,MATCH(141,'Transfer Engine'!$C$2:$C$622,0)))</f>
        <v/>
      </c>
      <c r="L150" s="8">
        <f>IF(ISNA(MATCH(141,'Transfer Engine'!$C$2:$C$622,0)),"",INDEX('Compliance Database'!$L$2:$L$622,MATCH(141,'Transfer Engine'!$C$2:$C$622,0)))</f>
        <v/>
      </c>
      <c r="M150" s="8">
        <f>IF(ISNA(MATCH(141,'Transfer Engine'!$C$2:$C$622,0)),"",INDEX('Compliance Database'!$M$2:$M$622,MATCH(141,'Transfer Engine'!$C$2:$C$622,0)))</f>
        <v/>
      </c>
      <c r="N150" s="8">
        <f>IF(ISNA(MATCH(141,'Transfer Engine'!$C$2:$C$622,0)),"",INDEX('Compliance Database'!$N$2:$N$622,MATCH(141,'Transfer Engine'!$C$2:$C$622,0)))</f>
        <v/>
      </c>
      <c r="O150" s="8">
        <f>IF(ISNA(MATCH(141,'Transfer Engine'!$C$2:$C$622,0)),"",INDEX('Compliance Database'!$O$2:$O$622,MATCH(141,'Transfer Engine'!$C$2:$C$622,0)))</f>
        <v/>
      </c>
    </row>
    <row r="151">
      <c r="A151">
        <f>IF(ISNA(MATCH(142,'Transfer Engine'!$C$2:$C$622,0)),"",INDEX('Compliance Database'!$A$2:$A$622,MATCH(142,'Transfer Engine'!$C$2:$C$622,0)))</f>
        <v/>
      </c>
      <c r="B151">
        <f>IF(ISNA(MATCH(142,'Transfer Engine'!$C$2:$C$622,0)),"",INDEX('Compliance Database'!$B$2:$B$622,MATCH(142,'Transfer Engine'!$C$2:$C$622,0)))</f>
        <v/>
      </c>
      <c r="C151">
        <f>IF(ISNA(MATCH(142,'Transfer Engine'!$C$2:$C$622,0)),"",INDEX('Compliance Database'!$C$2:$C$622,MATCH(142,'Transfer Engine'!$C$2:$C$622,0)))</f>
        <v/>
      </c>
      <c r="D151" s="8">
        <f>IF(ISNA(MATCH(142,'Transfer Engine'!$C$2:$C$622,0)),"",INDEX('Compliance Database'!$D$2:$D$622,MATCH(142,'Transfer Engine'!$C$2:$C$622,0)))</f>
        <v/>
      </c>
      <c r="E151">
        <f>IF(ISNA(MATCH(142,'Transfer Engine'!$C$2:$C$622,0)),"",INDEX('Compliance Database'!$E$2:$E$622,MATCH(142,'Transfer Engine'!$C$2:$C$622,0)))</f>
        <v/>
      </c>
      <c r="F151">
        <f>IF(ISNA(MATCH(142,'Transfer Engine'!$C$2:$C$622,0)),"",INDEX('Compliance Database'!$F$2:$F$622,MATCH(142,'Transfer Engine'!$C$2:$C$622,0)))</f>
        <v/>
      </c>
      <c r="G151">
        <f>IF(ISNA(MATCH(142,'Transfer Engine'!$C$2:$C$622,0)),"",INDEX('Compliance Database'!$G$2:$G$622,MATCH(142,'Transfer Engine'!$C$2:$C$622,0)))</f>
        <v/>
      </c>
      <c r="H151">
        <f>IF(ISNA(MATCH(142,'Transfer Engine'!$C$2:$C$622,0)),"",INDEX('Compliance Database'!$H$2:$H$622,MATCH(142,'Transfer Engine'!$C$2:$C$622,0)))</f>
        <v/>
      </c>
      <c r="I151" s="8">
        <f>IF(ISNA(MATCH(142,'Transfer Engine'!$C$2:$C$622,0)),"",INDEX('Compliance Database'!$I$2:$I$622,MATCH(142,'Transfer Engine'!$C$2:$C$622,0)))</f>
        <v/>
      </c>
      <c r="J151" s="8">
        <f>IF(ISNA(MATCH(142,'Transfer Engine'!$C$2:$C$622,0)),"",INDEX('Compliance Database'!$J$2:$J$622,MATCH(142,'Transfer Engine'!$C$2:$C$622,0)))</f>
        <v/>
      </c>
      <c r="K151">
        <f>IF(ISNA(MATCH(142,'Transfer Engine'!$C$2:$C$622,0)),"",INDEX('Compliance Database'!$K$2:$K$622,MATCH(142,'Transfer Engine'!$C$2:$C$622,0)))</f>
        <v/>
      </c>
      <c r="L151" s="8">
        <f>IF(ISNA(MATCH(142,'Transfer Engine'!$C$2:$C$622,0)),"",INDEX('Compliance Database'!$L$2:$L$622,MATCH(142,'Transfer Engine'!$C$2:$C$622,0)))</f>
        <v/>
      </c>
      <c r="M151" s="8">
        <f>IF(ISNA(MATCH(142,'Transfer Engine'!$C$2:$C$622,0)),"",INDEX('Compliance Database'!$M$2:$M$622,MATCH(142,'Transfer Engine'!$C$2:$C$622,0)))</f>
        <v/>
      </c>
      <c r="N151" s="8">
        <f>IF(ISNA(MATCH(142,'Transfer Engine'!$C$2:$C$622,0)),"",INDEX('Compliance Database'!$N$2:$N$622,MATCH(142,'Transfer Engine'!$C$2:$C$622,0)))</f>
        <v/>
      </c>
      <c r="O151" s="8">
        <f>IF(ISNA(MATCH(142,'Transfer Engine'!$C$2:$C$622,0)),"",INDEX('Compliance Database'!$O$2:$O$622,MATCH(142,'Transfer Engine'!$C$2:$C$622,0)))</f>
        <v/>
      </c>
    </row>
    <row r="152">
      <c r="A152">
        <f>IF(ISNA(MATCH(143,'Transfer Engine'!$C$2:$C$622,0)),"",INDEX('Compliance Database'!$A$2:$A$622,MATCH(143,'Transfer Engine'!$C$2:$C$622,0)))</f>
        <v/>
      </c>
      <c r="B152">
        <f>IF(ISNA(MATCH(143,'Transfer Engine'!$C$2:$C$622,0)),"",INDEX('Compliance Database'!$B$2:$B$622,MATCH(143,'Transfer Engine'!$C$2:$C$622,0)))</f>
        <v/>
      </c>
      <c r="C152">
        <f>IF(ISNA(MATCH(143,'Transfer Engine'!$C$2:$C$622,0)),"",INDEX('Compliance Database'!$C$2:$C$622,MATCH(143,'Transfer Engine'!$C$2:$C$622,0)))</f>
        <v/>
      </c>
      <c r="D152" s="8">
        <f>IF(ISNA(MATCH(143,'Transfer Engine'!$C$2:$C$622,0)),"",INDEX('Compliance Database'!$D$2:$D$622,MATCH(143,'Transfer Engine'!$C$2:$C$622,0)))</f>
        <v/>
      </c>
      <c r="E152">
        <f>IF(ISNA(MATCH(143,'Transfer Engine'!$C$2:$C$622,0)),"",INDEX('Compliance Database'!$E$2:$E$622,MATCH(143,'Transfer Engine'!$C$2:$C$622,0)))</f>
        <v/>
      </c>
      <c r="F152">
        <f>IF(ISNA(MATCH(143,'Transfer Engine'!$C$2:$C$622,0)),"",INDEX('Compliance Database'!$F$2:$F$622,MATCH(143,'Transfer Engine'!$C$2:$C$622,0)))</f>
        <v/>
      </c>
      <c r="G152">
        <f>IF(ISNA(MATCH(143,'Transfer Engine'!$C$2:$C$622,0)),"",INDEX('Compliance Database'!$G$2:$G$622,MATCH(143,'Transfer Engine'!$C$2:$C$622,0)))</f>
        <v/>
      </c>
      <c r="H152">
        <f>IF(ISNA(MATCH(143,'Transfer Engine'!$C$2:$C$622,0)),"",INDEX('Compliance Database'!$H$2:$H$622,MATCH(143,'Transfer Engine'!$C$2:$C$622,0)))</f>
        <v/>
      </c>
      <c r="I152" s="8">
        <f>IF(ISNA(MATCH(143,'Transfer Engine'!$C$2:$C$622,0)),"",INDEX('Compliance Database'!$I$2:$I$622,MATCH(143,'Transfer Engine'!$C$2:$C$622,0)))</f>
        <v/>
      </c>
      <c r="J152" s="8">
        <f>IF(ISNA(MATCH(143,'Transfer Engine'!$C$2:$C$622,0)),"",INDEX('Compliance Database'!$J$2:$J$622,MATCH(143,'Transfer Engine'!$C$2:$C$622,0)))</f>
        <v/>
      </c>
      <c r="K152">
        <f>IF(ISNA(MATCH(143,'Transfer Engine'!$C$2:$C$622,0)),"",INDEX('Compliance Database'!$K$2:$K$622,MATCH(143,'Transfer Engine'!$C$2:$C$622,0)))</f>
        <v/>
      </c>
      <c r="L152" s="8">
        <f>IF(ISNA(MATCH(143,'Transfer Engine'!$C$2:$C$622,0)),"",INDEX('Compliance Database'!$L$2:$L$622,MATCH(143,'Transfer Engine'!$C$2:$C$622,0)))</f>
        <v/>
      </c>
      <c r="M152" s="8">
        <f>IF(ISNA(MATCH(143,'Transfer Engine'!$C$2:$C$622,0)),"",INDEX('Compliance Database'!$M$2:$M$622,MATCH(143,'Transfer Engine'!$C$2:$C$622,0)))</f>
        <v/>
      </c>
      <c r="N152" s="8">
        <f>IF(ISNA(MATCH(143,'Transfer Engine'!$C$2:$C$622,0)),"",INDEX('Compliance Database'!$N$2:$N$622,MATCH(143,'Transfer Engine'!$C$2:$C$622,0)))</f>
        <v/>
      </c>
      <c r="O152" s="8">
        <f>IF(ISNA(MATCH(143,'Transfer Engine'!$C$2:$C$622,0)),"",INDEX('Compliance Database'!$O$2:$O$622,MATCH(143,'Transfer Engine'!$C$2:$C$622,0)))</f>
        <v/>
      </c>
    </row>
    <row r="153">
      <c r="A153">
        <f>IF(ISNA(MATCH(144,'Transfer Engine'!$C$2:$C$622,0)),"",INDEX('Compliance Database'!$A$2:$A$622,MATCH(144,'Transfer Engine'!$C$2:$C$622,0)))</f>
        <v/>
      </c>
      <c r="B153">
        <f>IF(ISNA(MATCH(144,'Transfer Engine'!$C$2:$C$622,0)),"",INDEX('Compliance Database'!$B$2:$B$622,MATCH(144,'Transfer Engine'!$C$2:$C$622,0)))</f>
        <v/>
      </c>
      <c r="C153">
        <f>IF(ISNA(MATCH(144,'Transfer Engine'!$C$2:$C$622,0)),"",INDEX('Compliance Database'!$C$2:$C$622,MATCH(144,'Transfer Engine'!$C$2:$C$622,0)))</f>
        <v/>
      </c>
      <c r="D153" s="8">
        <f>IF(ISNA(MATCH(144,'Transfer Engine'!$C$2:$C$622,0)),"",INDEX('Compliance Database'!$D$2:$D$622,MATCH(144,'Transfer Engine'!$C$2:$C$622,0)))</f>
        <v/>
      </c>
      <c r="E153">
        <f>IF(ISNA(MATCH(144,'Transfer Engine'!$C$2:$C$622,0)),"",INDEX('Compliance Database'!$E$2:$E$622,MATCH(144,'Transfer Engine'!$C$2:$C$622,0)))</f>
        <v/>
      </c>
      <c r="F153">
        <f>IF(ISNA(MATCH(144,'Transfer Engine'!$C$2:$C$622,0)),"",INDEX('Compliance Database'!$F$2:$F$622,MATCH(144,'Transfer Engine'!$C$2:$C$622,0)))</f>
        <v/>
      </c>
      <c r="G153">
        <f>IF(ISNA(MATCH(144,'Transfer Engine'!$C$2:$C$622,0)),"",INDEX('Compliance Database'!$G$2:$G$622,MATCH(144,'Transfer Engine'!$C$2:$C$622,0)))</f>
        <v/>
      </c>
      <c r="H153">
        <f>IF(ISNA(MATCH(144,'Transfer Engine'!$C$2:$C$622,0)),"",INDEX('Compliance Database'!$H$2:$H$622,MATCH(144,'Transfer Engine'!$C$2:$C$622,0)))</f>
        <v/>
      </c>
      <c r="I153" s="8">
        <f>IF(ISNA(MATCH(144,'Transfer Engine'!$C$2:$C$622,0)),"",INDEX('Compliance Database'!$I$2:$I$622,MATCH(144,'Transfer Engine'!$C$2:$C$622,0)))</f>
        <v/>
      </c>
      <c r="J153" s="8">
        <f>IF(ISNA(MATCH(144,'Transfer Engine'!$C$2:$C$622,0)),"",INDEX('Compliance Database'!$J$2:$J$622,MATCH(144,'Transfer Engine'!$C$2:$C$622,0)))</f>
        <v/>
      </c>
      <c r="K153">
        <f>IF(ISNA(MATCH(144,'Transfer Engine'!$C$2:$C$622,0)),"",INDEX('Compliance Database'!$K$2:$K$622,MATCH(144,'Transfer Engine'!$C$2:$C$622,0)))</f>
        <v/>
      </c>
      <c r="L153" s="8">
        <f>IF(ISNA(MATCH(144,'Transfer Engine'!$C$2:$C$622,0)),"",INDEX('Compliance Database'!$L$2:$L$622,MATCH(144,'Transfer Engine'!$C$2:$C$622,0)))</f>
        <v/>
      </c>
      <c r="M153" s="8">
        <f>IF(ISNA(MATCH(144,'Transfer Engine'!$C$2:$C$622,0)),"",INDEX('Compliance Database'!$M$2:$M$622,MATCH(144,'Transfer Engine'!$C$2:$C$622,0)))</f>
        <v/>
      </c>
      <c r="N153" s="8">
        <f>IF(ISNA(MATCH(144,'Transfer Engine'!$C$2:$C$622,0)),"",INDEX('Compliance Database'!$N$2:$N$622,MATCH(144,'Transfer Engine'!$C$2:$C$622,0)))</f>
        <v/>
      </c>
      <c r="O153" s="8">
        <f>IF(ISNA(MATCH(144,'Transfer Engine'!$C$2:$C$622,0)),"",INDEX('Compliance Database'!$O$2:$O$622,MATCH(144,'Transfer Engine'!$C$2:$C$622,0)))</f>
        <v/>
      </c>
    </row>
    <row r="154">
      <c r="A154">
        <f>IF(ISNA(MATCH(145,'Transfer Engine'!$C$2:$C$622,0)),"",INDEX('Compliance Database'!$A$2:$A$622,MATCH(145,'Transfer Engine'!$C$2:$C$622,0)))</f>
        <v/>
      </c>
      <c r="B154">
        <f>IF(ISNA(MATCH(145,'Transfer Engine'!$C$2:$C$622,0)),"",INDEX('Compliance Database'!$B$2:$B$622,MATCH(145,'Transfer Engine'!$C$2:$C$622,0)))</f>
        <v/>
      </c>
      <c r="C154">
        <f>IF(ISNA(MATCH(145,'Transfer Engine'!$C$2:$C$622,0)),"",INDEX('Compliance Database'!$C$2:$C$622,MATCH(145,'Transfer Engine'!$C$2:$C$622,0)))</f>
        <v/>
      </c>
      <c r="D154" s="8">
        <f>IF(ISNA(MATCH(145,'Transfer Engine'!$C$2:$C$622,0)),"",INDEX('Compliance Database'!$D$2:$D$622,MATCH(145,'Transfer Engine'!$C$2:$C$622,0)))</f>
        <v/>
      </c>
      <c r="E154">
        <f>IF(ISNA(MATCH(145,'Transfer Engine'!$C$2:$C$622,0)),"",INDEX('Compliance Database'!$E$2:$E$622,MATCH(145,'Transfer Engine'!$C$2:$C$622,0)))</f>
        <v/>
      </c>
      <c r="F154">
        <f>IF(ISNA(MATCH(145,'Transfer Engine'!$C$2:$C$622,0)),"",INDEX('Compliance Database'!$F$2:$F$622,MATCH(145,'Transfer Engine'!$C$2:$C$622,0)))</f>
        <v/>
      </c>
      <c r="G154">
        <f>IF(ISNA(MATCH(145,'Transfer Engine'!$C$2:$C$622,0)),"",INDEX('Compliance Database'!$G$2:$G$622,MATCH(145,'Transfer Engine'!$C$2:$C$622,0)))</f>
        <v/>
      </c>
      <c r="H154">
        <f>IF(ISNA(MATCH(145,'Transfer Engine'!$C$2:$C$622,0)),"",INDEX('Compliance Database'!$H$2:$H$622,MATCH(145,'Transfer Engine'!$C$2:$C$622,0)))</f>
        <v/>
      </c>
      <c r="I154" s="8">
        <f>IF(ISNA(MATCH(145,'Transfer Engine'!$C$2:$C$622,0)),"",INDEX('Compliance Database'!$I$2:$I$622,MATCH(145,'Transfer Engine'!$C$2:$C$622,0)))</f>
        <v/>
      </c>
      <c r="J154" s="8">
        <f>IF(ISNA(MATCH(145,'Transfer Engine'!$C$2:$C$622,0)),"",INDEX('Compliance Database'!$J$2:$J$622,MATCH(145,'Transfer Engine'!$C$2:$C$622,0)))</f>
        <v/>
      </c>
      <c r="K154">
        <f>IF(ISNA(MATCH(145,'Transfer Engine'!$C$2:$C$622,0)),"",INDEX('Compliance Database'!$K$2:$K$622,MATCH(145,'Transfer Engine'!$C$2:$C$622,0)))</f>
        <v/>
      </c>
      <c r="L154" s="8">
        <f>IF(ISNA(MATCH(145,'Transfer Engine'!$C$2:$C$622,0)),"",INDEX('Compliance Database'!$L$2:$L$622,MATCH(145,'Transfer Engine'!$C$2:$C$622,0)))</f>
        <v/>
      </c>
      <c r="M154" s="8">
        <f>IF(ISNA(MATCH(145,'Transfer Engine'!$C$2:$C$622,0)),"",INDEX('Compliance Database'!$M$2:$M$622,MATCH(145,'Transfer Engine'!$C$2:$C$622,0)))</f>
        <v/>
      </c>
      <c r="N154" s="8">
        <f>IF(ISNA(MATCH(145,'Transfer Engine'!$C$2:$C$622,0)),"",INDEX('Compliance Database'!$N$2:$N$622,MATCH(145,'Transfer Engine'!$C$2:$C$622,0)))</f>
        <v/>
      </c>
      <c r="O154" s="8">
        <f>IF(ISNA(MATCH(145,'Transfer Engine'!$C$2:$C$622,0)),"",INDEX('Compliance Database'!$O$2:$O$622,MATCH(145,'Transfer Engine'!$C$2:$C$622,0)))</f>
        <v/>
      </c>
    </row>
    <row r="155">
      <c r="A155">
        <f>IF(ISNA(MATCH(146,'Transfer Engine'!$C$2:$C$622,0)),"",INDEX('Compliance Database'!$A$2:$A$622,MATCH(146,'Transfer Engine'!$C$2:$C$622,0)))</f>
        <v/>
      </c>
      <c r="B155">
        <f>IF(ISNA(MATCH(146,'Transfer Engine'!$C$2:$C$622,0)),"",INDEX('Compliance Database'!$B$2:$B$622,MATCH(146,'Transfer Engine'!$C$2:$C$622,0)))</f>
        <v/>
      </c>
      <c r="C155">
        <f>IF(ISNA(MATCH(146,'Transfer Engine'!$C$2:$C$622,0)),"",INDEX('Compliance Database'!$C$2:$C$622,MATCH(146,'Transfer Engine'!$C$2:$C$622,0)))</f>
        <v/>
      </c>
      <c r="D155" s="8">
        <f>IF(ISNA(MATCH(146,'Transfer Engine'!$C$2:$C$622,0)),"",INDEX('Compliance Database'!$D$2:$D$622,MATCH(146,'Transfer Engine'!$C$2:$C$622,0)))</f>
        <v/>
      </c>
      <c r="E155">
        <f>IF(ISNA(MATCH(146,'Transfer Engine'!$C$2:$C$622,0)),"",INDEX('Compliance Database'!$E$2:$E$622,MATCH(146,'Transfer Engine'!$C$2:$C$622,0)))</f>
        <v/>
      </c>
      <c r="F155">
        <f>IF(ISNA(MATCH(146,'Transfer Engine'!$C$2:$C$622,0)),"",INDEX('Compliance Database'!$F$2:$F$622,MATCH(146,'Transfer Engine'!$C$2:$C$622,0)))</f>
        <v/>
      </c>
      <c r="G155">
        <f>IF(ISNA(MATCH(146,'Transfer Engine'!$C$2:$C$622,0)),"",INDEX('Compliance Database'!$G$2:$G$622,MATCH(146,'Transfer Engine'!$C$2:$C$622,0)))</f>
        <v/>
      </c>
      <c r="H155">
        <f>IF(ISNA(MATCH(146,'Transfer Engine'!$C$2:$C$622,0)),"",INDEX('Compliance Database'!$H$2:$H$622,MATCH(146,'Transfer Engine'!$C$2:$C$622,0)))</f>
        <v/>
      </c>
      <c r="I155" s="8">
        <f>IF(ISNA(MATCH(146,'Transfer Engine'!$C$2:$C$622,0)),"",INDEX('Compliance Database'!$I$2:$I$622,MATCH(146,'Transfer Engine'!$C$2:$C$622,0)))</f>
        <v/>
      </c>
      <c r="J155" s="8">
        <f>IF(ISNA(MATCH(146,'Transfer Engine'!$C$2:$C$622,0)),"",INDEX('Compliance Database'!$J$2:$J$622,MATCH(146,'Transfer Engine'!$C$2:$C$622,0)))</f>
        <v/>
      </c>
      <c r="K155">
        <f>IF(ISNA(MATCH(146,'Transfer Engine'!$C$2:$C$622,0)),"",INDEX('Compliance Database'!$K$2:$K$622,MATCH(146,'Transfer Engine'!$C$2:$C$622,0)))</f>
        <v/>
      </c>
      <c r="L155" s="8">
        <f>IF(ISNA(MATCH(146,'Transfer Engine'!$C$2:$C$622,0)),"",INDEX('Compliance Database'!$L$2:$L$622,MATCH(146,'Transfer Engine'!$C$2:$C$622,0)))</f>
        <v/>
      </c>
      <c r="M155" s="8">
        <f>IF(ISNA(MATCH(146,'Transfer Engine'!$C$2:$C$622,0)),"",INDEX('Compliance Database'!$M$2:$M$622,MATCH(146,'Transfer Engine'!$C$2:$C$622,0)))</f>
        <v/>
      </c>
      <c r="N155" s="8">
        <f>IF(ISNA(MATCH(146,'Transfer Engine'!$C$2:$C$622,0)),"",INDEX('Compliance Database'!$N$2:$N$622,MATCH(146,'Transfer Engine'!$C$2:$C$622,0)))</f>
        <v/>
      </c>
      <c r="O155" s="8">
        <f>IF(ISNA(MATCH(146,'Transfer Engine'!$C$2:$C$622,0)),"",INDEX('Compliance Database'!$O$2:$O$622,MATCH(146,'Transfer Engine'!$C$2:$C$622,0)))</f>
        <v/>
      </c>
    </row>
    <row r="156">
      <c r="A156">
        <f>IF(ISNA(MATCH(147,'Transfer Engine'!$C$2:$C$622,0)),"",INDEX('Compliance Database'!$A$2:$A$622,MATCH(147,'Transfer Engine'!$C$2:$C$622,0)))</f>
        <v/>
      </c>
      <c r="B156">
        <f>IF(ISNA(MATCH(147,'Transfer Engine'!$C$2:$C$622,0)),"",INDEX('Compliance Database'!$B$2:$B$622,MATCH(147,'Transfer Engine'!$C$2:$C$622,0)))</f>
        <v/>
      </c>
      <c r="C156">
        <f>IF(ISNA(MATCH(147,'Transfer Engine'!$C$2:$C$622,0)),"",INDEX('Compliance Database'!$C$2:$C$622,MATCH(147,'Transfer Engine'!$C$2:$C$622,0)))</f>
        <v/>
      </c>
      <c r="D156" s="8">
        <f>IF(ISNA(MATCH(147,'Transfer Engine'!$C$2:$C$622,0)),"",INDEX('Compliance Database'!$D$2:$D$622,MATCH(147,'Transfer Engine'!$C$2:$C$622,0)))</f>
        <v/>
      </c>
      <c r="E156">
        <f>IF(ISNA(MATCH(147,'Transfer Engine'!$C$2:$C$622,0)),"",INDEX('Compliance Database'!$E$2:$E$622,MATCH(147,'Transfer Engine'!$C$2:$C$622,0)))</f>
        <v/>
      </c>
      <c r="F156">
        <f>IF(ISNA(MATCH(147,'Transfer Engine'!$C$2:$C$622,0)),"",INDEX('Compliance Database'!$F$2:$F$622,MATCH(147,'Transfer Engine'!$C$2:$C$622,0)))</f>
        <v/>
      </c>
      <c r="G156">
        <f>IF(ISNA(MATCH(147,'Transfer Engine'!$C$2:$C$622,0)),"",INDEX('Compliance Database'!$G$2:$G$622,MATCH(147,'Transfer Engine'!$C$2:$C$622,0)))</f>
        <v/>
      </c>
      <c r="H156">
        <f>IF(ISNA(MATCH(147,'Transfer Engine'!$C$2:$C$622,0)),"",INDEX('Compliance Database'!$H$2:$H$622,MATCH(147,'Transfer Engine'!$C$2:$C$622,0)))</f>
        <v/>
      </c>
      <c r="I156" s="8">
        <f>IF(ISNA(MATCH(147,'Transfer Engine'!$C$2:$C$622,0)),"",INDEX('Compliance Database'!$I$2:$I$622,MATCH(147,'Transfer Engine'!$C$2:$C$622,0)))</f>
        <v/>
      </c>
      <c r="J156" s="8">
        <f>IF(ISNA(MATCH(147,'Transfer Engine'!$C$2:$C$622,0)),"",INDEX('Compliance Database'!$J$2:$J$622,MATCH(147,'Transfer Engine'!$C$2:$C$622,0)))</f>
        <v/>
      </c>
      <c r="K156">
        <f>IF(ISNA(MATCH(147,'Transfer Engine'!$C$2:$C$622,0)),"",INDEX('Compliance Database'!$K$2:$K$622,MATCH(147,'Transfer Engine'!$C$2:$C$622,0)))</f>
        <v/>
      </c>
      <c r="L156" s="8">
        <f>IF(ISNA(MATCH(147,'Transfer Engine'!$C$2:$C$622,0)),"",INDEX('Compliance Database'!$L$2:$L$622,MATCH(147,'Transfer Engine'!$C$2:$C$622,0)))</f>
        <v/>
      </c>
      <c r="M156" s="8">
        <f>IF(ISNA(MATCH(147,'Transfer Engine'!$C$2:$C$622,0)),"",INDEX('Compliance Database'!$M$2:$M$622,MATCH(147,'Transfer Engine'!$C$2:$C$622,0)))</f>
        <v/>
      </c>
      <c r="N156" s="8">
        <f>IF(ISNA(MATCH(147,'Transfer Engine'!$C$2:$C$622,0)),"",INDEX('Compliance Database'!$N$2:$N$622,MATCH(147,'Transfer Engine'!$C$2:$C$622,0)))</f>
        <v/>
      </c>
      <c r="O156" s="8">
        <f>IF(ISNA(MATCH(147,'Transfer Engine'!$C$2:$C$622,0)),"",INDEX('Compliance Database'!$O$2:$O$622,MATCH(147,'Transfer Engine'!$C$2:$C$622,0)))</f>
        <v/>
      </c>
    </row>
    <row r="157">
      <c r="A157">
        <f>IF(ISNA(MATCH(148,'Transfer Engine'!$C$2:$C$622,0)),"",INDEX('Compliance Database'!$A$2:$A$622,MATCH(148,'Transfer Engine'!$C$2:$C$622,0)))</f>
        <v/>
      </c>
      <c r="B157">
        <f>IF(ISNA(MATCH(148,'Transfer Engine'!$C$2:$C$622,0)),"",INDEX('Compliance Database'!$B$2:$B$622,MATCH(148,'Transfer Engine'!$C$2:$C$622,0)))</f>
        <v/>
      </c>
      <c r="C157">
        <f>IF(ISNA(MATCH(148,'Transfer Engine'!$C$2:$C$622,0)),"",INDEX('Compliance Database'!$C$2:$C$622,MATCH(148,'Transfer Engine'!$C$2:$C$622,0)))</f>
        <v/>
      </c>
      <c r="D157" s="8">
        <f>IF(ISNA(MATCH(148,'Transfer Engine'!$C$2:$C$622,0)),"",INDEX('Compliance Database'!$D$2:$D$622,MATCH(148,'Transfer Engine'!$C$2:$C$622,0)))</f>
        <v/>
      </c>
      <c r="E157">
        <f>IF(ISNA(MATCH(148,'Transfer Engine'!$C$2:$C$622,0)),"",INDEX('Compliance Database'!$E$2:$E$622,MATCH(148,'Transfer Engine'!$C$2:$C$622,0)))</f>
        <v/>
      </c>
      <c r="F157">
        <f>IF(ISNA(MATCH(148,'Transfer Engine'!$C$2:$C$622,0)),"",INDEX('Compliance Database'!$F$2:$F$622,MATCH(148,'Transfer Engine'!$C$2:$C$622,0)))</f>
        <v/>
      </c>
      <c r="G157">
        <f>IF(ISNA(MATCH(148,'Transfer Engine'!$C$2:$C$622,0)),"",INDEX('Compliance Database'!$G$2:$G$622,MATCH(148,'Transfer Engine'!$C$2:$C$622,0)))</f>
        <v/>
      </c>
      <c r="H157">
        <f>IF(ISNA(MATCH(148,'Transfer Engine'!$C$2:$C$622,0)),"",INDEX('Compliance Database'!$H$2:$H$622,MATCH(148,'Transfer Engine'!$C$2:$C$622,0)))</f>
        <v/>
      </c>
      <c r="I157" s="8">
        <f>IF(ISNA(MATCH(148,'Transfer Engine'!$C$2:$C$622,0)),"",INDEX('Compliance Database'!$I$2:$I$622,MATCH(148,'Transfer Engine'!$C$2:$C$622,0)))</f>
        <v/>
      </c>
      <c r="J157" s="8">
        <f>IF(ISNA(MATCH(148,'Transfer Engine'!$C$2:$C$622,0)),"",INDEX('Compliance Database'!$J$2:$J$622,MATCH(148,'Transfer Engine'!$C$2:$C$622,0)))</f>
        <v/>
      </c>
      <c r="K157">
        <f>IF(ISNA(MATCH(148,'Transfer Engine'!$C$2:$C$622,0)),"",INDEX('Compliance Database'!$K$2:$K$622,MATCH(148,'Transfer Engine'!$C$2:$C$622,0)))</f>
        <v/>
      </c>
      <c r="L157" s="8">
        <f>IF(ISNA(MATCH(148,'Transfer Engine'!$C$2:$C$622,0)),"",INDEX('Compliance Database'!$L$2:$L$622,MATCH(148,'Transfer Engine'!$C$2:$C$622,0)))</f>
        <v/>
      </c>
      <c r="M157" s="8">
        <f>IF(ISNA(MATCH(148,'Transfer Engine'!$C$2:$C$622,0)),"",INDEX('Compliance Database'!$M$2:$M$622,MATCH(148,'Transfer Engine'!$C$2:$C$622,0)))</f>
        <v/>
      </c>
      <c r="N157" s="8">
        <f>IF(ISNA(MATCH(148,'Transfer Engine'!$C$2:$C$622,0)),"",INDEX('Compliance Database'!$N$2:$N$622,MATCH(148,'Transfer Engine'!$C$2:$C$622,0)))</f>
        <v/>
      </c>
      <c r="O157" s="8">
        <f>IF(ISNA(MATCH(148,'Transfer Engine'!$C$2:$C$622,0)),"",INDEX('Compliance Database'!$O$2:$O$622,MATCH(148,'Transfer Engine'!$C$2:$C$622,0)))</f>
        <v/>
      </c>
    </row>
    <row r="158">
      <c r="A158">
        <f>IF(ISNA(MATCH(149,'Transfer Engine'!$C$2:$C$622,0)),"",INDEX('Compliance Database'!$A$2:$A$622,MATCH(149,'Transfer Engine'!$C$2:$C$622,0)))</f>
        <v/>
      </c>
      <c r="B158">
        <f>IF(ISNA(MATCH(149,'Transfer Engine'!$C$2:$C$622,0)),"",INDEX('Compliance Database'!$B$2:$B$622,MATCH(149,'Transfer Engine'!$C$2:$C$622,0)))</f>
        <v/>
      </c>
      <c r="C158">
        <f>IF(ISNA(MATCH(149,'Transfer Engine'!$C$2:$C$622,0)),"",INDEX('Compliance Database'!$C$2:$C$622,MATCH(149,'Transfer Engine'!$C$2:$C$622,0)))</f>
        <v/>
      </c>
      <c r="D158" s="8">
        <f>IF(ISNA(MATCH(149,'Transfer Engine'!$C$2:$C$622,0)),"",INDEX('Compliance Database'!$D$2:$D$622,MATCH(149,'Transfer Engine'!$C$2:$C$622,0)))</f>
        <v/>
      </c>
      <c r="E158">
        <f>IF(ISNA(MATCH(149,'Transfer Engine'!$C$2:$C$622,0)),"",INDEX('Compliance Database'!$E$2:$E$622,MATCH(149,'Transfer Engine'!$C$2:$C$622,0)))</f>
        <v/>
      </c>
      <c r="F158">
        <f>IF(ISNA(MATCH(149,'Transfer Engine'!$C$2:$C$622,0)),"",INDEX('Compliance Database'!$F$2:$F$622,MATCH(149,'Transfer Engine'!$C$2:$C$622,0)))</f>
        <v/>
      </c>
      <c r="G158">
        <f>IF(ISNA(MATCH(149,'Transfer Engine'!$C$2:$C$622,0)),"",INDEX('Compliance Database'!$G$2:$G$622,MATCH(149,'Transfer Engine'!$C$2:$C$622,0)))</f>
        <v/>
      </c>
      <c r="H158">
        <f>IF(ISNA(MATCH(149,'Transfer Engine'!$C$2:$C$622,0)),"",INDEX('Compliance Database'!$H$2:$H$622,MATCH(149,'Transfer Engine'!$C$2:$C$622,0)))</f>
        <v/>
      </c>
      <c r="I158" s="8">
        <f>IF(ISNA(MATCH(149,'Transfer Engine'!$C$2:$C$622,0)),"",INDEX('Compliance Database'!$I$2:$I$622,MATCH(149,'Transfer Engine'!$C$2:$C$622,0)))</f>
        <v/>
      </c>
      <c r="J158" s="8">
        <f>IF(ISNA(MATCH(149,'Transfer Engine'!$C$2:$C$622,0)),"",INDEX('Compliance Database'!$J$2:$J$622,MATCH(149,'Transfer Engine'!$C$2:$C$622,0)))</f>
        <v/>
      </c>
      <c r="K158">
        <f>IF(ISNA(MATCH(149,'Transfer Engine'!$C$2:$C$622,0)),"",INDEX('Compliance Database'!$K$2:$K$622,MATCH(149,'Transfer Engine'!$C$2:$C$622,0)))</f>
        <v/>
      </c>
      <c r="L158" s="8">
        <f>IF(ISNA(MATCH(149,'Transfer Engine'!$C$2:$C$622,0)),"",INDEX('Compliance Database'!$L$2:$L$622,MATCH(149,'Transfer Engine'!$C$2:$C$622,0)))</f>
        <v/>
      </c>
      <c r="M158" s="8">
        <f>IF(ISNA(MATCH(149,'Transfer Engine'!$C$2:$C$622,0)),"",INDEX('Compliance Database'!$M$2:$M$622,MATCH(149,'Transfer Engine'!$C$2:$C$622,0)))</f>
        <v/>
      </c>
      <c r="N158" s="8">
        <f>IF(ISNA(MATCH(149,'Transfer Engine'!$C$2:$C$622,0)),"",INDEX('Compliance Database'!$N$2:$N$622,MATCH(149,'Transfer Engine'!$C$2:$C$622,0)))</f>
        <v/>
      </c>
      <c r="O158" s="8">
        <f>IF(ISNA(MATCH(149,'Transfer Engine'!$C$2:$C$622,0)),"",INDEX('Compliance Database'!$O$2:$O$622,MATCH(149,'Transfer Engine'!$C$2:$C$622,0)))</f>
        <v/>
      </c>
    </row>
    <row r="159">
      <c r="A159">
        <f>IF(ISNA(MATCH(150,'Transfer Engine'!$C$2:$C$622,0)),"",INDEX('Compliance Database'!$A$2:$A$622,MATCH(150,'Transfer Engine'!$C$2:$C$622,0)))</f>
        <v/>
      </c>
      <c r="B159">
        <f>IF(ISNA(MATCH(150,'Transfer Engine'!$C$2:$C$622,0)),"",INDEX('Compliance Database'!$B$2:$B$622,MATCH(150,'Transfer Engine'!$C$2:$C$622,0)))</f>
        <v/>
      </c>
      <c r="C159">
        <f>IF(ISNA(MATCH(150,'Transfer Engine'!$C$2:$C$622,0)),"",INDEX('Compliance Database'!$C$2:$C$622,MATCH(150,'Transfer Engine'!$C$2:$C$622,0)))</f>
        <v/>
      </c>
      <c r="D159" s="8">
        <f>IF(ISNA(MATCH(150,'Transfer Engine'!$C$2:$C$622,0)),"",INDEX('Compliance Database'!$D$2:$D$622,MATCH(150,'Transfer Engine'!$C$2:$C$622,0)))</f>
        <v/>
      </c>
      <c r="E159">
        <f>IF(ISNA(MATCH(150,'Transfer Engine'!$C$2:$C$622,0)),"",INDEX('Compliance Database'!$E$2:$E$622,MATCH(150,'Transfer Engine'!$C$2:$C$622,0)))</f>
        <v/>
      </c>
      <c r="F159">
        <f>IF(ISNA(MATCH(150,'Transfer Engine'!$C$2:$C$622,0)),"",INDEX('Compliance Database'!$F$2:$F$622,MATCH(150,'Transfer Engine'!$C$2:$C$622,0)))</f>
        <v/>
      </c>
      <c r="G159">
        <f>IF(ISNA(MATCH(150,'Transfer Engine'!$C$2:$C$622,0)),"",INDEX('Compliance Database'!$G$2:$G$622,MATCH(150,'Transfer Engine'!$C$2:$C$622,0)))</f>
        <v/>
      </c>
      <c r="H159">
        <f>IF(ISNA(MATCH(150,'Transfer Engine'!$C$2:$C$622,0)),"",INDEX('Compliance Database'!$H$2:$H$622,MATCH(150,'Transfer Engine'!$C$2:$C$622,0)))</f>
        <v/>
      </c>
      <c r="I159" s="8">
        <f>IF(ISNA(MATCH(150,'Transfer Engine'!$C$2:$C$622,0)),"",INDEX('Compliance Database'!$I$2:$I$622,MATCH(150,'Transfer Engine'!$C$2:$C$622,0)))</f>
        <v/>
      </c>
      <c r="J159" s="8">
        <f>IF(ISNA(MATCH(150,'Transfer Engine'!$C$2:$C$622,0)),"",INDEX('Compliance Database'!$J$2:$J$622,MATCH(150,'Transfer Engine'!$C$2:$C$622,0)))</f>
        <v/>
      </c>
      <c r="K159">
        <f>IF(ISNA(MATCH(150,'Transfer Engine'!$C$2:$C$622,0)),"",INDEX('Compliance Database'!$K$2:$K$622,MATCH(150,'Transfer Engine'!$C$2:$C$622,0)))</f>
        <v/>
      </c>
      <c r="L159" s="8">
        <f>IF(ISNA(MATCH(150,'Transfer Engine'!$C$2:$C$622,0)),"",INDEX('Compliance Database'!$L$2:$L$622,MATCH(150,'Transfer Engine'!$C$2:$C$622,0)))</f>
        <v/>
      </c>
      <c r="M159" s="8">
        <f>IF(ISNA(MATCH(150,'Transfer Engine'!$C$2:$C$622,0)),"",INDEX('Compliance Database'!$M$2:$M$622,MATCH(150,'Transfer Engine'!$C$2:$C$622,0)))</f>
        <v/>
      </c>
      <c r="N159" s="8">
        <f>IF(ISNA(MATCH(150,'Transfer Engine'!$C$2:$C$622,0)),"",INDEX('Compliance Database'!$N$2:$N$622,MATCH(150,'Transfer Engine'!$C$2:$C$622,0)))</f>
        <v/>
      </c>
      <c r="O159" s="8">
        <f>IF(ISNA(MATCH(150,'Transfer Engine'!$C$2:$C$622,0)),"",INDEX('Compliance Database'!$O$2:$O$622,MATCH(150,'Transfer Engine'!$C$2:$C$622,0)))</f>
        <v/>
      </c>
    </row>
    <row r="160">
      <c r="A160">
        <f>IF(ISNA(MATCH(151,'Transfer Engine'!$C$2:$C$622,0)),"",INDEX('Compliance Database'!$A$2:$A$622,MATCH(151,'Transfer Engine'!$C$2:$C$622,0)))</f>
        <v/>
      </c>
      <c r="B160">
        <f>IF(ISNA(MATCH(151,'Transfer Engine'!$C$2:$C$622,0)),"",INDEX('Compliance Database'!$B$2:$B$622,MATCH(151,'Transfer Engine'!$C$2:$C$622,0)))</f>
        <v/>
      </c>
      <c r="C160">
        <f>IF(ISNA(MATCH(151,'Transfer Engine'!$C$2:$C$622,0)),"",INDEX('Compliance Database'!$C$2:$C$622,MATCH(151,'Transfer Engine'!$C$2:$C$622,0)))</f>
        <v/>
      </c>
      <c r="D160" s="8">
        <f>IF(ISNA(MATCH(151,'Transfer Engine'!$C$2:$C$622,0)),"",INDEX('Compliance Database'!$D$2:$D$622,MATCH(151,'Transfer Engine'!$C$2:$C$622,0)))</f>
        <v/>
      </c>
      <c r="E160">
        <f>IF(ISNA(MATCH(151,'Transfer Engine'!$C$2:$C$622,0)),"",INDEX('Compliance Database'!$E$2:$E$622,MATCH(151,'Transfer Engine'!$C$2:$C$622,0)))</f>
        <v/>
      </c>
      <c r="F160">
        <f>IF(ISNA(MATCH(151,'Transfer Engine'!$C$2:$C$622,0)),"",INDEX('Compliance Database'!$F$2:$F$622,MATCH(151,'Transfer Engine'!$C$2:$C$622,0)))</f>
        <v/>
      </c>
      <c r="G160">
        <f>IF(ISNA(MATCH(151,'Transfer Engine'!$C$2:$C$622,0)),"",INDEX('Compliance Database'!$G$2:$G$622,MATCH(151,'Transfer Engine'!$C$2:$C$622,0)))</f>
        <v/>
      </c>
      <c r="H160">
        <f>IF(ISNA(MATCH(151,'Transfer Engine'!$C$2:$C$622,0)),"",INDEX('Compliance Database'!$H$2:$H$622,MATCH(151,'Transfer Engine'!$C$2:$C$622,0)))</f>
        <v/>
      </c>
      <c r="I160" s="8">
        <f>IF(ISNA(MATCH(151,'Transfer Engine'!$C$2:$C$622,0)),"",INDEX('Compliance Database'!$I$2:$I$622,MATCH(151,'Transfer Engine'!$C$2:$C$622,0)))</f>
        <v/>
      </c>
      <c r="J160" s="8">
        <f>IF(ISNA(MATCH(151,'Transfer Engine'!$C$2:$C$622,0)),"",INDEX('Compliance Database'!$J$2:$J$622,MATCH(151,'Transfer Engine'!$C$2:$C$622,0)))</f>
        <v/>
      </c>
      <c r="K160">
        <f>IF(ISNA(MATCH(151,'Transfer Engine'!$C$2:$C$622,0)),"",INDEX('Compliance Database'!$K$2:$K$622,MATCH(151,'Transfer Engine'!$C$2:$C$622,0)))</f>
        <v/>
      </c>
      <c r="L160" s="8">
        <f>IF(ISNA(MATCH(151,'Transfer Engine'!$C$2:$C$622,0)),"",INDEX('Compliance Database'!$L$2:$L$622,MATCH(151,'Transfer Engine'!$C$2:$C$622,0)))</f>
        <v/>
      </c>
      <c r="M160" s="8">
        <f>IF(ISNA(MATCH(151,'Transfer Engine'!$C$2:$C$622,0)),"",INDEX('Compliance Database'!$M$2:$M$622,MATCH(151,'Transfer Engine'!$C$2:$C$622,0)))</f>
        <v/>
      </c>
      <c r="N160" s="8">
        <f>IF(ISNA(MATCH(151,'Transfer Engine'!$C$2:$C$622,0)),"",INDEX('Compliance Database'!$N$2:$N$622,MATCH(151,'Transfer Engine'!$C$2:$C$622,0)))</f>
        <v/>
      </c>
      <c r="O160" s="8">
        <f>IF(ISNA(MATCH(151,'Transfer Engine'!$C$2:$C$622,0)),"",INDEX('Compliance Database'!$O$2:$O$622,MATCH(151,'Transfer Engine'!$C$2:$C$622,0)))</f>
        <v/>
      </c>
    </row>
    <row r="161">
      <c r="A161">
        <f>IF(ISNA(MATCH(152,'Transfer Engine'!$C$2:$C$622,0)),"",INDEX('Compliance Database'!$A$2:$A$622,MATCH(152,'Transfer Engine'!$C$2:$C$622,0)))</f>
        <v/>
      </c>
      <c r="B161">
        <f>IF(ISNA(MATCH(152,'Transfer Engine'!$C$2:$C$622,0)),"",INDEX('Compliance Database'!$B$2:$B$622,MATCH(152,'Transfer Engine'!$C$2:$C$622,0)))</f>
        <v/>
      </c>
      <c r="C161">
        <f>IF(ISNA(MATCH(152,'Transfer Engine'!$C$2:$C$622,0)),"",INDEX('Compliance Database'!$C$2:$C$622,MATCH(152,'Transfer Engine'!$C$2:$C$622,0)))</f>
        <v/>
      </c>
      <c r="D161" s="8">
        <f>IF(ISNA(MATCH(152,'Transfer Engine'!$C$2:$C$622,0)),"",INDEX('Compliance Database'!$D$2:$D$622,MATCH(152,'Transfer Engine'!$C$2:$C$622,0)))</f>
        <v/>
      </c>
      <c r="E161">
        <f>IF(ISNA(MATCH(152,'Transfer Engine'!$C$2:$C$622,0)),"",INDEX('Compliance Database'!$E$2:$E$622,MATCH(152,'Transfer Engine'!$C$2:$C$622,0)))</f>
        <v/>
      </c>
      <c r="F161">
        <f>IF(ISNA(MATCH(152,'Transfer Engine'!$C$2:$C$622,0)),"",INDEX('Compliance Database'!$F$2:$F$622,MATCH(152,'Transfer Engine'!$C$2:$C$622,0)))</f>
        <v/>
      </c>
      <c r="G161">
        <f>IF(ISNA(MATCH(152,'Transfer Engine'!$C$2:$C$622,0)),"",INDEX('Compliance Database'!$G$2:$G$622,MATCH(152,'Transfer Engine'!$C$2:$C$622,0)))</f>
        <v/>
      </c>
      <c r="H161">
        <f>IF(ISNA(MATCH(152,'Transfer Engine'!$C$2:$C$622,0)),"",INDEX('Compliance Database'!$H$2:$H$622,MATCH(152,'Transfer Engine'!$C$2:$C$622,0)))</f>
        <v/>
      </c>
      <c r="I161" s="8">
        <f>IF(ISNA(MATCH(152,'Transfer Engine'!$C$2:$C$622,0)),"",INDEX('Compliance Database'!$I$2:$I$622,MATCH(152,'Transfer Engine'!$C$2:$C$622,0)))</f>
        <v/>
      </c>
      <c r="J161" s="8">
        <f>IF(ISNA(MATCH(152,'Transfer Engine'!$C$2:$C$622,0)),"",INDEX('Compliance Database'!$J$2:$J$622,MATCH(152,'Transfer Engine'!$C$2:$C$622,0)))</f>
        <v/>
      </c>
      <c r="K161">
        <f>IF(ISNA(MATCH(152,'Transfer Engine'!$C$2:$C$622,0)),"",INDEX('Compliance Database'!$K$2:$K$622,MATCH(152,'Transfer Engine'!$C$2:$C$622,0)))</f>
        <v/>
      </c>
      <c r="L161" s="8">
        <f>IF(ISNA(MATCH(152,'Transfer Engine'!$C$2:$C$622,0)),"",INDEX('Compliance Database'!$L$2:$L$622,MATCH(152,'Transfer Engine'!$C$2:$C$622,0)))</f>
        <v/>
      </c>
      <c r="M161" s="8">
        <f>IF(ISNA(MATCH(152,'Transfer Engine'!$C$2:$C$622,0)),"",INDEX('Compliance Database'!$M$2:$M$622,MATCH(152,'Transfer Engine'!$C$2:$C$622,0)))</f>
        <v/>
      </c>
      <c r="N161" s="8">
        <f>IF(ISNA(MATCH(152,'Transfer Engine'!$C$2:$C$622,0)),"",INDEX('Compliance Database'!$N$2:$N$622,MATCH(152,'Transfer Engine'!$C$2:$C$622,0)))</f>
        <v/>
      </c>
      <c r="O161" s="8">
        <f>IF(ISNA(MATCH(152,'Transfer Engine'!$C$2:$C$622,0)),"",INDEX('Compliance Database'!$O$2:$O$622,MATCH(152,'Transfer Engine'!$C$2:$C$622,0)))</f>
        <v/>
      </c>
    </row>
    <row r="162">
      <c r="A162">
        <f>IF(ISNA(MATCH(153,'Transfer Engine'!$C$2:$C$622,0)),"",INDEX('Compliance Database'!$A$2:$A$622,MATCH(153,'Transfer Engine'!$C$2:$C$622,0)))</f>
        <v/>
      </c>
      <c r="B162">
        <f>IF(ISNA(MATCH(153,'Transfer Engine'!$C$2:$C$622,0)),"",INDEX('Compliance Database'!$B$2:$B$622,MATCH(153,'Transfer Engine'!$C$2:$C$622,0)))</f>
        <v/>
      </c>
      <c r="C162">
        <f>IF(ISNA(MATCH(153,'Transfer Engine'!$C$2:$C$622,0)),"",INDEX('Compliance Database'!$C$2:$C$622,MATCH(153,'Transfer Engine'!$C$2:$C$622,0)))</f>
        <v/>
      </c>
      <c r="D162" s="8">
        <f>IF(ISNA(MATCH(153,'Transfer Engine'!$C$2:$C$622,0)),"",INDEX('Compliance Database'!$D$2:$D$622,MATCH(153,'Transfer Engine'!$C$2:$C$622,0)))</f>
        <v/>
      </c>
      <c r="E162">
        <f>IF(ISNA(MATCH(153,'Transfer Engine'!$C$2:$C$622,0)),"",INDEX('Compliance Database'!$E$2:$E$622,MATCH(153,'Transfer Engine'!$C$2:$C$622,0)))</f>
        <v/>
      </c>
      <c r="F162">
        <f>IF(ISNA(MATCH(153,'Transfer Engine'!$C$2:$C$622,0)),"",INDEX('Compliance Database'!$F$2:$F$622,MATCH(153,'Transfer Engine'!$C$2:$C$622,0)))</f>
        <v/>
      </c>
      <c r="G162">
        <f>IF(ISNA(MATCH(153,'Transfer Engine'!$C$2:$C$622,0)),"",INDEX('Compliance Database'!$G$2:$G$622,MATCH(153,'Transfer Engine'!$C$2:$C$622,0)))</f>
        <v/>
      </c>
      <c r="H162">
        <f>IF(ISNA(MATCH(153,'Transfer Engine'!$C$2:$C$622,0)),"",INDEX('Compliance Database'!$H$2:$H$622,MATCH(153,'Transfer Engine'!$C$2:$C$622,0)))</f>
        <v/>
      </c>
      <c r="I162" s="8">
        <f>IF(ISNA(MATCH(153,'Transfer Engine'!$C$2:$C$622,0)),"",INDEX('Compliance Database'!$I$2:$I$622,MATCH(153,'Transfer Engine'!$C$2:$C$622,0)))</f>
        <v/>
      </c>
      <c r="J162" s="8">
        <f>IF(ISNA(MATCH(153,'Transfer Engine'!$C$2:$C$622,0)),"",INDEX('Compliance Database'!$J$2:$J$622,MATCH(153,'Transfer Engine'!$C$2:$C$622,0)))</f>
        <v/>
      </c>
      <c r="K162">
        <f>IF(ISNA(MATCH(153,'Transfer Engine'!$C$2:$C$622,0)),"",INDEX('Compliance Database'!$K$2:$K$622,MATCH(153,'Transfer Engine'!$C$2:$C$622,0)))</f>
        <v/>
      </c>
      <c r="L162" s="8">
        <f>IF(ISNA(MATCH(153,'Transfer Engine'!$C$2:$C$622,0)),"",INDEX('Compliance Database'!$L$2:$L$622,MATCH(153,'Transfer Engine'!$C$2:$C$622,0)))</f>
        <v/>
      </c>
      <c r="M162" s="8">
        <f>IF(ISNA(MATCH(153,'Transfer Engine'!$C$2:$C$622,0)),"",INDEX('Compliance Database'!$M$2:$M$622,MATCH(153,'Transfer Engine'!$C$2:$C$622,0)))</f>
        <v/>
      </c>
      <c r="N162" s="8">
        <f>IF(ISNA(MATCH(153,'Transfer Engine'!$C$2:$C$622,0)),"",INDEX('Compliance Database'!$N$2:$N$622,MATCH(153,'Transfer Engine'!$C$2:$C$622,0)))</f>
        <v/>
      </c>
      <c r="O162" s="8">
        <f>IF(ISNA(MATCH(153,'Transfer Engine'!$C$2:$C$622,0)),"",INDEX('Compliance Database'!$O$2:$O$622,MATCH(153,'Transfer Engine'!$C$2:$C$622,0)))</f>
        <v/>
      </c>
    </row>
    <row r="163">
      <c r="A163">
        <f>IF(ISNA(MATCH(154,'Transfer Engine'!$C$2:$C$622,0)),"",INDEX('Compliance Database'!$A$2:$A$622,MATCH(154,'Transfer Engine'!$C$2:$C$622,0)))</f>
        <v/>
      </c>
      <c r="B163">
        <f>IF(ISNA(MATCH(154,'Transfer Engine'!$C$2:$C$622,0)),"",INDEX('Compliance Database'!$B$2:$B$622,MATCH(154,'Transfer Engine'!$C$2:$C$622,0)))</f>
        <v/>
      </c>
      <c r="C163">
        <f>IF(ISNA(MATCH(154,'Transfer Engine'!$C$2:$C$622,0)),"",INDEX('Compliance Database'!$C$2:$C$622,MATCH(154,'Transfer Engine'!$C$2:$C$622,0)))</f>
        <v/>
      </c>
      <c r="D163" s="8">
        <f>IF(ISNA(MATCH(154,'Transfer Engine'!$C$2:$C$622,0)),"",INDEX('Compliance Database'!$D$2:$D$622,MATCH(154,'Transfer Engine'!$C$2:$C$622,0)))</f>
        <v/>
      </c>
      <c r="E163">
        <f>IF(ISNA(MATCH(154,'Transfer Engine'!$C$2:$C$622,0)),"",INDEX('Compliance Database'!$E$2:$E$622,MATCH(154,'Transfer Engine'!$C$2:$C$622,0)))</f>
        <v/>
      </c>
      <c r="F163">
        <f>IF(ISNA(MATCH(154,'Transfer Engine'!$C$2:$C$622,0)),"",INDEX('Compliance Database'!$F$2:$F$622,MATCH(154,'Transfer Engine'!$C$2:$C$622,0)))</f>
        <v/>
      </c>
      <c r="G163">
        <f>IF(ISNA(MATCH(154,'Transfer Engine'!$C$2:$C$622,0)),"",INDEX('Compliance Database'!$G$2:$G$622,MATCH(154,'Transfer Engine'!$C$2:$C$622,0)))</f>
        <v/>
      </c>
      <c r="H163">
        <f>IF(ISNA(MATCH(154,'Transfer Engine'!$C$2:$C$622,0)),"",INDEX('Compliance Database'!$H$2:$H$622,MATCH(154,'Transfer Engine'!$C$2:$C$622,0)))</f>
        <v/>
      </c>
      <c r="I163" s="8">
        <f>IF(ISNA(MATCH(154,'Transfer Engine'!$C$2:$C$622,0)),"",INDEX('Compliance Database'!$I$2:$I$622,MATCH(154,'Transfer Engine'!$C$2:$C$622,0)))</f>
        <v/>
      </c>
      <c r="J163" s="8">
        <f>IF(ISNA(MATCH(154,'Transfer Engine'!$C$2:$C$622,0)),"",INDEX('Compliance Database'!$J$2:$J$622,MATCH(154,'Transfer Engine'!$C$2:$C$622,0)))</f>
        <v/>
      </c>
      <c r="K163">
        <f>IF(ISNA(MATCH(154,'Transfer Engine'!$C$2:$C$622,0)),"",INDEX('Compliance Database'!$K$2:$K$622,MATCH(154,'Transfer Engine'!$C$2:$C$622,0)))</f>
        <v/>
      </c>
      <c r="L163" s="8">
        <f>IF(ISNA(MATCH(154,'Transfer Engine'!$C$2:$C$622,0)),"",INDEX('Compliance Database'!$L$2:$L$622,MATCH(154,'Transfer Engine'!$C$2:$C$622,0)))</f>
        <v/>
      </c>
      <c r="M163" s="8">
        <f>IF(ISNA(MATCH(154,'Transfer Engine'!$C$2:$C$622,0)),"",INDEX('Compliance Database'!$M$2:$M$622,MATCH(154,'Transfer Engine'!$C$2:$C$622,0)))</f>
        <v/>
      </c>
      <c r="N163" s="8">
        <f>IF(ISNA(MATCH(154,'Transfer Engine'!$C$2:$C$622,0)),"",INDEX('Compliance Database'!$N$2:$N$622,MATCH(154,'Transfer Engine'!$C$2:$C$622,0)))</f>
        <v/>
      </c>
      <c r="O163" s="8">
        <f>IF(ISNA(MATCH(154,'Transfer Engine'!$C$2:$C$622,0)),"",INDEX('Compliance Database'!$O$2:$O$622,MATCH(154,'Transfer Engine'!$C$2:$C$622,0)))</f>
        <v/>
      </c>
    </row>
    <row r="164">
      <c r="A164">
        <f>IF(ISNA(MATCH(155,'Transfer Engine'!$C$2:$C$622,0)),"",INDEX('Compliance Database'!$A$2:$A$622,MATCH(155,'Transfer Engine'!$C$2:$C$622,0)))</f>
        <v/>
      </c>
      <c r="B164">
        <f>IF(ISNA(MATCH(155,'Transfer Engine'!$C$2:$C$622,0)),"",INDEX('Compliance Database'!$B$2:$B$622,MATCH(155,'Transfer Engine'!$C$2:$C$622,0)))</f>
        <v/>
      </c>
      <c r="C164">
        <f>IF(ISNA(MATCH(155,'Transfer Engine'!$C$2:$C$622,0)),"",INDEX('Compliance Database'!$C$2:$C$622,MATCH(155,'Transfer Engine'!$C$2:$C$622,0)))</f>
        <v/>
      </c>
      <c r="D164" s="8">
        <f>IF(ISNA(MATCH(155,'Transfer Engine'!$C$2:$C$622,0)),"",INDEX('Compliance Database'!$D$2:$D$622,MATCH(155,'Transfer Engine'!$C$2:$C$622,0)))</f>
        <v/>
      </c>
      <c r="E164">
        <f>IF(ISNA(MATCH(155,'Transfer Engine'!$C$2:$C$622,0)),"",INDEX('Compliance Database'!$E$2:$E$622,MATCH(155,'Transfer Engine'!$C$2:$C$622,0)))</f>
        <v/>
      </c>
      <c r="F164">
        <f>IF(ISNA(MATCH(155,'Transfer Engine'!$C$2:$C$622,0)),"",INDEX('Compliance Database'!$F$2:$F$622,MATCH(155,'Transfer Engine'!$C$2:$C$622,0)))</f>
        <v/>
      </c>
      <c r="G164">
        <f>IF(ISNA(MATCH(155,'Transfer Engine'!$C$2:$C$622,0)),"",INDEX('Compliance Database'!$G$2:$G$622,MATCH(155,'Transfer Engine'!$C$2:$C$622,0)))</f>
        <v/>
      </c>
      <c r="H164">
        <f>IF(ISNA(MATCH(155,'Transfer Engine'!$C$2:$C$622,0)),"",INDEX('Compliance Database'!$H$2:$H$622,MATCH(155,'Transfer Engine'!$C$2:$C$622,0)))</f>
        <v/>
      </c>
      <c r="I164" s="8">
        <f>IF(ISNA(MATCH(155,'Transfer Engine'!$C$2:$C$622,0)),"",INDEX('Compliance Database'!$I$2:$I$622,MATCH(155,'Transfer Engine'!$C$2:$C$622,0)))</f>
        <v/>
      </c>
      <c r="J164" s="8">
        <f>IF(ISNA(MATCH(155,'Transfer Engine'!$C$2:$C$622,0)),"",INDEX('Compliance Database'!$J$2:$J$622,MATCH(155,'Transfer Engine'!$C$2:$C$622,0)))</f>
        <v/>
      </c>
      <c r="K164">
        <f>IF(ISNA(MATCH(155,'Transfer Engine'!$C$2:$C$622,0)),"",INDEX('Compliance Database'!$K$2:$K$622,MATCH(155,'Transfer Engine'!$C$2:$C$622,0)))</f>
        <v/>
      </c>
      <c r="L164" s="8">
        <f>IF(ISNA(MATCH(155,'Transfer Engine'!$C$2:$C$622,0)),"",INDEX('Compliance Database'!$L$2:$L$622,MATCH(155,'Transfer Engine'!$C$2:$C$622,0)))</f>
        <v/>
      </c>
      <c r="M164" s="8">
        <f>IF(ISNA(MATCH(155,'Transfer Engine'!$C$2:$C$622,0)),"",INDEX('Compliance Database'!$M$2:$M$622,MATCH(155,'Transfer Engine'!$C$2:$C$622,0)))</f>
        <v/>
      </c>
      <c r="N164" s="8">
        <f>IF(ISNA(MATCH(155,'Transfer Engine'!$C$2:$C$622,0)),"",INDEX('Compliance Database'!$N$2:$N$622,MATCH(155,'Transfer Engine'!$C$2:$C$622,0)))</f>
        <v/>
      </c>
      <c r="O164" s="8">
        <f>IF(ISNA(MATCH(155,'Transfer Engine'!$C$2:$C$622,0)),"",INDEX('Compliance Database'!$O$2:$O$622,MATCH(155,'Transfer Engine'!$C$2:$C$622,0)))</f>
        <v/>
      </c>
    </row>
    <row r="165">
      <c r="A165">
        <f>IF(ISNA(MATCH(156,'Transfer Engine'!$C$2:$C$622,0)),"",INDEX('Compliance Database'!$A$2:$A$622,MATCH(156,'Transfer Engine'!$C$2:$C$622,0)))</f>
        <v/>
      </c>
      <c r="B165">
        <f>IF(ISNA(MATCH(156,'Transfer Engine'!$C$2:$C$622,0)),"",INDEX('Compliance Database'!$B$2:$B$622,MATCH(156,'Transfer Engine'!$C$2:$C$622,0)))</f>
        <v/>
      </c>
      <c r="C165">
        <f>IF(ISNA(MATCH(156,'Transfer Engine'!$C$2:$C$622,0)),"",INDEX('Compliance Database'!$C$2:$C$622,MATCH(156,'Transfer Engine'!$C$2:$C$622,0)))</f>
        <v/>
      </c>
      <c r="D165" s="8">
        <f>IF(ISNA(MATCH(156,'Transfer Engine'!$C$2:$C$622,0)),"",INDEX('Compliance Database'!$D$2:$D$622,MATCH(156,'Transfer Engine'!$C$2:$C$622,0)))</f>
        <v/>
      </c>
      <c r="E165">
        <f>IF(ISNA(MATCH(156,'Transfer Engine'!$C$2:$C$622,0)),"",INDEX('Compliance Database'!$E$2:$E$622,MATCH(156,'Transfer Engine'!$C$2:$C$622,0)))</f>
        <v/>
      </c>
      <c r="F165">
        <f>IF(ISNA(MATCH(156,'Transfer Engine'!$C$2:$C$622,0)),"",INDEX('Compliance Database'!$F$2:$F$622,MATCH(156,'Transfer Engine'!$C$2:$C$622,0)))</f>
        <v/>
      </c>
      <c r="G165">
        <f>IF(ISNA(MATCH(156,'Transfer Engine'!$C$2:$C$622,0)),"",INDEX('Compliance Database'!$G$2:$G$622,MATCH(156,'Transfer Engine'!$C$2:$C$622,0)))</f>
        <v/>
      </c>
      <c r="H165">
        <f>IF(ISNA(MATCH(156,'Transfer Engine'!$C$2:$C$622,0)),"",INDEX('Compliance Database'!$H$2:$H$622,MATCH(156,'Transfer Engine'!$C$2:$C$622,0)))</f>
        <v/>
      </c>
      <c r="I165" s="8">
        <f>IF(ISNA(MATCH(156,'Transfer Engine'!$C$2:$C$622,0)),"",INDEX('Compliance Database'!$I$2:$I$622,MATCH(156,'Transfer Engine'!$C$2:$C$622,0)))</f>
        <v/>
      </c>
      <c r="J165" s="8">
        <f>IF(ISNA(MATCH(156,'Transfer Engine'!$C$2:$C$622,0)),"",INDEX('Compliance Database'!$J$2:$J$622,MATCH(156,'Transfer Engine'!$C$2:$C$622,0)))</f>
        <v/>
      </c>
      <c r="K165">
        <f>IF(ISNA(MATCH(156,'Transfer Engine'!$C$2:$C$622,0)),"",INDEX('Compliance Database'!$K$2:$K$622,MATCH(156,'Transfer Engine'!$C$2:$C$622,0)))</f>
        <v/>
      </c>
      <c r="L165" s="8">
        <f>IF(ISNA(MATCH(156,'Transfer Engine'!$C$2:$C$622,0)),"",INDEX('Compliance Database'!$L$2:$L$622,MATCH(156,'Transfer Engine'!$C$2:$C$622,0)))</f>
        <v/>
      </c>
      <c r="M165" s="8">
        <f>IF(ISNA(MATCH(156,'Transfer Engine'!$C$2:$C$622,0)),"",INDEX('Compliance Database'!$M$2:$M$622,MATCH(156,'Transfer Engine'!$C$2:$C$622,0)))</f>
        <v/>
      </c>
      <c r="N165" s="8">
        <f>IF(ISNA(MATCH(156,'Transfer Engine'!$C$2:$C$622,0)),"",INDEX('Compliance Database'!$N$2:$N$622,MATCH(156,'Transfer Engine'!$C$2:$C$622,0)))</f>
        <v/>
      </c>
      <c r="O165" s="8">
        <f>IF(ISNA(MATCH(156,'Transfer Engine'!$C$2:$C$622,0)),"",INDEX('Compliance Database'!$O$2:$O$622,MATCH(156,'Transfer Engine'!$C$2:$C$622,0)))</f>
        <v/>
      </c>
    </row>
    <row r="166">
      <c r="A166">
        <f>IF(ISNA(MATCH(157,'Transfer Engine'!$C$2:$C$622,0)),"",INDEX('Compliance Database'!$A$2:$A$622,MATCH(157,'Transfer Engine'!$C$2:$C$622,0)))</f>
        <v/>
      </c>
      <c r="B166">
        <f>IF(ISNA(MATCH(157,'Transfer Engine'!$C$2:$C$622,0)),"",INDEX('Compliance Database'!$B$2:$B$622,MATCH(157,'Transfer Engine'!$C$2:$C$622,0)))</f>
        <v/>
      </c>
      <c r="C166">
        <f>IF(ISNA(MATCH(157,'Transfer Engine'!$C$2:$C$622,0)),"",INDEX('Compliance Database'!$C$2:$C$622,MATCH(157,'Transfer Engine'!$C$2:$C$622,0)))</f>
        <v/>
      </c>
      <c r="D166" s="8">
        <f>IF(ISNA(MATCH(157,'Transfer Engine'!$C$2:$C$622,0)),"",INDEX('Compliance Database'!$D$2:$D$622,MATCH(157,'Transfer Engine'!$C$2:$C$622,0)))</f>
        <v/>
      </c>
      <c r="E166">
        <f>IF(ISNA(MATCH(157,'Transfer Engine'!$C$2:$C$622,0)),"",INDEX('Compliance Database'!$E$2:$E$622,MATCH(157,'Transfer Engine'!$C$2:$C$622,0)))</f>
        <v/>
      </c>
      <c r="F166">
        <f>IF(ISNA(MATCH(157,'Transfer Engine'!$C$2:$C$622,0)),"",INDEX('Compliance Database'!$F$2:$F$622,MATCH(157,'Transfer Engine'!$C$2:$C$622,0)))</f>
        <v/>
      </c>
      <c r="G166">
        <f>IF(ISNA(MATCH(157,'Transfer Engine'!$C$2:$C$622,0)),"",INDEX('Compliance Database'!$G$2:$G$622,MATCH(157,'Transfer Engine'!$C$2:$C$622,0)))</f>
        <v/>
      </c>
      <c r="H166">
        <f>IF(ISNA(MATCH(157,'Transfer Engine'!$C$2:$C$622,0)),"",INDEX('Compliance Database'!$H$2:$H$622,MATCH(157,'Transfer Engine'!$C$2:$C$622,0)))</f>
        <v/>
      </c>
      <c r="I166" s="8">
        <f>IF(ISNA(MATCH(157,'Transfer Engine'!$C$2:$C$622,0)),"",INDEX('Compliance Database'!$I$2:$I$622,MATCH(157,'Transfer Engine'!$C$2:$C$622,0)))</f>
        <v/>
      </c>
      <c r="J166" s="8">
        <f>IF(ISNA(MATCH(157,'Transfer Engine'!$C$2:$C$622,0)),"",INDEX('Compliance Database'!$J$2:$J$622,MATCH(157,'Transfer Engine'!$C$2:$C$622,0)))</f>
        <v/>
      </c>
      <c r="K166">
        <f>IF(ISNA(MATCH(157,'Transfer Engine'!$C$2:$C$622,0)),"",INDEX('Compliance Database'!$K$2:$K$622,MATCH(157,'Transfer Engine'!$C$2:$C$622,0)))</f>
        <v/>
      </c>
      <c r="L166" s="8">
        <f>IF(ISNA(MATCH(157,'Transfer Engine'!$C$2:$C$622,0)),"",INDEX('Compliance Database'!$L$2:$L$622,MATCH(157,'Transfer Engine'!$C$2:$C$622,0)))</f>
        <v/>
      </c>
      <c r="M166" s="8">
        <f>IF(ISNA(MATCH(157,'Transfer Engine'!$C$2:$C$622,0)),"",INDEX('Compliance Database'!$M$2:$M$622,MATCH(157,'Transfer Engine'!$C$2:$C$622,0)))</f>
        <v/>
      </c>
      <c r="N166" s="8">
        <f>IF(ISNA(MATCH(157,'Transfer Engine'!$C$2:$C$622,0)),"",INDEX('Compliance Database'!$N$2:$N$622,MATCH(157,'Transfer Engine'!$C$2:$C$622,0)))</f>
        <v/>
      </c>
      <c r="O166" s="8">
        <f>IF(ISNA(MATCH(157,'Transfer Engine'!$C$2:$C$622,0)),"",INDEX('Compliance Database'!$O$2:$O$622,MATCH(157,'Transfer Engine'!$C$2:$C$622,0)))</f>
        <v/>
      </c>
    </row>
    <row r="167">
      <c r="A167">
        <f>IF(ISNA(MATCH(158,'Transfer Engine'!$C$2:$C$622,0)),"",INDEX('Compliance Database'!$A$2:$A$622,MATCH(158,'Transfer Engine'!$C$2:$C$622,0)))</f>
        <v/>
      </c>
      <c r="B167">
        <f>IF(ISNA(MATCH(158,'Transfer Engine'!$C$2:$C$622,0)),"",INDEX('Compliance Database'!$B$2:$B$622,MATCH(158,'Transfer Engine'!$C$2:$C$622,0)))</f>
        <v/>
      </c>
      <c r="C167">
        <f>IF(ISNA(MATCH(158,'Transfer Engine'!$C$2:$C$622,0)),"",INDEX('Compliance Database'!$C$2:$C$622,MATCH(158,'Transfer Engine'!$C$2:$C$622,0)))</f>
        <v/>
      </c>
      <c r="D167" s="8">
        <f>IF(ISNA(MATCH(158,'Transfer Engine'!$C$2:$C$622,0)),"",INDEX('Compliance Database'!$D$2:$D$622,MATCH(158,'Transfer Engine'!$C$2:$C$622,0)))</f>
        <v/>
      </c>
      <c r="E167">
        <f>IF(ISNA(MATCH(158,'Transfer Engine'!$C$2:$C$622,0)),"",INDEX('Compliance Database'!$E$2:$E$622,MATCH(158,'Transfer Engine'!$C$2:$C$622,0)))</f>
        <v/>
      </c>
      <c r="F167">
        <f>IF(ISNA(MATCH(158,'Transfer Engine'!$C$2:$C$622,0)),"",INDEX('Compliance Database'!$F$2:$F$622,MATCH(158,'Transfer Engine'!$C$2:$C$622,0)))</f>
        <v/>
      </c>
      <c r="G167">
        <f>IF(ISNA(MATCH(158,'Transfer Engine'!$C$2:$C$622,0)),"",INDEX('Compliance Database'!$G$2:$G$622,MATCH(158,'Transfer Engine'!$C$2:$C$622,0)))</f>
        <v/>
      </c>
      <c r="H167">
        <f>IF(ISNA(MATCH(158,'Transfer Engine'!$C$2:$C$622,0)),"",INDEX('Compliance Database'!$H$2:$H$622,MATCH(158,'Transfer Engine'!$C$2:$C$622,0)))</f>
        <v/>
      </c>
      <c r="I167" s="8">
        <f>IF(ISNA(MATCH(158,'Transfer Engine'!$C$2:$C$622,0)),"",INDEX('Compliance Database'!$I$2:$I$622,MATCH(158,'Transfer Engine'!$C$2:$C$622,0)))</f>
        <v/>
      </c>
      <c r="J167" s="8">
        <f>IF(ISNA(MATCH(158,'Transfer Engine'!$C$2:$C$622,0)),"",INDEX('Compliance Database'!$J$2:$J$622,MATCH(158,'Transfer Engine'!$C$2:$C$622,0)))</f>
        <v/>
      </c>
      <c r="K167">
        <f>IF(ISNA(MATCH(158,'Transfer Engine'!$C$2:$C$622,0)),"",INDEX('Compliance Database'!$K$2:$K$622,MATCH(158,'Transfer Engine'!$C$2:$C$622,0)))</f>
        <v/>
      </c>
      <c r="L167" s="8">
        <f>IF(ISNA(MATCH(158,'Transfer Engine'!$C$2:$C$622,0)),"",INDEX('Compliance Database'!$L$2:$L$622,MATCH(158,'Transfer Engine'!$C$2:$C$622,0)))</f>
        <v/>
      </c>
      <c r="M167" s="8">
        <f>IF(ISNA(MATCH(158,'Transfer Engine'!$C$2:$C$622,0)),"",INDEX('Compliance Database'!$M$2:$M$622,MATCH(158,'Transfer Engine'!$C$2:$C$622,0)))</f>
        <v/>
      </c>
      <c r="N167" s="8">
        <f>IF(ISNA(MATCH(158,'Transfer Engine'!$C$2:$C$622,0)),"",INDEX('Compliance Database'!$N$2:$N$622,MATCH(158,'Transfer Engine'!$C$2:$C$622,0)))</f>
        <v/>
      </c>
      <c r="O167" s="8">
        <f>IF(ISNA(MATCH(158,'Transfer Engine'!$C$2:$C$622,0)),"",INDEX('Compliance Database'!$O$2:$O$622,MATCH(158,'Transfer Engine'!$C$2:$C$622,0)))</f>
        <v/>
      </c>
    </row>
    <row r="168">
      <c r="A168">
        <f>IF(ISNA(MATCH(159,'Transfer Engine'!$C$2:$C$622,0)),"",INDEX('Compliance Database'!$A$2:$A$622,MATCH(159,'Transfer Engine'!$C$2:$C$622,0)))</f>
        <v/>
      </c>
      <c r="B168">
        <f>IF(ISNA(MATCH(159,'Transfer Engine'!$C$2:$C$622,0)),"",INDEX('Compliance Database'!$B$2:$B$622,MATCH(159,'Transfer Engine'!$C$2:$C$622,0)))</f>
        <v/>
      </c>
      <c r="C168">
        <f>IF(ISNA(MATCH(159,'Transfer Engine'!$C$2:$C$622,0)),"",INDEX('Compliance Database'!$C$2:$C$622,MATCH(159,'Transfer Engine'!$C$2:$C$622,0)))</f>
        <v/>
      </c>
      <c r="D168" s="8">
        <f>IF(ISNA(MATCH(159,'Transfer Engine'!$C$2:$C$622,0)),"",INDEX('Compliance Database'!$D$2:$D$622,MATCH(159,'Transfer Engine'!$C$2:$C$622,0)))</f>
        <v/>
      </c>
      <c r="E168">
        <f>IF(ISNA(MATCH(159,'Transfer Engine'!$C$2:$C$622,0)),"",INDEX('Compliance Database'!$E$2:$E$622,MATCH(159,'Transfer Engine'!$C$2:$C$622,0)))</f>
        <v/>
      </c>
      <c r="F168">
        <f>IF(ISNA(MATCH(159,'Transfer Engine'!$C$2:$C$622,0)),"",INDEX('Compliance Database'!$F$2:$F$622,MATCH(159,'Transfer Engine'!$C$2:$C$622,0)))</f>
        <v/>
      </c>
      <c r="G168">
        <f>IF(ISNA(MATCH(159,'Transfer Engine'!$C$2:$C$622,0)),"",INDEX('Compliance Database'!$G$2:$G$622,MATCH(159,'Transfer Engine'!$C$2:$C$622,0)))</f>
        <v/>
      </c>
      <c r="H168">
        <f>IF(ISNA(MATCH(159,'Transfer Engine'!$C$2:$C$622,0)),"",INDEX('Compliance Database'!$H$2:$H$622,MATCH(159,'Transfer Engine'!$C$2:$C$622,0)))</f>
        <v/>
      </c>
      <c r="I168" s="8">
        <f>IF(ISNA(MATCH(159,'Transfer Engine'!$C$2:$C$622,0)),"",INDEX('Compliance Database'!$I$2:$I$622,MATCH(159,'Transfer Engine'!$C$2:$C$622,0)))</f>
        <v/>
      </c>
      <c r="J168" s="8">
        <f>IF(ISNA(MATCH(159,'Transfer Engine'!$C$2:$C$622,0)),"",INDEX('Compliance Database'!$J$2:$J$622,MATCH(159,'Transfer Engine'!$C$2:$C$622,0)))</f>
        <v/>
      </c>
      <c r="K168">
        <f>IF(ISNA(MATCH(159,'Transfer Engine'!$C$2:$C$622,0)),"",INDEX('Compliance Database'!$K$2:$K$622,MATCH(159,'Transfer Engine'!$C$2:$C$622,0)))</f>
        <v/>
      </c>
      <c r="L168" s="8">
        <f>IF(ISNA(MATCH(159,'Transfer Engine'!$C$2:$C$622,0)),"",INDEX('Compliance Database'!$L$2:$L$622,MATCH(159,'Transfer Engine'!$C$2:$C$622,0)))</f>
        <v/>
      </c>
      <c r="M168" s="8">
        <f>IF(ISNA(MATCH(159,'Transfer Engine'!$C$2:$C$622,0)),"",INDEX('Compliance Database'!$M$2:$M$622,MATCH(159,'Transfer Engine'!$C$2:$C$622,0)))</f>
        <v/>
      </c>
      <c r="N168" s="8">
        <f>IF(ISNA(MATCH(159,'Transfer Engine'!$C$2:$C$622,0)),"",INDEX('Compliance Database'!$N$2:$N$622,MATCH(159,'Transfer Engine'!$C$2:$C$622,0)))</f>
        <v/>
      </c>
      <c r="O168" s="8">
        <f>IF(ISNA(MATCH(159,'Transfer Engine'!$C$2:$C$622,0)),"",INDEX('Compliance Database'!$O$2:$O$622,MATCH(159,'Transfer Engine'!$C$2:$C$622,0)))</f>
        <v/>
      </c>
    </row>
    <row r="169">
      <c r="A169">
        <f>IF(ISNA(MATCH(160,'Transfer Engine'!$C$2:$C$622,0)),"",INDEX('Compliance Database'!$A$2:$A$622,MATCH(160,'Transfer Engine'!$C$2:$C$622,0)))</f>
        <v/>
      </c>
      <c r="B169">
        <f>IF(ISNA(MATCH(160,'Transfer Engine'!$C$2:$C$622,0)),"",INDEX('Compliance Database'!$B$2:$B$622,MATCH(160,'Transfer Engine'!$C$2:$C$622,0)))</f>
        <v/>
      </c>
      <c r="C169">
        <f>IF(ISNA(MATCH(160,'Transfer Engine'!$C$2:$C$622,0)),"",INDEX('Compliance Database'!$C$2:$C$622,MATCH(160,'Transfer Engine'!$C$2:$C$622,0)))</f>
        <v/>
      </c>
      <c r="D169" s="8">
        <f>IF(ISNA(MATCH(160,'Transfer Engine'!$C$2:$C$622,0)),"",INDEX('Compliance Database'!$D$2:$D$622,MATCH(160,'Transfer Engine'!$C$2:$C$622,0)))</f>
        <v/>
      </c>
      <c r="E169">
        <f>IF(ISNA(MATCH(160,'Transfer Engine'!$C$2:$C$622,0)),"",INDEX('Compliance Database'!$E$2:$E$622,MATCH(160,'Transfer Engine'!$C$2:$C$622,0)))</f>
        <v/>
      </c>
      <c r="F169">
        <f>IF(ISNA(MATCH(160,'Transfer Engine'!$C$2:$C$622,0)),"",INDEX('Compliance Database'!$F$2:$F$622,MATCH(160,'Transfer Engine'!$C$2:$C$622,0)))</f>
        <v/>
      </c>
      <c r="G169">
        <f>IF(ISNA(MATCH(160,'Transfer Engine'!$C$2:$C$622,0)),"",INDEX('Compliance Database'!$G$2:$G$622,MATCH(160,'Transfer Engine'!$C$2:$C$622,0)))</f>
        <v/>
      </c>
      <c r="H169">
        <f>IF(ISNA(MATCH(160,'Transfer Engine'!$C$2:$C$622,0)),"",INDEX('Compliance Database'!$H$2:$H$622,MATCH(160,'Transfer Engine'!$C$2:$C$622,0)))</f>
        <v/>
      </c>
      <c r="I169" s="8">
        <f>IF(ISNA(MATCH(160,'Transfer Engine'!$C$2:$C$622,0)),"",INDEX('Compliance Database'!$I$2:$I$622,MATCH(160,'Transfer Engine'!$C$2:$C$622,0)))</f>
        <v/>
      </c>
      <c r="J169" s="8">
        <f>IF(ISNA(MATCH(160,'Transfer Engine'!$C$2:$C$622,0)),"",INDEX('Compliance Database'!$J$2:$J$622,MATCH(160,'Transfer Engine'!$C$2:$C$622,0)))</f>
        <v/>
      </c>
      <c r="K169">
        <f>IF(ISNA(MATCH(160,'Transfer Engine'!$C$2:$C$622,0)),"",INDEX('Compliance Database'!$K$2:$K$622,MATCH(160,'Transfer Engine'!$C$2:$C$622,0)))</f>
        <v/>
      </c>
      <c r="L169" s="8">
        <f>IF(ISNA(MATCH(160,'Transfer Engine'!$C$2:$C$622,0)),"",INDEX('Compliance Database'!$L$2:$L$622,MATCH(160,'Transfer Engine'!$C$2:$C$622,0)))</f>
        <v/>
      </c>
      <c r="M169" s="8">
        <f>IF(ISNA(MATCH(160,'Transfer Engine'!$C$2:$C$622,0)),"",INDEX('Compliance Database'!$M$2:$M$622,MATCH(160,'Transfer Engine'!$C$2:$C$622,0)))</f>
        <v/>
      </c>
      <c r="N169" s="8">
        <f>IF(ISNA(MATCH(160,'Transfer Engine'!$C$2:$C$622,0)),"",INDEX('Compliance Database'!$N$2:$N$622,MATCH(160,'Transfer Engine'!$C$2:$C$622,0)))</f>
        <v/>
      </c>
      <c r="O169" s="8">
        <f>IF(ISNA(MATCH(160,'Transfer Engine'!$C$2:$C$622,0)),"",INDEX('Compliance Database'!$O$2:$O$622,MATCH(160,'Transfer Engine'!$C$2:$C$622,0)))</f>
        <v/>
      </c>
    </row>
    <row r="170">
      <c r="A170">
        <f>IF(ISNA(MATCH(161,'Transfer Engine'!$C$2:$C$622,0)),"",INDEX('Compliance Database'!$A$2:$A$622,MATCH(161,'Transfer Engine'!$C$2:$C$622,0)))</f>
        <v/>
      </c>
      <c r="B170">
        <f>IF(ISNA(MATCH(161,'Transfer Engine'!$C$2:$C$622,0)),"",INDEX('Compliance Database'!$B$2:$B$622,MATCH(161,'Transfer Engine'!$C$2:$C$622,0)))</f>
        <v/>
      </c>
      <c r="C170">
        <f>IF(ISNA(MATCH(161,'Transfer Engine'!$C$2:$C$622,0)),"",INDEX('Compliance Database'!$C$2:$C$622,MATCH(161,'Transfer Engine'!$C$2:$C$622,0)))</f>
        <v/>
      </c>
      <c r="D170" s="8">
        <f>IF(ISNA(MATCH(161,'Transfer Engine'!$C$2:$C$622,0)),"",INDEX('Compliance Database'!$D$2:$D$622,MATCH(161,'Transfer Engine'!$C$2:$C$622,0)))</f>
        <v/>
      </c>
      <c r="E170">
        <f>IF(ISNA(MATCH(161,'Transfer Engine'!$C$2:$C$622,0)),"",INDEX('Compliance Database'!$E$2:$E$622,MATCH(161,'Transfer Engine'!$C$2:$C$622,0)))</f>
        <v/>
      </c>
      <c r="F170">
        <f>IF(ISNA(MATCH(161,'Transfer Engine'!$C$2:$C$622,0)),"",INDEX('Compliance Database'!$F$2:$F$622,MATCH(161,'Transfer Engine'!$C$2:$C$622,0)))</f>
        <v/>
      </c>
      <c r="G170">
        <f>IF(ISNA(MATCH(161,'Transfer Engine'!$C$2:$C$622,0)),"",INDEX('Compliance Database'!$G$2:$G$622,MATCH(161,'Transfer Engine'!$C$2:$C$622,0)))</f>
        <v/>
      </c>
      <c r="H170">
        <f>IF(ISNA(MATCH(161,'Transfer Engine'!$C$2:$C$622,0)),"",INDEX('Compliance Database'!$H$2:$H$622,MATCH(161,'Transfer Engine'!$C$2:$C$622,0)))</f>
        <v/>
      </c>
      <c r="I170" s="8">
        <f>IF(ISNA(MATCH(161,'Transfer Engine'!$C$2:$C$622,0)),"",INDEX('Compliance Database'!$I$2:$I$622,MATCH(161,'Transfer Engine'!$C$2:$C$622,0)))</f>
        <v/>
      </c>
      <c r="J170" s="8">
        <f>IF(ISNA(MATCH(161,'Transfer Engine'!$C$2:$C$622,0)),"",INDEX('Compliance Database'!$J$2:$J$622,MATCH(161,'Transfer Engine'!$C$2:$C$622,0)))</f>
        <v/>
      </c>
      <c r="K170">
        <f>IF(ISNA(MATCH(161,'Transfer Engine'!$C$2:$C$622,0)),"",INDEX('Compliance Database'!$K$2:$K$622,MATCH(161,'Transfer Engine'!$C$2:$C$622,0)))</f>
        <v/>
      </c>
      <c r="L170" s="8">
        <f>IF(ISNA(MATCH(161,'Transfer Engine'!$C$2:$C$622,0)),"",INDEX('Compliance Database'!$L$2:$L$622,MATCH(161,'Transfer Engine'!$C$2:$C$622,0)))</f>
        <v/>
      </c>
      <c r="M170" s="8">
        <f>IF(ISNA(MATCH(161,'Transfer Engine'!$C$2:$C$622,0)),"",INDEX('Compliance Database'!$M$2:$M$622,MATCH(161,'Transfer Engine'!$C$2:$C$622,0)))</f>
        <v/>
      </c>
      <c r="N170" s="8">
        <f>IF(ISNA(MATCH(161,'Transfer Engine'!$C$2:$C$622,0)),"",INDEX('Compliance Database'!$N$2:$N$622,MATCH(161,'Transfer Engine'!$C$2:$C$622,0)))</f>
        <v/>
      </c>
      <c r="O170" s="8">
        <f>IF(ISNA(MATCH(161,'Transfer Engine'!$C$2:$C$622,0)),"",INDEX('Compliance Database'!$O$2:$O$622,MATCH(161,'Transfer Engine'!$C$2:$C$622,0)))</f>
        <v/>
      </c>
    </row>
    <row r="171">
      <c r="A171">
        <f>IF(ISNA(MATCH(162,'Transfer Engine'!$C$2:$C$622,0)),"",INDEX('Compliance Database'!$A$2:$A$622,MATCH(162,'Transfer Engine'!$C$2:$C$622,0)))</f>
        <v/>
      </c>
      <c r="B171">
        <f>IF(ISNA(MATCH(162,'Transfer Engine'!$C$2:$C$622,0)),"",INDEX('Compliance Database'!$B$2:$B$622,MATCH(162,'Transfer Engine'!$C$2:$C$622,0)))</f>
        <v/>
      </c>
      <c r="C171">
        <f>IF(ISNA(MATCH(162,'Transfer Engine'!$C$2:$C$622,0)),"",INDEX('Compliance Database'!$C$2:$C$622,MATCH(162,'Transfer Engine'!$C$2:$C$622,0)))</f>
        <v/>
      </c>
      <c r="D171" s="8">
        <f>IF(ISNA(MATCH(162,'Transfer Engine'!$C$2:$C$622,0)),"",INDEX('Compliance Database'!$D$2:$D$622,MATCH(162,'Transfer Engine'!$C$2:$C$622,0)))</f>
        <v/>
      </c>
      <c r="E171">
        <f>IF(ISNA(MATCH(162,'Transfer Engine'!$C$2:$C$622,0)),"",INDEX('Compliance Database'!$E$2:$E$622,MATCH(162,'Transfer Engine'!$C$2:$C$622,0)))</f>
        <v/>
      </c>
      <c r="F171">
        <f>IF(ISNA(MATCH(162,'Transfer Engine'!$C$2:$C$622,0)),"",INDEX('Compliance Database'!$F$2:$F$622,MATCH(162,'Transfer Engine'!$C$2:$C$622,0)))</f>
        <v/>
      </c>
      <c r="G171">
        <f>IF(ISNA(MATCH(162,'Transfer Engine'!$C$2:$C$622,0)),"",INDEX('Compliance Database'!$G$2:$G$622,MATCH(162,'Transfer Engine'!$C$2:$C$622,0)))</f>
        <v/>
      </c>
      <c r="H171">
        <f>IF(ISNA(MATCH(162,'Transfer Engine'!$C$2:$C$622,0)),"",INDEX('Compliance Database'!$H$2:$H$622,MATCH(162,'Transfer Engine'!$C$2:$C$622,0)))</f>
        <v/>
      </c>
      <c r="I171" s="8">
        <f>IF(ISNA(MATCH(162,'Transfer Engine'!$C$2:$C$622,0)),"",INDEX('Compliance Database'!$I$2:$I$622,MATCH(162,'Transfer Engine'!$C$2:$C$622,0)))</f>
        <v/>
      </c>
      <c r="J171" s="8">
        <f>IF(ISNA(MATCH(162,'Transfer Engine'!$C$2:$C$622,0)),"",INDEX('Compliance Database'!$J$2:$J$622,MATCH(162,'Transfer Engine'!$C$2:$C$622,0)))</f>
        <v/>
      </c>
      <c r="K171">
        <f>IF(ISNA(MATCH(162,'Transfer Engine'!$C$2:$C$622,0)),"",INDEX('Compliance Database'!$K$2:$K$622,MATCH(162,'Transfer Engine'!$C$2:$C$622,0)))</f>
        <v/>
      </c>
      <c r="L171" s="8">
        <f>IF(ISNA(MATCH(162,'Transfer Engine'!$C$2:$C$622,0)),"",INDEX('Compliance Database'!$L$2:$L$622,MATCH(162,'Transfer Engine'!$C$2:$C$622,0)))</f>
        <v/>
      </c>
      <c r="M171" s="8">
        <f>IF(ISNA(MATCH(162,'Transfer Engine'!$C$2:$C$622,0)),"",INDEX('Compliance Database'!$M$2:$M$622,MATCH(162,'Transfer Engine'!$C$2:$C$622,0)))</f>
        <v/>
      </c>
      <c r="N171" s="8">
        <f>IF(ISNA(MATCH(162,'Transfer Engine'!$C$2:$C$622,0)),"",INDEX('Compliance Database'!$N$2:$N$622,MATCH(162,'Transfer Engine'!$C$2:$C$622,0)))</f>
        <v/>
      </c>
      <c r="O171" s="8">
        <f>IF(ISNA(MATCH(162,'Transfer Engine'!$C$2:$C$622,0)),"",INDEX('Compliance Database'!$O$2:$O$622,MATCH(162,'Transfer Engine'!$C$2:$C$622,0)))</f>
        <v/>
      </c>
    </row>
    <row r="172">
      <c r="A172">
        <f>IF(ISNA(MATCH(163,'Transfer Engine'!$C$2:$C$622,0)),"",INDEX('Compliance Database'!$A$2:$A$622,MATCH(163,'Transfer Engine'!$C$2:$C$622,0)))</f>
        <v/>
      </c>
      <c r="B172">
        <f>IF(ISNA(MATCH(163,'Transfer Engine'!$C$2:$C$622,0)),"",INDEX('Compliance Database'!$B$2:$B$622,MATCH(163,'Transfer Engine'!$C$2:$C$622,0)))</f>
        <v/>
      </c>
      <c r="C172">
        <f>IF(ISNA(MATCH(163,'Transfer Engine'!$C$2:$C$622,0)),"",INDEX('Compliance Database'!$C$2:$C$622,MATCH(163,'Transfer Engine'!$C$2:$C$622,0)))</f>
        <v/>
      </c>
      <c r="D172" s="8">
        <f>IF(ISNA(MATCH(163,'Transfer Engine'!$C$2:$C$622,0)),"",INDEX('Compliance Database'!$D$2:$D$622,MATCH(163,'Transfer Engine'!$C$2:$C$622,0)))</f>
        <v/>
      </c>
      <c r="E172">
        <f>IF(ISNA(MATCH(163,'Transfer Engine'!$C$2:$C$622,0)),"",INDEX('Compliance Database'!$E$2:$E$622,MATCH(163,'Transfer Engine'!$C$2:$C$622,0)))</f>
        <v/>
      </c>
      <c r="F172">
        <f>IF(ISNA(MATCH(163,'Transfer Engine'!$C$2:$C$622,0)),"",INDEX('Compliance Database'!$F$2:$F$622,MATCH(163,'Transfer Engine'!$C$2:$C$622,0)))</f>
        <v/>
      </c>
      <c r="G172">
        <f>IF(ISNA(MATCH(163,'Transfer Engine'!$C$2:$C$622,0)),"",INDEX('Compliance Database'!$G$2:$G$622,MATCH(163,'Transfer Engine'!$C$2:$C$622,0)))</f>
        <v/>
      </c>
      <c r="H172">
        <f>IF(ISNA(MATCH(163,'Transfer Engine'!$C$2:$C$622,0)),"",INDEX('Compliance Database'!$H$2:$H$622,MATCH(163,'Transfer Engine'!$C$2:$C$622,0)))</f>
        <v/>
      </c>
      <c r="I172" s="8">
        <f>IF(ISNA(MATCH(163,'Transfer Engine'!$C$2:$C$622,0)),"",INDEX('Compliance Database'!$I$2:$I$622,MATCH(163,'Transfer Engine'!$C$2:$C$622,0)))</f>
        <v/>
      </c>
      <c r="J172" s="8">
        <f>IF(ISNA(MATCH(163,'Transfer Engine'!$C$2:$C$622,0)),"",INDEX('Compliance Database'!$J$2:$J$622,MATCH(163,'Transfer Engine'!$C$2:$C$622,0)))</f>
        <v/>
      </c>
      <c r="K172">
        <f>IF(ISNA(MATCH(163,'Transfer Engine'!$C$2:$C$622,0)),"",INDEX('Compliance Database'!$K$2:$K$622,MATCH(163,'Transfer Engine'!$C$2:$C$622,0)))</f>
        <v/>
      </c>
      <c r="L172" s="8">
        <f>IF(ISNA(MATCH(163,'Transfer Engine'!$C$2:$C$622,0)),"",INDEX('Compliance Database'!$L$2:$L$622,MATCH(163,'Transfer Engine'!$C$2:$C$622,0)))</f>
        <v/>
      </c>
      <c r="M172" s="8">
        <f>IF(ISNA(MATCH(163,'Transfer Engine'!$C$2:$C$622,0)),"",INDEX('Compliance Database'!$M$2:$M$622,MATCH(163,'Transfer Engine'!$C$2:$C$622,0)))</f>
        <v/>
      </c>
      <c r="N172" s="8">
        <f>IF(ISNA(MATCH(163,'Transfer Engine'!$C$2:$C$622,0)),"",INDEX('Compliance Database'!$N$2:$N$622,MATCH(163,'Transfer Engine'!$C$2:$C$622,0)))</f>
        <v/>
      </c>
      <c r="O172" s="8">
        <f>IF(ISNA(MATCH(163,'Transfer Engine'!$C$2:$C$622,0)),"",INDEX('Compliance Database'!$O$2:$O$622,MATCH(163,'Transfer Engine'!$C$2:$C$622,0)))</f>
        <v/>
      </c>
    </row>
    <row r="173">
      <c r="A173">
        <f>IF(ISNA(MATCH(164,'Transfer Engine'!$C$2:$C$622,0)),"",INDEX('Compliance Database'!$A$2:$A$622,MATCH(164,'Transfer Engine'!$C$2:$C$622,0)))</f>
        <v/>
      </c>
      <c r="B173">
        <f>IF(ISNA(MATCH(164,'Transfer Engine'!$C$2:$C$622,0)),"",INDEX('Compliance Database'!$B$2:$B$622,MATCH(164,'Transfer Engine'!$C$2:$C$622,0)))</f>
        <v/>
      </c>
      <c r="C173">
        <f>IF(ISNA(MATCH(164,'Transfer Engine'!$C$2:$C$622,0)),"",INDEX('Compliance Database'!$C$2:$C$622,MATCH(164,'Transfer Engine'!$C$2:$C$622,0)))</f>
        <v/>
      </c>
      <c r="D173" s="8">
        <f>IF(ISNA(MATCH(164,'Transfer Engine'!$C$2:$C$622,0)),"",INDEX('Compliance Database'!$D$2:$D$622,MATCH(164,'Transfer Engine'!$C$2:$C$622,0)))</f>
        <v/>
      </c>
      <c r="E173">
        <f>IF(ISNA(MATCH(164,'Transfer Engine'!$C$2:$C$622,0)),"",INDEX('Compliance Database'!$E$2:$E$622,MATCH(164,'Transfer Engine'!$C$2:$C$622,0)))</f>
        <v/>
      </c>
      <c r="F173">
        <f>IF(ISNA(MATCH(164,'Transfer Engine'!$C$2:$C$622,0)),"",INDEX('Compliance Database'!$F$2:$F$622,MATCH(164,'Transfer Engine'!$C$2:$C$622,0)))</f>
        <v/>
      </c>
      <c r="G173">
        <f>IF(ISNA(MATCH(164,'Transfer Engine'!$C$2:$C$622,0)),"",INDEX('Compliance Database'!$G$2:$G$622,MATCH(164,'Transfer Engine'!$C$2:$C$622,0)))</f>
        <v/>
      </c>
      <c r="H173">
        <f>IF(ISNA(MATCH(164,'Transfer Engine'!$C$2:$C$622,0)),"",INDEX('Compliance Database'!$H$2:$H$622,MATCH(164,'Transfer Engine'!$C$2:$C$622,0)))</f>
        <v/>
      </c>
      <c r="I173" s="8">
        <f>IF(ISNA(MATCH(164,'Transfer Engine'!$C$2:$C$622,0)),"",INDEX('Compliance Database'!$I$2:$I$622,MATCH(164,'Transfer Engine'!$C$2:$C$622,0)))</f>
        <v/>
      </c>
      <c r="J173" s="8">
        <f>IF(ISNA(MATCH(164,'Transfer Engine'!$C$2:$C$622,0)),"",INDEX('Compliance Database'!$J$2:$J$622,MATCH(164,'Transfer Engine'!$C$2:$C$622,0)))</f>
        <v/>
      </c>
      <c r="K173">
        <f>IF(ISNA(MATCH(164,'Transfer Engine'!$C$2:$C$622,0)),"",INDEX('Compliance Database'!$K$2:$K$622,MATCH(164,'Transfer Engine'!$C$2:$C$622,0)))</f>
        <v/>
      </c>
      <c r="L173" s="8">
        <f>IF(ISNA(MATCH(164,'Transfer Engine'!$C$2:$C$622,0)),"",INDEX('Compliance Database'!$L$2:$L$622,MATCH(164,'Transfer Engine'!$C$2:$C$622,0)))</f>
        <v/>
      </c>
      <c r="M173" s="8">
        <f>IF(ISNA(MATCH(164,'Transfer Engine'!$C$2:$C$622,0)),"",INDEX('Compliance Database'!$M$2:$M$622,MATCH(164,'Transfer Engine'!$C$2:$C$622,0)))</f>
        <v/>
      </c>
      <c r="N173" s="8">
        <f>IF(ISNA(MATCH(164,'Transfer Engine'!$C$2:$C$622,0)),"",INDEX('Compliance Database'!$N$2:$N$622,MATCH(164,'Transfer Engine'!$C$2:$C$622,0)))</f>
        <v/>
      </c>
      <c r="O173" s="8">
        <f>IF(ISNA(MATCH(164,'Transfer Engine'!$C$2:$C$622,0)),"",INDEX('Compliance Database'!$O$2:$O$622,MATCH(164,'Transfer Engine'!$C$2:$C$622,0)))</f>
        <v/>
      </c>
    </row>
    <row r="174">
      <c r="A174">
        <f>IF(ISNA(MATCH(165,'Transfer Engine'!$C$2:$C$622,0)),"",INDEX('Compliance Database'!$A$2:$A$622,MATCH(165,'Transfer Engine'!$C$2:$C$622,0)))</f>
        <v/>
      </c>
      <c r="B174">
        <f>IF(ISNA(MATCH(165,'Transfer Engine'!$C$2:$C$622,0)),"",INDEX('Compliance Database'!$B$2:$B$622,MATCH(165,'Transfer Engine'!$C$2:$C$622,0)))</f>
        <v/>
      </c>
      <c r="C174">
        <f>IF(ISNA(MATCH(165,'Transfer Engine'!$C$2:$C$622,0)),"",INDEX('Compliance Database'!$C$2:$C$622,MATCH(165,'Transfer Engine'!$C$2:$C$622,0)))</f>
        <v/>
      </c>
      <c r="D174" s="8">
        <f>IF(ISNA(MATCH(165,'Transfer Engine'!$C$2:$C$622,0)),"",INDEX('Compliance Database'!$D$2:$D$622,MATCH(165,'Transfer Engine'!$C$2:$C$622,0)))</f>
        <v/>
      </c>
      <c r="E174">
        <f>IF(ISNA(MATCH(165,'Transfer Engine'!$C$2:$C$622,0)),"",INDEX('Compliance Database'!$E$2:$E$622,MATCH(165,'Transfer Engine'!$C$2:$C$622,0)))</f>
        <v/>
      </c>
      <c r="F174">
        <f>IF(ISNA(MATCH(165,'Transfer Engine'!$C$2:$C$622,0)),"",INDEX('Compliance Database'!$F$2:$F$622,MATCH(165,'Transfer Engine'!$C$2:$C$622,0)))</f>
        <v/>
      </c>
      <c r="G174">
        <f>IF(ISNA(MATCH(165,'Transfer Engine'!$C$2:$C$622,0)),"",INDEX('Compliance Database'!$G$2:$G$622,MATCH(165,'Transfer Engine'!$C$2:$C$622,0)))</f>
        <v/>
      </c>
      <c r="H174">
        <f>IF(ISNA(MATCH(165,'Transfer Engine'!$C$2:$C$622,0)),"",INDEX('Compliance Database'!$H$2:$H$622,MATCH(165,'Transfer Engine'!$C$2:$C$622,0)))</f>
        <v/>
      </c>
      <c r="I174" s="8">
        <f>IF(ISNA(MATCH(165,'Transfer Engine'!$C$2:$C$622,0)),"",INDEX('Compliance Database'!$I$2:$I$622,MATCH(165,'Transfer Engine'!$C$2:$C$622,0)))</f>
        <v/>
      </c>
      <c r="J174" s="8">
        <f>IF(ISNA(MATCH(165,'Transfer Engine'!$C$2:$C$622,0)),"",INDEX('Compliance Database'!$J$2:$J$622,MATCH(165,'Transfer Engine'!$C$2:$C$622,0)))</f>
        <v/>
      </c>
      <c r="K174">
        <f>IF(ISNA(MATCH(165,'Transfer Engine'!$C$2:$C$622,0)),"",INDEX('Compliance Database'!$K$2:$K$622,MATCH(165,'Transfer Engine'!$C$2:$C$622,0)))</f>
        <v/>
      </c>
      <c r="L174" s="8">
        <f>IF(ISNA(MATCH(165,'Transfer Engine'!$C$2:$C$622,0)),"",INDEX('Compliance Database'!$L$2:$L$622,MATCH(165,'Transfer Engine'!$C$2:$C$622,0)))</f>
        <v/>
      </c>
      <c r="M174" s="8">
        <f>IF(ISNA(MATCH(165,'Transfer Engine'!$C$2:$C$622,0)),"",INDEX('Compliance Database'!$M$2:$M$622,MATCH(165,'Transfer Engine'!$C$2:$C$622,0)))</f>
        <v/>
      </c>
      <c r="N174" s="8">
        <f>IF(ISNA(MATCH(165,'Transfer Engine'!$C$2:$C$622,0)),"",INDEX('Compliance Database'!$N$2:$N$622,MATCH(165,'Transfer Engine'!$C$2:$C$622,0)))</f>
        <v/>
      </c>
      <c r="O174" s="8">
        <f>IF(ISNA(MATCH(165,'Transfer Engine'!$C$2:$C$622,0)),"",INDEX('Compliance Database'!$O$2:$O$622,MATCH(165,'Transfer Engine'!$C$2:$C$622,0)))</f>
        <v/>
      </c>
    </row>
    <row r="175">
      <c r="A175">
        <f>IF(ISNA(MATCH(166,'Transfer Engine'!$C$2:$C$622,0)),"",INDEX('Compliance Database'!$A$2:$A$622,MATCH(166,'Transfer Engine'!$C$2:$C$622,0)))</f>
        <v/>
      </c>
      <c r="B175">
        <f>IF(ISNA(MATCH(166,'Transfer Engine'!$C$2:$C$622,0)),"",INDEX('Compliance Database'!$B$2:$B$622,MATCH(166,'Transfer Engine'!$C$2:$C$622,0)))</f>
        <v/>
      </c>
      <c r="C175">
        <f>IF(ISNA(MATCH(166,'Transfer Engine'!$C$2:$C$622,0)),"",INDEX('Compliance Database'!$C$2:$C$622,MATCH(166,'Transfer Engine'!$C$2:$C$622,0)))</f>
        <v/>
      </c>
      <c r="D175" s="8">
        <f>IF(ISNA(MATCH(166,'Transfer Engine'!$C$2:$C$622,0)),"",INDEX('Compliance Database'!$D$2:$D$622,MATCH(166,'Transfer Engine'!$C$2:$C$622,0)))</f>
        <v/>
      </c>
      <c r="E175">
        <f>IF(ISNA(MATCH(166,'Transfer Engine'!$C$2:$C$622,0)),"",INDEX('Compliance Database'!$E$2:$E$622,MATCH(166,'Transfer Engine'!$C$2:$C$622,0)))</f>
        <v/>
      </c>
      <c r="F175">
        <f>IF(ISNA(MATCH(166,'Transfer Engine'!$C$2:$C$622,0)),"",INDEX('Compliance Database'!$F$2:$F$622,MATCH(166,'Transfer Engine'!$C$2:$C$622,0)))</f>
        <v/>
      </c>
      <c r="G175">
        <f>IF(ISNA(MATCH(166,'Transfer Engine'!$C$2:$C$622,0)),"",INDEX('Compliance Database'!$G$2:$G$622,MATCH(166,'Transfer Engine'!$C$2:$C$622,0)))</f>
        <v/>
      </c>
      <c r="H175">
        <f>IF(ISNA(MATCH(166,'Transfer Engine'!$C$2:$C$622,0)),"",INDEX('Compliance Database'!$H$2:$H$622,MATCH(166,'Transfer Engine'!$C$2:$C$622,0)))</f>
        <v/>
      </c>
      <c r="I175" s="8">
        <f>IF(ISNA(MATCH(166,'Transfer Engine'!$C$2:$C$622,0)),"",INDEX('Compliance Database'!$I$2:$I$622,MATCH(166,'Transfer Engine'!$C$2:$C$622,0)))</f>
        <v/>
      </c>
      <c r="J175" s="8">
        <f>IF(ISNA(MATCH(166,'Transfer Engine'!$C$2:$C$622,0)),"",INDEX('Compliance Database'!$J$2:$J$622,MATCH(166,'Transfer Engine'!$C$2:$C$622,0)))</f>
        <v/>
      </c>
      <c r="K175">
        <f>IF(ISNA(MATCH(166,'Transfer Engine'!$C$2:$C$622,0)),"",INDEX('Compliance Database'!$K$2:$K$622,MATCH(166,'Transfer Engine'!$C$2:$C$622,0)))</f>
        <v/>
      </c>
      <c r="L175" s="8">
        <f>IF(ISNA(MATCH(166,'Transfer Engine'!$C$2:$C$622,0)),"",INDEX('Compliance Database'!$L$2:$L$622,MATCH(166,'Transfer Engine'!$C$2:$C$622,0)))</f>
        <v/>
      </c>
      <c r="M175" s="8">
        <f>IF(ISNA(MATCH(166,'Transfer Engine'!$C$2:$C$622,0)),"",INDEX('Compliance Database'!$M$2:$M$622,MATCH(166,'Transfer Engine'!$C$2:$C$622,0)))</f>
        <v/>
      </c>
      <c r="N175" s="8">
        <f>IF(ISNA(MATCH(166,'Transfer Engine'!$C$2:$C$622,0)),"",INDEX('Compliance Database'!$N$2:$N$622,MATCH(166,'Transfer Engine'!$C$2:$C$622,0)))</f>
        <v/>
      </c>
      <c r="O175" s="8">
        <f>IF(ISNA(MATCH(166,'Transfer Engine'!$C$2:$C$622,0)),"",INDEX('Compliance Database'!$O$2:$O$622,MATCH(166,'Transfer Engine'!$C$2:$C$622,0)))</f>
        <v/>
      </c>
    </row>
    <row r="176">
      <c r="A176">
        <f>IF(ISNA(MATCH(167,'Transfer Engine'!$C$2:$C$622,0)),"",INDEX('Compliance Database'!$A$2:$A$622,MATCH(167,'Transfer Engine'!$C$2:$C$622,0)))</f>
        <v/>
      </c>
      <c r="B176">
        <f>IF(ISNA(MATCH(167,'Transfer Engine'!$C$2:$C$622,0)),"",INDEX('Compliance Database'!$B$2:$B$622,MATCH(167,'Transfer Engine'!$C$2:$C$622,0)))</f>
        <v/>
      </c>
      <c r="C176">
        <f>IF(ISNA(MATCH(167,'Transfer Engine'!$C$2:$C$622,0)),"",INDEX('Compliance Database'!$C$2:$C$622,MATCH(167,'Transfer Engine'!$C$2:$C$622,0)))</f>
        <v/>
      </c>
      <c r="D176" s="8">
        <f>IF(ISNA(MATCH(167,'Transfer Engine'!$C$2:$C$622,0)),"",INDEX('Compliance Database'!$D$2:$D$622,MATCH(167,'Transfer Engine'!$C$2:$C$622,0)))</f>
        <v/>
      </c>
      <c r="E176">
        <f>IF(ISNA(MATCH(167,'Transfer Engine'!$C$2:$C$622,0)),"",INDEX('Compliance Database'!$E$2:$E$622,MATCH(167,'Transfer Engine'!$C$2:$C$622,0)))</f>
        <v/>
      </c>
      <c r="F176">
        <f>IF(ISNA(MATCH(167,'Transfer Engine'!$C$2:$C$622,0)),"",INDEX('Compliance Database'!$F$2:$F$622,MATCH(167,'Transfer Engine'!$C$2:$C$622,0)))</f>
        <v/>
      </c>
      <c r="G176">
        <f>IF(ISNA(MATCH(167,'Transfer Engine'!$C$2:$C$622,0)),"",INDEX('Compliance Database'!$G$2:$G$622,MATCH(167,'Transfer Engine'!$C$2:$C$622,0)))</f>
        <v/>
      </c>
      <c r="H176">
        <f>IF(ISNA(MATCH(167,'Transfer Engine'!$C$2:$C$622,0)),"",INDEX('Compliance Database'!$H$2:$H$622,MATCH(167,'Transfer Engine'!$C$2:$C$622,0)))</f>
        <v/>
      </c>
      <c r="I176" s="8">
        <f>IF(ISNA(MATCH(167,'Transfer Engine'!$C$2:$C$622,0)),"",INDEX('Compliance Database'!$I$2:$I$622,MATCH(167,'Transfer Engine'!$C$2:$C$622,0)))</f>
        <v/>
      </c>
      <c r="J176" s="8">
        <f>IF(ISNA(MATCH(167,'Transfer Engine'!$C$2:$C$622,0)),"",INDEX('Compliance Database'!$J$2:$J$622,MATCH(167,'Transfer Engine'!$C$2:$C$622,0)))</f>
        <v/>
      </c>
      <c r="K176">
        <f>IF(ISNA(MATCH(167,'Transfer Engine'!$C$2:$C$622,0)),"",INDEX('Compliance Database'!$K$2:$K$622,MATCH(167,'Transfer Engine'!$C$2:$C$622,0)))</f>
        <v/>
      </c>
      <c r="L176" s="8">
        <f>IF(ISNA(MATCH(167,'Transfer Engine'!$C$2:$C$622,0)),"",INDEX('Compliance Database'!$L$2:$L$622,MATCH(167,'Transfer Engine'!$C$2:$C$622,0)))</f>
        <v/>
      </c>
      <c r="M176" s="8">
        <f>IF(ISNA(MATCH(167,'Transfer Engine'!$C$2:$C$622,0)),"",INDEX('Compliance Database'!$M$2:$M$622,MATCH(167,'Transfer Engine'!$C$2:$C$622,0)))</f>
        <v/>
      </c>
      <c r="N176" s="8">
        <f>IF(ISNA(MATCH(167,'Transfer Engine'!$C$2:$C$622,0)),"",INDEX('Compliance Database'!$N$2:$N$622,MATCH(167,'Transfer Engine'!$C$2:$C$622,0)))</f>
        <v/>
      </c>
      <c r="O176" s="8">
        <f>IF(ISNA(MATCH(167,'Transfer Engine'!$C$2:$C$622,0)),"",INDEX('Compliance Database'!$O$2:$O$622,MATCH(167,'Transfer Engine'!$C$2:$C$622,0)))</f>
        <v/>
      </c>
    </row>
    <row r="177">
      <c r="A177">
        <f>IF(ISNA(MATCH(168,'Transfer Engine'!$C$2:$C$622,0)),"",INDEX('Compliance Database'!$A$2:$A$622,MATCH(168,'Transfer Engine'!$C$2:$C$622,0)))</f>
        <v/>
      </c>
      <c r="B177">
        <f>IF(ISNA(MATCH(168,'Transfer Engine'!$C$2:$C$622,0)),"",INDEX('Compliance Database'!$B$2:$B$622,MATCH(168,'Transfer Engine'!$C$2:$C$622,0)))</f>
        <v/>
      </c>
      <c r="C177">
        <f>IF(ISNA(MATCH(168,'Transfer Engine'!$C$2:$C$622,0)),"",INDEX('Compliance Database'!$C$2:$C$622,MATCH(168,'Transfer Engine'!$C$2:$C$622,0)))</f>
        <v/>
      </c>
      <c r="D177" s="8">
        <f>IF(ISNA(MATCH(168,'Transfer Engine'!$C$2:$C$622,0)),"",INDEX('Compliance Database'!$D$2:$D$622,MATCH(168,'Transfer Engine'!$C$2:$C$622,0)))</f>
        <v/>
      </c>
      <c r="E177">
        <f>IF(ISNA(MATCH(168,'Transfer Engine'!$C$2:$C$622,0)),"",INDEX('Compliance Database'!$E$2:$E$622,MATCH(168,'Transfer Engine'!$C$2:$C$622,0)))</f>
        <v/>
      </c>
      <c r="F177">
        <f>IF(ISNA(MATCH(168,'Transfer Engine'!$C$2:$C$622,0)),"",INDEX('Compliance Database'!$F$2:$F$622,MATCH(168,'Transfer Engine'!$C$2:$C$622,0)))</f>
        <v/>
      </c>
      <c r="G177">
        <f>IF(ISNA(MATCH(168,'Transfer Engine'!$C$2:$C$622,0)),"",INDEX('Compliance Database'!$G$2:$G$622,MATCH(168,'Transfer Engine'!$C$2:$C$622,0)))</f>
        <v/>
      </c>
      <c r="H177">
        <f>IF(ISNA(MATCH(168,'Transfer Engine'!$C$2:$C$622,0)),"",INDEX('Compliance Database'!$H$2:$H$622,MATCH(168,'Transfer Engine'!$C$2:$C$622,0)))</f>
        <v/>
      </c>
      <c r="I177" s="8">
        <f>IF(ISNA(MATCH(168,'Transfer Engine'!$C$2:$C$622,0)),"",INDEX('Compliance Database'!$I$2:$I$622,MATCH(168,'Transfer Engine'!$C$2:$C$622,0)))</f>
        <v/>
      </c>
      <c r="J177" s="8">
        <f>IF(ISNA(MATCH(168,'Transfer Engine'!$C$2:$C$622,0)),"",INDEX('Compliance Database'!$J$2:$J$622,MATCH(168,'Transfer Engine'!$C$2:$C$622,0)))</f>
        <v/>
      </c>
      <c r="K177">
        <f>IF(ISNA(MATCH(168,'Transfer Engine'!$C$2:$C$622,0)),"",INDEX('Compliance Database'!$K$2:$K$622,MATCH(168,'Transfer Engine'!$C$2:$C$622,0)))</f>
        <v/>
      </c>
      <c r="L177" s="8">
        <f>IF(ISNA(MATCH(168,'Transfer Engine'!$C$2:$C$622,0)),"",INDEX('Compliance Database'!$L$2:$L$622,MATCH(168,'Transfer Engine'!$C$2:$C$622,0)))</f>
        <v/>
      </c>
      <c r="M177" s="8">
        <f>IF(ISNA(MATCH(168,'Transfer Engine'!$C$2:$C$622,0)),"",INDEX('Compliance Database'!$M$2:$M$622,MATCH(168,'Transfer Engine'!$C$2:$C$622,0)))</f>
        <v/>
      </c>
      <c r="N177" s="8">
        <f>IF(ISNA(MATCH(168,'Transfer Engine'!$C$2:$C$622,0)),"",INDEX('Compliance Database'!$N$2:$N$622,MATCH(168,'Transfer Engine'!$C$2:$C$622,0)))</f>
        <v/>
      </c>
      <c r="O177" s="8">
        <f>IF(ISNA(MATCH(168,'Transfer Engine'!$C$2:$C$622,0)),"",INDEX('Compliance Database'!$O$2:$O$622,MATCH(168,'Transfer Engine'!$C$2:$C$622,0)))</f>
        <v/>
      </c>
    </row>
    <row r="178">
      <c r="A178">
        <f>IF(ISNA(MATCH(169,'Transfer Engine'!$C$2:$C$622,0)),"",INDEX('Compliance Database'!$A$2:$A$622,MATCH(169,'Transfer Engine'!$C$2:$C$622,0)))</f>
        <v/>
      </c>
      <c r="B178">
        <f>IF(ISNA(MATCH(169,'Transfer Engine'!$C$2:$C$622,0)),"",INDEX('Compliance Database'!$B$2:$B$622,MATCH(169,'Transfer Engine'!$C$2:$C$622,0)))</f>
        <v/>
      </c>
      <c r="C178">
        <f>IF(ISNA(MATCH(169,'Transfer Engine'!$C$2:$C$622,0)),"",INDEX('Compliance Database'!$C$2:$C$622,MATCH(169,'Transfer Engine'!$C$2:$C$622,0)))</f>
        <v/>
      </c>
      <c r="D178" s="8">
        <f>IF(ISNA(MATCH(169,'Transfer Engine'!$C$2:$C$622,0)),"",INDEX('Compliance Database'!$D$2:$D$622,MATCH(169,'Transfer Engine'!$C$2:$C$622,0)))</f>
        <v/>
      </c>
      <c r="E178">
        <f>IF(ISNA(MATCH(169,'Transfer Engine'!$C$2:$C$622,0)),"",INDEX('Compliance Database'!$E$2:$E$622,MATCH(169,'Transfer Engine'!$C$2:$C$622,0)))</f>
        <v/>
      </c>
      <c r="F178">
        <f>IF(ISNA(MATCH(169,'Transfer Engine'!$C$2:$C$622,0)),"",INDEX('Compliance Database'!$F$2:$F$622,MATCH(169,'Transfer Engine'!$C$2:$C$622,0)))</f>
        <v/>
      </c>
      <c r="G178">
        <f>IF(ISNA(MATCH(169,'Transfer Engine'!$C$2:$C$622,0)),"",INDEX('Compliance Database'!$G$2:$G$622,MATCH(169,'Transfer Engine'!$C$2:$C$622,0)))</f>
        <v/>
      </c>
      <c r="H178">
        <f>IF(ISNA(MATCH(169,'Transfer Engine'!$C$2:$C$622,0)),"",INDEX('Compliance Database'!$H$2:$H$622,MATCH(169,'Transfer Engine'!$C$2:$C$622,0)))</f>
        <v/>
      </c>
      <c r="I178" s="8">
        <f>IF(ISNA(MATCH(169,'Transfer Engine'!$C$2:$C$622,0)),"",INDEX('Compliance Database'!$I$2:$I$622,MATCH(169,'Transfer Engine'!$C$2:$C$622,0)))</f>
        <v/>
      </c>
      <c r="J178" s="8">
        <f>IF(ISNA(MATCH(169,'Transfer Engine'!$C$2:$C$622,0)),"",INDEX('Compliance Database'!$J$2:$J$622,MATCH(169,'Transfer Engine'!$C$2:$C$622,0)))</f>
        <v/>
      </c>
      <c r="K178">
        <f>IF(ISNA(MATCH(169,'Transfer Engine'!$C$2:$C$622,0)),"",INDEX('Compliance Database'!$K$2:$K$622,MATCH(169,'Transfer Engine'!$C$2:$C$622,0)))</f>
        <v/>
      </c>
      <c r="L178" s="8">
        <f>IF(ISNA(MATCH(169,'Transfer Engine'!$C$2:$C$622,0)),"",INDEX('Compliance Database'!$L$2:$L$622,MATCH(169,'Transfer Engine'!$C$2:$C$622,0)))</f>
        <v/>
      </c>
      <c r="M178" s="8">
        <f>IF(ISNA(MATCH(169,'Transfer Engine'!$C$2:$C$622,0)),"",INDEX('Compliance Database'!$M$2:$M$622,MATCH(169,'Transfer Engine'!$C$2:$C$622,0)))</f>
        <v/>
      </c>
      <c r="N178" s="8">
        <f>IF(ISNA(MATCH(169,'Transfer Engine'!$C$2:$C$622,0)),"",INDEX('Compliance Database'!$N$2:$N$622,MATCH(169,'Transfer Engine'!$C$2:$C$622,0)))</f>
        <v/>
      </c>
      <c r="O178" s="8">
        <f>IF(ISNA(MATCH(169,'Transfer Engine'!$C$2:$C$622,0)),"",INDEX('Compliance Database'!$O$2:$O$622,MATCH(169,'Transfer Engine'!$C$2:$C$622,0)))</f>
        <v/>
      </c>
    </row>
    <row r="179">
      <c r="A179">
        <f>IF(ISNA(MATCH(170,'Transfer Engine'!$C$2:$C$622,0)),"",INDEX('Compliance Database'!$A$2:$A$622,MATCH(170,'Transfer Engine'!$C$2:$C$622,0)))</f>
        <v/>
      </c>
      <c r="B179">
        <f>IF(ISNA(MATCH(170,'Transfer Engine'!$C$2:$C$622,0)),"",INDEX('Compliance Database'!$B$2:$B$622,MATCH(170,'Transfer Engine'!$C$2:$C$622,0)))</f>
        <v/>
      </c>
      <c r="C179">
        <f>IF(ISNA(MATCH(170,'Transfer Engine'!$C$2:$C$622,0)),"",INDEX('Compliance Database'!$C$2:$C$622,MATCH(170,'Transfer Engine'!$C$2:$C$622,0)))</f>
        <v/>
      </c>
      <c r="D179" s="8">
        <f>IF(ISNA(MATCH(170,'Transfer Engine'!$C$2:$C$622,0)),"",INDEX('Compliance Database'!$D$2:$D$622,MATCH(170,'Transfer Engine'!$C$2:$C$622,0)))</f>
        <v/>
      </c>
      <c r="E179">
        <f>IF(ISNA(MATCH(170,'Transfer Engine'!$C$2:$C$622,0)),"",INDEX('Compliance Database'!$E$2:$E$622,MATCH(170,'Transfer Engine'!$C$2:$C$622,0)))</f>
        <v/>
      </c>
      <c r="F179">
        <f>IF(ISNA(MATCH(170,'Transfer Engine'!$C$2:$C$622,0)),"",INDEX('Compliance Database'!$F$2:$F$622,MATCH(170,'Transfer Engine'!$C$2:$C$622,0)))</f>
        <v/>
      </c>
      <c r="G179">
        <f>IF(ISNA(MATCH(170,'Transfer Engine'!$C$2:$C$622,0)),"",INDEX('Compliance Database'!$G$2:$G$622,MATCH(170,'Transfer Engine'!$C$2:$C$622,0)))</f>
        <v/>
      </c>
      <c r="H179">
        <f>IF(ISNA(MATCH(170,'Transfer Engine'!$C$2:$C$622,0)),"",INDEX('Compliance Database'!$H$2:$H$622,MATCH(170,'Transfer Engine'!$C$2:$C$622,0)))</f>
        <v/>
      </c>
      <c r="I179" s="8">
        <f>IF(ISNA(MATCH(170,'Transfer Engine'!$C$2:$C$622,0)),"",INDEX('Compliance Database'!$I$2:$I$622,MATCH(170,'Transfer Engine'!$C$2:$C$622,0)))</f>
        <v/>
      </c>
      <c r="J179" s="8">
        <f>IF(ISNA(MATCH(170,'Transfer Engine'!$C$2:$C$622,0)),"",INDEX('Compliance Database'!$J$2:$J$622,MATCH(170,'Transfer Engine'!$C$2:$C$622,0)))</f>
        <v/>
      </c>
      <c r="K179">
        <f>IF(ISNA(MATCH(170,'Transfer Engine'!$C$2:$C$622,0)),"",INDEX('Compliance Database'!$K$2:$K$622,MATCH(170,'Transfer Engine'!$C$2:$C$622,0)))</f>
        <v/>
      </c>
      <c r="L179" s="8">
        <f>IF(ISNA(MATCH(170,'Transfer Engine'!$C$2:$C$622,0)),"",INDEX('Compliance Database'!$L$2:$L$622,MATCH(170,'Transfer Engine'!$C$2:$C$622,0)))</f>
        <v/>
      </c>
      <c r="M179" s="8">
        <f>IF(ISNA(MATCH(170,'Transfer Engine'!$C$2:$C$622,0)),"",INDEX('Compliance Database'!$M$2:$M$622,MATCH(170,'Transfer Engine'!$C$2:$C$622,0)))</f>
        <v/>
      </c>
      <c r="N179" s="8">
        <f>IF(ISNA(MATCH(170,'Transfer Engine'!$C$2:$C$622,0)),"",INDEX('Compliance Database'!$N$2:$N$622,MATCH(170,'Transfer Engine'!$C$2:$C$622,0)))</f>
        <v/>
      </c>
      <c r="O179" s="8">
        <f>IF(ISNA(MATCH(170,'Transfer Engine'!$C$2:$C$622,0)),"",INDEX('Compliance Database'!$O$2:$O$622,MATCH(170,'Transfer Engine'!$C$2:$C$622,0)))</f>
        <v/>
      </c>
    </row>
    <row r="180">
      <c r="A180">
        <f>IF(ISNA(MATCH(171,'Transfer Engine'!$C$2:$C$622,0)),"",INDEX('Compliance Database'!$A$2:$A$622,MATCH(171,'Transfer Engine'!$C$2:$C$622,0)))</f>
        <v/>
      </c>
      <c r="B180">
        <f>IF(ISNA(MATCH(171,'Transfer Engine'!$C$2:$C$622,0)),"",INDEX('Compliance Database'!$B$2:$B$622,MATCH(171,'Transfer Engine'!$C$2:$C$622,0)))</f>
        <v/>
      </c>
      <c r="C180">
        <f>IF(ISNA(MATCH(171,'Transfer Engine'!$C$2:$C$622,0)),"",INDEX('Compliance Database'!$C$2:$C$622,MATCH(171,'Transfer Engine'!$C$2:$C$622,0)))</f>
        <v/>
      </c>
      <c r="D180" s="8">
        <f>IF(ISNA(MATCH(171,'Transfer Engine'!$C$2:$C$622,0)),"",INDEX('Compliance Database'!$D$2:$D$622,MATCH(171,'Transfer Engine'!$C$2:$C$622,0)))</f>
        <v/>
      </c>
      <c r="E180">
        <f>IF(ISNA(MATCH(171,'Transfer Engine'!$C$2:$C$622,0)),"",INDEX('Compliance Database'!$E$2:$E$622,MATCH(171,'Transfer Engine'!$C$2:$C$622,0)))</f>
        <v/>
      </c>
      <c r="F180">
        <f>IF(ISNA(MATCH(171,'Transfer Engine'!$C$2:$C$622,0)),"",INDEX('Compliance Database'!$F$2:$F$622,MATCH(171,'Transfer Engine'!$C$2:$C$622,0)))</f>
        <v/>
      </c>
      <c r="G180">
        <f>IF(ISNA(MATCH(171,'Transfer Engine'!$C$2:$C$622,0)),"",INDEX('Compliance Database'!$G$2:$G$622,MATCH(171,'Transfer Engine'!$C$2:$C$622,0)))</f>
        <v/>
      </c>
      <c r="H180">
        <f>IF(ISNA(MATCH(171,'Transfer Engine'!$C$2:$C$622,0)),"",INDEX('Compliance Database'!$H$2:$H$622,MATCH(171,'Transfer Engine'!$C$2:$C$622,0)))</f>
        <v/>
      </c>
      <c r="I180" s="8">
        <f>IF(ISNA(MATCH(171,'Transfer Engine'!$C$2:$C$622,0)),"",INDEX('Compliance Database'!$I$2:$I$622,MATCH(171,'Transfer Engine'!$C$2:$C$622,0)))</f>
        <v/>
      </c>
      <c r="J180" s="8">
        <f>IF(ISNA(MATCH(171,'Transfer Engine'!$C$2:$C$622,0)),"",INDEX('Compliance Database'!$J$2:$J$622,MATCH(171,'Transfer Engine'!$C$2:$C$622,0)))</f>
        <v/>
      </c>
      <c r="K180">
        <f>IF(ISNA(MATCH(171,'Transfer Engine'!$C$2:$C$622,0)),"",INDEX('Compliance Database'!$K$2:$K$622,MATCH(171,'Transfer Engine'!$C$2:$C$622,0)))</f>
        <v/>
      </c>
      <c r="L180" s="8">
        <f>IF(ISNA(MATCH(171,'Transfer Engine'!$C$2:$C$622,0)),"",INDEX('Compliance Database'!$L$2:$L$622,MATCH(171,'Transfer Engine'!$C$2:$C$622,0)))</f>
        <v/>
      </c>
      <c r="M180" s="8">
        <f>IF(ISNA(MATCH(171,'Transfer Engine'!$C$2:$C$622,0)),"",INDEX('Compliance Database'!$M$2:$M$622,MATCH(171,'Transfer Engine'!$C$2:$C$622,0)))</f>
        <v/>
      </c>
      <c r="N180" s="8">
        <f>IF(ISNA(MATCH(171,'Transfer Engine'!$C$2:$C$622,0)),"",INDEX('Compliance Database'!$N$2:$N$622,MATCH(171,'Transfer Engine'!$C$2:$C$622,0)))</f>
        <v/>
      </c>
      <c r="O180" s="8">
        <f>IF(ISNA(MATCH(171,'Transfer Engine'!$C$2:$C$622,0)),"",INDEX('Compliance Database'!$O$2:$O$622,MATCH(171,'Transfer Engine'!$C$2:$C$622,0)))</f>
        <v/>
      </c>
    </row>
    <row r="181">
      <c r="A181">
        <f>IF(ISNA(MATCH(172,'Transfer Engine'!$C$2:$C$622,0)),"",INDEX('Compliance Database'!$A$2:$A$622,MATCH(172,'Transfer Engine'!$C$2:$C$622,0)))</f>
        <v/>
      </c>
      <c r="B181">
        <f>IF(ISNA(MATCH(172,'Transfer Engine'!$C$2:$C$622,0)),"",INDEX('Compliance Database'!$B$2:$B$622,MATCH(172,'Transfer Engine'!$C$2:$C$622,0)))</f>
        <v/>
      </c>
      <c r="C181">
        <f>IF(ISNA(MATCH(172,'Transfer Engine'!$C$2:$C$622,0)),"",INDEX('Compliance Database'!$C$2:$C$622,MATCH(172,'Transfer Engine'!$C$2:$C$622,0)))</f>
        <v/>
      </c>
      <c r="D181" s="8">
        <f>IF(ISNA(MATCH(172,'Transfer Engine'!$C$2:$C$622,0)),"",INDEX('Compliance Database'!$D$2:$D$622,MATCH(172,'Transfer Engine'!$C$2:$C$622,0)))</f>
        <v/>
      </c>
      <c r="E181">
        <f>IF(ISNA(MATCH(172,'Transfer Engine'!$C$2:$C$622,0)),"",INDEX('Compliance Database'!$E$2:$E$622,MATCH(172,'Transfer Engine'!$C$2:$C$622,0)))</f>
        <v/>
      </c>
      <c r="F181">
        <f>IF(ISNA(MATCH(172,'Transfer Engine'!$C$2:$C$622,0)),"",INDEX('Compliance Database'!$F$2:$F$622,MATCH(172,'Transfer Engine'!$C$2:$C$622,0)))</f>
        <v/>
      </c>
      <c r="G181">
        <f>IF(ISNA(MATCH(172,'Transfer Engine'!$C$2:$C$622,0)),"",INDEX('Compliance Database'!$G$2:$G$622,MATCH(172,'Transfer Engine'!$C$2:$C$622,0)))</f>
        <v/>
      </c>
      <c r="H181">
        <f>IF(ISNA(MATCH(172,'Transfer Engine'!$C$2:$C$622,0)),"",INDEX('Compliance Database'!$H$2:$H$622,MATCH(172,'Transfer Engine'!$C$2:$C$622,0)))</f>
        <v/>
      </c>
      <c r="I181" s="8">
        <f>IF(ISNA(MATCH(172,'Transfer Engine'!$C$2:$C$622,0)),"",INDEX('Compliance Database'!$I$2:$I$622,MATCH(172,'Transfer Engine'!$C$2:$C$622,0)))</f>
        <v/>
      </c>
      <c r="J181" s="8">
        <f>IF(ISNA(MATCH(172,'Transfer Engine'!$C$2:$C$622,0)),"",INDEX('Compliance Database'!$J$2:$J$622,MATCH(172,'Transfer Engine'!$C$2:$C$622,0)))</f>
        <v/>
      </c>
      <c r="K181">
        <f>IF(ISNA(MATCH(172,'Transfer Engine'!$C$2:$C$622,0)),"",INDEX('Compliance Database'!$K$2:$K$622,MATCH(172,'Transfer Engine'!$C$2:$C$622,0)))</f>
        <v/>
      </c>
      <c r="L181" s="8">
        <f>IF(ISNA(MATCH(172,'Transfer Engine'!$C$2:$C$622,0)),"",INDEX('Compliance Database'!$L$2:$L$622,MATCH(172,'Transfer Engine'!$C$2:$C$622,0)))</f>
        <v/>
      </c>
      <c r="M181" s="8">
        <f>IF(ISNA(MATCH(172,'Transfer Engine'!$C$2:$C$622,0)),"",INDEX('Compliance Database'!$M$2:$M$622,MATCH(172,'Transfer Engine'!$C$2:$C$622,0)))</f>
        <v/>
      </c>
      <c r="N181" s="8">
        <f>IF(ISNA(MATCH(172,'Transfer Engine'!$C$2:$C$622,0)),"",INDEX('Compliance Database'!$N$2:$N$622,MATCH(172,'Transfer Engine'!$C$2:$C$622,0)))</f>
        <v/>
      </c>
      <c r="O181" s="8">
        <f>IF(ISNA(MATCH(172,'Transfer Engine'!$C$2:$C$622,0)),"",INDEX('Compliance Database'!$O$2:$O$622,MATCH(172,'Transfer Engine'!$C$2:$C$622,0)))</f>
        <v/>
      </c>
    </row>
    <row r="182">
      <c r="A182">
        <f>IF(ISNA(MATCH(173,'Transfer Engine'!$C$2:$C$622,0)),"",INDEX('Compliance Database'!$A$2:$A$622,MATCH(173,'Transfer Engine'!$C$2:$C$622,0)))</f>
        <v/>
      </c>
      <c r="B182">
        <f>IF(ISNA(MATCH(173,'Transfer Engine'!$C$2:$C$622,0)),"",INDEX('Compliance Database'!$B$2:$B$622,MATCH(173,'Transfer Engine'!$C$2:$C$622,0)))</f>
        <v/>
      </c>
      <c r="C182">
        <f>IF(ISNA(MATCH(173,'Transfer Engine'!$C$2:$C$622,0)),"",INDEX('Compliance Database'!$C$2:$C$622,MATCH(173,'Transfer Engine'!$C$2:$C$622,0)))</f>
        <v/>
      </c>
      <c r="D182" s="8">
        <f>IF(ISNA(MATCH(173,'Transfer Engine'!$C$2:$C$622,0)),"",INDEX('Compliance Database'!$D$2:$D$622,MATCH(173,'Transfer Engine'!$C$2:$C$622,0)))</f>
        <v/>
      </c>
      <c r="E182">
        <f>IF(ISNA(MATCH(173,'Transfer Engine'!$C$2:$C$622,0)),"",INDEX('Compliance Database'!$E$2:$E$622,MATCH(173,'Transfer Engine'!$C$2:$C$622,0)))</f>
        <v/>
      </c>
      <c r="F182">
        <f>IF(ISNA(MATCH(173,'Transfer Engine'!$C$2:$C$622,0)),"",INDEX('Compliance Database'!$F$2:$F$622,MATCH(173,'Transfer Engine'!$C$2:$C$622,0)))</f>
        <v/>
      </c>
      <c r="G182">
        <f>IF(ISNA(MATCH(173,'Transfer Engine'!$C$2:$C$622,0)),"",INDEX('Compliance Database'!$G$2:$G$622,MATCH(173,'Transfer Engine'!$C$2:$C$622,0)))</f>
        <v/>
      </c>
      <c r="H182">
        <f>IF(ISNA(MATCH(173,'Transfer Engine'!$C$2:$C$622,0)),"",INDEX('Compliance Database'!$H$2:$H$622,MATCH(173,'Transfer Engine'!$C$2:$C$622,0)))</f>
        <v/>
      </c>
      <c r="I182" s="8">
        <f>IF(ISNA(MATCH(173,'Transfer Engine'!$C$2:$C$622,0)),"",INDEX('Compliance Database'!$I$2:$I$622,MATCH(173,'Transfer Engine'!$C$2:$C$622,0)))</f>
        <v/>
      </c>
      <c r="J182" s="8">
        <f>IF(ISNA(MATCH(173,'Transfer Engine'!$C$2:$C$622,0)),"",INDEX('Compliance Database'!$J$2:$J$622,MATCH(173,'Transfer Engine'!$C$2:$C$622,0)))</f>
        <v/>
      </c>
      <c r="K182">
        <f>IF(ISNA(MATCH(173,'Transfer Engine'!$C$2:$C$622,0)),"",INDEX('Compliance Database'!$K$2:$K$622,MATCH(173,'Transfer Engine'!$C$2:$C$622,0)))</f>
        <v/>
      </c>
      <c r="L182" s="8">
        <f>IF(ISNA(MATCH(173,'Transfer Engine'!$C$2:$C$622,0)),"",INDEX('Compliance Database'!$L$2:$L$622,MATCH(173,'Transfer Engine'!$C$2:$C$622,0)))</f>
        <v/>
      </c>
      <c r="M182" s="8">
        <f>IF(ISNA(MATCH(173,'Transfer Engine'!$C$2:$C$622,0)),"",INDEX('Compliance Database'!$M$2:$M$622,MATCH(173,'Transfer Engine'!$C$2:$C$622,0)))</f>
        <v/>
      </c>
      <c r="N182" s="8">
        <f>IF(ISNA(MATCH(173,'Transfer Engine'!$C$2:$C$622,0)),"",INDEX('Compliance Database'!$N$2:$N$622,MATCH(173,'Transfer Engine'!$C$2:$C$622,0)))</f>
        <v/>
      </c>
      <c r="O182" s="8">
        <f>IF(ISNA(MATCH(173,'Transfer Engine'!$C$2:$C$622,0)),"",INDEX('Compliance Database'!$O$2:$O$622,MATCH(173,'Transfer Engine'!$C$2:$C$622,0)))</f>
        <v/>
      </c>
    </row>
    <row r="183">
      <c r="A183">
        <f>IF(ISNA(MATCH(174,'Transfer Engine'!$C$2:$C$622,0)),"",INDEX('Compliance Database'!$A$2:$A$622,MATCH(174,'Transfer Engine'!$C$2:$C$622,0)))</f>
        <v/>
      </c>
      <c r="B183">
        <f>IF(ISNA(MATCH(174,'Transfer Engine'!$C$2:$C$622,0)),"",INDEX('Compliance Database'!$B$2:$B$622,MATCH(174,'Transfer Engine'!$C$2:$C$622,0)))</f>
        <v/>
      </c>
      <c r="C183">
        <f>IF(ISNA(MATCH(174,'Transfer Engine'!$C$2:$C$622,0)),"",INDEX('Compliance Database'!$C$2:$C$622,MATCH(174,'Transfer Engine'!$C$2:$C$622,0)))</f>
        <v/>
      </c>
      <c r="D183" s="8">
        <f>IF(ISNA(MATCH(174,'Transfer Engine'!$C$2:$C$622,0)),"",INDEX('Compliance Database'!$D$2:$D$622,MATCH(174,'Transfer Engine'!$C$2:$C$622,0)))</f>
        <v/>
      </c>
      <c r="E183">
        <f>IF(ISNA(MATCH(174,'Transfer Engine'!$C$2:$C$622,0)),"",INDEX('Compliance Database'!$E$2:$E$622,MATCH(174,'Transfer Engine'!$C$2:$C$622,0)))</f>
        <v/>
      </c>
      <c r="F183">
        <f>IF(ISNA(MATCH(174,'Transfer Engine'!$C$2:$C$622,0)),"",INDEX('Compliance Database'!$F$2:$F$622,MATCH(174,'Transfer Engine'!$C$2:$C$622,0)))</f>
        <v/>
      </c>
      <c r="G183">
        <f>IF(ISNA(MATCH(174,'Transfer Engine'!$C$2:$C$622,0)),"",INDEX('Compliance Database'!$G$2:$G$622,MATCH(174,'Transfer Engine'!$C$2:$C$622,0)))</f>
        <v/>
      </c>
      <c r="H183">
        <f>IF(ISNA(MATCH(174,'Transfer Engine'!$C$2:$C$622,0)),"",INDEX('Compliance Database'!$H$2:$H$622,MATCH(174,'Transfer Engine'!$C$2:$C$622,0)))</f>
        <v/>
      </c>
      <c r="I183" s="8">
        <f>IF(ISNA(MATCH(174,'Transfer Engine'!$C$2:$C$622,0)),"",INDEX('Compliance Database'!$I$2:$I$622,MATCH(174,'Transfer Engine'!$C$2:$C$622,0)))</f>
        <v/>
      </c>
      <c r="J183" s="8">
        <f>IF(ISNA(MATCH(174,'Transfer Engine'!$C$2:$C$622,0)),"",INDEX('Compliance Database'!$J$2:$J$622,MATCH(174,'Transfer Engine'!$C$2:$C$622,0)))</f>
        <v/>
      </c>
      <c r="K183">
        <f>IF(ISNA(MATCH(174,'Transfer Engine'!$C$2:$C$622,0)),"",INDEX('Compliance Database'!$K$2:$K$622,MATCH(174,'Transfer Engine'!$C$2:$C$622,0)))</f>
        <v/>
      </c>
      <c r="L183" s="8">
        <f>IF(ISNA(MATCH(174,'Transfer Engine'!$C$2:$C$622,0)),"",INDEX('Compliance Database'!$L$2:$L$622,MATCH(174,'Transfer Engine'!$C$2:$C$622,0)))</f>
        <v/>
      </c>
      <c r="M183" s="8">
        <f>IF(ISNA(MATCH(174,'Transfer Engine'!$C$2:$C$622,0)),"",INDEX('Compliance Database'!$M$2:$M$622,MATCH(174,'Transfer Engine'!$C$2:$C$622,0)))</f>
        <v/>
      </c>
      <c r="N183" s="8">
        <f>IF(ISNA(MATCH(174,'Transfer Engine'!$C$2:$C$622,0)),"",INDEX('Compliance Database'!$N$2:$N$622,MATCH(174,'Transfer Engine'!$C$2:$C$622,0)))</f>
        <v/>
      </c>
      <c r="O183" s="8">
        <f>IF(ISNA(MATCH(174,'Transfer Engine'!$C$2:$C$622,0)),"",INDEX('Compliance Database'!$O$2:$O$622,MATCH(174,'Transfer Engine'!$C$2:$C$622,0)))</f>
        <v/>
      </c>
    </row>
    <row r="184">
      <c r="A184">
        <f>IF(ISNA(MATCH(175,'Transfer Engine'!$C$2:$C$622,0)),"",INDEX('Compliance Database'!$A$2:$A$622,MATCH(175,'Transfer Engine'!$C$2:$C$622,0)))</f>
        <v/>
      </c>
      <c r="B184">
        <f>IF(ISNA(MATCH(175,'Transfer Engine'!$C$2:$C$622,0)),"",INDEX('Compliance Database'!$B$2:$B$622,MATCH(175,'Transfer Engine'!$C$2:$C$622,0)))</f>
        <v/>
      </c>
      <c r="C184">
        <f>IF(ISNA(MATCH(175,'Transfer Engine'!$C$2:$C$622,0)),"",INDEX('Compliance Database'!$C$2:$C$622,MATCH(175,'Transfer Engine'!$C$2:$C$622,0)))</f>
        <v/>
      </c>
      <c r="D184" s="8">
        <f>IF(ISNA(MATCH(175,'Transfer Engine'!$C$2:$C$622,0)),"",INDEX('Compliance Database'!$D$2:$D$622,MATCH(175,'Transfer Engine'!$C$2:$C$622,0)))</f>
        <v/>
      </c>
      <c r="E184">
        <f>IF(ISNA(MATCH(175,'Transfer Engine'!$C$2:$C$622,0)),"",INDEX('Compliance Database'!$E$2:$E$622,MATCH(175,'Transfer Engine'!$C$2:$C$622,0)))</f>
        <v/>
      </c>
      <c r="F184">
        <f>IF(ISNA(MATCH(175,'Transfer Engine'!$C$2:$C$622,0)),"",INDEX('Compliance Database'!$F$2:$F$622,MATCH(175,'Transfer Engine'!$C$2:$C$622,0)))</f>
        <v/>
      </c>
      <c r="G184">
        <f>IF(ISNA(MATCH(175,'Transfer Engine'!$C$2:$C$622,0)),"",INDEX('Compliance Database'!$G$2:$G$622,MATCH(175,'Transfer Engine'!$C$2:$C$622,0)))</f>
        <v/>
      </c>
      <c r="H184">
        <f>IF(ISNA(MATCH(175,'Transfer Engine'!$C$2:$C$622,0)),"",INDEX('Compliance Database'!$H$2:$H$622,MATCH(175,'Transfer Engine'!$C$2:$C$622,0)))</f>
        <v/>
      </c>
      <c r="I184" s="8">
        <f>IF(ISNA(MATCH(175,'Transfer Engine'!$C$2:$C$622,0)),"",INDEX('Compliance Database'!$I$2:$I$622,MATCH(175,'Transfer Engine'!$C$2:$C$622,0)))</f>
        <v/>
      </c>
      <c r="J184" s="8">
        <f>IF(ISNA(MATCH(175,'Transfer Engine'!$C$2:$C$622,0)),"",INDEX('Compliance Database'!$J$2:$J$622,MATCH(175,'Transfer Engine'!$C$2:$C$622,0)))</f>
        <v/>
      </c>
      <c r="K184">
        <f>IF(ISNA(MATCH(175,'Transfer Engine'!$C$2:$C$622,0)),"",INDEX('Compliance Database'!$K$2:$K$622,MATCH(175,'Transfer Engine'!$C$2:$C$622,0)))</f>
        <v/>
      </c>
      <c r="L184" s="8">
        <f>IF(ISNA(MATCH(175,'Transfer Engine'!$C$2:$C$622,0)),"",INDEX('Compliance Database'!$L$2:$L$622,MATCH(175,'Transfer Engine'!$C$2:$C$622,0)))</f>
        <v/>
      </c>
      <c r="M184" s="8">
        <f>IF(ISNA(MATCH(175,'Transfer Engine'!$C$2:$C$622,0)),"",INDEX('Compliance Database'!$M$2:$M$622,MATCH(175,'Transfer Engine'!$C$2:$C$622,0)))</f>
        <v/>
      </c>
      <c r="N184" s="8">
        <f>IF(ISNA(MATCH(175,'Transfer Engine'!$C$2:$C$622,0)),"",INDEX('Compliance Database'!$N$2:$N$622,MATCH(175,'Transfer Engine'!$C$2:$C$622,0)))</f>
        <v/>
      </c>
      <c r="O184" s="8">
        <f>IF(ISNA(MATCH(175,'Transfer Engine'!$C$2:$C$622,0)),"",INDEX('Compliance Database'!$O$2:$O$622,MATCH(175,'Transfer Engine'!$C$2:$C$622,0)))</f>
        <v/>
      </c>
    </row>
    <row r="185">
      <c r="A185">
        <f>IF(ISNA(MATCH(176,'Transfer Engine'!$C$2:$C$622,0)),"",INDEX('Compliance Database'!$A$2:$A$622,MATCH(176,'Transfer Engine'!$C$2:$C$622,0)))</f>
        <v/>
      </c>
      <c r="B185">
        <f>IF(ISNA(MATCH(176,'Transfer Engine'!$C$2:$C$622,0)),"",INDEX('Compliance Database'!$B$2:$B$622,MATCH(176,'Transfer Engine'!$C$2:$C$622,0)))</f>
        <v/>
      </c>
      <c r="C185">
        <f>IF(ISNA(MATCH(176,'Transfer Engine'!$C$2:$C$622,0)),"",INDEX('Compliance Database'!$C$2:$C$622,MATCH(176,'Transfer Engine'!$C$2:$C$622,0)))</f>
        <v/>
      </c>
      <c r="D185" s="8">
        <f>IF(ISNA(MATCH(176,'Transfer Engine'!$C$2:$C$622,0)),"",INDEX('Compliance Database'!$D$2:$D$622,MATCH(176,'Transfer Engine'!$C$2:$C$622,0)))</f>
        <v/>
      </c>
      <c r="E185">
        <f>IF(ISNA(MATCH(176,'Transfer Engine'!$C$2:$C$622,0)),"",INDEX('Compliance Database'!$E$2:$E$622,MATCH(176,'Transfer Engine'!$C$2:$C$622,0)))</f>
        <v/>
      </c>
      <c r="F185">
        <f>IF(ISNA(MATCH(176,'Transfer Engine'!$C$2:$C$622,0)),"",INDEX('Compliance Database'!$F$2:$F$622,MATCH(176,'Transfer Engine'!$C$2:$C$622,0)))</f>
        <v/>
      </c>
      <c r="G185">
        <f>IF(ISNA(MATCH(176,'Transfer Engine'!$C$2:$C$622,0)),"",INDEX('Compliance Database'!$G$2:$G$622,MATCH(176,'Transfer Engine'!$C$2:$C$622,0)))</f>
        <v/>
      </c>
      <c r="H185">
        <f>IF(ISNA(MATCH(176,'Transfer Engine'!$C$2:$C$622,0)),"",INDEX('Compliance Database'!$H$2:$H$622,MATCH(176,'Transfer Engine'!$C$2:$C$622,0)))</f>
        <v/>
      </c>
      <c r="I185" s="8">
        <f>IF(ISNA(MATCH(176,'Transfer Engine'!$C$2:$C$622,0)),"",INDEX('Compliance Database'!$I$2:$I$622,MATCH(176,'Transfer Engine'!$C$2:$C$622,0)))</f>
        <v/>
      </c>
      <c r="J185" s="8">
        <f>IF(ISNA(MATCH(176,'Transfer Engine'!$C$2:$C$622,0)),"",INDEX('Compliance Database'!$J$2:$J$622,MATCH(176,'Transfer Engine'!$C$2:$C$622,0)))</f>
        <v/>
      </c>
      <c r="K185">
        <f>IF(ISNA(MATCH(176,'Transfer Engine'!$C$2:$C$622,0)),"",INDEX('Compliance Database'!$K$2:$K$622,MATCH(176,'Transfer Engine'!$C$2:$C$622,0)))</f>
        <v/>
      </c>
      <c r="L185" s="8">
        <f>IF(ISNA(MATCH(176,'Transfer Engine'!$C$2:$C$622,0)),"",INDEX('Compliance Database'!$L$2:$L$622,MATCH(176,'Transfer Engine'!$C$2:$C$622,0)))</f>
        <v/>
      </c>
      <c r="M185" s="8">
        <f>IF(ISNA(MATCH(176,'Transfer Engine'!$C$2:$C$622,0)),"",INDEX('Compliance Database'!$M$2:$M$622,MATCH(176,'Transfer Engine'!$C$2:$C$622,0)))</f>
        <v/>
      </c>
      <c r="N185" s="8">
        <f>IF(ISNA(MATCH(176,'Transfer Engine'!$C$2:$C$622,0)),"",INDEX('Compliance Database'!$N$2:$N$622,MATCH(176,'Transfer Engine'!$C$2:$C$622,0)))</f>
        <v/>
      </c>
      <c r="O185" s="8">
        <f>IF(ISNA(MATCH(176,'Transfer Engine'!$C$2:$C$622,0)),"",INDEX('Compliance Database'!$O$2:$O$622,MATCH(176,'Transfer Engine'!$C$2:$C$622,0)))</f>
        <v/>
      </c>
    </row>
    <row r="186">
      <c r="A186">
        <f>IF(ISNA(MATCH(177,'Transfer Engine'!$C$2:$C$622,0)),"",INDEX('Compliance Database'!$A$2:$A$622,MATCH(177,'Transfer Engine'!$C$2:$C$622,0)))</f>
        <v/>
      </c>
      <c r="B186">
        <f>IF(ISNA(MATCH(177,'Transfer Engine'!$C$2:$C$622,0)),"",INDEX('Compliance Database'!$B$2:$B$622,MATCH(177,'Transfer Engine'!$C$2:$C$622,0)))</f>
        <v/>
      </c>
      <c r="C186">
        <f>IF(ISNA(MATCH(177,'Transfer Engine'!$C$2:$C$622,0)),"",INDEX('Compliance Database'!$C$2:$C$622,MATCH(177,'Transfer Engine'!$C$2:$C$622,0)))</f>
        <v/>
      </c>
      <c r="D186" s="8">
        <f>IF(ISNA(MATCH(177,'Transfer Engine'!$C$2:$C$622,0)),"",INDEX('Compliance Database'!$D$2:$D$622,MATCH(177,'Transfer Engine'!$C$2:$C$622,0)))</f>
        <v/>
      </c>
      <c r="E186">
        <f>IF(ISNA(MATCH(177,'Transfer Engine'!$C$2:$C$622,0)),"",INDEX('Compliance Database'!$E$2:$E$622,MATCH(177,'Transfer Engine'!$C$2:$C$622,0)))</f>
        <v/>
      </c>
      <c r="F186">
        <f>IF(ISNA(MATCH(177,'Transfer Engine'!$C$2:$C$622,0)),"",INDEX('Compliance Database'!$F$2:$F$622,MATCH(177,'Transfer Engine'!$C$2:$C$622,0)))</f>
        <v/>
      </c>
      <c r="G186">
        <f>IF(ISNA(MATCH(177,'Transfer Engine'!$C$2:$C$622,0)),"",INDEX('Compliance Database'!$G$2:$G$622,MATCH(177,'Transfer Engine'!$C$2:$C$622,0)))</f>
        <v/>
      </c>
      <c r="H186">
        <f>IF(ISNA(MATCH(177,'Transfer Engine'!$C$2:$C$622,0)),"",INDEX('Compliance Database'!$H$2:$H$622,MATCH(177,'Transfer Engine'!$C$2:$C$622,0)))</f>
        <v/>
      </c>
      <c r="I186" s="8">
        <f>IF(ISNA(MATCH(177,'Transfer Engine'!$C$2:$C$622,0)),"",INDEX('Compliance Database'!$I$2:$I$622,MATCH(177,'Transfer Engine'!$C$2:$C$622,0)))</f>
        <v/>
      </c>
      <c r="J186" s="8">
        <f>IF(ISNA(MATCH(177,'Transfer Engine'!$C$2:$C$622,0)),"",INDEX('Compliance Database'!$J$2:$J$622,MATCH(177,'Transfer Engine'!$C$2:$C$622,0)))</f>
        <v/>
      </c>
      <c r="K186">
        <f>IF(ISNA(MATCH(177,'Transfer Engine'!$C$2:$C$622,0)),"",INDEX('Compliance Database'!$K$2:$K$622,MATCH(177,'Transfer Engine'!$C$2:$C$622,0)))</f>
        <v/>
      </c>
      <c r="L186" s="8">
        <f>IF(ISNA(MATCH(177,'Transfer Engine'!$C$2:$C$622,0)),"",INDEX('Compliance Database'!$L$2:$L$622,MATCH(177,'Transfer Engine'!$C$2:$C$622,0)))</f>
        <v/>
      </c>
      <c r="M186" s="8">
        <f>IF(ISNA(MATCH(177,'Transfer Engine'!$C$2:$C$622,0)),"",INDEX('Compliance Database'!$M$2:$M$622,MATCH(177,'Transfer Engine'!$C$2:$C$622,0)))</f>
        <v/>
      </c>
      <c r="N186" s="8">
        <f>IF(ISNA(MATCH(177,'Transfer Engine'!$C$2:$C$622,0)),"",INDEX('Compliance Database'!$N$2:$N$622,MATCH(177,'Transfer Engine'!$C$2:$C$622,0)))</f>
        <v/>
      </c>
      <c r="O186" s="8">
        <f>IF(ISNA(MATCH(177,'Transfer Engine'!$C$2:$C$622,0)),"",INDEX('Compliance Database'!$O$2:$O$622,MATCH(177,'Transfer Engine'!$C$2:$C$622,0)))</f>
        <v/>
      </c>
    </row>
    <row r="187">
      <c r="A187">
        <f>IF(ISNA(MATCH(178,'Transfer Engine'!$C$2:$C$622,0)),"",INDEX('Compliance Database'!$A$2:$A$622,MATCH(178,'Transfer Engine'!$C$2:$C$622,0)))</f>
        <v/>
      </c>
      <c r="B187">
        <f>IF(ISNA(MATCH(178,'Transfer Engine'!$C$2:$C$622,0)),"",INDEX('Compliance Database'!$B$2:$B$622,MATCH(178,'Transfer Engine'!$C$2:$C$622,0)))</f>
        <v/>
      </c>
      <c r="C187">
        <f>IF(ISNA(MATCH(178,'Transfer Engine'!$C$2:$C$622,0)),"",INDEX('Compliance Database'!$C$2:$C$622,MATCH(178,'Transfer Engine'!$C$2:$C$622,0)))</f>
        <v/>
      </c>
      <c r="D187" s="8">
        <f>IF(ISNA(MATCH(178,'Transfer Engine'!$C$2:$C$622,0)),"",INDEX('Compliance Database'!$D$2:$D$622,MATCH(178,'Transfer Engine'!$C$2:$C$622,0)))</f>
        <v/>
      </c>
      <c r="E187">
        <f>IF(ISNA(MATCH(178,'Transfer Engine'!$C$2:$C$622,0)),"",INDEX('Compliance Database'!$E$2:$E$622,MATCH(178,'Transfer Engine'!$C$2:$C$622,0)))</f>
        <v/>
      </c>
      <c r="F187">
        <f>IF(ISNA(MATCH(178,'Transfer Engine'!$C$2:$C$622,0)),"",INDEX('Compliance Database'!$F$2:$F$622,MATCH(178,'Transfer Engine'!$C$2:$C$622,0)))</f>
        <v/>
      </c>
      <c r="G187">
        <f>IF(ISNA(MATCH(178,'Transfer Engine'!$C$2:$C$622,0)),"",INDEX('Compliance Database'!$G$2:$G$622,MATCH(178,'Transfer Engine'!$C$2:$C$622,0)))</f>
        <v/>
      </c>
      <c r="H187">
        <f>IF(ISNA(MATCH(178,'Transfer Engine'!$C$2:$C$622,0)),"",INDEX('Compliance Database'!$H$2:$H$622,MATCH(178,'Transfer Engine'!$C$2:$C$622,0)))</f>
        <v/>
      </c>
      <c r="I187" s="8">
        <f>IF(ISNA(MATCH(178,'Transfer Engine'!$C$2:$C$622,0)),"",INDEX('Compliance Database'!$I$2:$I$622,MATCH(178,'Transfer Engine'!$C$2:$C$622,0)))</f>
        <v/>
      </c>
      <c r="J187" s="8">
        <f>IF(ISNA(MATCH(178,'Transfer Engine'!$C$2:$C$622,0)),"",INDEX('Compliance Database'!$J$2:$J$622,MATCH(178,'Transfer Engine'!$C$2:$C$622,0)))</f>
        <v/>
      </c>
      <c r="K187">
        <f>IF(ISNA(MATCH(178,'Transfer Engine'!$C$2:$C$622,0)),"",INDEX('Compliance Database'!$K$2:$K$622,MATCH(178,'Transfer Engine'!$C$2:$C$622,0)))</f>
        <v/>
      </c>
      <c r="L187" s="8">
        <f>IF(ISNA(MATCH(178,'Transfer Engine'!$C$2:$C$622,0)),"",INDEX('Compliance Database'!$L$2:$L$622,MATCH(178,'Transfer Engine'!$C$2:$C$622,0)))</f>
        <v/>
      </c>
      <c r="M187" s="8">
        <f>IF(ISNA(MATCH(178,'Transfer Engine'!$C$2:$C$622,0)),"",INDEX('Compliance Database'!$M$2:$M$622,MATCH(178,'Transfer Engine'!$C$2:$C$622,0)))</f>
        <v/>
      </c>
      <c r="N187" s="8">
        <f>IF(ISNA(MATCH(178,'Transfer Engine'!$C$2:$C$622,0)),"",INDEX('Compliance Database'!$N$2:$N$622,MATCH(178,'Transfer Engine'!$C$2:$C$622,0)))</f>
        <v/>
      </c>
      <c r="O187" s="8">
        <f>IF(ISNA(MATCH(178,'Transfer Engine'!$C$2:$C$622,0)),"",INDEX('Compliance Database'!$O$2:$O$622,MATCH(178,'Transfer Engine'!$C$2:$C$622,0)))</f>
        <v/>
      </c>
    </row>
    <row r="188">
      <c r="A188">
        <f>IF(ISNA(MATCH(179,'Transfer Engine'!$C$2:$C$622,0)),"",INDEX('Compliance Database'!$A$2:$A$622,MATCH(179,'Transfer Engine'!$C$2:$C$622,0)))</f>
        <v/>
      </c>
      <c r="B188">
        <f>IF(ISNA(MATCH(179,'Transfer Engine'!$C$2:$C$622,0)),"",INDEX('Compliance Database'!$B$2:$B$622,MATCH(179,'Transfer Engine'!$C$2:$C$622,0)))</f>
        <v/>
      </c>
      <c r="C188">
        <f>IF(ISNA(MATCH(179,'Transfer Engine'!$C$2:$C$622,0)),"",INDEX('Compliance Database'!$C$2:$C$622,MATCH(179,'Transfer Engine'!$C$2:$C$622,0)))</f>
        <v/>
      </c>
      <c r="D188" s="8">
        <f>IF(ISNA(MATCH(179,'Transfer Engine'!$C$2:$C$622,0)),"",INDEX('Compliance Database'!$D$2:$D$622,MATCH(179,'Transfer Engine'!$C$2:$C$622,0)))</f>
        <v/>
      </c>
      <c r="E188">
        <f>IF(ISNA(MATCH(179,'Transfer Engine'!$C$2:$C$622,0)),"",INDEX('Compliance Database'!$E$2:$E$622,MATCH(179,'Transfer Engine'!$C$2:$C$622,0)))</f>
        <v/>
      </c>
      <c r="F188">
        <f>IF(ISNA(MATCH(179,'Transfer Engine'!$C$2:$C$622,0)),"",INDEX('Compliance Database'!$F$2:$F$622,MATCH(179,'Transfer Engine'!$C$2:$C$622,0)))</f>
        <v/>
      </c>
      <c r="G188">
        <f>IF(ISNA(MATCH(179,'Transfer Engine'!$C$2:$C$622,0)),"",INDEX('Compliance Database'!$G$2:$G$622,MATCH(179,'Transfer Engine'!$C$2:$C$622,0)))</f>
        <v/>
      </c>
      <c r="H188">
        <f>IF(ISNA(MATCH(179,'Transfer Engine'!$C$2:$C$622,0)),"",INDEX('Compliance Database'!$H$2:$H$622,MATCH(179,'Transfer Engine'!$C$2:$C$622,0)))</f>
        <v/>
      </c>
      <c r="I188" s="8">
        <f>IF(ISNA(MATCH(179,'Transfer Engine'!$C$2:$C$622,0)),"",INDEX('Compliance Database'!$I$2:$I$622,MATCH(179,'Transfer Engine'!$C$2:$C$622,0)))</f>
        <v/>
      </c>
      <c r="J188" s="8">
        <f>IF(ISNA(MATCH(179,'Transfer Engine'!$C$2:$C$622,0)),"",INDEX('Compliance Database'!$J$2:$J$622,MATCH(179,'Transfer Engine'!$C$2:$C$622,0)))</f>
        <v/>
      </c>
      <c r="K188">
        <f>IF(ISNA(MATCH(179,'Transfer Engine'!$C$2:$C$622,0)),"",INDEX('Compliance Database'!$K$2:$K$622,MATCH(179,'Transfer Engine'!$C$2:$C$622,0)))</f>
        <v/>
      </c>
      <c r="L188" s="8">
        <f>IF(ISNA(MATCH(179,'Transfer Engine'!$C$2:$C$622,0)),"",INDEX('Compliance Database'!$L$2:$L$622,MATCH(179,'Transfer Engine'!$C$2:$C$622,0)))</f>
        <v/>
      </c>
      <c r="M188" s="8">
        <f>IF(ISNA(MATCH(179,'Transfer Engine'!$C$2:$C$622,0)),"",INDEX('Compliance Database'!$M$2:$M$622,MATCH(179,'Transfer Engine'!$C$2:$C$622,0)))</f>
        <v/>
      </c>
      <c r="N188" s="8">
        <f>IF(ISNA(MATCH(179,'Transfer Engine'!$C$2:$C$622,0)),"",INDEX('Compliance Database'!$N$2:$N$622,MATCH(179,'Transfer Engine'!$C$2:$C$622,0)))</f>
        <v/>
      </c>
      <c r="O188" s="8">
        <f>IF(ISNA(MATCH(179,'Transfer Engine'!$C$2:$C$622,0)),"",INDEX('Compliance Database'!$O$2:$O$622,MATCH(179,'Transfer Engine'!$C$2:$C$622,0)))</f>
        <v/>
      </c>
    </row>
    <row r="189">
      <c r="A189">
        <f>IF(ISNA(MATCH(180,'Transfer Engine'!$C$2:$C$622,0)),"",INDEX('Compliance Database'!$A$2:$A$622,MATCH(180,'Transfer Engine'!$C$2:$C$622,0)))</f>
        <v/>
      </c>
      <c r="B189">
        <f>IF(ISNA(MATCH(180,'Transfer Engine'!$C$2:$C$622,0)),"",INDEX('Compliance Database'!$B$2:$B$622,MATCH(180,'Transfer Engine'!$C$2:$C$622,0)))</f>
        <v/>
      </c>
      <c r="C189">
        <f>IF(ISNA(MATCH(180,'Transfer Engine'!$C$2:$C$622,0)),"",INDEX('Compliance Database'!$C$2:$C$622,MATCH(180,'Transfer Engine'!$C$2:$C$622,0)))</f>
        <v/>
      </c>
      <c r="D189" s="8">
        <f>IF(ISNA(MATCH(180,'Transfer Engine'!$C$2:$C$622,0)),"",INDEX('Compliance Database'!$D$2:$D$622,MATCH(180,'Transfer Engine'!$C$2:$C$622,0)))</f>
        <v/>
      </c>
      <c r="E189">
        <f>IF(ISNA(MATCH(180,'Transfer Engine'!$C$2:$C$622,0)),"",INDEX('Compliance Database'!$E$2:$E$622,MATCH(180,'Transfer Engine'!$C$2:$C$622,0)))</f>
        <v/>
      </c>
      <c r="F189">
        <f>IF(ISNA(MATCH(180,'Transfer Engine'!$C$2:$C$622,0)),"",INDEX('Compliance Database'!$F$2:$F$622,MATCH(180,'Transfer Engine'!$C$2:$C$622,0)))</f>
        <v/>
      </c>
      <c r="G189">
        <f>IF(ISNA(MATCH(180,'Transfer Engine'!$C$2:$C$622,0)),"",INDEX('Compliance Database'!$G$2:$G$622,MATCH(180,'Transfer Engine'!$C$2:$C$622,0)))</f>
        <v/>
      </c>
      <c r="H189">
        <f>IF(ISNA(MATCH(180,'Transfer Engine'!$C$2:$C$622,0)),"",INDEX('Compliance Database'!$H$2:$H$622,MATCH(180,'Transfer Engine'!$C$2:$C$622,0)))</f>
        <v/>
      </c>
      <c r="I189" s="8">
        <f>IF(ISNA(MATCH(180,'Transfer Engine'!$C$2:$C$622,0)),"",INDEX('Compliance Database'!$I$2:$I$622,MATCH(180,'Transfer Engine'!$C$2:$C$622,0)))</f>
        <v/>
      </c>
      <c r="J189" s="8">
        <f>IF(ISNA(MATCH(180,'Transfer Engine'!$C$2:$C$622,0)),"",INDEX('Compliance Database'!$J$2:$J$622,MATCH(180,'Transfer Engine'!$C$2:$C$622,0)))</f>
        <v/>
      </c>
      <c r="K189">
        <f>IF(ISNA(MATCH(180,'Transfer Engine'!$C$2:$C$622,0)),"",INDEX('Compliance Database'!$K$2:$K$622,MATCH(180,'Transfer Engine'!$C$2:$C$622,0)))</f>
        <v/>
      </c>
      <c r="L189" s="8">
        <f>IF(ISNA(MATCH(180,'Transfer Engine'!$C$2:$C$622,0)),"",INDEX('Compliance Database'!$L$2:$L$622,MATCH(180,'Transfer Engine'!$C$2:$C$622,0)))</f>
        <v/>
      </c>
      <c r="M189" s="8">
        <f>IF(ISNA(MATCH(180,'Transfer Engine'!$C$2:$C$622,0)),"",INDEX('Compliance Database'!$M$2:$M$622,MATCH(180,'Transfer Engine'!$C$2:$C$622,0)))</f>
        <v/>
      </c>
      <c r="N189" s="8">
        <f>IF(ISNA(MATCH(180,'Transfer Engine'!$C$2:$C$622,0)),"",INDEX('Compliance Database'!$N$2:$N$622,MATCH(180,'Transfer Engine'!$C$2:$C$622,0)))</f>
        <v/>
      </c>
      <c r="O189" s="8">
        <f>IF(ISNA(MATCH(180,'Transfer Engine'!$C$2:$C$622,0)),"",INDEX('Compliance Database'!$O$2:$O$622,MATCH(180,'Transfer Engine'!$C$2:$C$622,0)))</f>
        <v/>
      </c>
    </row>
    <row r="190">
      <c r="A190">
        <f>IF(ISNA(MATCH(181,'Transfer Engine'!$C$2:$C$622,0)),"",INDEX('Compliance Database'!$A$2:$A$622,MATCH(181,'Transfer Engine'!$C$2:$C$622,0)))</f>
        <v/>
      </c>
      <c r="B190">
        <f>IF(ISNA(MATCH(181,'Transfer Engine'!$C$2:$C$622,0)),"",INDEX('Compliance Database'!$B$2:$B$622,MATCH(181,'Transfer Engine'!$C$2:$C$622,0)))</f>
        <v/>
      </c>
      <c r="C190">
        <f>IF(ISNA(MATCH(181,'Transfer Engine'!$C$2:$C$622,0)),"",INDEX('Compliance Database'!$C$2:$C$622,MATCH(181,'Transfer Engine'!$C$2:$C$622,0)))</f>
        <v/>
      </c>
      <c r="D190" s="8">
        <f>IF(ISNA(MATCH(181,'Transfer Engine'!$C$2:$C$622,0)),"",INDEX('Compliance Database'!$D$2:$D$622,MATCH(181,'Transfer Engine'!$C$2:$C$622,0)))</f>
        <v/>
      </c>
      <c r="E190">
        <f>IF(ISNA(MATCH(181,'Transfer Engine'!$C$2:$C$622,0)),"",INDEX('Compliance Database'!$E$2:$E$622,MATCH(181,'Transfer Engine'!$C$2:$C$622,0)))</f>
        <v/>
      </c>
      <c r="F190">
        <f>IF(ISNA(MATCH(181,'Transfer Engine'!$C$2:$C$622,0)),"",INDEX('Compliance Database'!$F$2:$F$622,MATCH(181,'Transfer Engine'!$C$2:$C$622,0)))</f>
        <v/>
      </c>
      <c r="G190">
        <f>IF(ISNA(MATCH(181,'Transfer Engine'!$C$2:$C$622,0)),"",INDEX('Compliance Database'!$G$2:$G$622,MATCH(181,'Transfer Engine'!$C$2:$C$622,0)))</f>
        <v/>
      </c>
      <c r="H190">
        <f>IF(ISNA(MATCH(181,'Transfer Engine'!$C$2:$C$622,0)),"",INDEX('Compliance Database'!$H$2:$H$622,MATCH(181,'Transfer Engine'!$C$2:$C$622,0)))</f>
        <v/>
      </c>
      <c r="I190" s="8">
        <f>IF(ISNA(MATCH(181,'Transfer Engine'!$C$2:$C$622,0)),"",INDEX('Compliance Database'!$I$2:$I$622,MATCH(181,'Transfer Engine'!$C$2:$C$622,0)))</f>
        <v/>
      </c>
      <c r="J190" s="8">
        <f>IF(ISNA(MATCH(181,'Transfer Engine'!$C$2:$C$622,0)),"",INDEX('Compliance Database'!$J$2:$J$622,MATCH(181,'Transfer Engine'!$C$2:$C$622,0)))</f>
        <v/>
      </c>
      <c r="K190">
        <f>IF(ISNA(MATCH(181,'Transfer Engine'!$C$2:$C$622,0)),"",INDEX('Compliance Database'!$K$2:$K$622,MATCH(181,'Transfer Engine'!$C$2:$C$622,0)))</f>
        <v/>
      </c>
      <c r="L190" s="8">
        <f>IF(ISNA(MATCH(181,'Transfer Engine'!$C$2:$C$622,0)),"",INDEX('Compliance Database'!$L$2:$L$622,MATCH(181,'Transfer Engine'!$C$2:$C$622,0)))</f>
        <v/>
      </c>
      <c r="M190" s="8">
        <f>IF(ISNA(MATCH(181,'Transfer Engine'!$C$2:$C$622,0)),"",INDEX('Compliance Database'!$M$2:$M$622,MATCH(181,'Transfer Engine'!$C$2:$C$622,0)))</f>
        <v/>
      </c>
      <c r="N190" s="8">
        <f>IF(ISNA(MATCH(181,'Transfer Engine'!$C$2:$C$622,0)),"",INDEX('Compliance Database'!$N$2:$N$622,MATCH(181,'Transfer Engine'!$C$2:$C$622,0)))</f>
        <v/>
      </c>
      <c r="O190" s="8">
        <f>IF(ISNA(MATCH(181,'Transfer Engine'!$C$2:$C$622,0)),"",INDEX('Compliance Database'!$O$2:$O$622,MATCH(181,'Transfer Engine'!$C$2:$C$622,0)))</f>
        <v/>
      </c>
    </row>
    <row r="191">
      <c r="A191">
        <f>IF(ISNA(MATCH(182,'Transfer Engine'!$C$2:$C$622,0)),"",INDEX('Compliance Database'!$A$2:$A$622,MATCH(182,'Transfer Engine'!$C$2:$C$622,0)))</f>
        <v/>
      </c>
      <c r="B191">
        <f>IF(ISNA(MATCH(182,'Transfer Engine'!$C$2:$C$622,0)),"",INDEX('Compliance Database'!$B$2:$B$622,MATCH(182,'Transfer Engine'!$C$2:$C$622,0)))</f>
        <v/>
      </c>
      <c r="C191">
        <f>IF(ISNA(MATCH(182,'Transfer Engine'!$C$2:$C$622,0)),"",INDEX('Compliance Database'!$C$2:$C$622,MATCH(182,'Transfer Engine'!$C$2:$C$622,0)))</f>
        <v/>
      </c>
      <c r="D191" s="8">
        <f>IF(ISNA(MATCH(182,'Transfer Engine'!$C$2:$C$622,0)),"",INDEX('Compliance Database'!$D$2:$D$622,MATCH(182,'Transfer Engine'!$C$2:$C$622,0)))</f>
        <v/>
      </c>
      <c r="E191">
        <f>IF(ISNA(MATCH(182,'Transfer Engine'!$C$2:$C$622,0)),"",INDEX('Compliance Database'!$E$2:$E$622,MATCH(182,'Transfer Engine'!$C$2:$C$622,0)))</f>
        <v/>
      </c>
      <c r="F191">
        <f>IF(ISNA(MATCH(182,'Transfer Engine'!$C$2:$C$622,0)),"",INDEX('Compliance Database'!$F$2:$F$622,MATCH(182,'Transfer Engine'!$C$2:$C$622,0)))</f>
        <v/>
      </c>
      <c r="G191">
        <f>IF(ISNA(MATCH(182,'Transfer Engine'!$C$2:$C$622,0)),"",INDEX('Compliance Database'!$G$2:$G$622,MATCH(182,'Transfer Engine'!$C$2:$C$622,0)))</f>
        <v/>
      </c>
      <c r="H191">
        <f>IF(ISNA(MATCH(182,'Transfer Engine'!$C$2:$C$622,0)),"",INDEX('Compliance Database'!$H$2:$H$622,MATCH(182,'Transfer Engine'!$C$2:$C$622,0)))</f>
        <v/>
      </c>
      <c r="I191" s="8">
        <f>IF(ISNA(MATCH(182,'Transfer Engine'!$C$2:$C$622,0)),"",INDEX('Compliance Database'!$I$2:$I$622,MATCH(182,'Transfer Engine'!$C$2:$C$622,0)))</f>
        <v/>
      </c>
      <c r="J191" s="8">
        <f>IF(ISNA(MATCH(182,'Transfer Engine'!$C$2:$C$622,0)),"",INDEX('Compliance Database'!$J$2:$J$622,MATCH(182,'Transfer Engine'!$C$2:$C$622,0)))</f>
        <v/>
      </c>
      <c r="K191">
        <f>IF(ISNA(MATCH(182,'Transfer Engine'!$C$2:$C$622,0)),"",INDEX('Compliance Database'!$K$2:$K$622,MATCH(182,'Transfer Engine'!$C$2:$C$622,0)))</f>
        <v/>
      </c>
      <c r="L191" s="8">
        <f>IF(ISNA(MATCH(182,'Transfer Engine'!$C$2:$C$622,0)),"",INDEX('Compliance Database'!$L$2:$L$622,MATCH(182,'Transfer Engine'!$C$2:$C$622,0)))</f>
        <v/>
      </c>
      <c r="M191" s="8">
        <f>IF(ISNA(MATCH(182,'Transfer Engine'!$C$2:$C$622,0)),"",INDEX('Compliance Database'!$M$2:$M$622,MATCH(182,'Transfer Engine'!$C$2:$C$622,0)))</f>
        <v/>
      </c>
      <c r="N191" s="8">
        <f>IF(ISNA(MATCH(182,'Transfer Engine'!$C$2:$C$622,0)),"",INDEX('Compliance Database'!$N$2:$N$622,MATCH(182,'Transfer Engine'!$C$2:$C$622,0)))</f>
        <v/>
      </c>
      <c r="O191" s="8">
        <f>IF(ISNA(MATCH(182,'Transfer Engine'!$C$2:$C$622,0)),"",INDEX('Compliance Database'!$O$2:$O$622,MATCH(182,'Transfer Engine'!$C$2:$C$622,0)))</f>
        <v/>
      </c>
    </row>
    <row r="192">
      <c r="A192">
        <f>IF(ISNA(MATCH(183,'Transfer Engine'!$C$2:$C$622,0)),"",INDEX('Compliance Database'!$A$2:$A$622,MATCH(183,'Transfer Engine'!$C$2:$C$622,0)))</f>
        <v/>
      </c>
      <c r="B192">
        <f>IF(ISNA(MATCH(183,'Transfer Engine'!$C$2:$C$622,0)),"",INDEX('Compliance Database'!$B$2:$B$622,MATCH(183,'Transfer Engine'!$C$2:$C$622,0)))</f>
        <v/>
      </c>
      <c r="C192">
        <f>IF(ISNA(MATCH(183,'Transfer Engine'!$C$2:$C$622,0)),"",INDEX('Compliance Database'!$C$2:$C$622,MATCH(183,'Transfer Engine'!$C$2:$C$622,0)))</f>
        <v/>
      </c>
      <c r="D192" s="8">
        <f>IF(ISNA(MATCH(183,'Transfer Engine'!$C$2:$C$622,0)),"",INDEX('Compliance Database'!$D$2:$D$622,MATCH(183,'Transfer Engine'!$C$2:$C$622,0)))</f>
        <v/>
      </c>
      <c r="E192">
        <f>IF(ISNA(MATCH(183,'Transfer Engine'!$C$2:$C$622,0)),"",INDEX('Compliance Database'!$E$2:$E$622,MATCH(183,'Transfer Engine'!$C$2:$C$622,0)))</f>
        <v/>
      </c>
      <c r="F192">
        <f>IF(ISNA(MATCH(183,'Transfer Engine'!$C$2:$C$622,0)),"",INDEX('Compliance Database'!$F$2:$F$622,MATCH(183,'Transfer Engine'!$C$2:$C$622,0)))</f>
        <v/>
      </c>
      <c r="G192">
        <f>IF(ISNA(MATCH(183,'Transfer Engine'!$C$2:$C$622,0)),"",INDEX('Compliance Database'!$G$2:$G$622,MATCH(183,'Transfer Engine'!$C$2:$C$622,0)))</f>
        <v/>
      </c>
      <c r="H192">
        <f>IF(ISNA(MATCH(183,'Transfer Engine'!$C$2:$C$622,0)),"",INDEX('Compliance Database'!$H$2:$H$622,MATCH(183,'Transfer Engine'!$C$2:$C$622,0)))</f>
        <v/>
      </c>
      <c r="I192" s="8">
        <f>IF(ISNA(MATCH(183,'Transfer Engine'!$C$2:$C$622,0)),"",INDEX('Compliance Database'!$I$2:$I$622,MATCH(183,'Transfer Engine'!$C$2:$C$622,0)))</f>
        <v/>
      </c>
      <c r="J192" s="8">
        <f>IF(ISNA(MATCH(183,'Transfer Engine'!$C$2:$C$622,0)),"",INDEX('Compliance Database'!$J$2:$J$622,MATCH(183,'Transfer Engine'!$C$2:$C$622,0)))</f>
        <v/>
      </c>
      <c r="K192">
        <f>IF(ISNA(MATCH(183,'Transfer Engine'!$C$2:$C$622,0)),"",INDEX('Compliance Database'!$K$2:$K$622,MATCH(183,'Transfer Engine'!$C$2:$C$622,0)))</f>
        <v/>
      </c>
      <c r="L192" s="8">
        <f>IF(ISNA(MATCH(183,'Transfer Engine'!$C$2:$C$622,0)),"",INDEX('Compliance Database'!$L$2:$L$622,MATCH(183,'Transfer Engine'!$C$2:$C$622,0)))</f>
        <v/>
      </c>
      <c r="M192" s="8">
        <f>IF(ISNA(MATCH(183,'Transfer Engine'!$C$2:$C$622,0)),"",INDEX('Compliance Database'!$M$2:$M$622,MATCH(183,'Transfer Engine'!$C$2:$C$622,0)))</f>
        <v/>
      </c>
      <c r="N192" s="8">
        <f>IF(ISNA(MATCH(183,'Transfer Engine'!$C$2:$C$622,0)),"",INDEX('Compliance Database'!$N$2:$N$622,MATCH(183,'Transfer Engine'!$C$2:$C$622,0)))</f>
        <v/>
      </c>
      <c r="O192" s="8">
        <f>IF(ISNA(MATCH(183,'Transfer Engine'!$C$2:$C$622,0)),"",INDEX('Compliance Database'!$O$2:$O$622,MATCH(183,'Transfer Engine'!$C$2:$C$622,0)))</f>
        <v/>
      </c>
    </row>
    <row r="193">
      <c r="A193">
        <f>IF(ISNA(MATCH(184,'Transfer Engine'!$C$2:$C$622,0)),"",INDEX('Compliance Database'!$A$2:$A$622,MATCH(184,'Transfer Engine'!$C$2:$C$622,0)))</f>
        <v/>
      </c>
      <c r="B193">
        <f>IF(ISNA(MATCH(184,'Transfer Engine'!$C$2:$C$622,0)),"",INDEX('Compliance Database'!$B$2:$B$622,MATCH(184,'Transfer Engine'!$C$2:$C$622,0)))</f>
        <v/>
      </c>
      <c r="C193">
        <f>IF(ISNA(MATCH(184,'Transfer Engine'!$C$2:$C$622,0)),"",INDEX('Compliance Database'!$C$2:$C$622,MATCH(184,'Transfer Engine'!$C$2:$C$622,0)))</f>
        <v/>
      </c>
      <c r="D193" s="8">
        <f>IF(ISNA(MATCH(184,'Transfer Engine'!$C$2:$C$622,0)),"",INDEX('Compliance Database'!$D$2:$D$622,MATCH(184,'Transfer Engine'!$C$2:$C$622,0)))</f>
        <v/>
      </c>
      <c r="E193">
        <f>IF(ISNA(MATCH(184,'Transfer Engine'!$C$2:$C$622,0)),"",INDEX('Compliance Database'!$E$2:$E$622,MATCH(184,'Transfer Engine'!$C$2:$C$622,0)))</f>
        <v/>
      </c>
      <c r="F193">
        <f>IF(ISNA(MATCH(184,'Transfer Engine'!$C$2:$C$622,0)),"",INDEX('Compliance Database'!$F$2:$F$622,MATCH(184,'Transfer Engine'!$C$2:$C$622,0)))</f>
        <v/>
      </c>
      <c r="G193">
        <f>IF(ISNA(MATCH(184,'Transfer Engine'!$C$2:$C$622,0)),"",INDEX('Compliance Database'!$G$2:$G$622,MATCH(184,'Transfer Engine'!$C$2:$C$622,0)))</f>
        <v/>
      </c>
      <c r="H193">
        <f>IF(ISNA(MATCH(184,'Transfer Engine'!$C$2:$C$622,0)),"",INDEX('Compliance Database'!$H$2:$H$622,MATCH(184,'Transfer Engine'!$C$2:$C$622,0)))</f>
        <v/>
      </c>
      <c r="I193" s="8">
        <f>IF(ISNA(MATCH(184,'Transfer Engine'!$C$2:$C$622,0)),"",INDEX('Compliance Database'!$I$2:$I$622,MATCH(184,'Transfer Engine'!$C$2:$C$622,0)))</f>
        <v/>
      </c>
      <c r="J193" s="8">
        <f>IF(ISNA(MATCH(184,'Transfer Engine'!$C$2:$C$622,0)),"",INDEX('Compliance Database'!$J$2:$J$622,MATCH(184,'Transfer Engine'!$C$2:$C$622,0)))</f>
        <v/>
      </c>
      <c r="K193">
        <f>IF(ISNA(MATCH(184,'Transfer Engine'!$C$2:$C$622,0)),"",INDEX('Compliance Database'!$K$2:$K$622,MATCH(184,'Transfer Engine'!$C$2:$C$622,0)))</f>
        <v/>
      </c>
      <c r="L193" s="8">
        <f>IF(ISNA(MATCH(184,'Transfer Engine'!$C$2:$C$622,0)),"",INDEX('Compliance Database'!$L$2:$L$622,MATCH(184,'Transfer Engine'!$C$2:$C$622,0)))</f>
        <v/>
      </c>
      <c r="M193" s="8">
        <f>IF(ISNA(MATCH(184,'Transfer Engine'!$C$2:$C$622,0)),"",INDEX('Compliance Database'!$M$2:$M$622,MATCH(184,'Transfer Engine'!$C$2:$C$622,0)))</f>
        <v/>
      </c>
      <c r="N193" s="8">
        <f>IF(ISNA(MATCH(184,'Transfer Engine'!$C$2:$C$622,0)),"",INDEX('Compliance Database'!$N$2:$N$622,MATCH(184,'Transfer Engine'!$C$2:$C$622,0)))</f>
        <v/>
      </c>
      <c r="O193" s="8">
        <f>IF(ISNA(MATCH(184,'Transfer Engine'!$C$2:$C$622,0)),"",INDEX('Compliance Database'!$O$2:$O$622,MATCH(184,'Transfer Engine'!$C$2:$C$622,0)))</f>
        <v/>
      </c>
    </row>
    <row r="194">
      <c r="A194">
        <f>IF(ISNA(MATCH(185,'Transfer Engine'!$C$2:$C$622,0)),"",INDEX('Compliance Database'!$A$2:$A$622,MATCH(185,'Transfer Engine'!$C$2:$C$622,0)))</f>
        <v/>
      </c>
      <c r="B194">
        <f>IF(ISNA(MATCH(185,'Transfer Engine'!$C$2:$C$622,0)),"",INDEX('Compliance Database'!$B$2:$B$622,MATCH(185,'Transfer Engine'!$C$2:$C$622,0)))</f>
        <v/>
      </c>
      <c r="C194">
        <f>IF(ISNA(MATCH(185,'Transfer Engine'!$C$2:$C$622,0)),"",INDEX('Compliance Database'!$C$2:$C$622,MATCH(185,'Transfer Engine'!$C$2:$C$622,0)))</f>
        <v/>
      </c>
      <c r="D194" s="8">
        <f>IF(ISNA(MATCH(185,'Transfer Engine'!$C$2:$C$622,0)),"",INDEX('Compliance Database'!$D$2:$D$622,MATCH(185,'Transfer Engine'!$C$2:$C$622,0)))</f>
        <v/>
      </c>
      <c r="E194">
        <f>IF(ISNA(MATCH(185,'Transfer Engine'!$C$2:$C$622,0)),"",INDEX('Compliance Database'!$E$2:$E$622,MATCH(185,'Transfer Engine'!$C$2:$C$622,0)))</f>
        <v/>
      </c>
      <c r="F194">
        <f>IF(ISNA(MATCH(185,'Transfer Engine'!$C$2:$C$622,0)),"",INDEX('Compliance Database'!$F$2:$F$622,MATCH(185,'Transfer Engine'!$C$2:$C$622,0)))</f>
        <v/>
      </c>
      <c r="G194">
        <f>IF(ISNA(MATCH(185,'Transfer Engine'!$C$2:$C$622,0)),"",INDEX('Compliance Database'!$G$2:$G$622,MATCH(185,'Transfer Engine'!$C$2:$C$622,0)))</f>
        <v/>
      </c>
      <c r="H194">
        <f>IF(ISNA(MATCH(185,'Transfer Engine'!$C$2:$C$622,0)),"",INDEX('Compliance Database'!$H$2:$H$622,MATCH(185,'Transfer Engine'!$C$2:$C$622,0)))</f>
        <v/>
      </c>
      <c r="I194" s="8">
        <f>IF(ISNA(MATCH(185,'Transfer Engine'!$C$2:$C$622,0)),"",INDEX('Compliance Database'!$I$2:$I$622,MATCH(185,'Transfer Engine'!$C$2:$C$622,0)))</f>
        <v/>
      </c>
      <c r="J194" s="8">
        <f>IF(ISNA(MATCH(185,'Transfer Engine'!$C$2:$C$622,0)),"",INDEX('Compliance Database'!$J$2:$J$622,MATCH(185,'Transfer Engine'!$C$2:$C$622,0)))</f>
        <v/>
      </c>
      <c r="K194">
        <f>IF(ISNA(MATCH(185,'Transfer Engine'!$C$2:$C$622,0)),"",INDEX('Compliance Database'!$K$2:$K$622,MATCH(185,'Transfer Engine'!$C$2:$C$622,0)))</f>
        <v/>
      </c>
      <c r="L194" s="8">
        <f>IF(ISNA(MATCH(185,'Transfer Engine'!$C$2:$C$622,0)),"",INDEX('Compliance Database'!$L$2:$L$622,MATCH(185,'Transfer Engine'!$C$2:$C$622,0)))</f>
        <v/>
      </c>
      <c r="M194" s="8">
        <f>IF(ISNA(MATCH(185,'Transfer Engine'!$C$2:$C$622,0)),"",INDEX('Compliance Database'!$M$2:$M$622,MATCH(185,'Transfer Engine'!$C$2:$C$622,0)))</f>
        <v/>
      </c>
      <c r="N194" s="8">
        <f>IF(ISNA(MATCH(185,'Transfer Engine'!$C$2:$C$622,0)),"",INDEX('Compliance Database'!$N$2:$N$622,MATCH(185,'Transfer Engine'!$C$2:$C$622,0)))</f>
        <v/>
      </c>
      <c r="O194" s="8">
        <f>IF(ISNA(MATCH(185,'Transfer Engine'!$C$2:$C$622,0)),"",INDEX('Compliance Database'!$O$2:$O$622,MATCH(185,'Transfer Engine'!$C$2:$C$622,0)))</f>
        <v/>
      </c>
    </row>
    <row r="195">
      <c r="A195">
        <f>IF(ISNA(MATCH(186,'Transfer Engine'!$C$2:$C$622,0)),"",INDEX('Compliance Database'!$A$2:$A$622,MATCH(186,'Transfer Engine'!$C$2:$C$622,0)))</f>
        <v/>
      </c>
      <c r="B195">
        <f>IF(ISNA(MATCH(186,'Transfer Engine'!$C$2:$C$622,0)),"",INDEX('Compliance Database'!$B$2:$B$622,MATCH(186,'Transfer Engine'!$C$2:$C$622,0)))</f>
        <v/>
      </c>
      <c r="C195">
        <f>IF(ISNA(MATCH(186,'Transfer Engine'!$C$2:$C$622,0)),"",INDEX('Compliance Database'!$C$2:$C$622,MATCH(186,'Transfer Engine'!$C$2:$C$622,0)))</f>
        <v/>
      </c>
      <c r="D195" s="8">
        <f>IF(ISNA(MATCH(186,'Transfer Engine'!$C$2:$C$622,0)),"",INDEX('Compliance Database'!$D$2:$D$622,MATCH(186,'Transfer Engine'!$C$2:$C$622,0)))</f>
        <v/>
      </c>
      <c r="E195">
        <f>IF(ISNA(MATCH(186,'Transfer Engine'!$C$2:$C$622,0)),"",INDEX('Compliance Database'!$E$2:$E$622,MATCH(186,'Transfer Engine'!$C$2:$C$622,0)))</f>
        <v/>
      </c>
      <c r="F195">
        <f>IF(ISNA(MATCH(186,'Transfer Engine'!$C$2:$C$622,0)),"",INDEX('Compliance Database'!$F$2:$F$622,MATCH(186,'Transfer Engine'!$C$2:$C$622,0)))</f>
        <v/>
      </c>
      <c r="G195">
        <f>IF(ISNA(MATCH(186,'Transfer Engine'!$C$2:$C$622,0)),"",INDEX('Compliance Database'!$G$2:$G$622,MATCH(186,'Transfer Engine'!$C$2:$C$622,0)))</f>
        <v/>
      </c>
      <c r="H195">
        <f>IF(ISNA(MATCH(186,'Transfer Engine'!$C$2:$C$622,0)),"",INDEX('Compliance Database'!$H$2:$H$622,MATCH(186,'Transfer Engine'!$C$2:$C$622,0)))</f>
        <v/>
      </c>
      <c r="I195" s="8">
        <f>IF(ISNA(MATCH(186,'Transfer Engine'!$C$2:$C$622,0)),"",INDEX('Compliance Database'!$I$2:$I$622,MATCH(186,'Transfer Engine'!$C$2:$C$622,0)))</f>
        <v/>
      </c>
      <c r="J195" s="8">
        <f>IF(ISNA(MATCH(186,'Transfer Engine'!$C$2:$C$622,0)),"",INDEX('Compliance Database'!$J$2:$J$622,MATCH(186,'Transfer Engine'!$C$2:$C$622,0)))</f>
        <v/>
      </c>
      <c r="K195">
        <f>IF(ISNA(MATCH(186,'Transfer Engine'!$C$2:$C$622,0)),"",INDEX('Compliance Database'!$K$2:$K$622,MATCH(186,'Transfer Engine'!$C$2:$C$622,0)))</f>
        <v/>
      </c>
      <c r="L195" s="8">
        <f>IF(ISNA(MATCH(186,'Transfer Engine'!$C$2:$C$622,0)),"",INDEX('Compliance Database'!$L$2:$L$622,MATCH(186,'Transfer Engine'!$C$2:$C$622,0)))</f>
        <v/>
      </c>
      <c r="M195" s="8">
        <f>IF(ISNA(MATCH(186,'Transfer Engine'!$C$2:$C$622,0)),"",INDEX('Compliance Database'!$M$2:$M$622,MATCH(186,'Transfer Engine'!$C$2:$C$622,0)))</f>
        <v/>
      </c>
      <c r="N195" s="8">
        <f>IF(ISNA(MATCH(186,'Transfer Engine'!$C$2:$C$622,0)),"",INDEX('Compliance Database'!$N$2:$N$622,MATCH(186,'Transfer Engine'!$C$2:$C$622,0)))</f>
        <v/>
      </c>
      <c r="O195" s="8">
        <f>IF(ISNA(MATCH(186,'Transfer Engine'!$C$2:$C$622,0)),"",INDEX('Compliance Database'!$O$2:$O$622,MATCH(186,'Transfer Engine'!$C$2:$C$622,0)))</f>
        <v/>
      </c>
    </row>
    <row r="196">
      <c r="A196">
        <f>IF(ISNA(MATCH(187,'Transfer Engine'!$C$2:$C$622,0)),"",INDEX('Compliance Database'!$A$2:$A$622,MATCH(187,'Transfer Engine'!$C$2:$C$622,0)))</f>
        <v/>
      </c>
      <c r="B196">
        <f>IF(ISNA(MATCH(187,'Transfer Engine'!$C$2:$C$622,0)),"",INDEX('Compliance Database'!$B$2:$B$622,MATCH(187,'Transfer Engine'!$C$2:$C$622,0)))</f>
        <v/>
      </c>
      <c r="C196">
        <f>IF(ISNA(MATCH(187,'Transfer Engine'!$C$2:$C$622,0)),"",INDEX('Compliance Database'!$C$2:$C$622,MATCH(187,'Transfer Engine'!$C$2:$C$622,0)))</f>
        <v/>
      </c>
      <c r="D196" s="8">
        <f>IF(ISNA(MATCH(187,'Transfer Engine'!$C$2:$C$622,0)),"",INDEX('Compliance Database'!$D$2:$D$622,MATCH(187,'Transfer Engine'!$C$2:$C$622,0)))</f>
        <v/>
      </c>
      <c r="E196">
        <f>IF(ISNA(MATCH(187,'Transfer Engine'!$C$2:$C$622,0)),"",INDEX('Compliance Database'!$E$2:$E$622,MATCH(187,'Transfer Engine'!$C$2:$C$622,0)))</f>
        <v/>
      </c>
      <c r="F196">
        <f>IF(ISNA(MATCH(187,'Transfer Engine'!$C$2:$C$622,0)),"",INDEX('Compliance Database'!$F$2:$F$622,MATCH(187,'Transfer Engine'!$C$2:$C$622,0)))</f>
        <v/>
      </c>
      <c r="G196">
        <f>IF(ISNA(MATCH(187,'Transfer Engine'!$C$2:$C$622,0)),"",INDEX('Compliance Database'!$G$2:$G$622,MATCH(187,'Transfer Engine'!$C$2:$C$622,0)))</f>
        <v/>
      </c>
      <c r="H196">
        <f>IF(ISNA(MATCH(187,'Transfer Engine'!$C$2:$C$622,0)),"",INDEX('Compliance Database'!$H$2:$H$622,MATCH(187,'Transfer Engine'!$C$2:$C$622,0)))</f>
        <v/>
      </c>
      <c r="I196" s="8">
        <f>IF(ISNA(MATCH(187,'Transfer Engine'!$C$2:$C$622,0)),"",INDEX('Compliance Database'!$I$2:$I$622,MATCH(187,'Transfer Engine'!$C$2:$C$622,0)))</f>
        <v/>
      </c>
      <c r="J196" s="8">
        <f>IF(ISNA(MATCH(187,'Transfer Engine'!$C$2:$C$622,0)),"",INDEX('Compliance Database'!$J$2:$J$622,MATCH(187,'Transfer Engine'!$C$2:$C$622,0)))</f>
        <v/>
      </c>
      <c r="K196">
        <f>IF(ISNA(MATCH(187,'Transfer Engine'!$C$2:$C$622,0)),"",INDEX('Compliance Database'!$K$2:$K$622,MATCH(187,'Transfer Engine'!$C$2:$C$622,0)))</f>
        <v/>
      </c>
      <c r="L196" s="8">
        <f>IF(ISNA(MATCH(187,'Transfer Engine'!$C$2:$C$622,0)),"",INDEX('Compliance Database'!$L$2:$L$622,MATCH(187,'Transfer Engine'!$C$2:$C$622,0)))</f>
        <v/>
      </c>
      <c r="M196" s="8">
        <f>IF(ISNA(MATCH(187,'Transfer Engine'!$C$2:$C$622,0)),"",INDEX('Compliance Database'!$M$2:$M$622,MATCH(187,'Transfer Engine'!$C$2:$C$622,0)))</f>
        <v/>
      </c>
      <c r="N196" s="8">
        <f>IF(ISNA(MATCH(187,'Transfer Engine'!$C$2:$C$622,0)),"",INDEX('Compliance Database'!$N$2:$N$622,MATCH(187,'Transfer Engine'!$C$2:$C$622,0)))</f>
        <v/>
      </c>
      <c r="O196" s="8">
        <f>IF(ISNA(MATCH(187,'Transfer Engine'!$C$2:$C$622,0)),"",INDEX('Compliance Database'!$O$2:$O$622,MATCH(187,'Transfer Engine'!$C$2:$C$622,0)))</f>
        <v/>
      </c>
    </row>
    <row r="197">
      <c r="A197">
        <f>IF(ISNA(MATCH(188,'Transfer Engine'!$C$2:$C$622,0)),"",INDEX('Compliance Database'!$A$2:$A$622,MATCH(188,'Transfer Engine'!$C$2:$C$622,0)))</f>
        <v/>
      </c>
      <c r="B197">
        <f>IF(ISNA(MATCH(188,'Transfer Engine'!$C$2:$C$622,0)),"",INDEX('Compliance Database'!$B$2:$B$622,MATCH(188,'Transfer Engine'!$C$2:$C$622,0)))</f>
        <v/>
      </c>
      <c r="C197">
        <f>IF(ISNA(MATCH(188,'Transfer Engine'!$C$2:$C$622,0)),"",INDEX('Compliance Database'!$C$2:$C$622,MATCH(188,'Transfer Engine'!$C$2:$C$622,0)))</f>
        <v/>
      </c>
      <c r="D197" s="8">
        <f>IF(ISNA(MATCH(188,'Transfer Engine'!$C$2:$C$622,0)),"",INDEX('Compliance Database'!$D$2:$D$622,MATCH(188,'Transfer Engine'!$C$2:$C$622,0)))</f>
        <v/>
      </c>
      <c r="E197">
        <f>IF(ISNA(MATCH(188,'Transfer Engine'!$C$2:$C$622,0)),"",INDEX('Compliance Database'!$E$2:$E$622,MATCH(188,'Transfer Engine'!$C$2:$C$622,0)))</f>
        <v/>
      </c>
      <c r="F197">
        <f>IF(ISNA(MATCH(188,'Transfer Engine'!$C$2:$C$622,0)),"",INDEX('Compliance Database'!$F$2:$F$622,MATCH(188,'Transfer Engine'!$C$2:$C$622,0)))</f>
        <v/>
      </c>
      <c r="G197">
        <f>IF(ISNA(MATCH(188,'Transfer Engine'!$C$2:$C$622,0)),"",INDEX('Compliance Database'!$G$2:$G$622,MATCH(188,'Transfer Engine'!$C$2:$C$622,0)))</f>
        <v/>
      </c>
      <c r="H197">
        <f>IF(ISNA(MATCH(188,'Transfer Engine'!$C$2:$C$622,0)),"",INDEX('Compliance Database'!$H$2:$H$622,MATCH(188,'Transfer Engine'!$C$2:$C$622,0)))</f>
        <v/>
      </c>
      <c r="I197" s="8">
        <f>IF(ISNA(MATCH(188,'Transfer Engine'!$C$2:$C$622,0)),"",INDEX('Compliance Database'!$I$2:$I$622,MATCH(188,'Transfer Engine'!$C$2:$C$622,0)))</f>
        <v/>
      </c>
      <c r="J197" s="8">
        <f>IF(ISNA(MATCH(188,'Transfer Engine'!$C$2:$C$622,0)),"",INDEX('Compliance Database'!$J$2:$J$622,MATCH(188,'Transfer Engine'!$C$2:$C$622,0)))</f>
        <v/>
      </c>
      <c r="K197">
        <f>IF(ISNA(MATCH(188,'Transfer Engine'!$C$2:$C$622,0)),"",INDEX('Compliance Database'!$K$2:$K$622,MATCH(188,'Transfer Engine'!$C$2:$C$622,0)))</f>
        <v/>
      </c>
      <c r="L197" s="8">
        <f>IF(ISNA(MATCH(188,'Transfer Engine'!$C$2:$C$622,0)),"",INDEX('Compliance Database'!$L$2:$L$622,MATCH(188,'Transfer Engine'!$C$2:$C$622,0)))</f>
        <v/>
      </c>
      <c r="M197" s="8">
        <f>IF(ISNA(MATCH(188,'Transfer Engine'!$C$2:$C$622,0)),"",INDEX('Compliance Database'!$M$2:$M$622,MATCH(188,'Transfer Engine'!$C$2:$C$622,0)))</f>
        <v/>
      </c>
      <c r="N197" s="8">
        <f>IF(ISNA(MATCH(188,'Transfer Engine'!$C$2:$C$622,0)),"",INDEX('Compliance Database'!$N$2:$N$622,MATCH(188,'Transfer Engine'!$C$2:$C$622,0)))</f>
        <v/>
      </c>
      <c r="O197" s="8">
        <f>IF(ISNA(MATCH(188,'Transfer Engine'!$C$2:$C$622,0)),"",INDEX('Compliance Database'!$O$2:$O$622,MATCH(188,'Transfer Engine'!$C$2:$C$622,0)))</f>
        <v/>
      </c>
    </row>
    <row r="198">
      <c r="A198">
        <f>IF(ISNA(MATCH(189,'Transfer Engine'!$C$2:$C$622,0)),"",INDEX('Compliance Database'!$A$2:$A$622,MATCH(189,'Transfer Engine'!$C$2:$C$622,0)))</f>
        <v/>
      </c>
      <c r="B198">
        <f>IF(ISNA(MATCH(189,'Transfer Engine'!$C$2:$C$622,0)),"",INDEX('Compliance Database'!$B$2:$B$622,MATCH(189,'Transfer Engine'!$C$2:$C$622,0)))</f>
        <v/>
      </c>
      <c r="C198">
        <f>IF(ISNA(MATCH(189,'Transfer Engine'!$C$2:$C$622,0)),"",INDEX('Compliance Database'!$C$2:$C$622,MATCH(189,'Transfer Engine'!$C$2:$C$622,0)))</f>
        <v/>
      </c>
      <c r="D198" s="8">
        <f>IF(ISNA(MATCH(189,'Transfer Engine'!$C$2:$C$622,0)),"",INDEX('Compliance Database'!$D$2:$D$622,MATCH(189,'Transfer Engine'!$C$2:$C$622,0)))</f>
        <v/>
      </c>
      <c r="E198">
        <f>IF(ISNA(MATCH(189,'Transfer Engine'!$C$2:$C$622,0)),"",INDEX('Compliance Database'!$E$2:$E$622,MATCH(189,'Transfer Engine'!$C$2:$C$622,0)))</f>
        <v/>
      </c>
      <c r="F198">
        <f>IF(ISNA(MATCH(189,'Transfer Engine'!$C$2:$C$622,0)),"",INDEX('Compliance Database'!$F$2:$F$622,MATCH(189,'Transfer Engine'!$C$2:$C$622,0)))</f>
        <v/>
      </c>
      <c r="G198">
        <f>IF(ISNA(MATCH(189,'Transfer Engine'!$C$2:$C$622,0)),"",INDEX('Compliance Database'!$G$2:$G$622,MATCH(189,'Transfer Engine'!$C$2:$C$622,0)))</f>
        <v/>
      </c>
      <c r="H198">
        <f>IF(ISNA(MATCH(189,'Transfer Engine'!$C$2:$C$622,0)),"",INDEX('Compliance Database'!$H$2:$H$622,MATCH(189,'Transfer Engine'!$C$2:$C$622,0)))</f>
        <v/>
      </c>
      <c r="I198" s="8">
        <f>IF(ISNA(MATCH(189,'Transfer Engine'!$C$2:$C$622,0)),"",INDEX('Compliance Database'!$I$2:$I$622,MATCH(189,'Transfer Engine'!$C$2:$C$622,0)))</f>
        <v/>
      </c>
      <c r="J198" s="8">
        <f>IF(ISNA(MATCH(189,'Transfer Engine'!$C$2:$C$622,0)),"",INDEX('Compliance Database'!$J$2:$J$622,MATCH(189,'Transfer Engine'!$C$2:$C$622,0)))</f>
        <v/>
      </c>
      <c r="K198">
        <f>IF(ISNA(MATCH(189,'Transfer Engine'!$C$2:$C$622,0)),"",INDEX('Compliance Database'!$K$2:$K$622,MATCH(189,'Transfer Engine'!$C$2:$C$622,0)))</f>
        <v/>
      </c>
      <c r="L198" s="8">
        <f>IF(ISNA(MATCH(189,'Transfer Engine'!$C$2:$C$622,0)),"",INDEX('Compliance Database'!$L$2:$L$622,MATCH(189,'Transfer Engine'!$C$2:$C$622,0)))</f>
        <v/>
      </c>
      <c r="M198" s="8">
        <f>IF(ISNA(MATCH(189,'Transfer Engine'!$C$2:$C$622,0)),"",INDEX('Compliance Database'!$M$2:$M$622,MATCH(189,'Transfer Engine'!$C$2:$C$622,0)))</f>
        <v/>
      </c>
      <c r="N198" s="8">
        <f>IF(ISNA(MATCH(189,'Transfer Engine'!$C$2:$C$622,0)),"",INDEX('Compliance Database'!$N$2:$N$622,MATCH(189,'Transfer Engine'!$C$2:$C$622,0)))</f>
        <v/>
      </c>
      <c r="O198" s="8">
        <f>IF(ISNA(MATCH(189,'Transfer Engine'!$C$2:$C$622,0)),"",INDEX('Compliance Database'!$O$2:$O$622,MATCH(189,'Transfer Engine'!$C$2:$C$622,0)))</f>
        <v/>
      </c>
    </row>
    <row r="199">
      <c r="A199">
        <f>IF(ISNA(MATCH(190,'Transfer Engine'!$C$2:$C$622,0)),"",INDEX('Compliance Database'!$A$2:$A$622,MATCH(190,'Transfer Engine'!$C$2:$C$622,0)))</f>
        <v/>
      </c>
      <c r="B199">
        <f>IF(ISNA(MATCH(190,'Transfer Engine'!$C$2:$C$622,0)),"",INDEX('Compliance Database'!$B$2:$B$622,MATCH(190,'Transfer Engine'!$C$2:$C$622,0)))</f>
        <v/>
      </c>
      <c r="C199">
        <f>IF(ISNA(MATCH(190,'Transfer Engine'!$C$2:$C$622,0)),"",INDEX('Compliance Database'!$C$2:$C$622,MATCH(190,'Transfer Engine'!$C$2:$C$622,0)))</f>
        <v/>
      </c>
      <c r="D199" s="8">
        <f>IF(ISNA(MATCH(190,'Transfer Engine'!$C$2:$C$622,0)),"",INDEX('Compliance Database'!$D$2:$D$622,MATCH(190,'Transfer Engine'!$C$2:$C$622,0)))</f>
        <v/>
      </c>
      <c r="E199">
        <f>IF(ISNA(MATCH(190,'Transfer Engine'!$C$2:$C$622,0)),"",INDEX('Compliance Database'!$E$2:$E$622,MATCH(190,'Transfer Engine'!$C$2:$C$622,0)))</f>
        <v/>
      </c>
      <c r="F199">
        <f>IF(ISNA(MATCH(190,'Transfer Engine'!$C$2:$C$622,0)),"",INDEX('Compliance Database'!$F$2:$F$622,MATCH(190,'Transfer Engine'!$C$2:$C$622,0)))</f>
        <v/>
      </c>
      <c r="G199">
        <f>IF(ISNA(MATCH(190,'Transfer Engine'!$C$2:$C$622,0)),"",INDEX('Compliance Database'!$G$2:$G$622,MATCH(190,'Transfer Engine'!$C$2:$C$622,0)))</f>
        <v/>
      </c>
      <c r="H199">
        <f>IF(ISNA(MATCH(190,'Transfer Engine'!$C$2:$C$622,0)),"",INDEX('Compliance Database'!$H$2:$H$622,MATCH(190,'Transfer Engine'!$C$2:$C$622,0)))</f>
        <v/>
      </c>
      <c r="I199" s="8">
        <f>IF(ISNA(MATCH(190,'Transfer Engine'!$C$2:$C$622,0)),"",INDEX('Compliance Database'!$I$2:$I$622,MATCH(190,'Transfer Engine'!$C$2:$C$622,0)))</f>
        <v/>
      </c>
      <c r="J199" s="8">
        <f>IF(ISNA(MATCH(190,'Transfer Engine'!$C$2:$C$622,0)),"",INDEX('Compliance Database'!$J$2:$J$622,MATCH(190,'Transfer Engine'!$C$2:$C$622,0)))</f>
        <v/>
      </c>
      <c r="K199">
        <f>IF(ISNA(MATCH(190,'Transfer Engine'!$C$2:$C$622,0)),"",INDEX('Compliance Database'!$K$2:$K$622,MATCH(190,'Transfer Engine'!$C$2:$C$622,0)))</f>
        <v/>
      </c>
      <c r="L199" s="8">
        <f>IF(ISNA(MATCH(190,'Transfer Engine'!$C$2:$C$622,0)),"",INDEX('Compliance Database'!$L$2:$L$622,MATCH(190,'Transfer Engine'!$C$2:$C$622,0)))</f>
        <v/>
      </c>
      <c r="M199" s="8">
        <f>IF(ISNA(MATCH(190,'Transfer Engine'!$C$2:$C$622,0)),"",INDEX('Compliance Database'!$M$2:$M$622,MATCH(190,'Transfer Engine'!$C$2:$C$622,0)))</f>
        <v/>
      </c>
      <c r="N199" s="8">
        <f>IF(ISNA(MATCH(190,'Transfer Engine'!$C$2:$C$622,0)),"",INDEX('Compliance Database'!$N$2:$N$622,MATCH(190,'Transfer Engine'!$C$2:$C$622,0)))</f>
        <v/>
      </c>
      <c r="O199" s="8">
        <f>IF(ISNA(MATCH(190,'Transfer Engine'!$C$2:$C$622,0)),"",INDEX('Compliance Database'!$O$2:$O$622,MATCH(190,'Transfer Engine'!$C$2:$C$622,0)))</f>
        <v/>
      </c>
    </row>
    <row r="200">
      <c r="A200">
        <f>IF(ISNA(MATCH(191,'Transfer Engine'!$C$2:$C$622,0)),"",INDEX('Compliance Database'!$A$2:$A$622,MATCH(191,'Transfer Engine'!$C$2:$C$622,0)))</f>
        <v/>
      </c>
      <c r="B200">
        <f>IF(ISNA(MATCH(191,'Transfer Engine'!$C$2:$C$622,0)),"",INDEX('Compliance Database'!$B$2:$B$622,MATCH(191,'Transfer Engine'!$C$2:$C$622,0)))</f>
        <v/>
      </c>
      <c r="C200">
        <f>IF(ISNA(MATCH(191,'Transfer Engine'!$C$2:$C$622,0)),"",INDEX('Compliance Database'!$C$2:$C$622,MATCH(191,'Transfer Engine'!$C$2:$C$622,0)))</f>
        <v/>
      </c>
      <c r="D200" s="8">
        <f>IF(ISNA(MATCH(191,'Transfer Engine'!$C$2:$C$622,0)),"",INDEX('Compliance Database'!$D$2:$D$622,MATCH(191,'Transfer Engine'!$C$2:$C$622,0)))</f>
        <v/>
      </c>
      <c r="E200">
        <f>IF(ISNA(MATCH(191,'Transfer Engine'!$C$2:$C$622,0)),"",INDEX('Compliance Database'!$E$2:$E$622,MATCH(191,'Transfer Engine'!$C$2:$C$622,0)))</f>
        <v/>
      </c>
      <c r="F200">
        <f>IF(ISNA(MATCH(191,'Transfer Engine'!$C$2:$C$622,0)),"",INDEX('Compliance Database'!$F$2:$F$622,MATCH(191,'Transfer Engine'!$C$2:$C$622,0)))</f>
        <v/>
      </c>
      <c r="G200">
        <f>IF(ISNA(MATCH(191,'Transfer Engine'!$C$2:$C$622,0)),"",INDEX('Compliance Database'!$G$2:$G$622,MATCH(191,'Transfer Engine'!$C$2:$C$622,0)))</f>
        <v/>
      </c>
      <c r="H200">
        <f>IF(ISNA(MATCH(191,'Transfer Engine'!$C$2:$C$622,0)),"",INDEX('Compliance Database'!$H$2:$H$622,MATCH(191,'Transfer Engine'!$C$2:$C$622,0)))</f>
        <v/>
      </c>
      <c r="I200" s="8">
        <f>IF(ISNA(MATCH(191,'Transfer Engine'!$C$2:$C$622,0)),"",INDEX('Compliance Database'!$I$2:$I$622,MATCH(191,'Transfer Engine'!$C$2:$C$622,0)))</f>
        <v/>
      </c>
      <c r="J200" s="8">
        <f>IF(ISNA(MATCH(191,'Transfer Engine'!$C$2:$C$622,0)),"",INDEX('Compliance Database'!$J$2:$J$622,MATCH(191,'Transfer Engine'!$C$2:$C$622,0)))</f>
        <v/>
      </c>
      <c r="K200">
        <f>IF(ISNA(MATCH(191,'Transfer Engine'!$C$2:$C$622,0)),"",INDEX('Compliance Database'!$K$2:$K$622,MATCH(191,'Transfer Engine'!$C$2:$C$622,0)))</f>
        <v/>
      </c>
      <c r="L200" s="8">
        <f>IF(ISNA(MATCH(191,'Transfer Engine'!$C$2:$C$622,0)),"",INDEX('Compliance Database'!$L$2:$L$622,MATCH(191,'Transfer Engine'!$C$2:$C$622,0)))</f>
        <v/>
      </c>
      <c r="M200" s="8">
        <f>IF(ISNA(MATCH(191,'Transfer Engine'!$C$2:$C$622,0)),"",INDEX('Compliance Database'!$M$2:$M$622,MATCH(191,'Transfer Engine'!$C$2:$C$622,0)))</f>
        <v/>
      </c>
      <c r="N200" s="8">
        <f>IF(ISNA(MATCH(191,'Transfer Engine'!$C$2:$C$622,0)),"",INDEX('Compliance Database'!$N$2:$N$622,MATCH(191,'Transfer Engine'!$C$2:$C$622,0)))</f>
        <v/>
      </c>
      <c r="O200" s="8">
        <f>IF(ISNA(MATCH(191,'Transfer Engine'!$C$2:$C$622,0)),"",INDEX('Compliance Database'!$O$2:$O$622,MATCH(191,'Transfer Engine'!$C$2:$C$622,0)))</f>
        <v/>
      </c>
    </row>
    <row r="201">
      <c r="A201">
        <f>IF(ISNA(MATCH(192,'Transfer Engine'!$C$2:$C$622,0)),"",INDEX('Compliance Database'!$A$2:$A$622,MATCH(192,'Transfer Engine'!$C$2:$C$622,0)))</f>
        <v/>
      </c>
      <c r="B201">
        <f>IF(ISNA(MATCH(192,'Transfer Engine'!$C$2:$C$622,0)),"",INDEX('Compliance Database'!$B$2:$B$622,MATCH(192,'Transfer Engine'!$C$2:$C$622,0)))</f>
        <v/>
      </c>
      <c r="C201">
        <f>IF(ISNA(MATCH(192,'Transfer Engine'!$C$2:$C$622,0)),"",INDEX('Compliance Database'!$C$2:$C$622,MATCH(192,'Transfer Engine'!$C$2:$C$622,0)))</f>
        <v/>
      </c>
      <c r="D201" s="8">
        <f>IF(ISNA(MATCH(192,'Transfer Engine'!$C$2:$C$622,0)),"",INDEX('Compliance Database'!$D$2:$D$622,MATCH(192,'Transfer Engine'!$C$2:$C$622,0)))</f>
        <v/>
      </c>
      <c r="E201">
        <f>IF(ISNA(MATCH(192,'Transfer Engine'!$C$2:$C$622,0)),"",INDEX('Compliance Database'!$E$2:$E$622,MATCH(192,'Transfer Engine'!$C$2:$C$622,0)))</f>
        <v/>
      </c>
      <c r="F201">
        <f>IF(ISNA(MATCH(192,'Transfer Engine'!$C$2:$C$622,0)),"",INDEX('Compliance Database'!$F$2:$F$622,MATCH(192,'Transfer Engine'!$C$2:$C$622,0)))</f>
        <v/>
      </c>
      <c r="G201">
        <f>IF(ISNA(MATCH(192,'Transfer Engine'!$C$2:$C$622,0)),"",INDEX('Compliance Database'!$G$2:$G$622,MATCH(192,'Transfer Engine'!$C$2:$C$622,0)))</f>
        <v/>
      </c>
      <c r="H201">
        <f>IF(ISNA(MATCH(192,'Transfer Engine'!$C$2:$C$622,0)),"",INDEX('Compliance Database'!$H$2:$H$622,MATCH(192,'Transfer Engine'!$C$2:$C$622,0)))</f>
        <v/>
      </c>
      <c r="I201" s="8">
        <f>IF(ISNA(MATCH(192,'Transfer Engine'!$C$2:$C$622,0)),"",INDEX('Compliance Database'!$I$2:$I$622,MATCH(192,'Transfer Engine'!$C$2:$C$622,0)))</f>
        <v/>
      </c>
      <c r="J201" s="8">
        <f>IF(ISNA(MATCH(192,'Transfer Engine'!$C$2:$C$622,0)),"",INDEX('Compliance Database'!$J$2:$J$622,MATCH(192,'Transfer Engine'!$C$2:$C$622,0)))</f>
        <v/>
      </c>
      <c r="K201">
        <f>IF(ISNA(MATCH(192,'Transfer Engine'!$C$2:$C$622,0)),"",INDEX('Compliance Database'!$K$2:$K$622,MATCH(192,'Transfer Engine'!$C$2:$C$622,0)))</f>
        <v/>
      </c>
      <c r="L201" s="8">
        <f>IF(ISNA(MATCH(192,'Transfer Engine'!$C$2:$C$622,0)),"",INDEX('Compliance Database'!$L$2:$L$622,MATCH(192,'Transfer Engine'!$C$2:$C$622,0)))</f>
        <v/>
      </c>
      <c r="M201" s="8">
        <f>IF(ISNA(MATCH(192,'Transfer Engine'!$C$2:$C$622,0)),"",INDEX('Compliance Database'!$M$2:$M$622,MATCH(192,'Transfer Engine'!$C$2:$C$622,0)))</f>
        <v/>
      </c>
      <c r="N201" s="8">
        <f>IF(ISNA(MATCH(192,'Transfer Engine'!$C$2:$C$622,0)),"",INDEX('Compliance Database'!$N$2:$N$622,MATCH(192,'Transfer Engine'!$C$2:$C$622,0)))</f>
        <v/>
      </c>
      <c r="O201" s="8">
        <f>IF(ISNA(MATCH(192,'Transfer Engine'!$C$2:$C$622,0)),"",INDEX('Compliance Database'!$O$2:$O$622,MATCH(192,'Transfer Engine'!$C$2:$C$622,0)))</f>
        <v/>
      </c>
    </row>
    <row r="202">
      <c r="A202">
        <f>IF(ISNA(MATCH(193,'Transfer Engine'!$C$2:$C$622,0)),"",INDEX('Compliance Database'!$A$2:$A$622,MATCH(193,'Transfer Engine'!$C$2:$C$622,0)))</f>
        <v/>
      </c>
      <c r="B202">
        <f>IF(ISNA(MATCH(193,'Transfer Engine'!$C$2:$C$622,0)),"",INDEX('Compliance Database'!$B$2:$B$622,MATCH(193,'Transfer Engine'!$C$2:$C$622,0)))</f>
        <v/>
      </c>
      <c r="C202">
        <f>IF(ISNA(MATCH(193,'Transfer Engine'!$C$2:$C$622,0)),"",INDEX('Compliance Database'!$C$2:$C$622,MATCH(193,'Transfer Engine'!$C$2:$C$622,0)))</f>
        <v/>
      </c>
      <c r="D202" s="8">
        <f>IF(ISNA(MATCH(193,'Transfer Engine'!$C$2:$C$622,0)),"",INDEX('Compliance Database'!$D$2:$D$622,MATCH(193,'Transfer Engine'!$C$2:$C$622,0)))</f>
        <v/>
      </c>
      <c r="E202">
        <f>IF(ISNA(MATCH(193,'Transfer Engine'!$C$2:$C$622,0)),"",INDEX('Compliance Database'!$E$2:$E$622,MATCH(193,'Transfer Engine'!$C$2:$C$622,0)))</f>
        <v/>
      </c>
      <c r="F202">
        <f>IF(ISNA(MATCH(193,'Transfer Engine'!$C$2:$C$622,0)),"",INDEX('Compliance Database'!$F$2:$F$622,MATCH(193,'Transfer Engine'!$C$2:$C$622,0)))</f>
        <v/>
      </c>
      <c r="G202">
        <f>IF(ISNA(MATCH(193,'Transfer Engine'!$C$2:$C$622,0)),"",INDEX('Compliance Database'!$G$2:$G$622,MATCH(193,'Transfer Engine'!$C$2:$C$622,0)))</f>
        <v/>
      </c>
      <c r="H202">
        <f>IF(ISNA(MATCH(193,'Transfer Engine'!$C$2:$C$622,0)),"",INDEX('Compliance Database'!$H$2:$H$622,MATCH(193,'Transfer Engine'!$C$2:$C$622,0)))</f>
        <v/>
      </c>
      <c r="I202" s="8">
        <f>IF(ISNA(MATCH(193,'Transfer Engine'!$C$2:$C$622,0)),"",INDEX('Compliance Database'!$I$2:$I$622,MATCH(193,'Transfer Engine'!$C$2:$C$622,0)))</f>
        <v/>
      </c>
      <c r="J202" s="8">
        <f>IF(ISNA(MATCH(193,'Transfer Engine'!$C$2:$C$622,0)),"",INDEX('Compliance Database'!$J$2:$J$622,MATCH(193,'Transfer Engine'!$C$2:$C$622,0)))</f>
        <v/>
      </c>
      <c r="K202">
        <f>IF(ISNA(MATCH(193,'Transfer Engine'!$C$2:$C$622,0)),"",INDEX('Compliance Database'!$K$2:$K$622,MATCH(193,'Transfer Engine'!$C$2:$C$622,0)))</f>
        <v/>
      </c>
      <c r="L202" s="8">
        <f>IF(ISNA(MATCH(193,'Transfer Engine'!$C$2:$C$622,0)),"",INDEX('Compliance Database'!$L$2:$L$622,MATCH(193,'Transfer Engine'!$C$2:$C$622,0)))</f>
        <v/>
      </c>
      <c r="M202" s="8">
        <f>IF(ISNA(MATCH(193,'Transfer Engine'!$C$2:$C$622,0)),"",INDEX('Compliance Database'!$M$2:$M$622,MATCH(193,'Transfer Engine'!$C$2:$C$622,0)))</f>
        <v/>
      </c>
      <c r="N202" s="8">
        <f>IF(ISNA(MATCH(193,'Transfer Engine'!$C$2:$C$622,0)),"",INDEX('Compliance Database'!$N$2:$N$622,MATCH(193,'Transfer Engine'!$C$2:$C$622,0)))</f>
        <v/>
      </c>
      <c r="O202" s="8">
        <f>IF(ISNA(MATCH(193,'Transfer Engine'!$C$2:$C$622,0)),"",INDEX('Compliance Database'!$O$2:$O$622,MATCH(193,'Transfer Engine'!$C$2:$C$622,0)))</f>
        <v/>
      </c>
    </row>
    <row r="203">
      <c r="A203">
        <f>IF(ISNA(MATCH(194,'Transfer Engine'!$C$2:$C$622,0)),"",INDEX('Compliance Database'!$A$2:$A$622,MATCH(194,'Transfer Engine'!$C$2:$C$622,0)))</f>
        <v/>
      </c>
      <c r="B203">
        <f>IF(ISNA(MATCH(194,'Transfer Engine'!$C$2:$C$622,0)),"",INDEX('Compliance Database'!$B$2:$B$622,MATCH(194,'Transfer Engine'!$C$2:$C$622,0)))</f>
        <v/>
      </c>
      <c r="C203">
        <f>IF(ISNA(MATCH(194,'Transfer Engine'!$C$2:$C$622,0)),"",INDEX('Compliance Database'!$C$2:$C$622,MATCH(194,'Transfer Engine'!$C$2:$C$622,0)))</f>
        <v/>
      </c>
      <c r="D203" s="8">
        <f>IF(ISNA(MATCH(194,'Transfer Engine'!$C$2:$C$622,0)),"",INDEX('Compliance Database'!$D$2:$D$622,MATCH(194,'Transfer Engine'!$C$2:$C$622,0)))</f>
        <v/>
      </c>
      <c r="E203">
        <f>IF(ISNA(MATCH(194,'Transfer Engine'!$C$2:$C$622,0)),"",INDEX('Compliance Database'!$E$2:$E$622,MATCH(194,'Transfer Engine'!$C$2:$C$622,0)))</f>
        <v/>
      </c>
      <c r="F203">
        <f>IF(ISNA(MATCH(194,'Transfer Engine'!$C$2:$C$622,0)),"",INDEX('Compliance Database'!$F$2:$F$622,MATCH(194,'Transfer Engine'!$C$2:$C$622,0)))</f>
        <v/>
      </c>
      <c r="G203">
        <f>IF(ISNA(MATCH(194,'Transfer Engine'!$C$2:$C$622,0)),"",INDEX('Compliance Database'!$G$2:$G$622,MATCH(194,'Transfer Engine'!$C$2:$C$622,0)))</f>
        <v/>
      </c>
      <c r="H203">
        <f>IF(ISNA(MATCH(194,'Transfer Engine'!$C$2:$C$622,0)),"",INDEX('Compliance Database'!$H$2:$H$622,MATCH(194,'Transfer Engine'!$C$2:$C$622,0)))</f>
        <v/>
      </c>
      <c r="I203" s="8">
        <f>IF(ISNA(MATCH(194,'Transfer Engine'!$C$2:$C$622,0)),"",INDEX('Compliance Database'!$I$2:$I$622,MATCH(194,'Transfer Engine'!$C$2:$C$622,0)))</f>
        <v/>
      </c>
      <c r="J203" s="8">
        <f>IF(ISNA(MATCH(194,'Transfer Engine'!$C$2:$C$622,0)),"",INDEX('Compliance Database'!$J$2:$J$622,MATCH(194,'Transfer Engine'!$C$2:$C$622,0)))</f>
        <v/>
      </c>
      <c r="K203">
        <f>IF(ISNA(MATCH(194,'Transfer Engine'!$C$2:$C$622,0)),"",INDEX('Compliance Database'!$K$2:$K$622,MATCH(194,'Transfer Engine'!$C$2:$C$622,0)))</f>
        <v/>
      </c>
      <c r="L203" s="8">
        <f>IF(ISNA(MATCH(194,'Transfer Engine'!$C$2:$C$622,0)),"",INDEX('Compliance Database'!$L$2:$L$622,MATCH(194,'Transfer Engine'!$C$2:$C$622,0)))</f>
        <v/>
      </c>
      <c r="M203" s="8">
        <f>IF(ISNA(MATCH(194,'Transfer Engine'!$C$2:$C$622,0)),"",INDEX('Compliance Database'!$M$2:$M$622,MATCH(194,'Transfer Engine'!$C$2:$C$622,0)))</f>
        <v/>
      </c>
      <c r="N203" s="8">
        <f>IF(ISNA(MATCH(194,'Transfer Engine'!$C$2:$C$622,0)),"",INDEX('Compliance Database'!$N$2:$N$622,MATCH(194,'Transfer Engine'!$C$2:$C$622,0)))</f>
        <v/>
      </c>
      <c r="O203" s="8">
        <f>IF(ISNA(MATCH(194,'Transfer Engine'!$C$2:$C$622,0)),"",INDEX('Compliance Database'!$O$2:$O$622,MATCH(194,'Transfer Engine'!$C$2:$C$622,0)))</f>
        <v/>
      </c>
    </row>
    <row r="204">
      <c r="A204">
        <f>IF(ISNA(MATCH(195,'Transfer Engine'!$C$2:$C$622,0)),"",INDEX('Compliance Database'!$A$2:$A$622,MATCH(195,'Transfer Engine'!$C$2:$C$622,0)))</f>
        <v/>
      </c>
      <c r="B204">
        <f>IF(ISNA(MATCH(195,'Transfer Engine'!$C$2:$C$622,0)),"",INDEX('Compliance Database'!$B$2:$B$622,MATCH(195,'Transfer Engine'!$C$2:$C$622,0)))</f>
        <v/>
      </c>
      <c r="C204">
        <f>IF(ISNA(MATCH(195,'Transfer Engine'!$C$2:$C$622,0)),"",INDEX('Compliance Database'!$C$2:$C$622,MATCH(195,'Transfer Engine'!$C$2:$C$622,0)))</f>
        <v/>
      </c>
      <c r="D204" s="8">
        <f>IF(ISNA(MATCH(195,'Transfer Engine'!$C$2:$C$622,0)),"",INDEX('Compliance Database'!$D$2:$D$622,MATCH(195,'Transfer Engine'!$C$2:$C$622,0)))</f>
        <v/>
      </c>
      <c r="E204">
        <f>IF(ISNA(MATCH(195,'Transfer Engine'!$C$2:$C$622,0)),"",INDEX('Compliance Database'!$E$2:$E$622,MATCH(195,'Transfer Engine'!$C$2:$C$622,0)))</f>
        <v/>
      </c>
      <c r="F204">
        <f>IF(ISNA(MATCH(195,'Transfer Engine'!$C$2:$C$622,0)),"",INDEX('Compliance Database'!$F$2:$F$622,MATCH(195,'Transfer Engine'!$C$2:$C$622,0)))</f>
        <v/>
      </c>
      <c r="G204">
        <f>IF(ISNA(MATCH(195,'Transfer Engine'!$C$2:$C$622,0)),"",INDEX('Compliance Database'!$G$2:$G$622,MATCH(195,'Transfer Engine'!$C$2:$C$622,0)))</f>
        <v/>
      </c>
      <c r="H204">
        <f>IF(ISNA(MATCH(195,'Transfer Engine'!$C$2:$C$622,0)),"",INDEX('Compliance Database'!$H$2:$H$622,MATCH(195,'Transfer Engine'!$C$2:$C$622,0)))</f>
        <v/>
      </c>
      <c r="I204" s="8">
        <f>IF(ISNA(MATCH(195,'Transfer Engine'!$C$2:$C$622,0)),"",INDEX('Compliance Database'!$I$2:$I$622,MATCH(195,'Transfer Engine'!$C$2:$C$622,0)))</f>
        <v/>
      </c>
      <c r="J204" s="8">
        <f>IF(ISNA(MATCH(195,'Transfer Engine'!$C$2:$C$622,0)),"",INDEX('Compliance Database'!$J$2:$J$622,MATCH(195,'Transfer Engine'!$C$2:$C$622,0)))</f>
        <v/>
      </c>
      <c r="K204">
        <f>IF(ISNA(MATCH(195,'Transfer Engine'!$C$2:$C$622,0)),"",INDEX('Compliance Database'!$K$2:$K$622,MATCH(195,'Transfer Engine'!$C$2:$C$622,0)))</f>
        <v/>
      </c>
      <c r="L204" s="8">
        <f>IF(ISNA(MATCH(195,'Transfer Engine'!$C$2:$C$622,0)),"",INDEX('Compliance Database'!$L$2:$L$622,MATCH(195,'Transfer Engine'!$C$2:$C$622,0)))</f>
        <v/>
      </c>
      <c r="M204" s="8">
        <f>IF(ISNA(MATCH(195,'Transfer Engine'!$C$2:$C$622,0)),"",INDEX('Compliance Database'!$M$2:$M$622,MATCH(195,'Transfer Engine'!$C$2:$C$622,0)))</f>
        <v/>
      </c>
      <c r="N204" s="8">
        <f>IF(ISNA(MATCH(195,'Transfer Engine'!$C$2:$C$622,0)),"",INDEX('Compliance Database'!$N$2:$N$622,MATCH(195,'Transfer Engine'!$C$2:$C$622,0)))</f>
        <v/>
      </c>
      <c r="O204" s="8">
        <f>IF(ISNA(MATCH(195,'Transfer Engine'!$C$2:$C$622,0)),"",INDEX('Compliance Database'!$O$2:$O$622,MATCH(195,'Transfer Engine'!$C$2:$C$622,0)))</f>
        <v/>
      </c>
    </row>
    <row r="205">
      <c r="A205">
        <f>IF(ISNA(MATCH(196,'Transfer Engine'!$C$2:$C$622,0)),"",INDEX('Compliance Database'!$A$2:$A$622,MATCH(196,'Transfer Engine'!$C$2:$C$622,0)))</f>
        <v/>
      </c>
      <c r="B205">
        <f>IF(ISNA(MATCH(196,'Transfer Engine'!$C$2:$C$622,0)),"",INDEX('Compliance Database'!$B$2:$B$622,MATCH(196,'Transfer Engine'!$C$2:$C$622,0)))</f>
        <v/>
      </c>
      <c r="C205">
        <f>IF(ISNA(MATCH(196,'Transfer Engine'!$C$2:$C$622,0)),"",INDEX('Compliance Database'!$C$2:$C$622,MATCH(196,'Transfer Engine'!$C$2:$C$622,0)))</f>
        <v/>
      </c>
      <c r="D205" s="8">
        <f>IF(ISNA(MATCH(196,'Transfer Engine'!$C$2:$C$622,0)),"",INDEX('Compliance Database'!$D$2:$D$622,MATCH(196,'Transfer Engine'!$C$2:$C$622,0)))</f>
        <v/>
      </c>
      <c r="E205">
        <f>IF(ISNA(MATCH(196,'Transfer Engine'!$C$2:$C$622,0)),"",INDEX('Compliance Database'!$E$2:$E$622,MATCH(196,'Transfer Engine'!$C$2:$C$622,0)))</f>
        <v/>
      </c>
      <c r="F205">
        <f>IF(ISNA(MATCH(196,'Transfer Engine'!$C$2:$C$622,0)),"",INDEX('Compliance Database'!$F$2:$F$622,MATCH(196,'Transfer Engine'!$C$2:$C$622,0)))</f>
        <v/>
      </c>
      <c r="G205">
        <f>IF(ISNA(MATCH(196,'Transfer Engine'!$C$2:$C$622,0)),"",INDEX('Compliance Database'!$G$2:$G$622,MATCH(196,'Transfer Engine'!$C$2:$C$622,0)))</f>
        <v/>
      </c>
      <c r="H205">
        <f>IF(ISNA(MATCH(196,'Transfer Engine'!$C$2:$C$622,0)),"",INDEX('Compliance Database'!$H$2:$H$622,MATCH(196,'Transfer Engine'!$C$2:$C$622,0)))</f>
        <v/>
      </c>
      <c r="I205" s="8">
        <f>IF(ISNA(MATCH(196,'Transfer Engine'!$C$2:$C$622,0)),"",INDEX('Compliance Database'!$I$2:$I$622,MATCH(196,'Transfer Engine'!$C$2:$C$622,0)))</f>
        <v/>
      </c>
      <c r="J205" s="8">
        <f>IF(ISNA(MATCH(196,'Transfer Engine'!$C$2:$C$622,0)),"",INDEX('Compliance Database'!$J$2:$J$622,MATCH(196,'Transfer Engine'!$C$2:$C$622,0)))</f>
        <v/>
      </c>
      <c r="K205">
        <f>IF(ISNA(MATCH(196,'Transfer Engine'!$C$2:$C$622,0)),"",INDEX('Compliance Database'!$K$2:$K$622,MATCH(196,'Transfer Engine'!$C$2:$C$622,0)))</f>
        <v/>
      </c>
      <c r="L205" s="8">
        <f>IF(ISNA(MATCH(196,'Transfer Engine'!$C$2:$C$622,0)),"",INDEX('Compliance Database'!$L$2:$L$622,MATCH(196,'Transfer Engine'!$C$2:$C$622,0)))</f>
        <v/>
      </c>
      <c r="M205" s="8">
        <f>IF(ISNA(MATCH(196,'Transfer Engine'!$C$2:$C$622,0)),"",INDEX('Compliance Database'!$M$2:$M$622,MATCH(196,'Transfer Engine'!$C$2:$C$622,0)))</f>
        <v/>
      </c>
      <c r="N205" s="8">
        <f>IF(ISNA(MATCH(196,'Transfer Engine'!$C$2:$C$622,0)),"",INDEX('Compliance Database'!$N$2:$N$622,MATCH(196,'Transfer Engine'!$C$2:$C$622,0)))</f>
        <v/>
      </c>
      <c r="O205" s="8">
        <f>IF(ISNA(MATCH(196,'Transfer Engine'!$C$2:$C$622,0)),"",INDEX('Compliance Database'!$O$2:$O$622,MATCH(196,'Transfer Engine'!$C$2:$C$622,0)))</f>
        <v/>
      </c>
    </row>
    <row r="206">
      <c r="A206">
        <f>IF(ISNA(MATCH(197,'Transfer Engine'!$C$2:$C$622,0)),"",INDEX('Compliance Database'!$A$2:$A$622,MATCH(197,'Transfer Engine'!$C$2:$C$622,0)))</f>
        <v/>
      </c>
      <c r="B206">
        <f>IF(ISNA(MATCH(197,'Transfer Engine'!$C$2:$C$622,0)),"",INDEX('Compliance Database'!$B$2:$B$622,MATCH(197,'Transfer Engine'!$C$2:$C$622,0)))</f>
        <v/>
      </c>
      <c r="C206">
        <f>IF(ISNA(MATCH(197,'Transfer Engine'!$C$2:$C$622,0)),"",INDEX('Compliance Database'!$C$2:$C$622,MATCH(197,'Transfer Engine'!$C$2:$C$622,0)))</f>
        <v/>
      </c>
      <c r="D206" s="8">
        <f>IF(ISNA(MATCH(197,'Transfer Engine'!$C$2:$C$622,0)),"",INDEX('Compliance Database'!$D$2:$D$622,MATCH(197,'Transfer Engine'!$C$2:$C$622,0)))</f>
        <v/>
      </c>
      <c r="E206">
        <f>IF(ISNA(MATCH(197,'Transfer Engine'!$C$2:$C$622,0)),"",INDEX('Compliance Database'!$E$2:$E$622,MATCH(197,'Transfer Engine'!$C$2:$C$622,0)))</f>
        <v/>
      </c>
      <c r="F206">
        <f>IF(ISNA(MATCH(197,'Transfer Engine'!$C$2:$C$622,0)),"",INDEX('Compliance Database'!$F$2:$F$622,MATCH(197,'Transfer Engine'!$C$2:$C$622,0)))</f>
        <v/>
      </c>
      <c r="G206">
        <f>IF(ISNA(MATCH(197,'Transfer Engine'!$C$2:$C$622,0)),"",INDEX('Compliance Database'!$G$2:$G$622,MATCH(197,'Transfer Engine'!$C$2:$C$622,0)))</f>
        <v/>
      </c>
      <c r="H206">
        <f>IF(ISNA(MATCH(197,'Transfer Engine'!$C$2:$C$622,0)),"",INDEX('Compliance Database'!$H$2:$H$622,MATCH(197,'Transfer Engine'!$C$2:$C$622,0)))</f>
        <v/>
      </c>
      <c r="I206" s="8">
        <f>IF(ISNA(MATCH(197,'Transfer Engine'!$C$2:$C$622,0)),"",INDEX('Compliance Database'!$I$2:$I$622,MATCH(197,'Transfer Engine'!$C$2:$C$622,0)))</f>
        <v/>
      </c>
      <c r="J206" s="8">
        <f>IF(ISNA(MATCH(197,'Transfer Engine'!$C$2:$C$622,0)),"",INDEX('Compliance Database'!$J$2:$J$622,MATCH(197,'Transfer Engine'!$C$2:$C$622,0)))</f>
        <v/>
      </c>
      <c r="K206">
        <f>IF(ISNA(MATCH(197,'Transfer Engine'!$C$2:$C$622,0)),"",INDEX('Compliance Database'!$K$2:$K$622,MATCH(197,'Transfer Engine'!$C$2:$C$622,0)))</f>
        <v/>
      </c>
      <c r="L206" s="8">
        <f>IF(ISNA(MATCH(197,'Transfer Engine'!$C$2:$C$622,0)),"",INDEX('Compliance Database'!$L$2:$L$622,MATCH(197,'Transfer Engine'!$C$2:$C$622,0)))</f>
        <v/>
      </c>
      <c r="M206" s="8">
        <f>IF(ISNA(MATCH(197,'Transfer Engine'!$C$2:$C$622,0)),"",INDEX('Compliance Database'!$M$2:$M$622,MATCH(197,'Transfer Engine'!$C$2:$C$622,0)))</f>
        <v/>
      </c>
      <c r="N206" s="8">
        <f>IF(ISNA(MATCH(197,'Transfer Engine'!$C$2:$C$622,0)),"",INDEX('Compliance Database'!$N$2:$N$622,MATCH(197,'Transfer Engine'!$C$2:$C$622,0)))</f>
        <v/>
      </c>
      <c r="O206" s="8">
        <f>IF(ISNA(MATCH(197,'Transfer Engine'!$C$2:$C$622,0)),"",INDEX('Compliance Database'!$O$2:$O$622,MATCH(197,'Transfer Engine'!$C$2:$C$622,0)))</f>
        <v/>
      </c>
    </row>
    <row r="207">
      <c r="A207">
        <f>IF(ISNA(MATCH(198,'Transfer Engine'!$C$2:$C$622,0)),"",INDEX('Compliance Database'!$A$2:$A$622,MATCH(198,'Transfer Engine'!$C$2:$C$622,0)))</f>
        <v/>
      </c>
      <c r="B207">
        <f>IF(ISNA(MATCH(198,'Transfer Engine'!$C$2:$C$622,0)),"",INDEX('Compliance Database'!$B$2:$B$622,MATCH(198,'Transfer Engine'!$C$2:$C$622,0)))</f>
        <v/>
      </c>
      <c r="C207">
        <f>IF(ISNA(MATCH(198,'Transfer Engine'!$C$2:$C$622,0)),"",INDEX('Compliance Database'!$C$2:$C$622,MATCH(198,'Transfer Engine'!$C$2:$C$622,0)))</f>
        <v/>
      </c>
      <c r="D207" s="8">
        <f>IF(ISNA(MATCH(198,'Transfer Engine'!$C$2:$C$622,0)),"",INDEX('Compliance Database'!$D$2:$D$622,MATCH(198,'Transfer Engine'!$C$2:$C$622,0)))</f>
        <v/>
      </c>
      <c r="E207">
        <f>IF(ISNA(MATCH(198,'Transfer Engine'!$C$2:$C$622,0)),"",INDEX('Compliance Database'!$E$2:$E$622,MATCH(198,'Transfer Engine'!$C$2:$C$622,0)))</f>
        <v/>
      </c>
      <c r="F207">
        <f>IF(ISNA(MATCH(198,'Transfer Engine'!$C$2:$C$622,0)),"",INDEX('Compliance Database'!$F$2:$F$622,MATCH(198,'Transfer Engine'!$C$2:$C$622,0)))</f>
        <v/>
      </c>
      <c r="G207">
        <f>IF(ISNA(MATCH(198,'Transfer Engine'!$C$2:$C$622,0)),"",INDEX('Compliance Database'!$G$2:$G$622,MATCH(198,'Transfer Engine'!$C$2:$C$622,0)))</f>
        <v/>
      </c>
      <c r="H207">
        <f>IF(ISNA(MATCH(198,'Transfer Engine'!$C$2:$C$622,0)),"",INDEX('Compliance Database'!$H$2:$H$622,MATCH(198,'Transfer Engine'!$C$2:$C$622,0)))</f>
        <v/>
      </c>
      <c r="I207" s="8">
        <f>IF(ISNA(MATCH(198,'Transfer Engine'!$C$2:$C$622,0)),"",INDEX('Compliance Database'!$I$2:$I$622,MATCH(198,'Transfer Engine'!$C$2:$C$622,0)))</f>
        <v/>
      </c>
      <c r="J207" s="8">
        <f>IF(ISNA(MATCH(198,'Transfer Engine'!$C$2:$C$622,0)),"",INDEX('Compliance Database'!$J$2:$J$622,MATCH(198,'Transfer Engine'!$C$2:$C$622,0)))</f>
        <v/>
      </c>
      <c r="K207">
        <f>IF(ISNA(MATCH(198,'Transfer Engine'!$C$2:$C$622,0)),"",INDEX('Compliance Database'!$K$2:$K$622,MATCH(198,'Transfer Engine'!$C$2:$C$622,0)))</f>
        <v/>
      </c>
      <c r="L207" s="8">
        <f>IF(ISNA(MATCH(198,'Transfer Engine'!$C$2:$C$622,0)),"",INDEX('Compliance Database'!$L$2:$L$622,MATCH(198,'Transfer Engine'!$C$2:$C$622,0)))</f>
        <v/>
      </c>
      <c r="M207" s="8">
        <f>IF(ISNA(MATCH(198,'Transfer Engine'!$C$2:$C$622,0)),"",INDEX('Compliance Database'!$M$2:$M$622,MATCH(198,'Transfer Engine'!$C$2:$C$622,0)))</f>
        <v/>
      </c>
      <c r="N207" s="8">
        <f>IF(ISNA(MATCH(198,'Transfer Engine'!$C$2:$C$622,0)),"",INDEX('Compliance Database'!$N$2:$N$622,MATCH(198,'Transfer Engine'!$C$2:$C$622,0)))</f>
        <v/>
      </c>
      <c r="O207" s="8">
        <f>IF(ISNA(MATCH(198,'Transfer Engine'!$C$2:$C$622,0)),"",INDEX('Compliance Database'!$O$2:$O$622,MATCH(198,'Transfer Engine'!$C$2:$C$622,0)))</f>
        <v/>
      </c>
    </row>
    <row r="208">
      <c r="A208">
        <f>IF(ISNA(MATCH(199,'Transfer Engine'!$C$2:$C$622,0)),"",INDEX('Compliance Database'!$A$2:$A$622,MATCH(199,'Transfer Engine'!$C$2:$C$622,0)))</f>
        <v/>
      </c>
      <c r="B208">
        <f>IF(ISNA(MATCH(199,'Transfer Engine'!$C$2:$C$622,0)),"",INDEX('Compliance Database'!$B$2:$B$622,MATCH(199,'Transfer Engine'!$C$2:$C$622,0)))</f>
        <v/>
      </c>
      <c r="C208">
        <f>IF(ISNA(MATCH(199,'Transfer Engine'!$C$2:$C$622,0)),"",INDEX('Compliance Database'!$C$2:$C$622,MATCH(199,'Transfer Engine'!$C$2:$C$622,0)))</f>
        <v/>
      </c>
      <c r="D208" s="8">
        <f>IF(ISNA(MATCH(199,'Transfer Engine'!$C$2:$C$622,0)),"",INDEX('Compliance Database'!$D$2:$D$622,MATCH(199,'Transfer Engine'!$C$2:$C$622,0)))</f>
        <v/>
      </c>
      <c r="E208">
        <f>IF(ISNA(MATCH(199,'Transfer Engine'!$C$2:$C$622,0)),"",INDEX('Compliance Database'!$E$2:$E$622,MATCH(199,'Transfer Engine'!$C$2:$C$622,0)))</f>
        <v/>
      </c>
      <c r="F208">
        <f>IF(ISNA(MATCH(199,'Transfer Engine'!$C$2:$C$622,0)),"",INDEX('Compliance Database'!$F$2:$F$622,MATCH(199,'Transfer Engine'!$C$2:$C$622,0)))</f>
        <v/>
      </c>
      <c r="G208">
        <f>IF(ISNA(MATCH(199,'Transfer Engine'!$C$2:$C$622,0)),"",INDEX('Compliance Database'!$G$2:$G$622,MATCH(199,'Transfer Engine'!$C$2:$C$622,0)))</f>
        <v/>
      </c>
      <c r="H208">
        <f>IF(ISNA(MATCH(199,'Transfer Engine'!$C$2:$C$622,0)),"",INDEX('Compliance Database'!$H$2:$H$622,MATCH(199,'Transfer Engine'!$C$2:$C$622,0)))</f>
        <v/>
      </c>
      <c r="I208" s="8">
        <f>IF(ISNA(MATCH(199,'Transfer Engine'!$C$2:$C$622,0)),"",INDEX('Compliance Database'!$I$2:$I$622,MATCH(199,'Transfer Engine'!$C$2:$C$622,0)))</f>
        <v/>
      </c>
      <c r="J208" s="8">
        <f>IF(ISNA(MATCH(199,'Transfer Engine'!$C$2:$C$622,0)),"",INDEX('Compliance Database'!$J$2:$J$622,MATCH(199,'Transfer Engine'!$C$2:$C$622,0)))</f>
        <v/>
      </c>
      <c r="K208">
        <f>IF(ISNA(MATCH(199,'Transfer Engine'!$C$2:$C$622,0)),"",INDEX('Compliance Database'!$K$2:$K$622,MATCH(199,'Transfer Engine'!$C$2:$C$622,0)))</f>
        <v/>
      </c>
      <c r="L208" s="8">
        <f>IF(ISNA(MATCH(199,'Transfer Engine'!$C$2:$C$622,0)),"",INDEX('Compliance Database'!$L$2:$L$622,MATCH(199,'Transfer Engine'!$C$2:$C$622,0)))</f>
        <v/>
      </c>
      <c r="M208" s="8">
        <f>IF(ISNA(MATCH(199,'Transfer Engine'!$C$2:$C$622,0)),"",INDEX('Compliance Database'!$M$2:$M$622,MATCH(199,'Transfer Engine'!$C$2:$C$622,0)))</f>
        <v/>
      </c>
      <c r="N208" s="8">
        <f>IF(ISNA(MATCH(199,'Transfer Engine'!$C$2:$C$622,0)),"",INDEX('Compliance Database'!$N$2:$N$622,MATCH(199,'Transfer Engine'!$C$2:$C$622,0)))</f>
        <v/>
      </c>
      <c r="O208" s="8">
        <f>IF(ISNA(MATCH(199,'Transfer Engine'!$C$2:$C$622,0)),"",INDEX('Compliance Database'!$O$2:$O$622,MATCH(199,'Transfer Engine'!$C$2:$C$622,0)))</f>
        <v/>
      </c>
    </row>
    <row r="209">
      <c r="A209">
        <f>IF(ISNA(MATCH(200,'Transfer Engine'!$C$2:$C$622,0)),"",INDEX('Compliance Database'!$A$2:$A$622,MATCH(200,'Transfer Engine'!$C$2:$C$622,0)))</f>
        <v/>
      </c>
      <c r="B209">
        <f>IF(ISNA(MATCH(200,'Transfer Engine'!$C$2:$C$622,0)),"",INDEX('Compliance Database'!$B$2:$B$622,MATCH(200,'Transfer Engine'!$C$2:$C$622,0)))</f>
        <v/>
      </c>
      <c r="C209">
        <f>IF(ISNA(MATCH(200,'Transfer Engine'!$C$2:$C$622,0)),"",INDEX('Compliance Database'!$C$2:$C$622,MATCH(200,'Transfer Engine'!$C$2:$C$622,0)))</f>
        <v/>
      </c>
      <c r="D209" s="8">
        <f>IF(ISNA(MATCH(200,'Transfer Engine'!$C$2:$C$622,0)),"",INDEX('Compliance Database'!$D$2:$D$622,MATCH(200,'Transfer Engine'!$C$2:$C$622,0)))</f>
        <v/>
      </c>
      <c r="E209">
        <f>IF(ISNA(MATCH(200,'Transfer Engine'!$C$2:$C$622,0)),"",INDEX('Compliance Database'!$E$2:$E$622,MATCH(200,'Transfer Engine'!$C$2:$C$622,0)))</f>
        <v/>
      </c>
      <c r="F209">
        <f>IF(ISNA(MATCH(200,'Transfer Engine'!$C$2:$C$622,0)),"",INDEX('Compliance Database'!$F$2:$F$622,MATCH(200,'Transfer Engine'!$C$2:$C$622,0)))</f>
        <v/>
      </c>
      <c r="G209">
        <f>IF(ISNA(MATCH(200,'Transfer Engine'!$C$2:$C$622,0)),"",INDEX('Compliance Database'!$G$2:$G$622,MATCH(200,'Transfer Engine'!$C$2:$C$622,0)))</f>
        <v/>
      </c>
      <c r="H209">
        <f>IF(ISNA(MATCH(200,'Transfer Engine'!$C$2:$C$622,0)),"",INDEX('Compliance Database'!$H$2:$H$622,MATCH(200,'Transfer Engine'!$C$2:$C$622,0)))</f>
        <v/>
      </c>
      <c r="I209" s="8">
        <f>IF(ISNA(MATCH(200,'Transfer Engine'!$C$2:$C$622,0)),"",INDEX('Compliance Database'!$I$2:$I$622,MATCH(200,'Transfer Engine'!$C$2:$C$622,0)))</f>
        <v/>
      </c>
      <c r="J209" s="8">
        <f>IF(ISNA(MATCH(200,'Transfer Engine'!$C$2:$C$622,0)),"",INDEX('Compliance Database'!$J$2:$J$622,MATCH(200,'Transfer Engine'!$C$2:$C$622,0)))</f>
        <v/>
      </c>
      <c r="K209">
        <f>IF(ISNA(MATCH(200,'Transfer Engine'!$C$2:$C$622,0)),"",INDEX('Compliance Database'!$K$2:$K$622,MATCH(200,'Transfer Engine'!$C$2:$C$622,0)))</f>
        <v/>
      </c>
      <c r="L209" s="8">
        <f>IF(ISNA(MATCH(200,'Transfer Engine'!$C$2:$C$622,0)),"",INDEX('Compliance Database'!$L$2:$L$622,MATCH(200,'Transfer Engine'!$C$2:$C$622,0)))</f>
        <v/>
      </c>
      <c r="M209" s="8">
        <f>IF(ISNA(MATCH(200,'Transfer Engine'!$C$2:$C$622,0)),"",INDEX('Compliance Database'!$M$2:$M$622,MATCH(200,'Transfer Engine'!$C$2:$C$622,0)))</f>
        <v/>
      </c>
      <c r="N209" s="8">
        <f>IF(ISNA(MATCH(200,'Transfer Engine'!$C$2:$C$622,0)),"",INDEX('Compliance Database'!$N$2:$N$622,MATCH(200,'Transfer Engine'!$C$2:$C$622,0)))</f>
        <v/>
      </c>
      <c r="O209" s="8">
        <f>IF(ISNA(MATCH(200,'Transfer Engine'!$C$2:$C$622,0)),"",INDEX('Compliance Database'!$O$2:$O$622,MATCH(200,'Transfer Engine'!$C$2:$C$622,0)))</f>
        <v/>
      </c>
    </row>
    <row r="210">
      <c r="A210">
        <f>IF(ISNA(MATCH(201,'Transfer Engine'!$C$2:$C$622,0)),"",INDEX('Compliance Database'!$A$2:$A$622,MATCH(201,'Transfer Engine'!$C$2:$C$622,0)))</f>
        <v/>
      </c>
      <c r="B210">
        <f>IF(ISNA(MATCH(201,'Transfer Engine'!$C$2:$C$622,0)),"",INDEX('Compliance Database'!$B$2:$B$622,MATCH(201,'Transfer Engine'!$C$2:$C$622,0)))</f>
        <v/>
      </c>
      <c r="C210">
        <f>IF(ISNA(MATCH(201,'Transfer Engine'!$C$2:$C$622,0)),"",INDEX('Compliance Database'!$C$2:$C$622,MATCH(201,'Transfer Engine'!$C$2:$C$622,0)))</f>
        <v/>
      </c>
      <c r="D210" s="8">
        <f>IF(ISNA(MATCH(201,'Transfer Engine'!$C$2:$C$622,0)),"",INDEX('Compliance Database'!$D$2:$D$622,MATCH(201,'Transfer Engine'!$C$2:$C$622,0)))</f>
        <v/>
      </c>
      <c r="E210">
        <f>IF(ISNA(MATCH(201,'Transfer Engine'!$C$2:$C$622,0)),"",INDEX('Compliance Database'!$E$2:$E$622,MATCH(201,'Transfer Engine'!$C$2:$C$622,0)))</f>
        <v/>
      </c>
      <c r="F210">
        <f>IF(ISNA(MATCH(201,'Transfer Engine'!$C$2:$C$622,0)),"",INDEX('Compliance Database'!$F$2:$F$622,MATCH(201,'Transfer Engine'!$C$2:$C$622,0)))</f>
        <v/>
      </c>
      <c r="G210">
        <f>IF(ISNA(MATCH(201,'Transfer Engine'!$C$2:$C$622,0)),"",INDEX('Compliance Database'!$G$2:$G$622,MATCH(201,'Transfer Engine'!$C$2:$C$622,0)))</f>
        <v/>
      </c>
      <c r="H210">
        <f>IF(ISNA(MATCH(201,'Transfer Engine'!$C$2:$C$622,0)),"",INDEX('Compliance Database'!$H$2:$H$622,MATCH(201,'Transfer Engine'!$C$2:$C$622,0)))</f>
        <v/>
      </c>
      <c r="I210" s="8">
        <f>IF(ISNA(MATCH(201,'Transfer Engine'!$C$2:$C$622,0)),"",INDEX('Compliance Database'!$I$2:$I$622,MATCH(201,'Transfer Engine'!$C$2:$C$622,0)))</f>
        <v/>
      </c>
      <c r="J210" s="8">
        <f>IF(ISNA(MATCH(201,'Transfer Engine'!$C$2:$C$622,0)),"",INDEX('Compliance Database'!$J$2:$J$622,MATCH(201,'Transfer Engine'!$C$2:$C$622,0)))</f>
        <v/>
      </c>
      <c r="K210">
        <f>IF(ISNA(MATCH(201,'Transfer Engine'!$C$2:$C$622,0)),"",INDEX('Compliance Database'!$K$2:$K$622,MATCH(201,'Transfer Engine'!$C$2:$C$622,0)))</f>
        <v/>
      </c>
      <c r="L210" s="8">
        <f>IF(ISNA(MATCH(201,'Transfer Engine'!$C$2:$C$622,0)),"",INDEX('Compliance Database'!$L$2:$L$622,MATCH(201,'Transfer Engine'!$C$2:$C$622,0)))</f>
        <v/>
      </c>
      <c r="M210" s="8">
        <f>IF(ISNA(MATCH(201,'Transfer Engine'!$C$2:$C$622,0)),"",INDEX('Compliance Database'!$M$2:$M$622,MATCH(201,'Transfer Engine'!$C$2:$C$622,0)))</f>
        <v/>
      </c>
      <c r="N210" s="8">
        <f>IF(ISNA(MATCH(201,'Transfer Engine'!$C$2:$C$622,0)),"",INDEX('Compliance Database'!$N$2:$N$622,MATCH(201,'Transfer Engine'!$C$2:$C$622,0)))</f>
        <v/>
      </c>
      <c r="O210" s="8">
        <f>IF(ISNA(MATCH(201,'Transfer Engine'!$C$2:$C$622,0)),"",INDEX('Compliance Database'!$O$2:$O$622,MATCH(201,'Transfer Engine'!$C$2:$C$622,0)))</f>
        <v/>
      </c>
    </row>
    <row r="211">
      <c r="A211">
        <f>IF(ISNA(MATCH(202,'Transfer Engine'!$C$2:$C$622,0)),"",INDEX('Compliance Database'!$A$2:$A$622,MATCH(202,'Transfer Engine'!$C$2:$C$622,0)))</f>
        <v/>
      </c>
      <c r="B211">
        <f>IF(ISNA(MATCH(202,'Transfer Engine'!$C$2:$C$622,0)),"",INDEX('Compliance Database'!$B$2:$B$622,MATCH(202,'Transfer Engine'!$C$2:$C$622,0)))</f>
        <v/>
      </c>
      <c r="C211">
        <f>IF(ISNA(MATCH(202,'Transfer Engine'!$C$2:$C$622,0)),"",INDEX('Compliance Database'!$C$2:$C$622,MATCH(202,'Transfer Engine'!$C$2:$C$622,0)))</f>
        <v/>
      </c>
      <c r="D211" s="8">
        <f>IF(ISNA(MATCH(202,'Transfer Engine'!$C$2:$C$622,0)),"",INDEX('Compliance Database'!$D$2:$D$622,MATCH(202,'Transfer Engine'!$C$2:$C$622,0)))</f>
        <v/>
      </c>
      <c r="E211">
        <f>IF(ISNA(MATCH(202,'Transfer Engine'!$C$2:$C$622,0)),"",INDEX('Compliance Database'!$E$2:$E$622,MATCH(202,'Transfer Engine'!$C$2:$C$622,0)))</f>
        <v/>
      </c>
      <c r="F211">
        <f>IF(ISNA(MATCH(202,'Transfer Engine'!$C$2:$C$622,0)),"",INDEX('Compliance Database'!$F$2:$F$622,MATCH(202,'Transfer Engine'!$C$2:$C$622,0)))</f>
        <v/>
      </c>
      <c r="G211">
        <f>IF(ISNA(MATCH(202,'Transfer Engine'!$C$2:$C$622,0)),"",INDEX('Compliance Database'!$G$2:$G$622,MATCH(202,'Transfer Engine'!$C$2:$C$622,0)))</f>
        <v/>
      </c>
      <c r="H211">
        <f>IF(ISNA(MATCH(202,'Transfer Engine'!$C$2:$C$622,0)),"",INDEX('Compliance Database'!$H$2:$H$622,MATCH(202,'Transfer Engine'!$C$2:$C$622,0)))</f>
        <v/>
      </c>
      <c r="I211" s="8">
        <f>IF(ISNA(MATCH(202,'Transfer Engine'!$C$2:$C$622,0)),"",INDEX('Compliance Database'!$I$2:$I$622,MATCH(202,'Transfer Engine'!$C$2:$C$622,0)))</f>
        <v/>
      </c>
      <c r="J211" s="8">
        <f>IF(ISNA(MATCH(202,'Transfer Engine'!$C$2:$C$622,0)),"",INDEX('Compliance Database'!$J$2:$J$622,MATCH(202,'Transfer Engine'!$C$2:$C$622,0)))</f>
        <v/>
      </c>
      <c r="K211">
        <f>IF(ISNA(MATCH(202,'Transfer Engine'!$C$2:$C$622,0)),"",INDEX('Compliance Database'!$K$2:$K$622,MATCH(202,'Transfer Engine'!$C$2:$C$622,0)))</f>
        <v/>
      </c>
      <c r="L211" s="8">
        <f>IF(ISNA(MATCH(202,'Transfer Engine'!$C$2:$C$622,0)),"",INDEX('Compliance Database'!$L$2:$L$622,MATCH(202,'Transfer Engine'!$C$2:$C$622,0)))</f>
        <v/>
      </c>
      <c r="M211" s="8">
        <f>IF(ISNA(MATCH(202,'Transfer Engine'!$C$2:$C$622,0)),"",INDEX('Compliance Database'!$M$2:$M$622,MATCH(202,'Transfer Engine'!$C$2:$C$622,0)))</f>
        <v/>
      </c>
      <c r="N211" s="8">
        <f>IF(ISNA(MATCH(202,'Transfer Engine'!$C$2:$C$622,0)),"",INDEX('Compliance Database'!$N$2:$N$622,MATCH(202,'Transfer Engine'!$C$2:$C$622,0)))</f>
        <v/>
      </c>
      <c r="O211" s="8">
        <f>IF(ISNA(MATCH(202,'Transfer Engine'!$C$2:$C$622,0)),"",INDEX('Compliance Database'!$O$2:$O$622,MATCH(202,'Transfer Engine'!$C$2:$C$622,0)))</f>
        <v/>
      </c>
    </row>
    <row r="212">
      <c r="A212">
        <f>IF(ISNA(MATCH(203,'Transfer Engine'!$C$2:$C$622,0)),"",INDEX('Compliance Database'!$A$2:$A$622,MATCH(203,'Transfer Engine'!$C$2:$C$622,0)))</f>
        <v/>
      </c>
      <c r="B212">
        <f>IF(ISNA(MATCH(203,'Transfer Engine'!$C$2:$C$622,0)),"",INDEX('Compliance Database'!$B$2:$B$622,MATCH(203,'Transfer Engine'!$C$2:$C$622,0)))</f>
        <v/>
      </c>
      <c r="C212">
        <f>IF(ISNA(MATCH(203,'Transfer Engine'!$C$2:$C$622,0)),"",INDEX('Compliance Database'!$C$2:$C$622,MATCH(203,'Transfer Engine'!$C$2:$C$622,0)))</f>
        <v/>
      </c>
      <c r="D212" s="8">
        <f>IF(ISNA(MATCH(203,'Transfer Engine'!$C$2:$C$622,0)),"",INDEX('Compliance Database'!$D$2:$D$622,MATCH(203,'Transfer Engine'!$C$2:$C$622,0)))</f>
        <v/>
      </c>
      <c r="E212">
        <f>IF(ISNA(MATCH(203,'Transfer Engine'!$C$2:$C$622,0)),"",INDEX('Compliance Database'!$E$2:$E$622,MATCH(203,'Transfer Engine'!$C$2:$C$622,0)))</f>
        <v/>
      </c>
      <c r="F212">
        <f>IF(ISNA(MATCH(203,'Transfer Engine'!$C$2:$C$622,0)),"",INDEX('Compliance Database'!$F$2:$F$622,MATCH(203,'Transfer Engine'!$C$2:$C$622,0)))</f>
        <v/>
      </c>
      <c r="G212">
        <f>IF(ISNA(MATCH(203,'Transfer Engine'!$C$2:$C$622,0)),"",INDEX('Compliance Database'!$G$2:$G$622,MATCH(203,'Transfer Engine'!$C$2:$C$622,0)))</f>
        <v/>
      </c>
      <c r="H212">
        <f>IF(ISNA(MATCH(203,'Transfer Engine'!$C$2:$C$622,0)),"",INDEX('Compliance Database'!$H$2:$H$622,MATCH(203,'Transfer Engine'!$C$2:$C$622,0)))</f>
        <v/>
      </c>
      <c r="I212" s="8">
        <f>IF(ISNA(MATCH(203,'Transfer Engine'!$C$2:$C$622,0)),"",INDEX('Compliance Database'!$I$2:$I$622,MATCH(203,'Transfer Engine'!$C$2:$C$622,0)))</f>
        <v/>
      </c>
      <c r="J212" s="8">
        <f>IF(ISNA(MATCH(203,'Transfer Engine'!$C$2:$C$622,0)),"",INDEX('Compliance Database'!$J$2:$J$622,MATCH(203,'Transfer Engine'!$C$2:$C$622,0)))</f>
        <v/>
      </c>
      <c r="K212">
        <f>IF(ISNA(MATCH(203,'Transfer Engine'!$C$2:$C$622,0)),"",INDEX('Compliance Database'!$K$2:$K$622,MATCH(203,'Transfer Engine'!$C$2:$C$622,0)))</f>
        <v/>
      </c>
      <c r="L212" s="8">
        <f>IF(ISNA(MATCH(203,'Transfer Engine'!$C$2:$C$622,0)),"",INDEX('Compliance Database'!$L$2:$L$622,MATCH(203,'Transfer Engine'!$C$2:$C$622,0)))</f>
        <v/>
      </c>
      <c r="M212" s="8">
        <f>IF(ISNA(MATCH(203,'Transfer Engine'!$C$2:$C$622,0)),"",INDEX('Compliance Database'!$M$2:$M$622,MATCH(203,'Transfer Engine'!$C$2:$C$622,0)))</f>
        <v/>
      </c>
      <c r="N212" s="8">
        <f>IF(ISNA(MATCH(203,'Transfer Engine'!$C$2:$C$622,0)),"",INDEX('Compliance Database'!$N$2:$N$622,MATCH(203,'Transfer Engine'!$C$2:$C$622,0)))</f>
        <v/>
      </c>
      <c r="O212" s="8">
        <f>IF(ISNA(MATCH(203,'Transfer Engine'!$C$2:$C$622,0)),"",INDEX('Compliance Database'!$O$2:$O$622,MATCH(203,'Transfer Engine'!$C$2:$C$622,0)))</f>
        <v/>
      </c>
    </row>
    <row r="213">
      <c r="A213">
        <f>IF(ISNA(MATCH(204,'Transfer Engine'!$C$2:$C$622,0)),"",INDEX('Compliance Database'!$A$2:$A$622,MATCH(204,'Transfer Engine'!$C$2:$C$622,0)))</f>
        <v/>
      </c>
      <c r="B213">
        <f>IF(ISNA(MATCH(204,'Transfer Engine'!$C$2:$C$622,0)),"",INDEX('Compliance Database'!$B$2:$B$622,MATCH(204,'Transfer Engine'!$C$2:$C$622,0)))</f>
        <v/>
      </c>
      <c r="C213">
        <f>IF(ISNA(MATCH(204,'Transfer Engine'!$C$2:$C$622,0)),"",INDEX('Compliance Database'!$C$2:$C$622,MATCH(204,'Transfer Engine'!$C$2:$C$622,0)))</f>
        <v/>
      </c>
      <c r="D213" s="8">
        <f>IF(ISNA(MATCH(204,'Transfer Engine'!$C$2:$C$622,0)),"",INDEX('Compliance Database'!$D$2:$D$622,MATCH(204,'Transfer Engine'!$C$2:$C$622,0)))</f>
        <v/>
      </c>
      <c r="E213">
        <f>IF(ISNA(MATCH(204,'Transfer Engine'!$C$2:$C$622,0)),"",INDEX('Compliance Database'!$E$2:$E$622,MATCH(204,'Transfer Engine'!$C$2:$C$622,0)))</f>
        <v/>
      </c>
      <c r="F213">
        <f>IF(ISNA(MATCH(204,'Transfer Engine'!$C$2:$C$622,0)),"",INDEX('Compliance Database'!$F$2:$F$622,MATCH(204,'Transfer Engine'!$C$2:$C$622,0)))</f>
        <v/>
      </c>
      <c r="G213">
        <f>IF(ISNA(MATCH(204,'Transfer Engine'!$C$2:$C$622,0)),"",INDEX('Compliance Database'!$G$2:$G$622,MATCH(204,'Transfer Engine'!$C$2:$C$622,0)))</f>
        <v/>
      </c>
      <c r="H213">
        <f>IF(ISNA(MATCH(204,'Transfer Engine'!$C$2:$C$622,0)),"",INDEX('Compliance Database'!$H$2:$H$622,MATCH(204,'Transfer Engine'!$C$2:$C$622,0)))</f>
        <v/>
      </c>
      <c r="I213" s="8">
        <f>IF(ISNA(MATCH(204,'Transfer Engine'!$C$2:$C$622,0)),"",INDEX('Compliance Database'!$I$2:$I$622,MATCH(204,'Transfer Engine'!$C$2:$C$622,0)))</f>
        <v/>
      </c>
      <c r="J213" s="8">
        <f>IF(ISNA(MATCH(204,'Transfer Engine'!$C$2:$C$622,0)),"",INDEX('Compliance Database'!$J$2:$J$622,MATCH(204,'Transfer Engine'!$C$2:$C$622,0)))</f>
        <v/>
      </c>
      <c r="K213">
        <f>IF(ISNA(MATCH(204,'Transfer Engine'!$C$2:$C$622,0)),"",INDEX('Compliance Database'!$K$2:$K$622,MATCH(204,'Transfer Engine'!$C$2:$C$622,0)))</f>
        <v/>
      </c>
      <c r="L213" s="8">
        <f>IF(ISNA(MATCH(204,'Transfer Engine'!$C$2:$C$622,0)),"",INDEX('Compliance Database'!$L$2:$L$622,MATCH(204,'Transfer Engine'!$C$2:$C$622,0)))</f>
        <v/>
      </c>
      <c r="M213" s="8">
        <f>IF(ISNA(MATCH(204,'Transfer Engine'!$C$2:$C$622,0)),"",INDEX('Compliance Database'!$M$2:$M$622,MATCH(204,'Transfer Engine'!$C$2:$C$622,0)))</f>
        <v/>
      </c>
      <c r="N213" s="8">
        <f>IF(ISNA(MATCH(204,'Transfer Engine'!$C$2:$C$622,0)),"",INDEX('Compliance Database'!$N$2:$N$622,MATCH(204,'Transfer Engine'!$C$2:$C$622,0)))</f>
        <v/>
      </c>
      <c r="O213" s="8">
        <f>IF(ISNA(MATCH(204,'Transfer Engine'!$C$2:$C$622,0)),"",INDEX('Compliance Database'!$O$2:$O$622,MATCH(204,'Transfer Engine'!$C$2:$C$622,0)))</f>
        <v/>
      </c>
    </row>
    <row r="214">
      <c r="A214">
        <f>IF(ISNA(MATCH(205,'Transfer Engine'!$C$2:$C$622,0)),"",INDEX('Compliance Database'!$A$2:$A$622,MATCH(205,'Transfer Engine'!$C$2:$C$622,0)))</f>
        <v/>
      </c>
      <c r="B214">
        <f>IF(ISNA(MATCH(205,'Transfer Engine'!$C$2:$C$622,0)),"",INDEX('Compliance Database'!$B$2:$B$622,MATCH(205,'Transfer Engine'!$C$2:$C$622,0)))</f>
        <v/>
      </c>
      <c r="C214">
        <f>IF(ISNA(MATCH(205,'Transfer Engine'!$C$2:$C$622,0)),"",INDEX('Compliance Database'!$C$2:$C$622,MATCH(205,'Transfer Engine'!$C$2:$C$622,0)))</f>
        <v/>
      </c>
      <c r="D214" s="8">
        <f>IF(ISNA(MATCH(205,'Transfer Engine'!$C$2:$C$622,0)),"",INDEX('Compliance Database'!$D$2:$D$622,MATCH(205,'Transfer Engine'!$C$2:$C$622,0)))</f>
        <v/>
      </c>
      <c r="E214">
        <f>IF(ISNA(MATCH(205,'Transfer Engine'!$C$2:$C$622,0)),"",INDEX('Compliance Database'!$E$2:$E$622,MATCH(205,'Transfer Engine'!$C$2:$C$622,0)))</f>
        <v/>
      </c>
      <c r="F214">
        <f>IF(ISNA(MATCH(205,'Transfer Engine'!$C$2:$C$622,0)),"",INDEX('Compliance Database'!$F$2:$F$622,MATCH(205,'Transfer Engine'!$C$2:$C$622,0)))</f>
        <v/>
      </c>
      <c r="G214">
        <f>IF(ISNA(MATCH(205,'Transfer Engine'!$C$2:$C$622,0)),"",INDEX('Compliance Database'!$G$2:$G$622,MATCH(205,'Transfer Engine'!$C$2:$C$622,0)))</f>
        <v/>
      </c>
      <c r="H214">
        <f>IF(ISNA(MATCH(205,'Transfer Engine'!$C$2:$C$622,0)),"",INDEX('Compliance Database'!$H$2:$H$622,MATCH(205,'Transfer Engine'!$C$2:$C$622,0)))</f>
        <v/>
      </c>
      <c r="I214" s="8">
        <f>IF(ISNA(MATCH(205,'Transfer Engine'!$C$2:$C$622,0)),"",INDEX('Compliance Database'!$I$2:$I$622,MATCH(205,'Transfer Engine'!$C$2:$C$622,0)))</f>
        <v/>
      </c>
      <c r="J214" s="8">
        <f>IF(ISNA(MATCH(205,'Transfer Engine'!$C$2:$C$622,0)),"",INDEX('Compliance Database'!$J$2:$J$622,MATCH(205,'Transfer Engine'!$C$2:$C$622,0)))</f>
        <v/>
      </c>
      <c r="K214">
        <f>IF(ISNA(MATCH(205,'Transfer Engine'!$C$2:$C$622,0)),"",INDEX('Compliance Database'!$K$2:$K$622,MATCH(205,'Transfer Engine'!$C$2:$C$622,0)))</f>
        <v/>
      </c>
      <c r="L214" s="8">
        <f>IF(ISNA(MATCH(205,'Transfer Engine'!$C$2:$C$622,0)),"",INDEX('Compliance Database'!$L$2:$L$622,MATCH(205,'Transfer Engine'!$C$2:$C$622,0)))</f>
        <v/>
      </c>
      <c r="M214" s="8">
        <f>IF(ISNA(MATCH(205,'Transfer Engine'!$C$2:$C$622,0)),"",INDEX('Compliance Database'!$M$2:$M$622,MATCH(205,'Transfer Engine'!$C$2:$C$622,0)))</f>
        <v/>
      </c>
      <c r="N214" s="8">
        <f>IF(ISNA(MATCH(205,'Transfer Engine'!$C$2:$C$622,0)),"",INDEX('Compliance Database'!$N$2:$N$622,MATCH(205,'Transfer Engine'!$C$2:$C$622,0)))</f>
        <v/>
      </c>
      <c r="O214" s="8">
        <f>IF(ISNA(MATCH(205,'Transfer Engine'!$C$2:$C$622,0)),"",INDEX('Compliance Database'!$O$2:$O$622,MATCH(205,'Transfer Engine'!$C$2:$C$622,0)))</f>
        <v/>
      </c>
    </row>
    <row r="215">
      <c r="A215">
        <f>IF(ISNA(MATCH(206,'Transfer Engine'!$C$2:$C$622,0)),"",INDEX('Compliance Database'!$A$2:$A$622,MATCH(206,'Transfer Engine'!$C$2:$C$622,0)))</f>
        <v/>
      </c>
      <c r="B215">
        <f>IF(ISNA(MATCH(206,'Transfer Engine'!$C$2:$C$622,0)),"",INDEX('Compliance Database'!$B$2:$B$622,MATCH(206,'Transfer Engine'!$C$2:$C$622,0)))</f>
        <v/>
      </c>
      <c r="C215">
        <f>IF(ISNA(MATCH(206,'Transfer Engine'!$C$2:$C$622,0)),"",INDEX('Compliance Database'!$C$2:$C$622,MATCH(206,'Transfer Engine'!$C$2:$C$622,0)))</f>
        <v/>
      </c>
      <c r="D215" s="8">
        <f>IF(ISNA(MATCH(206,'Transfer Engine'!$C$2:$C$622,0)),"",INDEX('Compliance Database'!$D$2:$D$622,MATCH(206,'Transfer Engine'!$C$2:$C$622,0)))</f>
        <v/>
      </c>
      <c r="E215">
        <f>IF(ISNA(MATCH(206,'Transfer Engine'!$C$2:$C$622,0)),"",INDEX('Compliance Database'!$E$2:$E$622,MATCH(206,'Transfer Engine'!$C$2:$C$622,0)))</f>
        <v/>
      </c>
      <c r="F215">
        <f>IF(ISNA(MATCH(206,'Transfer Engine'!$C$2:$C$622,0)),"",INDEX('Compliance Database'!$F$2:$F$622,MATCH(206,'Transfer Engine'!$C$2:$C$622,0)))</f>
        <v/>
      </c>
      <c r="G215">
        <f>IF(ISNA(MATCH(206,'Transfer Engine'!$C$2:$C$622,0)),"",INDEX('Compliance Database'!$G$2:$G$622,MATCH(206,'Transfer Engine'!$C$2:$C$622,0)))</f>
        <v/>
      </c>
      <c r="H215">
        <f>IF(ISNA(MATCH(206,'Transfer Engine'!$C$2:$C$622,0)),"",INDEX('Compliance Database'!$H$2:$H$622,MATCH(206,'Transfer Engine'!$C$2:$C$622,0)))</f>
        <v/>
      </c>
      <c r="I215" s="8">
        <f>IF(ISNA(MATCH(206,'Transfer Engine'!$C$2:$C$622,0)),"",INDEX('Compliance Database'!$I$2:$I$622,MATCH(206,'Transfer Engine'!$C$2:$C$622,0)))</f>
        <v/>
      </c>
      <c r="J215" s="8">
        <f>IF(ISNA(MATCH(206,'Transfer Engine'!$C$2:$C$622,0)),"",INDEX('Compliance Database'!$J$2:$J$622,MATCH(206,'Transfer Engine'!$C$2:$C$622,0)))</f>
        <v/>
      </c>
      <c r="K215">
        <f>IF(ISNA(MATCH(206,'Transfer Engine'!$C$2:$C$622,0)),"",INDEX('Compliance Database'!$K$2:$K$622,MATCH(206,'Transfer Engine'!$C$2:$C$622,0)))</f>
        <v/>
      </c>
      <c r="L215" s="8">
        <f>IF(ISNA(MATCH(206,'Transfer Engine'!$C$2:$C$622,0)),"",INDEX('Compliance Database'!$L$2:$L$622,MATCH(206,'Transfer Engine'!$C$2:$C$622,0)))</f>
        <v/>
      </c>
      <c r="M215" s="8">
        <f>IF(ISNA(MATCH(206,'Transfer Engine'!$C$2:$C$622,0)),"",INDEX('Compliance Database'!$M$2:$M$622,MATCH(206,'Transfer Engine'!$C$2:$C$622,0)))</f>
        <v/>
      </c>
      <c r="N215" s="8">
        <f>IF(ISNA(MATCH(206,'Transfer Engine'!$C$2:$C$622,0)),"",INDEX('Compliance Database'!$N$2:$N$622,MATCH(206,'Transfer Engine'!$C$2:$C$622,0)))</f>
        <v/>
      </c>
      <c r="O215" s="8">
        <f>IF(ISNA(MATCH(206,'Transfer Engine'!$C$2:$C$622,0)),"",INDEX('Compliance Database'!$O$2:$O$622,MATCH(206,'Transfer Engine'!$C$2:$C$622,0)))</f>
        <v/>
      </c>
    </row>
    <row r="216">
      <c r="A216">
        <f>IF(ISNA(MATCH(207,'Transfer Engine'!$C$2:$C$622,0)),"",INDEX('Compliance Database'!$A$2:$A$622,MATCH(207,'Transfer Engine'!$C$2:$C$622,0)))</f>
        <v/>
      </c>
      <c r="B216">
        <f>IF(ISNA(MATCH(207,'Transfer Engine'!$C$2:$C$622,0)),"",INDEX('Compliance Database'!$B$2:$B$622,MATCH(207,'Transfer Engine'!$C$2:$C$622,0)))</f>
        <v/>
      </c>
      <c r="C216">
        <f>IF(ISNA(MATCH(207,'Transfer Engine'!$C$2:$C$622,0)),"",INDEX('Compliance Database'!$C$2:$C$622,MATCH(207,'Transfer Engine'!$C$2:$C$622,0)))</f>
        <v/>
      </c>
      <c r="D216" s="8">
        <f>IF(ISNA(MATCH(207,'Transfer Engine'!$C$2:$C$622,0)),"",INDEX('Compliance Database'!$D$2:$D$622,MATCH(207,'Transfer Engine'!$C$2:$C$622,0)))</f>
        <v/>
      </c>
      <c r="E216">
        <f>IF(ISNA(MATCH(207,'Transfer Engine'!$C$2:$C$622,0)),"",INDEX('Compliance Database'!$E$2:$E$622,MATCH(207,'Transfer Engine'!$C$2:$C$622,0)))</f>
        <v/>
      </c>
      <c r="F216">
        <f>IF(ISNA(MATCH(207,'Transfer Engine'!$C$2:$C$622,0)),"",INDEX('Compliance Database'!$F$2:$F$622,MATCH(207,'Transfer Engine'!$C$2:$C$622,0)))</f>
        <v/>
      </c>
      <c r="G216">
        <f>IF(ISNA(MATCH(207,'Transfer Engine'!$C$2:$C$622,0)),"",INDEX('Compliance Database'!$G$2:$G$622,MATCH(207,'Transfer Engine'!$C$2:$C$622,0)))</f>
        <v/>
      </c>
      <c r="H216">
        <f>IF(ISNA(MATCH(207,'Transfer Engine'!$C$2:$C$622,0)),"",INDEX('Compliance Database'!$H$2:$H$622,MATCH(207,'Transfer Engine'!$C$2:$C$622,0)))</f>
        <v/>
      </c>
      <c r="I216" s="8">
        <f>IF(ISNA(MATCH(207,'Transfer Engine'!$C$2:$C$622,0)),"",INDEX('Compliance Database'!$I$2:$I$622,MATCH(207,'Transfer Engine'!$C$2:$C$622,0)))</f>
        <v/>
      </c>
      <c r="J216" s="8">
        <f>IF(ISNA(MATCH(207,'Transfer Engine'!$C$2:$C$622,0)),"",INDEX('Compliance Database'!$J$2:$J$622,MATCH(207,'Transfer Engine'!$C$2:$C$622,0)))</f>
        <v/>
      </c>
      <c r="K216">
        <f>IF(ISNA(MATCH(207,'Transfer Engine'!$C$2:$C$622,0)),"",INDEX('Compliance Database'!$K$2:$K$622,MATCH(207,'Transfer Engine'!$C$2:$C$622,0)))</f>
        <v/>
      </c>
      <c r="L216" s="8">
        <f>IF(ISNA(MATCH(207,'Transfer Engine'!$C$2:$C$622,0)),"",INDEX('Compliance Database'!$L$2:$L$622,MATCH(207,'Transfer Engine'!$C$2:$C$622,0)))</f>
        <v/>
      </c>
      <c r="M216" s="8">
        <f>IF(ISNA(MATCH(207,'Transfer Engine'!$C$2:$C$622,0)),"",INDEX('Compliance Database'!$M$2:$M$622,MATCH(207,'Transfer Engine'!$C$2:$C$622,0)))</f>
        <v/>
      </c>
      <c r="N216" s="8">
        <f>IF(ISNA(MATCH(207,'Transfer Engine'!$C$2:$C$622,0)),"",INDEX('Compliance Database'!$N$2:$N$622,MATCH(207,'Transfer Engine'!$C$2:$C$622,0)))</f>
        <v/>
      </c>
      <c r="O216" s="8">
        <f>IF(ISNA(MATCH(207,'Transfer Engine'!$C$2:$C$622,0)),"",INDEX('Compliance Database'!$O$2:$O$622,MATCH(207,'Transfer Engine'!$C$2:$C$622,0)))</f>
        <v/>
      </c>
    </row>
    <row r="217">
      <c r="A217">
        <f>IF(ISNA(MATCH(208,'Transfer Engine'!$C$2:$C$622,0)),"",INDEX('Compliance Database'!$A$2:$A$622,MATCH(208,'Transfer Engine'!$C$2:$C$622,0)))</f>
        <v/>
      </c>
      <c r="B217">
        <f>IF(ISNA(MATCH(208,'Transfer Engine'!$C$2:$C$622,0)),"",INDEX('Compliance Database'!$B$2:$B$622,MATCH(208,'Transfer Engine'!$C$2:$C$622,0)))</f>
        <v/>
      </c>
      <c r="C217">
        <f>IF(ISNA(MATCH(208,'Transfer Engine'!$C$2:$C$622,0)),"",INDEX('Compliance Database'!$C$2:$C$622,MATCH(208,'Transfer Engine'!$C$2:$C$622,0)))</f>
        <v/>
      </c>
      <c r="D217" s="8">
        <f>IF(ISNA(MATCH(208,'Transfer Engine'!$C$2:$C$622,0)),"",INDEX('Compliance Database'!$D$2:$D$622,MATCH(208,'Transfer Engine'!$C$2:$C$622,0)))</f>
        <v/>
      </c>
      <c r="E217">
        <f>IF(ISNA(MATCH(208,'Transfer Engine'!$C$2:$C$622,0)),"",INDEX('Compliance Database'!$E$2:$E$622,MATCH(208,'Transfer Engine'!$C$2:$C$622,0)))</f>
        <v/>
      </c>
      <c r="F217">
        <f>IF(ISNA(MATCH(208,'Transfer Engine'!$C$2:$C$622,0)),"",INDEX('Compliance Database'!$F$2:$F$622,MATCH(208,'Transfer Engine'!$C$2:$C$622,0)))</f>
        <v/>
      </c>
      <c r="G217">
        <f>IF(ISNA(MATCH(208,'Transfer Engine'!$C$2:$C$622,0)),"",INDEX('Compliance Database'!$G$2:$G$622,MATCH(208,'Transfer Engine'!$C$2:$C$622,0)))</f>
        <v/>
      </c>
      <c r="H217">
        <f>IF(ISNA(MATCH(208,'Transfer Engine'!$C$2:$C$622,0)),"",INDEX('Compliance Database'!$H$2:$H$622,MATCH(208,'Transfer Engine'!$C$2:$C$622,0)))</f>
        <v/>
      </c>
      <c r="I217" s="8">
        <f>IF(ISNA(MATCH(208,'Transfer Engine'!$C$2:$C$622,0)),"",INDEX('Compliance Database'!$I$2:$I$622,MATCH(208,'Transfer Engine'!$C$2:$C$622,0)))</f>
        <v/>
      </c>
      <c r="J217" s="8">
        <f>IF(ISNA(MATCH(208,'Transfer Engine'!$C$2:$C$622,0)),"",INDEX('Compliance Database'!$J$2:$J$622,MATCH(208,'Transfer Engine'!$C$2:$C$622,0)))</f>
        <v/>
      </c>
      <c r="K217">
        <f>IF(ISNA(MATCH(208,'Transfer Engine'!$C$2:$C$622,0)),"",INDEX('Compliance Database'!$K$2:$K$622,MATCH(208,'Transfer Engine'!$C$2:$C$622,0)))</f>
        <v/>
      </c>
      <c r="L217" s="8">
        <f>IF(ISNA(MATCH(208,'Transfer Engine'!$C$2:$C$622,0)),"",INDEX('Compliance Database'!$L$2:$L$622,MATCH(208,'Transfer Engine'!$C$2:$C$622,0)))</f>
        <v/>
      </c>
      <c r="M217" s="8">
        <f>IF(ISNA(MATCH(208,'Transfer Engine'!$C$2:$C$622,0)),"",INDEX('Compliance Database'!$M$2:$M$622,MATCH(208,'Transfer Engine'!$C$2:$C$622,0)))</f>
        <v/>
      </c>
      <c r="N217" s="8">
        <f>IF(ISNA(MATCH(208,'Transfer Engine'!$C$2:$C$622,0)),"",INDEX('Compliance Database'!$N$2:$N$622,MATCH(208,'Transfer Engine'!$C$2:$C$622,0)))</f>
        <v/>
      </c>
      <c r="O217" s="8">
        <f>IF(ISNA(MATCH(208,'Transfer Engine'!$C$2:$C$622,0)),"",INDEX('Compliance Database'!$O$2:$O$622,MATCH(208,'Transfer Engine'!$C$2:$C$622,0)))</f>
        <v/>
      </c>
    </row>
    <row r="218">
      <c r="A218">
        <f>IF(ISNA(MATCH(209,'Transfer Engine'!$C$2:$C$622,0)),"",INDEX('Compliance Database'!$A$2:$A$622,MATCH(209,'Transfer Engine'!$C$2:$C$622,0)))</f>
        <v/>
      </c>
      <c r="B218">
        <f>IF(ISNA(MATCH(209,'Transfer Engine'!$C$2:$C$622,0)),"",INDEX('Compliance Database'!$B$2:$B$622,MATCH(209,'Transfer Engine'!$C$2:$C$622,0)))</f>
        <v/>
      </c>
      <c r="C218">
        <f>IF(ISNA(MATCH(209,'Transfer Engine'!$C$2:$C$622,0)),"",INDEX('Compliance Database'!$C$2:$C$622,MATCH(209,'Transfer Engine'!$C$2:$C$622,0)))</f>
        <v/>
      </c>
      <c r="D218" s="8">
        <f>IF(ISNA(MATCH(209,'Transfer Engine'!$C$2:$C$622,0)),"",INDEX('Compliance Database'!$D$2:$D$622,MATCH(209,'Transfer Engine'!$C$2:$C$622,0)))</f>
        <v/>
      </c>
      <c r="E218">
        <f>IF(ISNA(MATCH(209,'Transfer Engine'!$C$2:$C$622,0)),"",INDEX('Compliance Database'!$E$2:$E$622,MATCH(209,'Transfer Engine'!$C$2:$C$622,0)))</f>
        <v/>
      </c>
      <c r="F218">
        <f>IF(ISNA(MATCH(209,'Transfer Engine'!$C$2:$C$622,0)),"",INDEX('Compliance Database'!$F$2:$F$622,MATCH(209,'Transfer Engine'!$C$2:$C$622,0)))</f>
        <v/>
      </c>
      <c r="G218">
        <f>IF(ISNA(MATCH(209,'Transfer Engine'!$C$2:$C$622,0)),"",INDEX('Compliance Database'!$G$2:$G$622,MATCH(209,'Transfer Engine'!$C$2:$C$622,0)))</f>
        <v/>
      </c>
      <c r="H218">
        <f>IF(ISNA(MATCH(209,'Transfer Engine'!$C$2:$C$622,0)),"",INDEX('Compliance Database'!$H$2:$H$622,MATCH(209,'Transfer Engine'!$C$2:$C$622,0)))</f>
        <v/>
      </c>
      <c r="I218" s="8">
        <f>IF(ISNA(MATCH(209,'Transfer Engine'!$C$2:$C$622,0)),"",INDEX('Compliance Database'!$I$2:$I$622,MATCH(209,'Transfer Engine'!$C$2:$C$622,0)))</f>
        <v/>
      </c>
      <c r="J218" s="8">
        <f>IF(ISNA(MATCH(209,'Transfer Engine'!$C$2:$C$622,0)),"",INDEX('Compliance Database'!$J$2:$J$622,MATCH(209,'Transfer Engine'!$C$2:$C$622,0)))</f>
        <v/>
      </c>
      <c r="K218">
        <f>IF(ISNA(MATCH(209,'Transfer Engine'!$C$2:$C$622,0)),"",INDEX('Compliance Database'!$K$2:$K$622,MATCH(209,'Transfer Engine'!$C$2:$C$622,0)))</f>
        <v/>
      </c>
      <c r="L218" s="8">
        <f>IF(ISNA(MATCH(209,'Transfer Engine'!$C$2:$C$622,0)),"",INDEX('Compliance Database'!$L$2:$L$622,MATCH(209,'Transfer Engine'!$C$2:$C$622,0)))</f>
        <v/>
      </c>
      <c r="M218" s="8">
        <f>IF(ISNA(MATCH(209,'Transfer Engine'!$C$2:$C$622,0)),"",INDEX('Compliance Database'!$M$2:$M$622,MATCH(209,'Transfer Engine'!$C$2:$C$622,0)))</f>
        <v/>
      </c>
      <c r="N218" s="8">
        <f>IF(ISNA(MATCH(209,'Transfer Engine'!$C$2:$C$622,0)),"",INDEX('Compliance Database'!$N$2:$N$622,MATCH(209,'Transfer Engine'!$C$2:$C$622,0)))</f>
        <v/>
      </c>
      <c r="O218" s="8">
        <f>IF(ISNA(MATCH(209,'Transfer Engine'!$C$2:$C$622,0)),"",INDEX('Compliance Database'!$O$2:$O$622,MATCH(209,'Transfer Engine'!$C$2:$C$622,0)))</f>
        <v/>
      </c>
    </row>
    <row r="219">
      <c r="A219">
        <f>IF(ISNA(MATCH(210,'Transfer Engine'!$C$2:$C$622,0)),"",INDEX('Compliance Database'!$A$2:$A$622,MATCH(210,'Transfer Engine'!$C$2:$C$622,0)))</f>
        <v/>
      </c>
      <c r="B219">
        <f>IF(ISNA(MATCH(210,'Transfer Engine'!$C$2:$C$622,0)),"",INDEX('Compliance Database'!$B$2:$B$622,MATCH(210,'Transfer Engine'!$C$2:$C$622,0)))</f>
        <v/>
      </c>
      <c r="C219">
        <f>IF(ISNA(MATCH(210,'Transfer Engine'!$C$2:$C$622,0)),"",INDEX('Compliance Database'!$C$2:$C$622,MATCH(210,'Transfer Engine'!$C$2:$C$622,0)))</f>
        <v/>
      </c>
      <c r="D219" s="8">
        <f>IF(ISNA(MATCH(210,'Transfer Engine'!$C$2:$C$622,0)),"",INDEX('Compliance Database'!$D$2:$D$622,MATCH(210,'Transfer Engine'!$C$2:$C$622,0)))</f>
        <v/>
      </c>
      <c r="E219">
        <f>IF(ISNA(MATCH(210,'Transfer Engine'!$C$2:$C$622,0)),"",INDEX('Compliance Database'!$E$2:$E$622,MATCH(210,'Transfer Engine'!$C$2:$C$622,0)))</f>
        <v/>
      </c>
      <c r="F219">
        <f>IF(ISNA(MATCH(210,'Transfer Engine'!$C$2:$C$622,0)),"",INDEX('Compliance Database'!$F$2:$F$622,MATCH(210,'Transfer Engine'!$C$2:$C$622,0)))</f>
        <v/>
      </c>
      <c r="G219">
        <f>IF(ISNA(MATCH(210,'Transfer Engine'!$C$2:$C$622,0)),"",INDEX('Compliance Database'!$G$2:$G$622,MATCH(210,'Transfer Engine'!$C$2:$C$622,0)))</f>
        <v/>
      </c>
      <c r="H219">
        <f>IF(ISNA(MATCH(210,'Transfer Engine'!$C$2:$C$622,0)),"",INDEX('Compliance Database'!$H$2:$H$622,MATCH(210,'Transfer Engine'!$C$2:$C$622,0)))</f>
        <v/>
      </c>
      <c r="I219" s="8">
        <f>IF(ISNA(MATCH(210,'Transfer Engine'!$C$2:$C$622,0)),"",INDEX('Compliance Database'!$I$2:$I$622,MATCH(210,'Transfer Engine'!$C$2:$C$622,0)))</f>
        <v/>
      </c>
      <c r="J219" s="8">
        <f>IF(ISNA(MATCH(210,'Transfer Engine'!$C$2:$C$622,0)),"",INDEX('Compliance Database'!$J$2:$J$622,MATCH(210,'Transfer Engine'!$C$2:$C$622,0)))</f>
        <v/>
      </c>
      <c r="K219">
        <f>IF(ISNA(MATCH(210,'Transfer Engine'!$C$2:$C$622,0)),"",INDEX('Compliance Database'!$K$2:$K$622,MATCH(210,'Transfer Engine'!$C$2:$C$622,0)))</f>
        <v/>
      </c>
      <c r="L219" s="8">
        <f>IF(ISNA(MATCH(210,'Transfer Engine'!$C$2:$C$622,0)),"",INDEX('Compliance Database'!$L$2:$L$622,MATCH(210,'Transfer Engine'!$C$2:$C$622,0)))</f>
        <v/>
      </c>
      <c r="M219" s="8">
        <f>IF(ISNA(MATCH(210,'Transfer Engine'!$C$2:$C$622,0)),"",INDEX('Compliance Database'!$M$2:$M$622,MATCH(210,'Transfer Engine'!$C$2:$C$622,0)))</f>
        <v/>
      </c>
      <c r="N219" s="8">
        <f>IF(ISNA(MATCH(210,'Transfer Engine'!$C$2:$C$622,0)),"",INDEX('Compliance Database'!$N$2:$N$622,MATCH(210,'Transfer Engine'!$C$2:$C$622,0)))</f>
        <v/>
      </c>
      <c r="O219" s="8">
        <f>IF(ISNA(MATCH(210,'Transfer Engine'!$C$2:$C$622,0)),"",INDEX('Compliance Database'!$O$2:$O$622,MATCH(210,'Transfer Engine'!$C$2:$C$622,0)))</f>
        <v/>
      </c>
    </row>
    <row r="220">
      <c r="A220">
        <f>IF(ISNA(MATCH(211,'Transfer Engine'!$C$2:$C$622,0)),"",INDEX('Compliance Database'!$A$2:$A$622,MATCH(211,'Transfer Engine'!$C$2:$C$622,0)))</f>
        <v/>
      </c>
      <c r="B220">
        <f>IF(ISNA(MATCH(211,'Transfer Engine'!$C$2:$C$622,0)),"",INDEX('Compliance Database'!$B$2:$B$622,MATCH(211,'Transfer Engine'!$C$2:$C$622,0)))</f>
        <v/>
      </c>
      <c r="C220">
        <f>IF(ISNA(MATCH(211,'Transfer Engine'!$C$2:$C$622,0)),"",INDEX('Compliance Database'!$C$2:$C$622,MATCH(211,'Transfer Engine'!$C$2:$C$622,0)))</f>
        <v/>
      </c>
      <c r="D220" s="8">
        <f>IF(ISNA(MATCH(211,'Transfer Engine'!$C$2:$C$622,0)),"",INDEX('Compliance Database'!$D$2:$D$622,MATCH(211,'Transfer Engine'!$C$2:$C$622,0)))</f>
        <v/>
      </c>
      <c r="E220">
        <f>IF(ISNA(MATCH(211,'Transfer Engine'!$C$2:$C$622,0)),"",INDEX('Compliance Database'!$E$2:$E$622,MATCH(211,'Transfer Engine'!$C$2:$C$622,0)))</f>
        <v/>
      </c>
      <c r="F220">
        <f>IF(ISNA(MATCH(211,'Transfer Engine'!$C$2:$C$622,0)),"",INDEX('Compliance Database'!$F$2:$F$622,MATCH(211,'Transfer Engine'!$C$2:$C$622,0)))</f>
        <v/>
      </c>
      <c r="G220">
        <f>IF(ISNA(MATCH(211,'Transfer Engine'!$C$2:$C$622,0)),"",INDEX('Compliance Database'!$G$2:$G$622,MATCH(211,'Transfer Engine'!$C$2:$C$622,0)))</f>
        <v/>
      </c>
      <c r="H220">
        <f>IF(ISNA(MATCH(211,'Transfer Engine'!$C$2:$C$622,0)),"",INDEX('Compliance Database'!$H$2:$H$622,MATCH(211,'Transfer Engine'!$C$2:$C$622,0)))</f>
        <v/>
      </c>
      <c r="I220" s="8">
        <f>IF(ISNA(MATCH(211,'Transfer Engine'!$C$2:$C$622,0)),"",INDEX('Compliance Database'!$I$2:$I$622,MATCH(211,'Transfer Engine'!$C$2:$C$622,0)))</f>
        <v/>
      </c>
      <c r="J220" s="8">
        <f>IF(ISNA(MATCH(211,'Transfer Engine'!$C$2:$C$622,0)),"",INDEX('Compliance Database'!$J$2:$J$622,MATCH(211,'Transfer Engine'!$C$2:$C$622,0)))</f>
        <v/>
      </c>
      <c r="K220">
        <f>IF(ISNA(MATCH(211,'Transfer Engine'!$C$2:$C$622,0)),"",INDEX('Compliance Database'!$K$2:$K$622,MATCH(211,'Transfer Engine'!$C$2:$C$622,0)))</f>
        <v/>
      </c>
      <c r="L220" s="8">
        <f>IF(ISNA(MATCH(211,'Transfer Engine'!$C$2:$C$622,0)),"",INDEX('Compliance Database'!$L$2:$L$622,MATCH(211,'Transfer Engine'!$C$2:$C$622,0)))</f>
        <v/>
      </c>
      <c r="M220" s="8">
        <f>IF(ISNA(MATCH(211,'Transfer Engine'!$C$2:$C$622,0)),"",INDEX('Compliance Database'!$M$2:$M$622,MATCH(211,'Transfer Engine'!$C$2:$C$622,0)))</f>
        <v/>
      </c>
      <c r="N220" s="8">
        <f>IF(ISNA(MATCH(211,'Transfer Engine'!$C$2:$C$622,0)),"",INDEX('Compliance Database'!$N$2:$N$622,MATCH(211,'Transfer Engine'!$C$2:$C$622,0)))</f>
        <v/>
      </c>
      <c r="O220" s="8">
        <f>IF(ISNA(MATCH(211,'Transfer Engine'!$C$2:$C$622,0)),"",INDEX('Compliance Database'!$O$2:$O$622,MATCH(211,'Transfer Engine'!$C$2:$C$622,0)))</f>
        <v/>
      </c>
    </row>
    <row r="221">
      <c r="A221">
        <f>IF(ISNA(MATCH(212,'Transfer Engine'!$C$2:$C$622,0)),"",INDEX('Compliance Database'!$A$2:$A$622,MATCH(212,'Transfer Engine'!$C$2:$C$622,0)))</f>
        <v/>
      </c>
      <c r="B221">
        <f>IF(ISNA(MATCH(212,'Transfer Engine'!$C$2:$C$622,0)),"",INDEX('Compliance Database'!$B$2:$B$622,MATCH(212,'Transfer Engine'!$C$2:$C$622,0)))</f>
        <v/>
      </c>
      <c r="C221">
        <f>IF(ISNA(MATCH(212,'Transfer Engine'!$C$2:$C$622,0)),"",INDEX('Compliance Database'!$C$2:$C$622,MATCH(212,'Transfer Engine'!$C$2:$C$622,0)))</f>
        <v/>
      </c>
      <c r="D221" s="8">
        <f>IF(ISNA(MATCH(212,'Transfer Engine'!$C$2:$C$622,0)),"",INDEX('Compliance Database'!$D$2:$D$622,MATCH(212,'Transfer Engine'!$C$2:$C$622,0)))</f>
        <v/>
      </c>
      <c r="E221">
        <f>IF(ISNA(MATCH(212,'Transfer Engine'!$C$2:$C$622,0)),"",INDEX('Compliance Database'!$E$2:$E$622,MATCH(212,'Transfer Engine'!$C$2:$C$622,0)))</f>
        <v/>
      </c>
      <c r="F221">
        <f>IF(ISNA(MATCH(212,'Transfer Engine'!$C$2:$C$622,0)),"",INDEX('Compliance Database'!$F$2:$F$622,MATCH(212,'Transfer Engine'!$C$2:$C$622,0)))</f>
        <v/>
      </c>
      <c r="G221">
        <f>IF(ISNA(MATCH(212,'Transfer Engine'!$C$2:$C$622,0)),"",INDEX('Compliance Database'!$G$2:$G$622,MATCH(212,'Transfer Engine'!$C$2:$C$622,0)))</f>
        <v/>
      </c>
      <c r="H221">
        <f>IF(ISNA(MATCH(212,'Transfer Engine'!$C$2:$C$622,0)),"",INDEX('Compliance Database'!$H$2:$H$622,MATCH(212,'Transfer Engine'!$C$2:$C$622,0)))</f>
        <v/>
      </c>
      <c r="I221" s="8">
        <f>IF(ISNA(MATCH(212,'Transfer Engine'!$C$2:$C$622,0)),"",INDEX('Compliance Database'!$I$2:$I$622,MATCH(212,'Transfer Engine'!$C$2:$C$622,0)))</f>
        <v/>
      </c>
      <c r="J221" s="8">
        <f>IF(ISNA(MATCH(212,'Transfer Engine'!$C$2:$C$622,0)),"",INDEX('Compliance Database'!$J$2:$J$622,MATCH(212,'Transfer Engine'!$C$2:$C$622,0)))</f>
        <v/>
      </c>
      <c r="K221">
        <f>IF(ISNA(MATCH(212,'Transfer Engine'!$C$2:$C$622,0)),"",INDEX('Compliance Database'!$K$2:$K$622,MATCH(212,'Transfer Engine'!$C$2:$C$622,0)))</f>
        <v/>
      </c>
      <c r="L221" s="8">
        <f>IF(ISNA(MATCH(212,'Transfer Engine'!$C$2:$C$622,0)),"",INDEX('Compliance Database'!$L$2:$L$622,MATCH(212,'Transfer Engine'!$C$2:$C$622,0)))</f>
        <v/>
      </c>
      <c r="M221" s="8">
        <f>IF(ISNA(MATCH(212,'Transfer Engine'!$C$2:$C$622,0)),"",INDEX('Compliance Database'!$M$2:$M$622,MATCH(212,'Transfer Engine'!$C$2:$C$622,0)))</f>
        <v/>
      </c>
      <c r="N221" s="8">
        <f>IF(ISNA(MATCH(212,'Transfer Engine'!$C$2:$C$622,0)),"",INDEX('Compliance Database'!$N$2:$N$622,MATCH(212,'Transfer Engine'!$C$2:$C$622,0)))</f>
        <v/>
      </c>
      <c r="O221" s="8">
        <f>IF(ISNA(MATCH(212,'Transfer Engine'!$C$2:$C$622,0)),"",INDEX('Compliance Database'!$O$2:$O$622,MATCH(212,'Transfer Engine'!$C$2:$C$622,0)))</f>
        <v/>
      </c>
    </row>
    <row r="222">
      <c r="A222">
        <f>IF(ISNA(MATCH(213,'Transfer Engine'!$C$2:$C$622,0)),"",INDEX('Compliance Database'!$A$2:$A$622,MATCH(213,'Transfer Engine'!$C$2:$C$622,0)))</f>
        <v/>
      </c>
      <c r="B222">
        <f>IF(ISNA(MATCH(213,'Transfer Engine'!$C$2:$C$622,0)),"",INDEX('Compliance Database'!$B$2:$B$622,MATCH(213,'Transfer Engine'!$C$2:$C$622,0)))</f>
        <v/>
      </c>
      <c r="C222">
        <f>IF(ISNA(MATCH(213,'Transfer Engine'!$C$2:$C$622,0)),"",INDEX('Compliance Database'!$C$2:$C$622,MATCH(213,'Transfer Engine'!$C$2:$C$622,0)))</f>
        <v/>
      </c>
      <c r="D222" s="8">
        <f>IF(ISNA(MATCH(213,'Transfer Engine'!$C$2:$C$622,0)),"",INDEX('Compliance Database'!$D$2:$D$622,MATCH(213,'Transfer Engine'!$C$2:$C$622,0)))</f>
        <v/>
      </c>
      <c r="E222">
        <f>IF(ISNA(MATCH(213,'Transfer Engine'!$C$2:$C$622,0)),"",INDEX('Compliance Database'!$E$2:$E$622,MATCH(213,'Transfer Engine'!$C$2:$C$622,0)))</f>
        <v/>
      </c>
      <c r="F222">
        <f>IF(ISNA(MATCH(213,'Transfer Engine'!$C$2:$C$622,0)),"",INDEX('Compliance Database'!$F$2:$F$622,MATCH(213,'Transfer Engine'!$C$2:$C$622,0)))</f>
        <v/>
      </c>
      <c r="G222">
        <f>IF(ISNA(MATCH(213,'Transfer Engine'!$C$2:$C$622,0)),"",INDEX('Compliance Database'!$G$2:$G$622,MATCH(213,'Transfer Engine'!$C$2:$C$622,0)))</f>
        <v/>
      </c>
      <c r="H222">
        <f>IF(ISNA(MATCH(213,'Transfer Engine'!$C$2:$C$622,0)),"",INDEX('Compliance Database'!$H$2:$H$622,MATCH(213,'Transfer Engine'!$C$2:$C$622,0)))</f>
        <v/>
      </c>
      <c r="I222" s="8">
        <f>IF(ISNA(MATCH(213,'Transfer Engine'!$C$2:$C$622,0)),"",INDEX('Compliance Database'!$I$2:$I$622,MATCH(213,'Transfer Engine'!$C$2:$C$622,0)))</f>
        <v/>
      </c>
      <c r="J222" s="8">
        <f>IF(ISNA(MATCH(213,'Transfer Engine'!$C$2:$C$622,0)),"",INDEX('Compliance Database'!$J$2:$J$622,MATCH(213,'Transfer Engine'!$C$2:$C$622,0)))</f>
        <v/>
      </c>
      <c r="K222">
        <f>IF(ISNA(MATCH(213,'Transfer Engine'!$C$2:$C$622,0)),"",INDEX('Compliance Database'!$K$2:$K$622,MATCH(213,'Transfer Engine'!$C$2:$C$622,0)))</f>
        <v/>
      </c>
      <c r="L222" s="8">
        <f>IF(ISNA(MATCH(213,'Transfer Engine'!$C$2:$C$622,0)),"",INDEX('Compliance Database'!$L$2:$L$622,MATCH(213,'Transfer Engine'!$C$2:$C$622,0)))</f>
        <v/>
      </c>
      <c r="M222" s="8">
        <f>IF(ISNA(MATCH(213,'Transfer Engine'!$C$2:$C$622,0)),"",INDEX('Compliance Database'!$M$2:$M$622,MATCH(213,'Transfer Engine'!$C$2:$C$622,0)))</f>
        <v/>
      </c>
      <c r="N222" s="8">
        <f>IF(ISNA(MATCH(213,'Transfer Engine'!$C$2:$C$622,0)),"",INDEX('Compliance Database'!$N$2:$N$622,MATCH(213,'Transfer Engine'!$C$2:$C$622,0)))</f>
        <v/>
      </c>
      <c r="O222" s="8">
        <f>IF(ISNA(MATCH(213,'Transfer Engine'!$C$2:$C$622,0)),"",INDEX('Compliance Database'!$O$2:$O$622,MATCH(213,'Transfer Engine'!$C$2:$C$622,0)))</f>
        <v/>
      </c>
    </row>
    <row r="223">
      <c r="A223">
        <f>IF(ISNA(MATCH(214,'Transfer Engine'!$C$2:$C$622,0)),"",INDEX('Compliance Database'!$A$2:$A$622,MATCH(214,'Transfer Engine'!$C$2:$C$622,0)))</f>
        <v/>
      </c>
      <c r="B223">
        <f>IF(ISNA(MATCH(214,'Transfer Engine'!$C$2:$C$622,0)),"",INDEX('Compliance Database'!$B$2:$B$622,MATCH(214,'Transfer Engine'!$C$2:$C$622,0)))</f>
        <v/>
      </c>
      <c r="C223">
        <f>IF(ISNA(MATCH(214,'Transfer Engine'!$C$2:$C$622,0)),"",INDEX('Compliance Database'!$C$2:$C$622,MATCH(214,'Transfer Engine'!$C$2:$C$622,0)))</f>
        <v/>
      </c>
      <c r="D223" s="8">
        <f>IF(ISNA(MATCH(214,'Transfer Engine'!$C$2:$C$622,0)),"",INDEX('Compliance Database'!$D$2:$D$622,MATCH(214,'Transfer Engine'!$C$2:$C$622,0)))</f>
        <v/>
      </c>
      <c r="E223">
        <f>IF(ISNA(MATCH(214,'Transfer Engine'!$C$2:$C$622,0)),"",INDEX('Compliance Database'!$E$2:$E$622,MATCH(214,'Transfer Engine'!$C$2:$C$622,0)))</f>
        <v/>
      </c>
      <c r="F223">
        <f>IF(ISNA(MATCH(214,'Transfer Engine'!$C$2:$C$622,0)),"",INDEX('Compliance Database'!$F$2:$F$622,MATCH(214,'Transfer Engine'!$C$2:$C$622,0)))</f>
        <v/>
      </c>
      <c r="G223">
        <f>IF(ISNA(MATCH(214,'Transfer Engine'!$C$2:$C$622,0)),"",INDEX('Compliance Database'!$G$2:$G$622,MATCH(214,'Transfer Engine'!$C$2:$C$622,0)))</f>
        <v/>
      </c>
      <c r="H223">
        <f>IF(ISNA(MATCH(214,'Transfer Engine'!$C$2:$C$622,0)),"",INDEX('Compliance Database'!$H$2:$H$622,MATCH(214,'Transfer Engine'!$C$2:$C$622,0)))</f>
        <v/>
      </c>
      <c r="I223" s="8">
        <f>IF(ISNA(MATCH(214,'Transfer Engine'!$C$2:$C$622,0)),"",INDEX('Compliance Database'!$I$2:$I$622,MATCH(214,'Transfer Engine'!$C$2:$C$622,0)))</f>
        <v/>
      </c>
      <c r="J223" s="8">
        <f>IF(ISNA(MATCH(214,'Transfer Engine'!$C$2:$C$622,0)),"",INDEX('Compliance Database'!$J$2:$J$622,MATCH(214,'Transfer Engine'!$C$2:$C$622,0)))</f>
        <v/>
      </c>
      <c r="K223">
        <f>IF(ISNA(MATCH(214,'Transfer Engine'!$C$2:$C$622,0)),"",INDEX('Compliance Database'!$K$2:$K$622,MATCH(214,'Transfer Engine'!$C$2:$C$622,0)))</f>
        <v/>
      </c>
      <c r="L223" s="8">
        <f>IF(ISNA(MATCH(214,'Transfer Engine'!$C$2:$C$622,0)),"",INDEX('Compliance Database'!$L$2:$L$622,MATCH(214,'Transfer Engine'!$C$2:$C$622,0)))</f>
        <v/>
      </c>
      <c r="M223" s="8">
        <f>IF(ISNA(MATCH(214,'Transfer Engine'!$C$2:$C$622,0)),"",INDEX('Compliance Database'!$M$2:$M$622,MATCH(214,'Transfer Engine'!$C$2:$C$622,0)))</f>
        <v/>
      </c>
      <c r="N223" s="8">
        <f>IF(ISNA(MATCH(214,'Transfer Engine'!$C$2:$C$622,0)),"",INDEX('Compliance Database'!$N$2:$N$622,MATCH(214,'Transfer Engine'!$C$2:$C$622,0)))</f>
        <v/>
      </c>
      <c r="O223" s="8">
        <f>IF(ISNA(MATCH(214,'Transfer Engine'!$C$2:$C$622,0)),"",INDEX('Compliance Database'!$O$2:$O$622,MATCH(214,'Transfer Engine'!$C$2:$C$622,0)))</f>
        <v/>
      </c>
    </row>
    <row r="224">
      <c r="A224">
        <f>IF(ISNA(MATCH(215,'Transfer Engine'!$C$2:$C$622,0)),"",INDEX('Compliance Database'!$A$2:$A$622,MATCH(215,'Transfer Engine'!$C$2:$C$622,0)))</f>
        <v/>
      </c>
      <c r="B224">
        <f>IF(ISNA(MATCH(215,'Transfer Engine'!$C$2:$C$622,0)),"",INDEX('Compliance Database'!$B$2:$B$622,MATCH(215,'Transfer Engine'!$C$2:$C$622,0)))</f>
        <v/>
      </c>
      <c r="C224">
        <f>IF(ISNA(MATCH(215,'Transfer Engine'!$C$2:$C$622,0)),"",INDEX('Compliance Database'!$C$2:$C$622,MATCH(215,'Transfer Engine'!$C$2:$C$622,0)))</f>
        <v/>
      </c>
      <c r="D224" s="8">
        <f>IF(ISNA(MATCH(215,'Transfer Engine'!$C$2:$C$622,0)),"",INDEX('Compliance Database'!$D$2:$D$622,MATCH(215,'Transfer Engine'!$C$2:$C$622,0)))</f>
        <v/>
      </c>
      <c r="E224">
        <f>IF(ISNA(MATCH(215,'Transfer Engine'!$C$2:$C$622,0)),"",INDEX('Compliance Database'!$E$2:$E$622,MATCH(215,'Transfer Engine'!$C$2:$C$622,0)))</f>
        <v/>
      </c>
      <c r="F224">
        <f>IF(ISNA(MATCH(215,'Transfer Engine'!$C$2:$C$622,0)),"",INDEX('Compliance Database'!$F$2:$F$622,MATCH(215,'Transfer Engine'!$C$2:$C$622,0)))</f>
        <v/>
      </c>
      <c r="G224">
        <f>IF(ISNA(MATCH(215,'Transfer Engine'!$C$2:$C$622,0)),"",INDEX('Compliance Database'!$G$2:$G$622,MATCH(215,'Transfer Engine'!$C$2:$C$622,0)))</f>
        <v/>
      </c>
      <c r="H224">
        <f>IF(ISNA(MATCH(215,'Transfer Engine'!$C$2:$C$622,0)),"",INDEX('Compliance Database'!$H$2:$H$622,MATCH(215,'Transfer Engine'!$C$2:$C$622,0)))</f>
        <v/>
      </c>
      <c r="I224" s="8">
        <f>IF(ISNA(MATCH(215,'Transfer Engine'!$C$2:$C$622,0)),"",INDEX('Compliance Database'!$I$2:$I$622,MATCH(215,'Transfer Engine'!$C$2:$C$622,0)))</f>
        <v/>
      </c>
      <c r="J224" s="8">
        <f>IF(ISNA(MATCH(215,'Transfer Engine'!$C$2:$C$622,0)),"",INDEX('Compliance Database'!$J$2:$J$622,MATCH(215,'Transfer Engine'!$C$2:$C$622,0)))</f>
        <v/>
      </c>
      <c r="K224">
        <f>IF(ISNA(MATCH(215,'Transfer Engine'!$C$2:$C$622,0)),"",INDEX('Compliance Database'!$K$2:$K$622,MATCH(215,'Transfer Engine'!$C$2:$C$622,0)))</f>
        <v/>
      </c>
      <c r="L224" s="8">
        <f>IF(ISNA(MATCH(215,'Transfer Engine'!$C$2:$C$622,0)),"",INDEX('Compliance Database'!$L$2:$L$622,MATCH(215,'Transfer Engine'!$C$2:$C$622,0)))</f>
        <v/>
      </c>
      <c r="M224" s="8">
        <f>IF(ISNA(MATCH(215,'Transfer Engine'!$C$2:$C$622,0)),"",INDEX('Compliance Database'!$M$2:$M$622,MATCH(215,'Transfer Engine'!$C$2:$C$622,0)))</f>
        <v/>
      </c>
      <c r="N224" s="8">
        <f>IF(ISNA(MATCH(215,'Transfer Engine'!$C$2:$C$622,0)),"",INDEX('Compliance Database'!$N$2:$N$622,MATCH(215,'Transfer Engine'!$C$2:$C$622,0)))</f>
        <v/>
      </c>
      <c r="O224" s="8">
        <f>IF(ISNA(MATCH(215,'Transfer Engine'!$C$2:$C$622,0)),"",INDEX('Compliance Database'!$O$2:$O$622,MATCH(215,'Transfer Engine'!$C$2:$C$622,0)))</f>
        <v/>
      </c>
    </row>
    <row r="225">
      <c r="A225">
        <f>IF(ISNA(MATCH(216,'Transfer Engine'!$C$2:$C$622,0)),"",INDEX('Compliance Database'!$A$2:$A$622,MATCH(216,'Transfer Engine'!$C$2:$C$622,0)))</f>
        <v/>
      </c>
      <c r="B225">
        <f>IF(ISNA(MATCH(216,'Transfer Engine'!$C$2:$C$622,0)),"",INDEX('Compliance Database'!$B$2:$B$622,MATCH(216,'Transfer Engine'!$C$2:$C$622,0)))</f>
        <v/>
      </c>
      <c r="C225">
        <f>IF(ISNA(MATCH(216,'Transfer Engine'!$C$2:$C$622,0)),"",INDEX('Compliance Database'!$C$2:$C$622,MATCH(216,'Transfer Engine'!$C$2:$C$622,0)))</f>
        <v/>
      </c>
      <c r="D225" s="8">
        <f>IF(ISNA(MATCH(216,'Transfer Engine'!$C$2:$C$622,0)),"",INDEX('Compliance Database'!$D$2:$D$622,MATCH(216,'Transfer Engine'!$C$2:$C$622,0)))</f>
        <v/>
      </c>
      <c r="E225">
        <f>IF(ISNA(MATCH(216,'Transfer Engine'!$C$2:$C$622,0)),"",INDEX('Compliance Database'!$E$2:$E$622,MATCH(216,'Transfer Engine'!$C$2:$C$622,0)))</f>
        <v/>
      </c>
      <c r="F225">
        <f>IF(ISNA(MATCH(216,'Transfer Engine'!$C$2:$C$622,0)),"",INDEX('Compliance Database'!$F$2:$F$622,MATCH(216,'Transfer Engine'!$C$2:$C$622,0)))</f>
        <v/>
      </c>
      <c r="G225">
        <f>IF(ISNA(MATCH(216,'Transfer Engine'!$C$2:$C$622,0)),"",INDEX('Compliance Database'!$G$2:$G$622,MATCH(216,'Transfer Engine'!$C$2:$C$622,0)))</f>
        <v/>
      </c>
      <c r="H225">
        <f>IF(ISNA(MATCH(216,'Transfer Engine'!$C$2:$C$622,0)),"",INDEX('Compliance Database'!$H$2:$H$622,MATCH(216,'Transfer Engine'!$C$2:$C$622,0)))</f>
        <v/>
      </c>
      <c r="I225" s="8">
        <f>IF(ISNA(MATCH(216,'Transfer Engine'!$C$2:$C$622,0)),"",INDEX('Compliance Database'!$I$2:$I$622,MATCH(216,'Transfer Engine'!$C$2:$C$622,0)))</f>
        <v/>
      </c>
      <c r="J225" s="8">
        <f>IF(ISNA(MATCH(216,'Transfer Engine'!$C$2:$C$622,0)),"",INDEX('Compliance Database'!$J$2:$J$622,MATCH(216,'Transfer Engine'!$C$2:$C$622,0)))</f>
        <v/>
      </c>
      <c r="K225">
        <f>IF(ISNA(MATCH(216,'Transfer Engine'!$C$2:$C$622,0)),"",INDEX('Compliance Database'!$K$2:$K$622,MATCH(216,'Transfer Engine'!$C$2:$C$622,0)))</f>
        <v/>
      </c>
      <c r="L225" s="8">
        <f>IF(ISNA(MATCH(216,'Transfer Engine'!$C$2:$C$622,0)),"",INDEX('Compliance Database'!$L$2:$L$622,MATCH(216,'Transfer Engine'!$C$2:$C$622,0)))</f>
        <v/>
      </c>
      <c r="M225" s="8">
        <f>IF(ISNA(MATCH(216,'Transfer Engine'!$C$2:$C$622,0)),"",INDEX('Compliance Database'!$M$2:$M$622,MATCH(216,'Transfer Engine'!$C$2:$C$622,0)))</f>
        <v/>
      </c>
      <c r="N225" s="8">
        <f>IF(ISNA(MATCH(216,'Transfer Engine'!$C$2:$C$622,0)),"",INDEX('Compliance Database'!$N$2:$N$622,MATCH(216,'Transfer Engine'!$C$2:$C$622,0)))</f>
        <v/>
      </c>
      <c r="O225" s="8">
        <f>IF(ISNA(MATCH(216,'Transfer Engine'!$C$2:$C$622,0)),"",INDEX('Compliance Database'!$O$2:$O$622,MATCH(216,'Transfer Engine'!$C$2:$C$622,0)))</f>
        <v/>
      </c>
    </row>
    <row r="226">
      <c r="A226">
        <f>IF(ISNA(MATCH(217,'Transfer Engine'!$C$2:$C$622,0)),"",INDEX('Compliance Database'!$A$2:$A$622,MATCH(217,'Transfer Engine'!$C$2:$C$622,0)))</f>
        <v/>
      </c>
      <c r="B226">
        <f>IF(ISNA(MATCH(217,'Transfer Engine'!$C$2:$C$622,0)),"",INDEX('Compliance Database'!$B$2:$B$622,MATCH(217,'Transfer Engine'!$C$2:$C$622,0)))</f>
        <v/>
      </c>
      <c r="C226">
        <f>IF(ISNA(MATCH(217,'Transfer Engine'!$C$2:$C$622,0)),"",INDEX('Compliance Database'!$C$2:$C$622,MATCH(217,'Transfer Engine'!$C$2:$C$622,0)))</f>
        <v/>
      </c>
      <c r="D226" s="8">
        <f>IF(ISNA(MATCH(217,'Transfer Engine'!$C$2:$C$622,0)),"",INDEX('Compliance Database'!$D$2:$D$622,MATCH(217,'Transfer Engine'!$C$2:$C$622,0)))</f>
        <v/>
      </c>
      <c r="E226">
        <f>IF(ISNA(MATCH(217,'Transfer Engine'!$C$2:$C$622,0)),"",INDEX('Compliance Database'!$E$2:$E$622,MATCH(217,'Transfer Engine'!$C$2:$C$622,0)))</f>
        <v/>
      </c>
      <c r="F226">
        <f>IF(ISNA(MATCH(217,'Transfer Engine'!$C$2:$C$622,0)),"",INDEX('Compliance Database'!$F$2:$F$622,MATCH(217,'Transfer Engine'!$C$2:$C$622,0)))</f>
        <v/>
      </c>
      <c r="G226">
        <f>IF(ISNA(MATCH(217,'Transfer Engine'!$C$2:$C$622,0)),"",INDEX('Compliance Database'!$G$2:$G$622,MATCH(217,'Transfer Engine'!$C$2:$C$622,0)))</f>
        <v/>
      </c>
      <c r="H226">
        <f>IF(ISNA(MATCH(217,'Transfer Engine'!$C$2:$C$622,0)),"",INDEX('Compliance Database'!$H$2:$H$622,MATCH(217,'Transfer Engine'!$C$2:$C$622,0)))</f>
        <v/>
      </c>
      <c r="I226" s="8">
        <f>IF(ISNA(MATCH(217,'Transfer Engine'!$C$2:$C$622,0)),"",INDEX('Compliance Database'!$I$2:$I$622,MATCH(217,'Transfer Engine'!$C$2:$C$622,0)))</f>
        <v/>
      </c>
      <c r="J226" s="8">
        <f>IF(ISNA(MATCH(217,'Transfer Engine'!$C$2:$C$622,0)),"",INDEX('Compliance Database'!$J$2:$J$622,MATCH(217,'Transfer Engine'!$C$2:$C$622,0)))</f>
        <v/>
      </c>
      <c r="K226">
        <f>IF(ISNA(MATCH(217,'Transfer Engine'!$C$2:$C$622,0)),"",INDEX('Compliance Database'!$K$2:$K$622,MATCH(217,'Transfer Engine'!$C$2:$C$622,0)))</f>
        <v/>
      </c>
      <c r="L226" s="8">
        <f>IF(ISNA(MATCH(217,'Transfer Engine'!$C$2:$C$622,0)),"",INDEX('Compliance Database'!$L$2:$L$622,MATCH(217,'Transfer Engine'!$C$2:$C$622,0)))</f>
        <v/>
      </c>
      <c r="M226" s="8">
        <f>IF(ISNA(MATCH(217,'Transfer Engine'!$C$2:$C$622,0)),"",INDEX('Compliance Database'!$M$2:$M$622,MATCH(217,'Transfer Engine'!$C$2:$C$622,0)))</f>
        <v/>
      </c>
      <c r="N226" s="8">
        <f>IF(ISNA(MATCH(217,'Transfer Engine'!$C$2:$C$622,0)),"",INDEX('Compliance Database'!$N$2:$N$622,MATCH(217,'Transfer Engine'!$C$2:$C$622,0)))</f>
        <v/>
      </c>
      <c r="O226" s="8">
        <f>IF(ISNA(MATCH(217,'Transfer Engine'!$C$2:$C$622,0)),"",INDEX('Compliance Database'!$O$2:$O$622,MATCH(217,'Transfer Engine'!$C$2:$C$622,0)))</f>
        <v/>
      </c>
    </row>
    <row r="227">
      <c r="A227">
        <f>IF(ISNA(MATCH(218,'Transfer Engine'!$C$2:$C$622,0)),"",INDEX('Compliance Database'!$A$2:$A$622,MATCH(218,'Transfer Engine'!$C$2:$C$622,0)))</f>
        <v/>
      </c>
      <c r="B227">
        <f>IF(ISNA(MATCH(218,'Transfer Engine'!$C$2:$C$622,0)),"",INDEX('Compliance Database'!$B$2:$B$622,MATCH(218,'Transfer Engine'!$C$2:$C$622,0)))</f>
        <v/>
      </c>
      <c r="C227">
        <f>IF(ISNA(MATCH(218,'Transfer Engine'!$C$2:$C$622,0)),"",INDEX('Compliance Database'!$C$2:$C$622,MATCH(218,'Transfer Engine'!$C$2:$C$622,0)))</f>
        <v/>
      </c>
      <c r="D227" s="8">
        <f>IF(ISNA(MATCH(218,'Transfer Engine'!$C$2:$C$622,0)),"",INDEX('Compliance Database'!$D$2:$D$622,MATCH(218,'Transfer Engine'!$C$2:$C$622,0)))</f>
        <v/>
      </c>
      <c r="E227">
        <f>IF(ISNA(MATCH(218,'Transfer Engine'!$C$2:$C$622,0)),"",INDEX('Compliance Database'!$E$2:$E$622,MATCH(218,'Transfer Engine'!$C$2:$C$622,0)))</f>
        <v/>
      </c>
      <c r="F227">
        <f>IF(ISNA(MATCH(218,'Transfer Engine'!$C$2:$C$622,0)),"",INDEX('Compliance Database'!$F$2:$F$622,MATCH(218,'Transfer Engine'!$C$2:$C$622,0)))</f>
        <v/>
      </c>
      <c r="G227">
        <f>IF(ISNA(MATCH(218,'Transfer Engine'!$C$2:$C$622,0)),"",INDEX('Compliance Database'!$G$2:$G$622,MATCH(218,'Transfer Engine'!$C$2:$C$622,0)))</f>
        <v/>
      </c>
      <c r="H227">
        <f>IF(ISNA(MATCH(218,'Transfer Engine'!$C$2:$C$622,0)),"",INDEX('Compliance Database'!$H$2:$H$622,MATCH(218,'Transfer Engine'!$C$2:$C$622,0)))</f>
        <v/>
      </c>
      <c r="I227" s="8">
        <f>IF(ISNA(MATCH(218,'Transfer Engine'!$C$2:$C$622,0)),"",INDEX('Compliance Database'!$I$2:$I$622,MATCH(218,'Transfer Engine'!$C$2:$C$622,0)))</f>
        <v/>
      </c>
      <c r="J227" s="8">
        <f>IF(ISNA(MATCH(218,'Transfer Engine'!$C$2:$C$622,0)),"",INDEX('Compliance Database'!$J$2:$J$622,MATCH(218,'Transfer Engine'!$C$2:$C$622,0)))</f>
        <v/>
      </c>
      <c r="K227">
        <f>IF(ISNA(MATCH(218,'Transfer Engine'!$C$2:$C$622,0)),"",INDEX('Compliance Database'!$K$2:$K$622,MATCH(218,'Transfer Engine'!$C$2:$C$622,0)))</f>
        <v/>
      </c>
      <c r="L227" s="8">
        <f>IF(ISNA(MATCH(218,'Transfer Engine'!$C$2:$C$622,0)),"",INDEX('Compliance Database'!$L$2:$L$622,MATCH(218,'Transfer Engine'!$C$2:$C$622,0)))</f>
        <v/>
      </c>
      <c r="M227" s="8">
        <f>IF(ISNA(MATCH(218,'Transfer Engine'!$C$2:$C$622,0)),"",INDEX('Compliance Database'!$M$2:$M$622,MATCH(218,'Transfer Engine'!$C$2:$C$622,0)))</f>
        <v/>
      </c>
      <c r="N227" s="8">
        <f>IF(ISNA(MATCH(218,'Transfer Engine'!$C$2:$C$622,0)),"",INDEX('Compliance Database'!$N$2:$N$622,MATCH(218,'Transfer Engine'!$C$2:$C$622,0)))</f>
        <v/>
      </c>
      <c r="O227" s="8">
        <f>IF(ISNA(MATCH(218,'Transfer Engine'!$C$2:$C$622,0)),"",INDEX('Compliance Database'!$O$2:$O$622,MATCH(218,'Transfer Engine'!$C$2:$C$622,0)))</f>
        <v/>
      </c>
    </row>
    <row r="228">
      <c r="A228">
        <f>IF(ISNA(MATCH(219,'Transfer Engine'!$C$2:$C$622,0)),"",INDEX('Compliance Database'!$A$2:$A$622,MATCH(219,'Transfer Engine'!$C$2:$C$622,0)))</f>
        <v/>
      </c>
      <c r="B228">
        <f>IF(ISNA(MATCH(219,'Transfer Engine'!$C$2:$C$622,0)),"",INDEX('Compliance Database'!$B$2:$B$622,MATCH(219,'Transfer Engine'!$C$2:$C$622,0)))</f>
        <v/>
      </c>
      <c r="C228">
        <f>IF(ISNA(MATCH(219,'Transfer Engine'!$C$2:$C$622,0)),"",INDEX('Compliance Database'!$C$2:$C$622,MATCH(219,'Transfer Engine'!$C$2:$C$622,0)))</f>
        <v/>
      </c>
      <c r="D228" s="8">
        <f>IF(ISNA(MATCH(219,'Transfer Engine'!$C$2:$C$622,0)),"",INDEX('Compliance Database'!$D$2:$D$622,MATCH(219,'Transfer Engine'!$C$2:$C$622,0)))</f>
        <v/>
      </c>
      <c r="E228">
        <f>IF(ISNA(MATCH(219,'Transfer Engine'!$C$2:$C$622,0)),"",INDEX('Compliance Database'!$E$2:$E$622,MATCH(219,'Transfer Engine'!$C$2:$C$622,0)))</f>
        <v/>
      </c>
      <c r="F228">
        <f>IF(ISNA(MATCH(219,'Transfer Engine'!$C$2:$C$622,0)),"",INDEX('Compliance Database'!$F$2:$F$622,MATCH(219,'Transfer Engine'!$C$2:$C$622,0)))</f>
        <v/>
      </c>
      <c r="G228">
        <f>IF(ISNA(MATCH(219,'Transfer Engine'!$C$2:$C$622,0)),"",INDEX('Compliance Database'!$G$2:$G$622,MATCH(219,'Transfer Engine'!$C$2:$C$622,0)))</f>
        <v/>
      </c>
      <c r="H228">
        <f>IF(ISNA(MATCH(219,'Transfer Engine'!$C$2:$C$622,0)),"",INDEX('Compliance Database'!$H$2:$H$622,MATCH(219,'Transfer Engine'!$C$2:$C$622,0)))</f>
        <v/>
      </c>
      <c r="I228" s="8">
        <f>IF(ISNA(MATCH(219,'Transfer Engine'!$C$2:$C$622,0)),"",INDEX('Compliance Database'!$I$2:$I$622,MATCH(219,'Transfer Engine'!$C$2:$C$622,0)))</f>
        <v/>
      </c>
      <c r="J228" s="8">
        <f>IF(ISNA(MATCH(219,'Transfer Engine'!$C$2:$C$622,0)),"",INDEX('Compliance Database'!$J$2:$J$622,MATCH(219,'Transfer Engine'!$C$2:$C$622,0)))</f>
        <v/>
      </c>
      <c r="K228">
        <f>IF(ISNA(MATCH(219,'Transfer Engine'!$C$2:$C$622,0)),"",INDEX('Compliance Database'!$K$2:$K$622,MATCH(219,'Transfer Engine'!$C$2:$C$622,0)))</f>
        <v/>
      </c>
      <c r="L228" s="8">
        <f>IF(ISNA(MATCH(219,'Transfer Engine'!$C$2:$C$622,0)),"",INDEX('Compliance Database'!$L$2:$L$622,MATCH(219,'Transfer Engine'!$C$2:$C$622,0)))</f>
        <v/>
      </c>
      <c r="M228" s="8">
        <f>IF(ISNA(MATCH(219,'Transfer Engine'!$C$2:$C$622,0)),"",INDEX('Compliance Database'!$M$2:$M$622,MATCH(219,'Transfer Engine'!$C$2:$C$622,0)))</f>
        <v/>
      </c>
      <c r="N228" s="8">
        <f>IF(ISNA(MATCH(219,'Transfer Engine'!$C$2:$C$622,0)),"",INDEX('Compliance Database'!$N$2:$N$622,MATCH(219,'Transfer Engine'!$C$2:$C$622,0)))</f>
        <v/>
      </c>
      <c r="O228" s="8">
        <f>IF(ISNA(MATCH(219,'Transfer Engine'!$C$2:$C$622,0)),"",INDEX('Compliance Database'!$O$2:$O$622,MATCH(219,'Transfer Engine'!$C$2:$C$622,0)))</f>
        <v/>
      </c>
    </row>
    <row r="229">
      <c r="A229">
        <f>IF(ISNA(MATCH(220,'Transfer Engine'!$C$2:$C$622,0)),"",INDEX('Compliance Database'!$A$2:$A$622,MATCH(220,'Transfer Engine'!$C$2:$C$622,0)))</f>
        <v/>
      </c>
      <c r="B229">
        <f>IF(ISNA(MATCH(220,'Transfer Engine'!$C$2:$C$622,0)),"",INDEX('Compliance Database'!$B$2:$B$622,MATCH(220,'Transfer Engine'!$C$2:$C$622,0)))</f>
        <v/>
      </c>
      <c r="C229">
        <f>IF(ISNA(MATCH(220,'Transfer Engine'!$C$2:$C$622,0)),"",INDEX('Compliance Database'!$C$2:$C$622,MATCH(220,'Transfer Engine'!$C$2:$C$622,0)))</f>
        <v/>
      </c>
      <c r="D229" s="8">
        <f>IF(ISNA(MATCH(220,'Transfer Engine'!$C$2:$C$622,0)),"",INDEX('Compliance Database'!$D$2:$D$622,MATCH(220,'Transfer Engine'!$C$2:$C$622,0)))</f>
        <v/>
      </c>
      <c r="E229">
        <f>IF(ISNA(MATCH(220,'Transfer Engine'!$C$2:$C$622,0)),"",INDEX('Compliance Database'!$E$2:$E$622,MATCH(220,'Transfer Engine'!$C$2:$C$622,0)))</f>
        <v/>
      </c>
      <c r="F229">
        <f>IF(ISNA(MATCH(220,'Transfer Engine'!$C$2:$C$622,0)),"",INDEX('Compliance Database'!$F$2:$F$622,MATCH(220,'Transfer Engine'!$C$2:$C$622,0)))</f>
        <v/>
      </c>
      <c r="G229">
        <f>IF(ISNA(MATCH(220,'Transfer Engine'!$C$2:$C$622,0)),"",INDEX('Compliance Database'!$G$2:$G$622,MATCH(220,'Transfer Engine'!$C$2:$C$622,0)))</f>
        <v/>
      </c>
      <c r="H229">
        <f>IF(ISNA(MATCH(220,'Transfer Engine'!$C$2:$C$622,0)),"",INDEX('Compliance Database'!$H$2:$H$622,MATCH(220,'Transfer Engine'!$C$2:$C$622,0)))</f>
        <v/>
      </c>
      <c r="I229" s="8">
        <f>IF(ISNA(MATCH(220,'Transfer Engine'!$C$2:$C$622,0)),"",INDEX('Compliance Database'!$I$2:$I$622,MATCH(220,'Transfer Engine'!$C$2:$C$622,0)))</f>
        <v/>
      </c>
      <c r="J229" s="8">
        <f>IF(ISNA(MATCH(220,'Transfer Engine'!$C$2:$C$622,0)),"",INDEX('Compliance Database'!$J$2:$J$622,MATCH(220,'Transfer Engine'!$C$2:$C$622,0)))</f>
        <v/>
      </c>
      <c r="K229">
        <f>IF(ISNA(MATCH(220,'Transfer Engine'!$C$2:$C$622,0)),"",INDEX('Compliance Database'!$K$2:$K$622,MATCH(220,'Transfer Engine'!$C$2:$C$622,0)))</f>
        <v/>
      </c>
      <c r="L229" s="8">
        <f>IF(ISNA(MATCH(220,'Transfer Engine'!$C$2:$C$622,0)),"",INDEX('Compliance Database'!$L$2:$L$622,MATCH(220,'Transfer Engine'!$C$2:$C$622,0)))</f>
        <v/>
      </c>
      <c r="M229" s="8">
        <f>IF(ISNA(MATCH(220,'Transfer Engine'!$C$2:$C$622,0)),"",INDEX('Compliance Database'!$M$2:$M$622,MATCH(220,'Transfer Engine'!$C$2:$C$622,0)))</f>
        <v/>
      </c>
      <c r="N229" s="8">
        <f>IF(ISNA(MATCH(220,'Transfer Engine'!$C$2:$C$622,0)),"",INDEX('Compliance Database'!$N$2:$N$622,MATCH(220,'Transfer Engine'!$C$2:$C$622,0)))</f>
        <v/>
      </c>
      <c r="O229" s="8">
        <f>IF(ISNA(MATCH(220,'Transfer Engine'!$C$2:$C$622,0)),"",INDEX('Compliance Database'!$O$2:$O$622,MATCH(220,'Transfer Engine'!$C$2:$C$622,0)))</f>
        <v/>
      </c>
    </row>
    <row r="230">
      <c r="A230">
        <f>IF(ISNA(MATCH(221,'Transfer Engine'!$C$2:$C$622,0)),"",INDEX('Compliance Database'!$A$2:$A$622,MATCH(221,'Transfer Engine'!$C$2:$C$622,0)))</f>
        <v/>
      </c>
      <c r="B230">
        <f>IF(ISNA(MATCH(221,'Transfer Engine'!$C$2:$C$622,0)),"",INDEX('Compliance Database'!$B$2:$B$622,MATCH(221,'Transfer Engine'!$C$2:$C$622,0)))</f>
        <v/>
      </c>
      <c r="C230">
        <f>IF(ISNA(MATCH(221,'Transfer Engine'!$C$2:$C$622,0)),"",INDEX('Compliance Database'!$C$2:$C$622,MATCH(221,'Transfer Engine'!$C$2:$C$622,0)))</f>
        <v/>
      </c>
      <c r="D230" s="8">
        <f>IF(ISNA(MATCH(221,'Transfer Engine'!$C$2:$C$622,0)),"",INDEX('Compliance Database'!$D$2:$D$622,MATCH(221,'Transfer Engine'!$C$2:$C$622,0)))</f>
        <v/>
      </c>
      <c r="E230">
        <f>IF(ISNA(MATCH(221,'Transfer Engine'!$C$2:$C$622,0)),"",INDEX('Compliance Database'!$E$2:$E$622,MATCH(221,'Transfer Engine'!$C$2:$C$622,0)))</f>
        <v/>
      </c>
      <c r="F230">
        <f>IF(ISNA(MATCH(221,'Transfer Engine'!$C$2:$C$622,0)),"",INDEX('Compliance Database'!$F$2:$F$622,MATCH(221,'Transfer Engine'!$C$2:$C$622,0)))</f>
        <v/>
      </c>
      <c r="G230">
        <f>IF(ISNA(MATCH(221,'Transfer Engine'!$C$2:$C$622,0)),"",INDEX('Compliance Database'!$G$2:$G$622,MATCH(221,'Transfer Engine'!$C$2:$C$622,0)))</f>
        <v/>
      </c>
      <c r="H230">
        <f>IF(ISNA(MATCH(221,'Transfer Engine'!$C$2:$C$622,0)),"",INDEX('Compliance Database'!$H$2:$H$622,MATCH(221,'Transfer Engine'!$C$2:$C$622,0)))</f>
        <v/>
      </c>
      <c r="I230" s="8">
        <f>IF(ISNA(MATCH(221,'Transfer Engine'!$C$2:$C$622,0)),"",INDEX('Compliance Database'!$I$2:$I$622,MATCH(221,'Transfer Engine'!$C$2:$C$622,0)))</f>
        <v/>
      </c>
      <c r="J230" s="8">
        <f>IF(ISNA(MATCH(221,'Transfer Engine'!$C$2:$C$622,0)),"",INDEX('Compliance Database'!$J$2:$J$622,MATCH(221,'Transfer Engine'!$C$2:$C$622,0)))</f>
        <v/>
      </c>
      <c r="K230">
        <f>IF(ISNA(MATCH(221,'Transfer Engine'!$C$2:$C$622,0)),"",INDEX('Compliance Database'!$K$2:$K$622,MATCH(221,'Transfer Engine'!$C$2:$C$622,0)))</f>
        <v/>
      </c>
      <c r="L230" s="8">
        <f>IF(ISNA(MATCH(221,'Transfer Engine'!$C$2:$C$622,0)),"",INDEX('Compliance Database'!$L$2:$L$622,MATCH(221,'Transfer Engine'!$C$2:$C$622,0)))</f>
        <v/>
      </c>
      <c r="M230" s="8">
        <f>IF(ISNA(MATCH(221,'Transfer Engine'!$C$2:$C$622,0)),"",INDEX('Compliance Database'!$M$2:$M$622,MATCH(221,'Transfer Engine'!$C$2:$C$622,0)))</f>
        <v/>
      </c>
      <c r="N230" s="8">
        <f>IF(ISNA(MATCH(221,'Transfer Engine'!$C$2:$C$622,0)),"",INDEX('Compliance Database'!$N$2:$N$622,MATCH(221,'Transfer Engine'!$C$2:$C$622,0)))</f>
        <v/>
      </c>
      <c r="O230" s="8">
        <f>IF(ISNA(MATCH(221,'Transfer Engine'!$C$2:$C$622,0)),"",INDEX('Compliance Database'!$O$2:$O$622,MATCH(221,'Transfer Engine'!$C$2:$C$622,0)))</f>
        <v/>
      </c>
    </row>
    <row r="231">
      <c r="A231">
        <f>IF(ISNA(MATCH(222,'Transfer Engine'!$C$2:$C$622,0)),"",INDEX('Compliance Database'!$A$2:$A$622,MATCH(222,'Transfer Engine'!$C$2:$C$622,0)))</f>
        <v/>
      </c>
      <c r="B231">
        <f>IF(ISNA(MATCH(222,'Transfer Engine'!$C$2:$C$622,0)),"",INDEX('Compliance Database'!$B$2:$B$622,MATCH(222,'Transfer Engine'!$C$2:$C$622,0)))</f>
        <v/>
      </c>
      <c r="C231">
        <f>IF(ISNA(MATCH(222,'Transfer Engine'!$C$2:$C$622,0)),"",INDEX('Compliance Database'!$C$2:$C$622,MATCH(222,'Transfer Engine'!$C$2:$C$622,0)))</f>
        <v/>
      </c>
      <c r="D231" s="8">
        <f>IF(ISNA(MATCH(222,'Transfer Engine'!$C$2:$C$622,0)),"",INDEX('Compliance Database'!$D$2:$D$622,MATCH(222,'Transfer Engine'!$C$2:$C$622,0)))</f>
        <v/>
      </c>
      <c r="E231">
        <f>IF(ISNA(MATCH(222,'Transfer Engine'!$C$2:$C$622,0)),"",INDEX('Compliance Database'!$E$2:$E$622,MATCH(222,'Transfer Engine'!$C$2:$C$622,0)))</f>
        <v/>
      </c>
      <c r="F231">
        <f>IF(ISNA(MATCH(222,'Transfer Engine'!$C$2:$C$622,0)),"",INDEX('Compliance Database'!$F$2:$F$622,MATCH(222,'Transfer Engine'!$C$2:$C$622,0)))</f>
        <v/>
      </c>
      <c r="G231">
        <f>IF(ISNA(MATCH(222,'Transfer Engine'!$C$2:$C$622,0)),"",INDEX('Compliance Database'!$G$2:$G$622,MATCH(222,'Transfer Engine'!$C$2:$C$622,0)))</f>
        <v/>
      </c>
      <c r="H231">
        <f>IF(ISNA(MATCH(222,'Transfer Engine'!$C$2:$C$622,0)),"",INDEX('Compliance Database'!$H$2:$H$622,MATCH(222,'Transfer Engine'!$C$2:$C$622,0)))</f>
        <v/>
      </c>
      <c r="I231" s="8">
        <f>IF(ISNA(MATCH(222,'Transfer Engine'!$C$2:$C$622,0)),"",INDEX('Compliance Database'!$I$2:$I$622,MATCH(222,'Transfer Engine'!$C$2:$C$622,0)))</f>
        <v/>
      </c>
      <c r="J231" s="8">
        <f>IF(ISNA(MATCH(222,'Transfer Engine'!$C$2:$C$622,0)),"",INDEX('Compliance Database'!$J$2:$J$622,MATCH(222,'Transfer Engine'!$C$2:$C$622,0)))</f>
        <v/>
      </c>
      <c r="K231">
        <f>IF(ISNA(MATCH(222,'Transfer Engine'!$C$2:$C$622,0)),"",INDEX('Compliance Database'!$K$2:$K$622,MATCH(222,'Transfer Engine'!$C$2:$C$622,0)))</f>
        <v/>
      </c>
      <c r="L231" s="8">
        <f>IF(ISNA(MATCH(222,'Transfer Engine'!$C$2:$C$622,0)),"",INDEX('Compliance Database'!$L$2:$L$622,MATCH(222,'Transfer Engine'!$C$2:$C$622,0)))</f>
        <v/>
      </c>
      <c r="M231" s="8">
        <f>IF(ISNA(MATCH(222,'Transfer Engine'!$C$2:$C$622,0)),"",INDEX('Compliance Database'!$M$2:$M$622,MATCH(222,'Transfer Engine'!$C$2:$C$622,0)))</f>
        <v/>
      </c>
      <c r="N231" s="8">
        <f>IF(ISNA(MATCH(222,'Transfer Engine'!$C$2:$C$622,0)),"",INDEX('Compliance Database'!$N$2:$N$622,MATCH(222,'Transfer Engine'!$C$2:$C$622,0)))</f>
        <v/>
      </c>
      <c r="O231" s="8">
        <f>IF(ISNA(MATCH(222,'Transfer Engine'!$C$2:$C$622,0)),"",INDEX('Compliance Database'!$O$2:$O$622,MATCH(222,'Transfer Engine'!$C$2:$C$622,0)))</f>
        <v/>
      </c>
    </row>
    <row r="232">
      <c r="A232">
        <f>IF(ISNA(MATCH(223,'Transfer Engine'!$C$2:$C$622,0)),"",INDEX('Compliance Database'!$A$2:$A$622,MATCH(223,'Transfer Engine'!$C$2:$C$622,0)))</f>
        <v/>
      </c>
      <c r="B232">
        <f>IF(ISNA(MATCH(223,'Transfer Engine'!$C$2:$C$622,0)),"",INDEX('Compliance Database'!$B$2:$B$622,MATCH(223,'Transfer Engine'!$C$2:$C$622,0)))</f>
        <v/>
      </c>
      <c r="C232">
        <f>IF(ISNA(MATCH(223,'Transfer Engine'!$C$2:$C$622,0)),"",INDEX('Compliance Database'!$C$2:$C$622,MATCH(223,'Transfer Engine'!$C$2:$C$622,0)))</f>
        <v/>
      </c>
      <c r="D232" s="8">
        <f>IF(ISNA(MATCH(223,'Transfer Engine'!$C$2:$C$622,0)),"",INDEX('Compliance Database'!$D$2:$D$622,MATCH(223,'Transfer Engine'!$C$2:$C$622,0)))</f>
        <v/>
      </c>
      <c r="E232">
        <f>IF(ISNA(MATCH(223,'Transfer Engine'!$C$2:$C$622,0)),"",INDEX('Compliance Database'!$E$2:$E$622,MATCH(223,'Transfer Engine'!$C$2:$C$622,0)))</f>
        <v/>
      </c>
      <c r="F232">
        <f>IF(ISNA(MATCH(223,'Transfer Engine'!$C$2:$C$622,0)),"",INDEX('Compliance Database'!$F$2:$F$622,MATCH(223,'Transfer Engine'!$C$2:$C$622,0)))</f>
        <v/>
      </c>
      <c r="G232">
        <f>IF(ISNA(MATCH(223,'Transfer Engine'!$C$2:$C$622,0)),"",INDEX('Compliance Database'!$G$2:$G$622,MATCH(223,'Transfer Engine'!$C$2:$C$622,0)))</f>
        <v/>
      </c>
      <c r="H232">
        <f>IF(ISNA(MATCH(223,'Transfer Engine'!$C$2:$C$622,0)),"",INDEX('Compliance Database'!$H$2:$H$622,MATCH(223,'Transfer Engine'!$C$2:$C$622,0)))</f>
        <v/>
      </c>
      <c r="I232" s="8">
        <f>IF(ISNA(MATCH(223,'Transfer Engine'!$C$2:$C$622,0)),"",INDEX('Compliance Database'!$I$2:$I$622,MATCH(223,'Transfer Engine'!$C$2:$C$622,0)))</f>
        <v/>
      </c>
      <c r="J232" s="8">
        <f>IF(ISNA(MATCH(223,'Transfer Engine'!$C$2:$C$622,0)),"",INDEX('Compliance Database'!$J$2:$J$622,MATCH(223,'Transfer Engine'!$C$2:$C$622,0)))</f>
        <v/>
      </c>
      <c r="K232">
        <f>IF(ISNA(MATCH(223,'Transfer Engine'!$C$2:$C$622,0)),"",INDEX('Compliance Database'!$K$2:$K$622,MATCH(223,'Transfer Engine'!$C$2:$C$622,0)))</f>
        <v/>
      </c>
      <c r="L232" s="8">
        <f>IF(ISNA(MATCH(223,'Transfer Engine'!$C$2:$C$622,0)),"",INDEX('Compliance Database'!$L$2:$L$622,MATCH(223,'Transfer Engine'!$C$2:$C$622,0)))</f>
        <v/>
      </c>
      <c r="M232" s="8">
        <f>IF(ISNA(MATCH(223,'Transfer Engine'!$C$2:$C$622,0)),"",INDEX('Compliance Database'!$M$2:$M$622,MATCH(223,'Transfer Engine'!$C$2:$C$622,0)))</f>
        <v/>
      </c>
      <c r="N232" s="8">
        <f>IF(ISNA(MATCH(223,'Transfer Engine'!$C$2:$C$622,0)),"",INDEX('Compliance Database'!$N$2:$N$622,MATCH(223,'Transfer Engine'!$C$2:$C$622,0)))</f>
        <v/>
      </c>
      <c r="O232" s="8">
        <f>IF(ISNA(MATCH(223,'Transfer Engine'!$C$2:$C$622,0)),"",INDEX('Compliance Database'!$O$2:$O$622,MATCH(223,'Transfer Engine'!$C$2:$C$622,0)))</f>
        <v/>
      </c>
    </row>
    <row r="233">
      <c r="A233">
        <f>IF(ISNA(MATCH(224,'Transfer Engine'!$C$2:$C$622,0)),"",INDEX('Compliance Database'!$A$2:$A$622,MATCH(224,'Transfer Engine'!$C$2:$C$622,0)))</f>
        <v/>
      </c>
      <c r="B233">
        <f>IF(ISNA(MATCH(224,'Transfer Engine'!$C$2:$C$622,0)),"",INDEX('Compliance Database'!$B$2:$B$622,MATCH(224,'Transfer Engine'!$C$2:$C$622,0)))</f>
        <v/>
      </c>
      <c r="C233">
        <f>IF(ISNA(MATCH(224,'Transfer Engine'!$C$2:$C$622,0)),"",INDEX('Compliance Database'!$C$2:$C$622,MATCH(224,'Transfer Engine'!$C$2:$C$622,0)))</f>
        <v/>
      </c>
      <c r="D233" s="8">
        <f>IF(ISNA(MATCH(224,'Transfer Engine'!$C$2:$C$622,0)),"",INDEX('Compliance Database'!$D$2:$D$622,MATCH(224,'Transfer Engine'!$C$2:$C$622,0)))</f>
        <v/>
      </c>
      <c r="E233">
        <f>IF(ISNA(MATCH(224,'Transfer Engine'!$C$2:$C$622,0)),"",INDEX('Compliance Database'!$E$2:$E$622,MATCH(224,'Transfer Engine'!$C$2:$C$622,0)))</f>
        <v/>
      </c>
      <c r="F233">
        <f>IF(ISNA(MATCH(224,'Transfer Engine'!$C$2:$C$622,0)),"",INDEX('Compliance Database'!$F$2:$F$622,MATCH(224,'Transfer Engine'!$C$2:$C$622,0)))</f>
        <v/>
      </c>
      <c r="G233">
        <f>IF(ISNA(MATCH(224,'Transfer Engine'!$C$2:$C$622,0)),"",INDEX('Compliance Database'!$G$2:$G$622,MATCH(224,'Transfer Engine'!$C$2:$C$622,0)))</f>
        <v/>
      </c>
      <c r="H233">
        <f>IF(ISNA(MATCH(224,'Transfer Engine'!$C$2:$C$622,0)),"",INDEX('Compliance Database'!$H$2:$H$622,MATCH(224,'Transfer Engine'!$C$2:$C$622,0)))</f>
        <v/>
      </c>
      <c r="I233" s="8">
        <f>IF(ISNA(MATCH(224,'Transfer Engine'!$C$2:$C$622,0)),"",INDEX('Compliance Database'!$I$2:$I$622,MATCH(224,'Transfer Engine'!$C$2:$C$622,0)))</f>
        <v/>
      </c>
      <c r="J233" s="8">
        <f>IF(ISNA(MATCH(224,'Transfer Engine'!$C$2:$C$622,0)),"",INDEX('Compliance Database'!$J$2:$J$622,MATCH(224,'Transfer Engine'!$C$2:$C$622,0)))</f>
        <v/>
      </c>
      <c r="K233">
        <f>IF(ISNA(MATCH(224,'Transfer Engine'!$C$2:$C$622,0)),"",INDEX('Compliance Database'!$K$2:$K$622,MATCH(224,'Transfer Engine'!$C$2:$C$622,0)))</f>
        <v/>
      </c>
      <c r="L233" s="8">
        <f>IF(ISNA(MATCH(224,'Transfer Engine'!$C$2:$C$622,0)),"",INDEX('Compliance Database'!$L$2:$L$622,MATCH(224,'Transfer Engine'!$C$2:$C$622,0)))</f>
        <v/>
      </c>
      <c r="M233" s="8">
        <f>IF(ISNA(MATCH(224,'Transfer Engine'!$C$2:$C$622,0)),"",INDEX('Compliance Database'!$M$2:$M$622,MATCH(224,'Transfer Engine'!$C$2:$C$622,0)))</f>
        <v/>
      </c>
      <c r="N233" s="8">
        <f>IF(ISNA(MATCH(224,'Transfer Engine'!$C$2:$C$622,0)),"",INDEX('Compliance Database'!$N$2:$N$622,MATCH(224,'Transfer Engine'!$C$2:$C$622,0)))</f>
        <v/>
      </c>
      <c r="O233" s="8">
        <f>IF(ISNA(MATCH(224,'Transfer Engine'!$C$2:$C$622,0)),"",INDEX('Compliance Database'!$O$2:$O$622,MATCH(224,'Transfer Engine'!$C$2:$C$622,0)))</f>
        <v/>
      </c>
    </row>
    <row r="234">
      <c r="A234">
        <f>IF(ISNA(MATCH(225,'Transfer Engine'!$C$2:$C$622,0)),"",INDEX('Compliance Database'!$A$2:$A$622,MATCH(225,'Transfer Engine'!$C$2:$C$622,0)))</f>
        <v/>
      </c>
      <c r="B234">
        <f>IF(ISNA(MATCH(225,'Transfer Engine'!$C$2:$C$622,0)),"",INDEX('Compliance Database'!$B$2:$B$622,MATCH(225,'Transfer Engine'!$C$2:$C$622,0)))</f>
        <v/>
      </c>
      <c r="C234">
        <f>IF(ISNA(MATCH(225,'Transfer Engine'!$C$2:$C$622,0)),"",INDEX('Compliance Database'!$C$2:$C$622,MATCH(225,'Transfer Engine'!$C$2:$C$622,0)))</f>
        <v/>
      </c>
      <c r="D234" s="8">
        <f>IF(ISNA(MATCH(225,'Transfer Engine'!$C$2:$C$622,0)),"",INDEX('Compliance Database'!$D$2:$D$622,MATCH(225,'Transfer Engine'!$C$2:$C$622,0)))</f>
        <v/>
      </c>
      <c r="E234">
        <f>IF(ISNA(MATCH(225,'Transfer Engine'!$C$2:$C$622,0)),"",INDEX('Compliance Database'!$E$2:$E$622,MATCH(225,'Transfer Engine'!$C$2:$C$622,0)))</f>
        <v/>
      </c>
      <c r="F234">
        <f>IF(ISNA(MATCH(225,'Transfer Engine'!$C$2:$C$622,0)),"",INDEX('Compliance Database'!$F$2:$F$622,MATCH(225,'Transfer Engine'!$C$2:$C$622,0)))</f>
        <v/>
      </c>
      <c r="G234">
        <f>IF(ISNA(MATCH(225,'Transfer Engine'!$C$2:$C$622,0)),"",INDEX('Compliance Database'!$G$2:$G$622,MATCH(225,'Transfer Engine'!$C$2:$C$622,0)))</f>
        <v/>
      </c>
      <c r="H234">
        <f>IF(ISNA(MATCH(225,'Transfer Engine'!$C$2:$C$622,0)),"",INDEX('Compliance Database'!$H$2:$H$622,MATCH(225,'Transfer Engine'!$C$2:$C$622,0)))</f>
        <v/>
      </c>
      <c r="I234" s="8">
        <f>IF(ISNA(MATCH(225,'Transfer Engine'!$C$2:$C$622,0)),"",INDEX('Compliance Database'!$I$2:$I$622,MATCH(225,'Transfer Engine'!$C$2:$C$622,0)))</f>
        <v/>
      </c>
      <c r="J234" s="8">
        <f>IF(ISNA(MATCH(225,'Transfer Engine'!$C$2:$C$622,0)),"",INDEX('Compliance Database'!$J$2:$J$622,MATCH(225,'Transfer Engine'!$C$2:$C$622,0)))</f>
        <v/>
      </c>
      <c r="K234">
        <f>IF(ISNA(MATCH(225,'Transfer Engine'!$C$2:$C$622,0)),"",INDEX('Compliance Database'!$K$2:$K$622,MATCH(225,'Transfer Engine'!$C$2:$C$622,0)))</f>
        <v/>
      </c>
      <c r="L234" s="8">
        <f>IF(ISNA(MATCH(225,'Transfer Engine'!$C$2:$C$622,0)),"",INDEX('Compliance Database'!$L$2:$L$622,MATCH(225,'Transfer Engine'!$C$2:$C$622,0)))</f>
        <v/>
      </c>
      <c r="M234" s="8">
        <f>IF(ISNA(MATCH(225,'Transfer Engine'!$C$2:$C$622,0)),"",INDEX('Compliance Database'!$M$2:$M$622,MATCH(225,'Transfer Engine'!$C$2:$C$622,0)))</f>
        <v/>
      </c>
      <c r="N234" s="8">
        <f>IF(ISNA(MATCH(225,'Transfer Engine'!$C$2:$C$622,0)),"",INDEX('Compliance Database'!$N$2:$N$622,MATCH(225,'Transfer Engine'!$C$2:$C$622,0)))</f>
        <v/>
      </c>
      <c r="O234" s="8">
        <f>IF(ISNA(MATCH(225,'Transfer Engine'!$C$2:$C$622,0)),"",INDEX('Compliance Database'!$O$2:$O$622,MATCH(225,'Transfer Engine'!$C$2:$C$622,0)))</f>
        <v/>
      </c>
    </row>
    <row r="235">
      <c r="A235">
        <f>IF(ISNA(MATCH(226,'Transfer Engine'!$C$2:$C$622,0)),"",INDEX('Compliance Database'!$A$2:$A$622,MATCH(226,'Transfer Engine'!$C$2:$C$622,0)))</f>
        <v/>
      </c>
      <c r="B235">
        <f>IF(ISNA(MATCH(226,'Transfer Engine'!$C$2:$C$622,0)),"",INDEX('Compliance Database'!$B$2:$B$622,MATCH(226,'Transfer Engine'!$C$2:$C$622,0)))</f>
        <v/>
      </c>
      <c r="C235">
        <f>IF(ISNA(MATCH(226,'Transfer Engine'!$C$2:$C$622,0)),"",INDEX('Compliance Database'!$C$2:$C$622,MATCH(226,'Transfer Engine'!$C$2:$C$622,0)))</f>
        <v/>
      </c>
      <c r="D235" s="8">
        <f>IF(ISNA(MATCH(226,'Transfer Engine'!$C$2:$C$622,0)),"",INDEX('Compliance Database'!$D$2:$D$622,MATCH(226,'Transfer Engine'!$C$2:$C$622,0)))</f>
        <v/>
      </c>
      <c r="E235">
        <f>IF(ISNA(MATCH(226,'Transfer Engine'!$C$2:$C$622,0)),"",INDEX('Compliance Database'!$E$2:$E$622,MATCH(226,'Transfer Engine'!$C$2:$C$622,0)))</f>
        <v/>
      </c>
      <c r="F235">
        <f>IF(ISNA(MATCH(226,'Transfer Engine'!$C$2:$C$622,0)),"",INDEX('Compliance Database'!$F$2:$F$622,MATCH(226,'Transfer Engine'!$C$2:$C$622,0)))</f>
        <v/>
      </c>
      <c r="G235">
        <f>IF(ISNA(MATCH(226,'Transfer Engine'!$C$2:$C$622,0)),"",INDEX('Compliance Database'!$G$2:$G$622,MATCH(226,'Transfer Engine'!$C$2:$C$622,0)))</f>
        <v/>
      </c>
      <c r="H235">
        <f>IF(ISNA(MATCH(226,'Transfer Engine'!$C$2:$C$622,0)),"",INDEX('Compliance Database'!$H$2:$H$622,MATCH(226,'Transfer Engine'!$C$2:$C$622,0)))</f>
        <v/>
      </c>
      <c r="I235" s="8">
        <f>IF(ISNA(MATCH(226,'Transfer Engine'!$C$2:$C$622,0)),"",INDEX('Compliance Database'!$I$2:$I$622,MATCH(226,'Transfer Engine'!$C$2:$C$622,0)))</f>
        <v/>
      </c>
      <c r="J235" s="8">
        <f>IF(ISNA(MATCH(226,'Transfer Engine'!$C$2:$C$622,0)),"",INDEX('Compliance Database'!$J$2:$J$622,MATCH(226,'Transfer Engine'!$C$2:$C$622,0)))</f>
        <v/>
      </c>
      <c r="K235">
        <f>IF(ISNA(MATCH(226,'Transfer Engine'!$C$2:$C$622,0)),"",INDEX('Compliance Database'!$K$2:$K$622,MATCH(226,'Transfer Engine'!$C$2:$C$622,0)))</f>
        <v/>
      </c>
      <c r="L235" s="8">
        <f>IF(ISNA(MATCH(226,'Transfer Engine'!$C$2:$C$622,0)),"",INDEX('Compliance Database'!$L$2:$L$622,MATCH(226,'Transfer Engine'!$C$2:$C$622,0)))</f>
        <v/>
      </c>
      <c r="M235" s="8">
        <f>IF(ISNA(MATCH(226,'Transfer Engine'!$C$2:$C$622,0)),"",INDEX('Compliance Database'!$M$2:$M$622,MATCH(226,'Transfer Engine'!$C$2:$C$622,0)))</f>
        <v/>
      </c>
      <c r="N235" s="8">
        <f>IF(ISNA(MATCH(226,'Transfer Engine'!$C$2:$C$622,0)),"",INDEX('Compliance Database'!$N$2:$N$622,MATCH(226,'Transfer Engine'!$C$2:$C$622,0)))</f>
        <v/>
      </c>
      <c r="O235" s="8">
        <f>IF(ISNA(MATCH(226,'Transfer Engine'!$C$2:$C$622,0)),"",INDEX('Compliance Database'!$O$2:$O$622,MATCH(226,'Transfer Engine'!$C$2:$C$622,0)))</f>
        <v/>
      </c>
    </row>
    <row r="236">
      <c r="A236">
        <f>IF(ISNA(MATCH(227,'Transfer Engine'!$C$2:$C$622,0)),"",INDEX('Compliance Database'!$A$2:$A$622,MATCH(227,'Transfer Engine'!$C$2:$C$622,0)))</f>
        <v/>
      </c>
      <c r="B236">
        <f>IF(ISNA(MATCH(227,'Transfer Engine'!$C$2:$C$622,0)),"",INDEX('Compliance Database'!$B$2:$B$622,MATCH(227,'Transfer Engine'!$C$2:$C$622,0)))</f>
        <v/>
      </c>
      <c r="C236">
        <f>IF(ISNA(MATCH(227,'Transfer Engine'!$C$2:$C$622,0)),"",INDEX('Compliance Database'!$C$2:$C$622,MATCH(227,'Transfer Engine'!$C$2:$C$622,0)))</f>
        <v/>
      </c>
      <c r="D236" s="8">
        <f>IF(ISNA(MATCH(227,'Transfer Engine'!$C$2:$C$622,0)),"",INDEX('Compliance Database'!$D$2:$D$622,MATCH(227,'Transfer Engine'!$C$2:$C$622,0)))</f>
        <v/>
      </c>
      <c r="E236">
        <f>IF(ISNA(MATCH(227,'Transfer Engine'!$C$2:$C$622,0)),"",INDEX('Compliance Database'!$E$2:$E$622,MATCH(227,'Transfer Engine'!$C$2:$C$622,0)))</f>
        <v/>
      </c>
      <c r="F236">
        <f>IF(ISNA(MATCH(227,'Transfer Engine'!$C$2:$C$622,0)),"",INDEX('Compliance Database'!$F$2:$F$622,MATCH(227,'Transfer Engine'!$C$2:$C$622,0)))</f>
        <v/>
      </c>
      <c r="G236">
        <f>IF(ISNA(MATCH(227,'Transfer Engine'!$C$2:$C$622,0)),"",INDEX('Compliance Database'!$G$2:$G$622,MATCH(227,'Transfer Engine'!$C$2:$C$622,0)))</f>
        <v/>
      </c>
      <c r="H236">
        <f>IF(ISNA(MATCH(227,'Transfer Engine'!$C$2:$C$622,0)),"",INDEX('Compliance Database'!$H$2:$H$622,MATCH(227,'Transfer Engine'!$C$2:$C$622,0)))</f>
        <v/>
      </c>
      <c r="I236" s="8">
        <f>IF(ISNA(MATCH(227,'Transfer Engine'!$C$2:$C$622,0)),"",INDEX('Compliance Database'!$I$2:$I$622,MATCH(227,'Transfer Engine'!$C$2:$C$622,0)))</f>
        <v/>
      </c>
      <c r="J236" s="8">
        <f>IF(ISNA(MATCH(227,'Transfer Engine'!$C$2:$C$622,0)),"",INDEX('Compliance Database'!$J$2:$J$622,MATCH(227,'Transfer Engine'!$C$2:$C$622,0)))</f>
        <v/>
      </c>
      <c r="K236">
        <f>IF(ISNA(MATCH(227,'Transfer Engine'!$C$2:$C$622,0)),"",INDEX('Compliance Database'!$K$2:$K$622,MATCH(227,'Transfer Engine'!$C$2:$C$622,0)))</f>
        <v/>
      </c>
      <c r="L236" s="8">
        <f>IF(ISNA(MATCH(227,'Transfer Engine'!$C$2:$C$622,0)),"",INDEX('Compliance Database'!$L$2:$L$622,MATCH(227,'Transfer Engine'!$C$2:$C$622,0)))</f>
        <v/>
      </c>
      <c r="M236" s="8">
        <f>IF(ISNA(MATCH(227,'Transfer Engine'!$C$2:$C$622,0)),"",INDEX('Compliance Database'!$M$2:$M$622,MATCH(227,'Transfer Engine'!$C$2:$C$622,0)))</f>
        <v/>
      </c>
      <c r="N236" s="8">
        <f>IF(ISNA(MATCH(227,'Transfer Engine'!$C$2:$C$622,0)),"",INDEX('Compliance Database'!$N$2:$N$622,MATCH(227,'Transfer Engine'!$C$2:$C$622,0)))</f>
        <v/>
      </c>
      <c r="O236" s="8">
        <f>IF(ISNA(MATCH(227,'Transfer Engine'!$C$2:$C$622,0)),"",INDEX('Compliance Database'!$O$2:$O$622,MATCH(227,'Transfer Engine'!$C$2:$C$622,0)))</f>
        <v/>
      </c>
    </row>
    <row r="237">
      <c r="A237">
        <f>IF(ISNA(MATCH(228,'Transfer Engine'!$C$2:$C$622,0)),"",INDEX('Compliance Database'!$A$2:$A$622,MATCH(228,'Transfer Engine'!$C$2:$C$622,0)))</f>
        <v/>
      </c>
      <c r="B237">
        <f>IF(ISNA(MATCH(228,'Transfer Engine'!$C$2:$C$622,0)),"",INDEX('Compliance Database'!$B$2:$B$622,MATCH(228,'Transfer Engine'!$C$2:$C$622,0)))</f>
        <v/>
      </c>
      <c r="C237">
        <f>IF(ISNA(MATCH(228,'Transfer Engine'!$C$2:$C$622,0)),"",INDEX('Compliance Database'!$C$2:$C$622,MATCH(228,'Transfer Engine'!$C$2:$C$622,0)))</f>
        <v/>
      </c>
      <c r="D237" s="8">
        <f>IF(ISNA(MATCH(228,'Transfer Engine'!$C$2:$C$622,0)),"",INDEX('Compliance Database'!$D$2:$D$622,MATCH(228,'Transfer Engine'!$C$2:$C$622,0)))</f>
        <v/>
      </c>
      <c r="E237">
        <f>IF(ISNA(MATCH(228,'Transfer Engine'!$C$2:$C$622,0)),"",INDEX('Compliance Database'!$E$2:$E$622,MATCH(228,'Transfer Engine'!$C$2:$C$622,0)))</f>
        <v/>
      </c>
      <c r="F237">
        <f>IF(ISNA(MATCH(228,'Transfer Engine'!$C$2:$C$622,0)),"",INDEX('Compliance Database'!$F$2:$F$622,MATCH(228,'Transfer Engine'!$C$2:$C$622,0)))</f>
        <v/>
      </c>
      <c r="G237">
        <f>IF(ISNA(MATCH(228,'Transfer Engine'!$C$2:$C$622,0)),"",INDEX('Compliance Database'!$G$2:$G$622,MATCH(228,'Transfer Engine'!$C$2:$C$622,0)))</f>
        <v/>
      </c>
      <c r="H237">
        <f>IF(ISNA(MATCH(228,'Transfer Engine'!$C$2:$C$622,0)),"",INDEX('Compliance Database'!$H$2:$H$622,MATCH(228,'Transfer Engine'!$C$2:$C$622,0)))</f>
        <v/>
      </c>
      <c r="I237" s="8">
        <f>IF(ISNA(MATCH(228,'Transfer Engine'!$C$2:$C$622,0)),"",INDEX('Compliance Database'!$I$2:$I$622,MATCH(228,'Transfer Engine'!$C$2:$C$622,0)))</f>
        <v/>
      </c>
      <c r="J237" s="8">
        <f>IF(ISNA(MATCH(228,'Transfer Engine'!$C$2:$C$622,0)),"",INDEX('Compliance Database'!$J$2:$J$622,MATCH(228,'Transfer Engine'!$C$2:$C$622,0)))</f>
        <v/>
      </c>
      <c r="K237">
        <f>IF(ISNA(MATCH(228,'Transfer Engine'!$C$2:$C$622,0)),"",INDEX('Compliance Database'!$K$2:$K$622,MATCH(228,'Transfer Engine'!$C$2:$C$622,0)))</f>
        <v/>
      </c>
      <c r="L237" s="8">
        <f>IF(ISNA(MATCH(228,'Transfer Engine'!$C$2:$C$622,0)),"",INDEX('Compliance Database'!$L$2:$L$622,MATCH(228,'Transfer Engine'!$C$2:$C$622,0)))</f>
        <v/>
      </c>
      <c r="M237" s="8">
        <f>IF(ISNA(MATCH(228,'Transfer Engine'!$C$2:$C$622,0)),"",INDEX('Compliance Database'!$M$2:$M$622,MATCH(228,'Transfer Engine'!$C$2:$C$622,0)))</f>
        <v/>
      </c>
      <c r="N237" s="8">
        <f>IF(ISNA(MATCH(228,'Transfer Engine'!$C$2:$C$622,0)),"",INDEX('Compliance Database'!$N$2:$N$622,MATCH(228,'Transfer Engine'!$C$2:$C$622,0)))</f>
        <v/>
      </c>
      <c r="O237" s="8">
        <f>IF(ISNA(MATCH(228,'Transfer Engine'!$C$2:$C$622,0)),"",INDEX('Compliance Database'!$O$2:$O$622,MATCH(228,'Transfer Engine'!$C$2:$C$622,0)))</f>
        <v/>
      </c>
    </row>
    <row r="238">
      <c r="A238">
        <f>IF(ISNA(MATCH(229,'Transfer Engine'!$C$2:$C$622,0)),"",INDEX('Compliance Database'!$A$2:$A$622,MATCH(229,'Transfer Engine'!$C$2:$C$622,0)))</f>
        <v/>
      </c>
      <c r="B238">
        <f>IF(ISNA(MATCH(229,'Transfer Engine'!$C$2:$C$622,0)),"",INDEX('Compliance Database'!$B$2:$B$622,MATCH(229,'Transfer Engine'!$C$2:$C$622,0)))</f>
        <v/>
      </c>
      <c r="C238">
        <f>IF(ISNA(MATCH(229,'Transfer Engine'!$C$2:$C$622,0)),"",INDEX('Compliance Database'!$C$2:$C$622,MATCH(229,'Transfer Engine'!$C$2:$C$622,0)))</f>
        <v/>
      </c>
      <c r="D238" s="8">
        <f>IF(ISNA(MATCH(229,'Transfer Engine'!$C$2:$C$622,0)),"",INDEX('Compliance Database'!$D$2:$D$622,MATCH(229,'Transfer Engine'!$C$2:$C$622,0)))</f>
        <v/>
      </c>
      <c r="E238">
        <f>IF(ISNA(MATCH(229,'Transfer Engine'!$C$2:$C$622,0)),"",INDEX('Compliance Database'!$E$2:$E$622,MATCH(229,'Transfer Engine'!$C$2:$C$622,0)))</f>
        <v/>
      </c>
      <c r="F238">
        <f>IF(ISNA(MATCH(229,'Transfer Engine'!$C$2:$C$622,0)),"",INDEX('Compliance Database'!$F$2:$F$622,MATCH(229,'Transfer Engine'!$C$2:$C$622,0)))</f>
        <v/>
      </c>
      <c r="G238">
        <f>IF(ISNA(MATCH(229,'Transfer Engine'!$C$2:$C$622,0)),"",INDEX('Compliance Database'!$G$2:$G$622,MATCH(229,'Transfer Engine'!$C$2:$C$622,0)))</f>
        <v/>
      </c>
      <c r="H238">
        <f>IF(ISNA(MATCH(229,'Transfer Engine'!$C$2:$C$622,0)),"",INDEX('Compliance Database'!$H$2:$H$622,MATCH(229,'Transfer Engine'!$C$2:$C$622,0)))</f>
        <v/>
      </c>
      <c r="I238" s="8">
        <f>IF(ISNA(MATCH(229,'Transfer Engine'!$C$2:$C$622,0)),"",INDEX('Compliance Database'!$I$2:$I$622,MATCH(229,'Transfer Engine'!$C$2:$C$622,0)))</f>
        <v/>
      </c>
      <c r="J238" s="8">
        <f>IF(ISNA(MATCH(229,'Transfer Engine'!$C$2:$C$622,0)),"",INDEX('Compliance Database'!$J$2:$J$622,MATCH(229,'Transfer Engine'!$C$2:$C$622,0)))</f>
        <v/>
      </c>
      <c r="K238">
        <f>IF(ISNA(MATCH(229,'Transfer Engine'!$C$2:$C$622,0)),"",INDEX('Compliance Database'!$K$2:$K$622,MATCH(229,'Transfer Engine'!$C$2:$C$622,0)))</f>
        <v/>
      </c>
      <c r="L238" s="8">
        <f>IF(ISNA(MATCH(229,'Transfer Engine'!$C$2:$C$622,0)),"",INDEX('Compliance Database'!$L$2:$L$622,MATCH(229,'Transfer Engine'!$C$2:$C$622,0)))</f>
        <v/>
      </c>
      <c r="M238" s="8">
        <f>IF(ISNA(MATCH(229,'Transfer Engine'!$C$2:$C$622,0)),"",INDEX('Compliance Database'!$M$2:$M$622,MATCH(229,'Transfer Engine'!$C$2:$C$622,0)))</f>
        <v/>
      </c>
      <c r="N238" s="8">
        <f>IF(ISNA(MATCH(229,'Transfer Engine'!$C$2:$C$622,0)),"",INDEX('Compliance Database'!$N$2:$N$622,MATCH(229,'Transfer Engine'!$C$2:$C$622,0)))</f>
        <v/>
      </c>
      <c r="O238" s="8">
        <f>IF(ISNA(MATCH(229,'Transfer Engine'!$C$2:$C$622,0)),"",INDEX('Compliance Database'!$O$2:$O$622,MATCH(229,'Transfer Engine'!$C$2:$C$622,0)))</f>
        <v/>
      </c>
    </row>
    <row r="239">
      <c r="A239">
        <f>IF(ISNA(MATCH(230,'Transfer Engine'!$C$2:$C$622,0)),"",INDEX('Compliance Database'!$A$2:$A$622,MATCH(230,'Transfer Engine'!$C$2:$C$622,0)))</f>
        <v/>
      </c>
      <c r="B239">
        <f>IF(ISNA(MATCH(230,'Transfer Engine'!$C$2:$C$622,0)),"",INDEX('Compliance Database'!$B$2:$B$622,MATCH(230,'Transfer Engine'!$C$2:$C$622,0)))</f>
        <v/>
      </c>
      <c r="C239">
        <f>IF(ISNA(MATCH(230,'Transfer Engine'!$C$2:$C$622,0)),"",INDEX('Compliance Database'!$C$2:$C$622,MATCH(230,'Transfer Engine'!$C$2:$C$622,0)))</f>
        <v/>
      </c>
      <c r="D239" s="8">
        <f>IF(ISNA(MATCH(230,'Transfer Engine'!$C$2:$C$622,0)),"",INDEX('Compliance Database'!$D$2:$D$622,MATCH(230,'Transfer Engine'!$C$2:$C$622,0)))</f>
        <v/>
      </c>
      <c r="E239">
        <f>IF(ISNA(MATCH(230,'Transfer Engine'!$C$2:$C$622,0)),"",INDEX('Compliance Database'!$E$2:$E$622,MATCH(230,'Transfer Engine'!$C$2:$C$622,0)))</f>
        <v/>
      </c>
      <c r="F239">
        <f>IF(ISNA(MATCH(230,'Transfer Engine'!$C$2:$C$622,0)),"",INDEX('Compliance Database'!$F$2:$F$622,MATCH(230,'Transfer Engine'!$C$2:$C$622,0)))</f>
        <v/>
      </c>
      <c r="G239">
        <f>IF(ISNA(MATCH(230,'Transfer Engine'!$C$2:$C$622,0)),"",INDEX('Compliance Database'!$G$2:$G$622,MATCH(230,'Transfer Engine'!$C$2:$C$622,0)))</f>
        <v/>
      </c>
      <c r="H239">
        <f>IF(ISNA(MATCH(230,'Transfer Engine'!$C$2:$C$622,0)),"",INDEX('Compliance Database'!$H$2:$H$622,MATCH(230,'Transfer Engine'!$C$2:$C$622,0)))</f>
        <v/>
      </c>
      <c r="I239" s="8">
        <f>IF(ISNA(MATCH(230,'Transfer Engine'!$C$2:$C$622,0)),"",INDEX('Compliance Database'!$I$2:$I$622,MATCH(230,'Transfer Engine'!$C$2:$C$622,0)))</f>
        <v/>
      </c>
      <c r="J239" s="8">
        <f>IF(ISNA(MATCH(230,'Transfer Engine'!$C$2:$C$622,0)),"",INDEX('Compliance Database'!$J$2:$J$622,MATCH(230,'Transfer Engine'!$C$2:$C$622,0)))</f>
        <v/>
      </c>
      <c r="K239">
        <f>IF(ISNA(MATCH(230,'Transfer Engine'!$C$2:$C$622,0)),"",INDEX('Compliance Database'!$K$2:$K$622,MATCH(230,'Transfer Engine'!$C$2:$C$622,0)))</f>
        <v/>
      </c>
      <c r="L239" s="8">
        <f>IF(ISNA(MATCH(230,'Transfer Engine'!$C$2:$C$622,0)),"",INDEX('Compliance Database'!$L$2:$L$622,MATCH(230,'Transfer Engine'!$C$2:$C$622,0)))</f>
        <v/>
      </c>
      <c r="M239" s="8">
        <f>IF(ISNA(MATCH(230,'Transfer Engine'!$C$2:$C$622,0)),"",INDEX('Compliance Database'!$M$2:$M$622,MATCH(230,'Transfer Engine'!$C$2:$C$622,0)))</f>
        <v/>
      </c>
      <c r="N239" s="8">
        <f>IF(ISNA(MATCH(230,'Transfer Engine'!$C$2:$C$622,0)),"",INDEX('Compliance Database'!$N$2:$N$622,MATCH(230,'Transfer Engine'!$C$2:$C$622,0)))</f>
        <v/>
      </c>
      <c r="O239" s="8">
        <f>IF(ISNA(MATCH(230,'Transfer Engine'!$C$2:$C$622,0)),"",INDEX('Compliance Database'!$O$2:$O$622,MATCH(230,'Transfer Engine'!$C$2:$C$622,0)))</f>
        <v/>
      </c>
    </row>
    <row r="240">
      <c r="A240">
        <f>IF(ISNA(MATCH(231,'Transfer Engine'!$C$2:$C$622,0)),"",INDEX('Compliance Database'!$A$2:$A$622,MATCH(231,'Transfer Engine'!$C$2:$C$622,0)))</f>
        <v/>
      </c>
      <c r="B240">
        <f>IF(ISNA(MATCH(231,'Transfer Engine'!$C$2:$C$622,0)),"",INDEX('Compliance Database'!$B$2:$B$622,MATCH(231,'Transfer Engine'!$C$2:$C$622,0)))</f>
        <v/>
      </c>
      <c r="C240">
        <f>IF(ISNA(MATCH(231,'Transfer Engine'!$C$2:$C$622,0)),"",INDEX('Compliance Database'!$C$2:$C$622,MATCH(231,'Transfer Engine'!$C$2:$C$622,0)))</f>
        <v/>
      </c>
      <c r="D240" s="8">
        <f>IF(ISNA(MATCH(231,'Transfer Engine'!$C$2:$C$622,0)),"",INDEX('Compliance Database'!$D$2:$D$622,MATCH(231,'Transfer Engine'!$C$2:$C$622,0)))</f>
        <v/>
      </c>
      <c r="E240">
        <f>IF(ISNA(MATCH(231,'Transfer Engine'!$C$2:$C$622,0)),"",INDEX('Compliance Database'!$E$2:$E$622,MATCH(231,'Transfer Engine'!$C$2:$C$622,0)))</f>
        <v/>
      </c>
      <c r="F240">
        <f>IF(ISNA(MATCH(231,'Transfer Engine'!$C$2:$C$622,0)),"",INDEX('Compliance Database'!$F$2:$F$622,MATCH(231,'Transfer Engine'!$C$2:$C$622,0)))</f>
        <v/>
      </c>
      <c r="G240">
        <f>IF(ISNA(MATCH(231,'Transfer Engine'!$C$2:$C$622,0)),"",INDEX('Compliance Database'!$G$2:$G$622,MATCH(231,'Transfer Engine'!$C$2:$C$622,0)))</f>
        <v/>
      </c>
      <c r="H240">
        <f>IF(ISNA(MATCH(231,'Transfer Engine'!$C$2:$C$622,0)),"",INDEX('Compliance Database'!$H$2:$H$622,MATCH(231,'Transfer Engine'!$C$2:$C$622,0)))</f>
        <v/>
      </c>
      <c r="I240" s="8">
        <f>IF(ISNA(MATCH(231,'Transfer Engine'!$C$2:$C$622,0)),"",INDEX('Compliance Database'!$I$2:$I$622,MATCH(231,'Transfer Engine'!$C$2:$C$622,0)))</f>
        <v/>
      </c>
      <c r="J240" s="8">
        <f>IF(ISNA(MATCH(231,'Transfer Engine'!$C$2:$C$622,0)),"",INDEX('Compliance Database'!$J$2:$J$622,MATCH(231,'Transfer Engine'!$C$2:$C$622,0)))</f>
        <v/>
      </c>
      <c r="K240">
        <f>IF(ISNA(MATCH(231,'Transfer Engine'!$C$2:$C$622,0)),"",INDEX('Compliance Database'!$K$2:$K$622,MATCH(231,'Transfer Engine'!$C$2:$C$622,0)))</f>
        <v/>
      </c>
      <c r="L240" s="8">
        <f>IF(ISNA(MATCH(231,'Transfer Engine'!$C$2:$C$622,0)),"",INDEX('Compliance Database'!$L$2:$L$622,MATCH(231,'Transfer Engine'!$C$2:$C$622,0)))</f>
        <v/>
      </c>
      <c r="M240" s="8">
        <f>IF(ISNA(MATCH(231,'Transfer Engine'!$C$2:$C$622,0)),"",INDEX('Compliance Database'!$M$2:$M$622,MATCH(231,'Transfer Engine'!$C$2:$C$622,0)))</f>
        <v/>
      </c>
      <c r="N240" s="8">
        <f>IF(ISNA(MATCH(231,'Transfer Engine'!$C$2:$C$622,0)),"",INDEX('Compliance Database'!$N$2:$N$622,MATCH(231,'Transfer Engine'!$C$2:$C$622,0)))</f>
        <v/>
      </c>
      <c r="O240" s="8">
        <f>IF(ISNA(MATCH(231,'Transfer Engine'!$C$2:$C$622,0)),"",INDEX('Compliance Database'!$O$2:$O$622,MATCH(231,'Transfer Engine'!$C$2:$C$622,0)))</f>
        <v/>
      </c>
    </row>
    <row r="241">
      <c r="A241">
        <f>IF(ISNA(MATCH(232,'Transfer Engine'!$C$2:$C$622,0)),"",INDEX('Compliance Database'!$A$2:$A$622,MATCH(232,'Transfer Engine'!$C$2:$C$622,0)))</f>
        <v/>
      </c>
      <c r="B241">
        <f>IF(ISNA(MATCH(232,'Transfer Engine'!$C$2:$C$622,0)),"",INDEX('Compliance Database'!$B$2:$B$622,MATCH(232,'Transfer Engine'!$C$2:$C$622,0)))</f>
        <v/>
      </c>
      <c r="C241">
        <f>IF(ISNA(MATCH(232,'Transfer Engine'!$C$2:$C$622,0)),"",INDEX('Compliance Database'!$C$2:$C$622,MATCH(232,'Transfer Engine'!$C$2:$C$622,0)))</f>
        <v/>
      </c>
      <c r="D241" s="8">
        <f>IF(ISNA(MATCH(232,'Transfer Engine'!$C$2:$C$622,0)),"",INDEX('Compliance Database'!$D$2:$D$622,MATCH(232,'Transfer Engine'!$C$2:$C$622,0)))</f>
        <v/>
      </c>
      <c r="E241">
        <f>IF(ISNA(MATCH(232,'Transfer Engine'!$C$2:$C$622,0)),"",INDEX('Compliance Database'!$E$2:$E$622,MATCH(232,'Transfer Engine'!$C$2:$C$622,0)))</f>
        <v/>
      </c>
      <c r="F241">
        <f>IF(ISNA(MATCH(232,'Transfer Engine'!$C$2:$C$622,0)),"",INDEX('Compliance Database'!$F$2:$F$622,MATCH(232,'Transfer Engine'!$C$2:$C$622,0)))</f>
        <v/>
      </c>
      <c r="G241">
        <f>IF(ISNA(MATCH(232,'Transfer Engine'!$C$2:$C$622,0)),"",INDEX('Compliance Database'!$G$2:$G$622,MATCH(232,'Transfer Engine'!$C$2:$C$622,0)))</f>
        <v/>
      </c>
      <c r="H241">
        <f>IF(ISNA(MATCH(232,'Transfer Engine'!$C$2:$C$622,0)),"",INDEX('Compliance Database'!$H$2:$H$622,MATCH(232,'Transfer Engine'!$C$2:$C$622,0)))</f>
        <v/>
      </c>
      <c r="I241" s="8">
        <f>IF(ISNA(MATCH(232,'Transfer Engine'!$C$2:$C$622,0)),"",INDEX('Compliance Database'!$I$2:$I$622,MATCH(232,'Transfer Engine'!$C$2:$C$622,0)))</f>
        <v/>
      </c>
      <c r="J241" s="8">
        <f>IF(ISNA(MATCH(232,'Transfer Engine'!$C$2:$C$622,0)),"",INDEX('Compliance Database'!$J$2:$J$622,MATCH(232,'Transfer Engine'!$C$2:$C$622,0)))</f>
        <v/>
      </c>
      <c r="K241">
        <f>IF(ISNA(MATCH(232,'Transfer Engine'!$C$2:$C$622,0)),"",INDEX('Compliance Database'!$K$2:$K$622,MATCH(232,'Transfer Engine'!$C$2:$C$622,0)))</f>
        <v/>
      </c>
      <c r="L241" s="8">
        <f>IF(ISNA(MATCH(232,'Transfer Engine'!$C$2:$C$622,0)),"",INDEX('Compliance Database'!$L$2:$L$622,MATCH(232,'Transfer Engine'!$C$2:$C$622,0)))</f>
        <v/>
      </c>
      <c r="M241" s="8">
        <f>IF(ISNA(MATCH(232,'Transfer Engine'!$C$2:$C$622,0)),"",INDEX('Compliance Database'!$M$2:$M$622,MATCH(232,'Transfer Engine'!$C$2:$C$622,0)))</f>
        <v/>
      </c>
      <c r="N241" s="8">
        <f>IF(ISNA(MATCH(232,'Transfer Engine'!$C$2:$C$622,0)),"",INDEX('Compliance Database'!$N$2:$N$622,MATCH(232,'Transfer Engine'!$C$2:$C$622,0)))</f>
        <v/>
      </c>
      <c r="O241" s="8">
        <f>IF(ISNA(MATCH(232,'Transfer Engine'!$C$2:$C$622,0)),"",INDEX('Compliance Database'!$O$2:$O$622,MATCH(232,'Transfer Engine'!$C$2:$C$622,0)))</f>
        <v/>
      </c>
    </row>
    <row r="242">
      <c r="A242">
        <f>IF(ISNA(MATCH(233,'Transfer Engine'!$C$2:$C$622,0)),"",INDEX('Compliance Database'!$A$2:$A$622,MATCH(233,'Transfer Engine'!$C$2:$C$622,0)))</f>
        <v/>
      </c>
      <c r="B242">
        <f>IF(ISNA(MATCH(233,'Transfer Engine'!$C$2:$C$622,0)),"",INDEX('Compliance Database'!$B$2:$B$622,MATCH(233,'Transfer Engine'!$C$2:$C$622,0)))</f>
        <v/>
      </c>
      <c r="C242">
        <f>IF(ISNA(MATCH(233,'Transfer Engine'!$C$2:$C$622,0)),"",INDEX('Compliance Database'!$C$2:$C$622,MATCH(233,'Transfer Engine'!$C$2:$C$622,0)))</f>
        <v/>
      </c>
      <c r="D242" s="8">
        <f>IF(ISNA(MATCH(233,'Transfer Engine'!$C$2:$C$622,0)),"",INDEX('Compliance Database'!$D$2:$D$622,MATCH(233,'Transfer Engine'!$C$2:$C$622,0)))</f>
        <v/>
      </c>
      <c r="E242">
        <f>IF(ISNA(MATCH(233,'Transfer Engine'!$C$2:$C$622,0)),"",INDEX('Compliance Database'!$E$2:$E$622,MATCH(233,'Transfer Engine'!$C$2:$C$622,0)))</f>
        <v/>
      </c>
      <c r="F242">
        <f>IF(ISNA(MATCH(233,'Transfer Engine'!$C$2:$C$622,0)),"",INDEX('Compliance Database'!$F$2:$F$622,MATCH(233,'Transfer Engine'!$C$2:$C$622,0)))</f>
        <v/>
      </c>
      <c r="G242">
        <f>IF(ISNA(MATCH(233,'Transfer Engine'!$C$2:$C$622,0)),"",INDEX('Compliance Database'!$G$2:$G$622,MATCH(233,'Transfer Engine'!$C$2:$C$622,0)))</f>
        <v/>
      </c>
      <c r="H242">
        <f>IF(ISNA(MATCH(233,'Transfer Engine'!$C$2:$C$622,0)),"",INDEX('Compliance Database'!$H$2:$H$622,MATCH(233,'Transfer Engine'!$C$2:$C$622,0)))</f>
        <v/>
      </c>
      <c r="I242" s="8">
        <f>IF(ISNA(MATCH(233,'Transfer Engine'!$C$2:$C$622,0)),"",INDEX('Compliance Database'!$I$2:$I$622,MATCH(233,'Transfer Engine'!$C$2:$C$622,0)))</f>
        <v/>
      </c>
      <c r="J242" s="8">
        <f>IF(ISNA(MATCH(233,'Transfer Engine'!$C$2:$C$622,0)),"",INDEX('Compliance Database'!$J$2:$J$622,MATCH(233,'Transfer Engine'!$C$2:$C$622,0)))</f>
        <v/>
      </c>
      <c r="K242">
        <f>IF(ISNA(MATCH(233,'Transfer Engine'!$C$2:$C$622,0)),"",INDEX('Compliance Database'!$K$2:$K$622,MATCH(233,'Transfer Engine'!$C$2:$C$622,0)))</f>
        <v/>
      </c>
      <c r="L242" s="8">
        <f>IF(ISNA(MATCH(233,'Transfer Engine'!$C$2:$C$622,0)),"",INDEX('Compliance Database'!$L$2:$L$622,MATCH(233,'Transfer Engine'!$C$2:$C$622,0)))</f>
        <v/>
      </c>
      <c r="M242" s="8">
        <f>IF(ISNA(MATCH(233,'Transfer Engine'!$C$2:$C$622,0)),"",INDEX('Compliance Database'!$M$2:$M$622,MATCH(233,'Transfer Engine'!$C$2:$C$622,0)))</f>
        <v/>
      </c>
      <c r="N242" s="8">
        <f>IF(ISNA(MATCH(233,'Transfer Engine'!$C$2:$C$622,0)),"",INDEX('Compliance Database'!$N$2:$N$622,MATCH(233,'Transfer Engine'!$C$2:$C$622,0)))</f>
        <v/>
      </c>
      <c r="O242" s="8">
        <f>IF(ISNA(MATCH(233,'Transfer Engine'!$C$2:$C$622,0)),"",INDEX('Compliance Database'!$O$2:$O$622,MATCH(233,'Transfer Engine'!$C$2:$C$622,0)))</f>
        <v/>
      </c>
    </row>
    <row r="243">
      <c r="A243">
        <f>IF(ISNA(MATCH(234,'Transfer Engine'!$C$2:$C$622,0)),"",INDEX('Compliance Database'!$A$2:$A$622,MATCH(234,'Transfer Engine'!$C$2:$C$622,0)))</f>
        <v/>
      </c>
      <c r="B243">
        <f>IF(ISNA(MATCH(234,'Transfer Engine'!$C$2:$C$622,0)),"",INDEX('Compliance Database'!$B$2:$B$622,MATCH(234,'Transfer Engine'!$C$2:$C$622,0)))</f>
        <v/>
      </c>
      <c r="C243">
        <f>IF(ISNA(MATCH(234,'Transfer Engine'!$C$2:$C$622,0)),"",INDEX('Compliance Database'!$C$2:$C$622,MATCH(234,'Transfer Engine'!$C$2:$C$622,0)))</f>
        <v/>
      </c>
      <c r="D243" s="8">
        <f>IF(ISNA(MATCH(234,'Transfer Engine'!$C$2:$C$622,0)),"",INDEX('Compliance Database'!$D$2:$D$622,MATCH(234,'Transfer Engine'!$C$2:$C$622,0)))</f>
        <v/>
      </c>
      <c r="E243">
        <f>IF(ISNA(MATCH(234,'Transfer Engine'!$C$2:$C$622,0)),"",INDEX('Compliance Database'!$E$2:$E$622,MATCH(234,'Transfer Engine'!$C$2:$C$622,0)))</f>
        <v/>
      </c>
      <c r="F243">
        <f>IF(ISNA(MATCH(234,'Transfer Engine'!$C$2:$C$622,0)),"",INDEX('Compliance Database'!$F$2:$F$622,MATCH(234,'Transfer Engine'!$C$2:$C$622,0)))</f>
        <v/>
      </c>
      <c r="G243">
        <f>IF(ISNA(MATCH(234,'Transfer Engine'!$C$2:$C$622,0)),"",INDEX('Compliance Database'!$G$2:$G$622,MATCH(234,'Transfer Engine'!$C$2:$C$622,0)))</f>
        <v/>
      </c>
      <c r="H243">
        <f>IF(ISNA(MATCH(234,'Transfer Engine'!$C$2:$C$622,0)),"",INDEX('Compliance Database'!$H$2:$H$622,MATCH(234,'Transfer Engine'!$C$2:$C$622,0)))</f>
        <v/>
      </c>
      <c r="I243" s="8">
        <f>IF(ISNA(MATCH(234,'Transfer Engine'!$C$2:$C$622,0)),"",INDEX('Compliance Database'!$I$2:$I$622,MATCH(234,'Transfer Engine'!$C$2:$C$622,0)))</f>
        <v/>
      </c>
      <c r="J243" s="8">
        <f>IF(ISNA(MATCH(234,'Transfer Engine'!$C$2:$C$622,0)),"",INDEX('Compliance Database'!$J$2:$J$622,MATCH(234,'Transfer Engine'!$C$2:$C$622,0)))</f>
        <v/>
      </c>
      <c r="K243">
        <f>IF(ISNA(MATCH(234,'Transfer Engine'!$C$2:$C$622,0)),"",INDEX('Compliance Database'!$K$2:$K$622,MATCH(234,'Transfer Engine'!$C$2:$C$622,0)))</f>
        <v/>
      </c>
      <c r="L243" s="8">
        <f>IF(ISNA(MATCH(234,'Transfer Engine'!$C$2:$C$622,0)),"",INDEX('Compliance Database'!$L$2:$L$622,MATCH(234,'Transfer Engine'!$C$2:$C$622,0)))</f>
        <v/>
      </c>
      <c r="M243" s="8">
        <f>IF(ISNA(MATCH(234,'Transfer Engine'!$C$2:$C$622,0)),"",INDEX('Compliance Database'!$M$2:$M$622,MATCH(234,'Transfer Engine'!$C$2:$C$622,0)))</f>
        <v/>
      </c>
      <c r="N243" s="8">
        <f>IF(ISNA(MATCH(234,'Transfer Engine'!$C$2:$C$622,0)),"",INDEX('Compliance Database'!$N$2:$N$622,MATCH(234,'Transfer Engine'!$C$2:$C$622,0)))</f>
        <v/>
      </c>
      <c r="O243" s="8">
        <f>IF(ISNA(MATCH(234,'Transfer Engine'!$C$2:$C$622,0)),"",INDEX('Compliance Database'!$O$2:$O$622,MATCH(234,'Transfer Engine'!$C$2:$C$622,0)))</f>
        <v/>
      </c>
    </row>
    <row r="244">
      <c r="A244">
        <f>IF(ISNA(MATCH(235,'Transfer Engine'!$C$2:$C$622,0)),"",INDEX('Compliance Database'!$A$2:$A$622,MATCH(235,'Transfer Engine'!$C$2:$C$622,0)))</f>
        <v/>
      </c>
      <c r="B244">
        <f>IF(ISNA(MATCH(235,'Transfer Engine'!$C$2:$C$622,0)),"",INDEX('Compliance Database'!$B$2:$B$622,MATCH(235,'Transfer Engine'!$C$2:$C$622,0)))</f>
        <v/>
      </c>
      <c r="C244">
        <f>IF(ISNA(MATCH(235,'Transfer Engine'!$C$2:$C$622,0)),"",INDEX('Compliance Database'!$C$2:$C$622,MATCH(235,'Transfer Engine'!$C$2:$C$622,0)))</f>
        <v/>
      </c>
      <c r="D244" s="8">
        <f>IF(ISNA(MATCH(235,'Transfer Engine'!$C$2:$C$622,0)),"",INDEX('Compliance Database'!$D$2:$D$622,MATCH(235,'Transfer Engine'!$C$2:$C$622,0)))</f>
        <v/>
      </c>
      <c r="E244">
        <f>IF(ISNA(MATCH(235,'Transfer Engine'!$C$2:$C$622,0)),"",INDEX('Compliance Database'!$E$2:$E$622,MATCH(235,'Transfer Engine'!$C$2:$C$622,0)))</f>
        <v/>
      </c>
      <c r="F244">
        <f>IF(ISNA(MATCH(235,'Transfer Engine'!$C$2:$C$622,0)),"",INDEX('Compliance Database'!$F$2:$F$622,MATCH(235,'Transfer Engine'!$C$2:$C$622,0)))</f>
        <v/>
      </c>
      <c r="G244">
        <f>IF(ISNA(MATCH(235,'Transfer Engine'!$C$2:$C$622,0)),"",INDEX('Compliance Database'!$G$2:$G$622,MATCH(235,'Transfer Engine'!$C$2:$C$622,0)))</f>
        <v/>
      </c>
      <c r="H244">
        <f>IF(ISNA(MATCH(235,'Transfer Engine'!$C$2:$C$622,0)),"",INDEX('Compliance Database'!$H$2:$H$622,MATCH(235,'Transfer Engine'!$C$2:$C$622,0)))</f>
        <v/>
      </c>
      <c r="I244" s="8">
        <f>IF(ISNA(MATCH(235,'Transfer Engine'!$C$2:$C$622,0)),"",INDEX('Compliance Database'!$I$2:$I$622,MATCH(235,'Transfer Engine'!$C$2:$C$622,0)))</f>
        <v/>
      </c>
      <c r="J244" s="8">
        <f>IF(ISNA(MATCH(235,'Transfer Engine'!$C$2:$C$622,0)),"",INDEX('Compliance Database'!$J$2:$J$622,MATCH(235,'Transfer Engine'!$C$2:$C$622,0)))</f>
        <v/>
      </c>
      <c r="K244">
        <f>IF(ISNA(MATCH(235,'Transfer Engine'!$C$2:$C$622,0)),"",INDEX('Compliance Database'!$K$2:$K$622,MATCH(235,'Transfer Engine'!$C$2:$C$622,0)))</f>
        <v/>
      </c>
      <c r="L244" s="8">
        <f>IF(ISNA(MATCH(235,'Transfer Engine'!$C$2:$C$622,0)),"",INDEX('Compliance Database'!$L$2:$L$622,MATCH(235,'Transfer Engine'!$C$2:$C$622,0)))</f>
        <v/>
      </c>
      <c r="M244" s="8">
        <f>IF(ISNA(MATCH(235,'Transfer Engine'!$C$2:$C$622,0)),"",INDEX('Compliance Database'!$M$2:$M$622,MATCH(235,'Transfer Engine'!$C$2:$C$622,0)))</f>
        <v/>
      </c>
      <c r="N244" s="8">
        <f>IF(ISNA(MATCH(235,'Transfer Engine'!$C$2:$C$622,0)),"",INDEX('Compliance Database'!$N$2:$N$622,MATCH(235,'Transfer Engine'!$C$2:$C$622,0)))</f>
        <v/>
      </c>
      <c r="O244" s="8">
        <f>IF(ISNA(MATCH(235,'Transfer Engine'!$C$2:$C$622,0)),"",INDEX('Compliance Database'!$O$2:$O$622,MATCH(235,'Transfer Engine'!$C$2:$C$622,0)))</f>
        <v/>
      </c>
    </row>
    <row r="245">
      <c r="A245">
        <f>IF(ISNA(MATCH(236,'Transfer Engine'!$C$2:$C$622,0)),"",INDEX('Compliance Database'!$A$2:$A$622,MATCH(236,'Transfer Engine'!$C$2:$C$622,0)))</f>
        <v/>
      </c>
      <c r="B245">
        <f>IF(ISNA(MATCH(236,'Transfer Engine'!$C$2:$C$622,0)),"",INDEX('Compliance Database'!$B$2:$B$622,MATCH(236,'Transfer Engine'!$C$2:$C$622,0)))</f>
        <v/>
      </c>
      <c r="C245">
        <f>IF(ISNA(MATCH(236,'Transfer Engine'!$C$2:$C$622,0)),"",INDEX('Compliance Database'!$C$2:$C$622,MATCH(236,'Transfer Engine'!$C$2:$C$622,0)))</f>
        <v/>
      </c>
      <c r="D245" s="8">
        <f>IF(ISNA(MATCH(236,'Transfer Engine'!$C$2:$C$622,0)),"",INDEX('Compliance Database'!$D$2:$D$622,MATCH(236,'Transfer Engine'!$C$2:$C$622,0)))</f>
        <v/>
      </c>
      <c r="E245">
        <f>IF(ISNA(MATCH(236,'Transfer Engine'!$C$2:$C$622,0)),"",INDEX('Compliance Database'!$E$2:$E$622,MATCH(236,'Transfer Engine'!$C$2:$C$622,0)))</f>
        <v/>
      </c>
      <c r="F245">
        <f>IF(ISNA(MATCH(236,'Transfer Engine'!$C$2:$C$622,0)),"",INDEX('Compliance Database'!$F$2:$F$622,MATCH(236,'Transfer Engine'!$C$2:$C$622,0)))</f>
        <v/>
      </c>
      <c r="G245">
        <f>IF(ISNA(MATCH(236,'Transfer Engine'!$C$2:$C$622,0)),"",INDEX('Compliance Database'!$G$2:$G$622,MATCH(236,'Transfer Engine'!$C$2:$C$622,0)))</f>
        <v/>
      </c>
      <c r="H245">
        <f>IF(ISNA(MATCH(236,'Transfer Engine'!$C$2:$C$622,0)),"",INDEX('Compliance Database'!$H$2:$H$622,MATCH(236,'Transfer Engine'!$C$2:$C$622,0)))</f>
        <v/>
      </c>
      <c r="I245" s="8">
        <f>IF(ISNA(MATCH(236,'Transfer Engine'!$C$2:$C$622,0)),"",INDEX('Compliance Database'!$I$2:$I$622,MATCH(236,'Transfer Engine'!$C$2:$C$622,0)))</f>
        <v/>
      </c>
      <c r="J245" s="8">
        <f>IF(ISNA(MATCH(236,'Transfer Engine'!$C$2:$C$622,0)),"",INDEX('Compliance Database'!$J$2:$J$622,MATCH(236,'Transfer Engine'!$C$2:$C$622,0)))</f>
        <v/>
      </c>
      <c r="K245">
        <f>IF(ISNA(MATCH(236,'Transfer Engine'!$C$2:$C$622,0)),"",INDEX('Compliance Database'!$K$2:$K$622,MATCH(236,'Transfer Engine'!$C$2:$C$622,0)))</f>
        <v/>
      </c>
      <c r="L245" s="8">
        <f>IF(ISNA(MATCH(236,'Transfer Engine'!$C$2:$C$622,0)),"",INDEX('Compliance Database'!$L$2:$L$622,MATCH(236,'Transfer Engine'!$C$2:$C$622,0)))</f>
        <v/>
      </c>
      <c r="M245" s="8">
        <f>IF(ISNA(MATCH(236,'Transfer Engine'!$C$2:$C$622,0)),"",INDEX('Compliance Database'!$M$2:$M$622,MATCH(236,'Transfer Engine'!$C$2:$C$622,0)))</f>
        <v/>
      </c>
      <c r="N245" s="8">
        <f>IF(ISNA(MATCH(236,'Transfer Engine'!$C$2:$C$622,0)),"",INDEX('Compliance Database'!$N$2:$N$622,MATCH(236,'Transfer Engine'!$C$2:$C$622,0)))</f>
        <v/>
      </c>
      <c r="O245" s="8">
        <f>IF(ISNA(MATCH(236,'Transfer Engine'!$C$2:$C$622,0)),"",INDEX('Compliance Database'!$O$2:$O$622,MATCH(236,'Transfer Engine'!$C$2:$C$622,0)))</f>
        <v/>
      </c>
    </row>
    <row r="246">
      <c r="A246">
        <f>IF(ISNA(MATCH(237,'Transfer Engine'!$C$2:$C$622,0)),"",INDEX('Compliance Database'!$A$2:$A$622,MATCH(237,'Transfer Engine'!$C$2:$C$622,0)))</f>
        <v/>
      </c>
      <c r="B246">
        <f>IF(ISNA(MATCH(237,'Transfer Engine'!$C$2:$C$622,0)),"",INDEX('Compliance Database'!$B$2:$B$622,MATCH(237,'Transfer Engine'!$C$2:$C$622,0)))</f>
        <v/>
      </c>
      <c r="C246">
        <f>IF(ISNA(MATCH(237,'Transfer Engine'!$C$2:$C$622,0)),"",INDEX('Compliance Database'!$C$2:$C$622,MATCH(237,'Transfer Engine'!$C$2:$C$622,0)))</f>
        <v/>
      </c>
      <c r="D246" s="8">
        <f>IF(ISNA(MATCH(237,'Transfer Engine'!$C$2:$C$622,0)),"",INDEX('Compliance Database'!$D$2:$D$622,MATCH(237,'Transfer Engine'!$C$2:$C$622,0)))</f>
        <v/>
      </c>
      <c r="E246">
        <f>IF(ISNA(MATCH(237,'Transfer Engine'!$C$2:$C$622,0)),"",INDEX('Compliance Database'!$E$2:$E$622,MATCH(237,'Transfer Engine'!$C$2:$C$622,0)))</f>
        <v/>
      </c>
      <c r="F246">
        <f>IF(ISNA(MATCH(237,'Transfer Engine'!$C$2:$C$622,0)),"",INDEX('Compliance Database'!$F$2:$F$622,MATCH(237,'Transfer Engine'!$C$2:$C$622,0)))</f>
        <v/>
      </c>
      <c r="G246">
        <f>IF(ISNA(MATCH(237,'Transfer Engine'!$C$2:$C$622,0)),"",INDEX('Compliance Database'!$G$2:$G$622,MATCH(237,'Transfer Engine'!$C$2:$C$622,0)))</f>
        <v/>
      </c>
      <c r="H246">
        <f>IF(ISNA(MATCH(237,'Transfer Engine'!$C$2:$C$622,0)),"",INDEX('Compliance Database'!$H$2:$H$622,MATCH(237,'Transfer Engine'!$C$2:$C$622,0)))</f>
        <v/>
      </c>
      <c r="I246" s="8">
        <f>IF(ISNA(MATCH(237,'Transfer Engine'!$C$2:$C$622,0)),"",INDEX('Compliance Database'!$I$2:$I$622,MATCH(237,'Transfer Engine'!$C$2:$C$622,0)))</f>
        <v/>
      </c>
      <c r="J246" s="8">
        <f>IF(ISNA(MATCH(237,'Transfer Engine'!$C$2:$C$622,0)),"",INDEX('Compliance Database'!$J$2:$J$622,MATCH(237,'Transfer Engine'!$C$2:$C$622,0)))</f>
        <v/>
      </c>
      <c r="K246">
        <f>IF(ISNA(MATCH(237,'Transfer Engine'!$C$2:$C$622,0)),"",INDEX('Compliance Database'!$K$2:$K$622,MATCH(237,'Transfer Engine'!$C$2:$C$622,0)))</f>
        <v/>
      </c>
      <c r="L246" s="8">
        <f>IF(ISNA(MATCH(237,'Transfer Engine'!$C$2:$C$622,0)),"",INDEX('Compliance Database'!$L$2:$L$622,MATCH(237,'Transfer Engine'!$C$2:$C$622,0)))</f>
        <v/>
      </c>
      <c r="M246" s="8">
        <f>IF(ISNA(MATCH(237,'Transfer Engine'!$C$2:$C$622,0)),"",INDEX('Compliance Database'!$M$2:$M$622,MATCH(237,'Transfer Engine'!$C$2:$C$622,0)))</f>
        <v/>
      </c>
      <c r="N246" s="8">
        <f>IF(ISNA(MATCH(237,'Transfer Engine'!$C$2:$C$622,0)),"",INDEX('Compliance Database'!$N$2:$N$622,MATCH(237,'Transfer Engine'!$C$2:$C$622,0)))</f>
        <v/>
      </c>
      <c r="O246" s="8">
        <f>IF(ISNA(MATCH(237,'Transfer Engine'!$C$2:$C$622,0)),"",INDEX('Compliance Database'!$O$2:$O$622,MATCH(237,'Transfer Engine'!$C$2:$C$622,0)))</f>
        <v/>
      </c>
    </row>
    <row r="247">
      <c r="A247">
        <f>IF(ISNA(MATCH(238,'Transfer Engine'!$C$2:$C$622,0)),"",INDEX('Compliance Database'!$A$2:$A$622,MATCH(238,'Transfer Engine'!$C$2:$C$622,0)))</f>
        <v/>
      </c>
      <c r="B247">
        <f>IF(ISNA(MATCH(238,'Transfer Engine'!$C$2:$C$622,0)),"",INDEX('Compliance Database'!$B$2:$B$622,MATCH(238,'Transfer Engine'!$C$2:$C$622,0)))</f>
        <v/>
      </c>
      <c r="C247">
        <f>IF(ISNA(MATCH(238,'Transfer Engine'!$C$2:$C$622,0)),"",INDEX('Compliance Database'!$C$2:$C$622,MATCH(238,'Transfer Engine'!$C$2:$C$622,0)))</f>
        <v/>
      </c>
      <c r="D247" s="8">
        <f>IF(ISNA(MATCH(238,'Transfer Engine'!$C$2:$C$622,0)),"",INDEX('Compliance Database'!$D$2:$D$622,MATCH(238,'Transfer Engine'!$C$2:$C$622,0)))</f>
        <v/>
      </c>
      <c r="E247">
        <f>IF(ISNA(MATCH(238,'Transfer Engine'!$C$2:$C$622,0)),"",INDEX('Compliance Database'!$E$2:$E$622,MATCH(238,'Transfer Engine'!$C$2:$C$622,0)))</f>
        <v/>
      </c>
      <c r="F247">
        <f>IF(ISNA(MATCH(238,'Transfer Engine'!$C$2:$C$622,0)),"",INDEX('Compliance Database'!$F$2:$F$622,MATCH(238,'Transfer Engine'!$C$2:$C$622,0)))</f>
        <v/>
      </c>
      <c r="G247">
        <f>IF(ISNA(MATCH(238,'Transfer Engine'!$C$2:$C$622,0)),"",INDEX('Compliance Database'!$G$2:$G$622,MATCH(238,'Transfer Engine'!$C$2:$C$622,0)))</f>
        <v/>
      </c>
      <c r="H247">
        <f>IF(ISNA(MATCH(238,'Transfer Engine'!$C$2:$C$622,0)),"",INDEX('Compliance Database'!$H$2:$H$622,MATCH(238,'Transfer Engine'!$C$2:$C$622,0)))</f>
        <v/>
      </c>
      <c r="I247" s="8">
        <f>IF(ISNA(MATCH(238,'Transfer Engine'!$C$2:$C$622,0)),"",INDEX('Compliance Database'!$I$2:$I$622,MATCH(238,'Transfer Engine'!$C$2:$C$622,0)))</f>
        <v/>
      </c>
      <c r="J247" s="8">
        <f>IF(ISNA(MATCH(238,'Transfer Engine'!$C$2:$C$622,0)),"",INDEX('Compliance Database'!$J$2:$J$622,MATCH(238,'Transfer Engine'!$C$2:$C$622,0)))</f>
        <v/>
      </c>
      <c r="K247">
        <f>IF(ISNA(MATCH(238,'Transfer Engine'!$C$2:$C$622,0)),"",INDEX('Compliance Database'!$K$2:$K$622,MATCH(238,'Transfer Engine'!$C$2:$C$622,0)))</f>
        <v/>
      </c>
      <c r="L247" s="8">
        <f>IF(ISNA(MATCH(238,'Transfer Engine'!$C$2:$C$622,0)),"",INDEX('Compliance Database'!$L$2:$L$622,MATCH(238,'Transfer Engine'!$C$2:$C$622,0)))</f>
        <v/>
      </c>
      <c r="M247" s="8">
        <f>IF(ISNA(MATCH(238,'Transfer Engine'!$C$2:$C$622,0)),"",INDEX('Compliance Database'!$M$2:$M$622,MATCH(238,'Transfer Engine'!$C$2:$C$622,0)))</f>
        <v/>
      </c>
      <c r="N247" s="8">
        <f>IF(ISNA(MATCH(238,'Transfer Engine'!$C$2:$C$622,0)),"",INDEX('Compliance Database'!$N$2:$N$622,MATCH(238,'Transfer Engine'!$C$2:$C$622,0)))</f>
        <v/>
      </c>
      <c r="O247" s="8">
        <f>IF(ISNA(MATCH(238,'Transfer Engine'!$C$2:$C$622,0)),"",INDEX('Compliance Database'!$O$2:$O$622,MATCH(238,'Transfer Engine'!$C$2:$C$622,0)))</f>
        <v/>
      </c>
    </row>
    <row r="248">
      <c r="A248">
        <f>IF(ISNA(MATCH(239,'Transfer Engine'!$C$2:$C$622,0)),"",INDEX('Compliance Database'!$A$2:$A$622,MATCH(239,'Transfer Engine'!$C$2:$C$622,0)))</f>
        <v/>
      </c>
      <c r="B248">
        <f>IF(ISNA(MATCH(239,'Transfer Engine'!$C$2:$C$622,0)),"",INDEX('Compliance Database'!$B$2:$B$622,MATCH(239,'Transfer Engine'!$C$2:$C$622,0)))</f>
        <v/>
      </c>
      <c r="C248">
        <f>IF(ISNA(MATCH(239,'Transfer Engine'!$C$2:$C$622,0)),"",INDEX('Compliance Database'!$C$2:$C$622,MATCH(239,'Transfer Engine'!$C$2:$C$622,0)))</f>
        <v/>
      </c>
      <c r="D248" s="8">
        <f>IF(ISNA(MATCH(239,'Transfer Engine'!$C$2:$C$622,0)),"",INDEX('Compliance Database'!$D$2:$D$622,MATCH(239,'Transfer Engine'!$C$2:$C$622,0)))</f>
        <v/>
      </c>
      <c r="E248">
        <f>IF(ISNA(MATCH(239,'Transfer Engine'!$C$2:$C$622,0)),"",INDEX('Compliance Database'!$E$2:$E$622,MATCH(239,'Transfer Engine'!$C$2:$C$622,0)))</f>
        <v/>
      </c>
      <c r="F248">
        <f>IF(ISNA(MATCH(239,'Transfer Engine'!$C$2:$C$622,0)),"",INDEX('Compliance Database'!$F$2:$F$622,MATCH(239,'Transfer Engine'!$C$2:$C$622,0)))</f>
        <v/>
      </c>
      <c r="G248">
        <f>IF(ISNA(MATCH(239,'Transfer Engine'!$C$2:$C$622,0)),"",INDEX('Compliance Database'!$G$2:$G$622,MATCH(239,'Transfer Engine'!$C$2:$C$622,0)))</f>
        <v/>
      </c>
      <c r="H248">
        <f>IF(ISNA(MATCH(239,'Transfer Engine'!$C$2:$C$622,0)),"",INDEX('Compliance Database'!$H$2:$H$622,MATCH(239,'Transfer Engine'!$C$2:$C$622,0)))</f>
        <v/>
      </c>
      <c r="I248" s="8">
        <f>IF(ISNA(MATCH(239,'Transfer Engine'!$C$2:$C$622,0)),"",INDEX('Compliance Database'!$I$2:$I$622,MATCH(239,'Transfer Engine'!$C$2:$C$622,0)))</f>
        <v/>
      </c>
      <c r="J248" s="8">
        <f>IF(ISNA(MATCH(239,'Transfer Engine'!$C$2:$C$622,0)),"",INDEX('Compliance Database'!$J$2:$J$622,MATCH(239,'Transfer Engine'!$C$2:$C$622,0)))</f>
        <v/>
      </c>
      <c r="K248">
        <f>IF(ISNA(MATCH(239,'Transfer Engine'!$C$2:$C$622,0)),"",INDEX('Compliance Database'!$K$2:$K$622,MATCH(239,'Transfer Engine'!$C$2:$C$622,0)))</f>
        <v/>
      </c>
      <c r="L248" s="8">
        <f>IF(ISNA(MATCH(239,'Transfer Engine'!$C$2:$C$622,0)),"",INDEX('Compliance Database'!$L$2:$L$622,MATCH(239,'Transfer Engine'!$C$2:$C$622,0)))</f>
        <v/>
      </c>
      <c r="M248" s="8">
        <f>IF(ISNA(MATCH(239,'Transfer Engine'!$C$2:$C$622,0)),"",INDEX('Compliance Database'!$M$2:$M$622,MATCH(239,'Transfer Engine'!$C$2:$C$622,0)))</f>
        <v/>
      </c>
      <c r="N248" s="8">
        <f>IF(ISNA(MATCH(239,'Transfer Engine'!$C$2:$C$622,0)),"",INDEX('Compliance Database'!$N$2:$N$622,MATCH(239,'Transfer Engine'!$C$2:$C$622,0)))</f>
        <v/>
      </c>
      <c r="O248" s="8">
        <f>IF(ISNA(MATCH(239,'Transfer Engine'!$C$2:$C$622,0)),"",INDEX('Compliance Database'!$O$2:$O$622,MATCH(239,'Transfer Engine'!$C$2:$C$622,0)))</f>
        <v/>
      </c>
    </row>
    <row r="249">
      <c r="A249">
        <f>IF(ISNA(MATCH(240,'Transfer Engine'!$C$2:$C$622,0)),"",INDEX('Compliance Database'!$A$2:$A$622,MATCH(240,'Transfer Engine'!$C$2:$C$622,0)))</f>
        <v/>
      </c>
      <c r="B249">
        <f>IF(ISNA(MATCH(240,'Transfer Engine'!$C$2:$C$622,0)),"",INDEX('Compliance Database'!$B$2:$B$622,MATCH(240,'Transfer Engine'!$C$2:$C$622,0)))</f>
        <v/>
      </c>
      <c r="C249">
        <f>IF(ISNA(MATCH(240,'Transfer Engine'!$C$2:$C$622,0)),"",INDEX('Compliance Database'!$C$2:$C$622,MATCH(240,'Transfer Engine'!$C$2:$C$622,0)))</f>
        <v/>
      </c>
      <c r="D249" s="8">
        <f>IF(ISNA(MATCH(240,'Transfer Engine'!$C$2:$C$622,0)),"",INDEX('Compliance Database'!$D$2:$D$622,MATCH(240,'Transfer Engine'!$C$2:$C$622,0)))</f>
        <v/>
      </c>
      <c r="E249">
        <f>IF(ISNA(MATCH(240,'Transfer Engine'!$C$2:$C$622,0)),"",INDEX('Compliance Database'!$E$2:$E$622,MATCH(240,'Transfer Engine'!$C$2:$C$622,0)))</f>
        <v/>
      </c>
      <c r="F249">
        <f>IF(ISNA(MATCH(240,'Transfer Engine'!$C$2:$C$622,0)),"",INDEX('Compliance Database'!$F$2:$F$622,MATCH(240,'Transfer Engine'!$C$2:$C$622,0)))</f>
        <v/>
      </c>
      <c r="G249">
        <f>IF(ISNA(MATCH(240,'Transfer Engine'!$C$2:$C$622,0)),"",INDEX('Compliance Database'!$G$2:$G$622,MATCH(240,'Transfer Engine'!$C$2:$C$622,0)))</f>
        <v/>
      </c>
      <c r="H249">
        <f>IF(ISNA(MATCH(240,'Transfer Engine'!$C$2:$C$622,0)),"",INDEX('Compliance Database'!$H$2:$H$622,MATCH(240,'Transfer Engine'!$C$2:$C$622,0)))</f>
        <v/>
      </c>
      <c r="I249" s="8">
        <f>IF(ISNA(MATCH(240,'Transfer Engine'!$C$2:$C$622,0)),"",INDEX('Compliance Database'!$I$2:$I$622,MATCH(240,'Transfer Engine'!$C$2:$C$622,0)))</f>
        <v/>
      </c>
      <c r="J249" s="8">
        <f>IF(ISNA(MATCH(240,'Transfer Engine'!$C$2:$C$622,0)),"",INDEX('Compliance Database'!$J$2:$J$622,MATCH(240,'Transfer Engine'!$C$2:$C$622,0)))</f>
        <v/>
      </c>
      <c r="K249">
        <f>IF(ISNA(MATCH(240,'Transfer Engine'!$C$2:$C$622,0)),"",INDEX('Compliance Database'!$K$2:$K$622,MATCH(240,'Transfer Engine'!$C$2:$C$622,0)))</f>
        <v/>
      </c>
      <c r="L249" s="8">
        <f>IF(ISNA(MATCH(240,'Transfer Engine'!$C$2:$C$622,0)),"",INDEX('Compliance Database'!$L$2:$L$622,MATCH(240,'Transfer Engine'!$C$2:$C$622,0)))</f>
        <v/>
      </c>
      <c r="M249" s="8">
        <f>IF(ISNA(MATCH(240,'Transfer Engine'!$C$2:$C$622,0)),"",INDEX('Compliance Database'!$M$2:$M$622,MATCH(240,'Transfer Engine'!$C$2:$C$622,0)))</f>
        <v/>
      </c>
      <c r="N249" s="8">
        <f>IF(ISNA(MATCH(240,'Transfer Engine'!$C$2:$C$622,0)),"",INDEX('Compliance Database'!$N$2:$N$622,MATCH(240,'Transfer Engine'!$C$2:$C$622,0)))</f>
        <v/>
      </c>
      <c r="O249" s="8">
        <f>IF(ISNA(MATCH(240,'Transfer Engine'!$C$2:$C$622,0)),"",INDEX('Compliance Database'!$O$2:$O$622,MATCH(240,'Transfer Engine'!$C$2:$C$622,0)))</f>
        <v/>
      </c>
    </row>
    <row r="250">
      <c r="A250">
        <f>IF(ISNA(MATCH(241,'Transfer Engine'!$C$2:$C$622,0)),"",INDEX('Compliance Database'!$A$2:$A$622,MATCH(241,'Transfer Engine'!$C$2:$C$622,0)))</f>
        <v/>
      </c>
      <c r="B250">
        <f>IF(ISNA(MATCH(241,'Transfer Engine'!$C$2:$C$622,0)),"",INDEX('Compliance Database'!$B$2:$B$622,MATCH(241,'Transfer Engine'!$C$2:$C$622,0)))</f>
        <v/>
      </c>
      <c r="C250">
        <f>IF(ISNA(MATCH(241,'Transfer Engine'!$C$2:$C$622,0)),"",INDEX('Compliance Database'!$C$2:$C$622,MATCH(241,'Transfer Engine'!$C$2:$C$622,0)))</f>
        <v/>
      </c>
      <c r="D250" s="8">
        <f>IF(ISNA(MATCH(241,'Transfer Engine'!$C$2:$C$622,0)),"",INDEX('Compliance Database'!$D$2:$D$622,MATCH(241,'Transfer Engine'!$C$2:$C$622,0)))</f>
        <v/>
      </c>
      <c r="E250">
        <f>IF(ISNA(MATCH(241,'Transfer Engine'!$C$2:$C$622,0)),"",INDEX('Compliance Database'!$E$2:$E$622,MATCH(241,'Transfer Engine'!$C$2:$C$622,0)))</f>
        <v/>
      </c>
      <c r="F250">
        <f>IF(ISNA(MATCH(241,'Transfer Engine'!$C$2:$C$622,0)),"",INDEX('Compliance Database'!$F$2:$F$622,MATCH(241,'Transfer Engine'!$C$2:$C$622,0)))</f>
        <v/>
      </c>
      <c r="G250">
        <f>IF(ISNA(MATCH(241,'Transfer Engine'!$C$2:$C$622,0)),"",INDEX('Compliance Database'!$G$2:$G$622,MATCH(241,'Transfer Engine'!$C$2:$C$622,0)))</f>
        <v/>
      </c>
      <c r="H250">
        <f>IF(ISNA(MATCH(241,'Transfer Engine'!$C$2:$C$622,0)),"",INDEX('Compliance Database'!$H$2:$H$622,MATCH(241,'Transfer Engine'!$C$2:$C$622,0)))</f>
        <v/>
      </c>
      <c r="I250" s="8">
        <f>IF(ISNA(MATCH(241,'Transfer Engine'!$C$2:$C$622,0)),"",INDEX('Compliance Database'!$I$2:$I$622,MATCH(241,'Transfer Engine'!$C$2:$C$622,0)))</f>
        <v/>
      </c>
      <c r="J250" s="8">
        <f>IF(ISNA(MATCH(241,'Transfer Engine'!$C$2:$C$622,0)),"",INDEX('Compliance Database'!$J$2:$J$622,MATCH(241,'Transfer Engine'!$C$2:$C$622,0)))</f>
        <v/>
      </c>
      <c r="K250">
        <f>IF(ISNA(MATCH(241,'Transfer Engine'!$C$2:$C$622,0)),"",INDEX('Compliance Database'!$K$2:$K$622,MATCH(241,'Transfer Engine'!$C$2:$C$622,0)))</f>
        <v/>
      </c>
      <c r="L250" s="8">
        <f>IF(ISNA(MATCH(241,'Transfer Engine'!$C$2:$C$622,0)),"",INDEX('Compliance Database'!$L$2:$L$622,MATCH(241,'Transfer Engine'!$C$2:$C$622,0)))</f>
        <v/>
      </c>
      <c r="M250" s="8">
        <f>IF(ISNA(MATCH(241,'Transfer Engine'!$C$2:$C$622,0)),"",INDEX('Compliance Database'!$M$2:$M$622,MATCH(241,'Transfer Engine'!$C$2:$C$622,0)))</f>
        <v/>
      </c>
      <c r="N250" s="8">
        <f>IF(ISNA(MATCH(241,'Transfer Engine'!$C$2:$C$622,0)),"",INDEX('Compliance Database'!$N$2:$N$622,MATCH(241,'Transfer Engine'!$C$2:$C$622,0)))</f>
        <v/>
      </c>
      <c r="O250" s="8">
        <f>IF(ISNA(MATCH(241,'Transfer Engine'!$C$2:$C$622,0)),"",INDEX('Compliance Database'!$O$2:$O$622,MATCH(241,'Transfer Engine'!$C$2:$C$622,0)))</f>
        <v/>
      </c>
    </row>
    <row r="251">
      <c r="A251">
        <f>IF(ISNA(MATCH(242,'Transfer Engine'!$C$2:$C$622,0)),"",INDEX('Compliance Database'!$A$2:$A$622,MATCH(242,'Transfer Engine'!$C$2:$C$622,0)))</f>
        <v/>
      </c>
      <c r="B251">
        <f>IF(ISNA(MATCH(242,'Transfer Engine'!$C$2:$C$622,0)),"",INDEX('Compliance Database'!$B$2:$B$622,MATCH(242,'Transfer Engine'!$C$2:$C$622,0)))</f>
        <v/>
      </c>
      <c r="C251">
        <f>IF(ISNA(MATCH(242,'Transfer Engine'!$C$2:$C$622,0)),"",INDEX('Compliance Database'!$C$2:$C$622,MATCH(242,'Transfer Engine'!$C$2:$C$622,0)))</f>
        <v/>
      </c>
      <c r="D251" s="8">
        <f>IF(ISNA(MATCH(242,'Transfer Engine'!$C$2:$C$622,0)),"",INDEX('Compliance Database'!$D$2:$D$622,MATCH(242,'Transfer Engine'!$C$2:$C$622,0)))</f>
        <v/>
      </c>
      <c r="E251">
        <f>IF(ISNA(MATCH(242,'Transfer Engine'!$C$2:$C$622,0)),"",INDEX('Compliance Database'!$E$2:$E$622,MATCH(242,'Transfer Engine'!$C$2:$C$622,0)))</f>
        <v/>
      </c>
      <c r="F251">
        <f>IF(ISNA(MATCH(242,'Transfer Engine'!$C$2:$C$622,0)),"",INDEX('Compliance Database'!$F$2:$F$622,MATCH(242,'Transfer Engine'!$C$2:$C$622,0)))</f>
        <v/>
      </c>
      <c r="G251">
        <f>IF(ISNA(MATCH(242,'Transfer Engine'!$C$2:$C$622,0)),"",INDEX('Compliance Database'!$G$2:$G$622,MATCH(242,'Transfer Engine'!$C$2:$C$622,0)))</f>
        <v/>
      </c>
      <c r="H251">
        <f>IF(ISNA(MATCH(242,'Transfer Engine'!$C$2:$C$622,0)),"",INDEX('Compliance Database'!$H$2:$H$622,MATCH(242,'Transfer Engine'!$C$2:$C$622,0)))</f>
        <v/>
      </c>
      <c r="I251" s="8">
        <f>IF(ISNA(MATCH(242,'Transfer Engine'!$C$2:$C$622,0)),"",INDEX('Compliance Database'!$I$2:$I$622,MATCH(242,'Transfer Engine'!$C$2:$C$622,0)))</f>
        <v/>
      </c>
      <c r="J251" s="8">
        <f>IF(ISNA(MATCH(242,'Transfer Engine'!$C$2:$C$622,0)),"",INDEX('Compliance Database'!$J$2:$J$622,MATCH(242,'Transfer Engine'!$C$2:$C$622,0)))</f>
        <v/>
      </c>
      <c r="K251">
        <f>IF(ISNA(MATCH(242,'Transfer Engine'!$C$2:$C$622,0)),"",INDEX('Compliance Database'!$K$2:$K$622,MATCH(242,'Transfer Engine'!$C$2:$C$622,0)))</f>
        <v/>
      </c>
      <c r="L251" s="8">
        <f>IF(ISNA(MATCH(242,'Transfer Engine'!$C$2:$C$622,0)),"",INDEX('Compliance Database'!$L$2:$L$622,MATCH(242,'Transfer Engine'!$C$2:$C$622,0)))</f>
        <v/>
      </c>
      <c r="M251" s="8">
        <f>IF(ISNA(MATCH(242,'Transfer Engine'!$C$2:$C$622,0)),"",INDEX('Compliance Database'!$M$2:$M$622,MATCH(242,'Transfer Engine'!$C$2:$C$622,0)))</f>
        <v/>
      </c>
      <c r="N251" s="8">
        <f>IF(ISNA(MATCH(242,'Transfer Engine'!$C$2:$C$622,0)),"",INDEX('Compliance Database'!$N$2:$N$622,MATCH(242,'Transfer Engine'!$C$2:$C$622,0)))</f>
        <v/>
      </c>
      <c r="O251" s="8">
        <f>IF(ISNA(MATCH(242,'Transfer Engine'!$C$2:$C$622,0)),"",INDEX('Compliance Database'!$O$2:$O$622,MATCH(242,'Transfer Engine'!$C$2:$C$622,0)))</f>
        <v/>
      </c>
    </row>
    <row r="252">
      <c r="A252">
        <f>IF(ISNA(MATCH(243,'Transfer Engine'!$C$2:$C$622,0)),"",INDEX('Compliance Database'!$A$2:$A$622,MATCH(243,'Transfer Engine'!$C$2:$C$622,0)))</f>
        <v/>
      </c>
      <c r="B252">
        <f>IF(ISNA(MATCH(243,'Transfer Engine'!$C$2:$C$622,0)),"",INDEX('Compliance Database'!$B$2:$B$622,MATCH(243,'Transfer Engine'!$C$2:$C$622,0)))</f>
        <v/>
      </c>
      <c r="C252">
        <f>IF(ISNA(MATCH(243,'Transfer Engine'!$C$2:$C$622,0)),"",INDEX('Compliance Database'!$C$2:$C$622,MATCH(243,'Transfer Engine'!$C$2:$C$622,0)))</f>
        <v/>
      </c>
      <c r="D252" s="8">
        <f>IF(ISNA(MATCH(243,'Transfer Engine'!$C$2:$C$622,0)),"",INDEX('Compliance Database'!$D$2:$D$622,MATCH(243,'Transfer Engine'!$C$2:$C$622,0)))</f>
        <v/>
      </c>
      <c r="E252">
        <f>IF(ISNA(MATCH(243,'Transfer Engine'!$C$2:$C$622,0)),"",INDEX('Compliance Database'!$E$2:$E$622,MATCH(243,'Transfer Engine'!$C$2:$C$622,0)))</f>
        <v/>
      </c>
      <c r="F252">
        <f>IF(ISNA(MATCH(243,'Transfer Engine'!$C$2:$C$622,0)),"",INDEX('Compliance Database'!$F$2:$F$622,MATCH(243,'Transfer Engine'!$C$2:$C$622,0)))</f>
        <v/>
      </c>
      <c r="G252">
        <f>IF(ISNA(MATCH(243,'Transfer Engine'!$C$2:$C$622,0)),"",INDEX('Compliance Database'!$G$2:$G$622,MATCH(243,'Transfer Engine'!$C$2:$C$622,0)))</f>
        <v/>
      </c>
      <c r="H252">
        <f>IF(ISNA(MATCH(243,'Transfer Engine'!$C$2:$C$622,0)),"",INDEX('Compliance Database'!$H$2:$H$622,MATCH(243,'Transfer Engine'!$C$2:$C$622,0)))</f>
        <v/>
      </c>
      <c r="I252" s="8">
        <f>IF(ISNA(MATCH(243,'Transfer Engine'!$C$2:$C$622,0)),"",INDEX('Compliance Database'!$I$2:$I$622,MATCH(243,'Transfer Engine'!$C$2:$C$622,0)))</f>
        <v/>
      </c>
      <c r="J252" s="8">
        <f>IF(ISNA(MATCH(243,'Transfer Engine'!$C$2:$C$622,0)),"",INDEX('Compliance Database'!$J$2:$J$622,MATCH(243,'Transfer Engine'!$C$2:$C$622,0)))</f>
        <v/>
      </c>
      <c r="K252">
        <f>IF(ISNA(MATCH(243,'Transfer Engine'!$C$2:$C$622,0)),"",INDEX('Compliance Database'!$K$2:$K$622,MATCH(243,'Transfer Engine'!$C$2:$C$622,0)))</f>
        <v/>
      </c>
      <c r="L252" s="8">
        <f>IF(ISNA(MATCH(243,'Transfer Engine'!$C$2:$C$622,0)),"",INDEX('Compliance Database'!$L$2:$L$622,MATCH(243,'Transfer Engine'!$C$2:$C$622,0)))</f>
        <v/>
      </c>
      <c r="M252" s="8">
        <f>IF(ISNA(MATCH(243,'Transfer Engine'!$C$2:$C$622,0)),"",INDEX('Compliance Database'!$M$2:$M$622,MATCH(243,'Transfer Engine'!$C$2:$C$622,0)))</f>
        <v/>
      </c>
      <c r="N252" s="8">
        <f>IF(ISNA(MATCH(243,'Transfer Engine'!$C$2:$C$622,0)),"",INDEX('Compliance Database'!$N$2:$N$622,MATCH(243,'Transfer Engine'!$C$2:$C$622,0)))</f>
        <v/>
      </c>
      <c r="O252" s="8">
        <f>IF(ISNA(MATCH(243,'Transfer Engine'!$C$2:$C$622,0)),"",INDEX('Compliance Database'!$O$2:$O$622,MATCH(243,'Transfer Engine'!$C$2:$C$622,0)))</f>
        <v/>
      </c>
    </row>
    <row r="253">
      <c r="A253">
        <f>IF(ISNA(MATCH(244,'Transfer Engine'!$C$2:$C$622,0)),"",INDEX('Compliance Database'!$A$2:$A$622,MATCH(244,'Transfer Engine'!$C$2:$C$622,0)))</f>
        <v/>
      </c>
      <c r="B253">
        <f>IF(ISNA(MATCH(244,'Transfer Engine'!$C$2:$C$622,0)),"",INDEX('Compliance Database'!$B$2:$B$622,MATCH(244,'Transfer Engine'!$C$2:$C$622,0)))</f>
        <v/>
      </c>
      <c r="C253">
        <f>IF(ISNA(MATCH(244,'Transfer Engine'!$C$2:$C$622,0)),"",INDEX('Compliance Database'!$C$2:$C$622,MATCH(244,'Transfer Engine'!$C$2:$C$622,0)))</f>
        <v/>
      </c>
      <c r="D253" s="8">
        <f>IF(ISNA(MATCH(244,'Transfer Engine'!$C$2:$C$622,0)),"",INDEX('Compliance Database'!$D$2:$D$622,MATCH(244,'Transfer Engine'!$C$2:$C$622,0)))</f>
        <v/>
      </c>
      <c r="E253">
        <f>IF(ISNA(MATCH(244,'Transfer Engine'!$C$2:$C$622,0)),"",INDEX('Compliance Database'!$E$2:$E$622,MATCH(244,'Transfer Engine'!$C$2:$C$622,0)))</f>
        <v/>
      </c>
      <c r="F253">
        <f>IF(ISNA(MATCH(244,'Transfer Engine'!$C$2:$C$622,0)),"",INDEX('Compliance Database'!$F$2:$F$622,MATCH(244,'Transfer Engine'!$C$2:$C$622,0)))</f>
        <v/>
      </c>
      <c r="G253">
        <f>IF(ISNA(MATCH(244,'Transfer Engine'!$C$2:$C$622,0)),"",INDEX('Compliance Database'!$G$2:$G$622,MATCH(244,'Transfer Engine'!$C$2:$C$622,0)))</f>
        <v/>
      </c>
      <c r="H253">
        <f>IF(ISNA(MATCH(244,'Transfer Engine'!$C$2:$C$622,0)),"",INDEX('Compliance Database'!$H$2:$H$622,MATCH(244,'Transfer Engine'!$C$2:$C$622,0)))</f>
        <v/>
      </c>
      <c r="I253" s="8">
        <f>IF(ISNA(MATCH(244,'Transfer Engine'!$C$2:$C$622,0)),"",INDEX('Compliance Database'!$I$2:$I$622,MATCH(244,'Transfer Engine'!$C$2:$C$622,0)))</f>
        <v/>
      </c>
      <c r="J253" s="8">
        <f>IF(ISNA(MATCH(244,'Transfer Engine'!$C$2:$C$622,0)),"",INDEX('Compliance Database'!$J$2:$J$622,MATCH(244,'Transfer Engine'!$C$2:$C$622,0)))</f>
        <v/>
      </c>
      <c r="K253">
        <f>IF(ISNA(MATCH(244,'Transfer Engine'!$C$2:$C$622,0)),"",INDEX('Compliance Database'!$K$2:$K$622,MATCH(244,'Transfer Engine'!$C$2:$C$622,0)))</f>
        <v/>
      </c>
      <c r="L253" s="8">
        <f>IF(ISNA(MATCH(244,'Transfer Engine'!$C$2:$C$622,0)),"",INDEX('Compliance Database'!$L$2:$L$622,MATCH(244,'Transfer Engine'!$C$2:$C$622,0)))</f>
        <v/>
      </c>
      <c r="M253" s="8">
        <f>IF(ISNA(MATCH(244,'Transfer Engine'!$C$2:$C$622,0)),"",INDEX('Compliance Database'!$M$2:$M$622,MATCH(244,'Transfer Engine'!$C$2:$C$622,0)))</f>
        <v/>
      </c>
      <c r="N253" s="8">
        <f>IF(ISNA(MATCH(244,'Transfer Engine'!$C$2:$C$622,0)),"",INDEX('Compliance Database'!$N$2:$N$622,MATCH(244,'Transfer Engine'!$C$2:$C$622,0)))</f>
        <v/>
      </c>
      <c r="O253" s="8">
        <f>IF(ISNA(MATCH(244,'Transfer Engine'!$C$2:$C$622,0)),"",INDEX('Compliance Database'!$O$2:$O$622,MATCH(244,'Transfer Engine'!$C$2:$C$622,0)))</f>
        <v/>
      </c>
    </row>
    <row r="254">
      <c r="A254">
        <f>IF(ISNA(MATCH(245,'Transfer Engine'!$C$2:$C$622,0)),"",INDEX('Compliance Database'!$A$2:$A$622,MATCH(245,'Transfer Engine'!$C$2:$C$622,0)))</f>
        <v/>
      </c>
      <c r="B254">
        <f>IF(ISNA(MATCH(245,'Transfer Engine'!$C$2:$C$622,0)),"",INDEX('Compliance Database'!$B$2:$B$622,MATCH(245,'Transfer Engine'!$C$2:$C$622,0)))</f>
        <v/>
      </c>
      <c r="C254">
        <f>IF(ISNA(MATCH(245,'Transfer Engine'!$C$2:$C$622,0)),"",INDEX('Compliance Database'!$C$2:$C$622,MATCH(245,'Transfer Engine'!$C$2:$C$622,0)))</f>
        <v/>
      </c>
      <c r="D254" s="8">
        <f>IF(ISNA(MATCH(245,'Transfer Engine'!$C$2:$C$622,0)),"",INDEX('Compliance Database'!$D$2:$D$622,MATCH(245,'Transfer Engine'!$C$2:$C$622,0)))</f>
        <v/>
      </c>
      <c r="E254">
        <f>IF(ISNA(MATCH(245,'Transfer Engine'!$C$2:$C$622,0)),"",INDEX('Compliance Database'!$E$2:$E$622,MATCH(245,'Transfer Engine'!$C$2:$C$622,0)))</f>
        <v/>
      </c>
      <c r="F254">
        <f>IF(ISNA(MATCH(245,'Transfer Engine'!$C$2:$C$622,0)),"",INDEX('Compliance Database'!$F$2:$F$622,MATCH(245,'Transfer Engine'!$C$2:$C$622,0)))</f>
        <v/>
      </c>
      <c r="G254">
        <f>IF(ISNA(MATCH(245,'Transfer Engine'!$C$2:$C$622,0)),"",INDEX('Compliance Database'!$G$2:$G$622,MATCH(245,'Transfer Engine'!$C$2:$C$622,0)))</f>
        <v/>
      </c>
      <c r="H254">
        <f>IF(ISNA(MATCH(245,'Transfer Engine'!$C$2:$C$622,0)),"",INDEX('Compliance Database'!$H$2:$H$622,MATCH(245,'Transfer Engine'!$C$2:$C$622,0)))</f>
        <v/>
      </c>
      <c r="I254" s="8">
        <f>IF(ISNA(MATCH(245,'Transfer Engine'!$C$2:$C$622,0)),"",INDEX('Compliance Database'!$I$2:$I$622,MATCH(245,'Transfer Engine'!$C$2:$C$622,0)))</f>
        <v/>
      </c>
      <c r="J254" s="8">
        <f>IF(ISNA(MATCH(245,'Transfer Engine'!$C$2:$C$622,0)),"",INDEX('Compliance Database'!$J$2:$J$622,MATCH(245,'Transfer Engine'!$C$2:$C$622,0)))</f>
        <v/>
      </c>
      <c r="K254">
        <f>IF(ISNA(MATCH(245,'Transfer Engine'!$C$2:$C$622,0)),"",INDEX('Compliance Database'!$K$2:$K$622,MATCH(245,'Transfer Engine'!$C$2:$C$622,0)))</f>
        <v/>
      </c>
      <c r="L254" s="8">
        <f>IF(ISNA(MATCH(245,'Transfer Engine'!$C$2:$C$622,0)),"",INDEX('Compliance Database'!$L$2:$L$622,MATCH(245,'Transfer Engine'!$C$2:$C$622,0)))</f>
        <v/>
      </c>
      <c r="M254" s="8">
        <f>IF(ISNA(MATCH(245,'Transfer Engine'!$C$2:$C$622,0)),"",INDEX('Compliance Database'!$M$2:$M$622,MATCH(245,'Transfer Engine'!$C$2:$C$622,0)))</f>
        <v/>
      </c>
      <c r="N254" s="8">
        <f>IF(ISNA(MATCH(245,'Transfer Engine'!$C$2:$C$622,0)),"",INDEX('Compliance Database'!$N$2:$N$622,MATCH(245,'Transfer Engine'!$C$2:$C$622,0)))</f>
        <v/>
      </c>
      <c r="O254" s="8">
        <f>IF(ISNA(MATCH(245,'Transfer Engine'!$C$2:$C$622,0)),"",INDEX('Compliance Database'!$O$2:$O$622,MATCH(245,'Transfer Engine'!$C$2:$C$622,0)))</f>
        <v/>
      </c>
    </row>
    <row r="255">
      <c r="A255">
        <f>IF(ISNA(MATCH(246,'Transfer Engine'!$C$2:$C$622,0)),"",INDEX('Compliance Database'!$A$2:$A$622,MATCH(246,'Transfer Engine'!$C$2:$C$622,0)))</f>
        <v/>
      </c>
      <c r="B255">
        <f>IF(ISNA(MATCH(246,'Transfer Engine'!$C$2:$C$622,0)),"",INDEX('Compliance Database'!$B$2:$B$622,MATCH(246,'Transfer Engine'!$C$2:$C$622,0)))</f>
        <v/>
      </c>
      <c r="C255">
        <f>IF(ISNA(MATCH(246,'Transfer Engine'!$C$2:$C$622,0)),"",INDEX('Compliance Database'!$C$2:$C$622,MATCH(246,'Transfer Engine'!$C$2:$C$622,0)))</f>
        <v/>
      </c>
      <c r="D255" s="8">
        <f>IF(ISNA(MATCH(246,'Transfer Engine'!$C$2:$C$622,0)),"",INDEX('Compliance Database'!$D$2:$D$622,MATCH(246,'Transfer Engine'!$C$2:$C$622,0)))</f>
        <v/>
      </c>
      <c r="E255">
        <f>IF(ISNA(MATCH(246,'Transfer Engine'!$C$2:$C$622,0)),"",INDEX('Compliance Database'!$E$2:$E$622,MATCH(246,'Transfer Engine'!$C$2:$C$622,0)))</f>
        <v/>
      </c>
      <c r="F255">
        <f>IF(ISNA(MATCH(246,'Transfer Engine'!$C$2:$C$622,0)),"",INDEX('Compliance Database'!$F$2:$F$622,MATCH(246,'Transfer Engine'!$C$2:$C$622,0)))</f>
        <v/>
      </c>
      <c r="G255">
        <f>IF(ISNA(MATCH(246,'Transfer Engine'!$C$2:$C$622,0)),"",INDEX('Compliance Database'!$G$2:$G$622,MATCH(246,'Transfer Engine'!$C$2:$C$622,0)))</f>
        <v/>
      </c>
      <c r="H255">
        <f>IF(ISNA(MATCH(246,'Transfer Engine'!$C$2:$C$622,0)),"",INDEX('Compliance Database'!$H$2:$H$622,MATCH(246,'Transfer Engine'!$C$2:$C$622,0)))</f>
        <v/>
      </c>
      <c r="I255" s="8">
        <f>IF(ISNA(MATCH(246,'Transfer Engine'!$C$2:$C$622,0)),"",INDEX('Compliance Database'!$I$2:$I$622,MATCH(246,'Transfer Engine'!$C$2:$C$622,0)))</f>
        <v/>
      </c>
      <c r="J255" s="8">
        <f>IF(ISNA(MATCH(246,'Transfer Engine'!$C$2:$C$622,0)),"",INDEX('Compliance Database'!$J$2:$J$622,MATCH(246,'Transfer Engine'!$C$2:$C$622,0)))</f>
        <v/>
      </c>
      <c r="K255">
        <f>IF(ISNA(MATCH(246,'Transfer Engine'!$C$2:$C$622,0)),"",INDEX('Compliance Database'!$K$2:$K$622,MATCH(246,'Transfer Engine'!$C$2:$C$622,0)))</f>
        <v/>
      </c>
      <c r="L255" s="8">
        <f>IF(ISNA(MATCH(246,'Transfer Engine'!$C$2:$C$622,0)),"",INDEX('Compliance Database'!$L$2:$L$622,MATCH(246,'Transfer Engine'!$C$2:$C$622,0)))</f>
        <v/>
      </c>
      <c r="M255" s="8">
        <f>IF(ISNA(MATCH(246,'Transfer Engine'!$C$2:$C$622,0)),"",INDEX('Compliance Database'!$M$2:$M$622,MATCH(246,'Transfer Engine'!$C$2:$C$622,0)))</f>
        <v/>
      </c>
      <c r="N255" s="8">
        <f>IF(ISNA(MATCH(246,'Transfer Engine'!$C$2:$C$622,0)),"",INDEX('Compliance Database'!$N$2:$N$622,MATCH(246,'Transfer Engine'!$C$2:$C$622,0)))</f>
        <v/>
      </c>
      <c r="O255" s="8">
        <f>IF(ISNA(MATCH(246,'Transfer Engine'!$C$2:$C$622,0)),"",INDEX('Compliance Database'!$O$2:$O$622,MATCH(246,'Transfer Engine'!$C$2:$C$622,0)))</f>
        <v/>
      </c>
    </row>
    <row r="256">
      <c r="A256">
        <f>IF(ISNA(MATCH(247,'Transfer Engine'!$C$2:$C$622,0)),"",INDEX('Compliance Database'!$A$2:$A$622,MATCH(247,'Transfer Engine'!$C$2:$C$622,0)))</f>
        <v/>
      </c>
      <c r="B256">
        <f>IF(ISNA(MATCH(247,'Transfer Engine'!$C$2:$C$622,0)),"",INDEX('Compliance Database'!$B$2:$B$622,MATCH(247,'Transfer Engine'!$C$2:$C$622,0)))</f>
        <v/>
      </c>
      <c r="C256">
        <f>IF(ISNA(MATCH(247,'Transfer Engine'!$C$2:$C$622,0)),"",INDEX('Compliance Database'!$C$2:$C$622,MATCH(247,'Transfer Engine'!$C$2:$C$622,0)))</f>
        <v/>
      </c>
      <c r="D256" s="8">
        <f>IF(ISNA(MATCH(247,'Transfer Engine'!$C$2:$C$622,0)),"",INDEX('Compliance Database'!$D$2:$D$622,MATCH(247,'Transfer Engine'!$C$2:$C$622,0)))</f>
        <v/>
      </c>
      <c r="E256">
        <f>IF(ISNA(MATCH(247,'Transfer Engine'!$C$2:$C$622,0)),"",INDEX('Compliance Database'!$E$2:$E$622,MATCH(247,'Transfer Engine'!$C$2:$C$622,0)))</f>
        <v/>
      </c>
      <c r="F256">
        <f>IF(ISNA(MATCH(247,'Transfer Engine'!$C$2:$C$622,0)),"",INDEX('Compliance Database'!$F$2:$F$622,MATCH(247,'Transfer Engine'!$C$2:$C$622,0)))</f>
        <v/>
      </c>
      <c r="G256">
        <f>IF(ISNA(MATCH(247,'Transfer Engine'!$C$2:$C$622,0)),"",INDEX('Compliance Database'!$G$2:$G$622,MATCH(247,'Transfer Engine'!$C$2:$C$622,0)))</f>
        <v/>
      </c>
      <c r="H256">
        <f>IF(ISNA(MATCH(247,'Transfer Engine'!$C$2:$C$622,0)),"",INDEX('Compliance Database'!$H$2:$H$622,MATCH(247,'Transfer Engine'!$C$2:$C$622,0)))</f>
        <v/>
      </c>
      <c r="I256" s="8">
        <f>IF(ISNA(MATCH(247,'Transfer Engine'!$C$2:$C$622,0)),"",INDEX('Compliance Database'!$I$2:$I$622,MATCH(247,'Transfer Engine'!$C$2:$C$622,0)))</f>
        <v/>
      </c>
      <c r="J256" s="8">
        <f>IF(ISNA(MATCH(247,'Transfer Engine'!$C$2:$C$622,0)),"",INDEX('Compliance Database'!$J$2:$J$622,MATCH(247,'Transfer Engine'!$C$2:$C$622,0)))</f>
        <v/>
      </c>
      <c r="K256">
        <f>IF(ISNA(MATCH(247,'Transfer Engine'!$C$2:$C$622,0)),"",INDEX('Compliance Database'!$K$2:$K$622,MATCH(247,'Transfer Engine'!$C$2:$C$622,0)))</f>
        <v/>
      </c>
      <c r="L256" s="8">
        <f>IF(ISNA(MATCH(247,'Transfer Engine'!$C$2:$C$622,0)),"",INDEX('Compliance Database'!$L$2:$L$622,MATCH(247,'Transfer Engine'!$C$2:$C$622,0)))</f>
        <v/>
      </c>
      <c r="M256" s="8">
        <f>IF(ISNA(MATCH(247,'Transfer Engine'!$C$2:$C$622,0)),"",INDEX('Compliance Database'!$M$2:$M$622,MATCH(247,'Transfer Engine'!$C$2:$C$622,0)))</f>
        <v/>
      </c>
      <c r="N256" s="8">
        <f>IF(ISNA(MATCH(247,'Transfer Engine'!$C$2:$C$622,0)),"",INDEX('Compliance Database'!$N$2:$N$622,MATCH(247,'Transfer Engine'!$C$2:$C$622,0)))</f>
        <v/>
      </c>
      <c r="O256" s="8">
        <f>IF(ISNA(MATCH(247,'Transfer Engine'!$C$2:$C$622,0)),"",INDEX('Compliance Database'!$O$2:$O$622,MATCH(247,'Transfer Engine'!$C$2:$C$622,0)))</f>
        <v/>
      </c>
    </row>
    <row r="257">
      <c r="A257">
        <f>IF(ISNA(MATCH(248,'Transfer Engine'!$C$2:$C$622,0)),"",INDEX('Compliance Database'!$A$2:$A$622,MATCH(248,'Transfer Engine'!$C$2:$C$622,0)))</f>
        <v/>
      </c>
      <c r="B257">
        <f>IF(ISNA(MATCH(248,'Transfer Engine'!$C$2:$C$622,0)),"",INDEX('Compliance Database'!$B$2:$B$622,MATCH(248,'Transfer Engine'!$C$2:$C$622,0)))</f>
        <v/>
      </c>
      <c r="C257">
        <f>IF(ISNA(MATCH(248,'Transfer Engine'!$C$2:$C$622,0)),"",INDEX('Compliance Database'!$C$2:$C$622,MATCH(248,'Transfer Engine'!$C$2:$C$622,0)))</f>
        <v/>
      </c>
      <c r="D257" s="8">
        <f>IF(ISNA(MATCH(248,'Transfer Engine'!$C$2:$C$622,0)),"",INDEX('Compliance Database'!$D$2:$D$622,MATCH(248,'Transfer Engine'!$C$2:$C$622,0)))</f>
        <v/>
      </c>
      <c r="E257">
        <f>IF(ISNA(MATCH(248,'Transfer Engine'!$C$2:$C$622,0)),"",INDEX('Compliance Database'!$E$2:$E$622,MATCH(248,'Transfer Engine'!$C$2:$C$622,0)))</f>
        <v/>
      </c>
      <c r="F257">
        <f>IF(ISNA(MATCH(248,'Transfer Engine'!$C$2:$C$622,0)),"",INDEX('Compliance Database'!$F$2:$F$622,MATCH(248,'Transfer Engine'!$C$2:$C$622,0)))</f>
        <v/>
      </c>
      <c r="G257">
        <f>IF(ISNA(MATCH(248,'Transfer Engine'!$C$2:$C$622,0)),"",INDEX('Compliance Database'!$G$2:$G$622,MATCH(248,'Transfer Engine'!$C$2:$C$622,0)))</f>
        <v/>
      </c>
      <c r="H257">
        <f>IF(ISNA(MATCH(248,'Transfer Engine'!$C$2:$C$622,0)),"",INDEX('Compliance Database'!$H$2:$H$622,MATCH(248,'Transfer Engine'!$C$2:$C$622,0)))</f>
        <v/>
      </c>
      <c r="I257" s="8">
        <f>IF(ISNA(MATCH(248,'Transfer Engine'!$C$2:$C$622,0)),"",INDEX('Compliance Database'!$I$2:$I$622,MATCH(248,'Transfer Engine'!$C$2:$C$622,0)))</f>
        <v/>
      </c>
      <c r="J257" s="8">
        <f>IF(ISNA(MATCH(248,'Transfer Engine'!$C$2:$C$622,0)),"",INDEX('Compliance Database'!$J$2:$J$622,MATCH(248,'Transfer Engine'!$C$2:$C$622,0)))</f>
        <v/>
      </c>
      <c r="K257">
        <f>IF(ISNA(MATCH(248,'Transfer Engine'!$C$2:$C$622,0)),"",INDEX('Compliance Database'!$K$2:$K$622,MATCH(248,'Transfer Engine'!$C$2:$C$622,0)))</f>
        <v/>
      </c>
      <c r="L257" s="8">
        <f>IF(ISNA(MATCH(248,'Transfer Engine'!$C$2:$C$622,0)),"",INDEX('Compliance Database'!$L$2:$L$622,MATCH(248,'Transfer Engine'!$C$2:$C$622,0)))</f>
        <v/>
      </c>
      <c r="M257" s="8">
        <f>IF(ISNA(MATCH(248,'Transfer Engine'!$C$2:$C$622,0)),"",INDEX('Compliance Database'!$M$2:$M$622,MATCH(248,'Transfer Engine'!$C$2:$C$622,0)))</f>
        <v/>
      </c>
      <c r="N257" s="8">
        <f>IF(ISNA(MATCH(248,'Transfer Engine'!$C$2:$C$622,0)),"",INDEX('Compliance Database'!$N$2:$N$622,MATCH(248,'Transfer Engine'!$C$2:$C$622,0)))</f>
        <v/>
      </c>
      <c r="O257" s="8">
        <f>IF(ISNA(MATCH(248,'Transfer Engine'!$C$2:$C$622,0)),"",INDEX('Compliance Database'!$O$2:$O$622,MATCH(248,'Transfer Engine'!$C$2:$C$622,0)))</f>
        <v/>
      </c>
    </row>
    <row r="258">
      <c r="A258">
        <f>IF(ISNA(MATCH(249,'Transfer Engine'!$C$2:$C$622,0)),"",INDEX('Compliance Database'!$A$2:$A$622,MATCH(249,'Transfer Engine'!$C$2:$C$622,0)))</f>
        <v/>
      </c>
      <c r="B258">
        <f>IF(ISNA(MATCH(249,'Transfer Engine'!$C$2:$C$622,0)),"",INDEX('Compliance Database'!$B$2:$B$622,MATCH(249,'Transfer Engine'!$C$2:$C$622,0)))</f>
        <v/>
      </c>
      <c r="C258">
        <f>IF(ISNA(MATCH(249,'Transfer Engine'!$C$2:$C$622,0)),"",INDEX('Compliance Database'!$C$2:$C$622,MATCH(249,'Transfer Engine'!$C$2:$C$622,0)))</f>
        <v/>
      </c>
      <c r="D258" s="8">
        <f>IF(ISNA(MATCH(249,'Transfer Engine'!$C$2:$C$622,0)),"",INDEX('Compliance Database'!$D$2:$D$622,MATCH(249,'Transfer Engine'!$C$2:$C$622,0)))</f>
        <v/>
      </c>
      <c r="E258">
        <f>IF(ISNA(MATCH(249,'Transfer Engine'!$C$2:$C$622,0)),"",INDEX('Compliance Database'!$E$2:$E$622,MATCH(249,'Transfer Engine'!$C$2:$C$622,0)))</f>
        <v/>
      </c>
      <c r="F258">
        <f>IF(ISNA(MATCH(249,'Transfer Engine'!$C$2:$C$622,0)),"",INDEX('Compliance Database'!$F$2:$F$622,MATCH(249,'Transfer Engine'!$C$2:$C$622,0)))</f>
        <v/>
      </c>
      <c r="G258">
        <f>IF(ISNA(MATCH(249,'Transfer Engine'!$C$2:$C$622,0)),"",INDEX('Compliance Database'!$G$2:$G$622,MATCH(249,'Transfer Engine'!$C$2:$C$622,0)))</f>
        <v/>
      </c>
      <c r="H258">
        <f>IF(ISNA(MATCH(249,'Transfer Engine'!$C$2:$C$622,0)),"",INDEX('Compliance Database'!$H$2:$H$622,MATCH(249,'Transfer Engine'!$C$2:$C$622,0)))</f>
        <v/>
      </c>
      <c r="I258" s="8">
        <f>IF(ISNA(MATCH(249,'Transfer Engine'!$C$2:$C$622,0)),"",INDEX('Compliance Database'!$I$2:$I$622,MATCH(249,'Transfer Engine'!$C$2:$C$622,0)))</f>
        <v/>
      </c>
      <c r="J258" s="8">
        <f>IF(ISNA(MATCH(249,'Transfer Engine'!$C$2:$C$622,0)),"",INDEX('Compliance Database'!$J$2:$J$622,MATCH(249,'Transfer Engine'!$C$2:$C$622,0)))</f>
        <v/>
      </c>
      <c r="K258">
        <f>IF(ISNA(MATCH(249,'Transfer Engine'!$C$2:$C$622,0)),"",INDEX('Compliance Database'!$K$2:$K$622,MATCH(249,'Transfer Engine'!$C$2:$C$622,0)))</f>
        <v/>
      </c>
      <c r="L258" s="8">
        <f>IF(ISNA(MATCH(249,'Transfer Engine'!$C$2:$C$622,0)),"",INDEX('Compliance Database'!$L$2:$L$622,MATCH(249,'Transfer Engine'!$C$2:$C$622,0)))</f>
        <v/>
      </c>
      <c r="M258" s="8">
        <f>IF(ISNA(MATCH(249,'Transfer Engine'!$C$2:$C$622,0)),"",INDEX('Compliance Database'!$M$2:$M$622,MATCH(249,'Transfer Engine'!$C$2:$C$622,0)))</f>
        <v/>
      </c>
      <c r="N258" s="8">
        <f>IF(ISNA(MATCH(249,'Transfer Engine'!$C$2:$C$622,0)),"",INDEX('Compliance Database'!$N$2:$N$622,MATCH(249,'Transfer Engine'!$C$2:$C$622,0)))</f>
        <v/>
      </c>
      <c r="O258" s="8">
        <f>IF(ISNA(MATCH(249,'Transfer Engine'!$C$2:$C$622,0)),"",INDEX('Compliance Database'!$O$2:$O$622,MATCH(249,'Transfer Engine'!$C$2:$C$622,0)))</f>
        <v/>
      </c>
    </row>
    <row r="259">
      <c r="A259">
        <f>IF(ISNA(MATCH(250,'Transfer Engine'!$C$2:$C$622,0)),"",INDEX('Compliance Database'!$A$2:$A$622,MATCH(250,'Transfer Engine'!$C$2:$C$622,0)))</f>
        <v/>
      </c>
      <c r="B259">
        <f>IF(ISNA(MATCH(250,'Transfer Engine'!$C$2:$C$622,0)),"",INDEX('Compliance Database'!$B$2:$B$622,MATCH(250,'Transfer Engine'!$C$2:$C$622,0)))</f>
        <v/>
      </c>
      <c r="C259">
        <f>IF(ISNA(MATCH(250,'Transfer Engine'!$C$2:$C$622,0)),"",INDEX('Compliance Database'!$C$2:$C$622,MATCH(250,'Transfer Engine'!$C$2:$C$622,0)))</f>
        <v/>
      </c>
      <c r="D259" s="8">
        <f>IF(ISNA(MATCH(250,'Transfer Engine'!$C$2:$C$622,0)),"",INDEX('Compliance Database'!$D$2:$D$622,MATCH(250,'Transfer Engine'!$C$2:$C$622,0)))</f>
        <v/>
      </c>
      <c r="E259">
        <f>IF(ISNA(MATCH(250,'Transfer Engine'!$C$2:$C$622,0)),"",INDEX('Compliance Database'!$E$2:$E$622,MATCH(250,'Transfer Engine'!$C$2:$C$622,0)))</f>
        <v/>
      </c>
      <c r="F259">
        <f>IF(ISNA(MATCH(250,'Transfer Engine'!$C$2:$C$622,0)),"",INDEX('Compliance Database'!$F$2:$F$622,MATCH(250,'Transfer Engine'!$C$2:$C$622,0)))</f>
        <v/>
      </c>
      <c r="G259">
        <f>IF(ISNA(MATCH(250,'Transfer Engine'!$C$2:$C$622,0)),"",INDEX('Compliance Database'!$G$2:$G$622,MATCH(250,'Transfer Engine'!$C$2:$C$622,0)))</f>
        <v/>
      </c>
      <c r="H259">
        <f>IF(ISNA(MATCH(250,'Transfer Engine'!$C$2:$C$622,0)),"",INDEX('Compliance Database'!$H$2:$H$622,MATCH(250,'Transfer Engine'!$C$2:$C$622,0)))</f>
        <v/>
      </c>
      <c r="I259" s="8">
        <f>IF(ISNA(MATCH(250,'Transfer Engine'!$C$2:$C$622,0)),"",INDEX('Compliance Database'!$I$2:$I$622,MATCH(250,'Transfer Engine'!$C$2:$C$622,0)))</f>
        <v/>
      </c>
      <c r="J259" s="8">
        <f>IF(ISNA(MATCH(250,'Transfer Engine'!$C$2:$C$622,0)),"",INDEX('Compliance Database'!$J$2:$J$622,MATCH(250,'Transfer Engine'!$C$2:$C$622,0)))</f>
        <v/>
      </c>
      <c r="K259">
        <f>IF(ISNA(MATCH(250,'Transfer Engine'!$C$2:$C$622,0)),"",INDEX('Compliance Database'!$K$2:$K$622,MATCH(250,'Transfer Engine'!$C$2:$C$622,0)))</f>
        <v/>
      </c>
      <c r="L259" s="8">
        <f>IF(ISNA(MATCH(250,'Transfer Engine'!$C$2:$C$622,0)),"",INDEX('Compliance Database'!$L$2:$L$622,MATCH(250,'Transfer Engine'!$C$2:$C$622,0)))</f>
        <v/>
      </c>
      <c r="M259" s="8">
        <f>IF(ISNA(MATCH(250,'Transfer Engine'!$C$2:$C$622,0)),"",INDEX('Compliance Database'!$M$2:$M$622,MATCH(250,'Transfer Engine'!$C$2:$C$622,0)))</f>
        <v/>
      </c>
      <c r="N259" s="8">
        <f>IF(ISNA(MATCH(250,'Transfer Engine'!$C$2:$C$622,0)),"",INDEX('Compliance Database'!$N$2:$N$622,MATCH(250,'Transfer Engine'!$C$2:$C$622,0)))</f>
        <v/>
      </c>
      <c r="O259" s="8">
        <f>IF(ISNA(MATCH(250,'Transfer Engine'!$C$2:$C$622,0)),"",INDEX('Compliance Database'!$O$2:$O$622,MATCH(250,'Transfer Engine'!$C$2:$C$622,0)))</f>
        <v/>
      </c>
    </row>
    <row r="260">
      <c r="A260">
        <f>IF(ISNA(MATCH(251,'Transfer Engine'!$C$2:$C$622,0)),"",INDEX('Compliance Database'!$A$2:$A$622,MATCH(251,'Transfer Engine'!$C$2:$C$622,0)))</f>
        <v/>
      </c>
      <c r="B260">
        <f>IF(ISNA(MATCH(251,'Transfer Engine'!$C$2:$C$622,0)),"",INDEX('Compliance Database'!$B$2:$B$622,MATCH(251,'Transfer Engine'!$C$2:$C$622,0)))</f>
        <v/>
      </c>
      <c r="C260">
        <f>IF(ISNA(MATCH(251,'Transfer Engine'!$C$2:$C$622,0)),"",INDEX('Compliance Database'!$C$2:$C$622,MATCH(251,'Transfer Engine'!$C$2:$C$622,0)))</f>
        <v/>
      </c>
      <c r="D260" s="8">
        <f>IF(ISNA(MATCH(251,'Transfer Engine'!$C$2:$C$622,0)),"",INDEX('Compliance Database'!$D$2:$D$622,MATCH(251,'Transfer Engine'!$C$2:$C$622,0)))</f>
        <v/>
      </c>
      <c r="E260">
        <f>IF(ISNA(MATCH(251,'Transfer Engine'!$C$2:$C$622,0)),"",INDEX('Compliance Database'!$E$2:$E$622,MATCH(251,'Transfer Engine'!$C$2:$C$622,0)))</f>
        <v/>
      </c>
      <c r="F260">
        <f>IF(ISNA(MATCH(251,'Transfer Engine'!$C$2:$C$622,0)),"",INDEX('Compliance Database'!$F$2:$F$622,MATCH(251,'Transfer Engine'!$C$2:$C$622,0)))</f>
        <v/>
      </c>
      <c r="G260">
        <f>IF(ISNA(MATCH(251,'Transfer Engine'!$C$2:$C$622,0)),"",INDEX('Compliance Database'!$G$2:$G$622,MATCH(251,'Transfer Engine'!$C$2:$C$622,0)))</f>
        <v/>
      </c>
      <c r="H260">
        <f>IF(ISNA(MATCH(251,'Transfer Engine'!$C$2:$C$622,0)),"",INDEX('Compliance Database'!$H$2:$H$622,MATCH(251,'Transfer Engine'!$C$2:$C$622,0)))</f>
        <v/>
      </c>
      <c r="I260" s="8">
        <f>IF(ISNA(MATCH(251,'Transfer Engine'!$C$2:$C$622,0)),"",INDEX('Compliance Database'!$I$2:$I$622,MATCH(251,'Transfer Engine'!$C$2:$C$622,0)))</f>
        <v/>
      </c>
      <c r="J260" s="8">
        <f>IF(ISNA(MATCH(251,'Transfer Engine'!$C$2:$C$622,0)),"",INDEX('Compliance Database'!$J$2:$J$622,MATCH(251,'Transfer Engine'!$C$2:$C$622,0)))</f>
        <v/>
      </c>
      <c r="K260">
        <f>IF(ISNA(MATCH(251,'Transfer Engine'!$C$2:$C$622,0)),"",INDEX('Compliance Database'!$K$2:$K$622,MATCH(251,'Transfer Engine'!$C$2:$C$622,0)))</f>
        <v/>
      </c>
      <c r="L260" s="8">
        <f>IF(ISNA(MATCH(251,'Transfer Engine'!$C$2:$C$622,0)),"",INDEX('Compliance Database'!$L$2:$L$622,MATCH(251,'Transfer Engine'!$C$2:$C$622,0)))</f>
        <v/>
      </c>
      <c r="M260" s="8">
        <f>IF(ISNA(MATCH(251,'Transfer Engine'!$C$2:$C$622,0)),"",INDEX('Compliance Database'!$M$2:$M$622,MATCH(251,'Transfer Engine'!$C$2:$C$622,0)))</f>
        <v/>
      </c>
      <c r="N260" s="8">
        <f>IF(ISNA(MATCH(251,'Transfer Engine'!$C$2:$C$622,0)),"",INDEX('Compliance Database'!$N$2:$N$622,MATCH(251,'Transfer Engine'!$C$2:$C$622,0)))</f>
        <v/>
      </c>
      <c r="O260" s="8">
        <f>IF(ISNA(MATCH(251,'Transfer Engine'!$C$2:$C$622,0)),"",INDEX('Compliance Database'!$O$2:$O$622,MATCH(251,'Transfer Engine'!$C$2:$C$622,0)))</f>
        <v/>
      </c>
    </row>
    <row r="261">
      <c r="A261">
        <f>IF(ISNA(MATCH(252,'Transfer Engine'!$C$2:$C$622,0)),"",INDEX('Compliance Database'!$A$2:$A$622,MATCH(252,'Transfer Engine'!$C$2:$C$622,0)))</f>
        <v/>
      </c>
      <c r="B261">
        <f>IF(ISNA(MATCH(252,'Transfer Engine'!$C$2:$C$622,0)),"",INDEX('Compliance Database'!$B$2:$B$622,MATCH(252,'Transfer Engine'!$C$2:$C$622,0)))</f>
        <v/>
      </c>
      <c r="C261">
        <f>IF(ISNA(MATCH(252,'Transfer Engine'!$C$2:$C$622,0)),"",INDEX('Compliance Database'!$C$2:$C$622,MATCH(252,'Transfer Engine'!$C$2:$C$622,0)))</f>
        <v/>
      </c>
      <c r="D261" s="8">
        <f>IF(ISNA(MATCH(252,'Transfer Engine'!$C$2:$C$622,0)),"",INDEX('Compliance Database'!$D$2:$D$622,MATCH(252,'Transfer Engine'!$C$2:$C$622,0)))</f>
        <v/>
      </c>
      <c r="E261">
        <f>IF(ISNA(MATCH(252,'Transfer Engine'!$C$2:$C$622,0)),"",INDEX('Compliance Database'!$E$2:$E$622,MATCH(252,'Transfer Engine'!$C$2:$C$622,0)))</f>
        <v/>
      </c>
      <c r="F261">
        <f>IF(ISNA(MATCH(252,'Transfer Engine'!$C$2:$C$622,0)),"",INDEX('Compliance Database'!$F$2:$F$622,MATCH(252,'Transfer Engine'!$C$2:$C$622,0)))</f>
        <v/>
      </c>
      <c r="G261">
        <f>IF(ISNA(MATCH(252,'Transfer Engine'!$C$2:$C$622,0)),"",INDEX('Compliance Database'!$G$2:$G$622,MATCH(252,'Transfer Engine'!$C$2:$C$622,0)))</f>
        <v/>
      </c>
      <c r="H261">
        <f>IF(ISNA(MATCH(252,'Transfer Engine'!$C$2:$C$622,0)),"",INDEX('Compliance Database'!$H$2:$H$622,MATCH(252,'Transfer Engine'!$C$2:$C$622,0)))</f>
        <v/>
      </c>
      <c r="I261" s="8">
        <f>IF(ISNA(MATCH(252,'Transfer Engine'!$C$2:$C$622,0)),"",INDEX('Compliance Database'!$I$2:$I$622,MATCH(252,'Transfer Engine'!$C$2:$C$622,0)))</f>
        <v/>
      </c>
      <c r="J261" s="8">
        <f>IF(ISNA(MATCH(252,'Transfer Engine'!$C$2:$C$622,0)),"",INDEX('Compliance Database'!$J$2:$J$622,MATCH(252,'Transfer Engine'!$C$2:$C$622,0)))</f>
        <v/>
      </c>
      <c r="K261">
        <f>IF(ISNA(MATCH(252,'Transfer Engine'!$C$2:$C$622,0)),"",INDEX('Compliance Database'!$K$2:$K$622,MATCH(252,'Transfer Engine'!$C$2:$C$622,0)))</f>
        <v/>
      </c>
      <c r="L261" s="8">
        <f>IF(ISNA(MATCH(252,'Transfer Engine'!$C$2:$C$622,0)),"",INDEX('Compliance Database'!$L$2:$L$622,MATCH(252,'Transfer Engine'!$C$2:$C$622,0)))</f>
        <v/>
      </c>
      <c r="M261" s="8">
        <f>IF(ISNA(MATCH(252,'Transfer Engine'!$C$2:$C$622,0)),"",INDEX('Compliance Database'!$M$2:$M$622,MATCH(252,'Transfer Engine'!$C$2:$C$622,0)))</f>
        <v/>
      </c>
      <c r="N261" s="8">
        <f>IF(ISNA(MATCH(252,'Transfer Engine'!$C$2:$C$622,0)),"",INDEX('Compliance Database'!$N$2:$N$622,MATCH(252,'Transfer Engine'!$C$2:$C$622,0)))</f>
        <v/>
      </c>
      <c r="O261" s="8">
        <f>IF(ISNA(MATCH(252,'Transfer Engine'!$C$2:$C$622,0)),"",INDEX('Compliance Database'!$O$2:$O$622,MATCH(252,'Transfer Engine'!$C$2:$C$622,0)))</f>
        <v/>
      </c>
    </row>
    <row r="262">
      <c r="A262">
        <f>IF(ISNA(MATCH(253,'Transfer Engine'!$C$2:$C$622,0)),"",INDEX('Compliance Database'!$A$2:$A$622,MATCH(253,'Transfer Engine'!$C$2:$C$622,0)))</f>
        <v/>
      </c>
      <c r="B262">
        <f>IF(ISNA(MATCH(253,'Transfer Engine'!$C$2:$C$622,0)),"",INDEX('Compliance Database'!$B$2:$B$622,MATCH(253,'Transfer Engine'!$C$2:$C$622,0)))</f>
        <v/>
      </c>
      <c r="C262">
        <f>IF(ISNA(MATCH(253,'Transfer Engine'!$C$2:$C$622,0)),"",INDEX('Compliance Database'!$C$2:$C$622,MATCH(253,'Transfer Engine'!$C$2:$C$622,0)))</f>
        <v/>
      </c>
      <c r="D262" s="8">
        <f>IF(ISNA(MATCH(253,'Transfer Engine'!$C$2:$C$622,0)),"",INDEX('Compliance Database'!$D$2:$D$622,MATCH(253,'Transfer Engine'!$C$2:$C$622,0)))</f>
        <v/>
      </c>
      <c r="E262">
        <f>IF(ISNA(MATCH(253,'Transfer Engine'!$C$2:$C$622,0)),"",INDEX('Compliance Database'!$E$2:$E$622,MATCH(253,'Transfer Engine'!$C$2:$C$622,0)))</f>
        <v/>
      </c>
      <c r="F262">
        <f>IF(ISNA(MATCH(253,'Transfer Engine'!$C$2:$C$622,0)),"",INDEX('Compliance Database'!$F$2:$F$622,MATCH(253,'Transfer Engine'!$C$2:$C$622,0)))</f>
        <v/>
      </c>
      <c r="G262">
        <f>IF(ISNA(MATCH(253,'Transfer Engine'!$C$2:$C$622,0)),"",INDEX('Compliance Database'!$G$2:$G$622,MATCH(253,'Transfer Engine'!$C$2:$C$622,0)))</f>
        <v/>
      </c>
      <c r="H262">
        <f>IF(ISNA(MATCH(253,'Transfer Engine'!$C$2:$C$622,0)),"",INDEX('Compliance Database'!$H$2:$H$622,MATCH(253,'Transfer Engine'!$C$2:$C$622,0)))</f>
        <v/>
      </c>
      <c r="I262" s="8">
        <f>IF(ISNA(MATCH(253,'Transfer Engine'!$C$2:$C$622,0)),"",INDEX('Compliance Database'!$I$2:$I$622,MATCH(253,'Transfer Engine'!$C$2:$C$622,0)))</f>
        <v/>
      </c>
      <c r="J262" s="8">
        <f>IF(ISNA(MATCH(253,'Transfer Engine'!$C$2:$C$622,0)),"",INDEX('Compliance Database'!$J$2:$J$622,MATCH(253,'Transfer Engine'!$C$2:$C$622,0)))</f>
        <v/>
      </c>
      <c r="K262">
        <f>IF(ISNA(MATCH(253,'Transfer Engine'!$C$2:$C$622,0)),"",INDEX('Compliance Database'!$K$2:$K$622,MATCH(253,'Transfer Engine'!$C$2:$C$622,0)))</f>
        <v/>
      </c>
      <c r="L262" s="8">
        <f>IF(ISNA(MATCH(253,'Transfer Engine'!$C$2:$C$622,0)),"",INDEX('Compliance Database'!$L$2:$L$622,MATCH(253,'Transfer Engine'!$C$2:$C$622,0)))</f>
        <v/>
      </c>
      <c r="M262" s="8">
        <f>IF(ISNA(MATCH(253,'Transfer Engine'!$C$2:$C$622,0)),"",INDEX('Compliance Database'!$M$2:$M$622,MATCH(253,'Transfer Engine'!$C$2:$C$622,0)))</f>
        <v/>
      </c>
      <c r="N262" s="8">
        <f>IF(ISNA(MATCH(253,'Transfer Engine'!$C$2:$C$622,0)),"",INDEX('Compliance Database'!$N$2:$N$622,MATCH(253,'Transfer Engine'!$C$2:$C$622,0)))</f>
        <v/>
      </c>
      <c r="O262" s="8">
        <f>IF(ISNA(MATCH(253,'Transfer Engine'!$C$2:$C$622,0)),"",INDEX('Compliance Database'!$O$2:$O$622,MATCH(253,'Transfer Engine'!$C$2:$C$622,0)))</f>
        <v/>
      </c>
    </row>
    <row r="263">
      <c r="A263">
        <f>IF(ISNA(MATCH(254,'Transfer Engine'!$C$2:$C$622,0)),"",INDEX('Compliance Database'!$A$2:$A$622,MATCH(254,'Transfer Engine'!$C$2:$C$622,0)))</f>
        <v/>
      </c>
      <c r="B263">
        <f>IF(ISNA(MATCH(254,'Transfer Engine'!$C$2:$C$622,0)),"",INDEX('Compliance Database'!$B$2:$B$622,MATCH(254,'Transfer Engine'!$C$2:$C$622,0)))</f>
        <v/>
      </c>
      <c r="C263">
        <f>IF(ISNA(MATCH(254,'Transfer Engine'!$C$2:$C$622,0)),"",INDEX('Compliance Database'!$C$2:$C$622,MATCH(254,'Transfer Engine'!$C$2:$C$622,0)))</f>
        <v/>
      </c>
      <c r="D263" s="8">
        <f>IF(ISNA(MATCH(254,'Transfer Engine'!$C$2:$C$622,0)),"",INDEX('Compliance Database'!$D$2:$D$622,MATCH(254,'Transfer Engine'!$C$2:$C$622,0)))</f>
        <v/>
      </c>
      <c r="E263">
        <f>IF(ISNA(MATCH(254,'Transfer Engine'!$C$2:$C$622,0)),"",INDEX('Compliance Database'!$E$2:$E$622,MATCH(254,'Transfer Engine'!$C$2:$C$622,0)))</f>
        <v/>
      </c>
      <c r="F263">
        <f>IF(ISNA(MATCH(254,'Transfer Engine'!$C$2:$C$622,0)),"",INDEX('Compliance Database'!$F$2:$F$622,MATCH(254,'Transfer Engine'!$C$2:$C$622,0)))</f>
        <v/>
      </c>
      <c r="G263">
        <f>IF(ISNA(MATCH(254,'Transfer Engine'!$C$2:$C$622,0)),"",INDEX('Compliance Database'!$G$2:$G$622,MATCH(254,'Transfer Engine'!$C$2:$C$622,0)))</f>
        <v/>
      </c>
      <c r="H263">
        <f>IF(ISNA(MATCH(254,'Transfer Engine'!$C$2:$C$622,0)),"",INDEX('Compliance Database'!$H$2:$H$622,MATCH(254,'Transfer Engine'!$C$2:$C$622,0)))</f>
        <v/>
      </c>
      <c r="I263" s="8">
        <f>IF(ISNA(MATCH(254,'Transfer Engine'!$C$2:$C$622,0)),"",INDEX('Compliance Database'!$I$2:$I$622,MATCH(254,'Transfer Engine'!$C$2:$C$622,0)))</f>
        <v/>
      </c>
      <c r="J263" s="8">
        <f>IF(ISNA(MATCH(254,'Transfer Engine'!$C$2:$C$622,0)),"",INDEX('Compliance Database'!$J$2:$J$622,MATCH(254,'Transfer Engine'!$C$2:$C$622,0)))</f>
        <v/>
      </c>
      <c r="K263">
        <f>IF(ISNA(MATCH(254,'Transfer Engine'!$C$2:$C$622,0)),"",INDEX('Compliance Database'!$K$2:$K$622,MATCH(254,'Transfer Engine'!$C$2:$C$622,0)))</f>
        <v/>
      </c>
      <c r="L263" s="8">
        <f>IF(ISNA(MATCH(254,'Transfer Engine'!$C$2:$C$622,0)),"",INDEX('Compliance Database'!$L$2:$L$622,MATCH(254,'Transfer Engine'!$C$2:$C$622,0)))</f>
        <v/>
      </c>
      <c r="M263" s="8">
        <f>IF(ISNA(MATCH(254,'Transfer Engine'!$C$2:$C$622,0)),"",INDEX('Compliance Database'!$M$2:$M$622,MATCH(254,'Transfer Engine'!$C$2:$C$622,0)))</f>
        <v/>
      </c>
      <c r="N263" s="8">
        <f>IF(ISNA(MATCH(254,'Transfer Engine'!$C$2:$C$622,0)),"",INDEX('Compliance Database'!$N$2:$N$622,MATCH(254,'Transfer Engine'!$C$2:$C$622,0)))</f>
        <v/>
      </c>
      <c r="O263" s="8">
        <f>IF(ISNA(MATCH(254,'Transfer Engine'!$C$2:$C$622,0)),"",INDEX('Compliance Database'!$O$2:$O$622,MATCH(254,'Transfer Engine'!$C$2:$C$622,0)))</f>
        <v/>
      </c>
    </row>
    <row r="264">
      <c r="A264">
        <f>IF(ISNA(MATCH(255,'Transfer Engine'!$C$2:$C$622,0)),"",INDEX('Compliance Database'!$A$2:$A$622,MATCH(255,'Transfer Engine'!$C$2:$C$622,0)))</f>
        <v/>
      </c>
      <c r="B264">
        <f>IF(ISNA(MATCH(255,'Transfer Engine'!$C$2:$C$622,0)),"",INDEX('Compliance Database'!$B$2:$B$622,MATCH(255,'Transfer Engine'!$C$2:$C$622,0)))</f>
        <v/>
      </c>
      <c r="C264">
        <f>IF(ISNA(MATCH(255,'Transfer Engine'!$C$2:$C$622,0)),"",INDEX('Compliance Database'!$C$2:$C$622,MATCH(255,'Transfer Engine'!$C$2:$C$622,0)))</f>
        <v/>
      </c>
      <c r="D264" s="8">
        <f>IF(ISNA(MATCH(255,'Transfer Engine'!$C$2:$C$622,0)),"",INDEX('Compliance Database'!$D$2:$D$622,MATCH(255,'Transfer Engine'!$C$2:$C$622,0)))</f>
        <v/>
      </c>
      <c r="E264">
        <f>IF(ISNA(MATCH(255,'Transfer Engine'!$C$2:$C$622,0)),"",INDEX('Compliance Database'!$E$2:$E$622,MATCH(255,'Transfer Engine'!$C$2:$C$622,0)))</f>
        <v/>
      </c>
      <c r="F264">
        <f>IF(ISNA(MATCH(255,'Transfer Engine'!$C$2:$C$622,0)),"",INDEX('Compliance Database'!$F$2:$F$622,MATCH(255,'Transfer Engine'!$C$2:$C$622,0)))</f>
        <v/>
      </c>
      <c r="G264">
        <f>IF(ISNA(MATCH(255,'Transfer Engine'!$C$2:$C$622,0)),"",INDEX('Compliance Database'!$G$2:$G$622,MATCH(255,'Transfer Engine'!$C$2:$C$622,0)))</f>
        <v/>
      </c>
      <c r="H264">
        <f>IF(ISNA(MATCH(255,'Transfer Engine'!$C$2:$C$622,0)),"",INDEX('Compliance Database'!$H$2:$H$622,MATCH(255,'Transfer Engine'!$C$2:$C$622,0)))</f>
        <v/>
      </c>
      <c r="I264" s="8">
        <f>IF(ISNA(MATCH(255,'Transfer Engine'!$C$2:$C$622,0)),"",INDEX('Compliance Database'!$I$2:$I$622,MATCH(255,'Transfer Engine'!$C$2:$C$622,0)))</f>
        <v/>
      </c>
      <c r="J264" s="8">
        <f>IF(ISNA(MATCH(255,'Transfer Engine'!$C$2:$C$622,0)),"",INDEX('Compliance Database'!$J$2:$J$622,MATCH(255,'Transfer Engine'!$C$2:$C$622,0)))</f>
        <v/>
      </c>
      <c r="K264">
        <f>IF(ISNA(MATCH(255,'Transfer Engine'!$C$2:$C$622,0)),"",INDEX('Compliance Database'!$K$2:$K$622,MATCH(255,'Transfer Engine'!$C$2:$C$622,0)))</f>
        <v/>
      </c>
      <c r="L264" s="8">
        <f>IF(ISNA(MATCH(255,'Transfer Engine'!$C$2:$C$622,0)),"",INDEX('Compliance Database'!$L$2:$L$622,MATCH(255,'Transfer Engine'!$C$2:$C$622,0)))</f>
        <v/>
      </c>
      <c r="M264" s="8">
        <f>IF(ISNA(MATCH(255,'Transfer Engine'!$C$2:$C$622,0)),"",INDEX('Compliance Database'!$M$2:$M$622,MATCH(255,'Transfer Engine'!$C$2:$C$622,0)))</f>
        <v/>
      </c>
      <c r="N264" s="8">
        <f>IF(ISNA(MATCH(255,'Transfer Engine'!$C$2:$C$622,0)),"",INDEX('Compliance Database'!$N$2:$N$622,MATCH(255,'Transfer Engine'!$C$2:$C$622,0)))</f>
        <v/>
      </c>
      <c r="O264" s="8">
        <f>IF(ISNA(MATCH(255,'Transfer Engine'!$C$2:$C$622,0)),"",INDEX('Compliance Database'!$O$2:$O$622,MATCH(255,'Transfer Engine'!$C$2:$C$622,0)))</f>
        <v/>
      </c>
    </row>
    <row r="265">
      <c r="A265">
        <f>IF(ISNA(MATCH(256,'Transfer Engine'!$C$2:$C$622,0)),"",INDEX('Compliance Database'!$A$2:$A$622,MATCH(256,'Transfer Engine'!$C$2:$C$622,0)))</f>
        <v/>
      </c>
      <c r="B265">
        <f>IF(ISNA(MATCH(256,'Transfer Engine'!$C$2:$C$622,0)),"",INDEX('Compliance Database'!$B$2:$B$622,MATCH(256,'Transfer Engine'!$C$2:$C$622,0)))</f>
        <v/>
      </c>
      <c r="C265">
        <f>IF(ISNA(MATCH(256,'Transfer Engine'!$C$2:$C$622,0)),"",INDEX('Compliance Database'!$C$2:$C$622,MATCH(256,'Transfer Engine'!$C$2:$C$622,0)))</f>
        <v/>
      </c>
      <c r="D265" s="8">
        <f>IF(ISNA(MATCH(256,'Transfer Engine'!$C$2:$C$622,0)),"",INDEX('Compliance Database'!$D$2:$D$622,MATCH(256,'Transfer Engine'!$C$2:$C$622,0)))</f>
        <v/>
      </c>
      <c r="E265">
        <f>IF(ISNA(MATCH(256,'Transfer Engine'!$C$2:$C$622,0)),"",INDEX('Compliance Database'!$E$2:$E$622,MATCH(256,'Transfer Engine'!$C$2:$C$622,0)))</f>
        <v/>
      </c>
      <c r="F265">
        <f>IF(ISNA(MATCH(256,'Transfer Engine'!$C$2:$C$622,0)),"",INDEX('Compliance Database'!$F$2:$F$622,MATCH(256,'Transfer Engine'!$C$2:$C$622,0)))</f>
        <v/>
      </c>
      <c r="G265">
        <f>IF(ISNA(MATCH(256,'Transfer Engine'!$C$2:$C$622,0)),"",INDEX('Compliance Database'!$G$2:$G$622,MATCH(256,'Transfer Engine'!$C$2:$C$622,0)))</f>
        <v/>
      </c>
      <c r="H265">
        <f>IF(ISNA(MATCH(256,'Transfer Engine'!$C$2:$C$622,0)),"",INDEX('Compliance Database'!$H$2:$H$622,MATCH(256,'Transfer Engine'!$C$2:$C$622,0)))</f>
        <v/>
      </c>
      <c r="I265" s="8">
        <f>IF(ISNA(MATCH(256,'Transfer Engine'!$C$2:$C$622,0)),"",INDEX('Compliance Database'!$I$2:$I$622,MATCH(256,'Transfer Engine'!$C$2:$C$622,0)))</f>
        <v/>
      </c>
      <c r="J265" s="8">
        <f>IF(ISNA(MATCH(256,'Transfer Engine'!$C$2:$C$622,0)),"",INDEX('Compliance Database'!$J$2:$J$622,MATCH(256,'Transfer Engine'!$C$2:$C$622,0)))</f>
        <v/>
      </c>
      <c r="K265">
        <f>IF(ISNA(MATCH(256,'Transfer Engine'!$C$2:$C$622,0)),"",INDEX('Compliance Database'!$K$2:$K$622,MATCH(256,'Transfer Engine'!$C$2:$C$622,0)))</f>
        <v/>
      </c>
      <c r="L265" s="8">
        <f>IF(ISNA(MATCH(256,'Transfer Engine'!$C$2:$C$622,0)),"",INDEX('Compliance Database'!$L$2:$L$622,MATCH(256,'Transfer Engine'!$C$2:$C$622,0)))</f>
        <v/>
      </c>
      <c r="M265" s="8">
        <f>IF(ISNA(MATCH(256,'Transfer Engine'!$C$2:$C$622,0)),"",INDEX('Compliance Database'!$M$2:$M$622,MATCH(256,'Transfer Engine'!$C$2:$C$622,0)))</f>
        <v/>
      </c>
      <c r="N265" s="8">
        <f>IF(ISNA(MATCH(256,'Transfer Engine'!$C$2:$C$622,0)),"",INDEX('Compliance Database'!$N$2:$N$622,MATCH(256,'Transfer Engine'!$C$2:$C$622,0)))</f>
        <v/>
      </c>
      <c r="O265" s="8">
        <f>IF(ISNA(MATCH(256,'Transfer Engine'!$C$2:$C$622,0)),"",INDEX('Compliance Database'!$O$2:$O$622,MATCH(256,'Transfer Engine'!$C$2:$C$622,0)))</f>
        <v/>
      </c>
    </row>
    <row r="266">
      <c r="A266">
        <f>IF(ISNA(MATCH(257,'Transfer Engine'!$C$2:$C$622,0)),"",INDEX('Compliance Database'!$A$2:$A$622,MATCH(257,'Transfer Engine'!$C$2:$C$622,0)))</f>
        <v/>
      </c>
      <c r="B266">
        <f>IF(ISNA(MATCH(257,'Transfer Engine'!$C$2:$C$622,0)),"",INDEX('Compliance Database'!$B$2:$B$622,MATCH(257,'Transfer Engine'!$C$2:$C$622,0)))</f>
        <v/>
      </c>
      <c r="C266">
        <f>IF(ISNA(MATCH(257,'Transfer Engine'!$C$2:$C$622,0)),"",INDEX('Compliance Database'!$C$2:$C$622,MATCH(257,'Transfer Engine'!$C$2:$C$622,0)))</f>
        <v/>
      </c>
      <c r="D266" s="8">
        <f>IF(ISNA(MATCH(257,'Transfer Engine'!$C$2:$C$622,0)),"",INDEX('Compliance Database'!$D$2:$D$622,MATCH(257,'Transfer Engine'!$C$2:$C$622,0)))</f>
        <v/>
      </c>
      <c r="E266">
        <f>IF(ISNA(MATCH(257,'Transfer Engine'!$C$2:$C$622,0)),"",INDEX('Compliance Database'!$E$2:$E$622,MATCH(257,'Transfer Engine'!$C$2:$C$622,0)))</f>
        <v/>
      </c>
      <c r="F266">
        <f>IF(ISNA(MATCH(257,'Transfer Engine'!$C$2:$C$622,0)),"",INDEX('Compliance Database'!$F$2:$F$622,MATCH(257,'Transfer Engine'!$C$2:$C$622,0)))</f>
        <v/>
      </c>
      <c r="G266">
        <f>IF(ISNA(MATCH(257,'Transfer Engine'!$C$2:$C$622,0)),"",INDEX('Compliance Database'!$G$2:$G$622,MATCH(257,'Transfer Engine'!$C$2:$C$622,0)))</f>
        <v/>
      </c>
      <c r="H266">
        <f>IF(ISNA(MATCH(257,'Transfer Engine'!$C$2:$C$622,0)),"",INDEX('Compliance Database'!$H$2:$H$622,MATCH(257,'Transfer Engine'!$C$2:$C$622,0)))</f>
        <v/>
      </c>
      <c r="I266" s="8">
        <f>IF(ISNA(MATCH(257,'Transfer Engine'!$C$2:$C$622,0)),"",INDEX('Compliance Database'!$I$2:$I$622,MATCH(257,'Transfer Engine'!$C$2:$C$622,0)))</f>
        <v/>
      </c>
      <c r="J266" s="8">
        <f>IF(ISNA(MATCH(257,'Transfer Engine'!$C$2:$C$622,0)),"",INDEX('Compliance Database'!$J$2:$J$622,MATCH(257,'Transfer Engine'!$C$2:$C$622,0)))</f>
        <v/>
      </c>
      <c r="K266">
        <f>IF(ISNA(MATCH(257,'Transfer Engine'!$C$2:$C$622,0)),"",INDEX('Compliance Database'!$K$2:$K$622,MATCH(257,'Transfer Engine'!$C$2:$C$622,0)))</f>
        <v/>
      </c>
      <c r="L266" s="8">
        <f>IF(ISNA(MATCH(257,'Transfer Engine'!$C$2:$C$622,0)),"",INDEX('Compliance Database'!$L$2:$L$622,MATCH(257,'Transfer Engine'!$C$2:$C$622,0)))</f>
        <v/>
      </c>
      <c r="M266" s="8">
        <f>IF(ISNA(MATCH(257,'Transfer Engine'!$C$2:$C$622,0)),"",INDEX('Compliance Database'!$M$2:$M$622,MATCH(257,'Transfer Engine'!$C$2:$C$622,0)))</f>
        <v/>
      </c>
      <c r="N266" s="8">
        <f>IF(ISNA(MATCH(257,'Transfer Engine'!$C$2:$C$622,0)),"",INDEX('Compliance Database'!$N$2:$N$622,MATCH(257,'Transfer Engine'!$C$2:$C$622,0)))</f>
        <v/>
      </c>
      <c r="O266" s="8">
        <f>IF(ISNA(MATCH(257,'Transfer Engine'!$C$2:$C$622,0)),"",INDEX('Compliance Database'!$O$2:$O$622,MATCH(257,'Transfer Engine'!$C$2:$C$622,0)))</f>
        <v/>
      </c>
    </row>
    <row r="267">
      <c r="A267">
        <f>IF(ISNA(MATCH(258,'Transfer Engine'!$C$2:$C$622,0)),"",INDEX('Compliance Database'!$A$2:$A$622,MATCH(258,'Transfer Engine'!$C$2:$C$622,0)))</f>
        <v/>
      </c>
      <c r="B267">
        <f>IF(ISNA(MATCH(258,'Transfer Engine'!$C$2:$C$622,0)),"",INDEX('Compliance Database'!$B$2:$B$622,MATCH(258,'Transfer Engine'!$C$2:$C$622,0)))</f>
        <v/>
      </c>
      <c r="C267">
        <f>IF(ISNA(MATCH(258,'Transfer Engine'!$C$2:$C$622,0)),"",INDEX('Compliance Database'!$C$2:$C$622,MATCH(258,'Transfer Engine'!$C$2:$C$622,0)))</f>
        <v/>
      </c>
      <c r="D267" s="8">
        <f>IF(ISNA(MATCH(258,'Transfer Engine'!$C$2:$C$622,0)),"",INDEX('Compliance Database'!$D$2:$D$622,MATCH(258,'Transfer Engine'!$C$2:$C$622,0)))</f>
        <v/>
      </c>
      <c r="E267">
        <f>IF(ISNA(MATCH(258,'Transfer Engine'!$C$2:$C$622,0)),"",INDEX('Compliance Database'!$E$2:$E$622,MATCH(258,'Transfer Engine'!$C$2:$C$622,0)))</f>
        <v/>
      </c>
      <c r="F267">
        <f>IF(ISNA(MATCH(258,'Transfer Engine'!$C$2:$C$622,0)),"",INDEX('Compliance Database'!$F$2:$F$622,MATCH(258,'Transfer Engine'!$C$2:$C$622,0)))</f>
        <v/>
      </c>
      <c r="G267">
        <f>IF(ISNA(MATCH(258,'Transfer Engine'!$C$2:$C$622,0)),"",INDEX('Compliance Database'!$G$2:$G$622,MATCH(258,'Transfer Engine'!$C$2:$C$622,0)))</f>
        <v/>
      </c>
      <c r="H267">
        <f>IF(ISNA(MATCH(258,'Transfer Engine'!$C$2:$C$622,0)),"",INDEX('Compliance Database'!$H$2:$H$622,MATCH(258,'Transfer Engine'!$C$2:$C$622,0)))</f>
        <v/>
      </c>
      <c r="I267" s="8">
        <f>IF(ISNA(MATCH(258,'Transfer Engine'!$C$2:$C$622,0)),"",INDEX('Compliance Database'!$I$2:$I$622,MATCH(258,'Transfer Engine'!$C$2:$C$622,0)))</f>
        <v/>
      </c>
      <c r="J267" s="8">
        <f>IF(ISNA(MATCH(258,'Transfer Engine'!$C$2:$C$622,0)),"",INDEX('Compliance Database'!$J$2:$J$622,MATCH(258,'Transfer Engine'!$C$2:$C$622,0)))</f>
        <v/>
      </c>
      <c r="K267">
        <f>IF(ISNA(MATCH(258,'Transfer Engine'!$C$2:$C$622,0)),"",INDEX('Compliance Database'!$K$2:$K$622,MATCH(258,'Transfer Engine'!$C$2:$C$622,0)))</f>
        <v/>
      </c>
      <c r="L267" s="8">
        <f>IF(ISNA(MATCH(258,'Transfer Engine'!$C$2:$C$622,0)),"",INDEX('Compliance Database'!$L$2:$L$622,MATCH(258,'Transfer Engine'!$C$2:$C$622,0)))</f>
        <v/>
      </c>
      <c r="M267" s="8">
        <f>IF(ISNA(MATCH(258,'Transfer Engine'!$C$2:$C$622,0)),"",INDEX('Compliance Database'!$M$2:$M$622,MATCH(258,'Transfer Engine'!$C$2:$C$622,0)))</f>
        <v/>
      </c>
      <c r="N267" s="8">
        <f>IF(ISNA(MATCH(258,'Transfer Engine'!$C$2:$C$622,0)),"",INDEX('Compliance Database'!$N$2:$N$622,MATCH(258,'Transfer Engine'!$C$2:$C$622,0)))</f>
        <v/>
      </c>
      <c r="O267" s="8">
        <f>IF(ISNA(MATCH(258,'Transfer Engine'!$C$2:$C$622,0)),"",INDEX('Compliance Database'!$O$2:$O$622,MATCH(258,'Transfer Engine'!$C$2:$C$622,0)))</f>
        <v/>
      </c>
    </row>
    <row r="268">
      <c r="A268">
        <f>IF(ISNA(MATCH(259,'Transfer Engine'!$C$2:$C$622,0)),"",INDEX('Compliance Database'!$A$2:$A$622,MATCH(259,'Transfer Engine'!$C$2:$C$622,0)))</f>
        <v/>
      </c>
      <c r="B268">
        <f>IF(ISNA(MATCH(259,'Transfer Engine'!$C$2:$C$622,0)),"",INDEX('Compliance Database'!$B$2:$B$622,MATCH(259,'Transfer Engine'!$C$2:$C$622,0)))</f>
        <v/>
      </c>
      <c r="C268">
        <f>IF(ISNA(MATCH(259,'Transfer Engine'!$C$2:$C$622,0)),"",INDEX('Compliance Database'!$C$2:$C$622,MATCH(259,'Transfer Engine'!$C$2:$C$622,0)))</f>
        <v/>
      </c>
      <c r="D268" s="8">
        <f>IF(ISNA(MATCH(259,'Transfer Engine'!$C$2:$C$622,0)),"",INDEX('Compliance Database'!$D$2:$D$622,MATCH(259,'Transfer Engine'!$C$2:$C$622,0)))</f>
        <v/>
      </c>
      <c r="E268">
        <f>IF(ISNA(MATCH(259,'Transfer Engine'!$C$2:$C$622,0)),"",INDEX('Compliance Database'!$E$2:$E$622,MATCH(259,'Transfer Engine'!$C$2:$C$622,0)))</f>
        <v/>
      </c>
      <c r="F268">
        <f>IF(ISNA(MATCH(259,'Transfer Engine'!$C$2:$C$622,0)),"",INDEX('Compliance Database'!$F$2:$F$622,MATCH(259,'Transfer Engine'!$C$2:$C$622,0)))</f>
        <v/>
      </c>
      <c r="G268">
        <f>IF(ISNA(MATCH(259,'Transfer Engine'!$C$2:$C$622,0)),"",INDEX('Compliance Database'!$G$2:$G$622,MATCH(259,'Transfer Engine'!$C$2:$C$622,0)))</f>
        <v/>
      </c>
      <c r="H268">
        <f>IF(ISNA(MATCH(259,'Transfer Engine'!$C$2:$C$622,0)),"",INDEX('Compliance Database'!$H$2:$H$622,MATCH(259,'Transfer Engine'!$C$2:$C$622,0)))</f>
        <v/>
      </c>
      <c r="I268" s="8">
        <f>IF(ISNA(MATCH(259,'Transfer Engine'!$C$2:$C$622,0)),"",INDEX('Compliance Database'!$I$2:$I$622,MATCH(259,'Transfer Engine'!$C$2:$C$622,0)))</f>
        <v/>
      </c>
      <c r="J268" s="8">
        <f>IF(ISNA(MATCH(259,'Transfer Engine'!$C$2:$C$622,0)),"",INDEX('Compliance Database'!$J$2:$J$622,MATCH(259,'Transfer Engine'!$C$2:$C$622,0)))</f>
        <v/>
      </c>
      <c r="K268">
        <f>IF(ISNA(MATCH(259,'Transfer Engine'!$C$2:$C$622,0)),"",INDEX('Compliance Database'!$K$2:$K$622,MATCH(259,'Transfer Engine'!$C$2:$C$622,0)))</f>
        <v/>
      </c>
      <c r="L268" s="8">
        <f>IF(ISNA(MATCH(259,'Transfer Engine'!$C$2:$C$622,0)),"",INDEX('Compliance Database'!$L$2:$L$622,MATCH(259,'Transfer Engine'!$C$2:$C$622,0)))</f>
        <v/>
      </c>
      <c r="M268" s="8">
        <f>IF(ISNA(MATCH(259,'Transfer Engine'!$C$2:$C$622,0)),"",INDEX('Compliance Database'!$M$2:$M$622,MATCH(259,'Transfer Engine'!$C$2:$C$622,0)))</f>
        <v/>
      </c>
      <c r="N268" s="8">
        <f>IF(ISNA(MATCH(259,'Transfer Engine'!$C$2:$C$622,0)),"",INDEX('Compliance Database'!$N$2:$N$622,MATCH(259,'Transfer Engine'!$C$2:$C$622,0)))</f>
        <v/>
      </c>
      <c r="O268" s="8">
        <f>IF(ISNA(MATCH(259,'Transfer Engine'!$C$2:$C$622,0)),"",INDEX('Compliance Database'!$O$2:$O$622,MATCH(259,'Transfer Engine'!$C$2:$C$622,0)))</f>
        <v/>
      </c>
    </row>
    <row r="269">
      <c r="A269">
        <f>IF(ISNA(MATCH(260,'Transfer Engine'!$C$2:$C$622,0)),"",INDEX('Compliance Database'!$A$2:$A$622,MATCH(260,'Transfer Engine'!$C$2:$C$622,0)))</f>
        <v/>
      </c>
      <c r="B269">
        <f>IF(ISNA(MATCH(260,'Transfer Engine'!$C$2:$C$622,0)),"",INDEX('Compliance Database'!$B$2:$B$622,MATCH(260,'Transfer Engine'!$C$2:$C$622,0)))</f>
        <v/>
      </c>
      <c r="C269">
        <f>IF(ISNA(MATCH(260,'Transfer Engine'!$C$2:$C$622,0)),"",INDEX('Compliance Database'!$C$2:$C$622,MATCH(260,'Transfer Engine'!$C$2:$C$622,0)))</f>
        <v/>
      </c>
      <c r="D269" s="8">
        <f>IF(ISNA(MATCH(260,'Transfer Engine'!$C$2:$C$622,0)),"",INDEX('Compliance Database'!$D$2:$D$622,MATCH(260,'Transfer Engine'!$C$2:$C$622,0)))</f>
        <v/>
      </c>
      <c r="E269">
        <f>IF(ISNA(MATCH(260,'Transfer Engine'!$C$2:$C$622,0)),"",INDEX('Compliance Database'!$E$2:$E$622,MATCH(260,'Transfer Engine'!$C$2:$C$622,0)))</f>
        <v/>
      </c>
      <c r="F269">
        <f>IF(ISNA(MATCH(260,'Transfer Engine'!$C$2:$C$622,0)),"",INDEX('Compliance Database'!$F$2:$F$622,MATCH(260,'Transfer Engine'!$C$2:$C$622,0)))</f>
        <v/>
      </c>
      <c r="G269">
        <f>IF(ISNA(MATCH(260,'Transfer Engine'!$C$2:$C$622,0)),"",INDEX('Compliance Database'!$G$2:$G$622,MATCH(260,'Transfer Engine'!$C$2:$C$622,0)))</f>
        <v/>
      </c>
      <c r="H269">
        <f>IF(ISNA(MATCH(260,'Transfer Engine'!$C$2:$C$622,0)),"",INDEX('Compliance Database'!$H$2:$H$622,MATCH(260,'Transfer Engine'!$C$2:$C$622,0)))</f>
        <v/>
      </c>
      <c r="I269" s="8">
        <f>IF(ISNA(MATCH(260,'Transfer Engine'!$C$2:$C$622,0)),"",INDEX('Compliance Database'!$I$2:$I$622,MATCH(260,'Transfer Engine'!$C$2:$C$622,0)))</f>
        <v/>
      </c>
      <c r="J269" s="8">
        <f>IF(ISNA(MATCH(260,'Transfer Engine'!$C$2:$C$622,0)),"",INDEX('Compliance Database'!$J$2:$J$622,MATCH(260,'Transfer Engine'!$C$2:$C$622,0)))</f>
        <v/>
      </c>
      <c r="K269">
        <f>IF(ISNA(MATCH(260,'Transfer Engine'!$C$2:$C$622,0)),"",INDEX('Compliance Database'!$K$2:$K$622,MATCH(260,'Transfer Engine'!$C$2:$C$622,0)))</f>
        <v/>
      </c>
      <c r="L269" s="8">
        <f>IF(ISNA(MATCH(260,'Transfer Engine'!$C$2:$C$622,0)),"",INDEX('Compliance Database'!$L$2:$L$622,MATCH(260,'Transfer Engine'!$C$2:$C$622,0)))</f>
        <v/>
      </c>
      <c r="M269" s="8">
        <f>IF(ISNA(MATCH(260,'Transfer Engine'!$C$2:$C$622,0)),"",INDEX('Compliance Database'!$M$2:$M$622,MATCH(260,'Transfer Engine'!$C$2:$C$622,0)))</f>
        <v/>
      </c>
      <c r="N269" s="8">
        <f>IF(ISNA(MATCH(260,'Transfer Engine'!$C$2:$C$622,0)),"",INDEX('Compliance Database'!$N$2:$N$622,MATCH(260,'Transfer Engine'!$C$2:$C$622,0)))</f>
        <v/>
      </c>
      <c r="O269" s="8">
        <f>IF(ISNA(MATCH(260,'Transfer Engine'!$C$2:$C$622,0)),"",INDEX('Compliance Database'!$O$2:$O$622,MATCH(260,'Transfer Engine'!$C$2:$C$622,0)))</f>
        <v/>
      </c>
    </row>
    <row r="270">
      <c r="A270">
        <f>IF(ISNA(MATCH(261,'Transfer Engine'!$C$2:$C$622,0)),"",INDEX('Compliance Database'!$A$2:$A$622,MATCH(261,'Transfer Engine'!$C$2:$C$622,0)))</f>
        <v/>
      </c>
      <c r="B270">
        <f>IF(ISNA(MATCH(261,'Transfer Engine'!$C$2:$C$622,0)),"",INDEX('Compliance Database'!$B$2:$B$622,MATCH(261,'Transfer Engine'!$C$2:$C$622,0)))</f>
        <v/>
      </c>
      <c r="C270">
        <f>IF(ISNA(MATCH(261,'Transfer Engine'!$C$2:$C$622,0)),"",INDEX('Compliance Database'!$C$2:$C$622,MATCH(261,'Transfer Engine'!$C$2:$C$622,0)))</f>
        <v/>
      </c>
      <c r="D270" s="8">
        <f>IF(ISNA(MATCH(261,'Transfer Engine'!$C$2:$C$622,0)),"",INDEX('Compliance Database'!$D$2:$D$622,MATCH(261,'Transfer Engine'!$C$2:$C$622,0)))</f>
        <v/>
      </c>
      <c r="E270">
        <f>IF(ISNA(MATCH(261,'Transfer Engine'!$C$2:$C$622,0)),"",INDEX('Compliance Database'!$E$2:$E$622,MATCH(261,'Transfer Engine'!$C$2:$C$622,0)))</f>
        <v/>
      </c>
      <c r="F270">
        <f>IF(ISNA(MATCH(261,'Transfer Engine'!$C$2:$C$622,0)),"",INDEX('Compliance Database'!$F$2:$F$622,MATCH(261,'Transfer Engine'!$C$2:$C$622,0)))</f>
        <v/>
      </c>
      <c r="G270">
        <f>IF(ISNA(MATCH(261,'Transfer Engine'!$C$2:$C$622,0)),"",INDEX('Compliance Database'!$G$2:$G$622,MATCH(261,'Transfer Engine'!$C$2:$C$622,0)))</f>
        <v/>
      </c>
      <c r="H270">
        <f>IF(ISNA(MATCH(261,'Transfer Engine'!$C$2:$C$622,0)),"",INDEX('Compliance Database'!$H$2:$H$622,MATCH(261,'Transfer Engine'!$C$2:$C$622,0)))</f>
        <v/>
      </c>
      <c r="I270" s="8">
        <f>IF(ISNA(MATCH(261,'Transfer Engine'!$C$2:$C$622,0)),"",INDEX('Compliance Database'!$I$2:$I$622,MATCH(261,'Transfer Engine'!$C$2:$C$622,0)))</f>
        <v/>
      </c>
      <c r="J270" s="8">
        <f>IF(ISNA(MATCH(261,'Transfer Engine'!$C$2:$C$622,0)),"",INDEX('Compliance Database'!$J$2:$J$622,MATCH(261,'Transfer Engine'!$C$2:$C$622,0)))</f>
        <v/>
      </c>
      <c r="K270">
        <f>IF(ISNA(MATCH(261,'Transfer Engine'!$C$2:$C$622,0)),"",INDEX('Compliance Database'!$K$2:$K$622,MATCH(261,'Transfer Engine'!$C$2:$C$622,0)))</f>
        <v/>
      </c>
      <c r="L270" s="8">
        <f>IF(ISNA(MATCH(261,'Transfer Engine'!$C$2:$C$622,0)),"",INDEX('Compliance Database'!$L$2:$L$622,MATCH(261,'Transfer Engine'!$C$2:$C$622,0)))</f>
        <v/>
      </c>
      <c r="M270" s="8">
        <f>IF(ISNA(MATCH(261,'Transfer Engine'!$C$2:$C$622,0)),"",INDEX('Compliance Database'!$M$2:$M$622,MATCH(261,'Transfer Engine'!$C$2:$C$622,0)))</f>
        <v/>
      </c>
      <c r="N270" s="8">
        <f>IF(ISNA(MATCH(261,'Transfer Engine'!$C$2:$C$622,0)),"",INDEX('Compliance Database'!$N$2:$N$622,MATCH(261,'Transfer Engine'!$C$2:$C$622,0)))</f>
        <v/>
      </c>
      <c r="O270" s="8">
        <f>IF(ISNA(MATCH(261,'Transfer Engine'!$C$2:$C$622,0)),"",INDEX('Compliance Database'!$O$2:$O$622,MATCH(261,'Transfer Engine'!$C$2:$C$622,0)))</f>
        <v/>
      </c>
    </row>
    <row r="271">
      <c r="A271">
        <f>IF(ISNA(MATCH(262,'Transfer Engine'!$C$2:$C$622,0)),"",INDEX('Compliance Database'!$A$2:$A$622,MATCH(262,'Transfer Engine'!$C$2:$C$622,0)))</f>
        <v/>
      </c>
      <c r="B271">
        <f>IF(ISNA(MATCH(262,'Transfer Engine'!$C$2:$C$622,0)),"",INDEX('Compliance Database'!$B$2:$B$622,MATCH(262,'Transfer Engine'!$C$2:$C$622,0)))</f>
        <v/>
      </c>
      <c r="C271">
        <f>IF(ISNA(MATCH(262,'Transfer Engine'!$C$2:$C$622,0)),"",INDEX('Compliance Database'!$C$2:$C$622,MATCH(262,'Transfer Engine'!$C$2:$C$622,0)))</f>
        <v/>
      </c>
      <c r="D271" s="8">
        <f>IF(ISNA(MATCH(262,'Transfer Engine'!$C$2:$C$622,0)),"",INDEX('Compliance Database'!$D$2:$D$622,MATCH(262,'Transfer Engine'!$C$2:$C$622,0)))</f>
        <v/>
      </c>
      <c r="E271">
        <f>IF(ISNA(MATCH(262,'Transfer Engine'!$C$2:$C$622,0)),"",INDEX('Compliance Database'!$E$2:$E$622,MATCH(262,'Transfer Engine'!$C$2:$C$622,0)))</f>
        <v/>
      </c>
      <c r="F271">
        <f>IF(ISNA(MATCH(262,'Transfer Engine'!$C$2:$C$622,0)),"",INDEX('Compliance Database'!$F$2:$F$622,MATCH(262,'Transfer Engine'!$C$2:$C$622,0)))</f>
        <v/>
      </c>
      <c r="G271">
        <f>IF(ISNA(MATCH(262,'Transfer Engine'!$C$2:$C$622,0)),"",INDEX('Compliance Database'!$G$2:$G$622,MATCH(262,'Transfer Engine'!$C$2:$C$622,0)))</f>
        <v/>
      </c>
      <c r="H271">
        <f>IF(ISNA(MATCH(262,'Transfer Engine'!$C$2:$C$622,0)),"",INDEX('Compliance Database'!$H$2:$H$622,MATCH(262,'Transfer Engine'!$C$2:$C$622,0)))</f>
        <v/>
      </c>
      <c r="I271" s="8">
        <f>IF(ISNA(MATCH(262,'Transfer Engine'!$C$2:$C$622,0)),"",INDEX('Compliance Database'!$I$2:$I$622,MATCH(262,'Transfer Engine'!$C$2:$C$622,0)))</f>
        <v/>
      </c>
      <c r="J271" s="8">
        <f>IF(ISNA(MATCH(262,'Transfer Engine'!$C$2:$C$622,0)),"",INDEX('Compliance Database'!$J$2:$J$622,MATCH(262,'Transfer Engine'!$C$2:$C$622,0)))</f>
        <v/>
      </c>
      <c r="K271">
        <f>IF(ISNA(MATCH(262,'Transfer Engine'!$C$2:$C$622,0)),"",INDEX('Compliance Database'!$K$2:$K$622,MATCH(262,'Transfer Engine'!$C$2:$C$622,0)))</f>
        <v/>
      </c>
      <c r="L271" s="8">
        <f>IF(ISNA(MATCH(262,'Transfer Engine'!$C$2:$C$622,0)),"",INDEX('Compliance Database'!$L$2:$L$622,MATCH(262,'Transfer Engine'!$C$2:$C$622,0)))</f>
        <v/>
      </c>
      <c r="M271" s="8">
        <f>IF(ISNA(MATCH(262,'Transfer Engine'!$C$2:$C$622,0)),"",INDEX('Compliance Database'!$M$2:$M$622,MATCH(262,'Transfer Engine'!$C$2:$C$622,0)))</f>
        <v/>
      </c>
      <c r="N271" s="8">
        <f>IF(ISNA(MATCH(262,'Transfer Engine'!$C$2:$C$622,0)),"",INDEX('Compliance Database'!$N$2:$N$622,MATCH(262,'Transfer Engine'!$C$2:$C$622,0)))</f>
        <v/>
      </c>
      <c r="O271" s="8">
        <f>IF(ISNA(MATCH(262,'Transfer Engine'!$C$2:$C$622,0)),"",INDEX('Compliance Database'!$O$2:$O$622,MATCH(262,'Transfer Engine'!$C$2:$C$622,0)))</f>
        <v/>
      </c>
    </row>
    <row r="272">
      <c r="A272">
        <f>IF(ISNA(MATCH(263,'Transfer Engine'!$C$2:$C$622,0)),"",INDEX('Compliance Database'!$A$2:$A$622,MATCH(263,'Transfer Engine'!$C$2:$C$622,0)))</f>
        <v/>
      </c>
      <c r="B272">
        <f>IF(ISNA(MATCH(263,'Transfer Engine'!$C$2:$C$622,0)),"",INDEX('Compliance Database'!$B$2:$B$622,MATCH(263,'Transfer Engine'!$C$2:$C$622,0)))</f>
        <v/>
      </c>
      <c r="C272">
        <f>IF(ISNA(MATCH(263,'Transfer Engine'!$C$2:$C$622,0)),"",INDEX('Compliance Database'!$C$2:$C$622,MATCH(263,'Transfer Engine'!$C$2:$C$622,0)))</f>
        <v/>
      </c>
      <c r="D272" s="8">
        <f>IF(ISNA(MATCH(263,'Transfer Engine'!$C$2:$C$622,0)),"",INDEX('Compliance Database'!$D$2:$D$622,MATCH(263,'Transfer Engine'!$C$2:$C$622,0)))</f>
        <v/>
      </c>
      <c r="E272">
        <f>IF(ISNA(MATCH(263,'Transfer Engine'!$C$2:$C$622,0)),"",INDEX('Compliance Database'!$E$2:$E$622,MATCH(263,'Transfer Engine'!$C$2:$C$622,0)))</f>
        <v/>
      </c>
      <c r="F272">
        <f>IF(ISNA(MATCH(263,'Transfer Engine'!$C$2:$C$622,0)),"",INDEX('Compliance Database'!$F$2:$F$622,MATCH(263,'Transfer Engine'!$C$2:$C$622,0)))</f>
        <v/>
      </c>
      <c r="G272">
        <f>IF(ISNA(MATCH(263,'Transfer Engine'!$C$2:$C$622,0)),"",INDEX('Compliance Database'!$G$2:$G$622,MATCH(263,'Transfer Engine'!$C$2:$C$622,0)))</f>
        <v/>
      </c>
      <c r="H272">
        <f>IF(ISNA(MATCH(263,'Transfer Engine'!$C$2:$C$622,0)),"",INDEX('Compliance Database'!$H$2:$H$622,MATCH(263,'Transfer Engine'!$C$2:$C$622,0)))</f>
        <v/>
      </c>
      <c r="I272" s="8">
        <f>IF(ISNA(MATCH(263,'Transfer Engine'!$C$2:$C$622,0)),"",INDEX('Compliance Database'!$I$2:$I$622,MATCH(263,'Transfer Engine'!$C$2:$C$622,0)))</f>
        <v/>
      </c>
      <c r="J272" s="8">
        <f>IF(ISNA(MATCH(263,'Transfer Engine'!$C$2:$C$622,0)),"",INDEX('Compliance Database'!$J$2:$J$622,MATCH(263,'Transfer Engine'!$C$2:$C$622,0)))</f>
        <v/>
      </c>
      <c r="K272">
        <f>IF(ISNA(MATCH(263,'Transfer Engine'!$C$2:$C$622,0)),"",INDEX('Compliance Database'!$K$2:$K$622,MATCH(263,'Transfer Engine'!$C$2:$C$622,0)))</f>
        <v/>
      </c>
      <c r="L272" s="8">
        <f>IF(ISNA(MATCH(263,'Transfer Engine'!$C$2:$C$622,0)),"",INDEX('Compliance Database'!$L$2:$L$622,MATCH(263,'Transfer Engine'!$C$2:$C$622,0)))</f>
        <v/>
      </c>
      <c r="M272" s="8">
        <f>IF(ISNA(MATCH(263,'Transfer Engine'!$C$2:$C$622,0)),"",INDEX('Compliance Database'!$M$2:$M$622,MATCH(263,'Transfer Engine'!$C$2:$C$622,0)))</f>
        <v/>
      </c>
      <c r="N272" s="8">
        <f>IF(ISNA(MATCH(263,'Transfer Engine'!$C$2:$C$622,0)),"",INDEX('Compliance Database'!$N$2:$N$622,MATCH(263,'Transfer Engine'!$C$2:$C$622,0)))</f>
        <v/>
      </c>
      <c r="O272" s="8">
        <f>IF(ISNA(MATCH(263,'Transfer Engine'!$C$2:$C$622,0)),"",INDEX('Compliance Database'!$O$2:$O$622,MATCH(263,'Transfer Engine'!$C$2:$C$622,0)))</f>
        <v/>
      </c>
    </row>
    <row r="273">
      <c r="A273">
        <f>IF(ISNA(MATCH(264,'Transfer Engine'!$C$2:$C$622,0)),"",INDEX('Compliance Database'!$A$2:$A$622,MATCH(264,'Transfer Engine'!$C$2:$C$622,0)))</f>
        <v/>
      </c>
      <c r="B273">
        <f>IF(ISNA(MATCH(264,'Transfer Engine'!$C$2:$C$622,0)),"",INDEX('Compliance Database'!$B$2:$B$622,MATCH(264,'Transfer Engine'!$C$2:$C$622,0)))</f>
        <v/>
      </c>
      <c r="C273">
        <f>IF(ISNA(MATCH(264,'Transfer Engine'!$C$2:$C$622,0)),"",INDEX('Compliance Database'!$C$2:$C$622,MATCH(264,'Transfer Engine'!$C$2:$C$622,0)))</f>
        <v/>
      </c>
      <c r="D273" s="8">
        <f>IF(ISNA(MATCH(264,'Transfer Engine'!$C$2:$C$622,0)),"",INDEX('Compliance Database'!$D$2:$D$622,MATCH(264,'Transfer Engine'!$C$2:$C$622,0)))</f>
        <v/>
      </c>
      <c r="E273">
        <f>IF(ISNA(MATCH(264,'Transfer Engine'!$C$2:$C$622,0)),"",INDEX('Compliance Database'!$E$2:$E$622,MATCH(264,'Transfer Engine'!$C$2:$C$622,0)))</f>
        <v/>
      </c>
      <c r="F273">
        <f>IF(ISNA(MATCH(264,'Transfer Engine'!$C$2:$C$622,0)),"",INDEX('Compliance Database'!$F$2:$F$622,MATCH(264,'Transfer Engine'!$C$2:$C$622,0)))</f>
        <v/>
      </c>
      <c r="G273">
        <f>IF(ISNA(MATCH(264,'Transfer Engine'!$C$2:$C$622,0)),"",INDEX('Compliance Database'!$G$2:$G$622,MATCH(264,'Transfer Engine'!$C$2:$C$622,0)))</f>
        <v/>
      </c>
      <c r="H273">
        <f>IF(ISNA(MATCH(264,'Transfer Engine'!$C$2:$C$622,0)),"",INDEX('Compliance Database'!$H$2:$H$622,MATCH(264,'Transfer Engine'!$C$2:$C$622,0)))</f>
        <v/>
      </c>
      <c r="I273" s="8">
        <f>IF(ISNA(MATCH(264,'Transfer Engine'!$C$2:$C$622,0)),"",INDEX('Compliance Database'!$I$2:$I$622,MATCH(264,'Transfer Engine'!$C$2:$C$622,0)))</f>
        <v/>
      </c>
      <c r="J273" s="8">
        <f>IF(ISNA(MATCH(264,'Transfer Engine'!$C$2:$C$622,0)),"",INDEX('Compliance Database'!$J$2:$J$622,MATCH(264,'Transfer Engine'!$C$2:$C$622,0)))</f>
        <v/>
      </c>
      <c r="K273">
        <f>IF(ISNA(MATCH(264,'Transfer Engine'!$C$2:$C$622,0)),"",INDEX('Compliance Database'!$K$2:$K$622,MATCH(264,'Transfer Engine'!$C$2:$C$622,0)))</f>
        <v/>
      </c>
      <c r="L273" s="8">
        <f>IF(ISNA(MATCH(264,'Transfer Engine'!$C$2:$C$622,0)),"",INDEX('Compliance Database'!$L$2:$L$622,MATCH(264,'Transfer Engine'!$C$2:$C$622,0)))</f>
        <v/>
      </c>
      <c r="M273" s="8">
        <f>IF(ISNA(MATCH(264,'Transfer Engine'!$C$2:$C$622,0)),"",INDEX('Compliance Database'!$M$2:$M$622,MATCH(264,'Transfer Engine'!$C$2:$C$622,0)))</f>
        <v/>
      </c>
      <c r="N273" s="8">
        <f>IF(ISNA(MATCH(264,'Transfer Engine'!$C$2:$C$622,0)),"",INDEX('Compliance Database'!$N$2:$N$622,MATCH(264,'Transfer Engine'!$C$2:$C$622,0)))</f>
        <v/>
      </c>
      <c r="O273" s="8">
        <f>IF(ISNA(MATCH(264,'Transfer Engine'!$C$2:$C$622,0)),"",INDEX('Compliance Database'!$O$2:$O$622,MATCH(264,'Transfer Engine'!$C$2:$C$622,0)))</f>
        <v/>
      </c>
    </row>
    <row r="274">
      <c r="A274">
        <f>IF(ISNA(MATCH(265,'Transfer Engine'!$C$2:$C$622,0)),"",INDEX('Compliance Database'!$A$2:$A$622,MATCH(265,'Transfer Engine'!$C$2:$C$622,0)))</f>
        <v/>
      </c>
      <c r="B274">
        <f>IF(ISNA(MATCH(265,'Transfer Engine'!$C$2:$C$622,0)),"",INDEX('Compliance Database'!$B$2:$B$622,MATCH(265,'Transfer Engine'!$C$2:$C$622,0)))</f>
        <v/>
      </c>
      <c r="C274">
        <f>IF(ISNA(MATCH(265,'Transfer Engine'!$C$2:$C$622,0)),"",INDEX('Compliance Database'!$C$2:$C$622,MATCH(265,'Transfer Engine'!$C$2:$C$622,0)))</f>
        <v/>
      </c>
      <c r="D274" s="8">
        <f>IF(ISNA(MATCH(265,'Transfer Engine'!$C$2:$C$622,0)),"",INDEX('Compliance Database'!$D$2:$D$622,MATCH(265,'Transfer Engine'!$C$2:$C$622,0)))</f>
        <v/>
      </c>
      <c r="E274">
        <f>IF(ISNA(MATCH(265,'Transfer Engine'!$C$2:$C$622,0)),"",INDEX('Compliance Database'!$E$2:$E$622,MATCH(265,'Transfer Engine'!$C$2:$C$622,0)))</f>
        <v/>
      </c>
      <c r="F274">
        <f>IF(ISNA(MATCH(265,'Transfer Engine'!$C$2:$C$622,0)),"",INDEX('Compliance Database'!$F$2:$F$622,MATCH(265,'Transfer Engine'!$C$2:$C$622,0)))</f>
        <v/>
      </c>
      <c r="G274">
        <f>IF(ISNA(MATCH(265,'Transfer Engine'!$C$2:$C$622,0)),"",INDEX('Compliance Database'!$G$2:$G$622,MATCH(265,'Transfer Engine'!$C$2:$C$622,0)))</f>
        <v/>
      </c>
      <c r="H274">
        <f>IF(ISNA(MATCH(265,'Transfer Engine'!$C$2:$C$622,0)),"",INDEX('Compliance Database'!$H$2:$H$622,MATCH(265,'Transfer Engine'!$C$2:$C$622,0)))</f>
        <v/>
      </c>
      <c r="I274" s="8">
        <f>IF(ISNA(MATCH(265,'Transfer Engine'!$C$2:$C$622,0)),"",INDEX('Compliance Database'!$I$2:$I$622,MATCH(265,'Transfer Engine'!$C$2:$C$622,0)))</f>
        <v/>
      </c>
      <c r="J274" s="8">
        <f>IF(ISNA(MATCH(265,'Transfer Engine'!$C$2:$C$622,0)),"",INDEX('Compliance Database'!$J$2:$J$622,MATCH(265,'Transfer Engine'!$C$2:$C$622,0)))</f>
        <v/>
      </c>
      <c r="K274">
        <f>IF(ISNA(MATCH(265,'Transfer Engine'!$C$2:$C$622,0)),"",INDEX('Compliance Database'!$K$2:$K$622,MATCH(265,'Transfer Engine'!$C$2:$C$622,0)))</f>
        <v/>
      </c>
      <c r="L274" s="8">
        <f>IF(ISNA(MATCH(265,'Transfer Engine'!$C$2:$C$622,0)),"",INDEX('Compliance Database'!$L$2:$L$622,MATCH(265,'Transfer Engine'!$C$2:$C$622,0)))</f>
        <v/>
      </c>
      <c r="M274" s="8">
        <f>IF(ISNA(MATCH(265,'Transfer Engine'!$C$2:$C$622,0)),"",INDEX('Compliance Database'!$M$2:$M$622,MATCH(265,'Transfer Engine'!$C$2:$C$622,0)))</f>
        <v/>
      </c>
      <c r="N274" s="8">
        <f>IF(ISNA(MATCH(265,'Transfer Engine'!$C$2:$C$622,0)),"",INDEX('Compliance Database'!$N$2:$N$622,MATCH(265,'Transfer Engine'!$C$2:$C$622,0)))</f>
        <v/>
      </c>
      <c r="O274" s="8">
        <f>IF(ISNA(MATCH(265,'Transfer Engine'!$C$2:$C$622,0)),"",INDEX('Compliance Database'!$O$2:$O$622,MATCH(265,'Transfer Engine'!$C$2:$C$622,0)))</f>
        <v/>
      </c>
    </row>
    <row r="275">
      <c r="A275">
        <f>IF(ISNA(MATCH(266,'Transfer Engine'!$C$2:$C$622,0)),"",INDEX('Compliance Database'!$A$2:$A$622,MATCH(266,'Transfer Engine'!$C$2:$C$622,0)))</f>
        <v/>
      </c>
      <c r="B275">
        <f>IF(ISNA(MATCH(266,'Transfer Engine'!$C$2:$C$622,0)),"",INDEX('Compliance Database'!$B$2:$B$622,MATCH(266,'Transfer Engine'!$C$2:$C$622,0)))</f>
        <v/>
      </c>
      <c r="C275">
        <f>IF(ISNA(MATCH(266,'Transfer Engine'!$C$2:$C$622,0)),"",INDEX('Compliance Database'!$C$2:$C$622,MATCH(266,'Transfer Engine'!$C$2:$C$622,0)))</f>
        <v/>
      </c>
      <c r="D275" s="8">
        <f>IF(ISNA(MATCH(266,'Transfer Engine'!$C$2:$C$622,0)),"",INDEX('Compliance Database'!$D$2:$D$622,MATCH(266,'Transfer Engine'!$C$2:$C$622,0)))</f>
        <v/>
      </c>
      <c r="E275">
        <f>IF(ISNA(MATCH(266,'Transfer Engine'!$C$2:$C$622,0)),"",INDEX('Compliance Database'!$E$2:$E$622,MATCH(266,'Transfer Engine'!$C$2:$C$622,0)))</f>
        <v/>
      </c>
      <c r="F275">
        <f>IF(ISNA(MATCH(266,'Transfer Engine'!$C$2:$C$622,0)),"",INDEX('Compliance Database'!$F$2:$F$622,MATCH(266,'Transfer Engine'!$C$2:$C$622,0)))</f>
        <v/>
      </c>
      <c r="G275">
        <f>IF(ISNA(MATCH(266,'Transfer Engine'!$C$2:$C$622,0)),"",INDEX('Compliance Database'!$G$2:$G$622,MATCH(266,'Transfer Engine'!$C$2:$C$622,0)))</f>
        <v/>
      </c>
      <c r="H275">
        <f>IF(ISNA(MATCH(266,'Transfer Engine'!$C$2:$C$622,0)),"",INDEX('Compliance Database'!$H$2:$H$622,MATCH(266,'Transfer Engine'!$C$2:$C$622,0)))</f>
        <v/>
      </c>
      <c r="I275" s="8">
        <f>IF(ISNA(MATCH(266,'Transfer Engine'!$C$2:$C$622,0)),"",INDEX('Compliance Database'!$I$2:$I$622,MATCH(266,'Transfer Engine'!$C$2:$C$622,0)))</f>
        <v/>
      </c>
      <c r="J275" s="8">
        <f>IF(ISNA(MATCH(266,'Transfer Engine'!$C$2:$C$622,0)),"",INDEX('Compliance Database'!$J$2:$J$622,MATCH(266,'Transfer Engine'!$C$2:$C$622,0)))</f>
        <v/>
      </c>
      <c r="K275">
        <f>IF(ISNA(MATCH(266,'Transfer Engine'!$C$2:$C$622,0)),"",INDEX('Compliance Database'!$K$2:$K$622,MATCH(266,'Transfer Engine'!$C$2:$C$622,0)))</f>
        <v/>
      </c>
      <c r="L275" s="8">
        <f>IF(ISNA(MATCH(266,'Transfer Engine'!$C$2:$C$622,0)),"",INDEX('Compliance Database'!$L$2:$L$622,MATCH(266,'Transfer Engine'!$C$2:$C$622,0)))</f>
        <v/>
      </c>
      <c r="M275" s="8">
        <f>IF(ISNA(MATCH(266,'Transfer Engine'!$C$2:$C$622,0)),"",INDEX('Compliance Database'!$M$2:$M$622,MATCH(266,'Transfer Engine'!$C$2:$C$622,0)))</f>
        <v/>
      </c>
      <c r="N275" s="8">
        <f>IF(ISNA(MATCH(266,'Transfer Engine'!$C$2:$C$622,0)),"",INDEX('Compliance Database'!$N$2:$N$622,MATCH(266,'Transfer Engine'!$C$2:$C$622,0)))</f>
        <v/>
      </c>
      <c r="O275" s="8">
        <f>IF(ISNA(MATCH(266,'Transfer Engine'!$C$2:$C$622,0)),"",INDEX('Compliance Database'!$O$2:$O$622,MATCH(266,'Transfer Engine'!$C$2:$C$622,0)))</f>
        <v/>
      </c>
    </row>
    <row r="276">
      <c r="A276">
        <f>IF(ISNA(MATCH(267,'Transfer Engine'!$C$2:$C$622,0)),"",INDEX('Compliance Database'!$A$2:$A$622,MATCH(267,'Transfer Engine'!$C$2:$C$622,0)))</f>
        <v/>
      </c>
      <c r="B276">
        <f>IF(ISNA(MATCH(267,'Transfer Engine'!$C$2:$C$622,0)),"",INDEX('Compliance Database'!$B$2:$B$622,MATCH(267,'Transfer Engine'!$C$2:$C$622,0)))</f>
        <v/>
      </c>
      <c r="C276">
        <f>IF(ISNA(MATCH(267,'Transfer Engine'!$C$2:$C$622,0)),"",INDEX('Compliance Database'!$C$2:$C$622,MATCH(267,'Transfer Engine'!$C$2:$C$622,0)))</f>
        <v/>
      </c>
      <c r="D276" s="8">
        <f>IF(ISNA(MATCH(267,'Transfer Engine'!$C$2:$C$622,0)),"",INDEX('Compliance Database'!$D$2:$D$622,MATCH(267,'Transfer Engine'!$C$2:$C$622,0)))</f>
        <v/>
      </c>
      <c r="E276">
        <f>IF(ISNA(MATCH(267,'Transfer Engine'!$C$2:$C$622,0)),"",INDEX('Compliance Database'!$E$2:$E$622,MATCH(267,'Transfer Engine'!$C$2:$C$622,0)))</f>
        <v/>
      </c>
      <c r="F276">
        <f>IF(ISNA(MATCH(267,'Transfer Engine'!$C$2:$C$622,0)),"",INDEX('Compliance Database'!$F$2:$F$622,MATCH(267,'Transfer Engine'!$C$2:$C$622,0)))</f>
        <v/>
      </c>
      <c r="G276">
        <f>IF(ISNA(MATCH(267,'Transfer Engine'!$C$2:$C$622,0)),"",INDEX('Compliance Database'!$G$2:$G$622,MATCH(267,'Transfer Engine'!$C$2:$C$622,0)))</f>
        <v/>
      </c>
      <c r="H276">
        <f>IF(ISNA(MATCH(267,'Transfer Engine'!$C$2:$C$622,0)),"",INDEX('Compliance Database'!$H$2:$H$622,MATCH(267,'Transfer Engine'!$C$2:$C$622,0)))</f>
        <v/>
      </c>
      <c r="I276" s="8">
        <f>IF(ISNA(MATCH(267,'Transfer Engine'!$C$2:$C$622,0)),"",INDEX('Compliance Database'!$I$2:$I$622,MATCH(267,'Transfer Engine'!$C$2:$C$622,0)))</f>
        <v/>
      </c>
      <c r="J276" s="8">
        <f>IF(ISNA(MATCH(267,'Transfer Engine'!$C$2:$C$622,0)),"",INDEX('Compliance Database'!$J$2:$J$622,MATCH(267,'Transfer Engine'!$C$2:$C$622,0)))</f>
        <v/>
      </c>
      <c r="K276">
        <f>IF(ISNA(MATCH(267,'Transfer Engine'!$C$2:$C$622,0)),"",INDEX('Compliance Database'!$K$2:$K$622,MATCH(267,'Transfer Engine'!$C$2:$C$622,0)))</f>
        <v/>
      </c>
      <c r="L276" s="8">
        <f>IF(ISNA(MATCH(267,'Transfer Engine'!$C$2:$C$622,0)),"",INDEX('Compliance Database'!$L$2:$L$622,MATCH(267,'Transfer Engine'!$C$2:$C$622,0)))</f>
        <v/>
      </c>
      <c r="M276" s="8">
        <f>IF(ISNA(MATCH(267,'Transfer Engine'!$C$2:$C$622,0)),"",INDEX('Compliance Database'!$M$2:$M$622,MATCH(267,'Transfer Engine'!$C$2:$C$622,0)))</f>
        <v/>
      </c>
      <c r="N276" s="8">
        <f>IF(ISNA(MATCH(267,'Transfer Engine'!$C$2:$C$622,0)),"",INDEX('Compliance Database'!$N$2:$N$622,MATCH(267,'Transfer Engine'!$C$2:$C$622,0)))</f>
        <v/>
      </c>
      <c r="O276" s="8">
        <f>IF(ISNA(MATCH(267,'Transfer Engine'!$C$2:$C$622,0)),"",INDEX('Compliance Database'!$O$2:$O$622,MATCH(267,'Transfer Engine'!$C$2:$C$622,0)))</f>
        <v/>
      </c>
    </row>
    <row r="277">
      <c r="A277">
        <f>IF(ISNA(MATCH(268,'Transfer Engine'!$C$2:$C$622,0)),"",INDEX('Compliance Database'!$A$2:$A$622,MATCH(268,'Transfer Engine'!$C$2:$C$622,0)))</f>
        <v/>
      </c>
      <c r="B277">
        <f>IF(ISNA(MATCH(268,'Transfer Engine'!$C$2:$C$622,0)),"",INDEX('Compliance Database'!$B$2:$B$622,MATCH(268,'Transfer Engine'!$C$2:$C$622,0)))</f>
        <v/>
      </c>
      <c r="C277">
        <f>IF(ISNA(MATCH(268,'Transfer Engine'!$C$2:$C$622,0)),"",INDEX('Compliance Database'!$C$2:$C$622,MATCH(268,'Transfer Engine'!$C$2:$C$622,0)))</f>
        <v/>
      </c>
      <c r="D277" s="8">
        <f>IF(ISNA(MATCH(268,'Transfer Engine'!$C$2:$C$622,0)),"",INDEX('Compliance Database'!$D$2:$D$622,MATCH(268,'Transfer Engine'!$C$2:$C$622,0)))</f>
        <v/>
      </c>
      <c r="E277">
        <f>IF(ISNA(MATCH(268,'Transfer Engine'!$C$2:$C$622,0)),"",INDEX('Compliance Database'!$E$2:$E$622,MATCH(268,'Transfer Engine'!$C$2:$C$622,0)))</f>
        <v/>
      </c>
      <c r="F277">
        <f>IF(ISNA(MATCH(268,'Transfer Engine'!$C$2:$C$622,0)),"",INDEX('Compliance Database'!$F$2:$F$622,MATCH(268,'Transfer Engine'!$C$2:$C$622,0)))</f>
        <v/>
      </c>
      <c r="G277">
        <f>IF(ISNA(MATCH(268,'Transfer Engine'!$C$2:$C$622,0)),"",INDEX('Compliance Database'!$G$2:$G$622,MATCH(268,'Transfer Engine'!$C$2:$C$622,0)))</f>
        <v/>
      </c>
      <c r="H277">
        <f>IF(ISNA(MATCH(268,'Transfer Engine'!$C$2:$C$622,0)),"",INDEX('Compliance Database'!$H$2:$H$622,MATCH(268,'Transfer Engine'!$C$2:$C$622,0)))</f>
        <v/>
      </c>
      <c r="I277" s="8">
        <f>IF(ISNA(MATCH(268,'Transfer Engine'!$C$2:$C$622,0)),"",INDEX('Compliance Database'!$I$2:$I$622,MATCH(268,'Transfer Engine'!$C$2:$C$622,0)))</f>
        <v/>
      </c>
      <c r="J277" s="8">
        <f>IF(ISNA(MATCH(268,'Transfer Engine'!$C$2:$C$622,0)),"",INDEX('Compliance Database'!$J$2:$J$622,MATCH(268,'Transfer Engine'!$C$2:$C$622,0)))</f>
        <v/>
      </c>
      <c r="K277">
        <f>IF(ISNA(MATCH(268,'Transfer Engine'!$C$2:$C$622,0)),"",INDEX('Compliance Database'!$K$2:$K$622,MATCH(268,'Transfer Engine'!$C$2:$C$622,0)))</f>
        <v/>
      </c>
      <c r="L277" s="8">
        <f>IF(ISNA(MATCH(268,'Transfer Engine'!$C$2:$C$622,0)),"",INDEX('Compliance Database'!$L$2:$L$622,MATCH(268,'Transfer Engine'!$C$2:$C$622,0)))</f>
        <v/>
      </c>
      <c r="M277" s="8">
        <f>IF(ISNA(MATCH(268,'Transfer Engine'!$C$2:$C$622,0)),"",INDEX('Compliance Database'!$M$2:$M$622,MATCH(268,'Transfer Engine'!$C$2:$C$622,0)))</f>
        <v/>
      </c>
      <c r="N277" s="8">
        <f>IF(ISNA(MATCH(268,'Transfer Engine'!$C$2:$C$622,0)),"",INDEX('Compliance Database'!$N$2:$N$622,MATCH(268,'Transfer Engine'!$C$2:$C$622,0)))</f>
        <v/>
      </c>
      <c r="O277" s="8">
        <f>IF(ISNA(MATCH(268,'Transfer Engine'!$C$2:$C$622,0)),"",INDEX('Compliance Database'!$O$2:$O$622,MATCH(268,'Transfer Engine'!$C$2:$C$622,0)))</f>
        <v/>
      </c>
    </row>
    <row r="278">
      <c r="A278">
        <f>IF(ISNA(MATCH(269,'Transfer Engine'!$C$2:$C$622,0)),"",INDEX('Compliance Database'!$A$2:$A$622,MATCH(269,'Transfer Engine'!$C$2:$C$622,0)))</f>
        <v/>
      </c>
      <c r="B278">
        <f>IF(ISNA(MATCH(269,'Transfer Engine'!$C$2:$C$622,0)),"",INDEX('Compliance Database'!$B$2:$B$622,MATCH(269,'Transfer Engine'!$C$2:$C$622,0)))</f>
        <v/>
      </c>
      <c r="C278">
        <f>IF(ISNA(MATCH(269,'Transfer Engine'!$C$2:$C$622,0)),"",INDEX('Compliance Database'!$C$2:$C$622,MATCH(269,'Transfer Engine'!$C$2:$C$622,0)))</f>
        <v/>
      </c>
      <c r="D278" s="8">
        <f>IF(ISNA(MATCH(269,'Transfer Engine'!$C$2:$C$622,0)),"",INDEX('Compliance Database'!$D$2:$D$622,MATCH(269,'Transfer Engine'!$C$2:$C$622,0)))</f>
        <v/>
      </c>
      <c r="E278">
        <f>IF(ISNA(MATCH(269,'Transfer Engine'!$C$2:$C$622,0)),"",INDEX('Compliance Database'!$E$2:$E$622,MATCH(269,'Transfer Engine'!$C$2:$C$622,0)))</f>
        <v/>
      </c>
      <c r="F278">
        <f>IF(ISNA(MATCH(269,'Transfer Engine'!$C$2:$C$622,0)),"",INDEX('Compliance Database'!$F$2:$F$622,MATCH(269,'Transfer Engine'!$C$2:$C$622,0)))</f>
        <v/>
      </c>
      <c r="G278">
        <f>IF(ISNA(MATCH(269,'Transfer Engine'!$C$2:$C$622,0)),"",INDEX('Compliance Database'!$G$2:$G$622,MATCH(269,'Transfer Engine'!$C$2:$C$622,0)))</f>
        <v/>
      </c>
      <c r="H278">
        <f>IF(ISNA(MATCH(269,'Transfer Engine'!$C$2:$C$622,0)),"",INDEX('Compliance Database'!$H$2:$H$622,MATCH(269,'Transfer Engine'!$C$2:$C$622,0)))</f>
        <v/>
      </c>
      <c r="I278" s="8">
        <f>IF(ISNA(MATCH(269,'Transfer Engine'!$C$2:$C$622,0)),"",INDEX('Compliance Database'!$I$2:$I$622,MATCH(269,'Transfer Engine'!$C$2:$C$622,0)))</f>
        <v/>
      </c>
      <c r="J278" s="8">
        <f>IF(ISNA(MATCH(269,'Transfer Engine'!$C$2:$C$622,0)),"",INDEX('Compliance Database'!$J$2:$J$622,MATCH(269,'Transfer Engine'!$C$2:$C$622,0)))</f>
        <v/>
      </c>
      <c r="K278">
        <f>IF(ISNA(MATCH(269,'Transfer Engine'!$C$2:$C$622,0)),"",INDEX('Compliance Database'!$K$2:$K$622,MATCH(269,'Transfer Engine'!$C$2:$C$622,0)))</f>
        <v/>
      </c>
      <c r="L278" s="8">
        <f>IF(ISNA(MATCH(269,'Transfer Engine'!$C$2:$C$622,0)),"",INDEX('Compliance Database'!$L$2:$L$622,MATCH(269,'Transfer Engine'!$C$2:$C$622,0)))</f>
        <v/>
      </c>
      <c r="M278" s="8">
        <f>IF(ISNA(MATCH(269,'Transfer Engine'!$C$2:$C$622,0)),"",INDEX('Compliance Database'!$M$2:$M$622,MATCH(269,'Transfer Engine'!$C$2:$C$622,0)))</f>
        <v/>
      </c>
      <c r="N278" s="8">
        <f>IF(ISNA(MATCH(269,'Transfer Engine'!$C$2:$C$622,0)),"",INDEX('Compliance Database'!$N$2:$N$622,MATCH(269,'Transfer Engine'!$C$2:$C$622,0)))</f>
        <v/>
      </c>
      <c r="O278" s="8">
        <f>IF(ISNA(MATCH(269,'Transfer Engine'!$C$2:$C$622,0)),"",INDEX('Compliance Database'!$O$2:$O$622,MATCH(269,'Transfer Engine'!$C$2:$C$622,0)))</f>
        <v/>
      </c>
    </row>
    <row r="279">
      <c r="A279">
        <f>IF(ISNA(MATCH(270,'Transfer Engine'!$C$2:$C$622,0)),"",INDEX('Compliance Database'!$A$2:$A$622,MATCH(270,'Transfer Engine'!$C$2:$C$622,0)))</f>
        <v/>
      </c>
      <c r="B279">
        <f>IF(ISNA(MATCH(270,'Transfer Engine'!$C$2:$C$622,0)),"",INDEX('Compliance Database'!$B$2:$B$622,MATCH(270,'Transfer Engine'!$C$2:$C$622,0)))</f>
        <v/>
      </c>
      <c r="C279">
        <f>IF(ISNA(MATCH(270,'Transfer Engine'!$C$2:$C$622,0)),"",INDEX('Compliance Database'!$C$2:$C$622,MATCH(270,'Transfer Engine'!$C$2:$C$622,0)))</f>
        <v/>
      </c>
      <c r="D279" s="8">
        <f>IF(ISNA(MATCH(270,'Transfer Engine'!$C$2:$C$622,0)),"",INDEX('Compliance Database'!$D$2:$D$622,MATCH(270,'Transfer Engine'!$C$2:$C$622,0)))</f>
        <v/>
      </c>
      <c r="E279">
        <f>IF(ISNA(MATCH(270,'Transfer Engine'!$C$2:$C$622,0)),"",INDEX('Compliance Database'!$E$2:$E$622,MATCH(270,'Transfer Engine'!$C$2:$C$622,0)))</f>
        <v/>
      </c>
      <c r="F279">
        <f>IF(ISNA(MATCH(270,'Transfer Engine'!$C$2:$C$622,0)),"",INDEX('Compliance Database'!$F$2:$F$622,MATCH(270,'Transfer Engine'!$C$2:$C$622,0)))</f>
        <v/>
      </c>
      <c r="G279">
        <f>IF(ISNA(MATCH(270,'Transfer Engine'!$C$2:$C$622,0)),"",INDEX('Compliance Database'!$G$2:$G$622,MATCH(270,'Transfer Engine'!$C$2:$C$622,0)))</f>
        <v/>
      </c>
      <c r="H279">
        <f>IF(ISNA(MATCH(270,'Transfer Engine'!$C$2:$C$622,0)),"",INDEX('Compliance Database'!$H$2:$H$622,MATCH(270,'Transfer Engine'!$C$2:$C$622,0)))</f>
        <v/>
      </c>
      <c r="I279" s="8">
        <f>IF(ISNA(MATCH(270,'Transfer Engine'!$C$2:$C$622,0)),"",INDEX('Compliance Database'!$I$2:$I$622,MATCH(270,'Transfer Engine'!$C$2:$C$622,0)))</f>
        <v/>
      </c>
      <c r="J279" s="8">
        <f>IF(ISNA(MATCH(270,'Transfer Engine'!$C$2:$C$622,0)),"",INDEX('Compliance Database'!$J$2:$J$622,MATCH(270,'Transfer Engine'!$C$2:$C$622,0)))</f>
        <v/>
      </c>
      <c r="K279">
        <f>IF(ISNA(MATCH(270,'Transfer Engine'!$C$2:$C$622,0)),"",INDEX('Compliance Database'!$K$2:$K$622,MATCH(270,'Transfer Engine'!$C$2:$C$622,0)))</f>
        <v/>
      </c>
      <c r="L279" s="8">
        <f>IF(ISNA(MATCH(270,'Transfer Engine'!$C$2:$C$622,0)),"",INDEX('Compliance Database'!$L$2:$L$622,MATCH(270,'Transfer Engine'!$C$2:$C$622,0)))</f>
        <v/>
      </c>
      <c r="M279" s="8">
        <f>IF(ISNA(MATCH(270,'Transfer Engine'!$C$2:$C$622,0)),"",INDEX('Compliance Database'!$M$2:$M$622,MATCH(270,'Transfer Engine'!$C$2:$C$622,0)))</f>
        <v/>
      </c>
      <c r="N279" s="8">
        <f>IF(ISNA(MATCH(270,'Transfer Engine'!$C$2:$C$622,0)),"",INDEX('Compliance Database'!$N$2:$N$622,MATCH(270,'Transfer Engine'!$C$2:$C$622,0)))</f>
        <v/>
      </c>
      <c r="O279" s="8">
        <f>IF(ISNA(MATCH(270,'Transfer Engine'!$C$2:$C$622,0)),"",INDEX('Compliance Database'!$O$2:$O$622,MATCH(270,'Transfer Engine'!$C$2:$C$622,0)))</f>
        <v/>
      </c>
    </row>
    <row r="280">
      <c r="A280">
        <f>IF(ISNA(MATCH(271,'Transfer Engine'!$C$2:$C$622,0)),"",INDEX('Compliance Database'!$A$2:$A$622,MATCH(271,'Transfer Engine'!$C$2:$C$622,0)))</f>
        <v/>
      </c>
      <c r="B280">
        <f>IF(ISNA(MATCH(271,'Transfer Engine'!$C$2:$C$622,0)),"",INDEX('Compliance Database'!$B$2:$B$622,MATCH(271,'Transfer Engine'!$C$2:$C$622,0)))</f>
        <v/>
      </c>
      <c r="C280">
        <f>IF(ISNA(MATCH(271,'Transfer Engine'!$C$2:$C$622,0)),"",INDEX('Compliance Database'!$C$2:$C$622,MATCH(271,'Transfer Engine'!$C$2:$C$622,0)))</f>
        <v/>
      </c>
      <c r="D280" s="8">
        <f>IF(ISNA(MATCH(271,'Transfer Engine'!$C$2:$C$622,0)),"",INDEX('Compliance Database'!$D$2:$D$622,MATCH(271,'Transfer Engine'!$C$2:$C$622,0)))</f>
        <v/>
      </c>
      <c r="E280">
        <f>IF(ISNA(MATCH(271,'Transfer Engine'!$C$2:$C$622,0)),"",INDEX('Compliance Database'!$E$2:$E$622,MATCH(271,'Transfer Engine'!$C$2:$C$622,0)))</f>
        <v/>
      </c>
      <c r="F280">
        <f>IF(ISNA(MATCH(271,'Transfer Engine'!$C$2:$C$622,0)),"",INDEX('Compliance Database'!$F$2:$F$622,MATCH(271,'Transfer Engine'!$C$2:$C$622,0)))</f>
        <v/>
      </c>
      <c r="G280">
        <f>IF(ISNA(MATCH(271,'Transfer Engine'!$C$2:$C$622,0)),"",INDEX('Compliance Database'!$G$2:$G$622,MATCH(271,'Transfer Engine'!$C$2:$C$622,0)))</f>
        <v/>
      </c>
      <c r="H280">
        <f>IF(ISNA(MATCH(271,'Transfer Engine'!$C$2:$C$622,0)),"",INDEX('Compliance Database'!$H$2:$H$622,MATCH(271,'Transfer Engine'!$C$2:$C$622,0)))</f>
        <v/>
      </c>
      <c r="I280" s="8">
        <f>IF(ISNA(MATCH(271,'Transfer Engine'!$C$2:$C$622,0)),"",INDEX('Compliance Database'!$I$2:$I$622,MATCH(271,'Transfer Engine'!$C$2:$C$622,0)))</f>
        <v/>
      </c>
      <c r="J280" s="8">
        <f>IF(ISNA(MATCH(271,'Transfer Engine'!$C$2:$C$622,0)),"",INDEX('Compliance Database'!$J$2:$J$622,MATCH(271,'Transfer Engine'!$C$2:$C$622,0)))</f>
        <v/>
      </c>
      <c r="K280">
        <f>IF(ISNA(MATCH(271,'Transfer Engine'!$C$2:$C$622,0)),"",INDEX('Compliance Database'!$K$2:$K$622,MATCH(271,'Transfer Engine'!$C$2:$C$622,0)))</f>
        <v/>
      </c>
      <c r="L280" s="8">
        <f>IF(ISNA(MATCH(271,'Transfer Engine'!$C$2:$C$622,0)),"",INDEX('Compliance Database'!$L$2:$L$622,MATCH(271,'Transfer Engine'!$C$2:$C$622,0)))</f>
        <v/>
      </c>
      <c r="M280" s="8">
        <f>IF(ISNA(MATCH(271,'Transfer Engine'!$C$2:$C$622,0)),"",INDEX('Compliance Database'!$M$2:$M$622,MATCH(271,'Transfer Engine'!$C$2:$C$622,0)))</f>
        <v/>
      </c>
      <c r="N280" s="8">
        <f>IF(ISNA(MATCH(271,'Transfer Engine'!$C$2:$C$622,0)),"",INDEX('Compliance Database'!$N$2:$N$622,MATCH(271,'Transfer Engine'!$C$2:$C$622,0)))</f>
        <v/>
      </c>
      <c r="O280" s="8">
        <f>IF(ISNA(MATCH(271,'Transfer Engine'!$C$2:$C$622,0)),"",INDEX('Compliance Database'!$O$2:$O$622,MATCH(271,'Transfer Engine'!$C$2:$C$622,0)))</f>
        <v/>
      </c>
    </row>
    <row r="281">
      <c r="A281">
        <f>IF(ISNA(MATCH(272,'Transfer Engine'!$C$2:$C$622,0)),"",INDEX('Compliance Database'!$A$2:$A$622,MATCH(272,'Transfer Engine'!$C$2:$C$622,0)))</f>
        <v/>
      </c>
      <c r="B281">
        <f>IF(ISNA(MATCH(272,'Transfer Engine'!$C$2:$C$622,0)),"",INDEX('Compliance Database'!$B$2:$B$622,MATCH(272,'Transfer Engine'!$C$2:$C$622,0)))</f>
        <v/>
      </c>
      <c r="C281">
        <f>IF(ISNA(MATCH(272,'Transfer Engine'!$C$2:$C$622,0)),"",INDEX('Compliance Database'!$C$2:$C$622,MATCH(272,'Transfer Engine'!$C$2:$C$622,0)))</f>
        <v/>
      </c>
      <c r="D281" s="8">
        <f>IF(ISNA(MATCH(272,'Transfer Engine'!$C$2:$C$622,0)),"",INDEX('Compliance Database'!$D$2:$D$622,MATCH(272,'Transfer Engine'!$C$2:$C$622,0)))</f>
        <v/>
      </c>
      <c r="E281">
        <f>IF(ISNA(MATCH(272,'Transfer Engine'!$C$2:$C$622,0)),"",INDEX('Compliance Database'!$E$2:$E$622,MATCH(272,'Transfer Engine'!$C$2:$C$622,0)))</f>
        <v/>
      </c>
      <c r="F281">
        <f>IF(ISNA(MATCH(272,'Transfer Engine'!$C$2:$C$622,0)),"",INDEX('Compliance Database'!$F$2:$F$622,MATCH(272,'Transfer Engine'!$C$2:$C$622,0)))</f>
        <v/>
      </c>
      <c r="G281">
        <f>IF(ISNA(MATCH(272,'Transfer Engine'!$C$2:$C$622,0)),"",INDEX('Compliance Database'!$G$2:$G$622,MATCH(272,'Transfer Engine'!$C$2:$C$622,0)))</f>
        <v/>
      </c>
      <c r="H281">
        <f>IF(ISNA(MATCH(272,'Transfer Engine'!$C$2:$C$622,0)),"",INDEX('Compliance Database'!$H$2:$H$622,MATCH(272,'Transfer Engine'!$C$2:$C$622,0)))</f>
        <v/>
      </c>
      <c r="I281" s="8">
        <f>IF(ISNA(MATCH(272,'Transfer Engine'!$C$2:$C$622,0)),"",INDEX('Compliance Database'!$I$2:$I$622,MATCH(272,'Transfer Engine'!$C$2:$C$622,0)))</f>
        <v/>
      </c>
      <c r="J281" s="8">
        <f>IF(ISNA(MATCH(272,'Transfer Engine'!$C$2:$C$622,0)),"",INDEX('Compliance Database'!$J$2:$J$622,MATCH(272,'Transfer Engine'!$C$2:$C$622,0)))</f>
        <v/>
      </c>
      <c r="K281">
        <f>IF(ISNA(MATCH(272,'Transfer Engine'!$C$2:$C$622,0)),"",INDEX('Compliance Database'!$K$2:$K$622,MATCH(272,'Transfer Engine'!$C$2:$C$622,0)))</f>
        <v/>
      </c>
      <c r="L281" s="8">
        <f>IF(ISNA(MATCH(272,'Transfer Engine'!$C$2:$C$622,0)),"",INDEX('Compliance Database'!$L$2:$L$622,MATCH(272,'Transfer Engine'!$C$2:$C$622,0)))</f>
        <v/>
      </c>
      <c r="M281" s="8">
        <f>IF(ISNA(MATCH(272,'Transfer Engine'!$C$2:$C$622,0)),"",INDEX('Compliance Database'!$M$2:$M$622,MATCH(272,'Transfer Engine'!$C$2:$C$622,0)))</f>
        <v/>
      </c>
      <c r="N281" s="8">
        <f>IF(ISNA(MATCH(272,'Transfer Engine'!$C$2:$C$622,0)),"",INDEX('Compliance Database'!$N$2:$N$622,MATCH(272,'Transfer Engine'!$C$2:$C$622,0)))</f>
        <v/>
      </c>
      <c r="O281" s="8">
        <f>IF(ISNA(MATCH(272,'Transfer Engine'!$C$2:$C$622,0)),"",INDEX('Compliance Database'!$O$2:$O$622,MATCH(272,'Transfer Engine'!$C$2:$C$622,0)))</f>
        <v/>
      </c>
    </row>
    <row r="282">
      <c r="A282">
        <f>IF(ISNA(MATCH(273,'Transfer Engine'!$C$2:$C$622,0)),"",INDEX('Compliance Database'!$A$2:$A$622,MATCH(273,'Transfer Engine'!$C$2:$C$622,0)))</f>
        <v/>
      </c>
      <c r="B282">
        <f>IF(ISNA(MATCH(273,'Transfer Engine'!$C$2:$C$622,0)),"",INDEX('Compliance Database'!$B$2:$B$622,MATCH(273,'Transfer Engine'!$C$2:$C$622,0)))</f>
        <v/>
      </c>
      <c r="C282">
        <f>IF(ISNA(MATCH(273,'Transfer Engine'!$C$2:$C$622,0)),"",INDEX('Compliance Database'!$C$2:$C$622,MATCH(273,'Transfer Engine'!$C$2:$C$622,0)))</f>
        <v/>
      </c>
      <c r="D282" s="8">
        <f>IF(ISNA(MATCH(273,'Transfer Engine'!$C$2:$C$622,0)),"",INDEX('Compliance Database'!$D$2:$D$622,MATCH(273,'Transfer Engine'!$C$2:$C$622,0)))</f>
        <v/>
      </c>
      <c r="E282">
        <f>IF(ISNA(MATCH(273,'Transfer Engine'!$C$2:$C$622,0)),"",INDEX('Compliance Database'!$E$2:$E$622,MATCH(273,'Transfer Engine'!$C$2:$C$622,0)))</f>
        <v/>
      </c>
      <c r="F282">
        <f>IF(ISNA(MATCH(273,'Transfer Engine'!$C$2:$C$622,0)),"",INDEX('Compliance Database'!$F$2:$F$622,MATCH(273,'Transfer Engine'!$C$2:$C$622,0)))</f>
        <v/>
      </c>
      <c r="G282">
        <f>IF(ISNA(MATCH(273,'Transfer Engine'!$C$2:$C$622,0)),"",INDEX('Compliance Database'!$G$2:$G$622,MATCH(273,'Transfer Engine'!$C$2:$C$622,0)))</f>
        <v/>
      </c>
      <c r="H282">
        <f>IF(ISNA(MATCH(273,'Transfer Engine'!$C$2:$C$622,0)),"",INDEX('Compliance Database'!$H$2:$H$622,MATCH(273,'Transfer Engine'!$C$2:$C$622,0)))</f>
        <v/>
      </c>
      <c r="I282" s="8">
        <f>IF(ISNA(MATCH(273,'Transfer Engine'!$C$2:$C$622,0)),"",INDEX('Compliance Database'!$I$2:$I$622,MATCH(273,'Transfer Engine'!$C$2:$C$622,0)))</f>
        <v/>
      </c>
      <c r="J282" s="8">
        <f>IF(ISNA(MATCH(273,'Transfer Engine'!$C$2:$C$622,0)),"",INDEX('Compliance Database'!$J$2:$J$622,MATCH(273,'Transfer Engine'!$C$2:$C$622,0)))</f>
        <v/>
      </c>
      <c r="K282">
        <f>IF(ISNA(MATCH(273,'Transfer Engine'!$C$2:$C$622,0)),"",INDEX('Compliance Database'!$K$2:$K$622,MATCH(273,'Transfer Engine'!$C$2:$C$622,0)))</f>
        <v/>
      </c>
      <c r="L282" s="8">
        <f>IF(ISNA(MATCH(273,'Transfer Engine'!$C$2:$C$622,0)),"",INDEX('Compliance Database'!$L$2:$L$622,MATCH(273,'Transfer Engine'!$C$2:$C$622,0)))</f>
        <v/>
      </c>
      <c r="M282" s="8">
        <f>IF(ISNA(MATCH(273,'Transfer Engine'!$C$2:$C$622,0)),"",INDEX('Compliance Database'!$M$2:$M$622,MATCH(273,'Transfer Engine'!$C$2:$C$622,0)))</f>
        <v/>
      </c>
      <c r="N282" s="8">
        <f>IF(ISNA(MATCH(273,'Transfer Engine'!$C$2:$C$622,0)),"",INDEX('Compliance Database'!$N$2:$N$622,MATCH(273,'Transfer Engine'!$C$2:$C$622,0)))</f>
        <v/>
      </c>
      <c r="O282" s="8">
        <f>IF(ISNA(MATCH(273,'Transfer Engine'!$C$2:$C$622,0)),"",INDEX('Compliance Database'!$O$2:$O$622,MATCH(273,'Transfer Engine'!$C$2:$C$622,0)))</f>
        <v/>
      </c>
    </row>
    <row r="283">
      <c r="A283">
        <f>IF(ISNA(MATCH(274,'Transfer Engine'!$C$2:$C$622,0)),"",INDEX('Compliance Database'!$A$2:$A$622,MATCH(274,'Transfer Engine'!$C$2:$C$622,0)))</f>
        <v/>
      </c>
      <c r="B283">
        <f>IF(ISNA(MATCH(274,'Transfer Engine'!$C$2:$C$622,0)),"",INDEX('Compliance Database'!$B$2:$B$622,MATCH(274,'Transfer Engine'!$C$2:$C$622,0)))</f>
        <v/>
      </c>
      <c r="C283">
        <f>IF(ISNA(MATCH(274,'Transfer Engine'!$C$2:$C$622,0)),"",INDEX('Compliance Database'!$C$2:$C$622,MATCH(274,'Transfer Engine'!$C$2:$C$622,0)))</f>
        <v/>
      </c>
      <c r="D283" s="8">
        <f>IF(ISNA(MATCH(274,'Transfer Engine'!$C$2:$C$622,0)),"",INDEX('Compliance Database'!$D$2:$D$622,MATCH(274,'Transfer Engine'!$C$2:$C$622,0)))</f>
        <v/>
      </c>
      <c r="E283">
        <f>IF(ISNA(MATCH(274,'Transfer Engine'!$C$2:$C$622,0)),"",INDEX('Compliance Database'!$E$2:$E$622,MATCH(274,'Transfer Engine'!$C$2:$C$622,0)))</f>
        <v/>
      </c>
      <c r="F283">
        <f>IF(ISNA(MATCH(274,'Transfer Engine'!$C$2:$C$622,0)),"",INDEX('Compliance Database'!$F$2:$F$622,MATCH(274,'Transfer Engine'!$C$2:$C$622,0)))</f>
        <v/>
      </c>
      <c r="G283">
        <f>IF(ISNA(MATCH(274,'Transfer Engine'!$C$2:$C$622,0)),"",INDEX('Compliance Database'!$G$2:$G$622,MATCH(274,'Transfer Engine'!$C$2:$C$622,0)))</f>
        <v/>
      </c>
      <c r="H283">
        <f>IF(ISNA(MATCH(274,'Transfer Engine'!$C$2:$C$622,0)),"",INDEX('Compliance Database'!$H$2:$H$622,MATCH(274,'Transfer Engine'!$C$2:$C$622,0)))</f>
        <v/>
      </c>
      <c r="I283" s="8">
        <f>IF(ISNA(MATCH(274,'Transfer Engine'!$C$2:$C$622,0)),"",INDEX('Compliance Database'!$I$2:$I$622,MATCH(274,'Transfer Engine'!$C$2:$C$622,0)))</f>
        <v/>
      </c>
      <c r="J283" s="8">
        <f>IF(ISNA(MATCH(274,'Transfer Engine'!$C$2:$C$622,0)),"",INDEX('Compliance Database'!$J$2:$J$622,MATCH(274,'Transfer Engine'!$C$2:$C$622,0)))</f>
        <v/>
      </c>
      <c r="K283">
        <f>IF(ISNA(MATCH(274,'Transfer Engine'!$C$2:$C$622,0)),"",INDEX('Compliance Database'!$K$2:$K$622,MATCH(274,'Transfer Engine'!$C$2:$C$622,0)))</f>
        <v/>
      </c>
      <c r="L283" s="8">
        <f>IF(ISNA(MATCH(274,'Transfer Engine'!$C$2:$C$622,0)),"",INDEX('Compliance Database'!$L$2:$L$622,MATCH(274,'Transfer Engine'!$C$2:$C$622,0)))</f>
        <v/>
      </c>
      <c r="M283" s="8">
        <f>IF(ISNA(MATCH(274,'Transfer Engine'!$C$2:$C$622,0)),"",INDEX('Compliance Database'!$M$2:$M$622,MATCH(274,'Transfer Engine'!$C$2:$C$622,0)))</f>
        <v/>
      </c>
      <c r="N283" s="8">
        <f>IF(ISNA(MATCH(274,'Transfer Engine'!$C$2:$C$622,0)),"",INDEX('Compliance Database'!$N$2:$N$622,MATCH(274,'Transfer Engine'!$C$2:$C$622,0)))</f>
        <v/>
      </c>
      <c r="O283" s="8">
        <f>IF(ISNA(MATCH(274,'Transfer Engine'!$C$2:$C$622,0)),"",INDEX('Compliance Database'!$O$2:$O$622,MATCH(274,'Transfer Engine'!$C$2:$C$622,0)))</f>
        <v/>
      </c>
    </row>
    <row r="284">
      <c r="A284">
        <f>IF(ISNA(MATCH(275,'Transfer Engine'!$C$2:$C$622,0)),"",INDEX('Compliance Database'!$A$2:$A$622,MATCH(275,'Transfer Engine'!$C$2:$C$622,0)))</f>
        <v/>
      </c>
      <c r="B284">
        <f>IF(ISNA(MATCH(275,'Transfer Engine'!$C$2:$C$622,0)),"",INDEX('Compliance Database'!$B$2:$B$622,MATCH(275,'Transfer Engine'!$C$2:$C$622,0)))</f>
        <v/>
      </c>
      <c r="C284">
        <f>IF(ISNA(MATCH(275,'Transfer Engine'!$C$2:$C$622,0)),"",INDEX('Compliance Database'!$C$2:$C$622,MATCH(275,'Transfer Engine'!$C$2:$C$622,0)))</f>
        <v/>
      </c>
      <c r="D284" s="8">
        <f>IF(ISNA(MATCH(275,'Transfer Engine'!$C$2:$C$622,0)),"",INDEX('Compliance Database'!$D$2:$D$622,MATCH(275,'Transfer Engine'!$C$2:$C$622,0)))</f>
        <v/>
      </c>
      <c r="E284">
        <f>IF(ISNA(MATCH(275,'Transfer Engine'!$C$2:$C$622,0)),"",INDEX('Compliance Database'!$E$2:$E$622,MATCH(275,'Transfer Engine'!$C$2:$C$622,0)))</f>
        <v/>
      </c>
      <c r="F284">
        <f>IF(ISNA(MATCH(275,'Transfer Engine'!$C$2:$C$622,0)),"",INDEX('Compliance Database'!$F$2:$F$622,MATCH(275,'Transfer Engine'!$C$2:$C$622,0)))</f>
        <v/>
      </c>
      <c r="G284">
        <f>IF(ISNA(MATCH(275,'Transfer Engine'!$C$2:$C$622,0)),"",INDEX('Compliance Database'!$G$2:$G$622,MATCH(275,'Transfer Engine'!$C$2:$C$622,0)))</f>
        <v/>
      </c>
      <c r="H284">
        <f>IF(ISNA(MATCH(275,'Transfer Engine'!$C$2:$C$622,0)),"",INDEX('Compliance Database'!$H$2:$H$622,MATCH(275,'Transfer Engine'!$C$2:$C$622,0)))</f>
        <v/>
      </c>
      <c r="I284" s="8">
        <f>IF(ISNA(MATCH(275,'Transfer Engine'!$C$2:$C$622,0)),"",INDEX('Compliance Database'!$I$2:$I$622,MATCH(275,'Transfer Engine'!$C$2:$C$622,0)))</f>
        <v/>
      </c>
      <c r="J284" s="8">
        <f>IF(ISNA(MATCH(275,'Transfer Engine'!$C$2:$C$622,0)),"",INDEX('Compliance Database'!$J$2:$J$622,MATCH(275,'Transfer Engine'!$C$2:$C$622,0)))</f>
        <v/>
      </c>
      <c r="K284">
        <f>IF(ISNA(MATCH(275,'Transfer Engine'!$C$2:$C$622,0)),"",INDEX('Compliance Database'!$K$2:$K$622,MATCH(275,'Transfer Engine'!$C$2:$C$622,0)))</f>
        <v/>
      </c>
      <c r="L284" s="8">
        <f>IF(ISNA(MATCH(275,'Transfer Engine'!$C$2:$C$622,0)),"",INDEX('Compliance Database'!$L$2:$L$622,MATCH(275,'Transfer Engine'!$C$2:$C$622,0)))</f>
        <v/>
      </c>
      <c r="M284" s="8">
        <f>IF(ISNA(MATCH(275,'Transfer Engine'!$C$2:$C$622,0)),"",INDEX('Compliance Database'!$M$2:$M$622,MATCH(275,'Transfer Engine'!$C$2:$C$622,0)))</f>
        <v/>
      </c>
      <c r="N284" s="8">
        <f>IF(ISNA(MATCH(275,'Transfer Engine'!$C$2:$C$622,0)),"",INDEX('Compliance Database'!$N$2:$N$622,MATCH(275,'Transfer Engine'!$C$2:$C$622,0)))</f>
        <v/>
      </c>
      <c r="O284" s="8">
        <f>IF(ISNA(MATCH(275,'Transfer Engine'!$C$2:$C$622,0)),"",INDEX('Compliance Database'!$O$2:$O$622,MATCH(275,'Transfer Engine'!$C$2:$C$622,0)))</f>
        <v/>
      </c>
    </row>
    <row r="285">
      <c r="A285">
        <f>IF(ISNA(MATCH(276,'Transfer Engine'!$C$2:$C$622,0)),"",INDEX('Compliance Database'!$A$2:$A$622,MATCH(276,'Transfer Engine'!$C$2:$C$622,0)))</f>
        <v/>
      </c>
      <c r="B285">
        <f>IF(ISNA(MATCH(276,'Transfer Engine'!$C$2:$C$622,0)),"",INDEX('Compliance Database'!$B$2:$B$622,MATCH(276,'Transfer Engine'!$C$2:$C$622,0)))</f>
        <v/>
      </c>
      <c r="C285">
        <f>IF(ISNA(MATCH(276,'Transfer Engine'!$C$2:$C$622,0)),"",INDEX('Compliance Database'!$C$2:$C$622,MATCH(276,'Transfer Engine'!$C$2:$C$622,0)))</f>
        <v/>
      </c>
      <c r="D285" s="8">
        <f>IF(ISNA(MATCH(276,'Transfer Engine'!$C$2:$C$622,0)),"",INDEX('Compliance Database'!$D$2:$D$622,MATCH(276,'Transfer Engine'!$C$2:$C$622,0)))</f>
        <v/>
      </c>
      <c r="E285">
        <f>IF(ISNA(MATCH(276,'Transfer Engine'!$C$2:$C$622,0)),"",INDEX('Compliance Database'!$E$2:$E$622,MATCH(276,'Transfer Engine'!$C$2:$C$622,0)))</f>
        <v/>
      </c>
      <c r="F285">
        <f>IF(ISNA(MATCH(276,'Transfer Engine'!$C$2:$C$622,0)),"",INDEX('Compliance Database'!$F$2:$F$622,MATCH(276,'Transfer Engine'!$C$2:$C$622,0)))</f>
        <v/>
      </c>
      <c r="G285">
        <f>IF(ISNA(MATCH(276,'Transfer Engine'!$C$2:$C$622,0)),"",INDEX('Compliance Database'!$G$2:$G$622,MATCH(276,'Transfer Engine'!$C$2:$C$622,0)))</f>
        <v/>
      </c>
      <c r="H285">
        <f>IF(ISNA(MATCH(276,'Transfer Engine'!$C$2:$C$622,0)),"",INDEX('Compliance Database'!$H$2:$H$622,MATCH(276,'Transfer Engine'!$C$2:$C$622,0)))</f>
        <v/>
      </c>
      <c r="I285" s="8">
        <f>IF(ISNA(MATCH(276,'Transfer Engine'!$C$2:$C$622,0)),"",INDEX('Compliance Database'!$I$2:$I$622,MATCH(276,'Transfer Engine'!$C$2:$C$622,0)))</f>
        <v/>
      </c>
      <c r="J285" s="8">
        <f>IF(ISNA(MATCH(276,'Transfer Engine'!$C$2:$C$622,0)),"",INDEX('Compliance Database'!$J$2:$J$622,MATCH(276,'Transfer Engine'!$C$2:$C$622,0)))</f>
        <v/>
      </c>
      <c r="K285">
        <f>IF(ISNA(MATCH(276,'Transfer Engine'!$C$2:$C$622,0)),"",INDEX('Compliance Database'!$K$2:$K$622,MATCH(276,'Transfer Engine'!$C$2:$C$622,0)))</f>
        <v/>
      </c>
      <c r="L285" s="8">
        <f>IF(ISNA(MATCH(276,'Transfer Engine'!$C$2:$C$622,0)),"",INDEX('Compliance Database'!$L$2:$L$622,MATCH(276,'Transfer Engine'!$C$2:$C$622,0)))</f>
        <v/>
      </c>
      <c r="M285" s="8">
        <f>IF(ISNA(MATCH(276,'Transfer Engine'!$C$2:$C$622,0)),"",INDEX('Compliance Database'!$M$2:$M$622,MATCH(276,'Transfer Engine'!$C$2:$C$622,0)))</f>
        <v/>
      </c>
      <c r="N285" s="8">
        <f>IF(ISNA(MATCH(276,'Transfer Engine'!$C$2:$C$622,0)),"",INDEX('Compliance Database'!$N$2:$N$622,MATCH(276,'Transfer Engine'!$C$2:$C$622,0)))</f>
        <v/>
      </c>
      <c r="O285" s="8">
        <f>IF(ISNA(MATCH(276,'Transfer Engine'!$C$2:$C$622,0)),"",INDEX('Compliance Database'!$O$2:$O$622,MATCH(276,'Transfer Engine'!$C$2:$C$622,0)))</f>
        <v/>
      </c>
    </row>
    <row r="286">
      <c r="A286">
        <f>IF(ISNA(MATCH(277,'Transfer Engine'!$C$2:$C$622,0)),"",INDEX('Compliance Database'!$A$2:$A$622,MATCH(277,'Transfer Engine'!$C$2:$C$622,0)))</f>
        <v/>
      </c>
      <c r="B286">
        <f>IF(ISNA(MATCH(277,'Transfer Engine'!$C$2:$C$622,0)),"",INDEX('Compliance Database'!$B$2:$B$622,MATCH(277,'Transfer Engine'!$C$2:$C$622,0)))</f>
        <v/>
      </c>
      <c r="C286">
        <f>IF(ISNA(MATCH(277,'Transfer Engine'!$C$2:$C$622,0)),"",INDEX('Compliance Database'!$C$2:$C$622,MATCH(277,'Transfer Engine'!$C$2:$C$622,0)))</f>
        <v/>
      </c>
      <c r="D286" s="8">
        <f>IF(ISNA(MATCH(277,'Transfer Engine'!$C$2:$C$622,0)),"",INDEX('Compliance Database'!$D$2:$D$622,MATCH(277,'Transfer Engine'!$C$2:$C$622,0)))</f>
        <v/>
      </c>
      <c r="E286">
        <f>IF(ISNA(MATCH(277,'Transfer Engine'!$C$2:$C$622,0)),"",INDEX('Compliance Database'!$E$2:$E$622,MATCH(277,'Transfer Engine'!$C$2:$C$622,0)))</f>
        <v/>
      </c>
      <c r="F286">
        <f>IF(ISNA(MATCH(277,'Transfer Engine'!$C$2:$C$622,0)),"",INDEX('Compliance Database'!$F$2:$F$622,MATCH(277,'Transfer Engine'!$C$2:$C$622,0)))</f>
        <v/>
      </c>
      <c r="G286">
        <f>IF(ISNA(MATCH(277,'Transfer Engine'!$C$2:$C$622,0)),"",INDEX('Compliance Database'!$G$2:$G$622,MATCH(277,'Transfer Engine'!$C$2:$C$622,0)))</f>
        <v/>
      </c>
      <c r="H286">
        <f>IF(ISNA(MATCH(277,'Transfer Engine'!$C$2:$C$622,0)),"",INDEX('Compliance Database'!$H$2:$H$622,MATCH(277,'Transfer Engine'!$C$2:$C$622,0)))</f>
        <v/>
      </c>
      <c r="I286" s="8">
        <f>IF(ISNA(MATCH(277,'Transfer Engine'!$C$2:$C$622,0)),"",INDEX('Compliance Database'!$I$2:$I$622,MATCH(277,'Transfer Engine'!$C$2:$C$622,0)))</f>
        <v/>
      </c>
      <c r="J286" s="8">
        <f>IF(ISNA(MATCH(277,'Transfer Engine'!$C$2:$C$622,0)),"",INDEX('Compliance Database'!$J$2:$J$622,MATCH(277,'Transfer Engine'!$C$2:$C$622,0)))</f>
        <v/>
      </c>
      <c r="K286">
        <f>IF(ISNA(MATCH(277,'Transfer Engine'!$C$2:$C$622,0)),"",INDEX('Compliance Database'!$K$2:$K$622,MATCH(277,'Transfer Engine'!$C$2:$C$622,0)))</f>
        <v/>
      </c>
      <c r="L286" s="8">
        <f>IF(ISNA(MATCH(277,'Transfer Engine'!$C$2:$C$622,0)),"",INDEX('Compliance Database'!$L$2:$L$622,MATCH(277,'Transfer Engine'!$C$2:$C$622,0)))</f>
        <v/>
      </c>
      <c r="M286" s="8">
        <f>IF(ISNA(MATCH(277,'Transfer Engine'!$C$2:$C$622,0)),"",INDEX('Compliance Database'!$M$2:$M$622,MATCH(277,'Transfer Engine'!$C$2:$C$622,0)))</f>
        <v/>
      </c>
      <c r="N286" s="8">
        <f>IF(ISNA(MATCH(277,'Transfer Engine'!$C$2:$C$622,0)),"",INDEX('Compliance Database'!$N$2:$N$622,MATCH(277,'Transfer Engine'!$C$2:$C$622,0)))</f>
        <v/>
      </c>
      <c r="O286" s="8">
        <f>IF(ISNA(MATCH(277,'Transfer Engine'!$C$2:$C$622,0)),"",INDEX('Compliance Database'!$O$2:$O$622,MATCH(277,'Transfer Engine'!$C$2:$C$622,0)))</f>
        <v/>
      </c>
    </row>
    <row r="287">
      <c r="A287">
        <f>IF(ISNA(MATCH(278,'Transfer Engine'!$C$2:$C$622,0)),"",INDEX('Compliance Database'!$A$2:$A$622,MATCH(278,'Transfer Engine'!$C$2:$C$622,0)))</f>
        <v/>
      </c>
      <c r="B287">
        <f>IF(ISNA(MATCH(278,'Transfer Engine'!$C$2:$C$622,0)),"",INDEX('Compliance Database'!$B$2:$B$622,MATCH(278,'Transfer Engine'!$C$2:$C$622,0)))</f>
        <v/>
      </c>
      <c r="C287">
        <f>IF(ISNA(MATCH(278,'Transfer Engine'!$C$2:$C$622,0)),"",INDEX('Compliance Database'!$C$2:$C$622,MATCH(278,'Transfer Engine'!$C$2:$C$622,0)))</f>
        <v/>
      </c>
      <c r="D287" s="8">
        <f>IF(ISNA(MATCH(278,'Transfer Engine'!$C$2:$C$622,0)),"",INDEX('Compliance Database'!$D$2:$D$622,MATCH(278,'Transfer Engine'!$C$2:$C$622,0)))</f>
        <v/>
      </c>
      <c r="E287">
        <f>IF(ISNA(MATCH(278,'Transfer Engine'!$C$2:$C$622,0)),"",INDEX('Compliance Database'!$E$2:$E$622,MATCH(278,'Transfer Engine'!$C$2:$C$622,0)))</f>
        <v/>
      </c>
      <c r="F287">
        <f>IF(ISNA(MATCH(278,'Transfer Engine'!$C$2:$C$622,0)),"",INDEX('Compliance Database'!$F$2:$F$622,MATCH(278,'Transfer Engine'!$C$2:$C$622,0)))</f>
        <v/>
      </c>
      <c r="G287">
        <f>IF(ISNA(MATCH(278,'Transfer Engine'!$C$2:$C$622,0)),"",INDEX('Compliance Database'!$G$2:$G$622,MATCH(278,'Transfer Engine'!$C$2:$C$622,0)))</f>
        <v/>
      </c>
      <c r="H287">
        <f>IF(ISNA(MATCH(278,'Transfer Engine'!$C$2:$C$622,0)),"",INDEX('Compliance Database'!$H$2:$H$622,MATCH(278,'Transfer Engine'!$C$2:$C$622,0)))</f>
        <v/>
      </c>
      <c r="I287" s="8">
        <f>IF(ISNA(MATCH(278,'Transfer Engine'!$C$2:$C$622,0)),"",INDEX('Compliance Database'!$I$2:$I$622,MATCH(278,'Transfer Engine'!$C$2:$C$622,0)))</f>
        <v/>
      </c>
      <c r="J287" s="8">
        <f>IF(ISNA(MATCH(278,'Transfer Engine'!$C$2:$C$622,0)),"",INDEX('Compliance Database'!$J$2:$J$622,MATCH(278,'Transfer Engine'!$C$2:$C$622,0)))</f>
        <v/>
      </c>
      <c r="K287">
        <f>IF(ISNA(MATCH(278,'Transfer Engine'!$C$2:$C$622,0)),"",INDEX('Compliance Database'!$K$2:$K$622,MATCH(278,'Transfer Engine'!$C$2:$C$622,0)))</f>
        <v/>
      </c>
      <c r="L287" s="8">
        <f>IF(ISNA(MATCH(278,'Transfer Engine'!$C$2:$C$622,0)),"",INDEX('Compliance Database'!$L$2:$L$622,MATCH(278,'Transfer Engine'!$C$2:$C$622,0)))</f>
        <v/>
      </c>
      <c r="M287" s="8">
        <f>IF(ISNA(MATCH(278,'Transfer Engine'!$C$2:$C$622,0)),"",INDEX('Compliance Database'!$M$2:$M$622,MATCH(278,'Transfer Engine'!$C$2:$C$622,0)))</f>
        <v/>
      </c>
      <c r="N287" s="8">
        <f>IF(ISNA(MATCH(278,'Transfer Engine'!$C$2:$C$622,0)),"",INDEX('Compliance Database'!$N$2:$N$622,MATCH(278,'Transfer Engine'!$C$2:$C$622,0)))</f>
        <v/>
      </c>
      <c r="O287" s="8">
        <f>IF(ISNA(MATCH(278,'Transfer Engine'!$C$2:$C$622,0)),"",INDEX('Compliance Database'!$O$2:$O$622,MATCH(278,'Transfer Engine'!$C$2:$C$622,0)))</f>
        <v/>
      </c>
    </row>
    <row r="288">
      <c r="A288">
        <f>IF(ISNA(MATCH(279,'Transfer Engine'!$C$2:$C$622,0)),"",INDEX('Compliance Database'!$A$2:$A$622,MATCH(279,'Transfer Engine'!$C$2:$C$622,0)))</f>
        <v/>
      </c>
      <c r="B288">
        <f>IF(ISNA(MATCH(279,'Transfer Engine'!$C$2:$C$622,0)),"",INDEX('Compliance Database'!$B$2:$B$622,MATCH(279,'Transfer Engine'!$C$2:$C$622,0)))</f>
        <v/>
      </c>
      <c r="C288">
        <f>IF(ISNA(MATCH(279,'Transfer Engine'!$C$2:$C$622,0)),"",INDEX('Compliance Database'!$C$2:$C$622,MATCH(279,'Transfer Engine'!$C$2:$C$622,0)))</f>
        <v/>
      </c>
      <c r="D288" s="8">
        <f>IF(ISNA(MATCH(279,'Transfer Engine'!$C$2:$C$622,0)),"",INDEX('Compliance Database'!$D$2:$D$622,MATCH(279,'Transfer Engine'!$C$2:$C$622,0)))</f>
        <v/>
      </c>
      <c r="E288">
        <f>IF(ISNA(MATCH(279,'Transfer Engine'!$C$2:$C$622,0)),"",INDEX('Compliance Database'!$E$2:$E$622,MATCH(279,'Transfer Engine'!$C$2:$C$622,0)))</f>
        <v/>
      </c>
      <c r="F288">
        <f>IF(ISNA(MATCH(279,'Transfer Engine'!$C$2:$C$622,0)),"",INDEX('Compliance Database'!$F$2:$F$622,MATCH(279,'Transfer Engine'!$C$2:$C$622,0)))</f>
        <v/>
      </c>
      <c r="G288">
        <f>IF(ISNA(MATCH(279,'Transfer Engine'!$C$2:$C$622,0)),"",INDEX('Compliance Database'!$G$2:$G$622,MATCH(279,'Transfer Engine'!$C$2:$C$622,0)))</f>
        <v/>
      </c>
      <c r="H288">
        <f>IF(ISNA(MATCH(279,'Transfer Engine'!$C$2:$C$622,0)),"",INDEX('Compliance Database'!$H$2:$H$622,MATCH(279,'Transfer Engine'!$C$2:$C$622,0)))</f>
        <v/>
      </c>
      <c r="I288" s="8">
        <f>IF(ISNA(MATCH(279,'Transfer Engine'!$C$2:$C$622,0)),"",INDEX('Compliance Database'!$I$2:$I$622,MATCH(279,'Transfer Engine'!$C$2:$C$622,0)))</f>
        <v/>
      </c>
      <c r="J288" s="8">
        <f>IF(ISNA(MATCH(279,'Transfer Engine'!$C$2:$C$622,0)),"",INDEX('Compliance Database'!$J$2:$J$622,MATCH(279,'Transfer Engine'!$C$2:$C$622,0)))</f>
        <v/>
      </c>
      <c r="K288">
        <f>IF(ISNA(MATCH(279,'Transfer Engine'!$C$2:$C$622,0)),"",INDEX('Compliance Database'!$K$2:$K$622,MATCH(279,'Transfer Engine'!$C$2:$C$622,0)))</f>
        <v/>
      </c>
      <c r="L288" s="8">
        <f>IF(ISNA(MATCH(279,'Transfer Engine'!$C$2:$C$622,0)),"",INDEX('Compliance Database'!$L$2:$L$622,MATCH(279,'Transfer Engine'!$C$2:$C$622,0)))</f>
        <v/>
      </c>
      <c r="M288" s="8">
        <f>IF(ISNA(MATCH(279,'Transfer Engine'!$C$2:$C$622,0)),"",INDEX('Compliance Database'!$M$2:$M$622,MATCH(279,'Transfer Engine'!$C$2:$C$622,0)))</f>
        <v/>
      </c>
      <c r="N288" s="8">
        <f>IF(ISNA(MATCH(279,'Transfer Engine'!$C$2:$C$622,0)),"",INDEX('Compliance Database'!$N$2:$N$622,MATCH(279,'Transfer Engine'!$C$2:$C$622,0)))</f>
        <v/>
      </c>
      <c r="O288" s="8">
        <f>IF(ISNA(MATCH(279,'Transfer Engine'!$C$2:$C$622,0)),"",INDEX('Compliance Database'!$O$2:$O$622,MATCH(279,'Transfer Engine'!$C$2:$C$622,0)))</f>
        <v/>
      </c>
    </row>
    <row r="289">
      <c r="A289">
        <f>IF(ISNA(MATCH(280,'Transfer Engine'!$C$2:$C$622,0)),"",INDEX('Compliance Database'!$A$2:$A$622,MATCH(280,'Transfer Engine'!$C$2:$C$622,0)))</f>
        <v/>
      </c>
      <c r="B289">
        <f>IF(ISNA(MATCH(280,'Transfer Engine'!$C$2:$C$622,0)),"",INDEX('Compliance Database'!$B$2:$B$622,MATCH(280,'Transfer Engine'!$C$2:$C$622,0)))</f>
        <v/>
      </c>
      <c r="C289">
        <f>IF(ISNA(MATCH(280,'Transfer Engine'!$C$2:$C$622,0)),"",INDEX('Compliance Database'!$C$2:$C$622,MATCH(280,'Transfer Engine'!$C$2:$C$622,0)))</f>
        <v/>
      </c>
      <c r="D289" s="8">
        <f>IF(ISNA(MATCH(280,'Transfer Engine'!$C$2:$C$622,0)),"",INDEX('Compliance Database'!$D$2:$D$622,MATCH(280,'Transfer Engine'!$C$2:$C$622,0)))</f>
        <v/>
      </c>
      <c r="E289">
        <f>IF(ISNA(MATCH(280,'Transfer Engine'!$C$2:$C$622,0)),"",INDEX('Compliance Database'!$E$2:$E$622,MATCH(280,'Transfer Engine'!$C$2:$C$622,0)))</f>
        <v/>
      </c>
      <c r="F289">
        <f>IF(ISNA(MATCH(280,'Transfer Engine'!$C$2:$C$622,0)),"",INDEX('Compliance Database'!$F$2:$F$622,MATCH(280,'Transfer Engine'!$C$2:$C$622,0)))</f>
        <v/>
      </c>
      <c r="G289">
        <f>IF(ISNA(MATCH(280,'Transfer Engine'!$C$2:$C$622,0)),"",INDEX('Compliance Database'!$G$2:$G$622,MATCH(280,'Transfer Engine'!$C$2:$C$622,0)))</f>
        <v/>
      </c>
      <c r="H289">
        <f>IF(ISNA(MATCH(280,'Transfer Engine'!$C$2:$C$622,0)),"",INDEX('Compliance Database'!$H$2:$H$622,MATCH(280,'Transfer Engine'!$C$2:$C$622,0)))</f>
        <v/>
      </c>
      <c r="I289" s="8">
        <f>IF(ISNA(MATCH(280,'Transfer Engine'!$C$2:$C$622,0)),"",INDEX('Compliance Database'!$I$2:$I$622,MATCH(280,'Transfer Engine'!$C$2:$C$622,0)))</f>
        <v/>
      </c>
      <c r="J289" s="8">
        <f>IF(ISNA(MATCH(280,'Transfer Engine'!$C$2:$C$622,0)),"",INDEX('Compliance Database'!$J$2:$J$622,MATCH(280,'Transfer Engine'!$C$2:$C$622,0)))</f>
        <v/>
      </c>
      <c r="K289">
        <f>IF(ISNA(MATCH(280,'Transfer Engine'!$C$2:$C$622,0)),"",INDEX('Compliance Database'!$K$2:$K$622,MATCH(280,'Transfer Engine'!$C$2:$C$622,0)))</f>
        <v/>
      </c>
      <c r="L289" s="8">
        <f>IF(ISNA(MATCH(280,'Transfer Engine'!$C$2:$C$622,0)),"",INDEX('Compliance Database'!$L$2:$L$622,MATCH(280,'Transfer Engine'!$C$2:$C$622,0)))</f>
        <v/>
      </c>
      <c r="M289" s="8">
        <f>IF(ISNA(MATCH(280,'Transfer Engine'!$C$2:$C$622,0)),"",INDEX('Compliance Database'!$M$2:$M$622,MATCH(280,'Transfer Engine'!$C$2:$C$622,0)))</f>
        <v/>
      </c>
      <c r="N289" s="8">
        <f>IF(ISNA(MATCH(280,'Transfer Engine'!$C$2:$C$622,0)),"",INDEX('Compliance Database'!$N$2:$N$622,MATCH(280,'Transfer Engine'!$C$2:$C$622,0)))</f>
        <v/>
      </c>
      <c r="O289" s="8">
        <f>IF(ISNA(MATCH(280,'Transfer Engine'!$C$2:$C$622,0)),"",INDEX('Compliance Database'!$O$2:$O$622,MATCH(280,'Transfer Engine'!$C$2:$C$622,0)))</f>
        <v/>
      </c>
    </row>
    <row r="290">
      <c r="A290">
        <f>IF(ISNA(MATCH(281,'Transfer Engine'!$C$2:$C$622,0)),"",INDEX('Compliance Database'!$A$2:$A$622,MATCH(281,'Transfer Engine'!$C$2:$C$622,0)))</f>
        <v/>
      </c>
      <c r="B290">
        <f>IF(ISNA(MATCH(281,'Transfer Engine'!$C$2:$C$622,0)),"",INDEX('Compliance Database'!$B$2:$B$622,MATCH(281,'Transfer Engine'!$C$2:$C$622,0)))</f>
        <v/>
      </c>
      <c r="C290">
        <f>IF(ISNA(MATCH(281,'Transfer Engine'!$C$2:$C$622,0)),"",INDEX('Compliance Database'!$C$2:$C$622,MATCH(281,'Transfer Engine'!$C$2:$C$622,0)))</f>
        <v/>
      </c>
      <c r="D290" s="8">
        <f>IF(ISNA(MATCH(281,'Transfer Engine'!$C$2:$C$622,0)),"",INDEX('Compliance Database'!$D$2:$D$622,MATCH(281,'Transfer Engine'!$C$2:$C$622,0)))</f>
        <v/>
      </c>
      <c r="E290">
        <f>IF(ISNA(MATCH(281,'Transfer Engine'!$C$2:$C$622,0)),"",INDEX('Compliance Database'!$E$2:$E$622,MATCH(281,'Transfer Engine'!$C$2:$C$622,0)))</f>
        <v/>
      </c>
      <c r="F290">
        <f>IF(ISNA(MATCH(281,'Transfer Engine'!$C$2:$C$622,0)),"",INDEX('Compliance Database'!$F$2:$F$622,MATCH(281,'Transfer Engine'!$C$2:$C$622,0)))</f>
        <v/>
      </c>
      <c r="G290">
        <f>IF(ISNA(MATCH(281,'Transfer Engine'!$C$2:$C$622,0)),"",INDEX('Compliance Database'!$G$2:$G$622,MATCH(281,'Transfer Engine'!$C$2:$C$622,0)))</f>
        <v/>
      </c>
      <c r="H290">
        <f>IF(ISNA(MATCH(281,'Transfer Engine'!$C$2:$C$622,0)),"",INDEX('Compliance Database'!$H$2:$H$622,MATCH(281,'Transfer Engine'!$C$2:$C$622,0)))</f>
        <v/>
      </c>
      <c r="I290" s="8">
        <f>IF(ISNA(MATCH(281,'Transfer Engine'!$C$2:$C$622,0)),"",INDEX('Compliance Database'!$I$2:$I$622,MATCH(281,'Transfer Engine'!$C$2:$C$622,0)))</f>
        <v/>
      </c>
      <c r="J290" s="8">
        <f>IF(ISNA(MATCH(281,'Transfer Engine'!$C$2:$C$622,0)),"",INDEX('Compliance Database'!$J$2:$J$622,MATCH(281,'Transfer Engine'!$C$2:$C$622,0)))</f>
        <v/>
      </c>
      <c r="K290">
        <f>IF(ISNA(MATCH(281,'Transfer Engine'!$C$2:$C$622,0)),"",INDEX('Compliance Database'!$K$2:$K$622,MATCH(281,'Transfer Engine'!$C$2:$C$622,0)))</f>
        <v/>
      </c>
      <c r="L290" s="8">
        <f>IF(ISNA(MATCH(281,'Transfer Engine'!$C$2:$C$622,0)),"",INDEX('Compliance Database'!$L$2:$L$622,MATCH(281,'Transfer Engine'!$C$2:$C$622,0)))</f>
        <v/>
      </c>
      <c r="M290" s="8">
        <f>IF(ISNA(MATCH(281,'Transfer Engine'!$C$2:$C$622,0)),"",INDEX('Compliance Database'!$M$2:$M$622,MATCH(281,'Transfer Engine'!$C$2:$C$622,0)))</f>
        <v/>
      </c>
      <c r="N290" s="8">
        <f>IF(ISNA(MATCH(281,'Transfer Engine'!$C$2:$C$622,0)),"",INDEX('Compliance Database'!$N$2:$N$622,MATCH(281,'Transfer Engine'!$C$2:$C$622,0)))</f>
        <v/>
      </c>
      <c r="O290" s="8">
        <f>IF(ISNA(MATCH(281,'Transfer Engine'!$C$2:$C$622,0)),"",INDEX('Compliance Database'!$O$2:$O$622,MATCH(281,'Transfer Engine'!$C$2:$C$622,0)))</f>
        <v/>
      </c>
    </row>
    <row r="291">
      <c r="A291">
        <f>IF(ISNA(MATCH(282,'Transfer Engine'!$C$2:$C$622,0)),"",INDEX('Compliance Database'!$A$2:$A$622,MATCH(282,'Transfer Engine'!$C$2:$C$622,0)))</f>
        <v/>
      </c>
      <c r="B291">
        <f>IF(ISNA(MATCH(282,'Transfer Engine'!$C$2:$C$622,0)),"",INDEX('Compliance Database'!$B$2:$B$622,MATCH(282,'Transfer Engine'!$C$2:$C$622,0)))</f>
        <v/>
      </c>
      <c r="C291">
        <f>IF(ISNA(MATCH(282,'Transfer Engine'!$C$2:$C$622,0)),"",INDEX('Compliance Database'!$C$2:$C$622,MATCH(282,'Transfer Engine'!$C$2:$C$622,0)))</f>
        <v/>
      </c>
      <c r="D291" s="8">
        <f>IF(ISNA(MATCH(282,'Transfer Engine'!$C$2:$C$622,0)),"",INDEX('Compliance Database'!$D$2:$D$622,MATCH(282,'Transfer Engine'!$C$2:$C$622,0)))</f>
        <v/>
      </c>
      <c r="E291">
        <f>IF(ISNA(MATCH(282,'Transfer Engine'!$C$2:$C$622,0)),"",INDEX('Compliance Database'!$E$2:$E$622,MATCH(282,'Transfer Engine'!$C$2:$C$622,0)))</f>
        <v/>
      </c>
      <c r="F291">
        <f>IF(ISNA(MATCH(282,'Transfer Engine'!$C$2:$C$622,0)),"",INDEX('Compliance Database'!$F$2:$F$622,MATCH(282,'Transfer Engine'!$C$2:$C$622,0)))</f>
        <v/>
      </c>
      <c r="G291">
        <f>IF(ISNA(MATCH(282,'Transfer Engine'!$C$2:$C$622,0)),"",INDEX('Compliance Database'!$G$2:$G$622,MATCH(282,'Transfer Engine'!$C$2:$C$622,0)))</f>
        <v/>
      </c>
      <c r="H291">
        <f>IF(ISNA(MATCH(282,'Transfer Engine'!$C$2:$C$622,0)),"",INDEX('Compliance Database'!$H$2:$H$622,MATCH(282,'Transfer Engine'!$C$2:$C$622,0)))</f>
        <v/>
      </c>
      <c r="I291" s="8">
        <f>IF(ISNA(MATCH(282,'Transfer Engine'!$C$2:$C$622,0)),"",INDEX('Compliance Database'!$I$2:$I$622,MATCH(282,'Transfer Engine'!$C$2:$C$622,0)))</f>
        <v/>
      </c>
      <c r="J291" s="8">
        <f>IF(ISNA(MATCH(282,'Transfer Engine'!$C$2:$C$622,0)),"",INDEX('Compliance Database'!$J$2:$J$622,MATCH(282,'Transfer Engine'!$C$2:$C$622,0)))</f>
        <v/>
      </c>
      <c r="K291">
        <f>IF(ISNA(MATCH(282,'Transfer Engine'!$C$2:$C$622,0)),"",INDEX('Compliance Database'!$K$2:$K$622,MATCH(282,'Transfer Engine'!$C$2:$C$622,0)))</f>
        <v/>
      </c>
      <c r="L291" s="8">
        <f>IF(ISNA(MATCH(282,'Transfer Engine'!$C$2:$C$622,0)),"",INDEX('Compliance Database'!$L$2:$L$622,MATCH(282,'Transfer Engine'!$C$2:$C$622,0)))</f>
        <v/>
      </c>
      <c r="M291" s="8">
        <f>IF(ISNA(MATCH(282,'Transfer Engine'!$C$2:$C$622,0)),"",INDEX('Compliance Database'!$M$2:$M$622,MATCH(282,'Transfer Engine'!$C$2:$C$622,0)))</f>
        <v/>
      </c>
      <c r="N291" s="8">
        <f>IF(ISNA(MATCH(282,'Transfer Engine'!$C$2:$C$622,0)),"",INDEX('Compliance Database'!$N$2:$N$622,MATCH(282,'Transfer Engine'!$C$2:$C$622,0)))</f>
        <v/>
      </c>
      <c r="O291" s="8">
        <f>IF(ISNA(MATCH(282,'Transfer Engine'!$C$2:$C$622,0)),"",INDEX('Compliance Database'!$O$2:$O$622,MATCH(282,'Transfer Engine'!$C$2:$C$622,0)))</f>
        <v/>
      </c>
    </row>
    <row r="292">
      <c r="A292">
        <f>IF(ISNA(MATCH(283,'Transfer Engine'!$C$2:$C$622,0)),"",INDEX('Compliance Database'!$A$2:$A$622,MATCH(283,'Transfer Engine'!$C$2:$C$622,0)))</f>
        <v/>
      </c>
      <c r="B292">
        <f>IF(ISNA(MATCH(283,'Transfer Engine'!$C$2:$C$622,0)),"",INDEX('Compliance Database'!$B$2:$B$622,MATCH(283,'Transfer Engine'!$C$2:$C$622,0)))</f>
        <v/>
      </c>
      <c r="C292">
        <f>IF(ISNA(MATCH(283,'Transfer Engine'!$C$2:$C$622,0)),"",INDEX('Compliance Database'!$C$2:$C$622,MATCH(283,'Transfer Engine'!$C$2:$C$622,0)))</f>
        <v/>
      </c>
      <c r="D292" s="8">
        <f>IF(ISNA(MATCH(283,'Transfer Engine'!$C$2:$C$622,0)),"",INDEX('Compliance Database'!$D$2:$D$622,MATCH(283,'Transfer Engine'!$C$2:$C$622,0)))</f>
        <v/>
      </c>
      <c r="E292">
        <f>IF(ISNA(MATCH(283,'Transfer Engine'!$C$2:$C$622,0)),"",INDEX('Compliance Database'!$E$2:$E$622,MATCH(283,'Transfer Engine'!$C$2:$C$622,0)))</f>
        <v/>
      </c>
      <c r="F292">
        <f>IF(ISNA(MATCH(283,'Transfer Engine'!$C$2:$C$622,0)),"",INDEX('Compliance Database'!$F$2:$F$622,MATCH(283,'Transfer Engine'!$C$2:$C$622,0)))</f>
        <v/>
      </c>
      <c r="G292">
        <f>IF(ISNA(MATCH(283,'Transfer Engine'!$C$2:$C$622,0)),"",INDEX('Compliance Database'!$G$2:$G$622,MATCH(283,'Transfer Engine'!$C$2:$C$622,0)))</f>
        <v/>
      </c>
      <c r="H292">
        <f>IF(ISNA(MATCH(283,'Transfer Engine'!$C$2:$C$622,0)),"",INDEX('Compliance Database'!$H$2:$H$622,MATCH(283,'Transfer Engine'!$C$2:$C$622,0)))</f>
        <v/>
      </c>
      <c r="I292" s="8">
        <f>IF(ISNA(MATCH(283,'Transfer Engine'!$C$2:$C$622,0)),"",INDEX('Compliance Database'!$I$2:$I$622,MATCH(283,'Transfer Engine'!$C$2:$C$622,0)))</f>
        <v/>
      </c>
      <c r="J292" s="8">
        <f>IF(ISNA(MATCH(283,'Transfer Engine'!$C$2:$C$622,0)),"",INDEX('Compliance Database'!$J$2:$J$622,MATCH(283,'Transfer Engine'!$C$2:$C$622,0)))</f>
        <v/>
      </c>
      <c r="K292">
        <f>IF(ISNA(MATCH(283,'Transfer Engine'!$C$2:$C$622,0)),"",INDEX('Compliance Database'!$K$2:$K$622,MATCH(283,'Transfer Engine'!$C$2:$C$622,0)))</f>
        <v/>
      </c>
      <c r="L292" s="8">
        <f>IF(ISNA(MATCH(283,'Transfer Engine'!$C$2:$C$622,0)),"",INDEX('Compliance Database'!$L$2:$L$622,MATCH(283,'Transfer Engine'!$C$2:$C$622,0)))</f>
        <v/>
      </c>
      <c r="M292" s="8">
        <f>IF(ISNA(MATCH(283,'Transfer Engine'!$C$2:$C$622,0)),"",INDEX('Compliance Database'!$M$2:$M$622,MATCH(283,'Transfer Engine'!$C$2:$C$622,0)))</f>
        <v/>
      </c>
      <c r="N292" s="8">
        <f>IF(ISNA(MATCH(283,'Transfer Engine'!$C$2:$C$622,0)),"",INDEX('Compliance Database'!$N$2:$N$622,MATCH(283,'Transfer Engine'!$C$2:$C$622,0)))</f>
        <v/>
      </c>
      <c r="O292" s="8">
        <f>IF(ISNA(MATCH(283,'Transfer Engine'!$C$2:$C$622,0)),"",INDEX('Compliance Database'!$O$2:$O$622,MATCH(283,'Transfer Engine'!$C$2:$C$622,0)))</f>
        <v/>
      </c>
    </row>
    <row r="293">
      <c r="A293">
        <f>IF(ISNA(MATCH(284,'Transfer Engine'!$C$2:$C$622,0)),"",INDEX('Compliance Database'!$A$2:$A$622,MATCH(284,'Transfer Engine'!$C$2:$C$622,0)))</f>
        <v/>
      </c>
      <c r="B293">
        <f>IF(ISNA(MATCH(284,'Transfer Engine'!$C$2:$C$622,0)),"",INDEX('Compliance Database'!$B$2:$B$622,MATCH(284,'Transfer Engine'!$C$2:$C$622,0)))</f>
        <v/>
      </c>
      <c r="C293">
        <f>IF(ISNA(MATCH(284,'Transfer Engine'!$C$2:$C$622,0)),"",INDEX('Compliance Database'!$C$2:$C$622,MATCH(284,'Transfer Engine'!$C$2:$C$622,0)))</f>
        <v/>
      </c>
      <c r="D293" s="8">
        <f>IF(ISNA(MATCH(284,'Transfer Engine'!$C$2:$C$622,0)),"",INDEX('Compliance Database'!$D$2:$D$622,MATCH(284,'Transfer Engine'!$C$2:$C$622,0)))</f>
        <v/>
      </c>
      <c r="E293">
        <f>IF(ISNA(MATCH(284,'Transfer Engine'!$C$2:$C$622,0)),"",INDEX('Compliance Database'!$E$2:$E$622,MATCH(284,'Transfer Engine'!$C$2:$C$622,0)))</f>
        <v/>
      </c>
      <c r="F293">
        <f>IF(ISNA(MATCH(284,'Transfer Engine'!$C$2:$C$622,0)),"",INDEX('Compliance Database'!$F$2:$F$622,MATCH(284,'Transfer Engine'!$C$2:$C$622,0)))</f>
        <v/>
      </c>
      <c r="G293">
        <f>IF(ISNA(MATCH(284,'Transfer Engine'!$C$2:$C$622,0)),"",INDEX('Compliance Database'!$G$2:$G$622,MATCH(284,'Transfer Engine'!$C$2:$C$622,0)))</f>
        <v/>
      </c>
      <c r="H293">
        <f>IF(ISNA(MATCH(284,'Transfer Engine'!$C$2:$C$622,0)),"",INDEX('Compliance Database'!$H$2:$H$622,MATCH(284,'Transfer Engine'!$C$2:$C$622,0)))</f>
        <v/>
      </c>
      <c r="I293" s="8">
        <f>IF(ISNA(MATCH(284,'Transfer Engine'!$C$2:$C$622,0)),"",INDEX('Compliance Database'!$I$2:$I$622,MATCH(284,'Transfer Engine'!$C$2:$C$622,0)))</f>
        <v/>
      </c>
      <c r="J293" s="8">
        <f>IF(ISNA(MATCH(284,'Transfer Engine'!$C$2:$C$622,0)),"",INDEX('Compliance Database'!$J$2:$J$622,MATCH(284,'Transfer Engine'!$C$2:$C$622,0)))</f>
        <v/>
      </c>
      <c r="K293">
        <f>IF(ISNA(MATCH(284,'Transfer Engine'!$C$2:$C$622,0)),"",INDEX('Compliance Database'!$K$2:$K$622,MATCH(284,'Transfer Engine'!$C$2:$C$622,0)))</f>
        <v/>
      </c>
      <c r="L293" s="8">
        <f>IF(ISNA(MATCH(284,'Transfer Engine'!$C$2:$C$622,0)),"",INDEX('Compliance Database'!$L$2:$L$622,MATCH(284,'Transfer Engine'!$C$2:$C$622,0)))</f>
        <v/>
      </c>
      <c r="M293" s="8">
        <f>IF(ISNA(MATCH(284,'Transfer Engine'!$C$2:$C$622,0)),"",INDEX('Compliance Database'!$M$2:$M$622,MATCH(284,'Transfer Engine'!$C$2:$C$622,0)))</f>
        <v/>
      </c>
      <c r="N293" s="8">
        <f>IF(ISNA(MATCH(284,'Transfer Engine'!$C$2:$C$622,0)),"",INDEX('Compliance Database'!$N$2:$N$622,MATCH(284,'Transfer Engine'!$C$2:$C$622,0)))</f>
        <v/>
      </c>
      <c r="O293" s="8">
        <f>IF(ISNA(MATCH(284,'Transfer Engine'!$C$2:$C$622,0)),"",INDEX('Compliance Database'!$O$2:$O$622,MATCH(284,'Transfer Engine'!$C$2:$C$622,0)))</f>
        <v/>
      </c>
    </row>
    <row r="294">
      <c r="A294">
        <f>IF(ISNA(MATCH(285,'Transfer Engine'!$C$2:$C$622,0)),"",INDEX('Compliance Database'!$A$2:$A$622,MATCH(285,'Transfer Engine'!$C$2:$C$622,0)))</f>
        <v/>
      </c>
      <c r="B294">
        <f>IF(ISNA(MATCH(285,'Transfer Engine'!$C$2:$C$622,0)),"",INDEX('Compliance Database'!$B$2:$B$622,MATCH(285,'Transfer Engine'!$C$2:$C$622,0)))</f>
        <v/>
      </c>
      <c r="C294">
        <f>IF(ISNA(MATCH(285,'Transfer Engine'!$C$2:$C$622,0)),"",INDEX('Compliance Database'!$C$2:$C$622,MATCH(285,'Transfer Engine'!$C$2:$C$622,0)))</f>
        <v/>
      </c>
      <c r="D294" s="8">
        <f>IF(ISNA(MATCH(285,'Transfer Engine'!$C$2:$C$622,0)),"",INDEX('Compliance Database'!$D$2:$D$622,MATCH(285,'Transfer Engine'!$C$2:$C$622,0)))</f>
        <v/>
      </c>
      <c r="E294">
        <f>IF(ISNA(MATCH(285,'Transfer Engine'!$C$2:$C$622,0)),"",INDEX('Compliance Database'!$E$2:$E$622,MATCH(285,'Transfer Engine'!$C$2:$C$622,0)))</f>
        <v/>
      </c>
      <c r="F294">
        <f>IF(ISNA(MATCH(285,'Transfer Engine'!$C$2:$C$622,0)),"",INDEX('Compliance Database'!$F$2:$F$622,MATCH(285,'Transfer Engine'!$C$2:$C$622,0)))</f>
        <v/>
      </c>
      <c r="G294">
        <f>IF(ISNA(MATCH(285,'Transfer Engine'!$C$2:$C$622,0)),"",INDEX('Compliance Database'!$G$2:$G$622,MATCH(285,'Transfer Engine'!$C$2:$C$622,0)))</f>
        <v/>
      </c>
      <c r="H294">
        <f>IF(ISNA(MATCH(285,'Transfer Engine'!$C$2:$C$622,0)),"",INDEX('Compliance Database'!$H$2:$H$622,MATCH(285,'Transfer Engine'!$C$2:$C$622,0)))</f>
        <v/>
      </c>
      <c r="I294" s="8">
        <f>IF(ISNA(MATCH(285,'Transfer Engine'!$C$2:$C$622,0)),"",INDEX('Compliance Database'!$I$2:$I$622,MATCH(285,'Transfer Engine'!$C$2:$C$622,0)))</f>
        <v/>
      </c>
      <c r="J294" s="8">
        <f>IF(ISNA(MATCH(285,'Transfer Engine'!$C$2:$C$622,0)),"",INDEX('Compliance Database'!$J$2:$J$622,MATCH(285,'Transfer Engine'!$C$2:$C$622,0)))</f>
        <v/>
      </c>
      <c r="K294">
        <f>IF(ISNA(MATCH(285,'Transfer Engine'!$C$2:$C$622,0)),"",INDEX('Compliance Database'!$K$2:$K$622,MATCH(285,'Transfer Engine'!$C$2:$C$622,0)))</f>
        <v/>
      </c>
      <c r="L294" s="8">
        <f>IF(ISNA(MATCH(285,'Transfer Engine'!$C$2:$C$622,0)),"",INDEX('Compliance Database'!$L$2:$L$622,MATCH(285,'Transfer Engine'!$C$2:$C$622,0)))</f>
        <v/>
      </c>
      <c r="M294" s="8">
        <f>IF(ISNA(MATCH(285,'Transfer Engine'!$C$2:$C$622,0)),"",INDEX('Compliance Database'!$M$2:$M$622,MATCH(285,'Transfer Engine'!$C$2:$C$622,0)))</f>
        <v/>
      </c>
      <c r="N294" s="8">
        <f>IF(ISNA(MATCH(285,'Transfer Engine'!$C$2:$C$622,0)),"",INDEX('Compliance Database'!$N$2:$N$622,MATCH(285,'Transfer Engine'!$C$2:$C$622,0)))</f>
        <v/>
      </c>
      <c r="O294" s="8">
        <f>IF(ISNA(MATCH(285,'Transfer Engine'!$C$2:$C$622,0)),"",INDEX('Compliance Database'!$O$2:$O$622,MATCH(285,'Transfer Engine'!$C$2:$C$622,0)))</f>
        <v/>
      </c>
    </row>
    <row r="295">
      <c r="A295">
        <f>IF(ISNA(MATCH(286,'Transfer Engine'!$C$2:$C$622,0)),"",INDEX('Compliance Database'!$A$2:$A$622,MATCH(286,'Transfer Engine'!$C$2:$C$622,0)))</f>
        <v/>
      </c>
      <c r="B295">
        <f>IF(ISNA(MATCH(286,'Transfer Engine'!$C$2:$C$622,0)),"",INDEX('Compliance Database'!$B$2:$B$622,MATCH(286,'Transfer Engine'!$C$2:$C$622,0)))</f>
        <v/>
      </c>
      <c r="C295">
        <f>IF(ISNA(MATCH(286,'Transfer Engine'!$C$2:$C$622,0)),"",INDEX('Compliance Database'!$C$2:$C$622,MATCH(286,'Transfer Engine'!$C$2:$C$622,0)))</f>
        <v/>
      </c>
      <c r="D295" s="8">
        <f>IF(ISNA(MATCH(286,'Transfer Engine'!$C$2:$C$622,0)),"",INDEX('Compliance Database'!$D$2:$D$622,MATCH(286,'Transfer Engine'!$C$2:$C$622,0)))</f>
        <v/>
      </c>
      <c r="E295">
        <f>IF(ISNA(MATCH(286,'Transfer Engine'!$C$2:$C$622,0)),"",INDEX('Compliance Database'!$E$2:$E$622,MATCH(286,'Transfer Engine'!$C$2:$C$622,0)))</f>
        <v/>
      </c>
      <c r="F295">
        <f>IF(ISNA(MATCH(286,'Transfer Engine'!$C$2:$C$622,0)),"",INDEX('Compliance Database'!$F$2:$F$622,MATCH(286,'Transfer Engine'!$C$2:$C$622,0)))</f>
        <v/>
      </c>
      <c r="G295">
        <f>IF(ISNA(MATCH(286,'Transfer Engine'!$C$2:$C$622,0)),"",INDEX('Compliance Database'!$G$2:$G$622,MATCH(286,'Transfer Engine'!$C$2:$C$622,0)))</f>
        <v/>
      </c>
      <c r="H295">
        <f>IF(ISNA(MATCH(286,'Transfer Engine'!$C$2:$C$622,0)),"",INDEX('Compliance Database'!$H$2:$H$622,MATCH(286,'Transfer Engine'!$C$2:$C$622,0)))</f>
        <v/>
      </c>
      <c r="I295" s="8">
        <f>IF(ISNA(MATCH(286,'Transfer Engine'!$C$2:$C$622,0)),"",INDEX('Compliance Database'!$I$2:$I$622,MATCH(286,'Transfer Engine'!$C$2:$C$622,0)))</f>
        <v/>
      </c>
      <c r="J295" s="8">
        <f>IF(ISNA(MATCH(286,'Transfer Engine'!$C$2:$C$622,0)),"",INDEX('Compliance Database'!$J$2:$J$622,MATCH(286,'Transfer Engine'!$C$2:$C$622,0)))</f>
        <v/>
      </c>
      <c r="K295">
        <f>IF(ISNA(MATCH(286,'Transfer Engine'!$C$2:$C$622,0)),"",INDEX('Compliance Database'!$K$2:$K$622,MATCH(286,'Transfer Engine'!$C$2:$C$622,0)))</f>
        <v/>
      </c>
      <c r="L295" s="8">
        <f>IF(ISNA(MATCH(286,'Transfer Engine'!$C$2:$C$622,0)),"",INDEX('Compliance Database'!$L$2:$L$622,MATCH(286,'Transfer Engine'!$C$2:$C$622,0)))</f>
        <v/>
      </c>
      <c r="M295" s="8">
        <f>IF(ISNA(MATCH(286,'Transfer Engine'!$C$2:$C$622,0)),"",INDEX('Compliance Database'!$M$2:$M$622,MATCH(286,'Transfer Engine'!$C$2:$C$622,0)))</f>
        <v/>
      </c>
      <c r="N295" s="8">
        <f>IF(ISNA(MATCH(286,'Transfer Engine'!$C$2:$C$622,0)),"",INDEX('Compliance Database'!$N$2:$N$622,MATCH(286,'Transfer Engine'!$C$2:$C$622,0)))</f>
        <v/>
      </c>
      <c r="O295" s="8">
        <f>IF(ISNA(MATCH(286,'Transfer Engine'!$C$2:$C$622,0)),"",INDEX('Compliance Database'!$O$2:$O$622,MATCH(286,'Transfer Engine'!$C$2:$C$622,0)))</f>
        <v/>
      </c>
    </row>
    <row r="296">
      <c r="A296">
        <f>IF(ISNA(MATCH(287,'Transfer Engine'!$C$2:$C$622,0)),"",INDEX('Compliance Database'!$A$2:$A$622,MATCH(287,'Transfer Engine'!$C$2:$C$622,0)))</f>
        <v/>
      </c>
      <c r="B296">
        <f>IF(ISNA(MATCH(287,'Transfer Engine'!$C$2:$C$622,0)),"",INDEX('Compliance Database'!$B$2:$B$622,MATCH(287,'Transfer Engine'!$C$2:$C$622,0)))</f>
        <v/>
      </c>
      <c r="C296">
        <f>IF(ISNA(MATCH(287,'Transfer Engine'!$C$2:$C$622,0)),"",INDEX('Compliance Database'!$C$2:$C$622,MATCH(287,'Transfer Engine'!$C$2:$C$622,0)))</f>
        <v/>
      </c>
      <c r="D296" s="8">
        <f>IF(ISNA(MATCH(287,'Transfer Engine'!$C$2:$C$622,0)),"",INDEX('Compliance Database'!$D$2:$D$622,MATCH(287,'Transfer Engine'!$C$2:$C$622,0)))</f>
        <v/>
      </c>
      <c r="E296">
        <f>IF(ISNA(MATCH(287,'Transfer Engine'!$C$2:$C$622,0)),"",INDEX('Compliance Database'!$E$2:$E$622,MATCH(287,'Transfer Engine'!$C$2:$C$622,0)))</f>
        <v/>
      </c>
      <c r="F296">
        <f>IF(ISNA(MATCH(287,'Transfer Engine'!$C$2:$C$622,0)),"",INDEX('Compliance Database'!$F$2:$F$622,MATCH(287,'Transfer Engine'!$C$2:$C$622,0)))</f>
        <v/>
      </c>
      <c r="G296">
        <f>IF(ISNA(MATCH(287,'Transfer Engine'!$C$2:$C$622,0)),"",INDEX('Compliance Database'!$G$2:$G$622,MATCH(287,'Transfer Engine'!$C$2:$C$622,0)))</f>
        <v/>
      </c>
      <c r="H296">
        <f>IF(ISNA(MATCH(287,'Transfer Engine'!$C$2:$C$622,0)),"",INDEX('Compliance Database'!$H$2:$H$622,MATCH(287,'Transfer Engine'!$C$2:$C$622,0)))</f>
        <v/>
      </c>
      <c r="I296" s="8">
        <f>IF(ISNA(MATCH(287,'Transfer Engine'!$C$2:$C$622,0)),"",INDEX('Compliance Database'!$I$2:$I$622,MATCH(287,'Transfer Engine'!$C$2:$C$622,0)))</f>
        <v/>
      </c>
      <c r="J296" s="8">
        <f>IF(ISNA(MATCH(287,'Transfer Engine'!$C$2:$C$622,0)),"",INDEX('Compliance Database'!$J$2:$J$622,MATCH(287,'Transfer Engine'!$C$2:$C$622,0)))</f>
        <v/>
      </c>
      <c r="K296">
        <f>IF(ISNA(MATCH(287,'Transfer Engine'!$C$2:$C$622,0)),"",INDEX('Compliance Database'!$K$2:$K$622,MATCH(287,'Transfer Engine'!$C$2:$C$622,0)))</f>
        <v/>
      </c>
      <c r="L296" s="8">
        <f>IF(ISNA(MATCH(287,'Transfer Engine'!$C$2:$C$622,0)),"",INDEX('Compliance Database'!$L$2:$L$622,MATCH(287,'Transfer Engine'!$C$2:$C$622,0)))</f>
        <v/>
      </c>
      <c r="M296" s="8">
        <f>IF(ISNA(MATCH(287,'Transfer Engine'!$C$2:$C$622,0)),"",INDEX('Compliance Database'!$M$2:$M$622,MATCH(287,'Transfer Engine'!$C$2:$C$622,0)))</f>
        <v/>
      </c>
      <c r="N296" s="8">
        <f>IF(ISNA(MATCH(287,'Transfer Engine'!$C$2:$C$622,0)),"",INDEX('Compliance Database'!$N$2:$N$622,MATCH(287,'Transfer Engine'!$C$2:$C$622,0)))</f>
        <v/>
      </c>
      <c r="O296" s="8">
        <f>IF(ISNA(MATCH(287,'Transfer Engine'!$C$2:$C$622,0)),"",INDEX('Compliance Database'!$O$2:$O$622,MATCH(287,'Transfer Engine'!$C$2:$C$622,0)))</f>
        <v/>
      </c>
    </row>
    <row r="297">
      <c r="A297">
        <f>IF(ISNA(MATCH(288,'Transfer Engine'!$C$2:$C$622,0)),"",INDEX('Compliance Database'!$A$2:$A$622,MATCH(288,'Transfer Engine'!$C$2:$C$622,0)))</f>
        <v/>
      </c>
      <c r="B297">
        <f>IF(ISNA(MATCH(288,'Transfer Engine'!$C$2:$C$622,0)),"",INDEX('Compliance Database'!$B$2:$B$622,MATCH(288,'Transfer Engine'!$C$2:$C$622,0)))</f>
        <v/>
      </c>
      <c r="C297">
        <f>IF(ISNA(MATCH(288,'Transfer Engine'!$C$2:$C$622,0)),"",INDEX('Compliance Database'!$C$2:$C$622,MATCH(288,'Transfer Engine'!$C$2:$C$622,0)))</f>
        <v/>
      </c>
      <c r="D297" s="8">
        <f>IF(ISNA(MATCH(288,'Transfer Engine'!$C$2:$C$622,0)),"",INDEX('Compliance Database'!$D$2:$D$622,MATCH(288,'Transfer Engine'!$C$2:$C$622,0)))</f>
        <v/>
      </c>
      <c r="E297">
        <f>IF(ISNA(MATCH(288,'Transfer Engine'!$C$2:$C$622,0)),"",INDEX('Compliance Database'!$E$2:$E$622,MATCH(288,'Transfer Engine'!$C$2:$C$622,0)))</f>
        <v/>
      </c>
      <c r="F297">
        <f>IF(ISNA(MATCH(288,'Transfer Engine'!$C$2:$C$622,0)),"",INDEX('Compliance Database'!$F$2:$F$622,MATCH(288,'Transfer Engine'!$C$2:$C$622,0)))</f>
        <v/>
      </c>
      <c r="G297">
        <f>IF(ISNA(MATCH(288,'Transfer Engine'!$C$2:$C$622,0)),"",INDEX('Compliance Database'!$G$2:$G$622,MATCH(288,'Transfer Engine'!$C$2:$C$622,0)))</f>
        <v/>
      </c>
      <c r="H297">
        <f>IF(ISNA(MATCH(288,'Transfer Engine'!$C$2:$C$622,0)),"",INDEX('Compliance Database'!$H$2:$H$622,MATCH(288,'Transfer Engine'!$C$2:$C$622,0)))</f>
        <v/>
      </c>
      <c r="I297" s="8">
        <f>IF(ISNA(MATCH(288,'Transfer Engine'!$C$2:$C$622,0)),"",INDEX('Compliance Database'!$I$2:$I$622,MATCH(288,'Transfer Engine'!$C$2:$C$622,0)))</f>
        <v/>
      </c>
      <c r="J297" s="8">
        <f>IF(ISNA(MATCH(288,'Transfer Engine'!$C$2:$C$622,0)),"",INDEX('Compliance Database'!$J$2:$J$622,MATCH(288,'Transfer Engine'!$C$2:$C$622,0)))</f>
        <v/>
      </c>
      <c r="K297">
        <f>IF(ISNA(MATCH(288,'Transfer Engine'!$C$2:$C$622,0)),"",INDEX('Compliance Database'!$K$2:$K$622,MATCH(288,'Transfer Engine'!$C$2:$C$622,0)))</f>
        <v/>
      </c>
      <c r="L297" s="8">
        <f>IF(ISNA(MATCH(288,'Transfer Engine'!$C$2:$C$622,0)),"",INDEX('Compliance Database'!$L$2:$L$622,MATCH(288,'Transfer Engine'!$C$2:$C$622,0)))</f>
        <v/>
      </c>
      <c r="M297" s="8">
        <f>IF(ISNA(MATCH(288,'Transfer Engine'!$C$2:$C$622,0)),"",INDEX('Compliance Database'!$M$2:$M$622,MATCH(288,'Transfer Engine'!$C$2:$C$622,0)))</f>
        <v/>
      </c>
      <c r="N297" s="8">
        <f>IF(ISNA(MATCH(288,'Transfer Engine'!$C$2:$C$622,0)),"",INDEX('Compliance Database'!$N$2:$N$622,MATCH(288,'Transfer Engine'!$C$2:$C$622,0)))</f>
        <v/>
      </c>
      <c r="O297" s="8">
        <f>IF(ISNA(MATCH(288,'Transfer Engine'!$C$2:$C$622,0)),"",INDEX('Compliance Database'!$O$2:$O$622,MATCH(288,'Transfer Engine'!$C$2:$C$622,0)))</f>
        <v/>
      </c>
    </row>
    <row r="298">
      <c r="A298">
        <f>IF(ISNA(MATCH(289,'Transfer Engine'!$C$2:$C$622,0)),"",INDEX('Compliance Database'!$A$2:$A$622,MATCH(289,'Transfer Engine'!$C$2:$C$622,0)))</f>
        <v/>
      </c>
      <c r="B298">
        <f>IF(ISNA(MATCH(289,'Transfer Engine'!$C$2:$C$622,0)),"",INDEX('Compliance Database'!$B$2:$B$622,MATCH(289,'Transfer Engine'!$C$2:$C$622,0)))</f>
        <v/>
      </c>
      <c r="C298">
        <f>IF(ISNA(MATCH(289,'Transfer Engine'!$C$2:$C$622,0)),"",INDEX('Compliance Database'!$C$2:$C$622,MATCH(289,'Transfer Engine'!$C$2:$C$622,0)))</f>
        <v/>
      </c>
      <c r="D298" s="8">
        <f>IF(ISNA(MATCH(289,'Transfer Engine'!$C$2:$C$622,0)),"",INDEX('Compliance Database'!$D$2:$D$622,MATCH(289,'Transfer Engine'!$C$2:$C$622,0)))</f>
        <v/>
      </c>
      <c r="E298">
        <f>IF(ISNA(MATCH(289,'Transfer Engine'!$C$2:$C$622,0)),"",INDEX('Compliance Database'!$E$2:$E$622,MATCH(289,'Transfer Engine'!$C$2:$C$622,0)))</f>
        <v/>
      </c>
      <c r="F298">
        <f>IF(ISNA(MATCH(289,'Transfer Engine'!$C$2:$C$622,0)),"",INDEX('Compliance Database'!$F$2:$F$622,MATCH(289,'Transfer Engine'!$C$2:$C$622,0)))</f>
        <v/>
      </c>
      <c r="G298">
        <f>IF(ISNA(MATCH(289,'Transfer Engine'!$C$2:$C$622,0)),"",INDEX('Compliance Database'!$G$2:$G$622,MATCH(289,'Transfer Engine'!$C$2:$C$622,0)))</f>
        <v/>
      </c>
      <c r="H298">
        <f>IF(ISNA(MATCH(289,'Transfer Engine'!$C$2:$C$622,0)),"",INDEX('Compliance Database'!$H$2:$H$622,MATCH(289,'Transfer Engine'!$C$2:$C$622,0)))</f>
        <v/>
      </c>
      <c r="I298" s="8">
        <f>IF(ISNA(MATCH(289,'Transfer Engine'!$C$2:$C$622,0)),"",INDEX('Compliance Database'!$I$2:$I$622,MATCH(289,'Transfer Engine'!$C$2:$C$622,0)))</f>
        <v/>
      </c>
      <c r="J298" s="8">
        <f>IF(ISNA(MATCH(289,'Transfer Engine'!$C$2:$C$622,0)),"",INDEX('Compliance Database'!$J$2:$J$622,MATCH(289,'Transfer Engine'!$C$2:$C$622,0)))</f>
        <v/>
      </c>
      <c r="K298">
        <f>IF(ISNA(MATCH(289,'Transfer Engine'!$C$2:$C$622,0)),"",INDEX('Compliance Database'!$K$2:$K$622,MATCH(289,'Transfer Engine'!$C$2:$C$622,0)))</f>
        <v/>
      </c>
      <c r="L298" s="8">
        <f>IF(ISNA(MATCH(289,'Transfer Engine'!$C$2:$C$622,0)),"",INDEX('Compliance Database'!$L$2:$L$622,MATCH(289,'Transfer Engine'!$C$2:$C$622,0)))</f>
        <v/>
      </c>
      <c r="M298" s="8">
        <f>IF(ISNA(MATCH(289,'Transfer Engine'!$C$2:$C$622,0)),"",INDEX('Compliance Database'!$M$2:$M$622,MATCH(289,'Transfer Engine'!$C$2:$C$622,0)))</f>
        <v/>
      </c>
      <c r="N298" s="8">
        <f>IF(ISNA(MATCH(289,'Transfer Engine'!$C$2:$C$622,0)),"",INDEX('Compliance Database'!$N$2:$N$622,MATCH(289,'Transfer Engine'!$C$2:$C$622,0)))</f>
        <v/>
      </c>
      <c r="O298" s="8">
        <f>IF(ISNA(MATCH(289,'Transfer Engine'!$C$2:$C$622,0)),"",INDEX('Compliance Database'!$O$2:$O$622,MATCH(289,'Transfer Engine'!$C$2:$C$622,0)))</f>
        <v/>
      </c>
    </row>
    <row r="299">
      <c r="A299">
        <f>IF(ISNA(MATCH(290,'Transfer Engine'!$C$2:$C$622,0)),"",INDEX('Compliance Database'!$A$2:$A$622,MATCH(290,'Transfer Engine'!$C$2:$C$622,0)))</f>
        <v/>
      </c>
      <c r="B299">
        <f>IF(ISNA(MATCH(290,'Transfer Engine'!$C$2:$C$622,0)),"",INDEX('Compliance Database'!$B$2:$B$622,MATCH(290,'Transfer Engine'!$C$2:$C$622,0)))</f>
        <v/>
      </c>
      <c r="C299">
        <f>IF(ISNA(MATCH(290,'Transfer Engine'!$C$2:$C$622,0)),"",INDEX('Compliance Database'!$C$2:$C$622,MATCH(290,'Transfer Engine'!$C$2:$C$622,0)))</f>
        <v/>
      </c>
      <c r="D299" s="8">
        <f>IF(ISNA(MATCH(290,'Transfer Engine'!$C$2:$C$622,0)),"",INDEX('Compliance Database'!$D$2:$D$622,MATCH(290,'Transfer Engine'!$C$2:$C$622,0)))</f>
        <v/>
      </c>
      <c r="E299">
        <f>IF(ISNA(MATCH(290,'Transfer Engine'!$C$2:$C$622,0)),"",INDEX('Compliance Database'!$E$2:$E$622,MATCH(290,'Transfer Engine'!$C$2:$C$622,0)))</f>
        <v/>
      </c>
      <c r="F299">
        <f>IF(ISNA(MATCH(290,'Transfer Engine'!$C$2:$C$622,0)),"",INDEX('Compliance Database'!$F$2:$F$622,MATCH(290,'Transfer Engine'!$C$2:$C$622,0)))</f>
        <v/>
      </c>
      <c r="G299">
        <f>IF(ISNA(MATCH(290,'Transfer Engine'!$C$2:$C$622,0)),"",INDEX('Compliance Database'!$G$2:$G$622,MATCH(290,'Transfer Engine'!$C$2:$C$622,0)))</f>
        <v/>
      </c>
      <c r="H299">
        <f>IF(ISNA(MATCH(290,'Transfer Engine'!$C$2:$C$622,0)),"",INDEX('Compliance Database'!$H$2:$H$622,MATCH(290,'Transfer Engine'!$C$2:$C$622,0)))</f>
        <v/>
      </c>
      <c r="I299" s="8">
        <f>IF(ISNA(MATCH(290,'Transfer Engine'!$C$2:$C$622,0)),"",INDEX('Compliance Database'!$I$2:$I$622,MATCH(290,'Transfer Engine'!$C$2:$C$622,0)))</f>
        <v/>
      </c>
      <c r="J299" s="8">
        <f>IF(ISNA(MATCH(290,'Transfer Engine'!$C$2:$C$622,0)),"",INDEX('Compliance Database'!$J$2:$J$622,MATCH(290,'Transfer Engine'!$C$2:$C$622,0)))</f>
        <v/>
      </c>
      <c r="K299">
        <f>IF(ISNA(MATCH(290,'Transfer Engine'!$C$2:$C$622,0)),"",INDEX('Compliance Database'!$K$2:$K$622,MATCH(290,'Transfer Engine'!$C$2:$C$622,0)))</f>
        <v/>
      </c>
      <c r="L299" s="8">
        <f>IF(ISNA(MATCH(290,'Transfer Engine'!$C$2:$C$622,0)),"",INDEX('Compliance Database'!$L$2:$L$622,MATCH(290,'Transfer Engine'!$C$2:$C$622,0)))</f>
        <v/>
      </c>
      <c r="M299" s="8">
        <f>IF(ISNA(MATCH(290,'Transfer Engine'!$C$2:$C$622,0)),"",INDEX('Compliance Database'!$M$2:$M$622,MATCH(290,'Transfer Engine'!$C$2:$C$622,0)))</f>
        <v/>
      </c>
      <c r="N299" s="8">
        <f>IF(ISNA(MATCH(290,'Transfer Engine'!$C$2:$C$622,0)),"",INDEX('Compliance Database'!$N$2:$N$622,MATCH(290,'Transfer Engine'!$C$2:$C$622,0)))</f>
        <v/>
      </c>
      <c r="O299" s="8">
        <f>IF(ISNA(MATCH(290,'Transfer Engine'!$C$2:$C$622,0)),"",INDEX('Compliance Database'!$O$2:$O$622,MATCH(290,'Transfer Engine'!$C$2:$C$622,0)))</f>
        <v/>
      </c>
    </row>
    <row r="300">
      <c r="A300">
        <f>IF(ISNA(MATCH(291,'Transfer Engine'!$C$2:$C$622,0)),"",INDEX('Compliance Database'!$A$2:$A$622,MATCH(291,'Transfer Engine'!$C$2:$C$622,0)))</f>
        <v/>
      </c>
      <c r="B300">
        <f>IF(ISNA(MATCH(291,'Transfer Engine'!$C$2:$C$622,0)),"",INDEX('Compliance Database'!$B$2:$B$622,MATCH(291,'Transfer Engine'!$C$2:$C$622,0)))</f>
        <v/>
      </c>
      <c r="C300">
        <f>IF(ISNA(MATCH(291,'Transfer Engine'!$C$2:$C$622,0)),"",INDEX('Compliance Database'!$C$2:$C$622,MATCH(291,'Transfer Engine'!$C$2:$C$622,0)))</f>
        <v/>
      </c>
      <c r="D300" s="8">
        <f>IF(ISNA(MATCH(291,'Transfer Engine'!$C$2:$C$622,0)),"",INDEX('Compliance Database'!$D$2:$D$622,MATCH(291,'Transfer Engine'!$C$2:$C$622,0)))</f>
        <v/>
      </c>
      <c r="E300">
        <f>IF(ISNA(MATCH(291,'Transfer Engine'!$C$2:$C$622,0)),"",INDEX('Compliance Database'!$E$2:$E$622,MATCH(291,'Transfer Engine'!$C$2:$C$622,0)))</f>
        <v/>
      </c>
      <c r="F300">
        <f>IF(ISNA(MATCH(291,'Transfer Engine'!$C$2:$C$622,0)),"",INDEX('Compliance Database'!$F$2:$F$622,MATCH(291,'Transfer Engine'!$C$2:$C$622,0)))</f>
        <v/>
      </c>
      <c r="G300">
        <f>IF(ISNA(MATCH(291,'Transfer Engine'!$C$2:$C$622,0)),"",INDEX('Compliance Database'!$G$2:$G$622,MATCH(291,'Transfer Engine'!$C$2:$C$622,0)))</f>
        <v/>
      </c>
      <c r="H300">
        <f>IF(ISNA(MATCH(291,'Transfer Engine'!$C$2:$C$622,0)),"",INDEX('Compliance Database'!$H$2:$H$622,MATCH(291,'Transfer Engine'!$C$2:$C$622,0)))</f>
        <v/>
      </c>
      <c r="I300" s="8">
        <f>IF(ISNA(MATCH(291,'Transfer Engine'!$C$2:$C$622,0)),"",INDEX('Compliance Database'!$I$2:$I$622,MATCH(291,'Transfer Engine'!$C$2:$C$622,0)))</f>
        <v/>
      </c>
      <c r="J300" s="8">
        <f>IF(ISNA(MATCH(291,'Transfer Engine'!$C$2:$C$622,0)),"",INDEX('Compliance Database'!$J$2:$J$622,MATCH(291,'Transfer Engine'!$C$2:$C$622,0)))</f>
        <v/>
      </c>
      <c r="K300">
        <f>IF(ISNA(MATCH(291,'Transfer Engine'!$C$2:$C$622,0)),"",INDEX('Compliance Database'!$K$2:$K$622,MATCH(291,'Transfer Engine'!$C$2:$C$622,0)))</f>
        <v/>
      </c>
      <c r="L300" s="8">
        <f>IF(ISNA(MATCH(291,'Transfer Engine'!$C$2:$C$622,0)),"",INDEX('Compliance Database'!$L$2:$L$622,MATCH(291,'Transfer Engine'!$C$2:$C$622,0)))</f>
        <v/>
      </c>
      <c r="M300" s="8">
        <f>IF(ISNA(MATCH(291,'Transfer Engine'!$C$2:$C$622,0)),"",INDEX('Compliance Database'!$M$2:$M$622,MATCH(291,'Transfer Engine'!$C$2:$C$622,0)))</f>
        <v/>
      </c>
      <c r="N300" s="8">
        <f>IF(ISNA(MATCH(291,'Transfer Engine'!$C$2:$C$622,0)),"",INDEX('Compliance Database'!$N$2:$N$622,MATCH(291,'Transfer Engine'!$C$2:$C$622,0)))</f>
        <v/>
      </c>
      <c r="O300" s="8">
        <f>IF(ISNA(MATCH(291,'Transfer Engine'!$C$2:$C$622,0)),"",INDEX('Compliance Database'!$O$2:$O$622,MATCH(291,'Transfer Engine'!$C$2:$C$622,0)))</f>
        <v/>
      </c>
    </row>
    <row r="301">
      <c r="A301">
        <f>IF(ISNA(MATCH(292,'Transfer Engine'!$C$2:$C$622,0)),"",INDEX('Compliance Database'!$A$2:$A$622,MATCH(292,'Transfer Engine'!$C$2:$C$622,0)))</f>
        <v/>
      </c>
      <c r="B301">
        <f>IF(ISNA(MATCH(292,'Transfer Engine'!$C$2:$C$622,0)),"",INDEX('Compliance Database'!$B$2:$B$622,MATCH(292,'Transfer Engine'!$C$2:$C$622,0)))</f>
        <v/>
      </c>
      <c r="C301">
        <f>IF(ISNA(MATCH(292,'Transfer Engine'!$C$2:$C$622,0)),"",INDEX('Compliance Database'!$C$2:$C$622,MATCH(292,'Transfer Engine'!$C$2:$C$622,0)))</f>
        <v/>
      </c>
      <c r="D301" s="8">
        <f>IF(ISNA(MATCH(292,'Transfer Engine'!$C$2:$C$622,0)),"",INDEX('Compliance Database'!$D$2:$D$622,MATCH(292,'Transfer Engine'!$C$2:$C$622,0)))</f>
        <v/>
      </c>
      <c r="E301">
        <f>IF(ISNA(MATCH(292,'Transfer Engine'!$C$2:$C$622,0)),"",INDEX('Compliance Database'!$E$2:$E$622,MATCH(292,'Transfer Engine'!$C$2:$C$622,0)))</f>
        <v/>
      </c>
      <c r="F301">
        <f>IF(ISNA(MATCH(292,'Transfer Engine'!$C$2:$C$622,0)),"",INDEX('Compliance Database'!$F$2:$F$622,MATCH(292,'Transfer Engine'!$C$2:$C$622,0)))</f>
        <v/>
      </c>
      <c r="G301">
        <f>IF(ISNA(MATCH(292,'Transfer Engine'!$C$2:$C$622,0)),"",INDEX('Compliance Database'!$G$2:$G$622,MATCH(292,'Transfer Engine'!$C$2:$C$622,0)))</f>
        <v/>
      </c>
      <c r="H301">
        <f>IF(ISNA(MATCH(292,'Transfer Engine'!$C$2:$C$622,0)),"",INDEX('Compliance Database'!$H$2:$H$622,MATCH(292,'Transfer Engine'!$C$2:$C$622,0)))</f>
        <v/>
      </c>
      <c r="I301" s="8">
        <f>IF(ISNA(MATCH(292,'Transfer Engine'!$C$2:$C$622,0)),"",INDEX('Compliance Database'!$I$2:$I$622,MATCH(292,'Transfer Engine'!$C$2:$C$622,0)))</f>
        <v/>
      </c>
      <c r="J301" s="8">
        <f>IF(ISNA(MATCH(292,'Transfer Engine'!$C$2:$C$622,0)),"",INDEX('Compliance Database'!$J$2:$J$622,MATCH(292,'Transfer Engine'!$C$2:$C$622,0)))</f>
        <v/>
      </c>
      <c r="K301">
        <f>IF(ISNA(MATCH(292,'Transfer Engine'!$C$2:$C$622,0)),"",INDEX('Compliance Database'!$K$2:$K$622,MATCH(292,'Transfer Engine'!$C$2:$C$622,0)))</f>
        <v/>
      </c>
      <c r="L301" s="8">
        <f>IF(ISNA(MATCH(292,'Transfer Engine'!$C$2:$C$622,0)),"",INDEX('Compliance Database'!$L$2:$L$622,MATCH(292,'Transfer Engine'!$C$2:$C$622,0)))</f>
        <v/>
      </c>
      <c r="M301" s="8">
        <f>IF(ISNA(MATCH(292,'Transfer Engine'!$C$2:$C$622,0)),"",INDEX('Compliance Database'!$M$2:$M$622,MATCH(292,'Transfer Engine'!$C$2:$C$622,0)))</f>
        <v/>
      </c>
      <c r="N301" s="8">
        <f>IF(ISNA(MATCH(292,'Transfer Engine'!$C$2:$C$622,0)),"",INDEX('Compliance Database'!$N$2:$N$622,MATCH(292,'Transfer Engine'!$C$2:$C$622,0)))</f>
        <v/>
      </c>
      <c r="O301" s="8">
        <f>IF(ISNA(MATCH(292,'Transfer Engine'!$C$2:$C$622,0)),"",INDEX('Compliance Database'!$O$2:$O$622,MATCH(292,'Transfer Engine'!$C$2:$C$622,0)))</f>
        <v/>
      </c>
    </row>
    <row r="302">
      <c r="A302">
        <f>IF(ISNA(MATCH(293,'Transfer Engine'!$C$2:$C$622,0)),"",INDEX('Compliance Database'!$A$2:$A$622,MATCH(293,'Transfer Engine'!$C$2:$C$622,0)))</f>
        <v/>
      </c>
      <c r="B302">
        <f>IF(ISNA(MATCH(293,'Transfer Engine'!$C$2:$C$622,0)),"",INDEX('Compliance Database'!$B$2:$B$622,MATCH(293,'Transfer Engine'!$C$2:$C$622,0)))</f>
        <v/>
      </c>
      <c r="C302">
        <f>IF(ISNA(MATCH(293,'Transfer Engine'!$C$2:$C$622,0)),"",INDEX('Compliance Database'!$C$2:$C$622,MATCH(293,'Transfer Engine'!$C$2:$C$622,0)))</f>
        <v/>
      </c>
      <c r="D302" s="8">
        <f>IF(ISNA(MATCH(293,'Transfer Engine'!$C$2:$C$622,0)),"",INDEX('Compliance Database'!$D$2:$D$622,MATCH(293,'Transfer Engine'!$C$2:$C$622,0)))</f>
        <v/>
      </c>
      <c r="E302">
        <f>IF(ISNA(MATCH(293,'Transfer Engine'!$C$2:$C$622,0)),"",INDEX('Compliance Database'!$E$2:$E$622,MATCH(293,'Transfer Engine'!$C$2:$C$622,0)))</f>
        <v/>
      </c>
      <c r="F302">
        <f>IF(ISNA(MATCH(293,'Transfer Engine'!$C$2:$C$622,0)),"",INDEX('Compliance Database'!$F$2:$F$622,MATCH(293,'Transfer Engine'!$C$2:$C$622,0)))</f>
        <v/>
      </c>
      <c r="G302">
        <f>IF(ISNA(MATCH(293,'Transfer Engine'!$C$2:$C$622,0)),"",INDEX('Compliance Database'!$G$2:$G$622,MATCH(293,'Transfer Engine'!$C$2:$C$622,0)))</f>
        <v/>
      </c>
      <c r="H302">
        <f>IF(ISNA(MATCH(293,'Transfer Engine'!$C$2:$C$622,0)),"",INDEX('Compliance Database'!$H$2:$H$622,MATCH(293,'Transfer Engine'!$C$2:$C$622,0)))</f>
        <v/>
      </c>
      <c r="I302" s="8">
        <f>IF(ISNA(MATCH(293,'Transfer Engine'!$C$2:$C$622,0)),"",INDEX('Compliance Database'!$I$2:$I$622,MATCH(293,'Transfer Engine'!$C$2:$C$622,0)))</f>
        <v/>
      </c>
      <c r="J302" s="8">
        <f>IF(ISNA(MATCH(293,'Transfer Engine'!$C$2:$C$622,0)),"",INDEX('Compliance Database'!$J$2:$J$622,MATCH(293,'Transfer Engine'!$C$2:$C$622,0)))</f>
        <v/>
      </c>
      <c r="K302">
        <f>IF(ISNA(MATCH(293,'Transfer Engine'!$C$2:$C$622,0)),"",INDEX('Compliance Database'!$K$2:$K$622,MATCH(293,'Transfer Engine'!$C$2:$C$622,0)))</f>
        <v/>
      </c>
      <c r="L302" s="8">
        <f>IF(ISNA(MATCH(293,'Transfer Engine'!$C$2:$C$622,0)),"",INDEX('Compliance Database'!$L$2:$L$622,MATCH(293,'Transfer Engine'!$C$2:$C$622,0)))</f>
        <v/>
      </c>
      <c r="M302" s="8">
        <f>IF(ISNA(MATCH(293,'Transfer Engine'!$C$2:$C$622,0)),"",INDEX('Compliance Database'!$M$2:$M$622,MATCH(293,'Transfer Engine'!$C$2:$C$622,0)))</f>
        <v/>
      </c>
      <c r="N302" s="8">
        <f>IF(ISNA(MATCH(293,'Transfer Engine'!$C$2:$C$622,0)),"",INDEX('Compliance Database'!$N$2:$N$622,MATCH(293,'Transfer Engine'!$C$2:$C$622,0)))</f>
        <v/>
      </c>
      <c r="O302" s="8">
        <f>IF(ISNA(MATCH(293,'Transfer Engine'!$C$2:$C$622,0)),"",INDEX('Compliance Database'!$O$2:$O$622,MATCH(293,'Transfer Engine'!$C$2:$C$622,0)))</f>
        <v/>
      </c>
    </row>
    <row r="303">
      <c r="A303">
        <f>IF(ISNA(MATCH(294,'Transfer Engine'!$C$2:$C$622,0)),"",INDEX('Compliance Database'!$A$2:$A$622,MATCH(294,'Transfer Engine'!$C$2:$C$622,0)))</f>
        <v/>
      </c>
      <c r="B303">
        <f>IF(ISNA(MATCH(294,'Transfer Engine'!$C$2:$C$622,0)),"",INDEX('Compliance Database'!$B$2:$B$622,MATCH(294,'Transfer Engine'!$C$2:$C$622,0)))</f>
        <v/>
      </c>
      <c r="C303">
        <f>IF(ISNA(MATCH(294,'Transfer Engine'!$C$2:$C$622,0)),"",INDEX('Compliance Database'!$C$2:$C$622,MATCH(294,'Transfer Engine'!$C$2:$C$622,0)))</f>
        <v/>
      </c>
      <c r="D303" s="8">
        <f>IF(ISNA(MATCH(294,'Transfer Engine'!$C$2:$C$622,0)),"",INDEX('Compliance Database'!$D$2:$D$622,MATCH(294,'Transfer Engine'!$C$2:$C$622,0)))</f>
        <v/>
      </c>
      <c r="E303">
        <f>IF(ISNA(MATCH(294,'Transfer Engine'!$C$2:$C$622,0)),"",INDEX('Compliance Database'!$E$2:$E$622,MATCH(294,'Transfer Engine'!$C$2:$C$622,0)))</f>
        <v/>
      </c>
      <c r="F303">
        <f>IF(ISNA(MATCH(294,'Transfer Engine'!$C$2:$C$622,0)),"",INDEX('Compliance Database'!$F$2:$F$622,MATCH(294,'Transfer Engine'!$C$2:$C$622,0)))</f>
        <v/>
      </c>
      <c r="G303">
        <f>IF(ISNA(MATCH(294,'Transfer Engine'!$C$2:$C$622,0)),"",INDEX('Compliance Database'!$G$2:$G$622,MATCH(294,'Transfer Engine'!$C$2:$C$622,0)))</f>
        <v/>
      </c>
      <c r="H303">
        <f>IF(ISNA(MATCH(294,'Transfer Engine'!$C$2:$C$622,0)),"",INDEX('Compliance Database'!$H$2:$H$622,MATCH(294,'Transfer Engine'!$C$2:$C$622,0)))</f>
        <v/>
      </c>
      <c r="I303" s="8">
        <f>IF(ISNA(MATCH(294,'Transfer Engine'!$C$2:$C$622,0)),"",INDEX('Compliance Database'!$I$2:$I$622,MATCH(294,'Transfer Engine'!$C$2:$C$622,0)))</f>
        <v/>
      </c>
      <c r="J303" s="8">
        <f>IF(ISNA(MATCH(294,'Transfer Engine'!$C$2:$C$622,0)),"",INDEX('Compliance Database'!$J$2:$J$622,MATCH(294,'Transfer Engine'!$C$2:$C$622,0)))</f>
        <v/>
      </c>
      <c r="K303">
        <f>IF(ISNA(MATCH(294,'Transfer Engine'!$C$2:$C$622,0)),"",INDEX('Compliance Database'!$K$2:$K$622,MATCH(294,'Transfer Engine'!$C$2:$C$622,0)))</f>
        <v/>
      </c>
      <c r="L303" s="8">
        <f>IF(ISNA(MATCH(294,'Transfer Engine'!$C$2:$C$622,0)),"",INDEX('Compliance Database'!$L$2:$L$622,MATCH(294,'Transfer Engine'!$C$2:$C$622,0)))</f>
        <v/>
      </c>
      <c r="M303" s="8">
        <f>IF(ISNA(MATCH(294,'Transfer Engine'!$C$2:$C$622,0)),"",INDEX('Compliance Database'!$M$2:$M$622,MATCH(294,'Transfer Engine'!$C$2:$C$622,0)))</f>
        <v/>
      </c>
      <c r="N303" s="8">
        <f>IF(ISNA(MATCH(294,'Transfer Engine'!$C$2:$C$622,0)),"",INDEX('Compliance Database'!$N$2:$N$622,MATCH(294,'Transfer Engine'!$C$2:$C$622,0)))</f>
        <v/>
      </c>
      <c r="O303" s="8">
        <f>IF(ISNA(MATCH(294,'Transfer Engine'!$C$2:$C$622,0)),"",INDEX('Compliance Database'!$O$2:$O$622,MATCH(294,'Transfer Engine'!$C$2:$C$622,0)))</f>
        <v/>
      </c>
    </row>
    <row r="304">
      <c r="A304">
        <f>IF(ISNA(MATCH(295,'Transfer Engine'!$C$2:$C$622,0)),"",INDEX('Compliance Database'!$A$2:$A$622,MATCH(295,'Transfer Engine'!$C$2:$C$622,0)))</f>
        <v/>
      </c>
      <c r="B304">
        <f>IF(ISNA(MATCH(295,'Transfer Engine'!$C$2:$C$622,0)),"",INDEX('Compliance Database'!$B$2:$B$622,MATCH(295,'Transfer Engine'!$C$2:$C$622,0)))</f>
        <v/>
      </c>
      <c r="C304">
        <f>IF(ISNA(MATCH(295,'Transfer Engine'!$C$2:$C$622,0)),"",INDEX('Compliance Database'!$C$2:$C$622,MATCH(295,'Transfer Engine'!$C$2:$C$622,0)))</f>
        <v/>
      </c>
      <c r="D304" s="8">
        <f>IF(ISNA(MATCH(295,'Transfer Engine'!$C$2:$C$622,0)),"",INDEX('Compliance Database'!$D$2:$D$622,MATCH(295,'Transfer Engine'!$C$2:$C$622,0)))</f>
        <v/>
      </c>
      <c r="E304">
        <f>IF(ISNA(MATCH(295,'Transfer Engine'!$C$2:$C$622,0)),"",INDEX('Compliance Database'!$E$2:$E$622,MATCH(295,'Transfer Engine'!$C$2:$C$622,0)))</f>
        <v/>
      </c>
      <c r="F304">
        <f>IF(ISNA(MATCH(295,'Transfer Engine'!$C$2:$C$622,0)),"",INDEX('Compliance Database'!$F$2:$F$622,MATCH(295,'Transfer Engine'!$C$2:$C$622,0)))</f>
        <v/>
      </c>
      <c r="G304">
        <f>IF(ISNA(MATCH(295,'Transfer Engine'!$C$2:$C$622,0)),"",INDEX('Compliance Database'!$G$2:$G$622,MATCH(295,'Transfer Engine'!$C$2:$C$622,0)))</f>
        <v/>
      </c>
      <c r="H304">
        <f>IF(ISNA(MATCH(295,'Transfer Engine'!$C$2:$C$622,0)),"",INDEX('Compliance Database'!$H$2:$H$622,MATCH(295,'Transfer Engine'!$C$2:$C$622,0)))</f>
        <v/>
      </c>
      <c r="I304" s="8">
        <f>IF(ISNA(MATCH(295,'Transfer Engine'!$C$2:$C$622,0)),"",INDEX('Compliance Database'!$I$2:$I$622,MATCH(295,'Transfer Engine'!$C$2:$C$622,0)))</f>
        <v/>
      </c>
      <c r="J304" s="8">
        <f>IF(ISNA(MATCH(295,'Transfer Engine'!$C$2:$C$622,0)),"",INDEX('Compliance Database'!$J$2:$J$622,MATCH(295,'Transfer Engine'!$C$2:$C$622,0)))</f>
        <v/>
      </c>
      <c r="K304">
        <f>IF(ISNA(MATCH(295,'Transfer Engine'!$C$2:$C$622,0)),"",INDEX('Compliance Database'!$K$2:$K$622,MATCH(295,'Transfer Engine'!$C$2:$C$622,0)))</f>
        <v/>
      </c>
      <c r="L304" s="8">
        <f>IF(ISNA(MATCH(295,'Transfer Engine'!$C$2:$C$622,0)),"",INDEX('Compliance Database'!$L$2:$L$622,MATCH(295,'Transfer Engine'!$C$2:$C$622,0)))</f>
        <v/>
      </c>
      <c r="M304" s="8">
        <f>IF(ISNA(MATCH(295,'Transfer Engine'!$C$2:$C$622,0)),"",INDEX('Compliance Database'!$M$2:$M$622,MATCH(295,'Transfer Engine'!$C$2:$C$622,0)))</f>
        <v/>
      </c>
      <c r="N304" s="8">
        <f>IF(ISNA(MATCH(295,'Transfer Engine'!$C$2:$C$622,0)),"",INDEX('Compliance Database'!$N$2:$N$622,MATCH(295,'Transfer Engine'!$C$2:$C$622,0)))</f>
        <v/>
      </c>
      <c r="O304" s="8">
        <f>IF(ISNA(MATCH(295,'Transfer Engine'!$C$2:$C$622,0)),"",INDEX('Compliance Database'!$O$2:$O$622,MATCH(295,'Transfer Engine'!$C$2:$C$622,0)))</f>
        <v/>
      </c>
    </row>
    <row r="305">
      <c r="A305">
        <f>IF(ISNA(MATCH(296,'Transfer Engine'!$C$2:$C$622,0)),"",INDEX('Compliance Database'!$A$2:$A$622,MATCH(296,'Transfer Engine'!$C$2:$C$622,0)))</f>
        <v/>
      </c>
      <c r="B305">
        <f>IF(ISNA(MATCH(296,'Transfer Engine'!$C$2:$C$622,0)),"",INDEX('Compliance Database'!$B$2:$B$622,MATCH(296,'Transfer Engine'!$C$2:$C$622,0)))</f>
        <v/>
      </c>
      <c r="C305">
        <f>IF(ISNA(MATCH(296,'Transfer Engine'!$C$2:$C$622,0)),"",INDEX('Compliance Database'!$C$2:$C$622,MATCH(296,'Transfer Engine'!$C$2:$C$622,0)))</f>
        <v/>
      </c>
      <c r="D305" s="8">
        <f>IF(ISNA(MATCH(296,'Transfer Engine'!$C$2:$C$622,0)),"",INDEX('Compliance Database'!$D$2:$D$622,MATCH(296,'Transfer Engine'!$C$2:$C$622,0)))</f>
        <v/>
      </c>
      <c r="E305">
        <f>IF(ISNA(MATCH(296,'Transfer Engine'!$C$2:$C$622,0)),"",INDEX('Compliance Database'!$E$2:$E$622,MATCH(296,'Transfer Engine'!$C$2:$C$622,0)))</f>
        <v/>
      </c>
      <c r="F305">
        <f>IF(ISNA(MATCH(296,'Transfer Engine'!$C$2:$C$622,0)),"",INDEX('Compliance Database'!$F$2:$F$622,MATCH(296,'Transfer Engine'!$C$2:$C$622,0)))</f>
        <v/>
      </c>
      <c r="G305">
        <f>IF(ISNA(MATCH(296,'Transfer Engine'!$C$2:$C$622,0)),"",INDEX('Compliance Database'!$G$2:$G$622,MATCH(296,'Transfer Engine'!$C$2:$C$622,0)))</f>
        <v/>
      </c>
      <c r="H305">
        <f>IF(ISNA(MATCH(296,'Transfer Engine'!$C$2:$C$622,0)),"",INDEX('Compliance Database'!$H$2:$H$622,MATCH(296,'Transfer Engine'!$C$2:$C$622,0)))</f>
        <v/>
      </c>
      <c r="I305" s="8">
        <f>IF(ISNA(MATCH(296,'Transfer Engine'!$C$2:$C$622,0)),"",INDEX('Compliance Database'!$I$2:$I$622,MATCH(296,'Transfer Engine'!$C$2:$C$622,0)))</f>
        <v/>
      </c>
      <c r="J305" s="8">
        <f>IF(ISNA(MATCH(296,'Transfer Engine'!$C$2:$C$622,0)),"",INDEX('Compliance Database'!$J$2:$J$622,MATCH(296,'Transfer Engine'!$C$2:$C$622,0)))</f>
        <v/>
      </c>
      <c r="K305">
        <f>IF(ISNA(MATCH(296,'Transfer Engine'!$C$2:$C$622,0)),"",INDEX('Compliance Database'!$K$2:$K$622,MATCH(296,'Transfer Engine'!$C$2:$C$622,0)))</f>
        <v/>
      </c>
      <c r="L305" s="8">
        <f>IF(ISNA(MATCH(296,'Transfer Engine'!$C$2:$C$622,0)),"",INDEX('Compliance Database'!$L$2:$L$622,MATCH(296,'Transfer Engine'!$C$2:$C$622,0)))</f>
        <v/>
      </c>
      <c r="M305" s="8">
        <f>IF(ISNA(MATCH(296,'Transfer Engine'!$C$2:$C$622,0)),"",INDEX('Compliance Database'!$M$2:$M$622,MATCH(296,'Transfer Engine'!$C$2:$C$622,0)))</f>
        <v/>
      </c>
      <c r="N305" s="8">
        <f>IF(ISNA(MATCH(296,'Transfer Engine'!$C$2:$C$622,0)),"",INDEX('Compliance Database'!$N$2:$N$622,MATCH(296,'Transfer Engine'!$C$2:$C$622,0)))</f>
        <v/>
      </c>
      <c r="O305" s="8">
        <f>IF(ISNA(MATCH(296,'Transfer Engine'!$C$2:$C$622,0)),"",INDEX('Compliance Database'!$O$2:$O$622,MATCH(296,'Transfer Engine'!$C$2:$C$622,0)))</f>
        <v/>
      </c>
    </row>
    <row r="306">
      <c r="A306">
        <f>IF(ISNA(MATCH(297,'Transfer Engine'!$C$2:$C$622,0)),"",INDEX('Compliance Database'!$A$2:$A$622,MATCH(297,'Transfer Engine'!$C$2:$C$622,0)))</f>
        <v/>
      </c>
      <c r="B306">
        <f>IF(ISNA(MATCH(297,'Transfer Engine'!$C$2:$C$622,0)),"",INDEX('Compliance Database'!$B$2:$B$622,MATCH(297,'Transfer Engine'!$C$2:$C$622,0)))</f>
        <v/>
      </c>
      <c r="C306">
        <f>IF(ISNA(MATCH(297,'Transfer Engine'!$C$2:$C$622,0)),"",INDEX('Compliance Database'!$C$2:$C$622,MATCH(297,'Transfer Engine'!$C$2:$C$622,0)))</f>
        <v/>
      </c>
      <c r="D306" s="8">
        <f>IF(ISNA(MATCH(297,'Transfer Engine'!$C$2:$C$622,0)),"",INDEX('Compliance Database'!$D$2:$D$622,MATCH(297,'Transfer Engine'!$C$2:$C$622,0)))</f>
        <v/>
      </c>
      <c r="E306">
        <f>IF(ISNA(MATCH(297,'Transfer Engine'!$C$2:$C$622,0)),"",INDEX('Compliance Database'!$E$2:$E$622,MATCH(297,'Transfer Engine'!$C$2:$C$622,0)))</f>
        <v/>
      </c>
      <c r="F306">
        <f>IF(ISNA(MATCH(297,'Transfer Engine'!$C$2:$C$622,0)),"",INDEX('Compliance Database'!$F$2:$F$622,MATCH(297,'Transfer Engine'!$C$2:$C$622,0)))</f>
        <v/>
      </c>
      <c r="G306">
        <f>IF(ISNA(MATCH(297,'Transfer Engine'!$C$2:$C$622,0)),"",INDEX('Compliance Database'!$G$2:$G$622,MATCH(297,'Transfer Engine'!$C$2:$C$622,0)))</f>
        <v/>
      </c>
      <c r="H306">
        <f>IF(ISNA(MATCH(297,'Transfer Engine'!$C$2:$C$622,0)),"",INDEX('Compliance Database'!$H$2:$H$622,MATCH(297,'Transfer Engine'!$C$2:$C$622,0)))</f>
        <v/>
      </c>
      <c r="I306" s="8">
        <f>IF(ISNA(MATCH(297,'Transfer Engine'!$C$2:$C$622,0)),"",INDEX('Compliance Database'!$I$2:$I$622,MATCH(297,'Transfer Engine'!$C$2:$C$622,0)))</f>
        <v/>
      </c>
      <c r="J306" s="8">
        <f>IF(ISNA(MATCH(297,'Transfer Engine'!$C$2:$C$622,0)),"",INDEX('Compliance Database'!$J$2:$J$622,MATCH(297,'Transfer Engine'!$C$2:$C$622,0)))</f>
        <v/>
      </c>
      <c r="K306">
        <f>IF(ISNA(MATCH(297,'Transfer Engine'!$C$2:$C$622,0)),"",INDEX('Compliance Database'!$K$2:$K$622,MATCH(297,'Transfer Engine'!$C$2:$C$622,0)))</f>
        <v/>
      </c>
      <c r="L306" s="8">
        <f>IF(ISNA(MATCH(297,'Transfer Engine'!$C$2:$C$622,0)),"",INDEX('Compliance Database'!$L$2:$L$622,MATCH(297,'Transfer Engine'!$C$2:$C$622,0)))</f>
        <v/>
      </c>
      <c r="M306" s="8">
        <f>IF(ISNA(MATCH(297,'Transfer Engine'!$C$2:$C$622,0)),"",INDEX('Compliance Database'!$M$2:$M$622,MATCH(297,'Transfer Engine'!$C$2:$C$622,0)))</f>
        <v/>
      </c>
      <c r="N306" s="8">
        <f>IF(ISNA(MATCH(297,'Transfer Engine'!$C$2:$C$622,0)),"",INDEX('Compliance Database'!$N$2:$N$622,MATCH(297,'Transfer Engine'!$C$2:$C$622,0)))</f>
        <v/>
      </c>
      <c r="O306" s="8">
        <f>IF(ISNA(MATCH(297,'Transfer Engine'!$C$2:$C$622,0)),"",INDEX('Compliance Database'!$O$2:$O$622,MATCH(297,'Transfer Engine'!$C$2:$C$622,0)))</f>
        <v/>
      </c>
    </row>
    <row r="307">
      <c r="A307">
        <f>IF(ISNA(MATCH(298,'Transfer Engine'!$C$2:$C$622,0)),"",INDEX('Compliance Database'!$A$2:$A$622,MATCH(298,'Transfer Engine'!$C$2:$C$622,0)))</f>
        <v/>
      </c>
      <c r="B307">
        <f>IF(ISNA(MATCH(298,'Transfer Engine'!$C$2:$C$622,0)),"",INDEX('Compliance Database'!$B$2:$B$622,MATCH(298,'Transfer Engine'!$C$2:$C$622,0)))</f>
        <v/>
      </c>
      <c r="C307">
        <f>IF(ISNA(MATCH(298,'Transfer Engine'!$C$2:$C$622,0)),"",INDEX('Compliance Database'!$C$2:$C$622,MATCH(298,'Transfer Engine'!$C$2:$C$622,0)))</f>
        <v/>
      </c>
      <c r="D307" s="8">
        <f>IF(ISNA(MATCH(298,'Transfer Engine'!$C$2:$C$622,0)),"",INDEX('Compliance Database'!$D$2:$D$622,MATCH(298,'Transfer Engine'!$C$2:$C$622,0)))</f>
        <v/>
      </c>
      <c r="E307">
        <f>IF(ISNA(MATCH(298,'Transfer Engine'!$C$2:$C$622,0)),"",INDEX('Compliance Database'!$E$2:$E$622,MATCH(298,'Transfer Engine'!$C$2:$C$622,0)))</f>
        <v/>
      </c>
      <c r="F307">
        <f>IF(ISNA(MATCH(298,'Transfer Engine'!$C$2:$C$622,0)),"",INDEX('Compliance Database'!$F$2:$F$622,MATCH(298,'Transfer Engine'!$C$2:$C$622,0)))</f>
        <v/>
      </c>
      <c r="G307">
        <f>IF(ISNA(MATCH(298,'Transfer Engine'!$C$2:$C$622,0)),"",INDEX('Compliance Database'!$G$2:$G$622,MATCH(298,'Transfer Engine'!$C$2:$C$622,0)))</f>
        <v/>
      </c>
      <c r="H307">
        <f>IF(ISNA(MATCH(298,'Transfer Engine'!$C$2:$C$622,0)),"",INDEX('Compliance Database'!$H$2:$H$622,MATCH(298,'Transfer Engine'!$C$2:$C$622,0)))</f>
        <v/>
      </c>
      <c r="I307" s="8">
        <f>IF(ISNA(MATCH(298,'Transfer Engine'!$C$2:$C$622,0)),"",INDEX('Compliance Database'!$I$2:$I$622,MATCH(298,'Transfer Engine'!$C$2:$C$622,0)))</f>
        <v/>
      </c>
      <c r="J307" s="8">
        <f>IF(ISNA(MATCH(298,'Transfer Engine'!$C$2:$C$622,0)),"",INDEX('Compliance Database'!$J$2:$J$622,MATCH(298,'Transfer Engine'!$C$2:$C$622,0)))</f>
        <v/>
      </c>
      <c r="K307">
        <f>IF(ISNA(MATCH(298,'Transfer Engine'!$C$2:$C$622,0)),"",INDEX('Compliance Database'!$K$2:$K$622,MATCH(298,'Transfer Engine'!$C$2:$C$622,0)))</f>
        <v/>
      </c>
      <c r="L307" s="8">
        <f>IF(ISNA(MATCH(298,'Transfer Engine'!$C$2:$C$622,0)),"",INDEX('Compliance Database'!$L$2:$L$622,MATCH(298,'Transfer Engine'!$C$2:$C$622,0)))</f>
        <v/>
      </c>
      <c r="M307" s="8">
        <f>IF(ISNA(MATCH(298,'Transfer Engine'!$C$2:$C$622,0)),"",INDEX('Compliance Database'!$M$2:$M$622,MATCH(298,'Transfer Engine'!$C$2:$C$622,0)))</f>
        <v/>
      </c>
      <c r="N307" s="8">
        <f>IF(ISNA(MATCH(298,'Transfer Engine'!$C$2:$C$622,0)),"",INDEX('Compliance Database'!$N$2:$N$622,MATCH(298,'Transfer Engine'!$C$2:$C$622,0)))</f>
        <v/>
      </c>
      <c r="O307" s="8">
        <f>IF(ISNA(MATCH(298,'Transfer Engine'!$C$2:$C$622,0)),"",INDEX('Compliance Database'!$O$2:$O$622,MATCH(298,'Transfer Engine'!$C$2:$C$622,0)))</f>
        <v/>
      </c>
    </row>
    <row r="308">
      <c r="A308">
        <f>IF(ISNA(MATCH(299,'Transfer Engine'!$C$2:$C$622,0)),"",INDEX('Compliance Database'!$A$2:$A$622,MATCH(299,'Transfer Engine'!$C$2:$C$622,0)))</f>
        <v/>
      </c>
      <c r="B308">
        <f>IF(ISNA(MATCH(299,'Transfer Engine'!$C$2:$C$622,0)),"",INDEX('Compliance Database'!$B$2:$B$622,MATCH(299,'Transfer Engine'!$C$2:$C$622,0)))</f>
        <v/>
      </c>
      <c r="C308">
        <f>IF(ISNA(MATCH(299,'Transfer Engine'!$C$2:$C$622,0)),"",INDEX('Compliance Database'!$C$2:$C$622,MATCH(299,'Transfer Engine'!$C$2:$C$622,0)))</f>
        <v/>
      </c>
      <c r="D308" s="8">
        <f>IF(ISNA(MATCH(299,'Transfer Engine'!$C$2:$C$622,0)),"",INDEX('Compliance Database'!$D$2:$D$622,MATCH(299,'Transfer Engine'!$C$2:$C$622,0)))</f>
        <v/>
      </c>
      <c r="E308">
        <f>IF(ISNA(MATCH(299,'Transfer Engine'!$C$2:$C$622,0)),"",INDEX('Compliance Database'!$E$2:$E$622,MATCH(299,'Transfer Engine'!$C$2:$C$622,0)))</f>
        <v/>
      </c>
      <c r="F308">
        <f>IF(ISNA(MATCH(299,'Transfer Engine'!$C$2:$C$622,0)),"",INDEX('Compliance Database'!$F$2:$F$622,MATCH(299,'Transfer Engine'!$C$2:$C$622,0)))</f>
        <v/>
      </c>
      <c r="G308">
        <f>IF(ISNA(MATCH(299,'Transfer Engine'!$C$2:$C$622,0)),"",INDEX('Compliance Database'!$G$2:$G$622,MATCH(299,'Transfer Engine'!$C$2:$C$622,0)))</f>
        <v/>
      </c>
      <c r="H308">
        <f>IF(ISNA(MATCH(299,'Transfer Engine'!$C$2:$C$622,0)),"",INDEX('Compliance Database'!$H$2:$H$622,MATCH(299,'Transfer Engine'!$C$2:$C$622,0)))</f>
        <v/>
      </c>
      <c r="I308" s="8">
        <f>IF(ISNA(MATCH(299,'Transfer Engine'!$C$2:$C$622,0)),"",INDEX('Compliance Database'!$I$2:$I$622,MATCH(299,'Transfer Engine'!$C$2:$C$622,0)))</f>
        <v/>
      </c>
      <c r="J308" s="8">
        <f>IF(ISNA(MATCH(299,'Transfer Engine'!$C$2:$C$622,0)),"",INDEX('Compliance Database'!$J$2:$J$622,MATCH(299,'Transfer Engine'!$C$2:$C$622,0)))</f>
        <v/>
      </c>
      <c r="K308">
        <f>IF(ISNA(MATCH(299,'Transfer Engine'!$C$2:$C$622,0)),"",INDEX('Compliance Database'!$K$2:$K$622,MATCH(299,'Transfer Engine'!$C$2:$C$622,0)))</f>
        <v/>
      </c>
      <c r="L308" s="8">
        <f>IF(ISNA(MATCH(299,'Transfer Engine'!$C$2:$C$622,0)),"",INDEX('Compliance Database'!$L$2:$L$622,MATCH(299,'Transfer Engine'!$C$2:$C$622,0)))</f>
        <v/>
      </c>
      <c r="M308" s="8">
        <f>IF(ISNA(MATCH(299,'Transfer Engine'!$C$2:$C$622,0)),"",INDEX('Compliance Database'!$M$2:$M$622,MATCH(299,'Transfer Engine'!$C$2:$C$622,0)))</f>
        <v/>
      </c>
      <c r="N308" s="8">
        <f>IF(ISNA(MATCH(299,'Transfer Engine'!$C$2:$C$622,0)),"",INDEX('Compliance Database'!$N$2:$N$622,MATCH(299,'Transfer Engine'!$C$2:$C$622,0)))</f>
        <v/>
      </c>
      <c r="O308" s="8">
        <f>IF(ISNA(MATCH(299,'Transfer Engine'!$C$2:$C$622,0)),"",INDEX('Compliance Database'!$O$2:$O$622,MATCH(299,'Transfer Engine'!$C$2:$C$622,0)))</f>
        <v/>
      </c>
    </row>
    <row r="309">
      <c r="A309">
        <f>IF(ISNA(MATCH(300,'Transfer Engine'!$C$2:$C$622,0)),"",INDEX('Compliance Database'!$A$2:$A$622,MATCH(300,'Transfer Engine'!$C$2:$C$622,0)))</f>
        <v/>
      </c>
      <c r="B309">
        <f>IF(ISNA(MATCH(300,'Transfer Engine'!$C$2:$C$622,0)),"",INDEX('Compliance Database'!$B$2:$B$622,MATCH(300,'Transfer Engine'!$C$2:$C$622,0)))</f>
        <v/>
      </c>
      <c r="C309">
        <f>IF(ISNA(MATCH(300,'Transfer Engine'!$C$2:$C$622,0)),"",INDEX('Compliance Database'!$C$2:$C$622,MATCH(300,'Transfer Engine'!$C$2:$C$622,0)))</f>
        <v/>
      </c>
      <c r="D309" s="8">
        <f>IF(ISNA(MATCH(300,'Transfer Engine'!$C$2:$C$622,0)),"",INDEX('Compliance Database'!$D$2:$D$622,MATCH(300,'Transfer Engine'!$C$2:$C$622,0)))</f>
        <v/>
      </c>
      <c r="E309">
        <f>IF(ISNA(MATCH(300,'Transfer Engine'!$C$2:$C$622,0)),"",INDEX('Compliance Database'!$E$2:$E$622,MATCH(300,'Transfer Engine'!$C$2:$C$622,0)))</f>
        <v/>
      </c>
      <c r="F309">
        <f>IF(ISNA(MATCH(300,'Transfer Engine'!$C$2:$C$622,0)),"",INDEX('Compliance Database'!$F$2:$F$622,MATCH(300,'Transfer Engine'!$C$2:$C$622,0)))</f>
        <v/>
      </c>
      <c r="G309">
        <f>IF(ISNA(MATCH(300,'Transfer Engine'!$C$2:$C$622,0)),"",INDEX('Compliance Database'!$G$2:$G$622,MATCH(300,'Transfer Engine'!$C$2:$C$622,0)))</f>
        <v/>
      </c>
      <c r="H309">
        <f>IF(ISNA(MATCH(300,'Transfer Engine'!$C$2:$C$622,0)),"",INDEX('Compliance Database'!$H$2:$H$622,MATCH(300,'Transfer Engine'!$C$2:$C$622,0)))</f>
        <v/>
      </c>
      <c r="I309" s="8">
        <f>IF(ISNA(MATCH(300,'Transfer Engine'!$C$2:$C$622,0)),"",INDEX('Compliance Database'!$I$2:$I$622,MATCH(300,'Transfer Engine'!$C$2:$C$622,0)))</f>
        <v/>
      </c>
      <c r="J309" s="8">
        <f>IF(ISNA(MATCH(300,'Transfer Engine'!$C$2:$C$622,0)),"",INDEX('Compliance Database'!$J$2:$J$622,MATCH(300,'Transfer Engine'!$C$2:$C$622,0)))</f>
        <v/>
      </c>
      <c r="K309">
        <f>IF(ISNA(MATCH(300,'Transfer Engine'!$C$2:$C$622,0)),"",INDEX('Compliance Database'!$K$2:$K$622,MATCH(300,'Transfer Engine'!$C$2:$C$622,0)))</f>
        <v/>
      </c>
      <c r="L309" s="8">
        <f>IF(ISNA(MATCH(300,'Transfer Engine'!$C$2:$C$622,0)),"",INDEX('Compliance Database'!$L$2:$L$622,MATCH(300,'Transfer Engine'!$C$2:$C$622,0)))</f>
        <v/>
      </c>
      <c r="M309" s="8">
        <f>IF(ISNA(MATCH(300,'Transfer Engine'!$C$2:$C$622,0)),"",INDEX('Compliance Database'!$M$2:$M$622,MATCH(300,'Transfer Engine'!$C$2:$C$622,0)))</f>
        <v/>
      </c>
      <c r="N309" s="8">
        <f>IF(ISNA(MATCH(300,'Transfer Engine'!$C$2:$C$622,0)),"",INDEX('Compliance Database'!$N$2:$N$622,MATCH(300,'Transfer Engine'!$C$2:$C$622,0)))</f>
        <v/>
      </c>
      <c r="O309" s="8">
        <f>IF(ISNA(MATCH(300,'Transfer Engine'!$C$2:$C$622,0)),"",INDEX('Compliance Database'!$O$2:$O$622,MATCH(300,'Transfer Engine'!$C$2:$C$622,0)))</f>
        <v/>
      </c>
    </row>
    <row r="310">
      <c r="A310">
        <f>IF(ISNA(MATCH(301,'Transfer Engine'!$C$2:$C$622,0)),"",INDEX('Compliance Database'!$A$2:$A$622,MATCH(301,'Transfer Engine'!$C$2:$C$622,0)))</f>
        <v/>
      </c>
      <c r="B310">
        <f>IF(ISNA(MATCH(301,'Transfer Engine'!$C$2:$C$622,0)),"",INDEX('Compliance Database'!$B$2:$B$622,MATCH(301,'Transfer Engine'!$C$2:$C$622,0)))</f>
        <v/>
      </c>
      <c r="C310">
        <f>IF(ISNA(MATCH(301,'Transfer Engine'!$C$2:$C$622,0)),"",INDEX('Compliance Database'!$C$2:$C$622,MATCH(301,'Transfer Engine'!$C$2:$C$622,0)))</f>
        <v/>
      </c>
      <c r="D310" s="8">
        <f>IF(ISNA(MATCH(301,'Transfer Engine'!$C$2:$C$622,0)),"",INDEX('Compliance Database'!$D$2:$D$622,MATCH(301,'Transfer Engine'!$C$2:$C$622,0)))</f>
        <v/>
      </c>
      <c r="E310">
        <f>IF(ISNA(MATCH(301,'Transfer Engine'!$C$2:$C$622,0)),"",INDEX('Compliance Database'!$E$2:$E$622,MATCH(301,'Transfer Engine'!$C$2:$C$622,0)))</f>
        <v/>
      </c>
      <c r="F310">
        <f>IF(ISNA(MATCH(301,'Transfer Engine'!$C$2:$C$622,0)),"",INDEX('Compliance Database'!$F$2:$F$622,MATCH(301,'Transfer Engine'!$C$2:$C$622,0)))</f>
        <v/>
      </c>
      <c r="G310">
        <f>IF(ISNA(MATCH(301,'Transfer Engine'!$C$2:$C$622,0)),"",INDEX('Compliance Database'!$G$2:$G$622,MATCH(301,'Transfer Engine'!$C$2:$C$622,0)))</f>
        <v/>
      </c>
      <c r="H310">
        <f>IF(ISNA(MATCH(301,'Transfer Engine'!$C$2:$C$622,0)),"",INDEX('Compliance Database'!$H$2:$H$622,MATCH(301,'Transfer Engine'!$C$2:$C$622,0)))</f>
        <v/>
      </c>
      <c r="I310" s="8">
        <f>IF(ISNA(MATCH(301,'Transfer Engine'!$C$2:$C$622,0)),"",INDEX('Compliance Database'!$I$2:$I$622,MATCH(301,'Transfer Engine'!$C$2:$C$622,0)))</f>
        <v/>
      </c>
      <c r="J310" s="8">
        <f>IF(ISNA(MATCH(301,'Transfer Engine'!$C$2:$C$622,0)),"",INDEX('Compliance Database'!$J$2:$J$622,MATCH(301,'Transfer Engine'!$C$2:$C$622,0)))</f>
        <v/>
      </c>
      <c r="K310">
        <f>IF(ISNA(MATCH(301,'Transfer Engine'!$C$2:$C$622,0)),"",INDEX('Compliance Database'!$K$2:$K$622,MATCH(301,'Transfer Engine'!$C$2:$C$622,0)))</f>
        <v/>
      </c>
      <c r="L310" s="8">
        <f>IF(ISNA(MATCH(301,'Transfer Engine'!$C$2:$C$622,0)),"",INDEX('Compliance Database'!$L$2:$L$622,MATCH(301,'Transfer Engine'!$C$2:$C$622,0)))</f>
        <v/>
      </c>
      <c r="M310" s="8">
        <f>IF(ISNA(MATCH(301,'Transfer Engine'!$C$2:$C$622,0)),"",INDEX('Compliance Database'!$M$2:$M$622,MATCH(301,'Transfer Engine'!$C$2:$C$622,0)))</f>
        <v/>
      </c>
      <c r="N310" s="8">
        <f>IF(ISNA(MATCH(301,'Transfer Engine'!$C$2:$C$622,0)),"",INDEX('Compliance Database'!$N$2:$N$622,MATCH(301,'Transfer Engine'!$C$2:$C$622,0)))</f>
        <v/>
      </c>
      <c r="O310" s="8">
        <f>IF(ISNA(MATCH(301,'Transfer Engine'!$C$2:$C$622,0)),"",INDEX('Compliance Database'!$O$2:$O$622,MATCH(301,'Transfer Engine'!$C$2:$C$622,0)))</f>
        <v/>
      </c>
    </row>
    <row r="311">
      <c r="A311">
        <f>IF(ISNA(MATCH(302,'Transfer Engine'!$C$2:$C$622,0)),"",INDEX('Compliance Database'!$A$2:$A$622,MATCH(302,'Transfer Engine'!$C$2:$C$622,0)))</f>
        <v/>
      </c>
      <c r="B311">
        <f>IF(ISNA(MATCH(302,'Transfer Engine'!$C$2:$C$622,0)),"",INDEX('Compliance Database'!$B$2:$B$622,MATCH(302,'Transfer Engine'!$C$2:$C$622,0)))</f>
        <v/>
      </c>
      <c r="C311">
        <f>IF(ISNA(MATCH(302,'Transfer Engine'!$C$2:$C$622,0)),"",INDEX('Compliance Database'!$C$2:$C$622,MATCH(302,'Transfer Engine'!$C$2:$C$622,0)))</f>
        <v/>
      </c>
      <c r="D311" s="8">
        <f>IF(ISNA(MATCH(302,'Transfer Engine'!$C$2:$C$622,0)),"",INDEX('Compliance Database'!$D$2:$D$622,MATCH(302,'Transfer Engine'!$C$2:$C$622,0)))</f>
        <v/>
      </c>
      <c r="E311">
        <f>IF(ISNA(MATCH(302,'Transfer Engine'!$C$2:$C$622,0)),"",INDEX('Compliance Database'!$E$2:$E$622,MATCH(302,'Transfer Engine'!$C$2:$C$622,0)))</f>
        <v/>
      </c>
      <c r="F311">
        <f>IF(ISNA(MATCH(302,'Transfer Engine'!$C$2:$C$622,0)),"",INDEX('Compliance Database'!$F$2:$F$622,MATCH(302,'Transfer Engine'!$C$2:$C$622,0)))</f>
        <v/>
      </c>
      <c r="G311">
        <f>IF(ISNA(MATCH(302,'Transfer Engine'!$C$2:$C$622,0)),"",INDEX('Compliance Database'!$G$2:$G$622,MATCH(302,'Transfer Engine'!$C$2:$C$622,0)))</f>
        <v/>
      </c>
      <c r="H311">
        <f>IF(ISNA(MATCH(302,'Transfer Engine'!$C$2:$C$622,0)),"",INDEX('Compliance Database'!$H$2:$H$622,MATCH(302,'Transfer Engine'!$C$2:$C$622,0)))</f>
        <v/>
      </c>
      <c r="I311" s="8">
        <f>IF(ISNA(MATCH(302,'Transfer Engine'!$C$2:$C$622,0)),"",INDEX('Compliance Database'!$I$2:$I$622,MATCH(302,'Transfer Engine'!$C$2:$C$622,0)))</f>
        <v/>
      </c>
      <c r="J311" s="8">
        <f>IF(ISNA(MATCH(302,'Transfer Engine'!$C$2:$C$622,0)),"",INDEX('Compliance Database'!$J$2:$J$622,MATCH(302,'Transfer Engine'!$C$2:$C$622,0)))</f>
        <v/>
      </c>
      <c r="K311">
        <f>IF(ISNA(MATCH(302,'Transfer Engine'!$C$2:$C$622,0)),"",INDEX('Compliance Database'!$K$2:$K$622,MATCH(302,'Transfer Engine'!$C$2:$C$622,0)))</f>
        <v/>
      </c>
      <c r="L311" s="8">
        <f>IF(ISNA(MATCH(302,'Transfer Engine'!$C$2:$C$622,0)),"",INDEX('Compliance Database'!$L$2:$L$622,MATCH(302,'Transfer Engine'!$C$2:$C$622,0)))</f>
        <v/>
      </c>
      <c r="M311" s="8">
        <f>IF(ISNA(MATCH(302,'Transfer Engine'!$C$2:$C$622,0)),"",INDEX('Compliance Database'!$M$2:$M$622,MATCH(302,'Transfer Engine'!$C$2:$C$622,0)))</f>
        <v/>
      </c>
      <c r="N311" s="8">
        <f>IF(ISNA(MATCH(302,'Transfer Engine'!$C$2:$C$622,0)),"",INDEX('Compliance Database'!$N$2:$N$622,MATCH(302,'Transfer Engine'!$C$2:$C$622,0)))</f>
        <v/>
      </c>
      <c r="O311" s="8">
        <f>IF(ISNA(MATCH(302,'Transfer Engine'!$C$2:$C$622,0)),"",INDEX('Compliance Database'!$O$2:$O$622,MATCH(302,'Transfer Engine'!$C$2:$C$622,0)))</f>
        <v/>
      </c>
    </row>
    <row r="312">
      <c r="A312">
        <f>IF(ISNA(MATCH(303,'Transfer Engine'!$C$2:$C$622,0)),"",INDEX('Compliance Database'!$A$2:$A$622,MATCH(303,'Transfer Engine'!$C$2:$C$622,0)))</f>
        <v/>
      </c>
      <c r="B312">
        <f>IF(ISNA(MATCH(303,'Transfer Engine'!$C$2:$C$622,0)),"",INDEX('Compliance Database'!$B$2:$B$622,MATCH(303,'Transfer Engine'!$C$2:$C$622,0)))</f>
        <v/>
      </c>
      <c r="C312">
        <f>IF(ISNA(MATCH(303,'Transfer Engine'!$C$2:$C$622,0)),"",INDEX('Compliance Database'!$C$2:$C$622,MATCH(303,'Transfer Engine'!$C$2:$C$622,0)))</f>
        <v/>
      </c>
      <c r="D312" s="8">
        <f>IF(ISNA(MATCH(303,'Transfer Engine'!$C$2:$C$622,0)),"",INDEX('Compliance Database'!$D$2:$D$622,MATCH(303,'Transfer Engine'!$C$2:$C$622,0)))</f>
        <v/>
      </c>
      <c r="E312">
        <f>IF(ISNA(MATCH(303,'Transfer Engine'!$C$2:$C$622,0)),"",INDEX('Compliance Database'!$E$2:$E$622,MATCH(303,'Transfer Engine'!$C$2:$C$622,0)))</f>
        <v/>
      </c>
      <c r="F312">
        <f>IF(ISNA(MATCH(303,'Transfer Engine'!$C$2:$C$622,0)),"",INDEX('Compliance Database'!$F$2:$F$622,MATCH(303,'Transfer Engine'!$C$2:$C$622,0)))</f>
        <v/>
      </c>
      <c r="G312">
        <f>IF(ISNA(MATCH(303,'Transfer Engine'!$C$2:$C$622,0)),"",INDEX('Compliance Database'!$G$2:$G$622,MATCH(303,'Transfer Engine'!$C$2:$C$622,0)))</f>
        <v/>
      </c>
      <c r="H312">
        <f>IF(ISNA(MATCH(303,'Transfer Engine'!$C$2:$C$622,0)),"",INDEX('Compliance Database'!$H$2:$H$622,MATCH(303,'Transfer Engine'!$C$2:$C$622,0)))</f>
        <v/>
      </c>
      <c r="I312" s="8">
        <f>IF(ISNA(MATCH(303,'Transfer Engine'!$C$2:$C$622,0)),"",INDEX('Compliance Database'!$I$2:$I$622,MATCH(303,'Transfer Engine'!$C$2:$C$622,0)))</f>
        <v/>
      </c>
      <c r="J312" s="8">
        <f>IF(ISNA(MATCH(303,'Transfer Engine'!$C$2:$C$622,0)),"",INDEX('Compliance Database'!$J$2:$J$622,MATCH(303,'Transfer Engine'!$C$2:$C$622,0)))</f>
        <v/>
      </c>
      <c r="K312">
        <f>IF(ISNA(MATCH(303,'Transfer Engine'!$C$2:$C$622,0)),"",INDEX('Compliance Database'!$K$2:$K$622,MATCH(303,'Transfer Engine'!$C$2:$C$622,0)))</f>
        <v/>
      </c>
      <c r="L312" s="8">
        <f>IF(ISNA(MATCH(303,'Transfer Engine'!$C$2:$C$622,0)),"",INDEX('Compliance Database'!$L$2:$L$622,MATCH(303,'Transfer Engine'!$C$2:$C$622,0)))</f>
        <v/>
      </c>
      <c r="M312" s="8">
        <f>IF(ISNA(MATCH(303,'Transfer Engine'!$C$2:$C$622,0)),"",INDEX('Compliance Database'!$M$2:$M$622,MATCH(303,'Transfer Engine'!$C$2:$C$622,0)))</f>
        <v/>
      </c>
      <c r="N312" s="8">
        <f>IF(ISNA(MATCH(303,'Transfer Engine'!$C$2:$C$622,0)),"",INDEX('Compliance Database'!$N$2:$N$622,MATCH(303,'Transfer Engine'!$C$2:$C$622,0)))</f>
        <v/>
      </c>
      <c r="O312" s="8">
        <f>IF(ISNA(MATCH(303,'Transfer Engine'!$C$2:$C$622,0)),"",INDEX('Compliance Database'!$O$2:$O$622,MATCH(303,'Transfer Engine'!$C$2:$C$622,0)))</f>
        <v/>
      </c>
    </row>
    <row r="313">
      <c r="A313">
        <f>IF(ISNA(MATCH(304,'Transfer Engine'!$C$2:$C$622,0)),"",INDEX('Compliance Database'!$A$2:$A$622,MATCH(304,'Transfer Engine'!$C$2:$C$622,0)))</f>
        <v/>
      </c>
      <c r="B313">
        <f>IF(ISNA(MATCH(304,'Transfer Engine'!$C$2:$C$622,0)),"",INDEX('Compliance Database'!$B$2:$B$622,MATCH(304,'Transfer Engine'!$C$2:$C$622,0)))</f>
        <v/>
      </c>
      <c r="C313">
        <f>IF(ISNA(MATCH(304,'Transfer Engine'!$C$2:$C$622,0)),"",INDEX('Compliance Database'!$C$2:$C$622,MATCH(304,'Transfer Engine'!$C$2:$C$622,0)))</f>
        <v/>
      </c>
      <c r="D313" s="8">
        <f>IF(ISNA(MATCH(304,'Transfer Engine'!$C$2:$C$622,0)),"",INDEX('Compliance Database'!$D$2:$D$622,MATCH(304,'Transfer Engine'!$C$2:$C$622,0)))</f>
        <v/>
      </c>
      <c r="E313">
        <f>IF(ISNA(MATCH(304,'Transfer Engine'!$C$2:$C$622,0)),"",INDEX('Compliance Database'!$E$2:$E$622,MATCH(304,'Transfer Engine'!$C$2:$C$622,0)))</f>
        <v/>
      </c>
      <c r="F313">
        <f>IF(ISNA(MATCH(304,'Transfer Engine'!$C$2:$C$622,0)),"",INDEX('Compliance Database'!$F$2:$F$622,MATCH(304,'Transfer Engine'!$C$2:$C$622,0)))</f>
        <v/>
      </c>
      <c r="G313">
        <f>IF(ISNA(MATCH(304,'Transfer Engine'!$C$2:$C$622,0)),"",INDEX('Compliance Database'!$G$2:$G$622,MATCH(304,'Transfer Engine'!$C$2:$C$622,0)))</f>
        <v/>
      </c>
      <c r="H313">
        <f>IF(ISNA(MATCH(304,'Transfer Engine'!$C$2:$C$622,0)),"",INDEX('Compliance Database'!$H$2:$H$622,MATCH(304,'Transfer Engine'!$C$2:$C$622,0)))</f>
        <v/>
      </c>
      <c r="I313" s="8">
        <f>IF(ISNA(MATCH(304,'Transfer Engine'!$C$2:$C$622,0)),"",INDEX('Compliance Database'!$I$2:$I$622,MATCH(304,'Transfer Engine'!$C$2:$C$622,0)))</f>
        <v/>
      </c>
      <c r="J313" s="8">
        <f>IF(ISNA(MATCH(304,'Transfer Engine'!$C$2:$C$622,0)),"",INDEX('Compliance Database'!$J$2:$J$622,MATCH(304,'Transfer Engine'!$C$2:$C$622,0)))</f>
        <v/>
      </c>
      <c r="K313">
        <f>IF(ISNA(MATCH(304,'Transfer Engine'!$C$2:$C$622,0)),"",INDEX('Compliance Database'!$K$2:$K$622,MATCH(304,'Transfer Engine'!$C$2:$C$622,0)))</f>
        <v/>
      </c>
      <c r="L313" s="8">
        <f>IF(ISNA(MATCH(304,'Transfer Engine'!$C$2:$C$622,0)),"",INDEX('Compliance Database'!$L$2:$L$622,MATCH(304,'Transfer Engine'!$C$2:$C$622,0)))</f>
        <v/>
      </c>
      <c r="M313" s="8">
        <f>IF(ISNA(MATCH(304,'Transfer Engine'!$C$2:$C$622,0)),"",INDEX('Compliance Database'!$M$2:$M$622,MATCH(304,'Transfer Engine'!$C$2:$C$622,0)))</f>
        <v/>
      </c>
      <c r="N313" s="8">
        <f>IF(ISNA(MATCH(304,'Transfer Engine'!$C$2:$C$622,0)),"",INDEX('Compliance Database'!$N$2:$N$622,MATCH(304,'Transfer Engine'!$C$2:$C$622,0)))</f>
        <v/>
      </c>
      <c r="O313" s="8">
        <f>IF(ISNA(MATCH(304,'Transfer Engine'!$C$2:$C$622,0)),"",INDEX('Compliance Database'!$O$2:$O$622,MATCH(304,'Transfer Engine'!$C$2:$C$622,0)))</f>
        <v/>
      </c>
    </row>
    <row r="314">
      <c r="A314">
        <f>IF(ISNA(MATCH(305,'Transfer Engine'!$C$2:$C$622,0)),"",INDEX('Compliance Database'!$A$2:$A$622,MATCH(305,'Transfer Engine'!$C$2:$C$622,0)))</f>
        <v/>
      </c>
      <c r="B314">
        <f>IF(ISNA(MATCH(305,'Transfer Engine'!$C$2:$C$622,0)),"",INDEX('Compliance Database'!$B$2:$B$622,MATCH(305,'Transfer Engine'!$C$2:$C$622,0)))</f>
        <v/>
      </c>
      <c r="C314">
        <f>IF(ISNA(MATCH(305,'Transfer Engine'!$C$2:$C$622,0)),"",INDEX('Compliance Database'!$C$2:$C$622,MATCH(305,'Transfer Engine'!$C$2:$C$622,0)))</f>
        <v/>
      </c>
      <c r="D314" s="8">
        <f>IF(ISNA(MATCH(305,'Transfer Engine'!$C$2:$C$622,0)),"",INDEX('Compliance Database'!$D$2:$D$622,MATCH(305,'Transfer Engine'!$C$2:$C$622,0)))</f>
        <v/>
      </c>
      <c r="E314">
        <f>IF(ISNA(MATCH(305,'Transfer Engine'!$C$2:$C$622,0)),"",INDEX('Compliance Database'!$E$2:$E$622,MATCH(305,'Transfer Engine'!$C$2:$C$622,0)))</f>
        <v/>
      </c>
      <c r="F314">
        <f>IF(ISNA(MATCH(305,'Transfer Engine'!$C$2:$C$622,0)),"",INDEX('Compliance Database'!$F$2:$F$622,MATCH(305,'Transfer Engine'!$C$2:$C$622,0)))</f>
        <v/>
      </c>
      <c r="G314">
        <f>IF(ISNA(MATCH(305,'Transfer Engine'!$C$2:$C$622,0)),"",INDEX('Compliance Database'!$G$2:$G$622,MATCH(305,'Transfer Engine'!$C$2:$C$622,0)))</f>
        <v/>
      </c>
      <c r="H314">
        <f>IF(ISNA(MATCH(305,'Transfer Engine'!$C$2:$C$622,0)),"",INDEX('Compliance Database'!$H$2:$H$622,MATCH(305,'Transfer Engine'!$C$2:$C$622,0)))</f>
        <v/>
      </c>
      <c r="I314" s="8">
        <f>IF(ISNA(MATCH(305,'Transfer Engine'!$C$2:$C$622,0)),"",INDEX('Compliance Database'!$I$2:$I$622,MATCH(305,'Transfer Engine'!$C$2:$C$622,0)))</f>
        <v/>
      </c>
      <c r="J314" s="8">
        <f>IF(ISNA(MATCH(305,'Transfer Engine'!$C$2:$C$622,0)),"",INDEX('Compliance Database'!$J$2:$J$622,MATCH(305,'Transfer Engine'!$C$2:$C$622,0)))</f>
        <v/>
      </c>
      <c r="K314">
        <f>IF(ISNA(MATCH(305,'Transfer Engine'!$C$2:$C$622,0)),"",INDEX('Compliance Database'!$K$2:$K$622,MATCH(305,'Transfer Engine'!$C$2:$C$622,0)))</f>
        <v/>
      </c>
      <c r="L314" s="8">
        <f>IF(ISNA(MATCH(305,'Transfer Engine'!$C$2:$C$622,0)),"",INDEX('Compliance Database'!$L$2:$L$622,MATCH(305,'Transfer Engine'!$C$2:$C$622,0)))</f>
        <v/>
      </c>
      <c r="M314" s="8">
        <f>IF(ISNA(MATCH(305,'Transfer Engine'!$C$2:$C$622,0)),"",INDEX('Compliance Database'!$M$2:$M$622,MATCH(305,'Transfer Engine'!$C$2:$C$622,0)))</f>
        <v/>
      </c>
      <c r="N314" s="8">
        <f>IF(ISNA(MATCH(305,'Transfer Engine'!$C$2:$C$622,0)),"",INDEX('Compliance Database'!$N$2:$N$622,MATCH(305,'Transfer Engine'!$C$2:$C$622,0)))</f>
        <v/>
      </c>
      <c r="O314" s="8">
        <f>IF(ISNA(MATCH(305,'Transfer Engine'!$C$2:$C$622,0)),"",INDEX('Compliance Database'!$O$2:$O$622,MATCH(305,'Transfer Engine'!$C$2:$C$622,0)))</f>
        <v/>
      </c>
    </row>
    <row r="315">
      <c r="A315">
        <f>IF(ISNA(MATCH(306,'Transfer Engine'!$C$2:$C$622,0)),"",INDEX('Compliance Database'!$A$2:$A$622,MATCH(306,'Transfer Engine'!$C$2:$C$622,0)))</f>
        <v/>
      </c>
      <c r="B315">
        <f>IF(ISNA(MATCH(306,'Transfer Engine'!$C$2:$C$622,0)),"",INDEX('Compliance Database'!$B$2:$B$622,MATCH(306,'Transfer Engine'!$C$2:$C$622,0)))</f>
        <v/>
      </c>
      <c r="C315">
        <f>IF(ISNA(MATCH(306,'Transfer Engine'!$C$2:$C$622,0)),"",INDEX('Compliance Database'!$C$2:$C$622,MATCH(306,'Transfer Engine'!$C$2:$C$622,0)))</f>
        <v/>
      </c>
      <c r="D315" s="8">
        <f>IF(ISNA(MATCH(306,'Transfer Engine'!$C$2:$C$622,0)),"",INDEX('Compliance Database'!$D$2:$D$622,MATCH(306,'Transfer Engine'!$C$2:$C$622,0)))</f>
        <v/>
      </c>
      <c r="E315">
        <f>IF(ISNA(MATCH(306,'Transfer Engine'!$C$2:$C$622,0)),"",INDEX('Compliance Database'!$E$2:$E$622,MATCH(306,'Transfer Engine'!$C$2:$C$622,0)))</f>
        <v/>
      </c>
      <c r="F315">
        <f>IF(ISNA(MATCH(306,'Transfer Engine'!$C$2:$C$622,0)),"",INDEX('Compliance Database'!$F$2:$F$622,MATCH(306,'Transfer Engine'!$C$2:$C$622,0)))</f>
        <v/>
      </c>
      <c r="G315">
        <f>IF(ISNA(MATCH(306,'Transfer Engine'!$C$2:$C$622,0)),"",INDEX('Compliance Database'!$G$2:$G$622,MATCH(306,'Transfer Engine'!$C$2:$C$622,0)))</f>
        <v/>
      </c>
      <c r="H315">
        <f>IF(ISNA(MATCH(306,'Transfer Engine'!$C$2:$C$622,0)),"",INDEX('Compliance Database'!$H$2:$H$622,MATCH(306,'Transfer Engine'!$C$2:$C$622,0)))</f>
        <v/>
      </c>
      <c r="I315" s="8">
        <f>IF(ISNA(MATCH(306,'Transfer Engine'!$C$2:$C$622,0)),"",INDEX('Compliance Database'!$I$2:$I$622,MATCH(306,'Transfer Engine'!$C$2:$C$622,0)))</f>
        <v/>
      </c>
      <c r="J315" s="8">
        <f>IF(ISNA(MATCH(306,'Transfer Engine'!$C$2:$C$622,0)),"",INDEX('Compliance Database'!$J$2:$J$622,MATCH(306,'Transfer Engine'!$C$2:$C$622,0)))</f>
        <v/>
      </c>
      <c r="K315">
        <f>IF(ISNA(MATCH(306,'Transfer Engine'!$C$2:$C$622,0)),"",INDEX('Compliance Database'!$K$2:$K$622,MATCH(306,'Transfer Engine'!$C$2:$C$622,0)))</f>
        <v/>
      </c>
      <c r="L315" s="8">
        <f>IF(ISNA(MATCH(306,'Transfer Engine'!$C$2:$C$622,0)),"",INDEX('Compliance Database'!$L$2:$L$622,MATCH(306,'Transfer Engine'!$C$2:$C$622,0)))</f>
        <v/>
      </c>
      <c r="M315" s="8">
        <f>IF(ISNA(MATCH(306,'Transfer Engine'!$C$2:$C$622,0)),"",INDEX('Compliance Database'!$M$2:$M$622,MATCH(306,'Transfer Engine'!$C$2:$C$622,0)))</f>
        <v/>
      </c>
      <c r="N315" s="8">
        <f>IF(ISNA(MATCH(306,'Transfer Engine'!$C$2:$C$622,0)),"",INDEX('Compliance Database'!$N$2:$N$622,MATCH(306,'Transfer Engine'!$C$2:$C$622,0)))</f>
        <v/>
      </c>
      <c r="O315" s="8">
        <f>IF(ISNA(MATCH(306,'Transfer Engine'!$C$2:$C$622,0)),"",INDEX('Compliance Database'!$O$2:$O$622,MATCH(306,'Transfer Engine'!$C$2:$C$622,0)))</f>
        <v/>
      </c>
    </row>
    <row r="316">
      <c r="A316">
        <f>IF(ISNA(MATCH(307,'Transfer Engine'!$C$2:$C$622,0)),"",INDEX('Compliance Database'!$A$2:$A$622,MATCH(307,'Transfer Engine'!$C$2:$C$622,0)))</f>
        <v/>
      </c>
      <c r="B316">
        <f>IF(ISNA(MATCH(307,'Transfer Engine'!$C$2:$C$622,0)),"",INDEX('Compliance Database'!$B$2:$B$622,MATCH(307,'Transfer Engine'!$C$2:$C$622,0)))</f>
        <v/>
      </c>
      <c r="C316">
        <f>IF(ISNA(MATCH(307,'Transfer Engine'!$C$2:$C$622,0)),"",INDEX('Compliance Database'!$C$2:$C$622,MATCH(307,'Transfer Engine'!$C$2:$C$622,0)))</f>
        <v/>
      </c>
      <c r="D316" s="8">
        <f>IF(ISNA(MATCH(307,'Transfer Engine'!$C$2:$C$622,0)),"",INDEX('Compliance Database'!$D$2:$D$622,MATCH(307,'Transfer Engine'!$C$2:$C$622,0)))</f>
        <v/>
      </c>
      <c r="E316">
        <f>IF(ISNA(MATCH(307,'Transfer Engine'!$C$2:$C$622,0)),"",INDEX('Compliance Database'!$E$2:$E$622,MATCH(307,'Transfer Engine'!$C$2:$C$622,0)))</f>
        <v/>
      </c>
      <c r="F316">
        <f>IF(ISNA(MATCH(307,'Transfer Engine'!$C$2:$C$622,0)),"",INDEX('Compliance Database'!$F$2:$F$622,MATCH(307,'Transfer Engine'!$C$2:$C$622,0)))</f>
        <v/>
      </c>
      <c r="G316">
        <f>IF(ISNA(MATCH(307,'Transfer Engine'!$C$2:$C$622,0)),"",INDEX('Compliance Database'!$G$2:$G$622,MATCH(307,'Transfer Engine'!$C$2:$C$622,0)))</f>
        <v/>
      </c>
      <c r="H316">
        <f>IF(ISNA(MATCH(307,'Transfer Engine'!$C$2:$C$622,0)),"",INDEX('Compliance Database'!$H$2:$H$622,MATCH(307,'Transfer Engine'!$C$2:$C$622,0)))</f>
        <v/>
      </c>
      <c r="I316" s="8">
        <f>IF(ISNA(MATCH(307,'Transfer Engine'!$C$2:$C$622,0)),"",INDEX('Compliance Database'!$I$2:$I$622,MATCH(307,'Transfer Engine'!$C$2:$C$622,0)))</f>
        <v/>
      </c>
      <c r="J316" s="8">
        <f>IF(ISNA(MATCH(307,'Transfer Engine'!$C$2:$C$622,0)),"",INDEX('Compliance Database'!$J$2:$J$622,MATCH(307,'Transfer Engine'!$C$2:$C$622,0)))</f>
        <v/>
      </c>
      <c r="K316">
        <f>IF(ISNA(MATCH(307,'Transfer Engine'!$C$2:$C$622,0)),"",INDEX('Compliance Database'!$K$2:$K$622,MATCH(307,'Transfer Engine'!$C$2:$C$622,0)))</f>
        <v/>
      </c>
      <c r="L316" s="8">
        <f>IF(ISNA(MATCH(307,'Transfer Engine'!$C$2:$C$622,0)),"",INDEX('Compliance Database'!$L$2:$L$622,MATCH(307,'Transfer Engine'!$C$2:$C$622,0)))</f>
        <v/>
      </c>
      <c r="M316" s="8">
        <f>IF(ISNA(MATCH(307,'Transfer Engine'!$C$2:$C$622,0)),"",INDEX('Compliance Database'!$M$2:$M$622,MATCH(307,'Transfer Engine'!$C$2:$C$622,0)))</f>
        <v/>
      </c>
      <c r="N316" s="8">
        <f>IF(ISNA(MATCH(307,'Transfer Engine'!$C$2:$C$622,0)),"",INDEX('Compliance Database'!$N$2:$N$622,MATCH(307,'Transfer Engine'!$C$2:$C$622,0)))</f>
        <v/>
      </c>
      <c r="O316" s="8">
        <f>IF(ISNA(MATCH(307,'Transfer Engine'!$C$2:$C$622,0)),"",INDEX('Compliance Database'!$O$2:$O$622,MATCH(307,'Transfer Engine'!$C$2:$C$622,0)))</f>
        <v/>
      </c>
    </row>
    <row r="317">
      <c r="A317">
        <f>IF(ISNA(MATCH(308,'Transfer Engine'!$C$2:$C$622,0)),"",INDEX('Compliance Database'!$A$2:$A$622,MATCH(308,'Transfer Engine'!$C$2:$C$622,0)))</f>
        <v/>
      </c>
      <c r="B317">
        <f>IF(ISNA(MATCH(308,'Transfer Engine'!$C$2:$C$622,0)),"",INDEX('Compliance Database'!$B$2:$B$622,MATCH(308,'Transfer Engine'!$C$2:$C$622,0)))</f>
        <v/>
      </c>
      <c r="C317">
        <f>IF(ISNA(MATCH(308,'Transfer Engine'!$C$2:$C$622,0)),"",INDEX('Compliance Database'!$C$2:$C$622,MATCH(308,'Transfer Engine'!$C$2:$C$622,0)))</f>
        <v/>
      </c>
      <c r="D317" s="8">
        <f>IF(ISNA(MATCH(308,'Transfer Engine'!$C$2:$C$622,0)),"",INDEX('Compliance Database'!$D$2:$D$622,MATCH(308,'Transfer Engine'!$C$2:$C$622,0)))</f>
        <v/>
      </c>
      <c r="E317">
        <f>IF(ISNA(MATCH(308,'Transfer Engine'!$C$2:$C$622,0)),"",INDEX('Compliance Database'!$E$2:$E$622,MATCH(308,'Transfer Engine'!$C$2:$C$622,0)))</f>
        <v/>
      </c>
      <c r="F317">
        <f>IF(ISNA(MATCH(308,'Transfer Engine'!$C$2:$C$622,0)),"",INDEX('Compliance Database'!$F$2:$F$622,MATCH(308,'Transfer Engine'!$C$2:$C$622,0)))</f>
        <v/>
      </c>
      <c r="G317">
        <f>IF(ISNA(MATCH(308,'Transfer Engine'!$C$2:$C$622,0)),"",INDEX('Compliance Database'!$G$2:$G$622,MATCH(308,'Transfer Engine'!$C$2:$C$622,0)))</f>
        <v/>
      </c>
      <c r="H317">
        <f>IF(ISNA(MATCH(308,'Transfer Engine'!$C$2:$C$622,0)),"",INDEX('Compliance Database'!$H$2:$H$622,MATCH(308,'Transfer Engine'!$C$2:$C$622,0)))</f>
        <v/>
      </c>
      <c r="I317" s="8">
        <f>IF(ISNA(MATCH(308,'Transfer Engine'!$C$2:$C$622,0)),"",INDEX('Compliance Database'!$I$2:$I$622,MATCH(308,'Transfer Engine'!$C$2:$C$622,0)))</f>
        <v/>
      </c>
      <c r="J317" s="8">
        <f>IF(ISNA(MATCH(308,'Transfer Engine'!$C$2:$C$622,0)),"",INDEX('Compliance Database'!$J$2:$J$622,MATCH(308,'Transfer Engine'!$C$2:$C$622,0)))</f>
        <v/>
      </c>
      <c r="K317">
        <f>IF(ISNA(MATCH(308,'Transfer Engine'!$C$2:$C$622,0)),"",INDEX('Compliance Database'!$K$2:$K$622,MATCH(308,'Transfer Engine'!$C$2:$C$622,0)))</f>
        <v/>
      </c>
      <c r="L317" s="8">
        <f>IF(ISNA(MATCH(308,'Transfer Engine'!$C$2:$C$622,0)),"",INDEX('Compliance Database'!$L$2:$L$622,MATCH(308,'Transfer Engine'!$C$2:$C$622,0)))</f>
        <v/>
      </c>
      <c r="M317" s="8">
        <f>IF(ISNA(MATCH(308,'Transfer Engine'!$C$2:$C$622,0)),"",INDEX('Compliance Database'!$M$2:$M$622,MATCH(308,'Transfer Engine'!$C$2:$C$622,0)))</f>
        <v/>
      </c>
      <c r="N317" s="8">
        <f>IF(ISNA(MATCH(308,'Transfer Engine'!$C$2:$C$622,0)),"",INDEX('Compliance Database'!$N$2:$N$622,MATCH(308,'Transfer Engine'!$C$2:$C$622,0)))</f>
        <v/>
      </c>
      <c r="O317" s="8">
        <f>IF(ISNA(MATCH(308,'Transfer Engine'!$C$2:$C$622,0)),"",INDEX('Compliance Database'!$O$2:$O$622,MATCH(308,'Transfer Engine'!$C$2:$C$622,0)))</f>
        <v/>
      </c>
    </row>
    <row r="318">
      <c r="A318">
        <f>IF(ISNA(MATCH(309,'Transfer Engine'!$C$2:$C$622,0)),"",INDEX('Compliance Database'!$A$2:$A$622,MATCH(309,'Transfer Engine'!$C$2:$C$622,0)))</f>
        <v/>
      </c>
      <c r="B318">
        <f>IF(ISNA(MATCH(309,'Transfer Engine'!$C$2:$C$622,0)),"",INDEX('Compliance Database'!$B$2:$B$622,MATCH(309,'Transfer Engine'!$C$2:$C$622,0)))</f>
        <v/>
      </c>
      <c r="C318">
        <f>IF(ISNA(MATCH(309,'Transfer Engine'!$C$2:$C$622,0)),"",INDEX('Compliance Database'!$C$2:$C$622,MATCH(309,'Transfer Engine'!$C$2:$C$622,0)))</f>
        <v/>
      </c>
      <c r="D318" s="8">
        <f>IF(ISNA(MATCH(309,'Transfer Engine'!$C$2:$C$622,0)),"",INDEX('Compliance Database'!$D$2:$D$622,MATCH(309,'Transfer Engine'!$C$2:$C$622,0)))</f>
        <v/>
      </c>
      <c r="E318">
        <f>IF(ISNA(MATCH(309,'Transfer Engine'!$C$2:$C$622,0)),"",INDEX('Compliance Database'!$E$2:$E$622,MATCH(309,'Transfer Engine'!$C$2:$C$622,0)))</f>
        <v/>
      </c>
      <c r="F318">
        <f>IF(ISNA(MATCH(309,'Transfer Engine'!$C$2:$C$622,0)),"",INDEX('Compliance Database'!$F$2:$F$622,MATCH(309,'Transfer Engine'!$C$2:$C$622,0)))</f>
        <v/>
      </c>
      <c r="G318">
        <f>IF(ISNA(MATCH(309,'Transfer Engine'!$C$2:$C$622,0)),"",INDEX('Compliance Database'!$G$2:$G$622,MATCH(309,'Transfer Engine'!$C$2:$C$622,0)))</f>
        <v/>
      </c>
      <c r="H318">
        <f>IF(ISNA(MATCH(309,'Transfer Engine'!$C$2:$C$622,0)),"",INDEX('Compliance Database'!$H$2:$H$622,MATCH(309,'Transfer Engine'!$C$2:$C$622,0)))</f>
        <v/>
      </c>
      <c r="I318" s="8">
        <f>IF(ISNA(MATCH(309,'Transfer Engine'!$C$2:$C$622,0)),"",INDEX('Compliance Database'!$I$2:$I$622,MATCH(309,'Transfer Engine'!$C$2:$C$622,0)))</f>
        <v/>
      </c>
      <c r="J318" s="8">
        <f>IF(ISNA(MATCH(309,'Transfer Engine'!$C$2:$C$622,0)),"",INDEX('Compliance Database'!$J$2:$J$622,MATCH(309,'Transfer Engine'!$C$2:$C$622,0)))</f>
        <v/>
      </c>
      <c r="K318">
        <f>IF(ISNA(MATCH(309,'Transfer Engine'!$C$2:$C$622,0)),"",INDEX('Compliance Database'!$K$2:$K$622,MATCH(309,'Transfer Engine'!$C$2:$C$622,0)))</f>
        <v/>
      </c>
      <c r="L318" s="8">
        <f>IF(ISNA(MATCH(309,'Transfer Engine'!$C$2:$C$622,0)),"",INDEX('Compliance Database'!$L$2:$L$622,MATCH(309,'Transfer Engine'!$C$2:$C$622,0)))</f>
        <v/>
      </c>
      <c r="M318" s="8">
        <f>IF(ISNA(MATCH(309,'Transfer Engine'!$C$2:$C$622,0)),"",INDEX('Compliance Database'!$M$2:$M$622,MATCH(309,'Transfer Engine'!$C$2:$C$622,0)))</f>
        <v/>
      </c>
      <c r="N318" s="8">
        <f>IF(ISNA(MATCH(309,'Transfer Engine'!$C$2:$C$622,0)),"",INDEX('Compliance Database'!$N$2:$N$622,MATCH(309,'Transfer Engine'!$C$2:$C$622,0)))</f>
        <v/>
      </c>
      <c r="O318" s="8">
        <f>IF(ISNA(MATCH(309,'Transfer Engine'!$C$2:$C$622,0)),"",INDEX('Compliance Database'!$O$2:$O$622,MATCH(309,'Transfer Engine'!$C$2:$C$622,0)))</f>
        <v/>
      </c>
    </row>
    <row r="319">
      <c r="A319">
        <f>IF(ISNA(MATCH(310,'Transfer Engine'!$C$2:$C$622,0)),"",INDEX('Compliance Database'!$A$2:$A$622,MATCH(310,'Transfer Engine'!$C$2:$C$622,0)))</f>
        <v/>
      </c>
      <c r="B319">
        <f>IF(ISNA(MATCH(310,'Transfer Engine'!$C$2:$C$622,0)),"",INDEX('Compliance Database'!$B$2:$B$622,MATCH(310,'Transfer Engine'!$C$2:$C$622,0)))</f>
        <v/>
      </c>
      <c r="C319">
        <f>IF(ISNA(MATCH(310,'Transfer Engine'!$C$2:$C$622,0)),"",INDEX('Compliance Database'!$C$2:$C$622,MATCH(310,'Transfer Engine'!$C$2:$C$622,0)))</f>
        <v/>
      </c>
      <c r="D319" s="8">
        <f>IF(ISNA(MATCH(310,'Transfer Engine'!$C$2:$C$622,0)),"",INDEX('Compliance Database'!$D$2:$D$622,MATCH(310,'Transfer Engine'!$C$2:$C$622,0)))</f>
        <v/>
      </c>
      <c r="E319">
        <f>IF(ISNA(MATCH(310,'Transfer Engine'!$C$2:$C$622,0)),"",INDEX('Compliance Database'!$E$2:$E$622,MATCH(310,'Transfer Engine'!$C$2:$C$622,0)))</f>
        <v/>
      </c>
      <c r="F319">
        <f>IF(ISNA(MATCH(310,'Transfer Engine'!$C$2:$C$622,0)),"",INDEX('Compliance Database'!$F$2:$F$622,MATCH(310,'Transfer Engine'!$C$2:$C$622,0)))</f>
        <v/>
      </c>
      <c r="G319">
        <f>IF(ISNA(MATCH(310,'Transfer Engine'!$C$2:$C$622,0)),"",INDEX('Compliance Database'!$G$2:$G$622,MATCH(310,'Transfer Engine'!$C$2:$C$622,0)))</f>
        <v/>
      </c>
      <c r="H319">
        <f>IF(ISNA(MATCH(310,'Transfer Engine'!$C$2:$C$622,0)),"",INDEX('Compliance Database'!$H$2:$H$622,MATCH(310,'Transfer Engine'!$C$2:$C$622,0)))</f>
        <v/>
      </c>
      <c r="I319" s="8">
        <f>IF(ISNA(MATCH(310,'Transfer Engine'!$C$2:$C$622,0)),"",INDEX('Compliance Database'!$I$2:$I$622,MATCH(310,'Transfer Engine'!$C$2:$C$622,0)))</f>
        <v/>
      </c>
      <c r="J319" s="8">
        <f>IF(ISNA(MATCH(310,'Transfer Engine'!$C$2:$C$622,0)),"",INDEX('Compliance Database'!$J$2:$J$622,MATCH(310,'Transfer Engine'!$C$2:$C$622,0)))</f>
        <v/>
      </c>
      <c r="K319">
        <f>IF(ISNA(MATCH(310,'Transfer Engine'!$C$2:$C$622,0)),"",INDEX('Compliance Database'!$K$2:$K$622,MATCH(310,'Transfer Engine'!$C$2:$C$622,0)))</f>
        <v/>
      </c>
      <c r="L319" s="8">
        <f>IF(ISNA(MATCH(310,'Transfer Engine'!$C$2:$C$622,0)),"",INDEX('Compliance Database'!$L$2:$L$622,MATCH(310,'Transfer Engine'!$C$2:$C$622,0)))</f>
        <v/>
      </c>
      <c r="M319" s="8">
        <f>IF(ISNA(MATCH(310,'Transfer Engine'!$C$2:$C$622,0)),"",INDEX('Compliance Database'!$M$2:$M$622,MATCH(310,'Transfer Engine'!$C$2:$C$622,0)))</f>
        <v/>
      </c>
      <c r="N319" s="8">
        <f>IF(ISNA(MATCH(310,'Transfer Engine'!$C$2:$C$622,0)),"",INDEX('Compliance Database'!$N$2:$N$622,MATCH(310,'Transfer Engine'!$C$2:$C$622,0)))</f>
        <v/>
      </c>
      <c r="O319" s="8">
        <f>IF(ISNA(MATCH(310,'Transfer Engine'!$C$2:$C$622,0)),"",INDEX('Compliance Database'!$O$2:$O$622,MATCH(310,'Transfer Engine'!$C$2:$C$622,0)))</f>
        <v/>
      </c>
    </row>
    <row r="320">
      <c r="A320">
        <f>IF(ISNA(MATCH(311,'Transfer Engine'!$C$2:$C$622,0)),"",INDEX('Compliance Database'!$A$2:$A$622,MATCH(311,'Transfer Engine'!$C$2:$C$622,0)))</f>
        <v/>
      </c>
      <c r="B320">
        <f>IF(ISNA(MATCH(311,'Transfer Engine'!$C$2:$C$622,0)),"",INDEX('Compliance Database'!$B$2:$B$622,MATCH(311,'Transfer Engine'!$C$2:$C$622,0)))</f>
        <v/>
      </c>
      <c r="C320">
        <f>IF(ISNA(MATCH(311,'Transfer Engine'!$C$2:$C$622,0)),"",INDEX('Compliance Database'!$C$2:$C$622,MATCH(311,'Transfer Engine'!$C$2:$C$622,0)))</f>
        <v/>
      </c>
      <c r="D320" s="8">
        <f>IF(ISNA(MATCH(311,'Transfer Engine'!$C$2:$C$622,0)),"",INDEX('Compliance Database'!$D$2:$D$622,MATCH(311,'Transfer Engine'!$C$2:$C$622,0)))</f>
        <v/>
      </c>
      <c r="E320">
        <f>IF(ISNA(MATCH(311,'Transfer Engine'!$C$2:$C$622,0)),"",INDEX('Compliance Database'!$E$2:$E$622,MATCH(311,'Transfer Engine'!$C$2:$C$622,0)))</f>
        <v/>
      </c>
      <c r="F320">
        <f>IF(ISNA(MATCH(311,'Transfer Engine'!$C$2:$C$622,0)),"",INDEX('Compliance Database'!$F$2:$F$622,MATCH(311,'Transfer Engine'!$C$2:$C$622,0)))</f>
        <v/>
      </c>
      <c r="G320">
        <f>IF(ISNA(MATCH(311,'Transfer Engine'!$C$2:$C$622,0)),"",INDEX('Compliance Database'!$G$2:$G$622,MATCH(311,'Transfer Engine'!$C$2:$C$622,0)))</f>
        <v/>
      </c>
      <c r="H320">
        <f>IF(ISNA(MATCH(311,'Transfer Engine'!$C$2:$C$622,0)),"",INDEX('Compliance Database'!$H$2:$H$622,MATCH(311,'Transfer Engine'!$C$2:$C$622,0)))</f>
        <v/>
      </c>
      <c r="I320" s="8">
        <f>IF(ISNA(MATCH(311,'Transfer Engine'!$C$2:$C$622,0)),"",INDEX('Compliance Database'!$I$2:$I$622,MATCH(311,'Transfer Engine'!$C$2:$C$622,0)))</f>
        <v/>
      </c>
      <c r="J320" s="8">
        <f>IF(ISNA(MATCH(311,'Transfer Engine'!$C$2:$C$622,0)),"",INDEX('Compliance Database'!$J$2:$J$622,MATCH(311,'Transfer Engine'!$C$2:$C$622,0)))</f>
        <v/>
      </c>
      <c r="K320">
        <f>IF(ISNA(MATCH(311,'Transfer Engine'!$C$2:$C$622,0)),"",INDEX('Compliance Database'!$K$2:$K$622,MATCH(311,'Transfer Engine'!$C$2:$C$622,0)))</f>
        <v/>
      </c>
      <c r="L320" s="8">
        <f>IF(ISNA(MATCH(311,'Transfer Engine'!$C$2:$C$622,0)),"",INDEX('Compliance Database'!$L$2:$L$622,MATCH(311,'Transfer Engine'!$C$2:$C$622,0)))</f>
        <v/>
      </c>
      <c r="M320" s="8">
        <f>IF(ISNA(MATCH(311,'Transfer Engine'!$C$2:$C$622,0)),"",INDEX('Compliance Database'!$M$2:$M$622,MATCH(311,'Transfer Engine'!$C$2:$C$622,0)))</f>
        <v/>
      </c>
      <c r="N320" s="8">
        <f>IF(ISNA(MATCH(311,'Transfer Engine'!$C$2:$C$622,0)),"",INDEX('Compliance Database'!$N$2:$N$622,MATCH(311,'Transfer Engine'!$C$2:$C$622,0)))</f>
        <v/>
      </c>
      <c r="O320" s="8">
        <f>IF(ISNA(MATCH(311,'Transfer Engine'!$C$2:$C$622,0)),"",INDEX('Compliance Database'!$O$2:$O$622,MATCH(311,'Transfer Engine'!$C$2:$C$622,0)))</f>
        <v/>
      </c>
    </row>
    <row r="321">
      <c r="A321">
        <f>IF(ISNA(MATCH(312,'Transfer Engine'!$C$2:$C$622,0)),"",INDEX('Compliance Database'!$A$2:$A$622,MATCH(312,'Transfer Engine'!$C$2:$C$622,0)))</f>
        <v/>
      </c>
      <c r="B321">
        <f>IF(ISNA(MATCH(312,'Transfer Engine'!$C$2:$C$622,0)),"",INDEX('Compliance Database'!$B$2:$B$622,MATCH(312,'Transfer Engine'!$C$2:$C$622,0)))</f>
        <v/>
      </c>
      <c r="C321">
        <f>IF(ISNA(MATCH(312,'Transfer Engine'!$C$2:$C$622,0)),"",INDEX('Compliance Database'!$C$2:$C$622,MATCH(312,'Transfer Engine'!$C$2:$C$622,0)))</f>
        <v/>
      </c>
      <c r="D321" s="8">
        <f>IF(ISNA(MATCH(312,'Transfer Engine'!$C$2:$C$622,0)),"",INDEX('Compliance Database'!$D$2:$D$622,MATCH(312,'Transfer Engine'!$C$2:$C$622,0)))</f>
        <v/>
      </c>
      <c r="E321">
        <f>IF(ISNA(MATCH(312,'Transfer Engine'!$C$2:$C$622,0)),"",INDEX('Compliance Database'!$E$2:$E$622,MATCH(312,'Transfer Engine'!$C$2:$C$622,0)))</f>
        <v/>
      </c>
      <c r="F321">
        <f>IF(ISNA(MATCH(312,'Transfer Engine'!$C$2:$C$622,0)),"",INDEX('Compliance Database'!$F$2:$F$622,MATCH(312,'Transfer Engine'!$C$2:$C$622,0)))</f>
        <v/>
      </c>
      <c r="G321">
        <f>IF(ISNA(MATCH(312,'Transfer Engine'!$C$2:$C$622,0)),"",INDEX('Compliance Database'!$G$2:$G$622,MATCH(312,'Transfer Engine'!$C$2:$C$622,0)))</f>
        <v/>
      </c>
      <c r="H321">
        <f>IF(ISNA(MATCH(312,'Transfer Engine'!$C$2:$C$622,0)),"",INDEX('Compliance Database'!$H$2:$H$622,MATCH(312,'Transfer Engine'!$C$2:$C$622,0)))</f>
        <v/>
      </c>
      <c r="I321" s="8">
        <f>IF(ISNA(MATCH(312,'Transfer Engine'!$C$2:$C$622,0)),"",INDEX('Compliance Database'!$I$2:$I$622,MATCH(312,'Transfer Engine'!$C$2:$C$622,0)))</f>
        <v/>
      </c>
      <c r="J321" s="8">
        <f>IF(ISNA(MATCH(312,'Transfer Engine'!$C$2:$C$622,0)),"",INDEX('Compliance Database'!$J$2:$J$622,MATCH(312,'Transfer Engine'!$C$2:$C$622,0)))</f>
        <v/>
      </c>
      <c r="K321">
        <f>IF(ISNA(MATCH(312,'Transfer Engine'!$C$2:$C$622,0)),"",INDEX('Compliance Database'!$K$2:$K$622,MATCH(312,'Transfer Engine'!$C$2:$C$622,0)))</f>
        <v/>
      </c>
      <c r="L321" s="8">
        <f>IF(ISNA(MATCH(312,'Transfer Engine'!$C$2:$C$622,0)),"",INDEX('Compliance Database'!$L$2:$L$622,MATCH(312,'Transfer Engine'!$C$2:$C$622,0)))</f>
        <v/>
      </c>
      <c r="M321" s="8">
        <f>IF(ISNA(MATCH(312,'Transfer Engine'!$C$2:$C$622,0)),"",INDEX('Compliance Database'!$M$2:$M$622,MATCH(312,'Transfer Engine'!$C$2:$C$622,0)))</f>
        <v/>
      </c>
      <c r="N321" s="8">
        <f>IF(ISNA(MATCH(312,'Transfer Engine'!$C$2:$C$622,0)),"",INDEX('Compliance Database'!$N$2:$N$622,MATCH(312,'Transfer Engine'!$C$2:$C$622,0)))</f>
        <v/>
      </c>
      <c r="O321" s="8">
        <f>IF(ISNA(MATCH(312,'Transfer Engine'!$C$2:$C$622,0)),"",INDEX('Compliance Database'!$O$2:$O$622,MATCH(312,'Transfer Engine'!$C$2:$C$622,0)))</f>
        <v/>
      </c>
    </row>
    <row r="322">
      <c r="A322">
        <f>IF(ISNA(MATCH(313,'Transfer Engine'!$C$2:$C$622,0)),"",INDEX('Compliance Database'!$A$2:$A$622,MATCH(313,'Transfer Engine'!$C$2:$C$622,0)))</f>
        <v/>
      </c>
      <c r="B322">
        <f>IF(ISNA(MATCH(313,'Transfer Engine'!$C$2:$C$622,0)),"",INDEX('Compliance Database'!$B$2:$B$622,MATCH(313,'Transfer Engine'!$C$2:$C$622,0)))</f>
        <v/>
      </c>
      <c r="C322">
        <f>IF(ISNA(MATCH(313,'Transfer Engine'!$C$2:$C$622,0)),"",INDEX('Compliance Database'!$C$2:$C$622,MATCH(313,'Transfer Engine'!$C$2:$C$622,0)))</f>
        <v/>
      </c>
      <c r="D322" s="8">
        <f>IF(ISNA(MATCH(313,'Transfer Engine'!$C$2:$C$622,0)),"",INDEX('Compliance Database'!$D$2:$D$622,MATCH(313,'Transfer Engine'!$C$2:$C$622,0)))</f>
        <v/>
      </c>
      <c r="E322">
        <f>IF(ISNA(MATCH(313,'Transfer Engine'!$C$2:$C$622,0)),"",INDEX('Compliance Database'!$E$2:$E$622,MATCH(313,'Transfer Engine'!$C$2:$C$622,0)))</f>
        <v/>
      </c>
      <c r="F322">
        <f>IF(ISNA(MATCH(313,'Transfer Engine'!$C$2:$C$622,0)),"",INDEX('Compliance Database'!$F$2:$F$622,MATCH(313,'Transfer Engine'!$C$2:$C$622,0)))</f>
        <v/>
      </c>
      <c r="G322">
        <f>IF(ISNA(MATCH(313,'Transfer Engine'!$C$2:$C$622,0)),"",INDEX('Compliance Database'!$G$2:$G$622,MATCH(313,'Transfer Engine'!$C$2:$C$622,0)))</f>
        <v/>
      </c>
      <c r="H322">
        <f>IF(ISNA(MATCH(313,'Transfer Engine'!$C$2:$C$622,0)),"",INDEX('Compliance Database'!$H$2:$H$622,MATCH(313,'Transfer Engine'!$C$2:$C$622,0)))</f>
        <v/>
      </c>
      <c r="I322" s="8">
        <f>IF(ISNA(MATCH(313,'Transfer Engine'!$C$2:$C$622,0)),"",INDEX('Compliance Database'!$I$2:$I$622,MATCH(313,'Transfer Engine'!$C$2:$C$622,0)))</f>
        <v/>
      </c>
      <c r="J322" s="8">
        <f>IF(ISNA(MATCH(313,'Transfer Engine'!$C$2:$C$622,0)),"",INDEX('Compliance Database'!$J$2:$J$622,MATCH(313,'Transfer Engine'!$C$2:$C$622,0)))</f>
        <v/>
      </c>
      <c r="K322">
        <f>IF(ISNA(MATCH(313,'Transfer Engine'!$C$2:$C$622,0)),"",INDEX('Compliance Database'!$K$2:$K$622,MATCH(313,'Transfer Engine'!$C$2:$C$622,0)))</f>
        <v/>
      </c>
      <c r="L322" s="8">
        <f>IF(ISNA(MATCH(313,'Transfer Engine'!$C$2:$C$622,0)),"",INDEX('Compliance Database'!$L$2:$L$622,MATCH(313,'Transfer Engine'!$C$2:$C$622,0)))</f>
        <v/>
      </c>
      <c r="M322" s="8">
        <f>IF(ISNA(MATCH(313,'Transfer Engine'!$C$2:$C$622,0)),"",INDEX('Compliance Database'!$M$2:$M$622,MATCH(313,'Transfer Engine'!$C$2:$C$622,0)))</f>
        <v/>
      </c>
      <c r="N322" s="8">
        <f>IF(ISNA(MATCH(313,'Transfer Engine'!$C$2:$C$622,0)),"",INDEX('Compliance Database'!$N$2:$N$622,MATCH(313,'Transfer Engine'!$C$2:$C$622,0)))</f>
        <v/>
      </c>
      <c r="O322" s="8">
        <f>IF(ISNA(MATCH(313,'Transfer Engine'!$C$2:$C$622,0)),"",INDEX('Compliance Database'!$O$2:$O$622,MATCH(313,'Transfer Engine'!$C$2:$C$622,0)))</f>
        <v/>
      </c>
    </row>
    <row r="323">
      <c r="A323">
        <f>IF(ISNA(MATCH(314,'Transfer Engine'!$C$2:$C$622,0)),"",INDEX('Compliance Database'!$A$2:$A$622,MATCH(314,'Transfer Engine'!$C$2:$C$622,0)))</f>
        <v/>
      </c>
      <c r="B323">
        <f>IF(ISNA(MATCH(314,'Transfer Engine'!$C$2:$C$622,0)),"",INDEX('Compliance Database'!$B$2:$B$622,MATCH(314,'Transfer Engine'!$C$2:$C$622,0)))</f>
        <v/>
      </c>
      <c r="C323">
        <f>IF(ISNA(MATCH(314,'Transfer Engine'!$C$2:$C$622,0)),"",INDEX('Compliance Database'!$C$2:$C$622,MATCH(314,'Transfer Engine'!$C$2:$C$622,0)))</f>
        <v/>
      </c>
      <c r="D323" s="8">
        <f>IF(ISNA(MATCH(314,'Transfer Engine'!$C$2:$C$622,0)),"",INDEX('Compliance Database'!$D$2:$D$622,MATCH(314,'Transfer Engine'!$C$2:$C$622,0)))</f>
        <v/>
      </c>
      <c r="E323">
        <f>IF(ISNA(MATCH(314,'Transfer Engine'!$C$2:$C$622,0)),"",INDEX('Compliance Database'!$E$2:$E$622,MATCH(314,'Transfer Engine'!$C$2:$C$622,0)))</f>
        <v/>
      </c>
      <c r="F323">
        <f>IF(ISNA(MATCH(314,'Transfer Engine'!$C$2:$C$622,0)),"",INDEX('Compliance Database'!$F$2:$F$622,MATCH(314,'Transfer Engine'!$C$2:$C$622,0)))</f>
        <v/>
      </c>
      <c r="G323">
        <f>IF(ISNA(MATCH(314,'Transfer Engine'!$C$2:$C$622,0)),"",INDEX('Compliance Database'!$G$2:$G$622,MATCH(314,'Transfer Engine'!$C$2:$C$622,0)))</f>
        <v/>
      </c>
      <c r="H323">
        <f>IF(ISNA(MATCH(314,'Transfer Engine'!$C$2:$C$622,0)),"",INDEX('Compliance Database'!$H$2:$H$622,MATCH(314,'Transfer Engine'!$C$2:$C$622,0)))</f>
        <v/>
      </c>
      <c r="I323" s="8">
        <f>IF(ISNA(MATCH(314,'Transfer Engine'!$C$2:$C$622,0)),"",INDEX('Compliance Database'!$I$2:$I$622,MATCH(314,'Transfer Engine'!$C$2:$C$622,0)))</f>
        <v/>
      </c>
      <c r="J323" s="8">
        <f>IF(ISNA(MATCH(314,'Transfer Engine'!$C$2:$C$622,0)),"",INDEX('Compliance Database'!$J$2:$J$622,MATCH(314,'Transfer Engine'!$C$2:$C$622,0)))</f>
        <v/>
      </c>
      <c r="K323">
        <f>IF(ISNA(MATCH(314,'Transfer Engine'!$C$2:$C$622,0)),"",INDEX('Compliance Database'!$K$2:$K$622,MATCH(314,'Transfer Engine'!$C$2:$C$622,0)))</f>
        <v/>
      </c>
      <c r="L323" s="8">
        <f>IF(ISNA(MATCH(314,'Transfer Engine'!$C$2:$C$622,0)),"",INDEX('Compliance Database'!$L$2:$L$622,MATCH(314,'Transfer Engine'!$C$2:$C$622,0)))</f>
        <v/>
      </c>
      <c r="M323" s="8">
        <f>IF(ISNA(MATCH(314,'Transfer Engine'!$C$2:$C$622,0)),"",INDEX('Compliance Database'!$M$2:$M$622,MATCH(314,'Transfer Engine'!$C$2:$C$622,0)))</f>
        <v/>
      </c>
      <c r="N323" s="8">
        <f>IF(ISNA(MATCH(314,'Transfer Engine'!$C$2:$C$622,0)),"",INDEX('Compliance Database'!$N$2:$N$622,MATCH(314,'Transfer Engine'!$C$2:$C$622,0)))</f>
        <v/>
      </c>
      <c r="O323" s="8">
        <f>IF(ISNA(MATCH(314,'Transfer Engine'!$C$2:$C$622,0)),"",INDEX('Compliance Database'!$O$2:$O$622,MATCH(314,'Transfer Engine'!$C$2:$C$622,0)))</f>
        <v/>
      </c>
    </row>
    <row r="324">
      <c r="A324">
        <f>IF(ISNA(MATCH(315,'Transfer Engine'!$C$2:$C$622,0)),"",INDEX('Compliance Database'!$A$2:$A$622,MATCH(315,'Transfer Engine'!$C$2:$C$622,0)))</f>
        <v/>
      </c>
      <c r="B324">
        <f>IF(ISNA(MATCH(315,'Transfer Engine'!$C$2:$C$622,0)),"",INDEX('Compliance Database'!$B$2:$B$622,MATCH(315,'Transfer Engine'!$C$2:$C$622,0)))</f>
        <v/>
      </c>
      <c r="C324">
        <f>IF(ISNA(MATCH(315,'Transfer Engine'!$C$2:$C$622,0)),"",INDEX('Compliance Database'!$C$2:$C$622,MATCH(315,'Transfer Engine'!$C$2:$C$622,0)))</f>
        <v/>
      </c>
      <c r="D324" s="8">
        <f>IF(ISNA(MATCH(315,'Transfer Engine'!$C$2:$C$622,0)),"",INDEX('Compliance Database'!$D$2:$D$622,MATCH(315,'Transfer Engine'!$C$2:$C$622,0)))</f>
        <v/>
      </c>
      <c r="E324">
        <f>IF(ISNA(MATCH(315,'Transfer Engine'!$C$2:$C$622,0)),"",INDEX('Compliance Database'!$E$2:$E$622,MATCH(315,'Transfer Engine'!$C$2:$C$622,0)))</f>
        <v/>
      </c>
      <c r="F324">
        <f>IF(ISNA(MATCH(315,'Transfer Engine'!$C$2:$C$622,0)),"",INDEX('Compliance Database'!$F$2:$F$622,MATCH(315,'Transfer Engine'!$C$2:$C$622,0)))</f>
        <v/>
      </c>
      <c r="G324">
        <f>IF(ISNA(MATCH(315,'Transfer Engine'!$C$2:$C$622,0)),"",INDEX('Compliance Database'!$G$2:$G$622,MATCH(315,'Transfer Engine'!$C$2:$C$622,0)))</f>
        <v/>
      </c>
      <c r="H324">
        <f>IF(ISNA(MATCH(315,'Transfer Engine'!$C$2:$C$622,0)),"",INDEX('Compliance Database'!$H$2:$H$622,MATCH(315,'Transfer Engine'!$C$2:$C$622,0)))</f>
        <v/>
      </c>
      <c r="I324" s="8">
        <f>IF(ISNA(MATCH(315,'Transfer Engine'!$C$2:$C$622,0)),"",INDEX('Compliance Database'!$I$2:$I$622,MATCH(315,'Transfer Engine'!$C$2:$C$622,0)))</f>
        <v/>
      </c>
      <c r="J324" s="8">
        <f>IF(ISNA(MATCH(315,'Transfer Engine'!$C$2:$C$622,0)),"",INDEX('Compliance Database'!$J$2:$J$622,MATCH(315,'Transfer Engine'!$C$2:$C$622,0)))</f>
        <v/>
      </c>
      <c r="K324">
        <f>IF(ISNA(MATCH(315,'Transfer Engine'!$C$2:$C$622,0)),"",INDEX('Compliance Database'!$K$2:$K$622,MATCH(315,'Transfer Engine'!$C$2:$C$622,0)))</f>
        <v/>
      </c>
      <c r="L324" s="8">
        <f>IF(ISNA(MATCH(315,'Transfer Engine'!$C$2:$C$622,0)),"",INDEX('Compliance Database'!$L$2:$L$622,MATCH(315,'Transfer Engine'!$C$2:$C$622,0)))</f>
        <v/>
      </c>
      <c r="M324" s="8">
        <f>IF(ISNA(MATCH(315,'Transfer Engine'!$C$2:$C$622,0)),"",INDEX('Compliance Database'!$M$2:$M$622,MATCH(315,'Transfer Engine'!$C$2:$C$622,0)))</f>
        <v/>
      </c>
      <c r="N324" s="8">
        <f>IF(ISNA(MATCH(315,'Transfer Engine'!$C$2:$C$622,0)),"",INDEX('Compliance Database'!$N$2:$N$622,MATCH(315,'Transfer Engine'!$C$2:$C$622,0)))</f>
        <v/>
      </c>
      <c r="O324" s="8">
        <f>IF(ISNA(MATCH(315,'Transfer Engine'!$C$2:$C$622,0)),"",INDEX('Compliance Database'!$O$2:$O$622,MATCH(315,'Transfer Engine'!$C$2:$C$622,0)))</f>
        <v/>
      </c>
    </row>
    <row r="325">
      <c r="A325">
        <f>IF(ISNA(MATCH(316,'Transfer Engine'!$C$2:$C$622,0)),"",INDEX('Compliance Database'!$A$2:$A$622,MATCH(316,'Transfer Engine'!$C$2:$C$622,0)))</f>
        <v/>
      </c>
      <c r="B325">
        <f>IF(ISNA(MATCH(316,'Transfer Engine'!$C$2:$C$622,0)),"",INDEX('Compliance Database'!$B$2:$B$622,MATCH(316,'Transfer Engine'!$C$2:$C$622,0)))</f>
        <v/>
      </c>
      <c r="C325">
        <f>IF(ISNA(MATCH(316,'Transfer Engine'!$C$2:$C$622,0)),"",INDEX('Compliance Database'!$C$2:$C$622,MATCH(316,'Transfer Engine'!$C$2:$C$622,0)))</f>
        <v/>
      </c>
      <c r="D325" s="8">
        <f>IF(ISNA(MATCH(316,'Transfer Engine'!$C$2:$C$622,0)),"",INDEX('Compliance Database'!$D$2:$D$622,MATCH(316,'Transfer Engine'!$C$2:$C$622,0)))</f>
        <v/>
      </c>
      <c r="E325">
        <f>IF(ISNA(MATCH(316,'Transfer Engine'!$C$2:$C$622,0)),"",INDEX('Compliance Database'!$E$2:$E$622,MATCH(316,'Transfer Engine'!$C$2:$C$622,0)))</f>
        <v/>
      </c>
      <c r="F325">
        <f>IF(ISNA(MATCH(316,'Transfer Engine'!$C$2:$C$622,0)),"",INDEX('Compliance Database'!$F$2:$F$622,MATCH(316,'Transfer Engine'!$C$2:$C$622,0)))</f>
        <v/>
      </c>
      <c r="G325">
        <f>IF(ISNA(MATCH(316,'Transfer Engine'!$C$2:$C$622,0)),"",INDEX('Compliance Database'!$G$2:$G$622,MATCH(316,'Transfer Engine'!$C$2:$C$622,0)))</f>
        <v/>
      </c>
      <c r="H325">
        <f>IF(ISNA(MATCH(316,'Transfer Engine'!$C$2:$C$622,0)),"",INDEX('Compliance Database'!$H$2:$H$622,MATCH(316,'Transfer Engine'!$C$2:$C$622,0)))</f>
        <v/>
      </c>
      <c r="I325" s="8">
        <f>IF(ISNA(MATCH(316,'Transfer Engine'!$C$2:$C$622,0)),"",INDEX('Compliance Database'!$I$2:$I$622,MATCH(316,'Transfer Engine'!$C$2:$C$622,0)))</f>
        <v/>
      </c>
      <c r="J325" s="8">
        <f>IF(ISNA(MATCH(316,'Transfer Engine'!$C$2:$C$622,0)),"",INDEX('Compliance Database'!$J$2:$J$622,MATCH(316,'Transfer Engine'!$C$2:$C$622,0)))</f>
        <v/>
      </c>
      <c r="K325">
        <f>IF(ISNA(MATCH(316,'Transfer Engine'!$C$2:$C$622,0)),"",INDEX('Compliance Database'!$K$2:$K$622,MATCH(316,'Transfer Engine'!$C$2:$C$622,0)))</f>
        <v/>
      </c>
      <c r="L325" s="8">
        <f>IF(ISNA(MATCH(316,'Transfer Engine'!$C$2:$C$622,0)),"",INDEX('Compliance Database'!$L$2:$L$622,MATCH(316,'Transfer Engine'!$C$2:$C$622,0)))</f>
        <v/>
      </c>
      <c r="M325" s="8">
        <f>IF(ISNA(MATCH(316,'Transfer Engine'!$C$2:$C$622,0)),"",INDEX('Compliance Database'!$M$2:$M$622,MATCH(316,'Transfer Engine'!$C$2:$C$622,0)))</f>
        <v/>
      </c>
      <c r="N325" s="8">
        <f>IF(ISNA(MATCH(316,'Transfer Engine'!$C$2:$C$622,0)),"",INDEX('Compliance Database'!$N$2:$N$622,MATCH(316,'Transfer Engine'!$C$2:$C$622,0)))</f>
        <v/>
      </c>
      <c r="O325" s="8">
        <f>IF(ISNA(MATCH(316,'Transfer Engine'!$C$2:$C$622,0)),"",INDEX('Compliance Database'!$O$2:$O$622,MATCH(316,'Transfer Engine'!$C$2:$C$622,0)))</f>
        <v/>
      </c>
    </row>
    <row r="326">
      <c r="A326">
        <f>IF(ISNA(MATCH(317,'Transfer Engine'!$C$2:$C$622,0)),"",INDEX('Compliance Database'!$A$2:$A$622,MATCH(317,'Transfer Engine'!$C$2:$C$622,0)))</f>
        <v/>
      </c>
      <c r="B326">
        <f>IF(ISNA(MATCH(317,'Transfer Engine'!$C$2:$C$622,0)),"",INDEX('Compliance Database'!$B$2:$B$622,MATCH(317,'Transfer Engine'!$C$2:$C$622,0)))</f>
        <v/>
      </c>
      <c r="C326">
        <f>IF(ISNA(MATCH(317,'Transfer Engine'!$C$2:$C$622,0)),"",INDEX('Compliance Database'!$C$2:$C$622,MATCH(317,'Transfer Engine'!$C$2:$C$622,0)))</f>
        <v/>
      </c>
      <c r="D326" s="8">
        <f>IF(ISNA(MATCH(317,'Transfer Engine'!$C$2:$C$622,0)),"",INDEX('Compliance Database'!$D$2:$D$622,MATCH(317,'Transfer Engine'!$C$2:$C$622,0)))</f>
        <v/>
      </c>
      <c r="E326">
        <f>IF(ISNA(MATCH(317,'Transfer Engine'!$C$2:$C$622,0)),"",INDEX('Compliance Database'!$E$2:$E$622,MATCH(317,'Transfer Engine'!$C$2:$C$622,0)))</f>
        <v/>
      </c>
      <c r="F326">
        <f>IF(ISNA(MATCH(317,'Transfer Engine'!$C$2:$C$622,0)),"",INDEX('Compliance Database'!$F$2:$F$622,MATCH(317,'Transfer Engine'!$C$2:$C$622,0)))</f>
        <v/>
      </c>
      <c r="G326">
        <f>IF(ISNA(MATCH(317,'Transfer Engine'!$C$2:$C$622,0)),"",INDEX('Compliance Database'!$G$2:$G$622,MATCH(317,'Transfer Engine'!$C$2:$C$622,0)))</f>
        <v/>
      </c>
      <c r="H326">
        <f>IF(ISNA(MATCH(317,'Transfer Engine'!$C$2:$C$622,0)),"",INDEX('Compliance Database'!$H$2:$H$622,MATCH(317,'Transfer Engine'!$C$2:$C$622,0)))</f>
        <v/>
      </c>
      <c r="I326" s="8">
        <f>IF(ISNA(MATCH(317,'Transfer Engine'!$C$2:$C$622,0)),"",INDEX('Compliance Database'!$I$2:$I$622,MATCH(317,'Transfer Engine'!$C$2:$C$622,0)))</f>
        <v/>
      </c>
      <c r="J326" s="8">
        <f>IF(ISNA(MATCH(317,'Transfer Engine'!$C$2:$C$622,0)),"",INDEX('Compliance Database'!$J$2:$J$622,MATCH(317,'Transfer Engine'!$C$2:$C$622,0)))</f>
        <v/>
      </c>
      <c r="K326">
        <f>IF(ISNA(MATCH(317,'Transfer Engine'!$C$2:$C$622,0)),"",INDEX('Compliance Database'!$K$2:$K$622,MATCH(317,'Transfer Engine'!$C$2:$C$622,0)))</f>
        <v/>
      </c>
      <c r="L326" s="8">
        <f>IF(ISNA(MATCH(317,'Transfer Engine'!$C$2:$C$622,0)),"",INDEX('Compliance Database'!$L$2:$L$622,MATCH(317,'Transfer Engine'!$C$2:$C$622,0)))</f>
        <v/>
      </c>
      <c r="M326" s="8">
        <f>IF(ISNA(MATCH(317,'Transfer Engine'!$C$2:$C$622,0)),"",INDEX('Compliance Database'!$M$2:$M$622,MATCH(317,'Transfer Engine'!$C$2:$C$622,0)))</f>
        <v/>
      </c>
      <c r="N326" s="8">
        <f>IF(ISNA(MATCH(317,'Transfer Engine'!$C$2:$C$622,0)),"",INDEX('Compliance Database'!$N$2:$N$622,MATCH(317,'Transfer Engine'!$C$2:$C$622,0)))</f>
        <v/>
      </c>
      <c r="O326" s="8">
        <f>IF(ISNA(MATCH(317,'Transfer Engine'!$C$2:$C$622,0)),"",INDEX('Compliance Database'!$O$2:$O$622,MATCH(317,'Transfer Engine'!$C$2:$C$622,0)))</f>
        <v/>
      </c>
    </row>
    <row r="327">
      <c r="A327">
        <f>IF(ISNA(MATCH(318,'Transfer Engine'!$C$2:$C$622,0)),"",INDEX('Compliance Database'!$A$2:$A$622,MATCH(318,'Transfer Engine'!$C$2:$C$622,0)))</f>
        <v/>
      </c>
      <c r="B327">
        <f>IF(ISNA(MATCH(318,'Transfer Engine'!$C$2:$C$622,0)),"",INDEX('Compliance Database'!$B$2:$B$622,MATCH(318,'Transfer Engine'!$C$2:$C$622,0)))</f>
        <v/>
      </c>
      <c r="C327">
        <f>IF(ISNA(MATCH(318,'Transfer Engine'!$C$2:$C$622,0)),"",INDEX('Compliance Database'!$C$2:$C$622,MATCH(318,'Transfer Engine'!$C$2:$C$622,0)))</f>
        <v/>
      </c>
      <c r="D327" s="8">
        <f>IF(ISNA(MATCH(318,'Transfer Engine'!$C$2:$C$622,0)),"",INDEX('Compliance Database'!$D$2:$D$622,MATCH(318,'Transfer Engine'!$C$2:$C$622,0)))</f>
        <v/>
      </c>
      <c r="E327">
        <f>IF(ISNA(MATCH(318,'Transfer Engine'!$C$2:$C$622,0)),"",INDEX('Compliance Database'!$E$2:$E$622,MATCH(318,'Transfer Engine'!$C$2:$C$622,0)))</f>
        <v/>
      </c>
      <c r="F327">
        <f>IF(ISNA(MATCH(318,'Transfer Engine'!$C$2:$C$622,0)),"",INDEX('Compliance Database'!$F$2:$F$622,MATCH(318,'Transfer Engine'!$C$2:$C$622,0)))</f>
        <v/>
      </c>
      <c r="G327">
        <f>IF(ISNA(MATCH(318,'Transfer Engine'!$C$2:$C$622,0)),"",INDEX('Compliance Database'!$G$2:$G$622,MATCH(318,'Transfer Engine'!$C$2:$C$622,0)))</f>
        <v/>
      </c>
      <c r="H327">
        <f>IF(ISNA(MATCH(318,'Transfer Engine'!$C$2:$C$622,0)),"",INDEX('Compliance Database'!$H$2:$H$622,MATCH(318,'Transfer Engine'!$C$2:$C$622,0)))</f>
        <v/>
      </c>
      <c r="I327" s="8">
        <f>IF(ISNA(MATCH(318,'Transfer Engine'!$C$2:$C$622,0)),"",INDEX('Compliance Database'!$I$2:$I$622,MATCH(318,'Transfer Engine'!$C$2:$C$622,0)))</f>
        <v/>
      </c>
      <c r="J327" s="8">
        <f>IF(ISNA(MATCH(318,'Transfer Engine'!$C$2:$C$622,0)),"",INDEX('Compliance Database'!$J$2:$J$622,MATCH(318,'Transfer Engine'!$C$2:$C$622,0)))</f>
        <v/>
      </c>
      <c r="K327">
        <f>IF(ISNA(MATCH(318,'Transfer Engine'!$C$2:$C$622,0)),"",INDEX('Compliance Database'!$K$2:$K$622,MATCH(318,'Transfer Engine'!$C$2:$C$622,0)))</f>
        <v/>
      </c>
      <c r="L327" s="8">
        <f>IF(ISNA(MATCH(318,'Transfer Engine'!$C$2:$C$622,0)),"",INDEX('Compliance Database'!$L$2:$L$622,MATCH(318,'Transfer Engine'!$C$2:$C$622,0)))</f>
        <v/>
      </c>
      <c r="M327" s="8">
        <f>IF(ISNA(MATCH(318,'Transfer Engine'!$C$2:$C$622,0)),"",INDEX('Compliance Database'!$M$2:$M$622,MATCH(318,'Transfer Engine'!$C$2:$C$622,0)))</f>
        <v/>
      </c>
      <c r="N327" s="8">
        <f>IF(ISNA(MATCH(318,'Transfer Engine'!$C$2:$C$622,0)),"",INDEX('Compliance Database'!$N$2:$N$622,MATCH(318,'Transfer Engine'!$C$2:$C$622,0)))</f>
        <v/>
      </c>
      <c r="O327" s="8">
        <f>IF(ISNA(MATCH(318,'Transfer Engine'!$C$2:$C$622,0)),"",INDEX('Compliance Database'!$O$2:$O$622,MATCH(318,'Transfer Engine'!$C$2:$C$622,0)))</f>
        <v/>
      </c>
    </row>
    <row r="328">
      <c r="A328">
        <f>IF(ISNA(MATCH(319,'Transfer Engine'!$C$2:$C$622,0)),"",INDEX('Compliance Database'!$A$2:$A$622,MATCH(319,'Transfer Engine'!$C$2:$C$622,0)))</f>
        <v/>
      </c>
      <c r="B328">
        <f>IF(ISNA(MATCH(319,'Transfer Engine'!$C$2:$C$622,0)),"",INDEX('Compliance Database'!$B$2:$B$622,MATCH(319,'Transfer Engine'!$C$2:$C$622,0)))</f>
        <v/>
      </c>
      <c r="C328">
        <f>IF(ISNA(MATCH(319,'Transfer Engine'!$C$2:$C$622,0)),"",INDEX('Compliance Database'!$C$2:$C$622,MATCH(319,'Transfer Engine'!$C$2:$C$622,0)))</f>
        <v/>
      </c>
      <c r="D328" s="8">
        <f>IF(ISNA(MATCH(319,'Transfer Engine'!$C$2:$C$622,0)),"",INDEX('Compliance Database'!$D$2:$D$622,MATCH(319,'Transfer Engine'!$C$2:$C$622,0)))</f>
        <v/>
      </c>
      <c r="E328">
        <f>IF(ISNA(MATCH(319,'Transfer Engine'!$C$2:$C$622,0)),"",INDEX('Compliance Database'!$E$2:$E$622,MATCH(319,'Transfer Engine'!$C$2:$C$622,0)))</f>
        <v/>
      </c>
      <c r="F328">
        <f>IF(ISNA(MATCH(319,'Transfer Engine'!$C$2:$C$622,0)),"",INDEX('Compliance Database'!$F$2:$F$622,MATCH(319,'Transfer Engine'!$C$2:$C$622,0)))</f>
        <v/>
      </c>
      <c r="G328">
        <f>IF(ISNA(MATCH(319,'Transfer Engine'!$C$2:$C$622,0)),"",INDEX('Compliance Database'!$G$2:$G$622,MATCH(319,'Transfer Engine'!$C$2:$C$622,0)))</f>
        <v/>
      </c>
      <c r="H328">
        <f>IF(ISNA(MATCH(319,'Transfer Engine'!$C$2:$C$622,0)),"",INDEX('Compliance Database'!$H$2:$H$622,MATCH(319,'Transfer Engine'!$C$2:$C$622,0)))</f>
        <v/>
      </c>
      <c r="I328" s="8">
        <f>IF(ISNA(MATCH(319,'Transfer Engine'!$C$2:$C$622,0)),"",INDEX('Compliance Database'!$I$2:$I$622,MATCH(319,'Transfer Engine'!$C$2:$C$622,0)))</f>
        <v/>
      </c>
      <c r="J328" s="8">
        <f>IF(ISNA(MATCH(319,'Transfer Engine'!$C$2:$C$622,0)),"",INDEX('Compliance Database'!$J$2:$J$622,MATCH(319,'Transfer Engine'!$C$2:$C$622,0)))</f>
        <v/>
      </c>
      <c r="K328">
        <f>IF(ISNA(MATCH(319,'Transfer Engine'!$C$2:$C$622,0)),"",INDEX('Compliance Database'!$K$2:$K$622,MATCH(319,'Transfer Engine'!$C$2:$C$622,0)))</f>
        <v/>
      </c>
      <c r="L328" s="8">
        <f>IF(ISNA(MATCH(319,'Transfer Engine'!$C$2:$C$622,0)),"",INDEX('Compliance Database'!$L$2:$L$622,MATCH(319,'Transfer Engine'!$C$2:$C$622,0)))</f>
        <v/>
      </c>
      <c r="M328" s="8">
        <f>IF(ISNA(MATCH(319,'Transfer Engine'!$C$2:$C$622,0)),"",INDEX('Compliance Database'!$M$2:$M$622,MATCH(319,'Transfer Engine'!$C$2:$C$622,0)))</f>
        <v/>
      </c>
      <c r="N328" s="8">
        <f>IF(ISNA(MATCH(319,'Transfer Engine'!$C$2:$C$622,0)),"",INDEX('Compliance Database'!$N$2:$N$622,MATCH(319,'Transfer Engine'!$C$2:$C$622,0)))</f>
        <v/>
      </c>
      <c r="O328" s="8">
        <f>IF(ISNA(MATCH(319,'Transfer Engine'!$C$2:$C$622,0)),"",INDEX('Compliance Database'!$O$2:$O$622,MATCH(319,'Transfer Engine'!$C$2:$C$622,0)))</f>
        <v/>
      </c>
    </row>
    <row r="329">
      <c r="A329">
        <f>IF(ISNA(MATCH(320,'Transfer Engine'!$C$2:$C$622,0)),"",INDEX('Compliance Database'!$A$2:$A$622,MATCH(320,'Transfer Engine'!$C$2:$C$622,0)))</f>
        <v/>
      </c>
      <c r="B329">
        <f>IF(ISNA(MATCH(320,'Transfer Engine'!$C$2:$C$622,0)),"",INDEX('Compliance Database'!$B$2:$B$622,MATCH(320,'Transfer Engine'!$C$2:$C$622,0)))</f>
        <v/>
      </c>
      <c r="C329">
        <f>IF(ISNA(MATCH(320,'Transfer Engine'!$C$2:$C$622,0)),"",INDEX('Compliance Database'!$C$2:$C$622,MATCH(320,'Transfer Engine'!$C$2:$C$622,0)))</f>
        <v/>
      </c>
      <c r="D329" s="8">
        <f>IF(ISNA(MATCH(320,'Transfer Engine'!$C$2:$C$622,0)),"",INDEX('Compliance Database'!$D$2:$D$622,MATCH(320,'Transfer Engine'!$C$2:$C$622,0)))</f>
        <v/>
      </c>
      <c r="E329">
        <f>IF(ISNA(MATCH(320,'Transfer Engine'!$C$2:$C$622,0)),"",INDEX('Compliance Database'!$E$2:$E$622,MATCH(320,'Transfer Engine'!$C$2:$C$622,0)))</f>
        <v/>
      </c>
      <c r="F329">
        <f>IF(ISNA(MATCH(320,'Transfer Engine'!$C$2:$C$622,0)),"",INDEX('Compliance Database'!$F$2:$F$622,MATCH(320,'Transfer Engine'!$C$2:$C$622,0)))</f>
        <v/>
      </c>
      <c r="G329">
        <f>IF(ISNA(MATCH(320,'Transfer Engine'!$C$2:$C$622,0)),"",INDEX('Compliance Database'!$G$2:$G$622,MATCH(320,'Transfer Engine'!$C$2:$C$622,0)))</f>
        <v/>
      </c>
      <c r="H329">
        <f>IF(ISNA(MATCH(320,'Transfer Engine'!$C$2:$C$622,0)),"",INDEX('Compliance Database'!$H$2:$H$622,MATCH(320,'Transfer Engine'!$C$2:$C$622,0)))</f>
        <v/>
      </c>
      <c r="I329" s="8">
        <f>IF(ISNA(MATCH(320,'Transfer Engine'!$C$2:$C$622,0)),"",INDEX('Compliance Database'!$I$2:$I$622,MATCH(320,'Transfer Engine'!$C$2:$C$622,0)))</f>
        <v/>
      </c>
      <c r="J329" s="8">
        <f>IF(ISNA(MATCH(320,'Transfer Engine'!$C$2:$C$622,0)),"",INDEX('Compliance Database'!$J$2:$J$622,MATCH(320,'Transfer Engine'!$C$2:$C$622,0)))</f>
        <v/>
      </c>
      <c r="K329">
        <f>IF(ISNA(MATCH(320,'Transfer Engine'!$C$2:$C$622,0)),"",INDEX('Compliance Database'!$K$2:$K$622,MATCH(320,'Transfer Engine'!$C$2:$C$622,0)))</f>
        <v/>
      </c>
      <c r="L329" s="8">
        <f>IF(ISNA(MATCH(320,'Transfer Engine'!$C$2:$C$622,0)),"",INDEX('Compliance Database'!$L$2:$L$622,MATCH(320,'Transfer Engine'!$C$2:$C$622,0)))</f>
        <v/>
      </c>
      <c r="M329" s="8">
        <f>IF(ISNA(MATCH(320,'Transfer Engine'!$C$2:$C$622,0)),"",INDEX('Compliance Database'!$M$2:$M$622,MATCH(320,'Transfer Engine'!$C$2:$C$622,0)))</f>
        <v/>
      </c>
      <c r="N329" s="8">
        <f>IF(ISNA(MATCH(320,'Transfer Engine'!$C$2:$C$622,0)),"",INDEX('Compliance Database'!$N$2:$N$622,MATCH(320,'Transfer Engine'!$C$2:$C$622,0)))</f>
        <v/>
      </c>
      <c r="O329" s="8">
        <f>IF(ISNA(MATCH(320,'Transfer Engine'!$C$2:$C$622,0)),"",INDEX('Compliance Database'!$O$2:$O$622,MATCH(320,'Transfer Engine'!$C$2:$C$622,0)))</f>
        <v/>
      </c>
    </row>
    <row r="330">
      <c r="A330">
        <f>IF(ISNA(MATCH(321,'Transfer Engine'!$C$2:$C$622,0)),"",INDEX('Compliance Database'!$A$2:$A$622,MATCH(321,'Transfer Engine'!$C$2:$C$622,0)))</f>
        <v/>
      </c>
      <c r="B330">
        <f>IF(ISNA(MATCH(321,'Transfer Engine'!$C$2:$C$622,0)),"",INDEX('Compliance Database'!$B$2:$B$622,MATCH(321,'Transfer Engine'!$C$2:$C$622,0)))</f>
        <v/>
      </c>
      <c r="C330">
        <f>IF(ISNA(MATCH(321,'Transfer Engine'!$C$2:$C$622,0)),"",INDEX('Compliance Database'!$C$2:$C$622,MATCH(321,'Transfer Engine'!$C$2:$C$622,0)))</f>
        <v/>
      </c>
      <c r="D330" s="8">
        <f>IF(ISNA(MATCH(321,'Transfer Engine'!$C$2:$C$622,0)),"",INDEX('Compliance Database'!$D$2:$D$622,MATCH(321,'Transfer Engine'!$C$2:$C$622,0)))</f>
        <v/>
      </c>
      <c r="E330">
        <f>IF(ISNA(MATCH(321,'Transfer Engine'!$C$2:$C$622,0)),"",INDEX('Compliance Database'!$E$2:$E$622,MATCH(321,'Transfer Engine'!$C$2:$C$622,0)))</f>
        <v/>
      </c>
      <c r="F330">
        <f>IF(ISNA(MATCH(321,'Transfer Engine'!$C$2:$C$622,0)),"",INDEX('Compliance Database'!$F$2:$F$622,MATCH(321,'Transfer Engine'!$C$2:$C$622,0)))</f>
        <v/>
      </c>
      <c r="G330">
        <f>IF(ISNA(MATCH(321,'Transfer Engine'!$C$2:$C$622,0)),"",INDEX('Compliance Database'!$G$2:$G$622,MATCH(321,'Transfer Engine'!$C$2:$C$622,0)))</f>
        <v/>
      </c>
      <c r="H330">
        <f>IF(ISNA(MATCH(321,'Transfer Engine'!$C$2:$C$622,0)),"",INDEX('Compliance Database'!$H$2:$H$622,MATCH(321,'Transfer Engine'!$C$2:$C$622,0)))</f>
        <v/>
      </c>
      <c r="I330" s="8">
        <f>IF(ISNA(MATCH(321,'Transfer Engine'!$C$2:$C$622,0)),"",INDEX('Compliance Database'!$I$2:$I$622,MATCH(321,'Transfer Engine'!$C$2:$C$622,0)))</f>
        <v/>
      </c>
      <c r="J330" s="8">
        <f>IF(ISNA(MATCH(321,'Transfer Engine'!$C$2:$C$622,0)),"",INDEX('Compliance Database'!$J$2:$J$622,MATCH(321,'Transfer Engine'!$C$2:$C$622,0)))</f>
        <v/>
      </c>
      <c r="K330">
        <f>IF(ISNA(MATCH(321,'Transfer Engine'!$C$2:$C$622,0)),"",INDEX('Compliance Database'!$K$2:$K$622,MATCH(321,'Transfer Engine'!$C$2:$C$622,0)))</f>
        <v/>
      </c>
      <c r="L330" s="8">
        <f>IF(ISNA(MATCH(321,'Transfer Engine'!$C$2:$C$622,0)),"",INDEX('Compliance Database'!$L$2:$L$622,MATCH(321,'Transfer Engine'!$C$2:$C$622,0)))</f>
        <v/>
      </c>
      <c r="M330" s="8">
        <f>IF(ISNA(MATCH(321,'Transfer Engine'!$C$2:$C$622,0)),"",INDEX('Compliance Database'!$M$2:$M$622,MATCH(321,'Transfer Engine'!$C$2:$C$622,0)))</f>
        <v/>
      </c>
      <c r="N330" s="8">
        <f>IF(ISNA(MATCH(321,'Transfer Engine'!$C$2:$C$622,0)),"",INDEX('Compliance Database'!$N$2:$N$622,MATCH(321,'Transfer Engine'!$C$2:$C$622,0)))</f>
        <v/>
      </c>
      <c r="O330" s="8">
        <f>IF(ISNA(MATCH(321,'Transfer Engine'!$C$2:$C$622,0)),"",INDEX('Compliance Database'!$O$2:$O$622,MATCH(321,'Transfer Engine'!$C$2:$C$622,0)))</f>
        <v/>
      </c>
    </row>
    <row r="331">
      <c r="A331">
        <f>IF(ISNA(MATCH(322,'Transfer Engine'!$C$2:$C$622,0)),"",INDEX('Compliance Database'!$A$2:$A$622,MATCH(322,'Transfer Engine'!$C$2:$C$622,0)))</f>
        <v/>
      </c>
      <c r="B331">
        <f>IF(ISNA(MATCH(322,'Transfer Engine'!$C$2:$C$622,0)),"",INDEX('Compliance Database'!$B$2:$B$622,MATCH(322,'Transfer Engine'!$C$2:$C$622,0)))</f>
        <v/>
      </c>
      <c r="C331">
        <f>IF(ISNA(MATCH(322,'Transfer Engine'!$C$2:$C$622,0)),"",INDEX('Compliance Database'!$C$2:$C$622,MATCH(322,'Transfer Engine'!$C$2:$C$622,0)))</f>
        <v/>
      </c>
      <c r="D331" s="8">
        <f>IF(ISNA(MATCH(322,'Transfer Engine'!$C$2:$C$622,0)),"",INDEX('Compliance Database'!$D$2:$D$622,MATCH(322,'Transfer Engine'!$C$2:$C$622,0)))</f>
        <v/>
      </c>
      <c r="E331">
        <f>IF(ISNA(MATCH(322,'Transfer Engine'!$C$2:$C$622,0)),"",INDEX('Compliance Database'!$E$2:$E$622,MATCH(322,'Transfer Engine'!$C$2:$C$622,0)))</f>
        <v/>
      </c>
      <c r="F331">
        <f>IF(ISNA(MATCH(322,'Transfer Engine'!$C$2:$C$622,0)),"",INDEX('Compliance Database'!$F$2:$F$622,MATCH(322,'Transfer Engine'!$C$2:$C$622,0)))</f>
        <v/>
      </c>
      <c r="G331">
        <f>IF(ISNA(MATCH(322,'Transfer Engine'!$C$2:$C$622,0)),"",INDEX('Compliance Database'!$G$2:$G$622,MATCH(322,'Transfer Engine'!$C$2:$C$622,0)))</f>
        <v/>
      </c>
      <c r="H331">
        <f>IF(ISNA(MATCH(322,'Transfer Engine'!$C$2:$C$622,0)),"",INDEX('Compliance Database'!$H$2:$H$622,MATCH(322,'Transfer Engine'!$C$2:$C$622,0)))</f>
        <v/>
      </c>
      <c r="I331" s="8">
        <f>IF(ISNA(MATCH(322,'Transfer Engine'!$C$2:$C$622,0)),"",INDEX('Compliance Database'!$I$2:$I$622,MATCH(322,'Transfer Engine'!$C$2:$C$622,0)))</f>
        <v/>
      </c>
      <c r="J331" s="8">
        <f>IF(ISNA(MATCH(322,'Transfer Engine'!$C$2:$C$622,0)),"",INDEX('Compliance Database'!$J$2:$J$622,MATCH(322,'Transfer Engine'!$C$2:$C$622,0)))</f>
        <v/>
      </c>
      <c r="K331">
        <f>IF(ISNA(MATCH(322,'Transfer Engine'!$C$2:$C$622,0)),"",INDEX('Compliance Database'!$K$2:$K$622,MATCH(322,'Transfer Engine'!$C$2:$C$622,0)))</f>
        <v/>
      </c>
      <c r="L331" s="8">
        <f>IF(ISNA(MATCH(322,'Transfer Engine'!$C$2:$C$622,0)),"",INDEX('Compliance Database'!$L$2:$L$622,MATCH(322,'Transfer Engine'!$C$2:$C$622,0)))</f>
        <v/>
      </c>
      <c r="M331" s="8">
        <f>IF(ISNA(MATCH(322,'Transfer Engine'!$C$2:$C$622,0)),"",INDEX('Compliance Database'!$M$2:$M$622,MATCH(322,'Transfer Engine'!$C$2:$C$622,0)))</f>
        <v/>
      </c>
      <c r="N331" s="8">
        <f>IF(ISNA(MATCH(322,'Transfer Engine'!$C$2:$C$622,0)),"",INDEX('Compliance Database'!$N$2:$N$622,MATCH(322,'Transfer Engine'!$C$2:$C$622,0)))</f>
        <v/>
      </c>
      <c r="O331" s="8">
        <f>IF(ISNA(MATCH(322,'Transfer Engine'!$C$2:$C$622,0)),"",INDEX('Compliance Database'!$O$2:$O$622,MATCH(322,'Transfer Engine'!$C$2:$C$622,0)))</f>
        <v/>
      </c>
    </row>
    <row r="332">
      <c r="A332">
        <f>IF(ISNA(MATCH(323,'Transfer Engine'!$C$2:$C$622,0)),"",INDEX('Compliance Database'!$A$2:$A$622,MATCH(323,'Transfer Engine'!$C$2:$C$622,0)))</f>
        <v/>
      </c>
      <c r="B332">
        <f>IF(ISNA(MATCH(323,'Transfer Engine'!$C$2:$C$622,0)),"",INDEX('Compliance Database'!$B$2:$B$622,MATCH(323,'Transfer Engine'!$C$2:$C$622,0)))</f>
        <v/>
      </c>
      <c r="C332">
        <f>IF(ISNA(MATCH(323,'Transfer Engine'!$C$2:$C$622,0)),"",INDEX('Compliance Database'!$C$2:$C$622,MATCH(323,'Transfer Engine'!$C$2:$C$622,0)))</f>
        <v/>
      </c>
      <c r="D332" s="8">
        <f>IF(ISNA(MATCH(323,'Transfer Engine'!$C$2:$C$622,0)),"",INDEX('Compliance Database'!$D$2:$D$622,MATCH(323,'Transfer Engine'!$C$2:$C$622,0)))</f>
        <v/>
      </c>
      <c r="E332">
        <f>IF(ISNA(MATCH(323,'Transfer Engine'!$C$2:$C$622,0)),"",INDEX('Compliance Database'!$E$2:$E$622,MATCH(323,'Transfer Engine'!$C$2:$C$622,0)))</f>
        <v/>
      </c>
      <c r="F332">
        <f>IF(ISNA(MATCH(323,'Transfer Engine'!$C$2:$C$622,0)),"",INDEX('Compliance Database'!$F$2:$F$622,MATCH(323,'Transfer Engine'!$C$2:$C$622,0)))</f>
        <v/>
      </c>
      <c r="G332">
        <f>IF(ISNA(MATCH(323,'Transfer Engine'!$C$2:$C$622,0)),"",INDEX('Compliance Database'!$G$2:$G$622,MATCH(323,'Transfer Engine'!$C$2:$C$622,0)))</f>
        <v/>
      </c>
      <c r="H332">
        <f>IF(ISNA(MATCH(323,'Transfer Engine'!$C$2:$C$622,0)),"",INDEX('Compliance Database'!$H$2:$H$622,MATCH(323,'Transfer Engine'!$C$2:$C$622,0)))</f>
        <v/>
      </c>
      <c r="I332" s="8">
        <f>IF(ISNA(MATCH(323,'Transfer Engine'!$C$2:$C$622,0)),"",INDEX('Compliance Database'!$I$2:$I$622,MATCH(323,'Transfer Engine'!$C$2:$C$622,0)))</f>
        <v/>
      </c>
      <c r="J332" s="8">
        <f>IF(ISNA(MATCH(323,'Transfer Engine'!$C$2:$C$622,0)),"",INDEX('Compliance Database'!$J$2:$J$622,MATCH(323,'Transfer Engine'!$C$2:$C$622,0)))</f>
        <v/>
      </c>
      <c r="K332">
        <f>IF(ISNA(MATCH(323,'Transfer Engine'!$C$2:$C$622,0)),"",INDEX('Compliance Database'!$K$2:$K$622,MATCH(323,'Transfer Engine'!$C$2:$C$622,0)))</f>
        <v/>
      </c>
      <c r="L332" s="8">
        <f>IF(ISNA(MATCH(323,'Transfer Engine'!$C$2:$C$622,0)),"",INDEX('Compliance Database'!$L$2:$L$622,MATCH(323,'Transfer Engine'!$C$2:$C$622,0)))</f>
        <v/>
      </c>
      <c r="M332" s="8">
        <f>IF(ISNA(MATCH(323,'Transfer Engine'!$C$2:$C$622,0)),"",INDEX('Compliance Database'!$M$2:$M$622,MATCH(323,'Transfer Engine'!$C$2:$C$622,0)))</f>
        <v/>
      </c>
      <c r="N332" s="8">
        <f>IF(ISNA(MATCH(323,'Transfer Engine'!$C$2:$C$622,0)),"",INDEX('Compliance Database'!$N$2:$N$622,MATCH(323,'Transfer Engine'!$C$2:$C$622,0)))</f>
        <v/>
      </c>
      <c r="O332" s="8">
        <f>IF(ISNA(MATCH(323,'Transfer Engine'!$C$2:$C$622,0)),"",INDEX('Compliance Database'!$O$2:$O$622,MATCH(323,'Transfer Engine'!$C$2:$C$622,0)))</f>
        <v/>
      </c>
    </row>
    <row r="333">
      <c r="A333">
        <f>IF(ISNA(MATCH(324,'Transfer Engine'!$C$2:$C$622,0)),"",INDEX('Compliance Database'!$A$2:$A$622,MATCH(324,'Transfer Engine'!$C$2:$C$622,0)))</f>
        <v/>
      </c>
      <c r="B333">
        <f>IF(ISNA(MATCH(324,'Transfer Engine'!$C$2:$C$622,0)),"",INDEX('Compliance Database'!$B$2:$B$622,MATCH(324,'Transfer Engine'!$C$2:$C$622,0)))</f>
        <v/>
      </c>
      <c r="C333">
        <f>IF(ISNA(MATCH(324,'Transfer Engine'!$C$2:$C$622,0)),"",INDEX('Compliance Database'!$C$2:$C$622,MATCH(324,'Transfer Engine'!$C$2:$C$622,0)))</f>
        <v/>
      </c>
      <c r="D333" s="8">
        <f>IF(ISNA(MATCH(324,'Transfer Engine'!$C$2:$C$622,0)),"",INDEX('Compliance Database'!$D$2:$D$622,MATCH(324,'Transfer Engine'!$C$2:$C$622,0)))</f>
        <v/>
      </c>
      <c r="E333">
        <f>IF(ISNA(MATCH(324,'Transfer Engine'!$C$2:$C$622,0)),"",INDEX('Compliance Database'!$E$2:$E$622,MATCH(324,'Transfer Engine'!$C$2:$C$622,0)))</f>
        <v/>
      </c>
      <c r="F333">
        <f>IF(ISNA(MATCH(324,'Transfer Engine'!$C$2:$C$622,0)),"",INDEX('Compliance Database'!$F$2:$F$622,MATCH(324,'Transfer Engine'!$C$2:$C$622,0)))</f>
        <v/>
      </c>
      <c r="G333">
        <f>IF(ISNA(MATCH(324,'Transfer Engine'!$C$2:$C$622,0)),"",INDEX('Compliance Database'!$G$2:$G$622,MATCH(324,'Transfer Engine'!$C$2:$C$622,0)))</f>
        <v/>
      </c>
      <c r="H333">
        <f>IF(ISNA(MATCH(324,'Transfer Engine'!$C$2:$C$622,0)),"",INDEX('Compliance Database'!$H$2:$H$622,MATCH(324,'Transfer Engine'!$C$2:$C$622,0)))</f>
        <v/>
      </c>
      <c r="I333" s="8">
        <f>IF(ISNA(MATCH(324,'Transfer Engine'!$C$2:$C$622,0)),"",INDEX('Compliance Database'!$I$2:$I$622,MATCH(324,'Transfer Engine'!$C$2:$C$622,0)))</f>
        <v/>
      </c>
      <c r="J333" s="8">
        <f>IF(ISNA(MATCH(324,'Transfer Engine'!$C$2:$C$622,0)),"",INDEX('Compliance Database'!$J$2:$J$622,MATCH(324,'Transfer Engine'!$C$2:$C$622,0)))</f>
        <v/>
      </c>
      <c r="K333">
        <f>IF(ISNA(MATCH(324,'Transfer Engine'!$C$2:$C$622,0)),"",INDEX('Compliance Database'!$K$2:$K$622,MATCH(324,'Transfer Engine'!$C$2:$C$622,0)))</f>
        <v/>
      </c>
      <c r="L333" s="8">
        <f>IF(ISNA(MATCH(324,'Transfer Engine'!$C$2:$C$622,0)),"",INDEX('Compliance Database'!$L$2:$L$622,MATCH(324,'Transfer Engine'!$C$2:$C$622,0)))</f>
        <v/>
      </c>
      <c r="M333" s="8">
        <f>IF(ISNA(MATCH(324,'Transfer Engine'!$C$2:$C$622,0)),"",INDEX('Compliance Database'!$M$2:$M$622,MATCH(324,'Transfer Engine'!$C$2:$C$622,0)))</f>
        <v/>
      </c>
      <c r="N333" s="8">
        <f>IF(ISNA(MATCH(324,'Transfer Engine'!$C$2:$C$622,0)),"",INDEX('Compliance Database'!$N$2:$N$622,MATCH(324,'Transfer Engine'!$C$2:$C$622,0)))</f>
        <v/>
      </c>
      <c r="O333" s="8">
        <f>IF(ISNA(MATCH(324,'Transfer Engine'!$C$2:$C$622,0)),"",INDEX('Compliance Database'!$O$2:$O$622,MATCH(324,'Transfer Engine'!$C$2:$C$622,0)))</f>
        <v/>
      </c>
    </row>
    <row r="334">
      <c r="A334">
        <f>IF(ISNA(MATCH(325,'Transfer Engine'!$C$2:$C$622,0)),"",INDEX('Compliance Database'!$A$2:$A$622,MATCH(325,'Transfer Engine'!$C$2:$C$622,0)))</f>
        <v/>
      </c>
      <c r="B334">
        <f>IF(ISNA(MATCH(325,'Transfer Engine'!$C$2:$C$622,0)),"",INDEX('Compliance Database'!$B$2:$B$622,MATCH(325,'Transfer Engine'!$C$2:$C$622,0)))</f>
        <v/>
      </c>
      <c r="C334">
        <f>IF(ISNA(MATCH(325,'Transfer Engine'!$C$2:$C$622,0)),"",INDEX('Compliance Database'!$C$2:$C$622,MATCH(325,'Transfer Engine'!$C$2:$C$622,0)))</f>
        <v/>
      </c>
      <c r="D334" s="8">
        <f>IF(ISNA(MATCH(325,'Transfer Engine'!$C$2:$C$622,0)),"",INDEX('Compliance Database'!$D$2:$D$622,MATCH(325,'Transfer Engine'!$C$2:$C$622,0)))</f>
        <v/>
      </c>
      <c r="E334">
        <f>IF(ISNA(MATCH(325,'Transfer Engine'!$C$2:$C$622,0)),"",INDEX('Compliance Database'!$E$2:$E$622,MATCH(325,'Transfer Engine'!$C$2:$C$622,0)))</f>
        <v/>
      </c>
      <c r="F334">
        <f>IF(ISNA(MATCH(325,'Transfer Engine'!$C$2:$C$622,0)),"",INDEX('Compliance Database'!$F$2:$F$622,MATCH(325,'Transfer Engine'!$C$2:$C$622,0)))</f>
        <v/>
      </c>
      <c r="G334">
        <f>IF(ISNA(MATCH(325,'Transfer Engine'!$C$2:$C$622,0)),"",INDEX('Compliance Database'!$G$2:$G$622,MATCH(325,'Transfer Engine'!$C$2:$C$622,0)))</f>
        <v/>
      </c>
      <c r="H334">
        <f>IF(ISNA(MATCH(325,'Transfer Engine'!$C$2:$C$622,0)),"",INDEX('Compliance Database'!$H$2:$H$622,MATCH(325,'Transfer Engine'!$C$2:$C$622,0)))</f>
        <v/>
      </c>
      <c r="I334" s="8">
        <f>IF(ISNA(MATCH(325,'Transfer Engine'!$C$2:$C$622,0)),"",INDEX('Compliance Database'!$I$2:$I$622,MATCH(325,'Transfer Engine'!$C$2:$C$622,0)))</f>
        <v/>
      </c>
      <c r="J334" s="8">
        <f>IF(ISNA(MATCH(325,'Transfer Engine'!$C$2:$C$622,0)),"",INDEX('Compliance Database'!$J$2:$J$622,MATCH(325,'Transfer Engine'!$C$2:$C$622,0)))</f>
        <v/>
      </c>
      <c r="K334">
        <f>IF(ISNA(MATCH(325,'Transfer Engine'!$C$2:$C$622,0)),"",INDEX('Compliance Database'!$K$2:$K$622,MATCH(325,'Transfer Engine'!$C$2:$C$622,0)))</f>
        <v/>
      </c>
      <c r="L334" s="8">
        <f>IF(ISNA(MATCH(325,'Transfer Engine'!$C$2:$C$622,0)),"",INDEX('Compliance Database'!$L$2:$L$622,MATCH(325,'Transfer Engine'!$C$2:$C$622,0)))</f>
        <v/>
      </c>
      <c r="M334" s="8">
        <f>IF(ISNA(MATCH(325,'Transfer Engine'!$C$2:$C$622,0)),"",INDEX('Compliance Database'!$M$2:$M$622,MATCH(325,'Transfer Engine'!$C$2:$C$622,0)))</f>
        <v/>
      </c>
      <c r="N334" s="8">
        <f>IF(ISNA(MATCH(325,'Transfer Engine'!$C$2:$C$622,0)),"",INDEX('Compliance Database'!$N$2:$N$622,MATCH(325,'Transfer Engine'!$C$2:$C$622,0)))</f>
        <v/>
      </c>
      <c r="O334" s="8">
        <f>IF(ISNA(MATCH(325,'Transfer Engine'!$C$2:$C$622,0)),"",INDEX('Compliance Database'!$O$2:$O$622,MATCH(325,'Transfer Engine'!$C$2:$C$622,0)))</f>
        <v/>
      </c>
    </row>
    <row r="335">
      <c r="A335">
        <f>IF(ISNA(MATCH(326,'Transfer Engine'!$C$2:$C$622,0)),"",INDEX('Compliance Database'!$A$2:$A$622,MATCH(326,'Transfer Engine'!$C$2:$C$622,0)))</f>
        <v/>
      </c>
      <c r="B335">
        <f>IF(ISNA(MATCH(326,'Transfer Engine'!$C$2:$C$622,0)),"",INDEX('Compliance Database'!$B$2:$B$622,MATCH(326,'Transfer Engine'!$C$2:$C$622,0)))</f>
        <v/>
      </c>
      <c r="C335">
        <f>IF(ISNA(MATCH(326,'Transfer Engine'!$C$2:$C$622,0)),"",INDEX('Compliance Database'!$C$2:$C$622,MATCH(326,'Transfer Engine'!$C$2:$C$622,0)))</f>
        <v/>
      </c>
      <c r="D335" s="8">
        <f>IF(ISNA(MATCH(326,'Transfer Engine'!$C$2:$C$622,0)),"",INDEX('Compliance Database'!$D$2:$D$622,MATCH(326,'Transfer Engine'!$C$2:$C$622,0)))</f>
        <v/>
      </c>
      <c r="E335">
        <f>IF(ISNA(MATCH(326,'Transfer Engine'!$C$2:$C$622,0)),"",INDEX('Compliance Database'!$E$2:$E$622,MATCH(326,'Transfer Engine'!$C$2:$C$622,0)))</f>
        <v/>
      </c>
      <c r="F335">
        <f>IF(ISNA(MATCH(326,'Transfer Engine'!$C$2:$C$622,0)),"",INDEX('Compliance Database'!$F$2:$F$622,MATCH(326,'Transfer Engine'!$C$2:$C$622,0)))</f>
        <v/>
      </c>
      <c r="G335">
        <f>IF(ISNA(MATCH(326,'Transfer Engine'!$C$2:$C$622,0)),"",INDEX('Compliance Database'!$G$2:$G$622,MATCH(326,'Transfer Engine'!$C$2:$C$622,0)))</f>
        <v/>
      </c>
      <c r="H335">
        <f>IF(ISNA(MATCH(326,'Transfer Engine'!$C$2:$C$622,0)),"",INDEX('Compliance Database'!$H$2:$H$622,MATCH(326,'Transfer Engine'!$C$2:$C$622,0)))</f>
        <v/>
      </c>
      <c r="I335" s="8">
        <f>IF(ISNA(MATCH(326,'Transfer Engine'!$C$2:$C$622,0)),"",INDEX('Compliance Database'!$I$2:$I$622,MATCH(326,'Transfer Engine'!$C$2:$C$622,0)))</f>
        <v/>
      </c>
      <c r="J335" s="8">
        <f>IF(ISNA(MATCH(326,'Transfer Engine'!$C$2:$C$622,0)),"",INDEX('Compliance Database'!$J$2:$J$622,MATCH(326,'Transfer Engine'!$C$2:$C$622,0)))</f>
        <v/>
      </c>
      <c r="K335">
        <f>IF(ISNA(MATCH(326,'Transfer Engine'!$C$2:$C$622,0)),"",INDEX('Compliance Database'!$K$2:$K$622,MATCH(326,'Transfer Engine'!$C$2:$C$622,0)))</f>
        <v/>
      </c>
      <c r="L335" s="8">
        <f>IF(ISNA(MATCH(326,'Transfer Engine'!$C$2:$C$622,0)),"",INDEX('Compliance Database'!$L$2:$L$622,MATCH(326,'Transfer Engine'!$C$2:$C$622,0)))</f>
        <v/>
      </c>
      <c r="M335" s="8">
        <f>IF(ISNA(MATCH(326,'Transfer Engine'!$C$2:$C$622,0)),"",INDEX('Compliance Database'!$M$2:$M$622,MATCH(326,'Transfer Engine'!$C$2:$C$622,0)))</f>
        <v/>
      </c>
      <c r="N335" s="8">
        <f>IF(ISNA(MATCH(326,'Transfer Engine'!$C$2:$C$622,0)),"",INDEX('Compliance Database'!$N$2:$N$622,MATCH(326,'Transfer Engine'!$C$2:$C$622,0)))</f>
        <v/>
      </c>
      <c r="O335" s="8">
        <f>IF(ISNA(MATCH(326,'Transfer Engine'!$C$2:$C$622,0)),"",INDEX('Compliance Database'!$O$2:$O$622,MATCH(326,'Transfer Engine'!$C$2:$C$622,0)))</f>
        <v/>
      </c>
    </row>
    <row r="336">
      <c r="A336">
        <f>IF(ISNA(MATCH(327,'Transfer Engine'!$C$2:$C$622,0)),"",INDEX('Compliance Database'!$A$2:$A$622,MATCH(327,'Transfer Engine'!$C$2:$C$622,0)))</f>
        <v/>
      </c>
      <c r="B336">
        <f>IF(ISNA(MATCH(327,'Transfer Engine'!$C$2:$C$622,0)),"",INDEX('Compliance Database'!$B$2:$B$622,MATCH(327,'Transfer Engine'!$C$2:$C$622,0)))</f>
        <v/>
      </c>
      <c r="C336">
        <f>IF(ISNA(MATCH(327,'Transfer Engine'!$C$2:$C$622,0)),"",INDEX('Compliance Database'!$C$2:$C$622,MATCH(327,'Transfer Engine'!$C$2:$C$622,0)))</f>
        <v/>
      </c>
      <c r="D336" s="8">
        <f>IF(ISNA(MATCH(327,'Transfer Engine'!$C$2:$C$622,0)),"",INDEX('Compliance Database'!$D$2:$D$622,MATCH(327,'Transfer Engine'!$C$2:$C$622,0)))</f>
        <v/>
      </c>
      <c r="E336">
        <f>IF(ISNA(MATCH(327,'Transfer Engine'!$C$2:$C$622,0)),"",INDEX('Compliance Database'!$E$2:$E$622,MATCH(327,'Transfer Engine'!$C$2:$C$622,0)))</f>
        <v/>
      </c>
      <c r="F336">
        <f>IF(ISNA(MATCH(327,'Transfer Engine'!$C$2:$C$622,0)),"",INDEX('Compliance Database'!$F$2:$F$622,MATCH(327,'Transfer Engine'!$C$2:$C$622,0)))</f>
        <v/>
      </c>
      <c r="G336">
        <f>IF(ISNA(MATCH(327,'Transfer Engine'!$C$2:$C$622,0)),"",INDEX('Compliance Database'!$G$2:$G$622,MATCH(327,'Transfer Engine'!$C$2:$C$622,0)))</f>
        <v/>
      </c>
      <c r="H336">
        <f>IF(ISNA(MATCH(327,'Transfer Engine'!$C$2:$C$622,0)),"",INDEX('Compliance Database'!$H$2:$H$622,MATCH(327,'Transfer Engine'!$C$2:$C$622,0)))</f>
        <v/>
      </c>
      <c r="I336" s="8">
        <f>IF(ISNA(MATCH(327,'Transfer Engine'!$C$2:$C$622,0)),"",INDEX('Compliance Database'!$I$2:$I$622,MATCH(327,'Transfer Engine'!$C$2:$C$622,0)))</f>
        <v/>
      </c>
      <c r="J336" s="8">
        <f>IF(ISNA(MATCH(327,'Transfer Engine'!$C$2:$C$622,0)),"",INDEX('Compliance Database'!$J$2:$J$622,MATCH(327,'Transfer Engine'!$C$2:$C$622,0)))</f>
        <v/>
      </c>
      <c r="K336">
        <f>IF(ISNA(MATCH(327,'Transfer Engine'!$C$2:$C$622,0)),"",INDEX('Compliance Database'!$K$2:$K$622,MATCH(327,'Transfer Engine'!$C$2:$C$622,0)))</f>
        <v/>
      </c>
      <c r="L336" s="8">
        <f>IF(ISNA(MATCH(327,'Transfer Engine'!$C$2:$C$622,0)),"",INDEX('Compliance Database'!$L$2:$L$622,MATCH(327,'Transfer Engine'!$C$2:$C$622,0)))</f>
        <v/>
      </c>
      <c r="M336" s="8">
        <f>IF(ISNA(MATCH(327,'Transfer Engine'!$C$2:$C$622,0)),"",INDEX('Compliance Database'!$M$2:$M$622,MATCH(327,'Transfer Engine'!$C$2:$C$622,0)))</f>
        <v/>
      </c>
      <c r="N336" s="8">
        <f>IF(ISNA(MATCH(327,'Transfer Engine'!$C$2:$C$622,0)),"",INDEX('Compliance Database'!$N$2:$N$622,MATCH(327,'Transfer Engine'!$C$2:$C$622,0)))</f>
        <v/>
      </c>
      <c r="O336" s="8">
        <f>IF(ISNA(MATCH(327,'Transfer Engine'!$C$2:$C$622,0)),"",INDEX('Compliance Database'!$O$2:$O$622,MATCH(327,'Transfer Engine'!$C$2:$C$622,0)))</f>
        <v/>
      </c>
    </row>
    <row r="337">
      <c r="A337">
        <f>IF(ISNA(MATCH(328,'Transfer Engine'!$C$2:$C$622,0)),"",INDEX('Compliance Database'!$A$2:$A$622,MATCH(328,'Transfer Engine'!$C$2:$C$622,0)))</f>
        <v/>
      </c>
      <c r="B337">
        <f>IF(ISNA(MATCH(328,'Transfer Engine'!$C$2:$C$622,0)),"",INDEX('Compliance Database'!$B$2:$B$622,MATCH(328,'Transfer Engine'!$C$2:$C$622,0)))</f>
        <v/>
      </c>
      <c r="C337">
        <f>IF(ISNA(MATCH(328,'Transfer Engine'!$C$2:$C$622,0)),"",INDEX('Compliance Database'!$C$2:$C$622,MATCH(328,'Transfer Engine'!$C$2:$C$622,0)))</f>
        <v/>
      </c>
      <c r="D337" s="8">
        <f>IF(ISNA(MATCH(328,'Transfer Engine'!$C$2:$C$622,0)),"",INDEX('Compliance Database'!$D$2:$D$622,MATCH(328,'Transfer Engine'!$C$2:$C$622,0)))</f>
        <v/>
      </c>
      <c r="E337">
        <f>IF(ISNA(MATCH(328,'Transfer Engine'!$C$2:$C$622,0)),"",INDEX('Compliance Database'!$E$2:$E$622,MATCH(328,'Transfer Engine'!$C$2:$C$622,0)))</f>
        <v/>
      </c>
      <c r="F337">
        <f>IF(ISNA(MATCH(328,'Transfer Engine'!$C$2:$C$622,0)),"",INDEX('Compliance Database'!$F$2:$F$622,MATCH(328,'Transfer Engine'!$C$2:$C$622,0)))</f>
        <v/>
      </c>
      <c r="G337">
        <f>IF(ISNA(MATCH(328,'Transfer Engine'!$C$2:$C$622,0)),"",INDEX('Compliance Database'!$G$2:$G$622,MATCH(328,'Transfer Engine'!$C$2:$C$622,0)))</f>
        <v/>
      </c>
      <c r="H337">
        <f>IF(ISNA(MATCH(328,'Transfer Engine'!$C$2:$C$622,0)),"",INDEX('Compliance Database'!$H$2:$H$622,MATCH(328,'Transfer Engine'!$C$2:$C$622,0)))</f>
        <v/>
      </c>
      <c r="I337" s="8">
        <f>IF(ISNA(MATCH(328,'Transfer Engine'!$C$2:$C$622,0)),"",INDEX('Compliance Database'!$I$2:$I$622,MATCH(328,'Transfer Engine'!$C$2:$C$622,0)))</f>
        <v/>
      </c>
      <c r="J337" s="8">
        <f>IF(ISNA(MATCH(328,'Transfer Engine'!$C$2:$C$622,0)),"",INDEX('Compliance Database'!$J$2:$J$622,MATCH(328,'Transfer Engine'!$C$2:$C$622,0)))</f>
        <v/>
      </c>
      <c r="K337">
        <f>IF(ISNA(MATCH(328,'Transfer Engine'!$C$2:$C$622,0)),"",INDEX('Compliance Database'!$K$2:$K$622,MATCH(328,'Transfer Engine'!$C$2:$C$622,0)))</f>
        <v/>
      </c>
      <c r="L337" s="8">
        <f>IF(ISNA(MATCH(328,'Transfer Engine'!$C$2:$C$622,0)),"",INDEX('Compliance Database'!$L$2:$L$622,MATCH(328,'Transfer Engine'!$C$2:$C$622,0)))</f>
        <v/>
      </c>
      <c r="M337" s="8">
        <f>IF(ISNA(MATCH(328,'Transfer Engine'!$C$2:$C$622,0)),"",INDEX('Compliance Database'!$M$2:$M$622,MATCH(328,'Transfer Engine'!$C$2:$C$622,0)))</f>
        <v/>
      </c>
      <c r="N337" s="8">
        <f>IF(ISNA(MATCH(328,'Transfer Engine'!$C$2:$C$622,0)),"",INDEX('Compliance Database'!$N$2:$N$622,MATCH(328,'Transfer Engine'!$C$2:$C$622,0)))</f>
        <v/>
      </c>
      <c r="O337" s="8">
        <f>IF(ISNA(MATCH(328,'Transfer Engine'!$C$2:$C$622,0)),"",INDEX('Compliance Database'!$O$2:$O$622,MATCH(328,'Transfer Engine'!$C$2:$C$622,0)))</f>
        <v/>
      </c>
    </row>
    <row r="338">
      <c r="A338">
        <f>IF(ISNA(MATCH(329,'Transfer Engine'!$C$2:$C$622,0)),"",INDEX('Compliance Database'!$A$2:$A$622,MATCH(329,'Transfer Engine'!$C$2:$C$622,0)))</f>
        <v/>
      </c>
      <c r="B338">
        <f>IF(ISNA(MATCH(329,'Transfer Engine'!$C$2:$C$622,0)),"",INDEX('Compliance Database'!$B$2:$B$622,MATCH(329,'Transfer Engine'!$C$2:$C$622,0)))</f>
        <v/>
      </c>
      <c r="C338">
        <f>IF(ISNA(MATCH(329,'Transfer Engine'!$C$2:$C$622,0)),"",INDEX('Compliance Database'!$C$2:$C$622,MATCH(329,'Transfer Engine'!$C$2:$C$622,0)))</f>
        <v/>
      </c>
      <c r="D338" s="8">
        <f>IF(ISNA(MATCH(329,'Transfer Engine'!$C$2:$C$622,0)),"",INDEX('Compliance Database'!$D$2:$D$622,MATCH(329,'Transfer Engine'!$C$2:$C$622,0)))</f>
        <v/>
      </c>
      <c r="E338">
        <f>IF(ISNA(MATCH(329,'Transfer Engine'!$C$2:$C$622,0)),"",INDEX('Compliance Database'!$E$2:$E$622,MATCH(329,'Transfer Engine'!$C$2:$C$622,0)))</f>
        <v/>
      </c>
      <c r="F338">
        <f>IF(ISNA(MATCH(329,'Transfer Engine'!$C$2:$C$622,0)),"",INDEX('Compliance Database'!$F$2:$F$622,MATCH(329,'Transfer Engine'!$C$2:$C$622,0)))</f>
        <v/>
      </c>
      <c r="G338">
        <f>IF(ISNA(MATCH(329,'Transfer Engine'!$C$2:$C$622,0)),"",INDEX('Compliance Database'!$G$2:$G$622,MATCH(329,'Transfer Engine'!$C$2:$C$622,0)))</f>
        <v/>
      </c>
      <c r="H338">
        <f>IF(ISNA(MATCH(329,'Transfer Engine'!$C$2:$C$622,0)),"",INDEX('Compliance Database'!$H$2:$H$622,MATCH(329,'Transfer Engine'!$C$2:$C$622,0)))</f>
        <v/>
      </c>
      <c r="I338" s="8">
        <f>IF(ISNA(MATCH(329,'Transfer Engine'!$C$2:$C$622,0)),"",INDEX('Compliance Database'!$I$2:$I$622,MATCH(329,'Transfer Engine'!$C$2:$C$622,0)))</f>
        <v/>
      </c>
      <c r="J338" s="8">
        <f>IF(ISNA(MATCH(329,'Transfer Engine'!$C$2:$C$622,0)),"",INDEX('Compliance Database'!$J$2:$J$622,MATCH(329,'Transfer Engine'!$C$2:$C$622,0)))</f>
        <v/>
      </c>
      <c r="K338">
        <f>IF(ISNA(MATCH(329,'Transfer Engine'!$C$2:$C$622,0)),"",INDEX('Compliance Database'!$K$2:$K$622,MATCH(329,'Transfer Engine'!$C$2:$C$622,0)))</f>
        <v/>
      </c>
      <c r="L338" s="8">
        <f>IF(ISNA(MATCH(329,'Transfer Engine'!$C$2:$C$622,0)),"",INDEX('Compliance Database'!$L$2:$L$622,MATCH(329,'Transfer Engine'!$C$2:$C$622,0)))</f>
        <v/>
      </c>
      <c r="M338" s="8">
        <f>IF(ISNA(MATCH(329,'Transfer Engine'!$C$2:$C$622,0)),"",INDEX('Compliance Database'!$M$2:$M$622,MATCH(329,'Transfer Engine'!$C$2:$C$622,0)))</f>
        <v/>
      </c>
      <c r="N338" s="8">
        <f>IF(ISNA(MATCH(329,'Transfer Engine'!$C$2:$C$622,0)),"",INDEX('Compliance Database'!$N$2:$N$622,MATCH(329,'Transfer Engine'!$C$2:$C$622,0)))</f>
        <v/>
      </c>
      <c r="O338" s="8">
        <f>IF(ISNA(MATCH(329,'Transfer Engine'!$C$2:$C$622,0)),"",INDEX('Compliance Database'!$O$2:$O$622,MATCH(329,'Transfer Engine'!$C$2:$C$622,0)))</f>
        <v/>
      </c>
    </row>
    <row r="339">
      <c r="A339">
        <f>IF(ISNA(MATCH(330,'Transfer Engine'!$C$2:$C$622,0)),"",INDEX('Compliance Database'!$A$2:$A$622,MATCH(330,'Transfer Engine'!$C$2:$C$622,0)))</f>
        <v/>
      </c>
      <c r="B339">
        <f>IF(ISNA(MATCH(330,'Transfer Engine'!$C$2:$C$622,0)),"",INDEX('Compliance Database'!$B$2:$B$622,MATCH(330,'Transfer Engine'!$C$2:$C$622,0)))</f>
        <v/>
      </c>
      <c r="C339">
        <f>IF(ISNA(MATCH(330,'Transfer Engine'!$C$2:$C$622,0)),"",INDEX('Compliance Database'!$C$2:$C$622,MATCH(330,'Transfer Engine'!$C$2:$C$622,0)))</f>
        <v/>
      </c>
      <c r="D339" s="8">
        <f>IF(ISNA(MATCH(330,'Transfer Engine'!$C$2:$C$622,0)),"",INDEX('Compliance Database'!$D$2:$D$622,MATCH(330,'Transfer Engine'!$C$2:$C$622,0)))</f>
        <v/>
      </c>
      <c r="E339">
        <f>IF(ISNA(MATCH(330,'Transfer Engine'!$C$2:$C$622,0)),"",INDEX('Compliance Database'!$E$2:$E$622,MATCH(330,'Transfer Engine'!$C$2:$C$622,0)))</f>
        <v/>
      </c>
      <c r="F339">
        <f>IF(ISNA(MATCH(330,'Transfer Engine'!$C$2:$C$622,0)),"",INDEX('Compliance Database'!$F$2:$F$622,MATCH(330,'Transfer Engine'!$C$2:$C$622,0)))</f>
        <v/>
      </c>
      <c r="G339">
        <f>IF(ISNA(MATCH(330,'Transfer Engine'!$C$2:$C$622,0)),"",INDEX('Compliance Database'!$G$2:$G$622,MATCH(330,'Transfer Engine'!$C$2:$C$622,0)))</f>
        <v/>
      </c>
      <c r="H339">
        <f>IF(ISNA(MATCH(330,'Transfer Engine'!$C$2:$C$622,0)),"",INDEX('Compliance Database'!$H$2:$H$622,MATCH(330,'Transfer Engine'!$C$2:$C$622,0)))</f>
        <v/>
      </c>
      <c r="I339" s="8">
        <f>IF(ISNA(MATCH(330,'Transfer Engine'!$C$2:$C$622,0)),"",INDEX('Compliance Database'!$I$2:$I$622,MATCH(330,'Transfer Engine'!$C$2:$C$622,0)))</f>
        <v/>
      </c>
      <c r="J339" s="8">
        <f>IF(ISNA(MATCH(330,'Transfer Engine'!$C$2:$C$622,0)),"",INDEX('Compliance Database'!$J$2:$J$622,MATCH(330,'Transfer Engine'!$C$2:$C$622,0)))</f>
        <v/>
      </c>
      <c r="K339">
        <f>IF(ISNA(MATCH(330,'Transfer Engine'!$C$2:$C$622,0)),"",INDEX('Compliance Database'!$K$2:$K$622,MATCH(330,'Transfer Engine'!$C$2:$C$622,0)))</f>
        <v/>
      </c>
      <c r="L339" s="8">
        <f>IF(ISNA(MATCH(330,'Transfer Engine'!$C$2:$C$622,0)),"",INDEX('Compliance Database'!$L$2:$L$622,MATCH(330,'Transfer Engine'!$C$2:$C$622,0)))</f>
        <v/>
      </c>
      <c r="M339" s="8">
        <f>IF(ISNA(MATCH(330,'Transfer Engine'!$C$2:$C$622,0)),"",INDEX('Compliance Database'!$M$2:$M$622,MATCH(330,'Transfer Engine'!$C$2:$C$622,0)))</f>
        <v/>
      </c>
      <c r="N339" s="8">
        <f>IF(ISNA(MATCH(330,'Transfer Engine'!$C$2:$C$622,0)),"",INDEX('Compliance Database'!$N$2:$N$622,MATCH(330,'Transfer Engine'!$C$2:$C$622,0)))</f>
        <v/>
      </c>
      <c r="O339" s="8">
        <f>IF(ISNA(MATCH(330,'Transfer Engine'!$C$2:$C$622,0)),"",INDEX('Compliance Database'!$O$2:$O$622,MATCH(330,'Transfer Engine'!$C$2:$C$622,0)))</f>
        <v/>
      </c>
    </row>
    <row r="340">
      <c r="A340">
        <f>IF(ISNA(MATCH(331,'Transfer Engine'!$C$2:$C$622,0)),"",INDEX('Compliance Database'!$A$2:$A$622,MATCH(331,'Transfer Engine'!$C$2:$C$622,0)))</f>
        <v/>
      </c>
      <c r="B340">
        <f>IF(ISNA(MATCH(331,'Transfer Engine'!$C$2:$C$622,0)),"",INDEX('Compliance Database'!$B$2:$B$622,MATCH(331,'Transfer Engine'!$C$2:$C$622,0)))</f>
        <v/>
      </c>
      <c r="C340">
        <f>IF(ISNA(MATCH(331,'Transfer Engine'!$C$2:$C$622,0)),"",INDEX('Compliance Database'!$C$2:$C$622,MATCH(331,'Transfer Engine'!$C$2:$C$622,0)))</f>
        <v/>
      </c>
      <c r="D340" s="8">
        <f>IF(ISNA(MATCH(331,'Transfer Engine'!$C$2:$C$622,0)),"",INDEX('Compliance Database'!$D$2:$D$622,MATCH(331,'Transfer Engine'!$C$2:$C$622,0)))</f>
        <v/>
      </c>
      <c r="E340">
        <f>IF(ISNA(MATCH(331,'Transfer Engine'!$C$2:$C$622,0)),"",INDEX('Compliance Database'!$E$2:$E$622,MATCH(331,'Transfer Engine'!$C$2:$C$622,0)))</f>
        <v/>
      </c>
      <c r="F340">
        <f>IF(ISNA(MATCH(331,'Transfer Engine'!$C$2:$C$622,0)),"",INDEX('Compliance Database'!$F$2:$F$622,MATCH(331,'Transfer Engine'!$C$2:$C$622,0)))</f>
        <v/>
      </c>
      <c r="G340">
        <f>IF(ISNA(MATCH(331,'Transfer Engine'!$C$2:$C$622,0)),"",INDEX('Compliance Database'!$G$2:$G$622,MATCH(331,'Transfer Engine'!$C$2:$C$622,0)))</f>
        <v/>
      </c>
      <c r="H340">
        <f>IF(ISNA(MATCH(331,'Transfer Engine'!$C$2:$C$622,0)),"",INDEX('Compliance Database'!$H$2:$H$622,MATCH(331,'Transfer Engine'!$C$2:$C$622,0)))</f>
        <v/>
      </c>
      <c r="I340" s="8">
        <f>IF(ISNA(MATCH(331,'Transfer Engine'!$C$2:$C$622,0)),"",INDEX('Compliance Database'!$I$2:$I$622,MATCH(331,'Transfer Engine'!$C$2:$C$622,0)))</f>
        <v/>
      </c>
      <c r="J340" s="8">
        <f>IF(ISNA(MATCH(331,'Transfer Engine'!$C$2:$C$622,0)),"",INDEX('Compliance Database'!$J$2:$J$622,MATCH(331,'Transfer Engine'!$C$2:$C$622,0)))</f>
        <v/>
      </c>
      <c r="K340">
        <f>IF(ISNA(MATCH(331,'Transfer Engine'!$C$2:$C$622,0)),"",INDEX('Compliance Database'!$K$2:$K$622,MATCH(331,'Transfer Engine'!$C$2:$C$622,0)))</f>
        <v/>
      </c>
      <c r="L340" s="8">
        <f>IF(ISNA(MATCH(331,'Transfer Engine'!$C$2:$C$622,0)),"",INDEX('Compliance Database'!$L$2:$L$622,MATCH(331,'Transfer Engine'!$C$2:$C$622,0)))</f>
        <v/>
      </c>
      <c r="M340" s="8">
        <f>IF(ISNA(MATCH(331,'Transfer Engine'!$C$2:$C$622,0)),"",INDEX('Compliance Database'!$M$2:$M$622,MATCH(331,'Transfer Engine'!$C$2:$C$622,0)))</f>
        <v/>
      </c>
      <c r="N340" s="8">
        <f>IF(ISNA(MATCH(331,'Transfer Engine'!$C$2:$C$622,0)),"",INDEX('Compliance Database'!$N$2:$N$622,MATCH(331,'Transfer Engine'!$C$2:$C$622,0)))</f>
        <v/>
      </c>
      <c r="O340" s="8">
        <f>IF(ISNA(MATCH(331,'Transfer Engine'!$C$2:$C$622,0)),"",INDEX('Compliance Database'!$O$2:$O$622,MATCH(331,'Transfer Engine'!$C$2:$C$622,0)))</f>
        <v/>
      </c>
    </row>
    <row r="341">
      <c r="A341">
        <f>IF(ISNA(MATCH(332,'Transfer Engine'!$C$2:$C$622,0)),"",INDEX('Compliance Database'!$A$2:$A$622,MATCH(332,'Transfer Engine'!$C$2:$C$622,0)))</f>
        <v/>
      </c>
      <c r="B341">
        <f>IF(ISNA(MATCH(332,'Transfer Engine'!$C$2:$C$622,0)),"",INDEX('Compliance Database'!$B$2:$B$622,MATCH(332,'Transfer Engine'!$C$2:$C$622,0)))</f>
        <v/>
      </c>
      <c r="C341">
        <f>IF(ISNA(MATCH(332,'Transfer Engine'!$C$2:$C$622,0)),"",INDEX('Compliance Database'!$C$2:$C$622,MATCH(332,'Transfer Engine'!$C$2:$C$622,0)))</f>
        <v/>
      </c>
      <c r="D341" s="8">
        <f>IF(ISNA(MATCH(332,'Transfer Engine'!$C$2:$C$622,0)),"",INDEX('Compliance Database'!$D$2:$D$622,MATCH(332,'Transfer Engine'!$C$2:$C$622,0)))</f>
        <v/>
      </c>
      <c r="E341">
        <f>IF(ISNA(MATCH(332,'Transfer Engine'!$C$2:$C$622,0)),"",INDEX('Compliance Database'!$E$2:$E$622,MATCH(332,'Transfer Engine'!$C$2:$C$622,0)))</f>
        <v/>
      </c>
      <c r="F341">
        <f>IF(ISNA(MATCH(332,'Transfer Engine'!$C$2:$C$622,0)),"",INDEX('Compliance Database'!$F$2:$F$622,MATCH(332,'Transfer Engine'!$C$2:$C$622,0)))</f>
        <v/>
      </c>
      <c r="G341">
        <f>IF(ISNA(MATCH(332,'Transfer Engine'!$C$2:$C$622,0)),"",INDEX('Compliance Database'!$G$2:$G$622,MATCH(332,'Transfer Engine'!$C$2:$C$622,0)))</f>
        <v/>
      </c>
      <c r="H341">
        <f>IF(ISNA(MATCH(332,'Transfer Engine'!$C$2:$C$622,0)),"",INDEX('Compliance Database'!$H$2:$H$622,MATCH(332,'Transfer Engine'!$C$2:$C$622,0)))</f>
        <v/>
      </c>
      <c r="I341" s="8">
        <f>IF(ISNA(MATCH(332,'Transfer Engine'!$C$2:$C$622,0)),"",INDEX('Compliance Database'!$I$2:$I$622,MATCH(332,'Transfer Engine'!$C$2:$C$622,0)))</f>
        <v/>
      </c>
      <c r="J341" s="8">
        <f>IF(ISNA(MATCH(332,'Transfer Engine'!$C$2:$C$622,0)),"",INDEX('Compliance Database'!$J$2:$J$622,MATCH(332,'Transfer Engine'!$C$2:$C$622,0)))</f>
        <v/>
      </c>
      <c r="K341">
        <f>IF(ISNA(MATCH(332,'Transfer Engine'!$C$2:$C$622,0)),"",INDEX('Compliance Database'!$K$2:$K$622,MATCH(332,'Transfer Engine'!$C$2:$C$622,0)))</f>
        <v/>
      </c>
      <c r="L341" s="8">
        <f>IF(ISNA(MATCH(332,'Transfer Engine'!$C$2:$C$622,0)),"",INDEX('Compliance Database'!$L$2:$L$622,MATCH(332,'Transfer Engine'!$C$2:$C$622,0)))</f>
        <v/>
      </c>
      <c r="M341" s="8">
        <f>IF(ISNA(MATCH(332,'Transfer Engine'!$C$2:$C$622,0)),"",INDEX('Compliance Database'!$M$2:$M$622,MATCH(332,'Transfer Engine'!$C$2:$C$622,0)))</f>
        <v/>
      </c>
      <c r="N341" s="8">
        <f>IF(ISNA(MATCH(332,'Transfer Engine'!$C$2:$C$622,0)),"",INDEX('Compliance Database'!$N$2:$N$622,MATCH(332,'Transfer Engine'!$C$2:$C$622,0)))</f>
        <v/>
      </c>
      <c r="O341" s="8">
        <f>IF(ISNA(MATCH(332,'Transfer Engine'!$C$2:$C$622,0)),"",INDEX('Compliance Database'!$O$2:$O$622,MATCH(332,'Transfer Engine'!$C$2:$C$622,0)))</f>
        <v/>
      </c>
    </row>
    <row r="342">
      <c r="A342">
        <f>IF(ISNA(MATCH(333,'Transfer Engine'!$C$2:$C$622,0)),"",INDEX('Compliance Database'!$A$2:$A$622,MATCH(333,'Transfer Engine'!$C$2:$C$622,0)))</f>
        <v/>
      </c>
      <c r="B342">
        <f>IF(ISNA(MATCH(333,'Transfer Engine'!$C$2:$C$622,0)),"",INDEX('Compliance Database'!$B$2:$B$622,MATCH(333,'Transfer Engine'!$C$2:$C$622,0)))</f>
        <v/>
      </c>
      <c r="C342">
        <f>IF(ISNA(MATCH(333,'Transfer Engine'!$C$2:$C$622,0)),"",INDEX('Compliance Database'!$C$2:$C$622,MATCH(333,'Transfer Engine'!$C$2:$C$622,0)))</f>
        <v/>
      </c>
      <c r="D342" s="8">
        <f>IF(ISNA(MATCH(333,'Transfer Engine'!$C$2:$C$622,0)),"",INDEX('Compliance Database'!$D$2:$D$622,MATCH(333,'Transfer Engine'!$C$2:$C$622,0)))</f>
        <v/>
      </c>
      <c r="E342">
        <f>IF(ISNA(MATCH(333,'Transfer Engine'!$C$2:$C$622,0)),"",INDEX('Compliance Database'!$E$2:$E$622,MATCH(333,'Transfer Engine'!$C$2:$C$622,0)))</f>
        <v/>
      </c>
      <c r="F342">
        <f>IF(ISNA(MATCH(333,'Transfer Engine'!$C$2:$C$622,0)),"",INDEX('Compliance Database'!$F$2:$F$622,MATCH(333,'Transfer Engine'!$C$2:$C$622,0)))</f>
        <v/>
      </c>
      <c r="G342">
        <f>IF(ISNA(MATCH(333,'Transfer Engine'!$C$2:$C$622,0)),"",INDEX('Compliance Database'!$G$2:$G$622,MATCH(333,'Transfer Engine'!$C$2:$C$622,0)))</f>
        <v/>
      </c>
      <c r="H342">
        <f>IF(ISNA(MATCH(333,'Transfer Engine'!$C$2:$C$622,0)),"",INDEX('Compliance Database'!$H$2:$H$622,MATCH(333,'Transfer Engine'!$C$2:$C$622,0)))</f>
        <v/>
      </c>
      <c r="I342" s="8">
        <f>IF(ISNA(MATCH(333,'Transfer Engine'!$C$2:$C$622,0)),"",INDEX('Compliance Database'!$I$2:$I$622,MATCH(333,'Transfer Engine'!$C$2:$C$622,0)))</f>
        <v/>
      </c>
      <c r="J342" s="8">
        <f>IF(ISNA(MATCH(333,'Transfer Engine'!$C$2:$C$622,0)),"",INDEX('Compliance Database'!$J$2:$J$622,MATCH(333,'Transfer Engine'!$C$2:$C$622,0)))</f>
        <v/>
      </c>
      <c r="K342">
        <f>IF(ISNA(MATCH(333,'Transfer Engine'!$C$2:$C$622,0)),"",INDEX('Compliance Database'!$K$2:$K$622,MATCH(333,'Transfer Engine'!$C$2:$C$622,0)))</f>
        <v/>
      </c>
      <c r="L342" s="8">
        <f>IF(ISNA(MATCH(333,'Transfer Engine'!$C$2:$C$622,0)),"",INDEX('Compliance Database'!$L$2:$L$622,MATCH(333,'Transfer Engine'!$C$2:$C$622,0)))</f>
        <v/>
      </c>
      <c r="M342" s="8">
        <f>IF(ISNA(MATCH(333,'Transfer Engine'!$C$2:$C$622,0)),"",INDEX('Compliance Database'!$M$2:$M$622,MATCH(333,'Transfer Engine'!$C$2:$C$622,0)))</f>
        <v/>
      </c>
      <c r="N342" s="8">
        <f>IF(ISNA(MATCH(333,'Transfer Engine'!$C$2:$C$622,0)),"",INDEX('Compliance Database'!$N$2:$N$622,MATCH(333,'Transfer Engine'!$C$2:$C$622,0)))</f>
        <v/>
      </c>
      <c r="O342" s="8">
        <f>IF(ISNA(MATCH(333,'Transfer Engine'!$C$2:$C$622,0)),"",INDEX('Compliance Database'!$O$2:$O$622,MATCH(333,'Transfer Engine'!$C$2:$C$622,0)))</f>
        <v/>
      </c>
    </row>
    <row r="343">
      <c r="A343">
        <f>IF(ISNA(MATCH(334,'Transfer Engine'!$C$2:$C$622,0)),"",INDEX('Compliance Database'!$A$2:$A$622,MATCH(334,'Transfer Engine'!$C$2:$C$622,0)))</f>
        <v/>
      </c>
      <c r="B343">
        <f>IF(ISNA(MATCH(334,'Transfer Engine'!$C$2:$C$622,0)),"",INDEX('Compliance Database'!$B$2:$B$622,MATCH(334,'Transfer Engine'!$C$2:$C$622,0)))</f>
        <v/>
      </c>
      <c r="C343">
        <f>IF(ISNA(MATCH(334,'Transfer Engine'!$C$2:$C$622,0)),"",INDEX('Compliance Database'!$C$2:$C$622,MATCH(334,'Transfer Engine'!$C$2:$C$622,0)))</f>
        <v/>
      </c>
      <c r="D343" s="8">
        <f>IF(ISNA(MATCH(334,'Transfer Engine'!$C$2:$C$622,0)),"",INDEX('Compliance Database'!$D$2:$D$622,MATCH(334,'Transfer Engine'!$C$2:$C$622,0)))</f>
        <v/>
      </c>
      <c r="E343">
        <f>IF(ISNA(MATCH(334,'Transfer Engine'!$C$2:$C$622,0)),"",INDEX('Compliance Database'!$E$2:$E$622,MATCH(334,'Transfer Engine'!$C$2:$C$622,0)))</f>
        <v/>
      </c>
      <c r="F343">
        <f>IF(ISNA(MATCH(334,'Transfer Engine'!$C$2:$C$622,0)),"",INDEX('Compliance Database'!$F$2:$F$622,MATCH(334,'Transfer Engine'!$C$2:$C$622,0)))</f>
        <v/>
      </c>
      <c r="G343">
        <f>IF(ISNA(MATCH(334,'Transfer Engine'!$C$2:$C$622,0)),"",INDEX('Compliance Database'!$G$2:$G$622,MATCH(334,'Transfer Engine'!$C$2:$C$622,0)))</f>
        <v/>
      </c>
      <c r="H343">
        <f>IF(ISNA(MATCH(334,'Transfer Engine'!$C$2:$C$622,0)),"",INDEX('Compliance Database'!$H$2:$H$622,MATCH(334,'Transfer Engine'!$C$2:$C$622,0)))</f>
        <v/>
      </c>
      <c r="I343" s="8">
        <f>IF(ISNA(MATCH(334,'Transfer Engine'!$C$2:$C$622,0)),"",INDEX('Compliance Database'!$I$2:$I$622,MATCH(334,'Transfer Engine'!$C$2:$C$622,0)))</f>
        <v/>
      </c>
      <c r="J343" s="8">
        <f>IF(ISNA(MATCH(334,'Transfer Engine'!$C$2:$C$622,0)),"",INDEX('Compliance Database'!$J$2:$J$622,MATCH(334,'Transfer Engine'!$C$2:$C$622,0)))</f>
        <v/>
      </c>
      <c r="K343">
        <f>IF(ISNA(MATCH(334,'Transfer Engine'!$C$2:$C$622,0)),"",INDEX('Compliance Database'!$K$2:$K$622,MATCH(334,'Transfer Engine'!$C$2:$C$622,0)))</f>
        <v/>
      </c>
      <c r="L343" s="8">
        <f>IF(ISNA(MATCH(334,'Transfer Engine'!$C$2:$C$622,0)),"",INDEX('Compliance Database'!$L$2:$L$622,MATCH(334,'Transfer Engine'!$C$2:$C$622,0)))</f>
        <v/>
      </c>
      <c r="M343" s="8">
        <f>IF(ISNA(MATCH(334,'Transfer Engine'!$C$2:$C$622,0)),"",INDEX('Compliance Database'!$M$2:$M$622,MATCH(334,'Transfer Engine'!$C$2:$C$622,0)))</f>
        <v/>
      </c>
      <c r="N343" s="8">
        <f>IF(ISNA(MATCH(334,'Transfer Engine'!$C$2:$C$622,0)),"",INDEX('Compliance Database'!$N$2:$N$622,MATCH(334,'Transfer Engine'!$C$2:$C$622,0)))</f>
        <v/>
      </c>
      <c r="O343" s="8">
        <f>IF(ISNA(MATCH(334,'Transfer Engine'!$C$2:$C$622,0)),"",INDEX('Compliance Database'!$O$2:$O$622,MATCH(334,'Transfer Engine'!$C$2:$C$622,0)))</f>
        <v/>
      </c>
    </row>
    <row r="344">
      <c r="A344">
        <f>IF(ISNA(MATCH(335,'Transfer Engine'!$C$2:$C$622,0)),"",INDEX('Compliance Database'!$A$2:$A$622,MATCH(335,'Transfer Engine'!$C$2:$C$622,0)))</f>
        <v/>
      </c>
      <c r="B344">
        <f>IF(ISNA(MATCH(335,'Transfer Engine'!$C$2:$C$622,0)),"",INDEX('Compliance Database'!$B$2:$B$622,MATCH(335,'Transfer Engine'!$C$2:$C$622,0)))</f>
        <v/>
      </c>
      <c r="C344">
        <f>IF(ISNA(MATCH(335,'Transfer Engine'!$C$2:$C$622,0)),"",INDEX('Compliance Database'!$C$2:$C$622,MATCH(335,'Transfer Engine'!$C$2:$C$622,0)))</f>
        <v/>
      </c>
      <c r="D344" s="8">
        <f>IF(ISNA(MATCH(335,'Transfer Engine'!$C$2:$C$622,0)),"",INDEX('Compliance Database'!$D$2:$D$622,MATCH(335,'Transfer Engine'!$C$2:$C$622,0)))</f>
        <v/>
      </c>
      <c r="E344">
        <f>IF(ISNA(MATCH(335,'Transfer Engine'!$C$2:$C$622,0)),"",INDEX('Compliance Database'!$E$2:$E$622,MATCH(335,'Transfer Engine'!$C$2:$C$622,0)))</f>
        <v/>
      </c>
      <c r="F344">
        <f>IF(ISNA(MATCH(335,'Transfer Engine'!$C$2:$C$622,0)),"",INDEX('Compliance Database'!$F$2:$F$622,MATCH(335,'Transfer Engine'!$C$2:$C$622,0)))</f>
        <v/>
      </c>
      <c r="G344">
        <f>IF(ISNA(MATCH(335,'Transfer Engine'!$C$2:$C$622,0)),"",INDEX('Compliance Database'!$G$2:$G$622,MATCH(335,'Transfer Engine'!$C$2:$C$622,0)))</f>
        <v/>
      </c>
      <c r="H344">
        <f>IF(ISNA(MATCH(335,'Transfer Engine'!$C$2:$C$622,0)),"",INDEX('Compliance Database'!$H$2:$H$622,MATCH(335,'Transfer Engine'!$C$2:$C$622,0)))</f>
        <v/>
      </c>
      <c r="I344" s="8">
        <f>IF(ISNA(MATCH(335,'Transfer Engine'!$C$2:$C$622,0)),"",INDEX('Compliance Database'!$I$2:$I$622,MATCH(335,'Transfer Engine'!$C$2:$C$622,0)))</f>
        <v/>
      </c>
      <c r="J344" s="8">
        <f>IF(ISNA(MATCH(335,'Transfer Engine'!$C$2:$C$622,0)),"",INDEX('Compliance Database'!$J$2:$J$622,MATCH(335,'Transfer Engine'!$C$2:$C$622,0)))</f>
        <v/>
      </c>
      <c r="K344">
        <f>IF(ISNA(MATCH(335,'Transfer Engine'!$C$2:$C$622,0)),"",INDEX('Compliance Database'!$K$2:$K$622,MATCH(335,'Transfer Engine'!$C$2:$C$622,0)))</f>
        <v/>
      </c>
      <c r="L344" s="8">
        <f>IF(ISNA(MATCH(335,'Transfer Engine'!$C$2:$C$622,0)),"",INDEX('Compliance Database'!$L$2:$L$622,MATCH(335,'Transfer Engine'!$C$2:$C$622,0)))</f>
        <v/>
      </c>
      <c r="M344" s="8">
        <f>IF(ISNA(MATCH(335,'Transfer Engine'!$C$2:$C$622,0)),"",INDEX('Compliance Database'!$M$2:$M$622,MATCH(335,'Transfer Engine'!$C$2:$C$622,0)))</f>
        <v/>
      </c>
      <c r="N344" s="8">
        <f>IF(ISNA(MATCH(335,'Transfer Engine'!$C$2:$C$622,0)),"",INDEX('Compliance Database'!$N$2:$N$622,MATCH(335,'Transfer Engine'!$C$2:$C$622,0)))</f>
        <v/>
      </c>
      <c r="O344" s="8">
        <f>IF(ISNA(MATCH(335,'Transfer Engine'!$C$2:$C$622,0)),"",INDEX('Compliance Database'!$O$2:$O$622,MATCH(335,'Transfer Engine'!$C$2:$C$622,0)))</f>
        <v/>
      </c>
    </row>
    <row r="345">
      <c r="A345">
        <f>IF(ISNA(MATCH(336,'Transfer Engine'!$C$2:$C$622,0)),"",INDEX('Compliance Database'!$A$2:$A$622,MATCH(336,'Transfer Engine'!$C$2:$C$622,0)))</f>
        <v/>
      </c>
      <c r="B345">
        <f>IF(ISNA(MATCH(336,'Transfer Engine'!$C$2:$C$622,0)),"",INDEX('Compliance Database'!$B$2:$B$622,MATCH(336,'Transfer Engine'!$C$2:$C$622,0)))</f>
        <v/>
      </c>
      <c r="C345">
        <f>IF(ISNA(MATCH(336,'Transfer Engine'!$C$2:$C$622,0)),"",INDEX('Compliance Database'!$C$2:$C$622,MATCH(336,'Transfer Engine'!$C$2:$C$622,0)))</f>
        <v/>
      </c>
      <c r="D345" s="8">
        <f>IF(ISNA(MATCH(336,'Transfer Engine'!$C$2:$C$622,0)),"",INDEX('Compliance Database'!$D$2:$D$622,MATCH(336,'Transfer Engine'!$C$2:$C$622,0)))</f>
        <v/>
      </c>
      <c r="E345">
        <f>IF(ISNA(MATCH(336,'Transfer Engine'!$C$2:$C$622,0)),"",INDEX('Compliance Database'!$E$2:$E$622,MATCH(336,'Transfer Engine'!$C$2:$C$622,0)))</f>
        <v/>
      </c>
      <c r="F345">
        <f>IF(ISNA(MATCH(336,'Transfer Engine'!$C$2:$C$622,0)),"",INDEX('Compliance Database'!$F$2:$F$622,MATCH(336,'Transfer Engine'!$C$2:$C$622,0)))</f>
        <v/>
      </c>
      <c r="G345">
        <f>IF(ISNA(MATCH(336,'Transfer Engine'!$C$2:$C$622,0)),"",INDEX('Compliance Database'!$G$2:$G$622,MATCH(336,'Transfer Engine'!$C$2:$C$622,0)))</f>
        <v/>
      </c>
      <c r="H345">
        <f>IF(ISNA(MATCH(336,'Transfer Engine'!$C$2:$C$622,0)),"",INDEX('Compliance Database'!$H$2:$H$622,MATCH(336,'Transfer Engine'!$C$2:$C$622,0)))</f>
        <v/>
      </c>
      <c r="I345" s="8">
        <f>IF(ISNA(MATCH(336,'Transfer Engine'!$C$2:$C$622,0)),"",INDEX('Compliance Database'!$I$2:$I$622,MATCH(336,'Transfer Engine'!$C$2:$C$622,0)))</f>
        <v/>
      </c>
      <c r="J345" s="8">
        <f>IF(ISNA(MATCH(336,'Transfer Engine'!$C$2:$C$622,0)),"",INDEX('Compliance Database'!$J$2:$J$622,MATCH(336,'Transfer Engine'!$C$2:$C$622,0)))</f>
        <v/>
      </c>
      <c r="K345">
        <f>IF(ISNA(MATCH(336,'Transfer Engine'!$C$2:$C$622,0)),"",INDEX('Compliance Database'!$K$2:$K$622,MATCH(336,'Transfer Engine'!$C$2:$C$622,0)))</f>
        <v/>
      </c>
      <c r="L345" s="8">
        <f>IF(ISNA(MATCH(336,'Transfer Engine'!$C$2:$C$622,0)),"",INDEX('Compliance Database'!$L$2:$L$622,MATCH(336,'Transfer Engine'!$C$2:$C$622,0)))</f>
        <v/>
      </c>
      <c r="M345" s="8">
        <f>IF(ISNA(MATCH(336,'Transfer Engine'!$C$2:$C$622,0)),"",INDEX('Compliance Database'!$M$2:$M$622,MATCH(336,'Transfer Engine'!$C$2:$C$622,0)))</f>
        <v/>
      </c>
      <c r="N345" s="8">
        <f>IF(ISNA(MATCH(336,'Transfer Engine'!$C$2:$C$622,0)),"",INDEX('Compliance Database'!$N$2:$N$622,MATCH(336,'Transfer Engine'!$C$2:$C$622,0)))</f>
        <v/>
      </c>
      <c r="O345" s="8">
        <f>IF(ISNA(MATCH(336,'Transfer Engine'!$C$2:$C$622,0)),"",INDEX('Compliance Database'!$O$2:$O$622,MATCH(336,'Transfer Engine'!$C$2:$C$622,0)))</f>
        <v/>
      </c>
    </row>
    <row r="346">
      <c r="A346">
        <f>IF(ISNA(MATCH(337,'Transfer Engine'!$C$2:$C$622,0)),"",INDEX('Compliance Database'!$A$2:$A$622,MATCH(337,'Transfer Engine'!$C$2:$C$622,0)))</f>
        <v/>
      </c>
      <c r="B346">
        <f>IF(ISNA(MATCH(337,'Transfer Engine'!$C$2:$C$622,0)),"",INDEX('Compliance Database'!$B$2:$B$622,MATCH(337,'Transfer Engine'!$C$2:$C$622,0)))</f>
        <v/>
      </c>
      <c r="C346">
        <f>IF(ISNA(MATCH(337,'Transfer Engine'!$C$2:$C$622,0)),"",INDEX('Compliance Database'!$C$2:$C$622,MATCH(337,'Transfer Engine'!$C$2:$C$622,0)))</f>
        <v/>
      </c>
      <c r="D346" s="8">
        <f>IF(ISNA(MATCH(337,'Transfer Engine'!$C$2:$C$622,0)),"",INDEX('Compliance Database'!$D$2:$D$622,MATCH(337,'Transfer Engine'!$C$2:$C$622,0)))</f>
        <v/>
      </c>
      <c r="E346">
        <f>IF(ISNA(MATCH(337,'Transfer Engine'!$C$2:$C$622,0)),"",INDEX('Compliance Database'!$E$2:$E$622,MATCH(337,'Transfer Engine'!$C$2:$C$622,0)))</f>
        <v/>
      </c>
      <c r="F346">
        <f>IF(ISNA(MATCH(337,'Transfer Engine'!$C$2:$C$622,0)),"",INDEX('Compliance Database'!$F$2:$F$622,MATCH(337,'Transfer Engine'!$C$2:$C$622,0)))</f>
        <v/>
      </c>
      <c r="G346">
        <f>IF(ISNA(MATCH(337,'Transfer Engine'!$C$2:$C$622,0)),"",INDEX('Compliance Database'!$G$2:$G$622,MATCH(337,'Transfer Engine'!$C$2:$C$622,0)))</f>
        <v/>
      </c>
      <c r="H346">
        <f>IF(ISNA(MATCH(337,'Transfer Engine'!$C$2:$C$622,0)),"",INDEX('Compliance Database'!$H$2:$H$622,MATCH(337,'Transfer Engine'!$C$2:$C$622,0)))</f>
        <v/>
      </c>
      <c r="I346" s="8">
        <f>IF(ISNA(MATCH(337,'Transfer Engine'!$C$2:$C$622,0)),"",INDEX('Compliance Database'!$I$2:$I$622,MATCH(337,'Transfer Engine'!$C$2:$C$622,0)))</f>
        <v/>
      </c>
      <c r="J346" s="8">
        <f>IF(ISNA(MATCH(337,'Transfer Engine'!$C$2:$C$622,0)),"",INDEX('Compliance Database'!$J$2:$J$622,MATCH(337,'Transfer Engine'!$C$2:$C$622,0)))</f>
        <v/>
      </c>
      <c r="K346">
        <f>IF(ISNA(MATCH(337,'Transfer Engine'!$C$2:$C$622,0)),"",INDEX('Compliance Database'!$K$2:$K$622,MATCH(337,'Transfer Engine'!$C$2:$C$622,0)))</f>
        <v/>
      </c>
      <c r="L346" s="8">
        <f>IF(ISNA(MATCH(337,'Transfer Engine'!$C$2:$C$622,0)),"",INDEX('Compliance Database'!$L$2:$L$622,MATCH(337,'Transfer Engine'!$C$2:$C$622,0)))</f>
        <v/>
      </c>
      <c r="M346" s="8">
        <f>IF(ISNA(MATCH(337,'Transfer Engine'!$C$2:$C$622,0)),"",INDEX('Compliance Database'!$M$2:$M$622,MATCH(337,'Transfer Engine'!$C$2:$C$622,0)))</f>
        <v/>
      </c>
      <c r="N346" s="8">
        <f>IF(ISNA(MATCH(337,'Transfer Engine'!$C$2:$C$622,0)),"",INDEX('Compliance Database'!$N$2:$N$622,MATCH(337,'Transfer Engine'!$C$2:$C$622,0)))</f>
        <v/>
      </c>
      <c r="O346" s="8">
        <f>IF(ISNA(MATCH(337,'Transfer Engine'!$C$2:$C$622,0)),"",INDEX('Compliance Database'!$O$2:$O$622,MATCH(337,'Transfer Engine'!$C$2:$C$622,0)))</f>
        <v/>
      </c>
    </row>
    <row r="347">
      <c r="A347">
        <f>IF(ISNA(MATCH(338,'Transfer Engine'!$C$2:$C$622,0)),"",INDEX('Compliance Database'!$A$2:$A$622,MATCH(338,'Transfer Engine'!$C$2:$C$622,0)))</f>
        <v/>
      </c>
      <c r="B347">
        <f>IF(ISNA(MATCH(338,'Transfer Engine'!$C$2:$C$622,0)),"",INDEX('Compliance Database'!$B$2:$B$622,MATCH(338,'Transfer Engine'!$C$2:$C$622,0)))</f>
        <v/>
      </c>
      <c r="C347">
        <f>IF(ISNA(MATCH(338,'Transfer Engine'!$C$2:$C$622,0)),"",INDEX('Compliance Database'!$C$2:$C$622,MATCH(338,'Transfer Engine'!$C$2:$C$622,0)))</f>
        <v/>
      </c>
      <c r="D347" s="8">
        <f>IF(ISNA(MATCH(338,'Transfer Engine'!$C$2:$C$622,0)),"",INDEX('Compliance Database'!$D$2:$D$622,MATCH(338,'Transfer Engine'!$C$2:$C$622,0)))</f>
        <v/>
      </c>
      <c r="E347">
        <f>IF(ISNA(MATCH(338,'Transfer Engine'!$C$2:$C$622,0)),"",INDEX('Compliance Database'!$E$2:$E$622,MATCH(338,'Transfer Engine'!$C$2:$C$622,0)))</f>
        <v/>
      </c>
      <c r="F347">
        <f>IF(ISNA(MATCH(338,'Transfer Engine'!$C$2:$C$622,0)),"",INDEX('Compliance Database'!$F$2:$F$622,MATCH(338,'Transfer Engine'!$C$2:$C$622,0)))</f>
        <v/>
      </c>
      <c r="G347">
        <f>IF(ISNA(MATCH(338,'Transfer Engine'!$C$2:$C$622,0)),"",INDEX('Compliance Database'!$G$2:$G$622,MATCH(338,'Transfer Engine'!$C$2:$C$622,0)))</f>
        <v/>
      </c>
      <c r="H347">
        <f>IF(ISNA(MATCH(338,'Transfer Engine'!$C$2:$C$622,0)),"",INDEX('Compliance Database'!$H$2:$H$622,MATCH(338,'Transfer Engine'!$C$2:$C$622,0)))</f>
        <v/>
      </c>
      <c r="I347" s="8">
        <f>IF(ISNA(MATCH(338,'Transfer Engine'!$C$2:$C$622,0)),"",INDEX('Compliance Database'!$I$2:$I$622,MATCH(338,'Transfer Engine'!$C$2:$C$622,0)))</f>
        <v/>
      </c>
      <c r="J347" s="8">
        <f>IF(ISNA(MATCH(338,'Transfer Engine'!$C$2:$C$622,0)),"",INDEX('Compliance Database'!$J$2:$J$622,MATCH(338,'Transfer Engine'!$C$2:$C$622,0)))</f>
        <v/>
      </c>
      <c r="K347">
        <f>IF(ISNA(MATCH(338,'Transfer Engine'!$C$2:$C$622,0)),"",INDEX('Compliance Database'!$K$2:$K$622,MATCH(338,'Transfer Engine'!$C$2:$C$622,0)))</f>
        <v/>
      </c>
      <c r="L347" s="8">
        <f>IF(ISNA(MATCH(338,'Transfer Engine'!$C$2:$C$622,0)),"",INDEX('Compliance Database'!$L$2:$L$622,MATCH(338,'Transfer Engine'!$C$2:$C$622,0)))</f>
        <v/>
      </c>
      <c r="M347" s="8">
        <f>IF(ISNA(MATCH(338,'Transfer Engine'!$C$2:$C$622,0)),"",INDEX('Compliance Database'!$M$2:$M$622,MATCH(338,'Transfer Engine'!$C$2:$C$622,0)))</f>
        <v/>
      </c>
      <c r="N347" s="8">
        <f>IF(ISNA(MATCH(338,'Transfer Engine'!$C$2:$C$622,0)),"",INDEX('Compliance Database'!$N$2:$N$622,MATCH(338,'Transfer Engine'!$C$2:$C$622,0)))</f>
        <v/>
      </c>
      <c r="O347" s="8">
        <f>IF(ISNA(MATCH(338,'Transfer Engine'!$C$2:$C$622,0)),"",INDEX('Compliance Database'!$O$2:$O$622,MATCH(338,'Transfer Engine'!$C$2:$C$622,0)))</f>
        <v/>
      </c>
    </row>
    <row r="348">
      <c r="A348">
        <f>IF(ISNA(MATCH(339,'Transfer Engine'!$C$2:$C$622,0)),"",INDEX('Compliance Database'!$A$2:$A$622,MATCH(339,'Transfer Engine'!$C$2:$C$622,0)))</f>
        <v/>
      </c>
      <c r="B348">
        <f>IF(ISNA(MATCH(339,'Transfer Engine'!$C$2:$C$622,0)),"",INDEX('Compliance Database'!$B$2:$B$622,MATCH(339,'Transfer Engine'!$C$2:$C$622,0)))</f>
        <v/>
      </c>
      <c r="C348">
        <f>IF(ISNA(MATCH(339,'Transfer Engine'!$C$2:$C$622,0)),"",INDEX('Compliance Database'!$C$2:$C$622,MATCH(339,'Transfer Engine'!$C$2:$C$622,0)))</f>
        <v/>
      </c>
      <c r="D348" s="8">
        <f>IF(ISNA(MATCH(339,'Transfer Engine'!$C$2:$C$622,0)),"",INDEX('Compliance Database'!$D$2:$D$622,MATCH(339,'Transfer Engine'!$C$2:$C$622,0)))</f>
        <v/>
      </c>
      <c r="E348">
        <f>IF(ISNA(MATCH(339,'Transfer Engine'!$C$2:$C$622,0)),"",INDEX('Compliance Database'!$E$2:$E$622,MATCH(339,'Transfer Engine'!$C$2:$C$622,0)))</f>
        <v/>
      </c>
      <c r="F348">
        <f>IF(ISNA(MATCH(339,'Transfer Engine'!$C$2:$C$622,0)),"",INDEX('Compliance Database'!$F$2:$F$622,MATCH(339,'Transfer Engine'!$C$2:$C$622,0)))</f>
        <v/>
      </c>
      <c r="G348">
        <f>IF(ISNA(MATCH(339,'Transfer Engine'!$C$2:$C$622,0)),"",INDEX('Compliance Database'!$G$2:$G$622,MATCH(339,'Transfer Engine'!$C$2:$C$622,0)))</f>
        <v/>
      </c>
      <c r="H348">
        <f>IF(ISNA(MATCH(339,'Transfer Engine'!$C$2:$C$622,0)),"",INDEX('Compliance Database'!$H$2:$H$622,MATCH(339,'Transfer Engine'!$C$2:$C$622,0)))</f>
        <v/>
      </c>
      <c r="I348" s="8">
        <f>IF(ISNA(MATCH(339,'Transfer Engine'!$C$2:$C$622,0)),"",INDEX('Compliance Database'!$I$2:$I$622,MATCH(339,'Transfer Engine'!$C$2:$C$622,0)))</f>
        <v/>
      </c>
      <c r="J348" s="8">
        <f>IF(ISNA(MATCH(339,'Transfer Engine'!$C$2:$C$622,0)),"",INDEX('Compliance Database'!$J$2:$J$622,MATCH(339,'Transfer Engine'!$C$2:$C$622,0)))</f>
        <v/>
      </c>
      <c r="K348">
        <f>IF(ISNA(MATCH(339,'Transfer Engine'!$C$2:$C$622,0)),"",INDEX('Compliance Database'!$K$2:$K$622,MATCH(339,'Transfer Engine'!$C$2:$C$622,0)))</f>
        <v/>
      </c>
      <c r="L348" s="8">
        <f>IF(ISNA(MATCH(339,'Transfer Engine'!$C$2:$C$622,0)),"",INDEX('Compliance Database'!$L$2:$L$622,MATCH(339,'Transfer Engine'!$C$2:$C$622,0)))</f>
        <v/>
      </c>
      <c r="M348" s="8">
        <f>IF(ISNA(MATCH(339,'Transfer Engine'!$C$2:$C$622,0)),"",INDEX('Compliance Database'!$M$2:$M$622,MATCH(339,'Transfer Engine'!$C$2:$C$622,0)))</f>
        <v/>
      </c>
      <c r="N348" s="8">
        <f>IF(ISNA(MATCH(339,'Transfer Engine'!$C$2:$C$622,0)),"",INDEX('Compliance Database'!$N$2:$N$622,MATCH(339,'Transfer Engine'!$C$2:$C$622,0)))</f>
        <v/>
      </c>
      <c r="O348" s="8">
        <f>IF(ISNA(MATCH(339,'Transfer Engine'!$C$2:$C$622,0)),"",INDEX('Compliance Database'!$O$2:$O$622,MATCH(339,'Transfer Engine'!$C$2:$C$622,0)))</f>
        <v/>
      </c>
    </row>
    <row r="349">
      <c r="A349">
        <f>IF(ISNA(MATCH(340,'Transfer Engine'!$C$2:$C$622,0)),"",INDEX('Compliance Database'!$A$2:$A$622,MATCH(340,'Transfer Engine'!$C$2:$C$622,0)))</f>
        <v/>
      </c>
      <c r="B349">
        <f>IF(ISNA(MATCH(340,'Transfer Engine'!$C$2:$C$622,0)),"",INDEX('Compliance Database'!$B$2:$B$622,MATCH(340,'Transfer Engine'!$C$2:$C$622,0)))</f>
        <v/>
      </c>
      <c r="C349">
        <f>IF(ISNA(MATCH(340,'Transfer Engine'!$C$2:$C$622,0)),"",INDEX('Compliance Database'!$C$2:$C$622,MATCH(340,'Transfer Engine'!$C$2:$C$622,0)))</f>
        <v/>
      </c>
      <c r="D349" s="8">
        <f>IF(ISNA(MATCH(340,'Transfer Engine'!$C$2:$C$622,0)),"",INDEX('Compliance Database'!$D$2:$D$622,MATCH(340,'Transfer Engine'!$C$2:$C$622,0)))</f>
        <v/>
      </c>
      <c r="E349">
        <f>IF(ISNA(MATCH(340,'Transfer Engine'!$C$2:$C$622,0)),"",INDEX('Compliance Database'!$E$2:$E$622,MATCH(340,'Transfer Engine'!$C$2:$C$622,0)))</f>
        <v/>
      </c>
      <c r="F349">
        <f>IF(ISNA(MATCH(340,'Transfer Engine'!$C$2:$C$622,0)),"",INDEX('Compliance Database'!$F$2:$F$622,MATCH(340,'Transfer Engine'!$C$2:$C$622,0)))</f>
        <v/>
      </c>
      <c r="G349">
        <f>IF(ISNA(MATCH(340,'Transfer Engine'!$C$2:$C$622,0)),"",INDEX('Compliance Database'!$G$2:$G$622,MATCH(340,'Transfer Engine'!$C$2:$C$622,0)))</f>
        <v/>
      </c>
      <c r="H349">
        <f>IF(ISNA(MATCH(340,'Transfer Engine'!$C$2:$C$622,0)),"",INDEX('Compliance Database'!$H$2:$H$622,MATCH(340,'Transfer Engine'!$C$2:$C$622,0)))</f>
        <v/>
      </c>
      <c r="I349" s="8">
        <f>IF(ISNA(MATCH(340,'Transfer Engine'!$C$2:$C$622,0)),"",INDEX('Compliance Database'!$I$2:$I$622,MATCH(340,'Transfer Engine'!$C$2:$C$622,0)))</f>
        <v/>
      </c>
      <c r="J349" s="8">
        <f>IF(ISNA(MATCH(340,'Transfer Engine'!$C$2:$C$622,0)),"",INDEX('Compliance Database'!$J$2:$J$622,MATCH(340,'Transfer Engine'!$C$2:$C$622,0)))</f>
        <v/>
      </c>
      <c r="K349">
        <f>IF(ISNA(MATCH(340,'Transfer Engine'!$C$2:$C$622,0)),"",INDEX('Compliance Database'!$K$2:$K$622,MATCH(340,'Transfer Engine'!$C$2:$C$622,0)))</f>
        <v/>
      </c>
      <c r="L349" s="8">
        <f>IF(ISNA(MATCH(340,'Transfer Engine'!$C$2:$C$622,0)),"",INDEX('Compliance Database'!$L$2:$L$622,MATCH(340,'Transfer Engine'!$C$2:$C$622,0)))</f>
        <v/>
      </c>
      <c r="M349" s="8">
        <f>IF(ISNA(MATCH(340,'Transfer Engine'!$C$2:$C$622,0)),"",INDEX('Compliance Database'!$M$2:$M$622,MATCH(340,'Transfer Engine'!$C$2:$C$622,0)))</f>
        <v/>
      </c>
      <c r="N349" s="8">
        <f>IF(ISNA(MATCH(340,'Transfer Engine'!$C$2:$C$622,0)),"",INDEX('Compliance Database'!$N$2:$N$622,MATCH(340,'Transfer Engine'!$C$2:$C$622,0)))</f>
        <v/>
      </c>
      <c r="O349" s="8">
        <f>IF(ISNA(MATCH(340,'Transfer Engine'!$C$2:$C$622,0)),"",INDEX('Compliance Database'!$O$2:$O$622,MATCH(340,'Transfer Engine'!$C$2:$C$622,0)))</f>
        <v/>
      </c>
    </row>
    <row r="350">
      <c r="A350">
        <f>IF(ISNA(MATCH(341,'Transfer Engine'!$C$2:$C$622,0)),"",INDEX('Compliance Database'!$A$2:$A$622,MATCH(341,'Transfer Engine'!$C$2:$C$622,0)))</f>
        <v/>
      </c>
      <c r="B350">
        <f>IF(ISNA(MATCH(341,'Transfer Engine'!$C$2:$C$622,0)),"",INDEX('Compliance Database'!$B$2:$B$622,MATCH(341,'Transfer Engine'!$C$2:$C$622,0)))</f>
        <v/>
      </c>
      <c r="C350">
        <f>IF(ISNA(MATCH(341,'Transfer Engine'!$C$2:$C$622,0)),"",INDEX('Compliance Database'!$C$2:$C$622,MATCH(341,'Transfer Engine'!$C$2:$C$622,0)))</f>
        <v/>
      </c>
      <c r="D350" s="8">
        <f>IF(ISNA(MATCH(341,'Transfer Engine'!$C$2:$C$622,0)),"",INDEX('Compliance Database'!$D$2:$D$622,MATCH(341,'Transfer Engine'!$C$2:$C$622,0)))</f>
        <v/>
      </c>
      <c r="E350">
        <f>IF(ISNA(MATCH(341,'Transfer Engine'!$C$2:$C$622,0)),"",INDEX('Compliance Database'!$E$2:$E$622,MATCH(341,'Transfer Engine'!$C$2:$C$622,0)))</f>
        <v/>
      </c>
      <c r="F350">
        <f>IF(ISNA(MATCH(341,'Transfer Engine'!$C$2:$C$622,0)),"",INDEX('Compliance Database'!$F$2:$F$622,MATCH(341,'Transfer Engine'!$C$2:$C$622,0)))</f>
        <v/>
      </c>
      <c r="G350">
        <f>IF(ISNA(MATCH(341,'Transfer Engine'!$C$2:$C$622,0)),"",INDEX('Compliance Database'!$G$2:$G$622,MATCH(341,'Transfer Engine'!$C$2:$C$622,0)))</f>
        <v/>
      </c>
      <c r="H350">
        <f>IF(ISNA(MATCH(341,'Transfer Engine'!$C$2:$C$622,0)),"",INDEX('Compliance Database'!$H$2:$H$622,MATCH(341,'Transfer Engine'!$C$2:$C$622,0)))</f>
        <v/>
      </c>
      <c r="I350" s="8">
        <f>IF(ISNA(MATCH(341,'Transfer Engine'!$C$2:$C$622,0)),"",INDEX('Compliance Database'!$I$2:$I$622,MATCH(341,'Transfer Engine'!$C$2:$C$622,0)))</f>
        <v/>
      </c>
      <c r="J350" s="8">
        <f>IF(ISNA(MATCH(341,'Transfer Engine'!$C$2:$C$622,0)),"",INDEX('Compliance Database'!$J$2:$J$622,MATCH(341,'Transfer Engine'!$C$2:$C$622,0)))</f>
        <v/>
      </c>
      <c r="K350">
        <f>IF(ISNA(MATCH(341,'Transfer Engine'!$C$2:$C$622,0)),"",INDEX('Compliance Database'!$K$2:$K$622,MATCH(341,'Transfer Engine'!$C$2:$C$622,0)))</f>
        <v/>
      </c>
      <c r="L350" s="8">
        <f>IF(ISNA(MATCH(341,'Transfer Engine'!$C$2:$C$622,0)),"",INDEX('Compliance Database'!$L$2:$L$622,MATCH(341,'Transfer Engine'!$C$2:$C$622,0)))</f>
        <v/>
      </c>
      <c r="M350" s="8">
        <f>IF(ISNA(MATCH(341,'Transfer Engine'!$C$2:$C$622,0)),"",INDEX('Compliance Database'!$M$2:$M$622,MATCH(341,'Transfer Engine'!$C$2:$C$622,0)))</f>
        <v/>
      </c>
      <c r="N350" s="8">
        <f>IF(ISNA(MATCH(341,'Transfer Engine'!$C$2:$C$622,0)),"",INDEX('Compliance Database'!$N$2:$N$622,MATCH(341,'Transfer Engine'!$C$2:$C$622,0)))</f>
        <v/>
      </c>
      <c r="O350" s="8">
        <f>IF(ISNA(MATCH(341,'Transfer Engine'!$C$2:$C$622,0)),"",INDEX('Compliance Database'!$O$2:$O$622,MATCH(341,'Transfer Engine'!$C$2:$C$622,0)))</f>
        <v/>
      </c>
    </row>
    <row r="351">
      <c r="A351">
        <f>IF(ISNA(MATCH(342,'Transfer Engine'!$C$2:$C$622,0)),"",INDEX('Compliance Database'!$A$2:$A$622,MATCH(342,'Transfer Engine'!$C$2:$C$622,0)))</f>
        <v/>
      </c>
      <c r="B351">
        <f>IF(ISNA(MATCH(342,'Transfer Engine'!$C$2:$C$622,0)),"",INDEX('Compliance Database'!$B$2:$B$622,MATCH(342,'Transfer Engine'!$C$2:$C$622,0)))</f>
        <v/>
      </c>
      <c r="C351">
        <f>IF(ISNA(MATCH(342,'Transfer Engine'!$C$2:$C$622,0)),"",INDEX('Compliance Database'!$C$2:$C$622,MATCH(342,'Transfer Engine'!$C$2:$C$622,0)))</f>
        <v/>
      </c>
      <c r="D351" s="8">
        <f>IF(ISNA(MATCH(342,'Transfer Engine'!$C$2:$C$622,0)),"",INDEX('Compliance Database'!$D$2:$D$622,MATCH(342,'Transfer Engine'!$C$2:$C$622,0)))</f>
        <v/>
      </c>
      <c r="E351">
        <f>IF(ISNA(MATCH(342,'Transfer Engine'!$C$2:$C$622,0)),"",INDEX('Compliance Database'!$E$2:$E$622,MATCH(342,'Transfer Engine'!$C$2:$C$622,0)))</f>
        <v/>
      </c>
      <c r="F351">
        <f>IF(ISNA(MATCH(342,'Transfer Engine'!$C$2:$C$622,0)),"",INDEX('Compliance Database'!$F$2:$F$622,MATCH(342,'Transfer Engine'!$C$2:$C$622,0)))</f>
        <v/>
      </c>
      <c r="G351">
        <f>IF(ISNA(MATCH(342,'Transfer Engine'!$C$2:$C$622,0)),"",INDEX('Compliance Database'!$G$2:$G$622,MATCH(342,'Transfer Engine'!$C$2:$C$622,0)))</f>
        <v/>
      </c>
      <c r="H351">
        <f>IF(ISNA(MATCH(342,'Transfer Engine'!$C$2:$C$622,0)),"",INDEX('Compliance Database'!$H$2:$H$622,MATCH(342,'Transfer Engine'!$C$2:$C$622,0)))</f>
        <v/>
      </c>
      <c r="I351" s="8">
        <f>IF(ISNA(MATCH(342,'Transfer Engine'!$C$2:$C$622,0)),"",INDEX('Compliance Database'!$I$2:$I$622,MATCH(342,'Transfer Engine'!$C$2:$C$622,0)))</f>
        <v/>
      </c>
      <c r="J351" s="8">
        <f>IF(ISNA(MATCH(342,'Transfer Engine'!$C$2:$C$622,0)),"",INDEX('Compliance Database'!$J$2:$J$622,MATCH(342,'Transfer Engine'!$C$2:$C$622,0)))</f>
        <v/>
      </c>
      <c r="K351">
        <f>IF(ISNA(MATCH(342,'Transfer Engine'!$C$2:$C$622,0)),"",INDEX('Compliance Database'!$K$2:$K$622,MATCH(342,'Transfer Engine'!$C$2:$C$622,0)))</f>
        <v/>
      </c>
      <c r="L351" s="8">
        <f>IF(ISNA(MATCH(342,'Transfer Engine'!$C$2:$C$622,0)),"",INDEX('Compliance Database'!$L$2:$L$622,MATCH(342,'Transfer Engine'!$C$2:$C$622,0)))</f>
        <v/>
      </c>
      <c r="M351" s="8">
        <f>IF(ISNA(MATCH(342,'Transfer Engine'!$C$2:$C$622,0)),"",INDEX('Compliance Database'!$M$2:$M$622,MATCH(342,'Transfer Engine'!$C$2:$C$622,0)))</f>
        <v/>
      </c>
      <c r="N351" s="8">
        <f>IF(ISNA(MATCH(342,'Transfer Engine'!$C$2:$C$622,0)),"",INDEX('Compliance Database'!$N$2:$N$622,MATCH(342,'Transfer Engine'!$C$2:$C$622,0)))</f>
        <v/>
      </c>
      <c r="O351" s="8">
        <f>IF(ISNA(MATCH(342,'Transfer Engine'!$C$2:$C$622,0)),"",INDEX('Compliance Database'!$O$2:$O$622,MATCH(342,'Transfer Engine'!$C$2:$C$622,0)))</f>
        <v/>
      </c>
    </row>
    <row r="352">
      <c r="A352">
        <f>IF(ISNA(MATCH(343,'Transfer Engine'!$C$2:$C$622,0)),"",INDEX('Compliance Database'!$A$2:$A$622,MATCH(343,'Transfer Engine'!$C$2:$C$622,0)))</f>
        <v/>
      </c>
      <c r="B352">
        <f>IF(ISNA(MATCH(343,'Transfer Engine'!$C$2:$C$622,0)),"",INDEX('Compliance Database'!$B$2:$B$622,MATCH(343,'Transfer Engine'!$C$2:$C$622,0)))</f>
        <v/>
      </c>
      <c r="C352">
        <f>IF(ISNA(MATCH(343,'Transfer Engine'!$C$2:$C$622,0)),"",INDEX('Compliance Database'!$C$2:$C$622,MATCH(343,'Transfer Engine'!$C$2:$C$622,0)))</f>
        <v/>
      </c>
      <c r="D352" s="8">
        <f>IF(ISNA(MATCH(343,'Transfer Engine'!$C$2:$C$622,0)),"",INDEX('Compliance Database'!$D$2:$D$622,MATCH(343,'Transfer Engine'!$C$2:$C$622,0)))</f>
        <v/>
      </c>
      <c r="E352">
        <f>IF(ISNA(MATCH(343,'Transfer Engine'!$C$2:$C$622,0)),"",INDEX('Compliance Database'!$E$2:$E$622,MATCH(343,'Transfer Engine'!$C$2:$C$622,0)))</f>
        <v/>
      </c>
      <c r="F352">
        <f>IF(ISNA(MATCH(343,'Transfer Engine'!$C$2:$C$622,0)),"",INDEX('Compliance Database'!$F$2:$F$622,MATCH(343,'Transfer Engine'!$C$2:$C$622,0)))</f>
        <v/>
      </c>
      <c r="G352">
        <f>IF(ISNA(MATCH(343,'Transfer Engine'!$C$2:$C$622,0)),"",INDEX('Compliance Database'!$G$2:$G$622,MATCH(343,'Transfer Engine'!$C$2:$C$622,0)))</f>
        <v/>
      </c>
      <c r="H352">
        <f>IF(ISNA(MATCH(343,'Transfer Engine'!$C$2:$C$622,0)),"",INDEX('Compliance Database'!$H$2:$H$622,MATCH(343,'Transfer Engine'!$C$2:$C$622,0)))</f>
        <v/>
      </c>
      <c r="I352" s="8">
        <f>IF(ISNA(MATCH(343,'Transfer Engine'!$C$2:$C$622,0)),"",INDEX('Compliance Database'!$I$2:$I$622,MATCH(343,'Transfer Engine'!$C$2:$C$622,0)))</f>
        <v/>
      </c>
      <c r="J352" s="8">
        <f>IF(ISNA(MATCH(343,'Transfer Engine'!$C$2:$C$622,0)),"",INDEX('Compliance Database'!$J$2:$J$622,MATCH(343,'Transfer Engine'!$C$2:$C$622,0)))</f>
        <v/>
      </c>
      <c r="K352">
        <f>IF(ISNA(MATCH(343,'Transfer Engine'!$C$2:$C$622,0)),"",INDEX('Compliance Database'!$K$2:$K$622,MATCH(343,'Transfer Engine'!$C$2:$C$622,0)))</f>
        <v/>
      </c>
      <c r="L352" s="8">
        <f>IF(ISNA(MATCH(343,'Transfer Engine'!$C$2:$C$622,0)),"",INDEX('Compliance Database'!$L$2:$L$622,MATCH(343,'Transfer Engine'!$C$2:$C$622,0)))</f>
        <v/>
      </c>
      <c r="M352" s="8">
        <f>IF(ISNA(MATCH(343,'Transfer Engine'!$C$2:$C$622,0)),"",INDEX('Compliance Database'!$M$2:$M$622,MATCH(343,'Transfer Engine'!$C$2:$C$622,0)))</f>
        <v/>
      </c>
      <c r="N352" s="8">
        <f>IF(ISNA(MATCH(343,'Transfer Engine'!$C$2:$C$622,0)),"",INDEX('Compliance Database'!$N$2:$N$622,MATCH(343,'Transfer Engine'!$C$2:$C$622,0)))</f>
        <v/>
      </c>
      <c r="O352" s="8">
        <f>IF(ISNA(MATCH(343,'Transfer Engine'!$C$2:$C$622,0)),"",INDEX('Compliance Database'!$O$2:$O$622,MATCH(343,'Transfer Engine'!$C$2:$C$622,0)))</f>
        <v/>
      </c>
    </row>
    <row r="353">
      <c r="A353">
        <f>IF(ISNA(MATCH(344,'Transfer Engine'!$C$2:$C$622,0)),"",INDEX('Compliance Database'!$A$2:$A$622,MATCH(344,'Transfer Engine'!$C$2:$C$622,0)))</f>
        <v/>
      </c>
      <c r="B353">
        <f>IF(ISNA(MATCH(344,'Transfer Engine'!$C$2:$C$622,0)),"",INDEX('Compliance Database'!$B$2:$B$622,MATCH(344,'Transfer Engine'!$C$2:$C$622,0)))</f>
        <v/>
      </c>
      <c r="C353">
        <f>IF(ISNA(MATCH(344,'Transfer Engine'!$C$2:$C$622,0)),"",INDEX('Compliance Database'!$C$2:$C$622,MATCH(344,'Transfer Engine'!$C$2:$C$622,0)))</f>
        <v/>
      </c>
      <c r="D353" s="8">
        <f>IF(ISNA(MATCH(344,'Transfer Engine'!$C$2:$C$622,0)),"",INDEX('Compliance Database'!$D$2:$D$622,MATCH(344,'Transfer Engine'!$C$2:$C$622,0)))</f>
        <v/>
      </c>
      <c r="E353">
        <f>IF(ISNA(MATCH(344,'Transfer Engine'!$C$2:$C$622,0)),"",INDEX('Compliance Database'!$E$2:$E$622,MATCH(344,'Transfer Engine'!$C$2:$C$622,0)))</f>
        <v/>
      </c>
      <c r="F353">
        <f>IF(ISNA(MATCH(344,'Transfer Engine'!$C$2:$C$622,0)),"",INDEX('Compliance Database'!$F$2:$F$622,MATCH(344,'Transfer Engine'!$C$2:$C$622,0)))</f>
        <v/>
      </c>
      <c r="G353">
        <f>IF(ISNA(MATCH(344,'Transfer Engine'!$C$2:$C$622,0)),"",INDEX('Compliance Database'!$G$2:$G$622,MATCH(344,'Transfer Engine'!$C$2:$C$622,0)))</f>
        <v/>
      </c>
      <c r="H353">
        <f>IF(ISNA(MATCH(344,'Transfer Engine'!$C$2:$C$622,0)),"",INDEX('Compliance Database'!$H$2:$H$622,MATCH(344,'Transfer Engine'!$C$2:$C$622,0)))</f>
        <v/>
      </c>
      <c r="I353" s="8">
        <f>IF(ISNA(MATCH(344,'Transfer Engine'!$C$2:$C$622,0)),"",INDEX('Compliance Database'!$I$2:$I$622,MATCH(344,'Transfer Engine'!$C$2:$C$622,0)))</f>
        <v/>
      </c>
      <c r="J353" s="8">
        <f>IF(ISNA(MATCH(344,'Transfer Engine'!$C$2:$C$622,0)),"",INDEX('Compliance Database'!$J$2:$J$622,MATCH(344,'Transfer Engine'!$C$2:$C$622,0)))</f>
        <v/>
      </c>
      <c r="K353">
        <f>IF(ISNA(MATCH(344,'Transfer Engine'!$C$2:$C$622,0)),"",INDEX('Compliance Database'!$K$2:$K$622,MATCH(344,'Transfer Engine'!$C$2:$C$622,0)))</f>
        <v/>
      </c>
      <c r="L353" s="8">
        <f>IF(ISNA(MATCH(344,'Transfer Engine'!$C$2:$C$622,0)),"",INDEX('Compliance Database'!$L$2:$L$622,MATCH(344,'Transfer Engine'!$C$2:$C$622,0)))</f>
        <v/>
      </c>
      <c r="M353" s="8">
        <f>IF(ISNA(MATCH(344,'Transfer Engine'!$C$2:$C$622,0)),"",INDEX('Compliance Database'!$M$2:$M$622,MATCH(344,'Transfer Engine'!$C$2:$C$622,0)))</f>
        <v/>
      </c>
      <c r="N353" s="8">
        <f>IF(ISNA(MATCH(344,'Transfer Engine'!$C$2:$C$622,0)),"",INDEX('Compliance Database'!$N$2:$N$622,MATCH(344,'Transfer Engine'!$C$2:$C$622,0)))</f>
        <v/>
      </c>
      <c r="O353" s="8">
        <f>IF(ISNA(MATCH(344,'Transfer Engine'!$C$2:$C$622,0)),"",INDEX('Compliance Database'!$O$2:$O$622,MATCH(344,'Transfer Engine'!$C$2:$C$622,0)))</f>
        <v/>
      </c>
    </row>
    <row r="354">
      <c r="A354">
        <f>IF(ISNA(MATCH(345,'Transfer Engine'!$C$2:$C$622,0)),"",INDEX('Compliance Database'!$A$2:$A$622,MATCH(345,'Transfer Engine'!$C$2:$C$622,0)))</f>
        <v/>
      </c>
      <c r="B354">
        <f>IF(ISNA(MATCH(345,'Transfer Engine'!$C$2:$C$622,0)),"",INDEX('Compliance Database'!$B$2:$B$622,MATCH(345,'Transfer Engine'!$C$2:$C$622,0)))</f>
        <v/>
      </c>
      <c r="C354">
        <f>IF(ISNA(MATCH(345,'Transfer Engine'!$C$2:$C$622,0)),"",INDEX('Compliance Database'!$C$2:$C$622,MATCH(345,'Transfer Engine'!$C$2:$C$622,0)))</f>
        <v/>
      </c>
      <c r="D354" s="8">
        <f>IF(ISNA(MATCH(345,'Transfer Engine'!$C$2:$C$622,0)),"",INDEX('Compliance Database'!$D$2:$D$622,MATCH(345,'Transfer Engine'!$C$2:$C$622,0)))</f>
        <v/>
      </c>
      <c r="E354">
        <f>IF(ISNA(MATCH(345,'Transfer Engine'!$C$2:$C$622,0)),"",INDEX('Compliance Database'!$E$2:$E$622,MATCH(345,'Transfer Engine'!$C$2:$C$622,0)))</f>
        <v/>
      </c>
      <c r="F354">
        <f>IF(ISNA(MATCH(345,'Transfer Engine'!$C$2:$C$622,0)),"",INDEX('Compliance Database'!$F$2:$F$622,MATCH(345,'Transfer Engine'!$C$2:$C$622,0)))</f>
        <v/>
      </c>
      <c r="G354">
        <f>IF(ISNA(MATCH(345,'Transfer Engine'!$C$2:$C$622,0)),"",INDEX('Compliance Database'!$G$2:$G$622,MATCH(345,'Transfer Engine'!$C$2:$C$622,0)))</f>
        <v/>
      </c>
      <c r="H354">
        <f>IF(ISNA(MATCH(345,'Transfer Engine'!$C$2:$C$622,0)),"",INDEX('Compliance Database'!$H$2:$H$622,MATCH(345,'Transfer Engine'!$C$2:$C$622,0)))</f>
        <v/>
      </c>
      <c r="I354" s="8">
        <f>IF(ISNA(MATCH(345,'Transfer Engine'!$C$2:$C$622,0)),"",INDEX('Compliance Database'!$I$2:$I$622,MATCH(345,'Transfer Engine'!$C$2:$C$622,0)))</f>
        <v/>
      </c>
      <c r="J354" s="8">
        <f>IF(ISNA(MATCH(345,'Transfer Engine'!$C$2:$C$622,0)),"",INDEX('Compliance Database'!$J$2:$J$622,MATCH(345,'Transfer Engine'!$C$2:$C$622,0)))</f>
        <v/>
      </c>
      <c r="K354">
        <f>IF(ISNA(MATCH(345,'Transfer Engine'!$C$2:$C$622,0)),"",INDEX('Compliance Database'!$K$2:$K$622,MATCH(345,'Transfer Engine'!$C$2:$C$622,0)))</f>
        <v/>
      </c>
      <c r="L354" s="8">
        <f>IF(ISNA(MATCH(345,'Transfer Engine'!$C$2:$C$622,0)),"",INDEX('Compliance Database'!$L$2:$L$622,MATCH(345,'Transfer Engine'!$C$2:$C$622,0)))</f>
        <v/>
      </c>
      <c r="M354" s="8">
        <f>IF(ISNA(MATCH(345,'Transfer Engine'!$C$2:$C$622,0)),"",INDEX('Compliance Database'!$M$2:$M$622,MATCH(345,'Transfer Engine'!$C$2:$C$622,0)))</f>
        <v/>
      </c>
      <c r="N354" s="8">
        <f>IF(ISNA(MATCH(345,'Transfer Engine'!$C$2:$C$622,0)),"",INDEX('Compliance Database'!$N$2:$N$622,MATCH(345,'Transfer Engine'!$C$2:$C$622,0)))</f>
        <v/>
      </c>
      <c r="O354" s="8">
        <f>IF(ISNA(MATCH(345,'Transfer Engine'!$C$2:$C$622,0)),"",INDEX('Compliance Database'!$O$2:$O$622,MATCH(345,'Transfer Engine'!$C$2:$C$622,0)))</f>
        <v/>
      </c>
    </row>
    <row r="355">
      <c r="A355">
        <f>IF(ISNA(MATCH(346,'Transfer Engine'!$C$2:$C$622,0)),"",INDEX('Compliance Database'!$A$2:$A$622,MATCH(346,'Transfer Engine'!$C$2:$C$622,0)))</f>
        <v/>
      </c>
      <c r="B355">
        <f>IF(ISNA(MATCH(346,'Transfer Engine'!$C$2:$C$622,0)),"",INDEX('Compliance Database'!$B$2:$B$622,MATCH(346,'Transfer Engine'!$C$2:$C$622,0)))</f>
        <v/>
      </c>
      <c r="C355">
        <f>IF(ISNA(MATCH(346,'Transfer Engine'!$C$2:$C$622,0)),"",INDEX('Compliance Database'!$C$2:$C$622,MATCH(346,'Transfer Engine'!$C$2:$C$622,0)))</f>
        <v/>
      </c>
      <c r="D355" s="8">
        <f>IF(ISNA(MATCH(346,'Transfer Engine'!$C$2:$C$622,0)),"",INDEX('Compliance Database'!$D$2:$D$622,MATCH(346,'Transfer Engine'!$C$2:$C$622,0)))</f>
        <v/>
      </c>
      <c r="E355">
        <f>IF(ISNA(MATCH(346,'Transfer Engine'!$C$2:$C$622,0)),"",INDEX('Compliance Database'!$E$2:$E$622,MATCH(346,'Transfer Engine'!$C$2:$C$622,0)))</f>
        <v/>
      </c>
      <c r="F355">
        <f>IF(ISNA(MATCH(346,'Transfer Engine'!$C$2:$C$622,0)),"",INDEX('Compliance Database'!$F$2:$F$622,MATCH(346,'Transfer Engine'!$C$2:$C$622,0)))</f>
        <v/>
      </c>
      <c r="G355">
        <f>IF(ISNA(MATCH(346,'Transfer Engine'!$C$2:$C$622,0)),"",INDEX('Compliance Database'!$G$2:$G$622,MATCH(346,'Transfer Engine'!$C$2:$C$622,0)))</f>
        <v/>
      </c>
      <c r="H355">
        <f>IF(ISNA(MATCH(346,'Transfer Engine'!$C$2:$C$622,0)),"",INDEX('Compliance Database'!$H$2:$H$622,MATCH(346,'Transfer Engine'!$C$2:$C$622,0)))</f>
        <v/>
      </c>
      <c r="I355" s="8">
        <f>IF(ISNA(MATCH(346,'Transfer Engine'!$C$2:$C$622,0)),"",INDEX('Compliance Database'!$I$2:$I$622,MATCH(346,'Transfer Engine'!$C$2:$C$622,0)))</f>
        <v/>
      </c>
      <c r="J355" s="8">
        <f>IF(ISNA(MATCH(346,'Transfer Engine'!$C$2:$C$622,0)),"",INDEX('Compliance Database'!$J$2:$J$622,MATCH(346,'Transfer Engine'!$C$2:$C$622,0)))</f>
        <v/>
      </c>
      <c r="K355">
        <f>IF(ISNA(MATCH(346,'Transfer Engine'!$C$2:$C$622,0)),"",INDEX('Compliance Database'!$K$2:$K$622,MATCH(346,'Transfer Engine'!$C$2:$C$622,0)))</f>
        <v/>
      </c>
      <c r="L355" s="8">
        <f>IF(ISNA(MATCH(346,'Transfer Engine'!$C$2:$C$622,0)),"",INDEX('Compliance Database'!$L$2:$L$622,MATCH(346,'Transfer Engine'!$C$2:$C$622,0)))</f>
        <v/>
      </c>
      <c r="M355" s="8">
        <f>IF(ISNA(MATCH(346,'Transfer Engine'!$C$2:$C$622,0)),"",INDEX('Compliance Database'!$M$2:$M$622,MATCH(346,'Transfer Engine'!$C$2:$C$622,0)))</f>
        <v/>
      </c>
      <c r="N355" s="8">
        <f>IF(ISNA(MATCH(346,'Transfer Engine'!$C$2:$C$622,0)),"",INDEX('Compliance Database'!$N$2:$N$622,MATCH(346,'Transfer Engine'!$C$2:$C$622,0)))</f>
        <v/>
      </c>
      <c r="O355" s="8">
        <f>IF(ISNA(MATCH(346,'Transfer Engine'!$C$2:$C$622,0)),"",INDEX('Compliance Database'!$O$2:$O$622,MATCH(346,'Transfer Engine'!$C$2:$C$622,0)))</f>
        <v/>
      </c>
    </row>
    <row r="356">
      <c r="A356">
        <f>IF(ISNA(MATCH(347,'Transfer Engine'!$C$2:$C$622,0)),"",INDEX('Compliance Database'!$A$2:$A$622,MATCH(347,'Transfer Engine'!$C$2:$C$622,0)))</f>
        <v/>
      </c>
      <c r="B356">
        <f>IF(ISNA(MATCH(347,'Transfer Engine'!$C$2:$C$622,0)),"",INDEX('Compliance Database'!$B$2:$B$622,MATCH(347,'Transfer Engine'!$C$2:$C$622,0)))</f>
        <v/>
      </c>
      <c r="C356">
        <f>IF(ISNA(MATCH(347,'Transfer Engine'!$C$2:$C$622,0)),"",INDEX('Compliance Database'!$C$2:$C$622,MATCH(347,'Transfer Engine'!$C$2:$C$622,0)))</f>
        <v/>
      </c>
      <c r="D356" s="8">
        <f>IF(ISNA(MATCH(347,'Transfer Engine'!$C$2:$C$622,0)),"",INDEX('Compliance Database'!$D$2:$D$622,MATCH(347,'Transfer Engine'!$C$2:$C$622,0)))</f>
        <v/>
      </c>
      <c r="E356">
        <f>IF(ISNA(MATCH(347,'Transfer Engine'!$C$2:$C$622,0)),"",INDEX('Compliance Database'!$E$2:$E$622,MATCH(347,'Transfer Engine'!$C$2:$C$622,0)))</f>
        <v/>
      </c>
      <c r="F356">
        <f>IF(ISNA(MATCH(347,'Transfer Engine'!$C$2:$C$622,0)),"",INDEX('Compliance Database'!$F$2:$F$622,MATCH(347,'Transfer Engine'!$C$2:$C$622,0)))</f>
        <v/>
      </c>
      <c r="G356">
        <f>IF(ISNA(MATCH(347,'Transfer Engine'!$C$2:$C$622,0)),"",INDEX('Compliance Database'!$G$2:$G$622,MATCH(347,'Transfer Engine'!$C$2:$C$622,0)))</f>
        <v/>
      </c>
      <c r="H356">
        <f>IF(ISNA(MATCH(347,'Transfer Engine'!$C$2:$C$622,0)),"",INDEX('Compliance Database'!$H$2:$H$622,MATCH(347,'Transfer Engine'!$C$2:$C$622,0)))</f>
        <v/>
      </c>
      <c r="I356" s="8">
        <f>IF(ISNA(MATCH(347,'Transfer Engine'!$C$2:$C$622,0)),"",INDEX('Compliance Database'!$I$2:$I$622,MATCH(347,'Transfer Engine'!$C$2:$C$622,0)))</f>
        <v/>
      </c>
      <c r="J356" s="8">
        <f>IF(ISNA(MATCH(347,'Transfer Engine'!$C$2:$C$622,0)),"",INDEX('Compliance Database'!$J$2:$J$622,MATCH(347,'Transfer Engine'!$C$2:$C$622,0)))</f>
        <v/>
      </c>
      <c r="K356">
        <f>IF(ISNA(MATCH(347,'Transfer Engine'!$C$2:$C$622,0)),"",INDEX('Compliance Database'!$K$2:$K$622,MATCH(347,'Transfer Engine'!$C$2:$C$622,0)))</f>
        <v/>
      </c>
      <c r="L356" s="8">
        <f>IF(ISNA(MATCH(347,'Transfer Engine'!$C$2:$C$622,0)),"",INDEX('Compliance Database'!$L$2:$L$622,MATCH(347,'Transfer Engine'!$C$2:$C$622,0)))</f>
        <v/>
      </c>
      <c r="M356" s="8">
        <f>IF(ISNA(MATCH(347,'Transfer Engine'!$C$2:$C$622,0)),"",INDEX('Compliance Database'!$M$2:$M$622,MATCH(347,'Transfer Engine'!$C$2:$C$622,0)))</f>
        <v/>
      </c>
      <c r="N356" s="8">
        <f>IF(ISNA(MATCH(347,'Transfer Engine'!$C$2:$C$622,0)),"",INDEX('Compliance Database'!$N$2:$N$622,MATCH(347,'Transfer Engine'!$C$2:$C$622,0)))</f>
        <v/>
      </c>
      <c r="O356" s="8">
        <f>IF(ISNA(MATCH(347,'Transfer Engine'!$C$2:$C$622,0)),"",INDEX('Compliance Database'!$O$2:$O$622,MATCH(347,'Transfer Engine'!$C$2:$C$622,0)))</f>
        <v/>
      </c>
    </row>
    <row r="357">
      <c r="A357">
        <f>IF(ISNA(MATCH(348,'Transfer Engine'!$C$2:$C$622,0)),"",INDEX('Compliance Database'!$A$2:$A$622,MATCH(348,'Transfer Engine'!$C$2:$C$622,0)))</f>
        <v/>
      </c>
      <c r="B357">
        <f>IF(ISNA(MATCH(348,'Transfer Engine'!$C$2:$C$622,0)),"",INDEX('Compliance Database'!$B$2:$B$622,MATCH(348,'Transfer Engine'!$C$2:$C$622,0)))</f>
        <v/>
      </c>
      <c r="C357">
        <f>IF(ISNA(MATCH(348,'Transfer Engine'!$C$2:$C$622,0)),"",INDEX('Compliance Database'!$C$2:$C$622,MATCH(348,'Transfer Engine'!$C$2:$C$622,0)))</f>
        <v/>
      </c>
      <c r="D357" s="8">
        <f>IF(ISNA(MATCH(348,'Transfer Engine'!$C$2:$C$622,0)),"",INDEX('Compliance Database'!$D$2:$D$622,MATCH(348,'Transfer Engine'!$C$2:$C$622,0)))</f>
        <v/>
      </c>
      <c r="E357">
        <f>IF(ISNA(MATCH(348,'Transfer Engine'!$C$2:$C$622,0)),"",INDEX('Compliance Database'!$E$2:$E$622,MATCH(348,'Transfer Engine'!$C$2:$C$622,0)))</f>
        <v/>
      </c>
      <c r="F357">
        <f>IF(ISNA(MATCH(348,'Transfer Engine'!$C$2:$C$622,0)),"",INDEX('Compliance Database'!$F$2:$F$622,MATCH(348,'Transfer Engine'!$C$2:$C$622,0)))</f>
        <v/>
      </c>
      <c r="G357">
        <f>IF(ISNA(MATCH(348,'Transfer Engine'!$C$2:$C$622,0)),"",INDEX('Compliance Database'!$G$2:$G$622,MATCH(348,'Transfer Engine'!$C$2:$C$622,0)))</f>
        <v/>
      </c>
      <c r="H357">
        <f>IF(ISNA(MATCH(348,'Transfer Engine'!$C$2:$C$622,0)),"",INDEX('Compliance Database'!$H$2:$H$622,MATCH(348,'Transfer Engine'!$C$2:$C$622,0)))</f>
        <v/>
      </c>
      <c r="I357" s="8">
        <f>IF(ISNA(MATCH(348,'Transfer Engine'!$C$2:$C$622,0)),"",INDEX('Compliance Database'!$I$2:$I$622,MATCH(348,'Transfer Engine'!$C$2:$C$622,0)))</f>
        <v/>
      </c>
      <c r="J357" s="8">
        <f>IF(ISNA(MATCH(348,'Transfer Engine'!$C$2:$C$622,0)),"",INDEX('Compliance Database'!$J$2:$J$622,MATCH(348,'Transfer Engine'!$C$2:$C$622,0)))</f>
        <v/>
      </c>
      <c r="K357">
        <f>IF(ISNA(MATCH(348,'Transfer Engine'!$C$2:$C$622,0)),"",INDEX('Compliance Database'!$K$2:$K$622,MATCH(348,'Transfer Engine'!$C$2:$C$622,0)))</f>
        <v/>
      </c>
      <c r="L357" s="8">
        <f>IF(ISNA(MATCH(348,'Transfer Engine'!$C$2:$C$622,0)),"",INDEX('Compliance Database'!$L$2:$L$622,MATCH(348,'Transfer Engine'!$C$2:$C$622,0)))</f>
        <v/>
      </c>
      <c r="M357" s="8">
        <f>IF(ISNA(MATCH(348,'Transfer Engine'!$C$2:$C$622,0)),"",INDEX('Compliance Database'!$M$2:$M$622,MATCH(348,'Transfer Engine'!$C$2:$C$622,0)))</f>
        <v/>
      </c>
      <c r="N357" s="8">
        <f>IF(ISNA(MATCH(348,'Transfer Engine'!$C$2:$C$622,0)),"",INDEX('Compliance Database'!$N$2:$N$622,MATCH(348,'Transfer Engine'!$C$2:$C$622,0)))</f>
        <v/>
      </c>
      <c r="O357" s="8">
        <f>IF(ISNA(MATCH(348,'Transfer Engine'!$C$2:$C$622,0)),"",INDEX('Compliance Database'!$O$2:$O$622,MATCH(348,'Transfer Engine'!$C$2:$C$622,0)))</f>
        <v/>
      </c>
    </row>
    <row r="358">
      <c r="A358">
        <f>IF(ISNA(MATCH(349,'Transfer Engine'!$C$2:$C$622,0)),"",INDEX('Compliance Database'!$A$2:$A$622,MATCH(349,'Transfer Engine'!$C$2:$C$622,0)))</f>
        <v/>
      </c>
      <c r="B358">
        <f>IF(ISNA(MATCH(349,'Transfer Engine'!$C$2:$C$622,0)),"",INDEX('Compliance Database'!$B$2:$B$622,MATCH(349,'Transfer Engine'!$C$2:$C$622,0)))</f>
        <v/>
      </c>
      <c r="C358">
        <f>IF(ISNA(MATCH(349,'Transfer Engine'!$C$2:$C$622,0)),"",INDEX('Compliance Database'!$C$2:$C$622,MATCH(349,'Transfer Engine'!$C$2:$C$622,0)))</f>
        <v/>
      </c>
      <c r="D358" s="8">
        <f>IF(ISNA(MATCH(349,'Transfer Engine'!$C$2:$C$622,0)),"",INDEX('Compliance Database'!$D$2:$D$622,MATCH(349,'Transfer Engine'!$C$2:$C$622,0)))</f>
        <v/>
      </c>
      <c r="E358">
        <f>IF(ISNA(MATCH(349,'Transfer Engine'!$C$2:$C$622,0)),"",INDEX('Compliance Database'!$E$2:$E$622,MATCH(349,'Transfer Engine'!$C$2:$C$622,0)))</f>
        <v/>
      </c>
      <c r="F358">
        <f>IF(ISNA(MATCH(349,'Transfer Engine'!$C$2:$C$622,0)),"",INDEX('Compliance Database'!$F$2:$F$622,MATCH(349,'Transfer Engine'!$C$2:$C$622,0)))</f>
        <v/>
      </c>
      <c r="G358">
        <f>IF(ISNA(MATCH(349,'Transfer Engine'!$C$2:$C$622,0)),"",INDEX('Compliance Database'!$G$2:$G$622,MATCH(349,'Transfer Engine'!$C$2:$C$622,0)))</f>
        <v/>
      </c>
      <c r="H358">
        <f>IF(ISNA(MATCH(349,'Transfer Engine'!$C$2:$C$622,0)),"",INDEX('Compliance Database'!$H$2:$H$622,MATCH(349,'Transfer Engine'!$C$2:$C$622,0)))</f>
        <v/>
      </c>
      <c r="I358" s="8">
        <f>IF(ISNA(MATCH(349,'Transfer Engine'!$C$2:$C$622,0)),"",INDEX('Compliance Database'!$I$2:$I$622,MATCH(349,'Transfer Engine'!$C$2:$C$622,0)))</f>
        <v/>
      </c>
      <c r="J358" s="8">
        <f>IF(ISNA(MATCH(349,'Transfer Engine'!$C$2:$C$622,0)),"",INDEX('Compliance Database'!$J$2:$J$622,MATCH(349,'Transfer Engine'!$C$2:$C$622,0)))</f>
        <v/>
      </c>
      <c r="K358">
        <f>IF(ISNA(MATCH(349,'Transfer Engine'!$C$2:$C$622,0)),"",INDEX('Compliance Database'!$K$2:$K$622,MATCH(349,'Transfer Engine'!$C$2:$C$622,0)))</f>
        <v/>
      </c>
      <c r="L358" s="8">
        <f>IF(ISNA(MATCH(349,'Transfer Engine'!$C$2:$C$622,0)),"",INDEX('Compliance Database'!$L$2:$L$622,MATCH(349,'Transfer Engine'!$C$2:$C$622,0)))</f>
        <v/>
      </c>
      <c r="M358" s="8">
        <f>IF(ISNA(MATCH(349,'Transfer Engine'!$C$2:$C$622,0)),"",INDEX('Compliance Database'!$M$2:$M$622,MATCH(349,'Transfer Engine'!$C$2:$C$622,0)))</f>
        <v/>
      </c>
      <c r="N358" s="8">
        <f>IF(ISNA(MATCH(349,'Transfer Engine'!$C$2:$C$622,0)),"",INDEX('Compliance Database'!$N$2:$N$622,MATCH(349,'Transfer Engine'!$C$2:$C$622,0)))</f>
        <v/>
      </c>
      <c r="O358" s="8">
        <f>IF(ISNA(MATCH(349,'Transfer Engine'!$C$2:$C$622,0)),"",INDEX('Compliance Database'!$O$2:$O$622,MATCH(349,'Transfer Engine'!$C$2:$C$622,0)))</f>
        <v/>
      </c>
    </row>
    <row r="359">
      <c r="A359">
        <f>IF(ISNA(MATCH(350,'Transfer Engine'!$C$2:$C$622,0)),"",INDEX('Compliance Database'!$A$2:$A$622,MATCH(350,'Transfer Engine'!$C$2:$C$622,0)))</f>
        <v/>
      </c>
      <c r="B359">
        <f>IF(ISNA(MATCH(350,'Transfer Engine'!$C$2:$C$622,0)),"",INDEX('Compliance Database'!$B$2:$B$622,MATCH(350,'Transfer Engine'!$C$2:$C$622,0)))</f>
        <v/>
      </c>
      <c r="C359">
        <f>IF(ISNA(MATCH(350,'Transfer Engine'!$C$2:$C$622,0)),"",INDEX('Compliance Database'!$C$2:$C$622,MATCH(350,'Transfer Engine'!$C$2:$C$622,0)))</f>
        <v/>
      </c>
      <c r="D359" s="8">
        <f>IF(ISNA(MATCH(350,'Transfer Engine'!$C$2:$C$622,0)),"",INDEX('Compliance Database'!$D$2:$D$622,MATCH(350,'Transfer Engine'!$C$2:$C$622,0)))</f>
        <v/>
      </c>
      <c r="E359">
        <f>IF(ISNA(MATCH(350,'Transfer Engine'!$C$2:$C$622,0)),"",INDEX('Compliance Database'!$E$2:$E$622,MATCH(350,'Transfer Engine'!$C$2:$C$622,0)))</f>
        <v/>
      </c>
      <c r="F359">
        <f>IF(ISNA(MATCH(350,'Transfer Engine'!$C$2:$C$622,0)),"",INDEX('Compliance Database'!$F$2:$F$622,MATCH(350,'Transfer Engine'!$C$2:$C$622,0)))</f>
        <v/>
      </c>
      <c r="G359">
        <f>IF(ISNA(MATCH(350,'Transfer Engine'!$C$2:$C$622,0)),"",INDEX('Compliance Database'!$G$2:$G$622,MATCH(350,'Transfer Engine'!$C$2:$C$622,0)))</f>
        <v/>
      </c>
      <c r="H359">
        <f>IF(ISNA(MATCH(350,'Transfer Engine'!$C$2:$C$622,0)),"",INDEX('Compliance Database'!$H$2:$H$622,MATCH(350,'Transfer Engine'!$C$2:$C$622,0)))</f>
        <v/>
      </c>
      <c r="I359" s="8">
        <f>IF(ISNA(MATCH(350,'Transfer Engine'!$C$2:$C$622,0)),"",INDEX('Compliance Database'!$I$2:$I$622,MATCH(350,'Transfer Engine'!$C$2:$C$622,0)))</f>
        <v/>
      </c>
      <c r="J359" s="8">
        <f>IF(ISNA(MATCH(350,'Transfer Engine'!$C$2:$C$622,0)),"",INDEX('Compliance Database'!$J$2:$J$622,MATCH(350,'Transfer Engine'!$C$2:$C$622,0)))</f>
        <v/>
      </c>
      <c r="K359">
        <f>IF(ISNA(MATCH(350,'Transfer Engine'!$C$2:$C$622,0)),"",INDEX('Compliance Database'!$K$2:$K$622,MATCH(350,'Transfer Engine'!$C$2:$C$622,0)))</f>
        <v/>
      </c>
      <c r="L359" s="8">
        <f>IF(ISNA(MATCH(350,'Transfer Engine'!$C$2:$C$622,0)),"",INDEX('Compliance Database'!$L$2:$L$622,MATCH(350,'Transfer Engine'!$C$2:$C$622,0)))</f>
        <v/>
      </c>
      <c r="M359" s="8">
        <f>IF(ISNA(MATCH(350,'Transfer Engine'!$C$2:$C$622,0)),"",INDEX('Compliance Database'!$M$2:$M$622,MATCH(350,'Transfer Engine'!$C$2:$C$622,0)))</f>
        <v/>
      </c>
      <c r="N359" s="8">
        <f>IF(ISNA(MATCH(350,'Transfer Engine'!$C$2:$C$622,0)),"",INDEX('Compliance Database'!$N$2:$N$622,MATCH(350,'Transfer Engine'!$C$2:$C$622,0)))</f>
        <v/>
      </c>
      <c r="O359" s="8">
        <f>IF(ISNA(MATCH(350,'Transfer Engine'!$C$2:$C$622,0)),"",INDEX('Compliance Database'!$O$2:$O$622,MATCH(350,'Transfer Engine'!$C$2:$C$622,0)))</f>
        <v/>
      </c>
    </row>
    <row r="360">
      <c r="A360">
        <f>IF(ISNA(MATCH(351,'Transfer Engine'!$C$2:$C$622,0)),"",INDEX('Compliance Database'!$A$2:$A$622,MATCH(351,'Transfer Engine'!$C$2:$C$622,0)))</f>
        <v/>
      </c>
      <c r="B360">
        <f>IF(ISNA(MATCH(351,'Transfer Engine'!$C$2:$C$622,0)),"",INDEX('Compliance Database'!$B$2:$B$622,MATCH(351,'Transfer Engine'!$C$2:$C$622,0)))</f>
        <v/>
      </c>
      <c r="C360">
        <f>IF(ISNA(MATCH(351,'Transfer Engine'!$C$2:$C$622,0)),"",INDEX('Compliance Database'!$C$2:$C$622,MATCH(351,'Transfer Engine'!$C$2:$C$622,0)))</f>
        <v/>
      </c>
      <c r="D360" s="8">
        <f>IF(ISNA(MATCH(351,'Transfer Engine'!$C$2:$C$622,0)),"",INDEX('Compliance Database'!$D$2:$D$622,MATCH(351,'Transfer Engine'!$C$2:$C$622,0)))</f>
        <v/>
      </c>
      <c r="E360">
        <f>IF(ISNA(MATCH(351,'Transfer Engine'!$C$2:$C$622,0)),"",INDEX('Compliance Database'!$E$2:$E$622,MATCH(351,'Transfer Engine'!$C$2:$C$622,0)))</f>
        <v/>
      </c>
      <c r="F360">
        <f>IF(ISNA(MATCH(351,'Transfer Engine'!$C$2:$C$622,0)),"",INDEX('Compliance Database'!$F$2:$F$622,MATCH(351,'Transfer Engine'!$C$2:$C$622,0)))</f>
        <v/>
      </c>
      <c r="G360">
        <f>IF(ISNA(MATCH(351,'Transfer Engine'!$C$2:$C$622,0)),"",INDEX('Compliance Database'!$G$2:$G$622,MATCH(351,'Transfer Engine'!$C$2:$C$622,0)))</f>
        <v/>
      </c>
      <c r="H360">
        <f>IF(ISNA(MATCH(351,'Transfer Engine'!$C$2:$C$622,0)),"",INDEX('Compliance Database'!$H$2:$H$622,MATCH(351,'Transfer Engine'!$C$2:$C$622,0)))</f>
        <v/>
      </c>
      <c r="I360" s="8">
        <f>IF(ISNA(MATCH(351,'Transfer Engine'!$C$2:$C$622,0)),"",INDEX('Compliance Database'!$I$2:$I$622,MATCH(351,'Transfer Engine'!$C$2:$C$622,0)))</f>
        <v/>
      </c>
      <c r="J360" s="8">
        <f>IF(ISNA(MATCH(351,'Transfer Engine'!$C$2:$C$622,0)),"",INDEX('Compliance Database'!$J$2:$J$622,MATCH(351,'Transfer Engine'!$C$2:$C$622,0)))</f>
        <v/>
      </c>
      <c r="K360">
        <f>IF(ISNA(MATCH(351,'Transfer Engine'!$C$2:$C$622,0)),"",INDEX('Compliance Database'!$K$2:$K$622,MATCH(351,'Transfer Engine'!$C$2:$C$622,0)))</f>
        <v/>
      </c>
      <c r="L360" s="8">
        <f>IF(ISNA(MATCH(351,'Transfer Engine'!$C$2:$C$622,0)),"",INDEX('Compliance Database'!$L$2:$L$622,MATCH(351,'Transfer Engine'!$C$2:$C$622,0)))</f>
        <v/>
      </c>
      <c r="M360" s="8">
        <f>IF(ISNA(MATCH(351,'Transfer Engine'!$C$2:$C$622,0)),"",INDEX('Compliance Database'!$M$2:$M$622,MATCH(351,'Transfer Engine'!$C$2:$C$622,0)))</f>
        <v/>
      </c>
      <c r="N360" s="8">
        <f>IF(ISNA(MATCH(351,'Transfer Engine'!$C$2:$C$622,0)),"",INDEX('Compliance Database'!$N$2:$N$622,MATCH(351,'Transfer Engine'!$C$2:$C$622,0)))</f>
        <v/>
      </c>
      <c r="O360" s="8">
        <f>IF(ISNA(MATCH(351,'Transfer Engine'!$C$2:$C$622,0)),"",INDEX('Compliance Database'!$O$2:$O$622,MATCH(351,'Transfer Engine'!$C$2:$C$622,0)))</f>
        <v/>
      </c>
    </row>
    <row r="361">
      <c r="A361">
        <f>IF(ISNA(MATCH(352,'Transfer Engine'!$C$2:$C$622,0)),"",INDEX('Compliance Database'!$A$2:$A$622,MATCH(352,'Transfer Engine'!$C$2:$C$622,0)))</f>
        <v/>
      </c>
      <c r="B361">
        <f>IF(ISNA(MATCH(352,'Transfer Engine'!$C$2:$C$622,0)),"",INDEX('Compliance Database'!$B$2:$B$622,MATCH(352,'Transfer Engine'!$C$2:$C$622,0)))</f>
        <v/>
      </c>
      <c r="C361">
        <f>IF(ISNA(MATCH(352,'Transfer Engine'!$C$2:$C$622,0)),"",INDEX('Compliance Database'!$C$2:$C$622,MATCH(352,'Transfer Engine'!$C$2:$C$622,0)))</f>
        <v/>
      </c>
      <c r="D361" s="8">
        <f>IF(ISNA(MATCH(352,'Transfer Engine'!$C$2:$C$622,0)),"",INDEX('Compliance Database'!$D$2:$D$622,MATCH(352,'Transfer Engine'!$C$2:$C$622,0)))</f>
        <v/>
      </c>
      <c r="E361">
        <f>IF(ISNA(MATCH(352,'Transfer Engine'!$C$2:$C$622,0)),"",INDEX('Compliance Database'!$E$2:$E$622,MATCH(352,'Transfer Engine'!$C$2:$C$622,0)))</f>
        <v/>
      </c>
      <c r="F361">
        <f>IF(ISNA(MATCH(352,'Transfer Engine'!$C$2:$C$622,0)),"",INDEX('Compliance Database'!$F$2:$F$622,MATCH(352,'Transfer Engine'!$C$2:$C$622,0)))</f>
        <v/>
      </c>
      <c r="G361">
        <f>IF(ISNA(MATCH(352,'Transfer Engine'!$C$2:$C$622,0)),"",INDEX('Compliance Database'!$G$2:$G$622,MATCH(352,'Transfer Engine'!$C$2:$C$622,0)))</f>
        <v/>
      </c>
      <c r="H361">
        <f>IF(ISNA(MATCH(352,'Transfer Engine'!$C$2:$C$622,0)),"",INDEX('Compliance Database'!$H$2:$H$622,MATCH(352,'Transfer Engine'!$C$2:$C$622,0)))</f>
        <v/>
      </c>
      <c r="I361" s="8">
        <f>IF(ISNA(MATCH(352,'Transfer Engine'!$C$2:$C$622,0)),"",INDEX('Compliance Database'!$I$2:$I$622,MATCH(352,'Transfer Engine'!$C$2:$C$622,0)))</f>
        <v/>
      </c>
      <c r="J361" s="8">
        <f>IF(ISNA(MATCH(352,'Transfer Engine'!$C$2:$C$622,0)),"",INDEX('Compliance Database'!$J$2:$J$622,MATCH(352,'Transfer Engine'!$C$2:$C$622,0)))</f>
        <v/>
      </c>
      <c r="K361">
        <f>IF(ISNA(MATCH(352,'Transfer Engine'!$C$2:$C$622,0)),"",INDEX('Compliance Database'!$K$2:$K$622,MATCH(352,'Transfer Engine'!$C$2:$C$622,0)))</f>
        <v/>
      </c>
      <c r="L361" s="8">
        <f>IF(ISNA(MATCH(352,'Transfer Engine'!$C$2:$C$622,0)),"",INDEX('Compliance Database'!$L$2:$L$622,MATCH(352,'Transfer Engine'!$C$2:$C$622,0)))</f>
        <v/>
      </c>
      <c r="M361" s="8">
        <f>IF(ISNA(MATCH(352,'Transfer Engine'!$C$2:$C$622,0)),"",INDEX('Compliance Database'!$M$2:$M$622,MATCH(352,'Transfer Engine'!$C$2:$C$622,0)))</f>
        <v/>
      </c>
      <c r="N361" s="8">
        <f>IF(ISNA(MATCH(352,'Transfer Engine'!$C$2:$C$622,0)),"",INDEX('Compliance Database'!$N$2:$N$622,MATCH(352,'Transfer Engine'!$C$2:$C$622,0)))</f>
        <v/>
      </c>
      <c r="O361" s="8">
        <f>IF(ISNA(MATCH(352,'Transfer Engine'!$C$2:$C$622,0)),"",INDEX('Compliance Database'!$O$2:$O$622,MATCH(352,'Transfer Engine'!$C$2:$C$622,0)))</f>
        <v/>
      </c>
    </row>
    <row r="362">
      <c r="A362">
        <f>IF(ISNA(MATCH(353,'Transfer Engine'!$C$2:$C$622,0)),"",INDEX('Compliance Database'!$A$2:$A$622,MATCH(353,'Transfer Engine'!$C$2:$C$622,0)))</f>
        <v/>
      </c>
      <c r="B362">
        <f>IF(ISNA(MATCH(353,'Transfer Engine'!$C$2:$C$622,0)),"",INDEX('Compliance Database'!$B$2:$B$622,MATCH(353,'Transfer Engine'!$C$2:$C$622,0)))</f>
        <v/>
      </c>
      <c r="C362">
        <f>IF(ISNA(MATCH(353,'Transfer Engine'!$C$2:$C$622,0)),"",INDEX('Compliance Database'!$C$2:$C$622,MATCH(353,'Transfer Engine'!$C$2:$C$622,0)))</f>
        <v/>
      </c>
      <c r="D362" s="8">
        <f>IF(ISNA(MATCH(353,'Transfer Engine'!$C$2:$C$622,0)),"",INDEX('Compliance Database'!$D$2:$D$622,MATCH(353,'Transfer Engine'!$C$2:$C$622,0)))</f>
        <v/>
      </c>
      <c r="E362">
        <f>IF(ISNA(MATCH(353,'Transfer Engine'!$C$2:$C$622,0)),"",INDEX('Compliance Database'!$E$2:$E$622,MATCH(353,'Transfer Engine'!$C$2:$C$622,0)))</f>
        <v/>
      </c>
      <c r="F362">
        <f>IF(ISNA(MATCH(353,'Transfer Engine'!$C$2:$C$622,0)),"",INDEX('Compliance Database'!$F$2:$F$622,MATCH(353,'Transfer Engine'!$C$2:$C$622,0)))</f>
        <v/>
      </c>
      <c r="G362">
        <f>IF(ISNA(MATCH(353,'Transfer Engine'!$C$2:$C$622,0)),"",INDEX('Compliance Database'!$G$2:$G$622,MATCH(353,'Transfer Engine'!$C$2:$C$622,0)))</f>
        <v/>
      </c>
      <c r="H362">
        <f>IF(ISNA(MATCH(353,'Transfer Engine'!$C$2:$C$622,0)),"",INDEX('Compliance Database'!$H$2:$H$622,MATCH(353,'Transfer Engine'!$C$2:$C$622,0)))</f>
        <v/>
      </c>
      <c r="I362" s="8">
        <f>IF(ISNA(MATCH(353,'Transfer Engine'!$C$2:$C$622,0)),"",INDEX('Compliance Database'!$I$2:$I$622,MATCH(353,'Transfer Engine'!$C$2:$C$622,0)))</f>
        <v/>
      </c>
      <c r="J362" s="8">
        <f>IF(ISNA(MATCH(353,'Transfer Engine'!$C$2:$C$622,0)),"",INDEX('Compliance Database'!$J$2:$J$622,MATCH(353,'Transfer Engine'!$C$2:$C$622,0)))</f>
        <v/>
      </c>
      <c r="K362">
        <f>IF(ISNA(MATCH(353,'Transfer Engine'!$C$2:$C$622,0)),"",INDEX('Compliance Database'!$K$2:$K$622,MATCH(353,'Transfer Engine'!$C$2:$C$622,0)))</f>
        <v/>
      </c>
      <c r="L362" s="8">
        <f>IF(ISNA(MATCH(353,'Transfer Engine'!$C$2:$C$622,0)),"",INDEX('Compliance Database'!$L$2:$L$622,MATCH(353,'Transfer Engine'!$C$2:$C$622,0)))</f>
        <v/>
      </c>
      <c r="M362" s="8">
        <f>IF(ISNA(MATCH(353,'Transfer Engine'!$C$2:$C$622,0)),"",INDEX('Compliance Database'!$M$2:$M$622,MATCH(353,'Transfer Engine'!$C$2:$C$622,0)))</f>
        <v/>
      </c>
      <c r="N362" s="8">
        <f>IF(ISNA(MATCH(353,'Transfer Engine'!$C$2:$C$622,0)),"",INDEX('Compliance Database'!$N$2:$N$622,MATCH(353,'Transfer Engine'!$C$2:$C$622,0)))</f>
        <v/>
      </c>
      <c r="O362" s="8">
        <f>IF(ISNA(MATCH(353,'Transfer Engine'!$C$2:$C$622,0)),"",INDEX('Compliance Database'!$O$2:$O$622,MATCH(353,'Transfer Engine'!$C$2:$C$622,0)))</f>
        <v/>
      </c>
    </row>
    <row r="363">
      <c r="A363">
        <f>IF(ISNA(MATCH(354,'Transfer Engine'!$C$2:$C$622,0)),"",INDEX('Compliance Database'!$A$2:$A$622,MATCH(354,'Transfer Engine'!$C$2:$C$622,0)))</f>
        <v/>
      </c>
      <c r="B363">
        <f>IF(ISNA(MATCH(354,'Transfer Engine'!$C$2:$C$622,0)),"",INDEX('Compliance Database'!$B$2:$B$622,MATCH(354,'Transfer Engine'!$C$2:$C$622,0)))</f>
        <v/>
      </c>
      <c r="C363">
        <f>IF(ISNA(MATCH(354,'Transfer Engine'!$C$2:$C$622,0)),"",INDEX('Compliance Database'!$C$2:$C$622,MATCH(354,'Transfer Engine'!$C$2:$C$622,0)))</f>
        <v/>
      </c>
      <c r="D363" s="8">
        <f>IF(ISNA(MATCH(354,'Transfer Engine'!$C$2:$C$622,0)),"",INDEX('Compliance Database'!$D$2:$D$622,MATCH(354,'Transfer Engine'!$C$2:$C$622,0)))</f>
        <v/>
      </c>
      <c r="E363">
        <f>IF(ISNA(MATCH(354,'Transfer Engine'!$C$2:$C$622,0)),"",INDEX('Compliance Database'!$E$2:$E$622,MATCH(354,'Transfer Engine'!$C$2:$C$622,0)))</f>
        <v/>
      </c>
      <c r="F363">
        <f>IF(ISNA(MATCH(354,'Transfer Engine'!$C$2:$C$622,0)),"",INDEX('Compliance Database'!$F$2:$F$622,MATCH(354,'Transfer Engine'!$C$2:$C$622,0)))</f>
        <v/>
      </c>
      <c r="G363">
        <f>IF(ISNA(MATCH(354,'Transfer Engine'!$C$2:$C$622,0)),"",INDEX('Compliance Database'!$G$2:$G$622,MATCH(354,'Transfer Engine'!$C$2:$C$622,0)))</f>
        <v/>
      </c>
      <c r="H363">
        <f>IF(ISNA(MATCH(354,'Transfer Engine'!$C$2:$C$622,0)),"",INDEX('Compliance Database'!$H$2:$H$622,MATCH(354,'Transfer Engine'!$C$2:$C$622,0)))</f>
        <v/>
      </c>
      <c r="I363" s="8">
        <f>IF(ISNA(MATCH(354,'Transfer Engine'!$C$2:$C$622,0)),"",INDEX('Compliance Database'!$I$2:$I$622,MATCH(354,'Transfer Engine'!$C$2:$C$622,0)))</f>
        <v/>
      </c>
      <c r="J363" s="8">
        <f>IF(ISNA(MATCH(354,'Transfer Engine'!$C$2:$C$622,0)),"",INDEX('Compliance Database'!$J$2:$J$622,MATCH(354,'Transfer Engine'!$C$2:$C$622,0)))</f>
        <v/>
      </c>
      <c r="K363">
        <f>IF(ISNA(MATCH(354,'Transfer Engine'!$C$2:$C$622,0)),"",INDEX('Compliance Database'!$K$2:$K$622,MATCH(354,'Transfer Engine'!$C$2:$C$622,0)))</f>
        <v/>
      </c>
      <c r="L363" s="8">
        <f>IF(ISNA(MATCH(354,'Transfer Engine'!$C$2:$C$622,0)),"",INDEX('Compliance Database'!$L$2:$L$622,MATCH(354,'Transfer Engine'!$C$2:$C$622,0)))</f>
        <v/>
      </c>
      <c r="M363" s="8">
        <f>IF(ISNA(MATCH(354,'Transfer Engine'!$C$2:$C$622,0)),"",INDEX('Compliance Database'!$M$2:$M$622,MATCH(354,'Transfer Engine'!$C$2:$C$622,0)))</f>
        <v/>
      </c>
      <c r="N363" s="8">
        <f>IF(ISNA(MATCH(354,'Transfer Engine'!$C$2:$C$622,0)),"",INDEX('Compliance Database'!$N$2:$N$622,MATCH(354,'Transfer Engine'!$C$2:$C$622,0)))</f>
        <v/>
      </c>
      <c r="O363" s="8">
        <f>IF(ISNA(MATCH(354,'Transfer Engine'!$C$2:$C$622,0)),"",INDEX('Compliance Database'!$O$2:$O$622,MATCH(354,'Transfer Engine'!$C$2:$C$622,0)))</f>
        <v/>
      </c>
    </row>
    <row r="364">
      <c r="A364">
        <f>IF(ISNA(MATCH(355,'Transfer Engine'!$C$2:$C$622,0)),"",INDEX('Compliance Database'!$A$2:$A$622,MATCH(355,'Transfer Engine'!$C$2:$C$622,0)))</f>
        <v/>
      </c>
      <c r="B364">
        <f>IF(ISNA(MATCH(355,'Transfer Engine'!$C$2:$C$622,0)),"",INDEX('Compliance Database'!$B$2:$B$622,MATCH(355,'Transfer Engine'!$C$2:$C$622,0)))</f>
        <v/>
      </c>
      <c r="C364">
        <f>IF(ISNA(MATCH(355,'Transfer Engine'!$C$2:$C$622,0)),"",INDEX('Compliance Database'!$C$2:$C$622,MATCH(355,'Transfer Engine'!$C$2:$C$622,0)))</f>
        <v/>
      </c>
      <c r="D364" s="8">
        <f>IF(ISNA(MATCH(355,'Transfer Engine'!$C$2:$C$622,0)),"",INDEX('Compliance Database'!$D$2:$D$622,MATCH(355,'Transfer Engine'!$C$2:$C$622,0)))</f>
        <v/>
      </c>
      <c r="E364">
        <f>IF(ISNA(MATCH(355,'Transfer Engine'!$C$2:$C$622,0)),"",INDEX('Compliance Database'!$E$2:$E$622,MATCH(355,'Transfer Engine'!$C$2:$C$622,0)))</f>
        <v/>
      </c>
      <c r="F364">
        <f>IF(ISNA(MATCH(355,'Transfer Engine'!$C$2:$C$622,0)),"",INDEX('Compliance Database'!$F$2:$F$622,MATCH(355,'Transfer Engine'!$C$2:$C$622,0)))</f>
        <v/>
      </c>
      <c r="G364">
        <f>IF(ISNA(MATCH(355,'Transfer Engine'!$C$2:$C$622,0)),"",INDEX('Compliance Database'!$G$2:$G$622,MATCH(355,'Transfer Engine'!$C$2:$C$622,0)))</f>
        <v/>
      </c>
      <c r="H364">
        <f>IF(ISNA(MATCH(355,'Transfer Engine'!$C$2:$C$622,0)),"",INDEX('Compliance Database'!$H$2:$H$622,MATCH(355,'Transfer Engine'!$C$2:$C$622,0)))</f>
        <v/>
      </c>
      <c r="I364" s="8">
        <f>IF(ISNA(MATCH(355,'Transfer Engine'!$C$2:$C$622,0)),"",INDEX('Compliance Database'!$I$2:$I$622,MATCH(355,'Transfer Engine'!$C$2:$C$622,0)))</f>
        <v/>
      </c>
      <c r="J364" s="8">
        <f>IF(ISNA(MATCH(355,'Transfer Engine'!$C$2:$C$622,0)),"",INDEX('Compliance Database'!$J$2:$J$622,MATCH(355,'Transfer Engine'!$C$2:$C$622,0)))</f>
        <v/>
      </c>
      <c r="K364">
        <f>IF(ISNA(MATCH(355,'Transfer Engine'!$C$2:$C$622,0)),"",INDEX('Compliance Database'!$K$2:$K$622,MATCH(355,'Transfer Engine'!$C$2:$C$622,0)))</f>
        <v/>
      </c>
      <c r="L364" s="8">
        <f>IF(ISNA(MATCH(355,'Transfer Engine'!$C$2:$C$622,0)),"",INDEX('Compliance Database'!$L$2:$L$622,MATCH(355,'Transfer Engine'!$C$2:$C$622,0)))</f>
        <v/>
      </c>
      <c r="M364" s="8">
        <f>IF(ISNA(MATCH(355,'Transfer Engine'!$C$2:$C$622,0)),"",INDEX('Compliance Database'!$M$2:$M$622,MATCH(355,'Transfer Engine'!$C$2:$C$622,0)))</f>
        <v/>
      </c>
      <c r="N364" s="8">
        <f>IF(ISNA(MATCH(355,'Transfer Engine'!$C$2:$C$622,0)),"",INDEX('Compliance Database'!$N$2:$N$622,MATCH(355,'Transfer Engine'!$C$2:$C$622,0)))</f>
        <v/>
      </c>
      <c r="O364" s="8">
        <f>IF(ISNA(MATCH(355,'Transfer Engine'!$C$2:$C$622,0)),"",INDEX('Compliance Database'!$O$2:$O$622,MATCH(355,'Transfer Engine'!$C$2:$C$622,0)))</f>
        <v/>
      </c>
    </row>
    <row r="365">
      <c r="A365">
        <f>IF(ISNA(MATCH(356,'Transfer Engine'!$C$2:$C$622,0)),"",INDEX('Compliance Database'!$A$2:$A$622,MATCH(356,'Transfer Engine'!$C$2:$C$622,0)))</f>
        <v/>
      </c>
      <c r="B365">
        <f>IF(ISNA(MATCH(356,'Transfer Engine'!$C$2:$C$622,0)),"",INDEX('Compliance Database'!$B$2:$B$622,MATCH(356,'Transfer Engine'!$C$2:$C$622,0)))</f>
        <v/>
      </c>
      <c r="C365">
        <f>IF(ISNA(MATCH(356,'Transfer Engine'!$C$2:$C$622,0)),"",INDEX('Compliance Database'!$C$2:$C$622,MATCH(356,'Transfer Engine'!$C$2:$C$622,0)))</f>
        <v/>
      </c>
      <c r="D365" s="8">
        <f>IF(ISNA(MATCH(356,'Transfer Engine'!$C$2:$C$622,0)),"",INDEX('Compliance Database'!$D$2:$D$622,MATCH(356,'Transfer Engine'!$C$2:$C$622,0)))</f>
        <v/>
      </c>
      <c r="E365">
        <f>IF(ISNA(MATCH(356,'Transfer Engine'!$C$2:$C$622,0)),"",INDEX('Compliance Database'!$E$2:$E$622,MATCH(356,'Transfer Engine'!$C$2:$C$622,0)))</f>
        <v/>
      </c>
      <c r="F365">
        <f>IF(ISNA(MATCH(356,'Transfer Engine'!$C$2:$C$622,0)),"",INDEX('Compliance Database'!$F$2:$F$622,MATCH(356,'Transfer Engine'!$C$2:$C$622,0)))</f>
        <v/>
      </c>
      <c r="G365">
        <f>IF(ISNA(MATCH(356,'Transfer Engine'!$C$2:$C$622,0)),"",INDEX('Compliance Database'!$G$2:$G$622,MATCH(356,'Transfer Engine'!$C$2:$C$622,0)))</f>
        <v/>
      </c>
      <c r="H365">
        <f>IF(ISNA(MATCH(356,'Transfer Engine'!$C$2:$C$622,0)),"",INDEX('Compliance Database'!$H$2:$H$622,MATCH(356,'Transfer Engine'!$C$2:$C$622,0)))</f>
        <v/>
      </c>
      <c r="I365" s="8">
        <f>IF(ISNA(MATCH(356,'Transfer Engine'!$C$2:$C$622,0)),"",INDEX('Compliance Database'!$I$2:$I$622,MATCH(356,'Transfer Engine'!$C$2:$C$622,0)))</f>
        <v/>
      </c>
      <c r="J365" s="8">
        <f>IF(ISNA(MATCH(356,'Transfer Engine'!$C$2:$C$622,0)),"",INDEX('Compliance Database'!$J$2:$J$622,MATCH(356,'Transfer Engine'!$C$2:$C$622,0)))</f>
        <v/>
      </c>
      <c r="K365">
        <f>IF(ISNA(MATCH(356,'Transfer Engine'!$C$2:$C$622,0)),"",INDEX('Compliance Database'!$K$2:$K$622,MATCH(356,'Transfer Engine'!$C$2:$C$622,0)))</f>
        <v/>
      </c>
      <c r="L365" s="8">
        <f>IF(ISNA(MATCH(356,'Transfer Engine'!$C$2:$C$622,0)),"",INDEX('Compliance Database'!$L$2:$L$622,MATCH(356,'Transfer Engine'!$C$2:$C$622,0)))</f>
        <v/>
      </c>
      <c r="M365" s="8">
        <f>IF(ISNA(MATCH(356,'Transfer Engine'!$C$2:$C$622,0)),"",INDEX('Compliance Database'!$M$2:$M$622,MATCH(356,'Transfer Engine'!$C$2:$C$622,0)))</f>
        <v/>
      </c>
      <c r="N365" s="8">
        <f>IF(ISNA(MATCH(356,'Transfer Engine'!$C$2:$C$622,0)),"",INDEX('Compliance Database'!$N$2:$N$622,MATCH(356,'Transfer Engine'!$C$2:$C$622,0)))</f>
        <v/>
      </c>
      <c r="O365" s="8">
        <f>IF(ISNA(MATCH(356,'Transfer Engine'!$C$2:$C$622,0)),"",INDEX('Compliance Database'!$O$2:$O$622,MATCH(356,'Transfer Engine'!$C$2:$C$622,0)))</f>
        <v/>
      </c>
    </row>
    <row r="366">
      <c r="A366">
        <f>IF(ISNA(MATCH(357,'Transfer Engine'!$C$2:$C$622,0)),"",INDEX('Compliance Database'!$A$2:$A$622,MATCH(357,'Transfer Engine'!$C$2:$C$622,0)))</f>
        <v/>
      </c>
      <c r="B366">
        <f>IF(ISNA(MATCH(357,'Transfer Engine'!$C$2:$C$622,0)),"",INDEX('Compliance Database'!$B$2:$B$622,MATCH(357,'Transfer Engine'!$C$2:$C$622,0)))</f>
        <v/>
      </c>
      <c r="C366">
        <f>IF(ISNA(MATCH(357,'Transfer Engine'!$C$2:$C$622,0)),"",INDEX('Compliance Database'!$C$2:$C$622,MATCH(357,'Transfer Engine'!$C$2:$C$622,0)))</f>
        <v/>
      </c>
      <c r="D366" s="8">
        <f>IF(ISNA(MATCH(357,'Transfer Engine'!$C$2:$C$622,0)),"",INDEX('Compliance Database'!$D$2:$D$622,MATCH(357,'Transfer Engine'!$C$2:$C$622,0)))</f>
        <v/>
      </c>
      <c r="E366">
        <f>IF(ISNA(MATCH(357,'Transfer Engine'!$C$2:$C$622,0)),"",INDEX('Compliance Database'!$E$2:$E$622,MATCH(357,'Transfer Engine'!$C$2:$C$622,0)))</f>
        <v/>
      </c>
      <c r="F366">
        <f>IF(ISNA(MATCH(357,'Transfer Engine'!$C$2:$C$622,0)),"",INDEX('Compliance Database'!$F$2:$F$622,MATCH(357,'Transfer Engine'!$C$2:$C$622,0)))</f>
        <v/>
      </c>
      <c r="G366">
        <f>IF(ISNA(MATCH(357,'Transfer Engine'!$C$2:$C$622,0)),"",INDEX('Compliance Database'!$G$2:$G$622,MATCH(357,'Transfer Engine'!$C$2:$C$622,0)))</f>
        <v/>
      </c>
      <c r="H366">
        <f>IF(ISNA(MATCH(357,'Transfer Engine'!$C$2:$C$622,0)),"",INDEX('Compliance Database'!$H$2:$H$622,MATCH(357,'Transfer Engine'!$C$2:$C$622,0)))</f>
        <v/>
      </c>
      <c r="I366" s="8">
        <f>IF(ISNA(MATCH(357,'Transfer Engine'!$C$2:$C$622,0)),"",INDEX('Compliance Database'!$I$2:$I$622,MATCH(357,'Transfer Engine'!$C$2:$C$622,0)))</f>
        <v/>
      </c>
      <c r="J366" s="8">
        <f>IF(ISNA(MATCH(357,'Transfer Engine'!$C$2:$C$622,0)),"",INDEX('Compliance Database'!$J$2:$J$622,MATCH(357,'Transfer Engine'!$C$2:$C$622,0)))</f>
        <v/>
      </c>
      <c r="K366">
        <f>IF(ISNA(MATCH(357,'Transfer Engine'!$C$2:$C$622,0)),"",INDEX('Compliance Database'!$K$2:$K$622,MATCH(357,'Transfer Engine'!$C$2:$C$622,0)))</f>
        <v/>
      </c>
      <c r="L366" s="8">
        <f>IF(ISNA(MATCH(357,'Transfer Engine'!$C$2:$C$622,0)),"",INDEX('Compliance Database'!$L$2:$L$622,MATCH(357,'Transfer Engine'!$C$2:$C$622,0)))</f>
        <v/>
      </c>
      <c r="M366" s="8">
        <f>IF(ISNA(MATCH(357,'Transfer Engine'!$C$2:$C$622,0)),"",INDEX('Compliance Database'!$M$2:$M$622,MATCH(357,'Transfer Engine'!$C$2:$C$622,0)))</f>
        <v/>
      </c>
      <c r="N366" s="8">
        <f>IF(ISNA(MATCH(357,'Transfer Engine'!$C$2:$C$622,0)),"",INDEX('Compliance Database'!$N$2:$N$622,MATCH(357,'Transfer Engine'!$C$2:$C$622,0)))</f>
        <v/>
      </c>
      <c r="O366" s="8">
        <f>IF(ISNA(MATCH(357,'Transfer Engine'!$C$2:$C$622,0)),"",INDEX('Compliance Database'!$O$2:$O$622,MATCH(357,'Transfer Engine'!$C$2:$C$622,0)))</f>
        <v/>
      </c>
    </row>
    <row r="367">
      <c r="A367">
        <f>IF(ISNA(MATCH(358,'Transfer Engine'!$C$2:$C$622,0)),"",INDEX('Compliance Database'!$A$2:$A$622,MATCH(358,'Transfer Engine'!$C$2:$C$622,0)))</f>
        <v/>
      </c>
      <c r="B367">
        <f>IF(ISNA(MATCH(358,'Transfer Engine'!$C$2:$C$622,0)),"",INDEX('Compliance Database'!$B$2:$B$622,MATCH(358,'Transfer Engine'!$C$2:$C$622,0)))</f>
        <v/>
      </c>
      <c r="C367">
        <f>IF(ISNA(MATCH(358,'Transfer Engine'!$C$2:$C$622,0)),"",INDEX('Compliance Database'!$C$2:$C$622,MATCH(358,'Transfer Engine'!$C$2:$C$622,0)))</f>
        <v/>
      </c>
      <c r="D367" s="8">
        <f>IF(ISNA(MATCH(358,'Transfer Engine'!$C$2:$C$622,0)),"",INDEX('Compliance Database'!$D$2:$D$622,MATCH(358,'Transfer Engine'!$C$2:$C$622,0)))</f>
        <v/>
      </c>
      <c r="E367">
        <f>IF(ISNA(MATCH(358,'Transfer Engine'!$C$2:$C$622,0)),"",INDEX('Compliance Database'!$E$2:$E$622,MATCH(358,'Transfer Engine'!$C$2:$C$622,0)))</f>
        <v/>
      </c>
      <c r="F367">
        <f>IF(ISNA(MATCH(358,'Transfer Engine'!$C$2:$C$622,0)),"",INDEX('Compliance Database'!$F$2:$F$622,MATCH(358,'Transfer Engine'!$C$2:$C$622,0)))</f>
        <v/>
      </c>
      <c r="G367">
        <f>IF(ISNA(MATCH(358,'Transfer Engine'!$C$2:$C$622,0)),"",INDEX('Compliance Database'!$G$2:$G$622,MATCH(358,'Transfer Engine'!$C$2:$C$622,0)))</f>
        <v/>
      </c>
      <c r="H367">
        <f>IF(ISNA(MATCH(358,'Transfer Engine'!$C$2:$C$622,0)),"",INDEX('Compliance Database'!$H$2:$H$622,MATCH(358,'Transfer Engine'!$C$2:$C$622,0)))</f>
        <v/>
      </c>
      <c r="I367" s="8">
        <f>IF(ISNA(MATCH(358,'Transfer Engine'!$C$2:$C$622,0)),"",INDEX('Compliance Database'!$I$2:$I$622,MATCH(358,'Transfer Engine'!$C$2:$C$622,0)))</f>
        <v/>
      </c>
      <c r="J367" s="8">
        <f>IF(ISNA(MATCH(358,'Transfer Engine'!$C$2:$C$622,0)),"",INDEX('Compliance Database'!$J$2:$J$622,MATCH(358,'Transfer Engine'!$C$2:$C$622,0)))</f>
        <v/>
      </c>
      <c r="K367">
        <f>IF(ISNA(MATCH(358,'Transfer Engine'!$C$2:$C$622,0)),"",INDEX('Compliance Database'!$K$2:$K$622,MATCH(358,'Transfer Engine'!$C$2:$C$622,0)))</f>
        <v/>
      </c>
      <c r="L367" s="8">
        <f>IF(ISNA(MATCH(358,'Transfer Engine'!$C$2:$C$622,0)),"",INDEX('Compliance Database'!$L$2:$L$622,MATCH(358,'Transfer Engine'!$C$2:$C$622,0)))</f>
        <v/>
      </c>
      <c r="M367" s="8">
        <f>IF(ISNA(MATCH(358,'Transfer Engine'!$C$2:$C$622,0)),"",INDEX('Compliance Database'!$M$2:$M$622,MATCH(358,'Transfer Engine'!$C$2:$C$622,0)))</f>
        <v/>
      </c>
      <c r="N367" s="8">
        <f>IF(ISNA(MATCH(358,'Transfer Engine'!$C$2:$C$622,0)),"",INDEX('Compliance Database'!$N$2:$N$622,MATCH(358,'Transfer Engine'!$C$2:$C$622,0)))</f>
        <v/>
      </c>
      <c r="O367" s="8">
        <f>IF(ISNA(MATCH(358,'Transfer Engine'!$C$2:$C$622,0)),"",INDEX('Compliance Database'!$O$2:$O$622,MATCH(358,'Transfer Engine'!$C$2:$C$622,0)))</f>
        <v/>
      </c>
    </row>
    <row r="368">
      <c r="A368">
        <f>IF(ISNA(MATCH(359,'Transfer Engine'!$C$2:$C$622,0)),"",INDEX('Compliance Database'!$A$2:$A$622,MATCH(359,'Transfer Engine'!$C$2:$C$622,0)))</f>
        <v/>
      </c>
      <c r="B368">
        <f>IF(ISNA(MATCH(359,'Transfer Engine'!$C$2:$C$622,0)),"",INDEX('Compliance Database'!$B$2:$B$622,MATCH(359,'Transfer Engine'!$C$2:$C$622,0)))</f>
        <v/>
      </c>
      <c r="C368">
        <f>IF(ISNA(MATCH(359,'Transfer Engine'!$C$2:$C$622,0)),"",INDEX('Compliance Database'!$C$2:$C$622,MATCH(359,'Transfer Engine'!$C$2:$C$622,0)))</f>
        <v/>
      </c>
      <c r="D368" s="8">
        <f>IF(ISNA(MATCH(359,'Transfer Engine'!$C$2:$C$622,0)),"",INDEX('Compliance Database'!$D$2:$D$622,MATCH(359,'Transfer Engine'!$C$2:$C$622,0)))</f>
        <v/>
      </c>
      <c r="E368">
        <f>IF(ISNA(MATCH(359,'Transfer Engine'!$C$2:$C$622,0)),"",INDEX('Compliance Database'!$E$2:$E$622,MATCH(359,'Transfer Engine'!$C$2:$C$622,0)))</f>
        <v/>
      </c>
      <c r="F368">
        <f>IF(ISNA(MATCH(359,'Transfer Engine'!$C$2:$C$622,0)),"",INDEX('Compliance Database'!$F$2:$F$622,MATCH(359,'Transfer Engine'!$C$2:$C$622,0)))</f>
        <v/>
      </c>
      <c r="G368">
        <f>IF(ISNA(MATCH(359,'Transfer Engine'!$C$2:$C$622,0)),"",INDEX('Compliance Database'!$G$2:$G$622,MATCH(359,'Transfer Engine'!$C$2:$C$622,0)))</f>
        <v/>
      </c>
      <c r="H368">
        <f>IF(ISNA(MATCH(359,'Transfer Engine'!$C$2:$C$622,0)),"",INDEX('Compliance Database'!$H$2:$H$622,MATCH(359,'Transfer Engine'!$C$2:$C$622,0)))</f>
        <v/>
      </c>
      <c r="I368" s="8">
        <f>IF(ISNA(MATCH(359,'Transfer Engine'!$C$2:$C$622,0)),"",INDEX('Compliance Database'!$I$2:$I$622,MATCH(359,'Transfer Engine'!$C$2:$C$622,0)))</f>
        <v/>
      </c>
      <c r="J368" s="8">
        <f>IF(ISNA(MATCH(359,'Transfer Engine'!$C$2:$C$622,0)),"",INDEX('Compliance Database'!$J$2:$J$622,MATCH(359,'Transfer Engine'!$C$2:$C$622,0)))</f>
        <v/>
      </c>
      <c r="K368">
        <f>IF(ISNA(MATCH(359,'Transfer Engine'!$C$2:$C$622,0)),"",INDEX('Compliance Database'!$K$2:$K$622,MATCH(359,'Transfer Engine'!$C$2:$C$622,0)))</f>
        <v/>
      </c>
      <c r="L368" s="8">
        <f>IF(ISNA(MATCH(359,'Transfer Engine'!$C$2:$C$622,0)),"",INDEX('Compliance Database'!$L$2:$L$622,MATCH(359,'Transfer Engine'!$C$2:$C$622,0)))</f>
        <v/>
      </c>
      <c r="M368" s="8">
        <f>IF(ISNA(MATCH(359,'Transfer Engine'!$C$2:$C$622,0)),"",INDEX('Compliance Database'!$M$2:$M$622,MATCH(359,'Transfer Engine'!$C$2:$C$622,0)))</f>
        <v/>
      </c>
      <c r="N368" s="8">
        <f>IF(ISNA(MATCH(359,'Transfer Engine'!$C$2:$C$622,0)),"",INDEX('Compliance Database'!$N$2:$N$622,MATCH(359,'Transfer Engine'!$C$2:$C$622,0)))</f>
        <v/>
      </c>
      <c r="O368" s="8">
        <f>IF(ISNA(MATCH(359,'Transfer Engine'!$C$2:$C$622,0)),"",INDEX('Compliance Database'!$O$2:$O$622,MATCH(359,'Transfer Engine'!$C$2:$C$622,0)))</f>
        <v/>
      </c>
    </row>
    <row r="369">
      <c r="A369">
        <f>IF(ISNA(MATCH(360,'Transfer Engine'!$C$2:$C$622,0)),"",INDEX('Compliance Database'!$A$2:$A$622,MATCH(360,'Transfer Engine'!$C$2:$C$622,0)))</f>
        <v/>
      </c>
      <c r="B369">
        <f>IF(ISNA(MATCH(360,'Transfer Engine'!$C$2:$C$622,0)),"",INDEX('Compliance Database'!$B$2:$B$622,MATCH(360,'Transfer Engine'!$C$2:$C$622,0)))</f>
        <v/>
      </c>
      <c r="C369">
        <f>IF(ISNA(MATCH(360,'Transfer Engine'!$C$2:$C$622,0)),"",INDEX('Compliance Database'!$C$2:$C$622,MATCH(360,'Transfer Engine'!$C$2:$C$622,0)))</f>
        <v/>
      </c>
      <c r="D369" s="8">
        <f>IF(ISNA(MATCH(360,'Transfer Engine'!$C$2:$C$622,0)),"",INDEX('Compliance Database'!$D$2:$D$622,MATCH(360,'Transfer Engine'!$C$2:$C$622,0)))</f>
        <v/>
      </c>
      <c r="E369">
        <f>IF(ISNA(MATCH(360,'Transfer Engine'!$C$2:$C$622,0)),"",INDEX('Compliance Database'!$E$2:$E$622,MATCH(360,'Transfer Engine'!$C$2:$C$622,0)))</f>
        <v/>
      </c>
      <c r="F369">
        <f>IF(ISNA(MATCH(360,'Transfer Engine'!$C$2:$C$622,0)),"",INDEX('Compliance Database'!$F$2:$F$622,MATCH(360,'Transfer Engine'!$C$2:$C$622,0)))</f>
        <v/>
      </c>
      <c r="G369">
        <f>IF(ISNA(MATCH(360,'Transfer Engine'!$C$2:$C$622,0)),"",INDEX('Compliance Database'!$G$2:$G$622,MATCH(360,'Transfer Engine'!$C$2:$C$622,0)))</f>
        <v/>
      </c>
      <c r="H369">
        <f>IF(ISNA(MATCH(360,'Transfer Engine'!$C$2:$C$622,0)),"",INDEX('Compliance Database'!$H$2:$H$622,MATCH(360,'Transfer Engine'!$C$2:$C$622,0)))</f>
        <v/>
      </c>
      <c r="I369" s="8">
        <f>IF(ISNA(MATCH(360,'Transfer Engine'!$C$2:$C$622,0)),"",INDEX('Compliance Database'!$I$2:$I$622,MATCH(360,'Transfer Engine'!$C$2:$C$622,0)))</f>
        <v/>
      </c>
      <c r="J369" s="8">
        <f>IF(ISNA(MATCH(360,'Transfer Engine'!$C$2:$C$622,0)),"",INDEX('Compliance Database'!$J$2:$J$622,MATCH(360,'Transfer Engine'!$C$2:$C$622,0)))</f>
        <v/>
      </c>
      <c r="K369">
        <f>IF(ISNA(MATCH(360,'Transfer Engine'!$C$2:$C$622,0)),"",INDEX('Compliance Database'!$K$2:$K$622,MATCH(360,'Transfer Engine'!$C$2:$C$622,0)))</f>
        <v/>
      </c>
      <c r="L369" s="8">
        <f>IF(ISNA(MATCH(360,'Transfer Engine'!$C$2:$C$622,0)),"",INDEX('Compliance Database'!$L$2:$L$622,MATCH(360,'Transfer Engine'!$C$2:$C$622,0)))</f>
        <v/>
      </c>
      <c r="M369" s="8">
        <f>IF(ISNA(MATCH(360,'Transfer Engine'!$C$2:$C$622,0)),"",INDEX('Compliance Database'!$M$2:$M$622,MATCH(360,'Transfer Engine'!$C$2:$C$622,0)))</f>
        <v/>
      </c>
      <c r="N369" s="8">
        <f>IF(ISNA(MATCH(360,'Transfer Engine'!$C$2:$C$622,0)),"",INDEX('Compliance Database'!$N$2:$N$622,MATCH(360,'Transfer Engine'!$C$2:$C$622,0)))</f>
        <v/>
      </c>
      <c r="O369" s="8">
        <f>IF(ISNA(MATCH(360,'Transfer Engine'!$C$2:$C$622,0)),"",INDEX('Compliance Database'!$O$2:$O$622,MATCH(360,'Transfer Engine'!$C$2:$C$622,0)))</f>
        <v/>
      </c>
    </row>
    <row r="370">
      <c r="A370">
        <f>IF(ISNA(MATCH(361,'Transfer Engine'!$C$2:$C$622,0)),"",INDEX('Compliance Database'!$A$2:$A$622,MATCH(361,'Transfer Engine'!$C$2:$C$622,0)))</f>
        <v/>
      </c>
      <c r="B370">
        <f>IF(ISNA(MATCH(361,'Transfer Engine'!$C$2:$C$622,0)),"",INDEX('Compliance Database'!$B$2:$B$622,MATCH(361,'Transfer Engine'!$C$2:$C$622,0)))</f>
        <v/>
      </c>
      <c r="C370">
        <f>IF(ISNA(MATCH(361,'Transfer Engine'!$C$2:$C$622,0)),"",INDEX('Compliance Database'!$C$2:$C$622,MATCH(361,'Transfer Engine'!$C$2:$C$622,0)))</f>
        <v/>
      </c>
      <c r="D370" s="8">
        <f>IF(ISNA(MATCH(361,'Transfer Engine'!$C$2:$C$622,0)),"",INDEX('Compliance Database'!$D$2:$D$622,MATCH(361,'Transfer Engine'!$C$2:$C$622,0)))</f>
        <v/>
      </c>
      <c r="E370">
        <f>IF(ISNA(MATCH(361,'Transfer Engine'!$C$2:$C$622,0)),"",INDEX('Compliance Database'!$E$2:$E$622,MATCH(361,'Transfer Engine'!$C$2:$C$622,0)))</f>
        <v/>
      </c>
      <c r="F370">
        <f>IF(ISNA(MATCH(361,'Transfer Engine'!$C$2:$C$622,0)),"",INDEX('Compliance Database'!$F$2:$F$622,MATCH(361,'Transfer Engine'!$C$2:$C$622,0)))</f>
        <v/>
      </c>
      <c r="G370">
        <f>IF(ISNA(MATCH(361,'Transfer Engine'!$C$2:$C$622,0)),"",INDEX('Compliance Database'!$G$2:$G$622,MATCH(361,'Transfer Engine'!$C$2:$C$622,0)))</f>
        <v/>
      </c>
      <c r="H370">
        <f>IF(ISNA(MATCH(361,'Transfer Engine'!$C$2:$C$622,0)),"",INDEX('Compliance Database'!$H$2:$H$622,MATCH(361,'Transfer Engine'!$C$2:$C$622,0)))</f>
        <v/>
      </c>
      <c r="I370" s="8">
        <f>IF(ISNA(MATCH(361,'Transfer Engine'!$C$2:$C$622,0)),"",INDEX('Compliance Database'!$I$2:$I$622,MATCH(361,'Transfer Engine'!$C$2:$C$622,0)))</f>
        <v/>
      </c>
      <c r="J370" s="8">
        <f>IF(ISNA(MATCH(361,'Transfer Engine'!$C$2:$C$622,0)),"",INDEX('Compliance Database'!$J$2:$J$622,MATCH(361,'Transfer Engine'!$C$2:$C$622,0)))</f>
        <v/>
      </c>
      <c r="K370">
        <f>IF(ISNA(MATCH(361,'Transfer Engine'!$C$2:$C$622,0)),"",INDEX('Compliance Database'!$K$2:$K$622,MATCH(361,'Transfer Engine'!$C$2:$C$622,0)))</f>
        <v/>
      </c>
      <c r="L370" s="8">
        <f>IF(ISNA(MATCH(361,'Transfer Engine'!$C$2:$C$622,0)),"",INDEX('Compliance Database'!$L$2:$L$622,MATCH(361,'Transfer Engine'!$C$2:$C$622,0)))</f>
        <v/>
      </c>
      <c r="M370" s="8">
        <f>IF(ISNA(MATCH(361,'Transfer Engine'!$C$2:$C$622,0)),"",INDEX('Compliance Database'!$M$2:$M$622,MATCH(361,'Transfer Engine'!$C$2:$C$622,0)))</f>
        <v/>
      </c>
      <c r="N370" s="8">
        <f>IF(ISNA(MATCH(361,'Transfer Engine'!$C$2:$C$622,0)),"",INDEX('Compliance Database'!$N$2:$N$622,MATCH(361,'Transfer Engine'!$C$2:$C$622,0)))</f>
        <v/>
      </c>
      <c r="O370" s="8">
        <f>IF(ISNA(MATCH(361,'Transfer Engine'!$C$2:$C$622,0)),"",INDEX('Compliance Database'!$O$2:$O$622,MATCH(361,'Transfer Engine'!$C$2:$C$622,0)))</f>
        <v/>
      </c>
    </row>
    <row r="371">
      <c r="A371">
        <f>IF(ISNA(MATCH(362,'Transfer Engine'!$C$2:$C$622,0)),"",INDEX('Compliance Database'!$A$2:$A$622,MATCH(362,'Transfer Engine'!$C$2:$C$622,0)))</f>
        <v/>
      </c>
      <c r="B371">
        <f>IF(ISNA(MATCH(362,'Transfer Engine'!$C$2:$C$622,0)),"",INDEX('Compliance Database'!$B$2:$B$622,MATCH(362,'Transfer Engine'!$C$2:$C$622,0)))</f>
        <v/>
      </c>
      <c r="C371">
        <f>IF(ISNA(MATCH(362,'Transfer Engine'!$C$2:$C$622,0)),"",INDEX('Compliance Database'!$C$2:$C$622,MATCH(362,'Transfer Engine'!$C$2:$C$622,0)))</f>
        <v/>
      </c>
      <c r="D371" s="8">
        <f>IF(ISNA(MATCH(362,'Transfer Engine'!$C$2:$C$622,0)),"",INDEX('Compliance Database'!$D$2:$D$622,MATCH(362,'Transfer Engine'!$C$2:$C$622,0)))</f>
        <v/>
      </c>
      <c r="E371">
        <f>IF(ISNA(MATCH(362,'Transfer Engine'!$C$2:$C$622,0)),"",INDEX('Compliance Database'!$E$2:$E$622,MATCH(362,'Transfer Engine'!$C$2:$C$622,0)))</f>
        <v/>
      </c>
      <c r="F371">
        <f>IF(ISNA(MATCH(362,'Transfer Engine'!$C$2:$C$622,0)),"",INDEX('Compliance Database'!$F$2:$F$622,MATCH(362,'Transfer Engine'!$C$2:$C$622,0)))</f>
        <v/>
      </c>
      <c r="G371">
        <f>IF(ISNA(MATCH(362,'Transfer Engine'!$C$2:$C$622,0)),"",INDEX('Compliance Database'!$G$2:$G$622,MATCH(362,'Transfer Engine'!$C$2:$C$622,0)))</f>
        <v/>
      </c>
      <c r="H371">
        <f>IF(ISNA(MATCH(362,'Transfer Engine'!$C$2:$C$622,0)),"",INDEX('Compliance Database'!$H$2:$H$622,MATCH(362,'Transfer Engine'!$C$2:$C$622,0)))</f>
        <v/>
      </c>
      <c r="I371" s="8">
        <f>IF(ISNA(MATCH(362,'Transfer Engine'!$C$2:$C$622,0)),"",INDEX('Compliance Database'!$I$2:$I$622,MATCH(362,'Transfer Engine'!$C$2:$C$622,0)))</f>
        <v/>
      </c>
      <c r="J371" s="8">
        <f>IF(ISNA(MATCH(362,'Transfer Engine'!$C$2:$C$622,0)),"",INDEX('Compliance Database'!$J$2:$J$622,MATCH(362,'Transfer Engine'!$C$2:$C$622,0)))</f>
        <v/>
      </c>
      <c r="K371">
        <f>IF(ISNA(MATCH(362,'Transfer Engine'!$C$2:$C$622,0)),"",INDEX('Compliance Database'!$K$2:$K$622,MATCH(362,'Transfer Engine'!$C$2:$C$622,0)))</f>
        <v/>
      </c>
      <c r="L371" s="8">
        <f>IF(ISNA(MATCH(362,'Transfer Engine'!$C$2:$C$622,0)),"",INDEX('Compliance Database'!$L$2:$L$622,MATCH(362,'Transfer Engine'!$C$2:$C$622,0)))</f>
        <v/>
      </c>
      <c r="M371" s="8">
        <f>IF(ISNA(MATCH(362,'Transfer Engine'!$C$2:$C$622,0)),"",INDEX('Compliance Database'!$M$2:$M$622,MATCH(362,'Transfer Engine'!$C$2:$C$622,0)))</f>
        <v/>
      </c>
      <c r="N371" s="8">
        <f>IF(ISNA(MATCH(362,'Transfer Engine'!$C$2:$C$622,0)),"",INDEX('Compliance Database'!$N$2:$N$622,MATCH(362,'Transfer Engine'!$C$2:$C$622,0)))</f>
        <v/>
      </c>
      <c r="O371" s="8">
        <f>IF(ISNA(MATCH(362,'Transfer Engine'!$C$2:$C$622,0)),"",INDEX('Compliance Database'!$O$2:$O$622,MATCH(362,'Transfer Engine'!$C$2:$C$622,0)))</f>
        <v/>
      </c>
    </row>
    <row r="372">
      <c r="A372">
        <f>IF(ISNA(MATCH(363,'Transfer Engine'!$C$2:$C$622,0)),"",INDEX('Compliance Database'!$A$2:$A$622,MATCH(363,'Transfer Engine'!$C$2:$C$622,0)))</f>
        <v/>
      </c>
      <c r="B372">
        <f>IF(ISNA(MATCH(363,'Transfer Engine'!$C$2:$C$622,0)),"",INDEX('Compliance Database'!$B$2:$B$622,MATCH(363,'Transfer Engine'!$C$2:$C$622,0)))</f>
        <v/>
      </c>
      <c r="C372">
        <f>IF(ISNA(MATCH(363,'Transfer Engine'!$C$2:$C$622,0)),"",INDEX('Compliance Database'!$C$2:$C$622,MATCH(363,'Transfer Engine'!$C$2:$C$622,0)))</f>
        <v/>
      </c>
      <c r="D372" s="8">
        <f>IF(ISNA(MATCH(363,'Transfer Engine'!$C$2:$C$622,0)),"",INDEX('Compliance Database'!$D$2:$D$622,MATCH(363,'Transfer Engine'!$C$2:$C$622,0)))</f>
        <v/>
      </c>
      <c r="E372">
        <f>IF(ISNA(MATCH(363,'Transfer Engine'!$C$2:$C$622,0)),"",INDEX('Compliance Database'!$E$2:$E$622,MATCH(363,'Transfer Engine'!$C$2:$C$622,0)))</f>
        <v/>
      </c>
      <c r="F372">
        <f>IF(ISNA(MATCH(363,'Transfer Engine'!$C$2:$C$622,0)),"",INDEX('Compliance Database'!$F$2:$F$622,MATCH(363,'Transfer Engine'!$C$2:$C$622,0)))</f>
        <v/>
      </c>
      <c r="G372">
        <f>IF(ISNA(MATCH(363,'Transfer Engine'!$C$2:$C$622,0)),"",INDEX('Compliance Database'!$G$2:$G$622,MATCH(363,'Transfer Engine'!$C$2:$C$622,0)))</f>
        <v/>
      </c>
      <c r="H372">
        <f>IF(ISNA(MATCH(363,'Transfer Engine'!$C$2:$C$622,0)),"",INDEX('Compliance Database'!$H$2:$H$622,MATCH(363,'Transfer Engine'!$C$2:$C$622,0)))</f>
        <v/>
      </c>
      <c r="I372" s="8">
        <f>IF(ISNA(MATCH(363,'Transfer Engine'!$C$2:$C$622,0)),"",INDEX('Compliance Database'!$I$2:$I$622,MATCH(363,'Transfer Engine'!$C$2:$C$622,0)))</f>
        <v/>
      </c>
      <c r="J372" s="8">
        <f>IF(ISNA(MATCH(363,'Transfer Engine'!$C$2:$C$622,0)),"",INDEX('Compliance Database'!$J$2:$J$622,MATCH(363,'Transfer Engine'!$C$2:$C$622,0)))</f>
        <v/>
      </c>
      <c r="K372">
        <f>IF(ISNA(MATCH(363,'Transfer Engine'!$C$2:$C$622,0)),"",INDEX('Compliance Database'!$K$2:$K$622,MATCH(363,'Transfer Engine'!$C$2:$C$622,0)))</f>
        <v/>
      </c>
      <c r="L372" s="8">
        <f>IF(ISNA(MATCH(363,'Transfer Engine'!$C$2:$C$622,0)),"",INDEX('Compliance Database'!$L$2:$L$622,MATCH(363,'Transfer Engine'!$C$2:$C$622,0)))</f>
        <v/>
      </c>
      <c r="M372" s="8">
        <f>IF(ISNA(MATCH(363,'Transfer Engine'!$C$2:$C$622,0)),"",INDEX('Compliance Database'!$M$2:$M$622,MATCH(363,'Transfer Engine'!$C$2:$C$622,0)))</f>
        <v/>
      </c>
      <c r="N372" s="8">
        <f>IF(ISNA(MATCH(363,'Transfer Engine'!$C$2:$C$622,0)),"",INDEX('Compliance Database'!$N$2:$N$622,MATCH(363,'Transfer Engine'!$C$2:$C$622,0)))</f>
        <v/>
      </c>
      <c r="O372" s="8">
        <f>IF(ISNA(MATCH(363,'Transfer Engine'!$C$2:$C$622,0)),"",INDEX('Compliance Database'!$O$2:$O$622,MATCH(363,'Transfer Engine'!$C$2:$C$622,0)))</f>
        <v/>
      </c>
    </row>
    <row r="373">
      <c r="A373">
        <f>IF(ISNA(MATCH(364,'Transfer Engine'!$C$2:$C$622,0)),"",INDEX('Compliance Database'!$A$2:$A$622,MATCH(364,'Transfer Engine'!$C$2:$C$622,0)))</f>
        <v/>
      </c>
      <c r="B373">
        <f>IF(ISNA(MATCH(364,'Transfer Engine'!$C$2:$C$622,0)),"",INDEX('Compliance Database'!$B$2:$B$622,MATCH(364,'Transfer Engine'!$C$2:$C$622,0)))</f>
        <v/>
      </c>
      <c r="C373">
        <f>IF(ISNA(MATCH(364,'Transfer Engine'!$C$2:$C$622,0)),"",INDEX('Compliance Database'!$C$2:$C$622,MATCH(364,'Transfer Engine'!$C$2:$C$622,0)))</f>
        <v/>
      </c>
      <c r="D373" s="8">
        <f>IF(ISNA(MATCH(364,'Transfer Engine'!$C$2:$C$622,0)),"",INDEX('Compliance Database'!$D$2:$D$622,MATCH(364,'Transfer Engine'!$C$2:$C$622,0)))</f>
        <v/>
      </c>
      <c r="E373">
        <f>IF(ISNA(MATCH(364,'Transfer Engine'!$C$2:$C$622,0)),"",INDEX('Compliance Database'!$E$2:$E$622,MATCH(364,'Transfer Engine'!$C$2:$C$622,0)))</f>
        <v/>
      </c>
      <c r="F373">
        <f>IF(ISNA(MATCH(364,'Transfer Engine'!$C$2:$C$622,0)),"",INDEX('Compliance Database'!$F$2:$F$622,MATCH(364,'Transfer Engine'!$C$2:$C$622,0)))</f>
        <v/>
      </c>
      <c r="G373">
        <f>IF(ISNA(MATCH(364,'Transfer Engine'!$C$2:$C$622,0)),"",INDEX('Compliance Database'!$G$2:$G$622,MATCH(364,'Transfer Engine'!$C$2:$C$622,0)))</f>
        <v/>
      </c>
      <c r="H373">
        <f>IF(ISNA(MATCH(364,'Transfer Engine'!$C$2:$C$622,0)),"",INDEX('Compliance Database'!$H$2:$H$622,MATCH(364,'Transfer Engine'!$C$2:$C$622,0)))</f>
        <v/>
      </c>
      <c r="I373" s="8">
        <f>IF(ISNA(MATCH(364,'Transfer Engine'!$C$2:$C$622,0)),"",INDEX('Compliance Database'!$I$2:$I$622,MATCH(364,'Transfer Engine'!$C$2:$C$622,0)))</f>
        <v/>
      </c>
      <c r="J373" s="8">
        <f>IF(ISNA(MATCH(364,'Transfer Engine'!$C$2:$C$622,0)),"",INDEX('Compliance Database'!$J$2:$J$622,MATCH(364,'Transfer Engine'!$C$2:$C$622,0)))</f>
        <v/>
      </c>
      <c r="K373">
        <f>IF(ISNA(MATCH(364,'Transfer Engine'!$C$2:$C$622,0)),"",INDEX('Compliance Database'!$K$2:$K$622,MATCH(364,'Transfer Engine'!$C$2:$C$622,0)))</f>
        <v/>
      </c>
      <c r="L373" s="8">
        <f>IF(ISNA(MATCH(364,'Transfer Engine'!$C$2:$C$622,0)),"",INDEX('Compliance Database'!$L$2:$L$622,MATCH(364,'Transfer Engine'!$C$2:$C$622,0)))</f>
        <v/>
      </c>
      <c r="M373" s="8">
        <f>IF(ISNA(MATCH(364,'Transfer Engine'!$C$2:$C$622,0)),"",INDEX('Compliance Database'!$M$2:$M$622,MATCH(364,'Transfer Engine'!$C$2:$C$622,0)))</f>
        <v/>
      </c>
      <c r="N373" s="8">
        <f>IF(ISNA(MATCH(364,'Transfer Engine'!$C$2:$C$622,0)),"",INDEX('Compliance Database'!$N$2:$N$622,MATCH(364,'Transfer Engine'!$C$2:$C$622,0)))</f>
        <v/>
      </c>
      <c r="O373" s="8">
        <f>IF(ISNA(MATCH(364,'Transfer Engine'!$C$2:$C$622,0)),"",INDEX('Compliance Database'!$O$2:$O$622,MATCH(364,'Transfer Engine'!$C$2:$C$622,0)))</f>
        <v/>
      </c>
    </row>
    <row r="374">
      <c r="A374">
        <f>IF(ISNA(MATCH(365,'Transfer Engine'!$C$2:$C$622,0)),"",INDEX('Compliance Database'!$A$2:$A$622,MATCH(365,'Transfer Engine'!$C$2:$C$622,0)))</f>
        <v/>
      </c>
      <c r="B374">
        <f>IF(ISNA(MATCH(365,'Transfer Engine'!$C$2:$C$622,0)),"",INDEX('Compliance Database'!$B$2:$B$622,MATCH(365,'Transfer Engine'!$C$2:$C$622,0)))</f>
        <v/>
      </c>
      <c r="C374">
        <f>IF(ISNA(MATCH(365,'Transfer Engine'!$C$2:$C$622,0)),"",INDEX('Compliance Database'!$C$2:$C$622,MATCH(365,'Transfer Engine'!$C$2:$C$622,0)))</f>
        <v/>
      </c>
      <c r="D374" s="8">
        <f>IF(ISNA(MATCH(365,'Transfer Engine'!$C$2:$C$622,0)),"",INDEX('Compliance Database'!$D$2:$D$622,MATCH(365,'Transfer Engine'!$C$2:$C$622,0)))</f>
        <v/>
      </c>
      <c r="E374">
        <f>IF(ISNA(MATCH(365,'Transfer Engine'!$C$2:$C$622,0)),"",INDEX('Compliance Database'!$E$2:$E$622,MATCH(365,'Transfer Engine'!$C$2:$C$622,0)))</f>
        <v/>
      </c>
      <c r="F374">
        <f>IF(ISNA(MATCH(365,'Transfer Engine'!$C$2:$C$622,0)),"",INDEX('Compliance Database'!$F$2:$F$622,MATCH(365,'Transfer Engine'!$C$2:$C$622,0)))</f>
        <v/>
      </c>
      <c r="G374">
        <f>IF(ISNA(MATCH(365,'Transfer Engine'!$C$2:$C$622,0)),"",INDEX('Compliance Database'!$G$2:$G$622,MATCH(365,'Transfer Engine'!$C$2:$C$622,0)))</f>
        <v/>
      </c>
      <c r="H374">
        <f>IF(ISNA(MATCH(365,'Transfer Engine'!$C$2:$C$622,0)),"",INDEX('Compliance Database'!$H$2:$H$622,MATCH(365,'Transfer Engine'!$C$2:$C$622,0)))</f>
        <v/>
      </c>
      <c r="I374" s="8">
        <f>IF(ISNA(MATCH(365,'Transfer Engine'!$C$2:$C$622,0)),"",INDEX('Compliance Database'!$I$2:$I$622,MATCH(365,'Transfer Engine'!$C$2:$C$622,0)))</f>
        <v/>
      </c>
      <c r="J374" s="8">
        <f>IF(ISNA(MATCH(365,'Transfer Engine'!$C$2:$C$622,0)),"",INDEX('Compliance Database'!$J$2:$J$622,MATCH(365,'Transfer Engine'!$C$2:$C$622,0)))</f>
        <v/>
      </c>
      <c r="K374">
        <f>IF(ISNA(MATCH(365,'Transfer Engine'!$C$2:$C$622,0)),"",INDEX('Compliance Database'!$K$2:$K$622,MATCH(365,'Transfer Engine'!$C$2:$C$622,0)))</f>
        <v/>
      </c>
      <c r="L374" s="8">
        <f>IF(ISNA(MATCH(365,'Transfer Engine'!$C$2:$C$622,0)),"",INDEX('Compliance Database'!$L$2:$L$622,MATCH(365,'Transfer Engine'!$C$2:$C$622,0)))</f>
        <v/>
      </c>
      <c r="M374" s="8">
        <f>IF(ISNA(MATCH(365,'Transfer Engine'!$C$2:$C$622,0)),"",INDEX('Compliance Database'!$M$2:$M$622,MATCH(365,'Transfer Engine'!$C$2:$C$622,0)))</f>
        <v/>
      </c>
      <c r="N374" s="8">
        <f>IF(ISNA(MATCH(365,'Transfer Engine'!$C$2:$C$622,0)),"",INDEX('Compliance Database'!$N$2:$N$622,MATCH(365,'Transfer Engine'!$C$2:$C$622,0)))</f>
        <v/>
      </c>
      <c r="O374" s="8">
        <f>IF(ISNA(MATCH(365,'Transfer Engine'!$C$2:$C$622,0)),"",INDEX('Compliance Database'!$O$2:$O$622,MATCH(365,'Transfer Engine'!$C$2:$C$622,0)))</f>
        <v/>
      </c>
    </row>
    <row r="375">
      <c r="A375">
        <f>IF(ISNA(MATCH(366,'Transfer Engine'!$C$2:$C$622,0)),"",INDEX('Compliance Database'!$A$2:$A$622,MATCH(366,'Transfer Engine'!$C$2:$C$622,0)))</f>
        <v/>
      </c>
      <c r="B375">
        <f>IF(ISNA(MATCH(366,'Transfer Engine'!$C$2:$C$622,0)),"",INDEX('Compliance Database'!$B$2:$B$622,MATCH(366,'Transfer Engine'!$C$2:$C$622,0)))</f>
        <v/>
      </c>
      <c r="C375">
        <f>IF(ISNA(MATCH(366,'Transfer Engine'!$C$2:$C$622,0)),"",INDEX('Compliance Database'!$C$2:$C$622,MATCH(366,'Transfer Engine'!$C$2:$C$622,0)))</f>
        <v/>
      </c>
      <c r="D375" s="8">
        <f>IF(ISNA(MATCH(366,'Transfer Engine'!$C$2:$C$622,0)),"",INDEX('Compliance Database'!$D$2:$D$622,MATCH(366,'Transfer Engine'!$C$2:$C$622,0)))</f>
        <v/>
      </c>
      <c r="E375">
        <f>IF(ISNA(MATCH(366,'Transfer Engine'!$C$2:$C$622,0)),"",INDEX('Compliance Database'!$E$2:$E$622,MATCH(366,'Transfer Engine'!$C$2:$C$622,0)))</f>
        <v/>
      </c>
      <c r="F375">
        <f>IF(ISNA(MATCH(366,'Transfer Engine'!$C$2:$C$622,0)),"",INDEX('Compliance Database'!$F$2:$F$622,MATCH(366,'Transfer Engine'!$C$2:$C$622,0)))</f>
        <v/>
      </c>
      <c r="G375">
        <f>IF(ISNA(MATCH(366,'Transfer Engine'!$C$2:$C$622,0)),"",INDEX('Compliance Database'!$G$2:$G$622,MATCH(366,'Transfer Engine'!$C$2:$C$622,0)))</f>
        <v/>
      </c>
      <c r="H375">
        <f>IF(ISNA(MATCH(366,'Transfer Engine'!$C$2:$C$622,0)),"",INDEX('Compliance Database'!$H$2:$H$622,MATCH(366,'Transfer Engine'!$C$2:$C$622,0)))</f>
        <v/>
      </c>
      <c r="I375" s="8">
        <f>IF(ISNA(MATCH(366,'Transfer Engine'!$C$2:$C$622,0)),"",INDEX('Compliance Database'!$I$2:$I$622,MATCH(366,'Transfer Engine'!$C$2:$C$622,0)))</f>
        <v/>
      </c>
      <c r="J375" s="8">
        <f>IF(ISNA(MATCH(366,'Transfer Engine'!$C$2:$C$622,0)),"",INDEX('Compliance Database'!$J$2:$J$622,MATCH(366,'Transfer Engine'!$C$2:$C$622,0)))</f>
        <v/>
      </c>
      <c r="K375">
        <f>IF(ISNA(MATCH(366,'Transfer Engine'!$C$2:$C$622,0)),"",INDEX('Compliance Database'!$K$2:$K$622,MATCH(366,'Transfer Engine'!$C$2:$C$622,0)))</f>
        <v/>
      </c>
      <c r="L375" s="8">
        <f>IF(ISNA(MATCH(366,'Transfer Engine'!$C$2:$C$622,0)),"",INDEX('Compliance Database'!$L$2:$L$622,MATCH(366,'Transfer Engine'!$C$2:$C$622,0)))</f>
        <v/>
      </c>
      <c r="M375" s="8">
        <f>IF(ISNA(MATCH(366,'Transfer Engine'!$C$2:$C$622,0)),"",INDEX('Compliance Database'!$M$2:$M$622,MATCH(366,'Transfer Engine'!$C$2:$C$622,0)))</f>
        <v/>
      </c>
      <c r="N375" s="8">
        <f>IF(ISNA(MATCH(366,'Transfer Engine'!$C$2:$C$622,0)),"",INDEX('Compliance Database'!$N$2:$N$622,MATCH(366,'Transfer Engine'!$C$2:$C$622,0)))</f>
        <v/>
      </c>
      <c r="O375" s="8">
        <f>IF(ISNA(MATCH(366,'Transfer Engine'!$C$2:$C$622,0)),"",INDEX('Compliance Database'!$O$2:$O$622,MATCH(366,'Transfer Engine'!$C$2:$C$622,0)))</f>
        <v/>
      </c>
    </row>
    <row r="376">
      <c r="A376">
        <f>IF(ISNA(MATCH(367,'Transfer Engine'!$C$2:$C$622,0)),"",INDEX('Compliance Database'!$A$2:$A$622,MATCH(367,'Transfer Engine'!$C$2:$C$622,0)))</f>
        <v/>
      </c>
      <c r="B376">
        <f>IF(ISNA(MATCH(367,'Transfer Engine'!$C$2:$C$622,0)),"",INDEX('Compliance Database'!$B$2:$B$622,MATCH(367,'Transfer Engine'!$C$2:$C$622,0)))</f>
        <v/>
      </c>
      <c r="C376">
        <f>IF(ISNA(MATCH(367,'Transfer Engine'!$C$2:$C$622,0)),"",INDEX('Compliance Database'!$C$2:$C$622,MATCH(367,'Transfer Engine'!$C$2:$C$622,0)))</f>
        <v/>
      </c>
      <c r="D376" s="8">
        <f>IF(ISNA(MATCH(367,'Transfer Engine'!$C$2:$C$622,0)),"",INDEX('Compliance Database'!$D$2:$D$622,MATCH(367,'Transfer Engine'!$C$2:$C$622,0)))</f>
        <v/>
      </c>
      <c r="E376">
        <f>IF(ISNA(MATCH(367,'Transfer Engine'!$C$2:$C$622,0)),"",INDEX('Compliance Database'!$E$2:$E$622,MATCH(367,'Transfer Engine'!$C$2:$C$622,0)))</f>
        <v/>
      </c>
      <c r="F376">
        <f>IF(ISNA(MATCH(367,'Transfer Engine'!$C$2:$C$622,0)),"",INDEX('Compliance Database'!$F$2:$F$622,MATCH(367,'Transfer Engine'!$C$2:$C$622,0)))</f>
        <v/>
      </c>
      <c r="G376">
        <f>IF(ISNA(MATCH(367,'Transfer Engine'!$C$2:$C$622,0)),"",INDEX('Compliance Database'!$G$2:$G$622,MATCH(367,'Transfer Engine'!$C$2:$C$622,0)))</f>
        <v/>
      </c>
      <c r="H376">
        <f>IF(ISNA(MATCH(367,'Transfer Engine'!$C$2:$C$622,0)),"",INDEX('Compliance Database'!$H$2:$H$622,MATCH(367,'Transfer Engine'!$C$2:$C$622,0)))</f>
        <v/>
      </c>
      <c r="I376" s="8">
        <f>IF(ISNA(MATCH(367,'Transfer Engine'!$C$2:$C$622,0)),"",INDEX('Compliance Database'!$I$2:$I$622,MATCH(367,'Transfer Engine'!$C$2:$C$622,0)))</f>
        <v/>
      </c>
      <c r="J376" s="8">
        <f>IF(ISNA(MATCH(367,'Transfer Engine'!$C$2:$C$622,0)),"",INDEX('Compliance Database'!$J$2:$J$622,MATCH(367,'Transfer Engine'!$C$2:$C$622,0)))</f>
        <v/>
      </c>
      <c r="K376">
        <f>IF(ISNA(MATCH(367,'Transfer Engine'!$C$2:$C$622,0)),"",INDEX('Compliance Database'!$K$2:$K$622,MATCH(367,'Transfer Engine'!$C$2:$C$622,0)))</f>
        <v/>
      </c>
      <c r="L376" s="8">
        <f>IF(ISNA(MATCH(367,'Transfer Engine'!$C$2:$C$622,0)),"",INDEX('Compliance Database'!$L$2:$L$622,MATCH(367,'Transfer Engine'!$C$2:$C$622,0)))</f>
        <v/>
      </c>
      <c r="M376" s="8">
        <f>IF(ISNA(MATCH(367,'Transfer Engine'!$C$2:$C$622,0)),"",INDEX('Compliance Database'!$M$2:$M$622,MATCH(367,'Transfer Engine'!$C$2:$C$622,0)))</f>
        <v/>
      </c>
      <c r="N376" s="8">
        <f>IF(ISNA(MATCH(367,'Transfer Engine'!$C$2:$C$622,0)),"",INDEX('Compliance Database'!$N$2:$N$622,MATCH(367,'Transfer Engine'!$C$2:$C$622,0)))</f>
        <v/>
      </c>
      <c r="O376" s="8">
        <f>IF(ISNA(MATCH(367,'Transfer Engine'!$C$2:$C$622,0)),"",INDEX('Compliance Database'!$O$2:$O$622,MATCH(367,'Transfer Engine'!$C$2:$C$622,0)))</f>
        <v/>
      </c>
    </row>
    <row r="377">
      <c r="A377">
        <f>IF(ISNA(MATCH(368,'Transfer Engine'!$C$2:$C$622,0)),"",INDEX('Compliance Database'!$A$2:$A$622,MATCH(368,'Transfer Engine'!$C$2:$C$622,0)))</f>
        <v/>
      </c>
      <c r="B377">
        <f>IF(ISNA(MATCH(368,'Transfer Engine'!$C$2:$C$622,0)),"",INDEX('Compliance Database'!$B$2:$B$622,MATCH(368,'Transfer Engine'!$C$2:$C$622,0)))</f>
        <v/>
      </c>
      <c r="C377">
        <f>IF(ISNA(MATCH(368,'Transfer Engine'!$C$2:$C$622,0)),"",INDEX('Compliance Database'!$C$2:$C$622,MATCH(368,'Transfer Engine'!$C$2:$C$622,0)))</f>
        <v/>
      </c>
      <c r="D377" s="8">
        <f>IF(ISNA(MATCH(368,'Transfer Engine'!$C$2:$C$622,0)),"",INDEX('Compliance Database'!$D$2:$D$622,MATCH(368,'Transfer Engine'!$C$2:$C$622,0)))</f>
        <v/>
      </c>
      <c r="E377">
        <f>IF(ISNA(MATCH(368,'Transfer Engine'!$C$2:$C$622,0)),"",INDEX('Compliance Database'!$E$2:$E$622,MATCH(368,'Transfer Engine'!$C$2:$C$622,0)))</f>
        <v/>
      </c>
      <c r="F377">
        <f>IF(ISNA(MATCH(368,'Transfer Engine'!$C$2:$C$622,0)),"",INDEX('Compliance Database'!$F$2:$F$622,MATCH(368,'Transfer Engine'!$C$2:$C$622,0)))</f>
        <v/>
      </c>
      <c r="G377">
        <f>IF(ISNA(MATCH(368,'Transfer Engine'!$C$2:$C$622,0)),"",INDEX('Compliance Database'!$G$2:$G$622,MATCH(368,'Transfer Engine'!$C$2:$C$622,0)))</f>
        <v/>
      </c>
      <c r="H377">
        <f>IF(ISNA(MATCH(368,'Transfer Engine'!$C$2:$C$622,0)),"",INDEX('Compliance Database'!$H$2:$H$622,MATCH(368,'Transfer Engine'!$C$2:$C$622,0)))</f>
        <v/>
      </c>
      <c r="I377" s="8">
        <f>IF(ISNA(MATCH(368,'Transfer Engine'!$C$2:$C$622,0)),"",INDEX('Compliance Database'!$I$2:$I$622,MATCH(368,'Transfer Engine'!$C$2:$C$622,0)))</f>
        <v/>
      </c>
      <c r="J377" s="8">
        <f>IF(ISNA(MATCH(368,'Transfer Engine'!$C$2:$C$622,0)),"",INDEX('Compliance Database'!$J$2:$J$622,MATCH(368,'Transfer Engine'!$C$2:$C$622,0)))</f>
        <v/>
      </c>
      <c r="K377">
        <f>IF(ISNA(MATCH(368,'Transfer Engine'!$C$2:$C$622,0)),"",INDEX('Compliance Database'!$K$2:$K$622,MATCH(368,'Transfer Engine'!$C$2:$C$622,0)))</f>
        <v/>
      </c>
      <c r="L377" s="8">
        <f>IF(ISNA(MATCH(368,'Transfer Engine'!$C$2:$C$622,0)),"",INDEX('Compliance Database'!$L$2:$L$622,MATCH(368,'Transfer Engine'!$C$2:$C$622,0)))</f>
        <v/>
      </c>
      <c r="M377" s="8">
        <f>IF(ISNA(MATCH(368,'Transfer Engine'!$C$2:$C$622,0)),"",INDEX('Compliance Database'!$M$2:$M$622,MATCH(368,'Transfer Engine'!$C$2:$C$622,0)))</f>
        <v/>
      </c>
      <c r="N377" s="8">
        <f>IF(ISNA(MATCH(368,'Transfer Engine'!$C$2:$C$622,0)),"",INDEX('Compliance Database'!$N$2:$N$622,MATCH(368,'Transfer Engine'!$C$2:$C$622,0)))</f>
        <v/>
      </c>
      <c r="O377" s="8">
        <f>IF(ISNA(MATCH(368,'Transfer Engine'!$C$2:$C$622,0)),"",INDEX('Compliance Database'!$O$2:$O$622,MATCH(368,'Transfer Engine'!$C$2:$C$622,0)))</f>
        <v/>
      </c>
    </row>
    <row r="378">
      <c r="A378">
        <f>IF(ISNA(MATCH(369,'Transfer Engine'!$C$2:$C$622,0)),"",INDEX('Compliance Database'!$A$2:$A$622,MATCH(369,'Transfer Engine'!$C$2:$C$622,0)))</f>
        <v/>
      </c>
      <c r="B378">
        <f>IF(ISNA(MATCH(369,'Transfer Engine'!$C$2:$C$622,0)),"",INDEX('Compliance Database'!$B$2:$B$622,MATCH(369,'Transfer Engine'!$C$2:$C$622,0)))</f>
        <v/>
      </c>
      <c r="C378">
        <f>IF(ISNA(MATCH(369,'Transfer Engine'!$C$2:$C$622,0)),"",INDEX('Compliance Database'!$C$2:$C$622,MATCH(369,'Transfer Engine'!$C$2:$C$622,0)))</f>
        <v/>
      </c>
      <c r="D378" s="8">
        <f>IF(ISNA(MATCH(369,'Transfer Engine'!$C$2:$C$622,0)),"",INDEX('Compliance Database'!$D$2:$D$622,MATCH(369,'Transfer Engine'!$C$2:$C$622,0)))</f>
        <v/>
      </c>
      <c r="E378">
        <f>IF(ISNA(MATCH(369,'Transfer Engine'!$C$2:$C$622,0)),"",INDEX('Compliance Database'!$E$2:$E$622,MATCH(369,'Transfer Engine'!$C$2:$C$622,0)))</f>
        <v/>
      </c>
      <c r="F378">
        <f>IF(ISNA(MATCH(369,'Transfer Engine'!$C$2:$C$622,0)),"",INDEX('Compliance Database'!$F$2:$F$622,MATCH(369,'Transfer Engine'!$C$2:$C$622,0)))</f>
        <v/>
      </c>
      <c r="G378">
        <f>IF(ISNA(MATCH(369,'Transfer Engine'!$C$2:$C$622,0)),"",INDEX('Compliance Database'!$G$2:$G$622,MATCH(369,'Transfer Engine'!$C$2:$C$622,0)))</f>
        <v/>
      </c>
      <c r="H378">
        <f>IF(ISNA(MATCH(369,'Transfer Engine'!$C$2:$C$622,0)),"",INDEX('Compliance Database'!$H$2:$H$622,MATCH(369,'Transfer Engine'!$C$2:$C$622,0)))</f>
        <v/>
      </c>
      <c r="I378" s="8">
        <f>IF(ISNA(MATCH(369,'Transfer Engine'!$C$2:$C$622,0)),"",INDEX('Compliance Database'!$I$2:$I$622,MATCH(369,'Transfer Engine'!$C$2:$C$622,0)))</f>
        <v/>
      </c>
      <c r="J378" s="8">
        <f>IF(ISNA(MATCH(369,'Transfer Engine'!$C$2:$C$622,0)),"",INDEX('Compliance Database'!$J$2:$J$622,MATCH(369,'Transfer Engine'!$C$2:$C$622,0)))</f>
        <v/>
      </c>
      <c r="K378">
        <f>IF(ISNA(MATCH(369,'Transfer Engine'!$C$2:$C$622,0)),"",INDEX('Compliance Database'!$K$2:$K$622,MATCH(369,'Transfer Engine'!$C$2:$C$622,0)))</f>
        <v/>
      </c>
      <c r="L378" s="8">
        <f>IF(ISNA(MATCH(369,'Transfer Engine'!$C$2:$C$622,0)),"",INDEX('Compliance Database'!$L$2:$L$622,MATCH(369,'Transfer Engine'!$C$2:$C$622,0)))</f>
        <v/>
      </c>
      <c r="M378" s="8">
        <f>IF(ISNA(MATCH(369,'Transfer Engine'!$C$2:$C$622,0)),"",INDEX('Compliance Database'!$M$2:$M$622,MATCH(369,'Transfer Engine'!$C$2:$C$622,0)))</f>
        <v/>
      </c>
      <c r="N378" s="8">
        <f>IF(ISNA(MATCH(369,'Transfer Engine'!$C$2:$C$622,0)),"",INDEX('Compliance Database'!$N$2:$N$622,MATCH(369,'Transfer Engine'!$C$2:$C$622,0)))</f>
        <v/>
      </c>
      <c r="O378" s="8">
        <f>IF(ISNA(MATCH(369,'Transfer Engine'!$C$2:$C$622,0)),"",INDEX('Compliance Database'!$O$2:$O$622,MATCH(369,'Transfer Engine'!$C$2:$C$622,0)))</f>
        <v/>
      </c>
    </row>
    <row r="379">
      <c r="A379">
        <f>IF(ISNA(MATCH(370,'Transfer Engine'!$C$2:$C$622,0)),"",INDEX('Compliance Database'!$A$2:$A$622,MATCH(370,'Transfer Engine'!$C$2:$C$622,0)))</f>
        <v/>
      </c>
      <c r="B379">
        <f>IF(ISNA(MATCH(370,'Transfer Engine'!$C$2:$C$622,0)),"",INDEX('Compliance Database'!$B$2:$B$622,MATCH(370,'Transfer Engine'!$C$2:$C$622,0)))</f>
        <v/>
      </c>
      <c r="C379">
        <f>IF(ISNA(MATCH(370,'Transfer Engine'!$C$2:$C$622,0)),"",INDEX('Compliance Database'!$C$2:$C$622,MATCH(370,'Transfer Engine'!$C$2:$C$622,0)))</f>
        <v/>
      </c>
      <c r="D379" s="8">
        <f>IF(ISNA(MATCH(370,'Transfer Engine'!$C$2:$C$622,0)),"",INDEX('Compliance Database'!$D$2:$D$622,MATCH(370,'Transfer Engine'!$C$2:$C$622,0)))</f>
        <v/>
      </c>
      <c r="E379">
        <f>IF(ISNA(MATCH(370,'Transfer Engine'!$C$2:$C$622,0)),"",INDEX('Compliance Database'!$E$2:$E$622,MATCH(370,'Transfer Engine'!$C$2:$C$622,0)))</f>
        <v/>
      </c>
      <c r="F379">
        <f>IF(ISNA(MATCH(370,'Transfer Engine'!$C$2:$C$622,0)),"",INDEX('Compliance Database'!$F$2:$F$622,MATCH(370,'Transfer Engine'!$C$2:$C$622,0)))</f>
        <v/>
      </c>
      <c r="G379">
        <f>IF(ISNA(MATCH(370,'Transfer Engine'!$C$2:$C$622,0)),"",INDEX('Compliance Database'!$G$2:$G$622,MATCH(370,'Transfer Engine'!$C$2:$C$622,0)))</f>
        <v/>
      </c>
      <c r="H379">
        <f>IF(ISNA(MATCH(370,'Transfer Engine'!$C$2:$C$622,0)),"",INDEX('Compliance Database'!$H$2:$H$622,MATCH(370,'Transfer Engine'!$C$2:$C$622,0)))</f>
        <v/>
      </c>
      <c r="I379" s="8">
        <f>IF(ISNA(MATCH(370,'Transfer Engine'!$C$2:$C$622,0)),"",INDEX('Compliance Database'!$I$2:$I$622,MATCH(370,'Transfer Engine'!$C$2:$C$622,0)))</f>
        <v/>
      </c>
      <c r="J379" s="8">
        <f>IF(ISNA(MATCH(370,'Transfer Engine'!$C$2:$C$622,0)),"",INDEX('Compliance Database'!$J$2:$J$622,MATCH(370,'Transfer Engine'!$C$2:$C$622,0)))</f>
        <v/>
      </c>
      <c r="K379">
        <f>IF(ISNA(MATCH(370,'Transfer Engine'!$C$2:$C$622,0)),"",INDEX('Compliance Database'!$K$2:$K$622,MATCH(370,'Transfer Engine'!$C$2:$C$622,0)))</f>
        <v/>
      </c>
      <c r="L379" s="8">
        <f>IF(ISNA(MATCH(370,'Transfer Engine'!$C$2:$C$622,0)),"",INDEX('Compliance Database'!$L$2:$L$622,MATCH(370,'Transfer Engine'!$C$2:$C$622,0)))</f>
        <v/>
      </c>
      <c r="M379" s="8">
        <f>IF(ISNA(MATCH(370,'Transfer Engine'!$C$2:$C$622,0)),"",INDEX('Compliance Database'!$M$2:$M$622,MATCH(370,'Transfer Engine'!$C$2:$C$622,0)))</f>
        <v/>
      </c>
      <c r="N379" s="8">
        <f>IF(ISNA(MATCH(370,'Transfer Engine'!$C$2:$C$622,0)),"",INDEX('Compliance Database'!$N$2:$N$622,MATCH(370,'Transfer Engine'!$C$2:$C$622,0)))</f>
        <v/>
      </c>
      <c r="O379" s="8">
        <f>IF(ISNA(MATCH(370,'Transfer Engine'!$C$2:$C$622,0)),"",INDEX('Compliance Database'!$O$2:$O$622,MATCH(370,'Transfer Engine'!$C$2:$C$622,0)))</f>
        <v/>
      </c>
    </row>
    <row r="380">
      <c r="A380">
        <f>IF(ISNA(MATCH(371,'Transfer Engine'!$C$2:$C$622,0)),"",INDEX('Compliance Database'!$A$2:$A$622,MATCH(371,'Transfer Engine'!$C$2:$C$622,0)))</f>
        <v/>
      </c>
      <c r="B380">
        <f>IF(ISNA(MATCH(371,'Transfer Engine'!$C$2:$C$622,0)),"",INDEX('Compliance Database'!$B$2:$B$622,MATCH(371,'Transfer Engine'!$C$2:$C$622,0)))</f>
        <v/>
      </c>
      <c r="C380">
        <f>IF(ISNA(MATCH(371,'Transfer Engine'!$C$2:$C$622,0)),"",INDEX('Compliance Database'!$C$2:$C$622,MATCH(371,'Transfer Engine'!$C$2:$C$622,0)))</f>
        <v/>
      </c>
      <c r="D380" s="8">
        <f>IF(ISNA(MATCH(371,'Transfer Engine'!$C$2:$C$622,0)),"",INDEX('Compliance Database'!$D$2:$D$622,MATCH(371,'Transfer Engine'!$C$2:$C$622,0)))</f>
        <v/>
      </c>
      <c r="E380">
        <f>IF(ISNA(MATCH(371,'Transfer Engine'!$C$2:$C$622,0)),"",INDEX('Compliance Database'!$E$2:$E$622,MATCH(371,'Transfer Engine'!$C$2:$C$622,0)))</f>
        <v/>
      </c>
      <c r="F380">
        <f>IF(ISNA(MATCH(371,'Transfer Engine'!$C$2:$C$622,0)),"",INDEX('Compliance Database'!$F$2:$F$622,MATCH(371,'Transfer Engine'!$C$2:$C$622,0)))</f>
        <v/>
      </c>
      <c r="G380">
        <f>IF(ISNA(MATCH(371,'Transfer Engine'!$C$2:$C$622,0)),"",INDEX('Compliance Database'!$G$2:$G$622,MATCH(371,'Transfer Engine'!$C$2:$C$622,0)))</f>
        <v/>
      </c>
      <c r="H380">
        <f>IF(ISNA(MATCH(371,'Transfer Engine'!$C$2:$C$622,0)),"",INDEX('Compliance Database'!$H$2:$H$622,MATCH(371,'Transfer Engine'!$C$2:$C$622,0)))</f>
        <v/>
      </c>
      <c r="I380" s="8">
        <f>IF(ISNA(MATCH(371,'Transfer Engine'!$C$2:$C$622,0)),"",INDEX('Compliance Database'!$I$2:$I$622,MATCH(371,'Transfer Engine'!$C$2:$C$622,0)))</f>
        <v/>
      </c>
      <c r="J380" s="8">
        <f>IF(ISNA(MATCH(371,'Transfer Engine'!$C$2:$C$622,0)),"",INDEX('Compliance Database'!$J$2:$J$622,MATCH(371,'Transfer Engine'!$C$2:$C$622,0)))</f>
        <v/>
      </c>
      <c r="K380">
        <f>IF(ISNA(MATCH(371,'Transfer Engine'!$C$2:$C$622,0)),"",INDEX('Compliance Database'!$K$2:$K$622,MATCH(371,'Transfer Engine'!$C$2:$C$622,0)))</f>
        <v/>
      </c>
      <c r="L380" s="8">
        <f>IF(ISNA(MATCH(371,'Transfer Engine'!$C$2:$C$622,0)),"",INDEX('Compliance Database'!$L$2:$L$622,MATCH(371,'Transfer Engine'!$C$2:$C$622,0)))</f>
        <v/>
      </c>
      <c r="M380" s="8">
        <f>IF(ISNA(MATCH(371,'Transfer Engine'!$C$2:$C$622,0)),"",INDEX('Compliance Database'!$M$2:$M$622,MATCH(371,'Transfer Engine'!$C$2:$C$622,0)))</f>
        <v/>
      </c>
      <c r="N380" s="8">
        <f>IF(ISNA(MATCH(371,'Transfer Engine'!$C$2:$C$622,0)),"",INDEX('Compliance Database'!$N$2:$N$622,MATCH(371,'Transfer Engine'!$C$2:$C$622,0)))</f>
        <v/>
      </c>
      <c r="O380" s="8">
        <f>IF(ISNA(MATCH(371,'Transfer Engine'!$C$2:$C$622,0)),"",INDEX('Compliance Database'!$O$2:$O$622,MATCH(371,'Transfer Engine'!$C$2:$C$622,0)))</f>
        <v/>
      </c>
    </row>
    <row r="381">
      <c r="A381">
        <f>IF(ISNA(MATCH(372,'Transfer Engine'!$C$2:$C$622,0)),"",INDEX('Compliance Database'!$A$2:$A$622,MATCH(372,'Transfer Engine'!$C$2:$C$622,0)))</f>
        <v/>
      </c>
      <c r="B381">
        <f>IF(ISNA(MATCH(372,'Transfer Engine'!$C$2:$C$622,0)),"",INDEX('Compliance Database'!$B$2:$B$622,MATCH(372,'Transfer Engine'!$C$2:$C$622,0)))</f>
        <v/>
      </c>
      <c r="C381">
        <f>IF(ISNA(MATCH(372,'Transfer Engine'!$C$2:$C$622,0)),"",INDEX('Compliance Database'!$C$2:$C$622,MATCH(372,'Transfer Engine'!$C$2:$C$622,0)))</f>
        <v/>
      </c>
      <c r="D381" s="8">
        <f>IF(ISNA(MATCH(372,'Transfer Engine'!$C$2:$C$622,0)),"",INDEX('Compliance Database'!$D$2:$D$622,MATCH(372,'Transfer Engine'!$C$2:$C$622,0)))</f>
        <v/>
      </c>
      <c r="E381">
        <f>IF(ISNA(MATCH(372,'Transfer Engine'!$C$2:$C$622,0)),"",INDEX('Compliance Database'!$E$2:$E$622,MATCH(372,'Transfer Engine'!$C$2:$C$622,0)))</f>
        <v/>
      </c>
      <c r="F381">
        <f>IF(ISNA(MATCH(372,'Transfer Engine'!$C$2:$C$622,0)),"",INDEX('Compliance Database'!$F$2:$F$622,MATCH(372,'Transfer Engine'!$C$2:$C$622,0)))</f>
        <v/>
      </c>
      <c r="G381">
        <f>IF(ISNA(MATCH(372,'Transfer Engine'!$C$2:$C$622,0)),"",INDEX('Compliance Database'!$G$2:$G$622,MATCH(372,'Transfer Engine'!$C$2:$C$622,0)))</f>
        <v/>
      </c>
      <c r="H381">
        <f>IF(ISNA(MATCH(372,'Transfer Engine'!$C$2:$C$622,0)),"",INDEX('Compliance Database'!$H$2:$H$622,MATCH(372,'Transfer Engine'!$C$2:$C$622,0)))</f>
        <v/>
      </c>
      <c r="I381" s="8">
        <f>IF(ISNA(MATCH(372,'Transfer Engine'!$C$2:$C$622,0)),"",INDEX('Compliance Database'!$I$2:$I$622,MATCH(372,'Transfer Engine'!$C$2:$C$622,0)))</f>
        <v/>
      </c>
      <c r="J381" s="8">
        <f>IF(ISNA(MATCH(372,'Transfer Engine'!$C$2:$C$622,0)),"",INDEX('Compliance Database'!$J$2:$J$622,MATCH(372,'Transfer Engine'!$C$2:$C$622,0)))</f>
        <v/>
      </c>
      <c r="K381">
        <f>IF(ISNA(MATCH(372,'Transfer Engine'!$C$2:$C$622,0)),"",INDEX('Compliance Database'!$K$2:$K$622,MATCH(372,'Transfer Engine'!$C$2:$C$622,0)))</f>
        <v/>
      </c>
      <c r="L381" s="8">
        <f>IF(ISNA(MATCH(372,'Transfer Engine'!$C$2:$C$622,0)),"",INDEX('Compliance Database'!$L$2:$L$622,MATCH(372,'Transfer Engine'!$C$2:$C$622,0)))</f>
        <v/>
      </c>
      <c r="M381" s="8">
        <f>IF(ISNA(MATCH(372,'Transfer Engine'!$C$2:$C$622,0)),"",INDEX('Compliance Database'!$M$2:$M$622,MATCH(372,'Transfer Engine'!$C$2:$C$622,0)))</f>
        <v/>
      </c>
      <c r="N381" s="8">
        <f>IF(ISNA(MATCH(372,'Transfer Engine'!$C$2:$C$622,0)),"",INDEX('Compliance Database'!$N$2:$N$622,MATCH(372,'Transfer Engine'!$C$2:$C$622,0)))</f>
        <v/>
      </c>
      <c r="O381" s="8">
        <f>IF(ISNA(MATCH(372,'Transfer Engine'!$C$2:$C$622,0)),"",INDEX('Compliance Database'!$O$2:$O$622,MATCH(372,'Transfer Engine'!$C$2:$C$622,0)))</f>
        <v/>
      </c>
    </row>
    <row r="382">
      <c r="A382">
        <f>IF(ISNA(MATCH(373,'Transfer Engine'!$C$2:$C$622,0)),"",INDEX('Compliance Database'!$A$2:$A$622,MATCH(373,'Transfer Engine'!$C$2:$C$622,0)))</f>
        <v/>
      </c>
      <c r="B382">
        <f>IF(ISNA(MATCH(373,'Transfer Engine'!$C$2:$C$622,0)),"",INDEX('Compliance Database'!$B$2:$B$622,MATCH(373,'Transfer Engine'!$C$2:$C$622,0)))</f>
        <v/>
      </c>
      <c r="C382">
        <f>IF(ISNA(MATCH(373,'Transfer Engine'!$C$2:$C$622,0)),"",INDEX('Compliance Database'!$C$2:$C$622,MATCH(373,'Transfer Engine'!$C$2:$C$622,0)))</f>
        <v/>
      </c>
      <c r="D382" s="8">
        <f>IF(ISNA(MATCH(373,'Transfer Engine'!$C$2:$C$622,0)),"",INDEX('Compliance Database'!$D$2:$D$622,MATCH(373,'Transfer Engine'!$C$2:$C$622,0)))</f>
        <v/>
      </c>
      <c r="E382">
        <f>IF(ISNA(MATCH(373,'Transfer Engine'!$C$2:$C$622,0)),"",INDEX('Compliance Database'!$E$2:$E$622,MATCH(373,'Transfer Engine'!$C$2:$C$622,0)))</f>
        <v/>
      </c>
      <c r="F382">
        <f>IF(ISNA(MATCH(373,'Transfer Engine'!$C$2:$C$622,0)),"",INDEX('Compliance Database'!$F$2:$F$622,MATCH(373,'Transfer Engine'!$C$2:$C$622,0)))</f>
        <v/>
      </c>
      <c r="G382">
        <f>IF(ISNA(MATCH(373,'Transfer Engine'!$C$2:$C$622,0)),"",INDEX('Compliance Database'!$G$2:$G$622,MATCH(373,'Transfer Engine'!$C$2:$C$622,0)))</f>
        <v/>
      </c>
      <c r="H382">
        <f>IF(ISNA(MATCH(373,'Transfer Engine'!$C$2:$C$622,0)),"",INDEX('Compliance Database'!$H$2:$H$622,MATCH(373,'Transfer Engine'!$C$2:$C$622,0)))</f>
        <v/>
      </c>
      <c r="I382" s="8">
        <f>IF(ISNA(MATCH(373,'Transfer Engine'!$C$2:$C$622,0)),"",INDEX('Compliance Database'!$I$2:$I$622,MATCH(373,'Transfer Engine'!$C$2:$C$622,0)))</f>
        <v/>
      </c>
      <c r="J382" s="8">
        <f>IF(ISNA(MATCH(373,'Transfer Engine'!$C$2:$C$622,0)),"",INDEX('Compliance Database'!$J$2:$J$622,MATCH(373,'Transfer Engine'!$C$2:$C$622,0)))</f>
        <v/>
      </c>
      <c r="K382">
        <f>IF(ISNA(MATCH(373,'Transfer Engine'!$C$2:$C$622,0)),"",INDEX('Compliance Database'!$K$2:$K$622,MATCH(373,'Transfer Engine'!$C$2:$C$622,0)))</f>
        <v/>
      </c>
      <c r="L382" s="8">
        <f>IF(ISNA(MATCH(373,'Transfer Engine'!$C$2:$C$622,0)),"",INDEX('Compliance Database'!$L$2:$L$622,MATCH(373,'Transfer Engine'!$C$2:$C$622,0)))</f>
        <v/>
      </c>
      <c r="M382" s="8">
        <f>IF(ISNA(MATCH(373,'Transfer Engine'!$C$2:$C$622,0)),"",INDEX('Compliance Database'!$M$2:$M$622,MATCH(373,'Transfer Engine'!$C$2:$C$622,0)))</f>
        <v/>
      </c>
      <c r="N382" s="8">
        <f>IF(ISNA(MATCH(373,'Transfer Engine'!$C$2:$C$622,0)),"",INDEX('Compliance Database'!$N$2:$N$622,MATCH(373,'Transfer Engine'!$C$2:$C$622,0)))</f>
        <v/>
      </c>
      <c r="O382" s="8">
        <f>IF(ISNA(MATCH(373,'Transfer Engine'!$C$2:$C$622,0)),"",INDEX('Compliance Database'!$O$2:$O$622,MATCH(373,'Transfer Engine'!$C$2:$C$622,0)))</f>
        <v/>
      </c>
    </row>
    <row r="383">
      <c r="A383">
        <f>IF(ISNA(MATCH(374,'Transfer Engine'!$C$2:$C$622,0)),"",INDEX('Compliance Database'!$A$2:$A$622,MATCH(374,'Transfer Engine'!$C$2:$C$622,0)))</f>
        <v/>
      </c>
      <c r="B383">
        <f>IF(ISNA(MATCH(374,'Transfer Engine'!$C$2:$C$622,0)),"",INDEX('Compliance Database'!$B$2:$B$622,MATCH(374,'Transfer Engine'!$C$2:$C$622,0)))</f>
        <v/>
      </c>
      <c r="C383">
        <f>IF(ISNA(MATCH(374,'Transfer Engine'!$C$2:$C$622,0)),"",INDEX('Compliance Database'!$C$2:$C$622,MATCH(374,'Transfer Engine'!$C$2:$C$622,0)))</f>
        <v/>
      </c>
      <c r="D383" s="8">
        <f>IF(ISNA(MATCH(374,'Transfer Engine'!$C$2:$C$622,0)),"",INDEX('Compliance Database'!$D$2:$D$622,MATCH(374,'Transfer Engine'!$C$2:$C$622,0)))</f>
        <v/>
      </c>
      <c r="E383">
        <f>IF(ISNA(MATCH(374,'Transfer Engine'!$C$2:$C$622,0)),"",INDEX('Compliance Database'!$E$2:$E$622,MATCH(374,'Transfer Engine'!$C$2:$C$622,0)))</f>
        <v/>
      </c>
      <c r="F383">
        <f>IF(ISNA(MATCH(374,'Transfer Engine'!$C$2:$C$622,0)),"",INDEX('Compliance Database'!$F$2:$F$622,MATCH(374,'Transfer Engine'!$C$2:$C$622,0)))</f>
        <v/>
      </c>
      <c r="G383">
        <f>IF(ISNA(MATCH(374,'Transfer Engine'!$C$2:$C$622,0)),"",INDEX('Compliance Database'!$G$2:$G$622,MATCH(374,'Transfer Engine'!$C$2:$C$622,0)))</f>
        <v/>
      </c>
      <c r="H383">
        <f>IF(ISNA(MATCH(374,'Transfer Engine'!$C$2:$C$622,0)),"",INDEX('Compliance Database'!$H$2:$H$622,MATCH(374,'Transfer Engine'!$C$2:$C$622,0)))</f>
        <v/>
      </c>
      <c r="I383" s="8">
        <f>IF(ISNA(MATCH(374,'Transfer Engine'!$C$2:$C$622,0)),"",INDEX('Compliance Database'!$I$2:$I$622,MATCH(374,'Transfer Engine'!$C$2:$C$622,0)))</f>
        <v/>
      </c>
      <c r="J383" s="8">
        <f>IF(ISNA(MATCH(374,'Transfer Engine'!$C$2:$C$622,0)),"",INDEX('Compliance Database'!$J$2:$J$622,MATCH(374,'Transfer Engine'!$C$2:$C$622,0)))</f>
        <v/>
      </c>
      <c r="K383">
        <f>IF(ISNA(MATCH(374,'Transfer Engine'!$C$2:$C$622,0)),"",INDEX('Compliance Database'!$K$2:$K$622,MATCH(374,'Transfer Engine'!$C$2:$C$622,0)))</f>
        <v/>
      </c>
      <c r="L383" s="8">
        <f>IF(ISNA(MATCH(374,'Transfer Engine'!$C$2:$C$622,0)),"",INDEX('Compliance Database'!$L$2:$L$622,MATCH(374,'Transfer Engine'!$C$2:$C$622,0)))</f>
        <v/>
      </c>
      <c r="M383" s="8">
        <f>IF(ISNA(MATCH(374,'Transfer Engine'!$C$2:$C$622,0)),"",INDEX('Compliance Database'!$M$2:$M$622,MATCH(374,'Transfer Engine'!$C$2:$C$622,0)))</f>
        <v/>
      </c>
      <c r="N383" s="8">
        <f>IF(ISNA(MATCH(374,'Transfer Engine'!$C$2:$C$622,0)),"",INDEX('Compliance Database'!$N$2:$N$622,MATCH(374,'Transfer Engine'!$C$2:$C$622,0)))</f>
        <v/>
      </c>
      <c r="O383" s="8">
        <f>IF(ISNA(MATCH(374,'Transfer Engine'!$C$2:$C$622,0)),"",INDEX('Compliance Database'!$O$2:$O$622,MATCH(374,'Transfer Engine'!$C$2:$C$622,0)))</f>
        <v/>
      </c>
    </row>
    <row r="384">
      <c r="A384">
        <f>IF(ISNA(MATCH(375,'Transfer Engine'!$C$2:$C$622,0)),"",INDEX('Compliance Database'!$A$2:$A$622,MATCH(375,'Transfer Engine'!$C$2:$C$622,0)))</f>
        <v/>
      </c>
      <c r="B384">
        <f>IF(ISNA(MATCH(375,'Transfer Engine'!$C$2:$C$622,0)),"",INDEX('Compliance Database'!$B$2:$B$622,MATCH(375,'Transfer Engine'!$C$2:$C$622,0)))</f>
        <v/>
      </c>
      <c r="C384">
        <f>IF(ISNA(MATCH(375,'Transfer Engine'!$C$2:$C$622,0)),"",INDEX('Compliance Database'!$C$2:$C$622,MATCH(375,'Transfer Engine'!$C$2:$C$622,0)))</f>
        <v/>
      </c>
      <c r="D384" s="8">
        <f>IF(ISNA(MATCH(375,'Transfer Engine'!$C$2:$C$622,0)),"",INDEX('Compliance Database'!$D$2:$D$622,MATCH(375,'Transfer Engine'!$C$2:$C$622,0)))</f>
        <v/>
      </c>
      <c r="E384">
        <f>IF(ISNA(MATCH(375,'Transfer Engine'!$C$2:$C$622,0)),"",INDEX('Compliance Database'!$E$2:$E$622,MATCH(375,'Transfer Engine'!$C$2:$C$622,0)))</f>
        <v/>
      </c>
      <c r="F384">
        <f>IF(ISNA(MATCH(375,'Transfer Engine'!$C$2:$C$622,0)),"",INDEX('Compliance Database'!$F$2:$F$622,MATCH(375,'Transfer Engine'!$C$2:$C$622,0)))</f>
        <v/>
      </c>
      <c r="G384">
        <f>IF(ISNA(MATCH(375,'Transfer Engine'!$C$2:$C$622,0)),"",INDEX('Compliance Database'!$G$2:$G$622,MATCH(375,'Transfer Engine'!$C$2:$C$622,0)))</f>
        <v/>
      </c>
      <c r="H384">
        <f>IF(ISNA(MATCH(375,'Transfer Engine'!$C$2:$C$622,0)),"",INDEX('Compliance Database'!$H$2:$H$622,MATCH(375,'Transfer Engine'!$C$2:$C$622,0)))</f>
        <v/>
      </c>
      <c r="I384" s="8">
        <f>IF(ISNA(MATCH(375,'Transfer Engine'!$C$2:$C$622,0)),"",INDEX('Compliance Database'!$I$2:$I$622,MATCH(375,'Transfer Engine'!$C$2:$C$622,0)))</f>
        <v/>
      </c>
      <c r="J384" s="8">
        <f>IF(ISNA(MATCH(375,'Transfer Engine'!$C$2:$C$622,0)),"",INDEX('Compliance Database'!$J$2:$J$622,MATCH(375,'Transfer Engine'!$C$2:$C$622,0)))</f>
        <v/>
      </c>
      <c r="K384">
        <f>IF(ISNA(MATCH(375,'Transfer Engine'!$C$2:$C$622,0)),"",INDEX('Compliance Database'!$K$2:$K$622,MATCH(375,'Transfer Engine'!$C$2:$C$622,0)))</f>
        <v/>
      </c>
      <c r="L384" s="8">
        <f>IF(ISNA(MATCH(375,'Transfer Engine'!$C$2:$C$622,0)),"",INDEX('Compliance Database'!$L$2:$L$622,MATCH(375,'Transfer Engine'!$C$2:$C$622,0)))</f>
        <v/>
      </c>
      <c r="M384" s="8">
        <f>IF(ISNA(MATCH(375,'Transfer Engine'!$C$2:$C$622,0)),"",INDEX('Compliance Database'!$M$2:$M$622,MATCH(375,'Transfer Engine'!$C$2:$C$622,0)))</f>
        <v/>
      </c>
      <c r="N384" s="8">
        <f>IF(ISNA(MATCH(375,'Transfer Engine'!$C$2:$C$622,0)),"",INDEX('Compliance Database'!$N$2:$N$622,MATCH(375,'Transfer Engine'!$C$2:$C$622,0)))</f>
        <v/>
      </c>
      <c r="O384" s="8">
        <f>IF(ISNA(MATCH(375,'Transfer Engine'!$C$2:$C$622,0)),"",INDEX('Compliance Database'!$O$2:$O$622,MATCH(375,'Transfer Engine'!$C$2:$C$622,0)))</f>
        <v/>
      </c>
    </row>
    <row r="385">
      <c r="A385">
        <f>IF(ISNA(MATCH(376,'Transfer Engine'!$C$2:$C$622,0)),"",INDEX('Compliance Database'!$A$2:$A$622,MATCH(376,'Transfer Engine'!$C$2:$C$622,0)))</f>
        <v/>
      </c>
      <c r="B385">
        <f>IF(ISNA(MATCH(376,'Transfer Engine'!$C$2:$C$622,0)),"",INDEX('Compliance Database'!$B$2:$B$622,MATCH(376,'Transfer Engine'!$C$2:$C$622,0)))</f>
        <v/>
      </c>
      <c r="C385">
        <f>IF(ISNA(MATCH(376,'Transfer Engine'!$C$2:$C$622,0)),"",INDEX('Compliance Database'!$C$2:$C$622,MATCH(376,'Transfer Engine'!$C$2:$C$622,0)))</f>
        <v/>
      </c>
      <c r="D385" s="8">
        <f>IF(ISNA(MATCH(376,'Transfer Engine'!$C$2:$C$622,0)),"",INDEX('Compliance Database'!$D$2:$D$622,MATCH(376,'Transfer Engine'!$C$2:$C$622,0)))</f>
        <v/>
      </c>
      <c r="E385">
        <f>IF(ISNA(MATCH(376,'Transfer Engine'!$C$2:$C$622,0)),"",INDEX('Compliance Database'!$E$2:$E$622,MATCH(376,'Transfer Engine'!$C$2:$C$622,0)))</f>
        <v/>
      </c>
      <c r="F385">
        <f>IF(ISNA(MATCH(376,'Transfer Engine'!$C$2:$C$622,0)),"",INDEX('Compliance Database'!$F$2:$F$622,MATCH(376,'Transfer Engine'!$C$2:$C$622,0)))</f>
        <v/>
      </c>
      <c r="G385">
        <f>IF(ISNA(MATCH(376,'Transfer Engine'!$C$2:$C$622,0)),"",INDEX('Compliance Database'!$G$2:$G$622,MATCH(376,'Transfer Engine'!$C$2:$C$622,0)))</f>
        <v/>
      </c>
      <c r="H385">
        <f>IF(ISNA(MATCH(376,'Transfer Engine'!$C$2:$C$622,0)),"",INDEX('Compliance Database'!$H$2:$H$622,MATCH(376,'Transfer Engine'!$C$2:$C$622,0)))</f>
        <v/>
      </c>
      <c r="I385" s="8">
        <f>IF(ISNA(MATCH(376,'Transfer Engine'!$C$2:$C$622,0)),"",INDEX('Compliance Database'!$I$2:$I$622,MATCH(376,'Transfer Engine'!$C$2:$C$622,0)))</f>
        <v/>
      </c>
      <c r="J385" s="8">
        <f>IF(ISNA(MATCH(376,'Transfer Engine'!$C$2:$C$622,0)),"",INDEX('Compliance Database'!$J$2:$J$622,MATCH(376,'Transfer Engine'!$C$2:$C$622,0)))</f>
        <v/>
      </c>
      <c r="K385">
        <f>IF(ISNA(MATCH(376,'Transfer Engine'!$C$2:$C$622,0)),"",INDEX('Compliance Database'!$K$2:$K$622,MATCH(376,'Transfer Engine'!$C$2:$C$622,0)))</f>
        <v/>
      </c>
      <c r="L385" s="8">
        <f>IF(ISNA(MATCH(376,'Transfer Engine'!$C$2:$C$622,0)),"",INDEX('Compliance Database'!$L$2:$L$622,MATCH(376,'Transfer Engine'!$C$2:$C$622,0)))</f>
        <v/>
      </c>
      <c r="M385" s="8">
        <f>IF(ISNA(MATCH(376,'Transfer Engine'!$C$2:$C$622,0)),"",INDEX('Compliance Database'!$M$2:$M$622,MATCH(376,'Transfer Engine'!$C$2:$C$622,0)))</f>
        <v/>
      </c>
      <c r="N385" s="8">
        <f>IF(ISNA(MATCH(376,'Transfer Engine'!$C$2:$C$622,0)),"",INDEX('Compliance Database'!$N$2:$N$622,MATCH(376,'Transfer Engine'!$C$2:$C$622,0)))</f>
        <v/>
      </c>
      <c r="O385" s="8">
        <f>IF(ISNA(MATCH(376,'Transfer Engine'!$C$2:$C$622,0)),"",INDEX('Compliance Database'!$O$2:$O$622,MATCH(376,'Transfer Engine'!$C$2:$C$622,0)))</f>
        <v/>
      </c>
    </row>
    <row r="386">
      <c r="A386">
        <f>IF(ISNA(MATCH(377,'Transfer Engine'!$C$2:$C$622,0)),"",INDEX('Compliance Database'!$A$2:$A$622,MATCH(377,'Transfer Engine'!$C$2:$C$622,0)))</f>
        <v/>
      </c>
      <c r="B386">
        <f>IF(ISNA(MATCH(377,'Transfer Engine'!$C$2:$C$622,0)),"",INDEX('Compliance Database'!$B$2:$B$622,MATCH(377,'Transfer Engine'!$C$2:$C$622,0)))</f>
        <v/>
      </c>
      <c r="C386">
        <f>IF(ISNA(MATCH(377,'Transfer Engine'!$C$2:$C$622,0)),"",INDEX('Compliance Database'!$C$2:$C$622,MATCH(377,'Transfer Engine'!$C$2:$C$622,0)))</f>
        <v/>
      </c>
      <c r="D386" s="8">
        <f>IF(ISNA(MATCH(377,'Transfer Engine'!$C$2:$C$622,0)),"",INDEX('Compliance Database'!$D$2:$D$622,MATCH(377,'Transfer Engine'!$C$2:$C$622,0)))</f>
        <v/>
      </c>
      <c r="E386">
        <f>IF(ISNA(MATCH(377,'Transfer Engine'!$C$2:$C$622,0)),"",INDEX('Compliance Database'!$E$2:$E$622,MATCH(377,'Transfer Engine'!$C$2:$C$622,0)))</f>
        <v/>
      </c>
      <c r="F386">
        <f>IF(ISNA(MATCH(377,'Transfer Engine'!$C$2:$C$622,0)),"",INDEX('Compliance Database'!$F$2:$F$622,MATCH(377,'Transfer Engine'!$C$2:$C$622,0)))</f>
        <v/>
      </c>
      <c r="G386">
        <f>IF(ISNA(MATCH(377,'Transfer Engine'!$C$2:$C$622,0)),"",INDEX('Compliance Database'!$G$2:$G$622,MATCH(377,'Transfer Engine'!$C$2:$C$622,0)))</f>
        <v/>
      </c>
      <c r="H386">
        <f>IF(ISNA(MATCH(377,'Transfer Engine'!$C$2:$C$622,0)),"",INDEX('Compliance Database'!$H$2:$H$622,MATCH(377,'Transfer Engine'!$C$2:$C$622,0)))</f>
        <v/>
      </c>
      <c r="I386" s="8">
        <f>IF(ISNA(MATCH(377,'Transfer Engine'!$C$2:$C$622,0)),"",INDEX('Compliance Database'!$I$2:$I$622,MATCH(377,'Transfer Engine'!$C$2:$C$622,0)))</f>
        <v/>
      </c>
      <c r="J386" s="8">
        <f>IF(ISNA(MATCH(377,'Transfer Engine'!$C$2:$C$622,0)),"",INDEX('Compliance Database'!$J$2:$J$622,MATCH(377,'Transfer Engine'!$C$2:$C$622,0)))</f>
        <v/>
      </c>
      <c r="K386">
        <f>IF(ISNA(MATCH(377,'Transfer Engine'!$C$2:$C$622,0)),"",INDEX('Compliance Database'!$K$2:$K$622,MATCH(377,'Transfer Engine'!$C$2:$C$622,0)))</f>
        <v/>
      </c>
      <c r="L386" s="8">
        <f>IF(ISNA(MATCH(377,'Transfer Engine'!$C$2:$C$622,0)),"",INDEX('Compliance Database'!$L$2:$L$622,MATCH(377,'Transfer Engine'!$C$2:$C$622,0)))</f>
        <v/>
      </c>
      <c r="M386" s="8">
        <f>IF(ISNA(MATCH(377,'Transfer Engine'!$C$2:$C$622,0)),"",INDEX('Compliance Database'!$M$2:$M$622,MATCH(377,'Transfer Engine'!$C$2:$C$622,0)))</f>
        <v/>
      </c>
      <c r="N386" s="8">
        <f>IF(ISNA(MATCH(377,'Transfer Engine'!$C$2:$C$622,0)),"",INDEX('Compliance Database'!$N$2:$N$622,MATCH(377,'Transfer Engine'!$C$2:$C$622,0)))</f>
        <v/>
      </c>
      <c r="O386" s="8">
        <f>IF(ISNA(MATCH(377,'Transfer Engine'!$C$2:$C$622,0)),"",INDEX('Compliance Database'!$O$2:$O$622,MATCH(377,'Transfer Engine'!$C$2:$C$622,0)))</f>
        <v/>
      </c>
    </row>
    <row r="387">
      <c r="A387">
        <f>IF(ISNA(MATCH(378,'Transfer Engine'!$C$2:$C$622,0)),"",INDEX('Compliance Database'!$A$2:$A$622,MATCH(378,'Transfer Engine'!$C$2:$C$622,0)))</f>
        <v/>
      </c>
      <c r="B387">
        <f>IF(ISNA(MATCH(378,'Transfer Engine'!$C$2:$C$622,0)),"",INDEX('Compliance Database'!$B$2:$B$622,MATCH(378,'Transfer Engine'!$C$2:$C$622,0)))</f>
        <v/>
      </c>
      <c r="C387">
        <f>IF(ISNA(MATCH(378,'Transfer Engine'!$C$2:$C$622,0)),"",INDEX('Compliance Database'!$C$2:$C$622,MATCH(378,'Transfer Engine'!$C$2:$C$622,0)))</f>
        <v/>
      </c>
      <c r="D387" s="8">
        <f>IF(ISNA(MATCH(378,'Transfer Engine'!$C$2:$C$622,0)),"",INDEX('Compliance Database'!$D$2:$D$622,MATCH(378,'Transfer Engine'!$C$2:$C$622,0)))</f>
        <v/>
      </c>
      <c r="E387">
        <f>IF(ISNA(MATCH(378,'Transfer Engine'!$C$2:$C$622,0)),"",INDEX('Compliance Database'!$E$2:$E$622,MATCH(378,'Transfer Engine'!$C$2:$C$622,0)))</f>
        <v/>
      </c>
      <c r="F387">
        <f>IF(ISNA(MATCH(378,'Transfer Engine'!$C$2:$C$622,0)),"",INDEX('Compliance Database'!$F$2:$F$622,MATCH(378,'Transfer Engine'!$C$2:$C$622,0)))</f>
        <v/>
      </c>
      <c r="G387">
        <f>IF(ISNA(MATCH(378,'Transfer Engine'!$C$2:$C$622,0)),"",INDEX('Compliance Database'!$G$2:$G$622,MATCH(378,'Transfer Engine'!$C$2:$C$622,0)))</f>
        <v/>
      </c>
      <c r="H387">
        <f>IF(ISNA(MATCH(378,'Transfer Engine'!$C$2:$C$622,0)),"",INDEX('Compliance Database'!$H$2:$H$622,MATCH(378,'Transfer Engine'!$C$2:$C$622,0)))</f>
        <v/>
      </c>
      <c r="I387" s="8">
        <f>IF(ISNA(MATCH(378,'Transfer Engine'!$C$2:$C$622,0)),"",INDEX('Compliance Database'!$I$2:$I$622,MATCH(378,'Transfer Engine'!$C$2:$C$622,0)))</f>
        <v/>
      </c>
      <c r="J387" s="8">
        <f>IF(ISNA(MATCH(378,'Transfer Engine'!$C$2:$C$622,0)),"",INDEX('Compliance Database'!$J$2:$J$622,MATCH(378,'Transfer Engine'!$C$2:$C$622,0)))</f>
        <v/>
      </c>
      <c r="K387">
        <f>IF(ISNA(MATCH(378,'Transfer Engine'!$C$2:$C$622,0)),"",INDEX('Compliance Database'!$K$2:$K$622,MATCH(378,'Transfer Engine'!$C$2:$C$622,0)))</f>
        <v/>
      </c>
      <c r="L387" s="8">
        <f>IF(ISNA(MATCH(378,'Transfer Engine'!$C$2:$C$622,0)),"",INDEX('Compliance Database'!$L$2:$L$622,MATCH(378,'Transfer Engine'!$C$2:$C$622,0)))</f>
        <v/>
      </c>
      <c r="M387" s="8">
        <f>IF(ISNA(MATCH(378,'Transfer Engine'!$C$2:$C$622,0)),"",INDEX('Compliance Database'!$M$2:$M$622,MATCH(378,'Transfer Engine'!$C$2:$C$622,0)))</f>
        <v/>
      </c>
      <c r="N387" s="8">
        <f>IF(ISNA(MATCH(378,'Transfer Engine'!$C$2:$C$622,0)),"",INDEX('Compliance Database'!$N$2:$N$622,MATCH(378,'Transfer Engine'!$C$2:$C$622,0)))</f>
        <v/>
      </c>
      <c r="O387" s="8">
        <f>IF(ISNA(MATCH(378,'Transfer Engine'!$C$2:$C$622,0)),"",INDEX('Compliance Database'!$O$2:$O$622,MATCH(378,'Transfer Engine'!$C$2:$C$622,0)))</f>
        <v/>
      </c>
    </row>
    <row r="388">
      <c r="A388">
        <f>IF(ISNA(MATCH(379,'Transfer Engine'!$C$2:$C$622,0)),"",INDEX('Compliance Database'!$A$2:$A$622,MATCH(379,'Transfer Engine'!$C$2:$C$622,0)))</f>
        <v/>
      </c>
      <c r="B388">
        <f>IF(ISNA(MATCH(379,'Transfer Engine'!$C$2:$C$622,0)),"",INDEX('Compliance Database'!$B$2:$B$622,MATCH(379,'Transfer Engine'!$C$2:$C$622,0)))</f>
        <v/>
      </c>
      <c r="C388">
        <f>IF(ISNA(MATCH(379,'Transfer Engine'!$C$2:$C$622,0)),"",INDEX('Compliance Database'!$C$2:$C$622,MATCH(379,'Transfer Engine'!$C$2:$C$622,0)))</f>
        <v/>
      </c>
      <c r="D388" s="8">
        <f>IF(ISNA(MATCH(379,'Transfer Engine'!$C$2:$C$622,0)),"",INDEX('Compliance Database'!$D$2:$D$622,MATCH(379,'Transfer Engine'!$C$2:$C$622,0)))</f>
        <v/>
      </c>
      <c r="E388">
        <f>IF(ISNA(MATCH(379,'Transfer Engine'!$C$2:$C$622,0)),"",INDEX('Compliance Database'!$E$2:$E$622,MATCH(379,'Transfer Engine'!$C$2:$C$622,0)))</f>
        <v/>
      </c>
      <c r="F388">
        <f>IF(ISNA(MATCH(379,'Transfer Engine'!$C$2:$C$622,0)),"",INDEX('Compliance Database'!$F$2:$F$622,MATCH(379,'Transfer Engine'!$C$2:$C$622,0)))</f>
        <v/>
      </c>
      <c r="G388">
        <f>IF(ISNA(MATCH(379,'Transfer Engine'!$C$2:$C$622,0)),"",INDEX('Compliance Database'!$G$2:$G$622,MATCH(379,'Transfer Engine'!$C$2:$C$622,0)))</f>
        <v/>
      </c>
      <c r="H388">
        <f>IF(ISNA(MATCH(379,'Transfer Engine'!$C$2:$C$622,0)),"",INDEX('Compliance Database'!$H$2:$H$622,MATCH(379,'Transfer Engine'!$C$2:$C$622,0)))</f>
        <v/>
      </c>
      <c r="I388" s="8">
        <f>IF(ISNA(MATCH(379,'Transfer Engine'!$C$2:$C$622,0)),"",INDEX('Compliance Database'!$I$2:$I$622,MATCH(379,'Transfer Engine'!$C$2:$C$622,0)))</f>
        <v/>
      </c>
      <c r="J388" s="8">
        <f>IF(ISNA(MATCH(379,'Transfer Engine'!$C$2:$C$622,0)),"",INDEX('Compliance Database'!$J$2:$J$622,MATCH(379,'Transfer Engine'!$C$2:$C$622,0)))</f>
        <v/>
      </c>
      <c r="K388">
        <f>IF(ISNA(MATCH(379,'Transfer Engine'!$C$2:$C$622,0)),"",INDEX('Compliance Database'!$K$2:$K$622,MATCH(379,'Transfer Engine'!$C$2:$C$622,0)))</f>
        <v/>
      </c>
      <c r="L388" s="8">
        <f>IF(ISNA(MATCH(379,'Transfer Engine'!$C$2:$C$622,0)),"",INDEX('Compliance Database'!$L$2:$L$622,MATCH(379,'Transfer Engine'!$C$2:$C$622,0)))</f>
        <v/>
      </c>
      <c r="M388" s="8">
        <f>IF(ISNA(MATCH(379,'Transfer Engine'!$C$2:$C$622,0)),"",INDEX('Compliance Database'!$M$2:$M$622,MATCH(379,'Transfer Engine'!$C$2:$C$622,0)))</f>
        <v/>
      </c>
      <c r="N388" s="8">
        <f>IF(ISNA(MATCH(379,'Transfer Engine'!$C$2:$C$622,0)),"",INDEX('Compliance Database'!$N$2:$N$622,MATCH(379,'Transfer Engine'!$C$2:$C$622,0)))</f>
        <v/>
      </c>
      <c r="O388" s="8">
        <f>IF(ISNA(MATCH(379,'Transfer Engine'!$C$2:$C$622,0)),"",INDEX('Compliance Database'!$O$2:$O$622,MATCH(379,'Transfer Engine'!$C$2:$C$622,0)))</f>
        <v/>
      </c>
    </row>
    <row r="389">
      <c r="A389">
        <f>IF(ISNA(MATCH(380,'Transfer Engine'!$C$2:$C$622,0)),"",INDEX('Compliance Database'!$A$2:$A$622,MATCH(380,'Transfer Engine'!$C$2:$C$622,0)))</f>
        <v/>
      </c>
      <c r="B389">
        <f>IF(ISNA(MATCH(380,'Transfer Engine'!$C$2:$C$622,0)),"",INDEX('Compliance Database'!$B$2:$B$622,MATCH(380,'Transfer Engine'!$C$2:$C$622,0)))</f>
        <v/>
      </c>
      <c r="C389">
        <f>IF(ISNA(MATCH(380,'Transfer Engine'!$C$2:$C$622,0)),"",INDEX('Compliance Database'!$C$2:$C$622,MATCH(380,'Transfer Engine'!$C$2:$C$622,0)))</f>
        <v/>
      </c>
      <c r="D389" s="8">
        <f>IF(ISNA(MATCH(380,'Transfer Engine'!$C$2:$C$622,0)),"",INDEX('Compliance Database'!$D$2:$D$622,MATCH(380,'Transfer Engine'!$C$2:$C$622,0)))</f>
        <v/>
      </c>
      <c r="E389">
        <f>IF(ISNA(MATCH(380,'Transfer Engine'!$C$2:$C$622,0)),"",INDEX('Compliance Database'!$E$2:$E$622,MATCH(380,'Transfer Engine'!$C$2:$C$622,0)))</f>
        <v/>
      </c>
      <c r="F389">
        <f>IF(ISNA(MATCH(380,'Transfer Engine'!$C$2:$C$622,0)),"",INDEX('Compliance Database'!$F$2:$F$622,MATCH(380,'Transfer Engine'!$C$2:$C$622,0)))</f>
        <v/>
      </c>
      <c r="G389">
        <f>IF(ISNA(MATCH(380,'Transfer Engine'!$C$2:$C$622,0)),"",INDEX('Compliance Database'!$G$2:$G$622,MATCH(380,'Transfer Engine'!$C$2:$C$622,0)))</f>
        <v/>
      </c>
      <c r="H389">
        <f>IF(ISNA(MATCH(380,'Transfer Engine'!$C$2:$C$622,0)),"",INDEX('Compliance Database'!$H$2:$H$622,MATCH(380,'Transfer Engine'!$C$2:$C$622,0)))</f>
        <v/>
      </c>
      <c r="I389" s="8">
        <f>IF(ISNA(MATCH(380,'Transfer Engine'!$C$2:$C$622,0)),"",INDEX('Compliance Database'!$I$2:$I$622,MATCH(380,'Transfer Engine'!$C$2:$C$622,0)))</f>
        <v/>
      </c>
      <c r="J389" s="8">
        <f>IF(ISNA(MATCH(380,'Transfer Engine'!$C$2:$C$622,0)),"",INDEX('Compliance Database'!$J$2:$J$622,MATCH(380,'Transfer Engine'!$C$2:$C$622,0)))</f>
        <v/>
      </c>
      <c r="K389">
        <f>IF(ISNA(MATCH(380,'Transfer Engine'!$C$2:$C$622,0)),"",INDEX('Compliance Database'!$K$2:$K$622,MATCH(380,'Transfer Engine'!$C$2:$C$622,0)))</f>
        <v/>
      </c>
      <c r="L389" s="8">
        <f>IF(ISNA(MATCH(380,'Transfer Engine'!$C$2:$C$622,0)),"",INDEX('Compliance Database'!$L$2:$L$622,MATCH(380,'Transfer Engine'!$C$2:$C$622,0)))</f>
        <v/>
      </c>
      <c r="M389" s="8">
        <f>IF(ISNA(MATCH(380,'Transfer Engine'!$C$2:$C$622,0)),"",INDEX('Compliance Database'!$M$2:$M$622,MATCH(380,'Transfer Engine'!$C$2:$C$622,0)))</f>
        <v/>
      </c>
      <c r="N389" s="8">
        <f>IF(ISNA(MATCH(380,'Transfer Engine'!$C$2:$C$622,0)),"",INDEX('Compliance Database'!$N$2:$N$622,MATCH(380,'Transfer Engine'!$C$2:$C$622,0)))</f>
        <v/>
      </c>
      <c r="O389" s="8">
        <f>IF(ISNA(MATCH(380,'Transfer Engine'!$C$2:$C$622,0)),"",INDEX('Compliance Database'!$O$2:$O$622,MATCH(380,'Transfer Engine'!$C$2:$C$622,0)))</f>
        <v/>
      </c>
    </row>
    <row r="390">
      <c r="A390">
        <f>IF(ISNA(MATCH(381,'Transfer Engine'!$C$2:$C$622,0)),"",INDEX('Compliance Database'!$A$2:$A$622,MATCH(381,'Transfer Engine'!$C$2:$C$622,0)))</f>
        <v/>
      </c>
      <c r="B390">
        <f>IF(ISNA(MATCH(381,'Transfer Engine'!$C$2:$C$622,0)),"",INDEX('Compliance Database'!$B$2:$B$622,MATCH(381,'Transfer Engine'!$C$2:$C$622,0)))</f>
        <v/>
      </c>
      <c r="C390">
        <f>IF(ISNA(MATCH(381,'Transfer Engine'!$C$2:$C$622,0)),"",INDEX('Compliance Database'!$C$2:$C$622,MATCH(381,'Transfer Engine'!$C$2:$C$622,0)))</f>
        <v/>
      </c>
      <c r="D390" s="8">
        <f>IF(ISNA(MATCH(381,'Transfer Engine'!$C$2:$C$622,0)),"",INDEX('Compliance Database'!$D$2:$D$622,MATCH(381,'Transfer Engine'!$C$2:$C$622,0)))</f>
        <v/>
      </c>
      <c r="E390">
        <f>IF(ISNA(MATCH(381,'Transfer Engine'!$C$2:$C$622,0)),"",INDEX('Compliance Database'!$E$2:$E$622,MATCH(381,'Transfer Engine'!$C$2:$C$622,0)))</f>
        <v/>
      </c>
      <c r="F390">
        <f>IF(ISNA(MATCH(381,'Transfer Engine'!$C$2:$C$622,0)),"",INDEX('Compliance Database'!$F$2:$F$622,MATCH(381,'Transfer Engine'!$C$2:$C$622,0)))</f>
        <v/>
      </c>
      <c r="G390">
        <f>IF(ISNA(MATCH(381,'Transfer Engine'!$C$2:$C$622,0)),"",INDEX('Compliance Database'!$G$2:$G$622,MATCH(381,'Transfer Engine'!$C$2:$C$622,0)))</f>
        <v/>
      </c>
      <c r="H390">
        <f>IF(ISNA(MATCH(381,'Transfer Engine'!$C$2:$C$622,0)),"",INDEX('Compliance Database'!$H$2:$H$622,MATCH(381,'Transfer Engine'!$C$2:$C$622,0)))</f>
        <v/>
      </c>
      <c r="I390" s="8">
        <f>IF(ISNA(MATCH(381,'Transfer Engine'!$C$2:$C$622,0)),"",INDEX('Compliance Database'!$I$2:$I$622,MATCH(381,'Transfer Engine'!$C$2:$C$622,0)))</f>
        <v/>
      </c>
      <c r="J390" s="8">
        <f>IF(ISNA(MATCH(381,'Transfer Engine'!$C$2:$C$622,0)),"",INDEX('Compliance Database'!$J$2:$J$622,MATCH(381,'Transfer Engine'!$C$2:$C$622,0)))</f>
        <v/>
      </c>
      <c r="K390">
        <f>IF(ISNA(MATCH(381,'Transfer Engine'!$C$2:$C$622,0)),"",INDEX('Compliance Database'!$K$2:$K$622,MATCH(381,'Transfer Engine'!$C$2:$C$622,0)))</f>
        <v/>
      </c>
      <c r="L390" s="8">
        <f>IF(ISNA(MATCH(381,'Transfer Engine'!$C$2:$C$622,0)),"",INDEX('Compliance Database'!$L$2:$L$622,MATCH(381,'Transfer Engine'!$C$2:$C$622,0)))</f>
        <v/>
      </c>
      <c r="M390" s="8">
        <f>IF(ISNA(MATCH(381,'Transfer Engine'!$C$2:$C$622,0)),"",INDEX('Compliance Database'!$M$2:$M$622,MATCH(381,'Transfer Engine'!$C$2:$C$622,0)))</f>
        <v/>
      </c>
      <c r="N390" s="8">
        <f>IF(ISNA(MATCH(381,'Transfer Engine'!$C$2:$C$622,0)),"",INDEX('Compliance Database'!$N$2:$N$622,MATCH(381,'Transfer Engine'!$C$2:$C$622,0)))</f>
        <v/>
      </c>
      <c r="O390" s="8">
        <f>IF(ISNA(MATCH(381,'Transfer Engine'!$C$2:$C$622,0)),"",INDEX('Compliance Database'!$O$2:$O$622,MATCH(381,'Transfer Engine'!$C$2:$C$622,0)))</f>
        <v/>
      </c>
    </row>
    <row r="391">
      <c r="A391">
        <f>IF(ISNA(MATCH(382,'Transfer Engine'!$C$2:$C$622,0)),"",INDEX('Compliance Database'!$A$2:$A$622,MATCH(382,'Transfer Engine'!$C$2:$C$622,0)))</f>
        <v/>
      </c>
      <c r="B391">
        <f>IF(ISNA(MATCH(382,'Transfer Engine'!$C$2:$C$622,0)),"",INDEX('Compliance Database'!$B$2:$B$622,MATCH(382,'Transfer Engine'!$C$2:$C$622,0)))</f>
        <v/>
      </c>
      <c r="C391">
        <f>IF(ISNA(MATCH(382,'Transfer Engine'!$C$2:$C$622,0)),"",INDEX('Compliance Database'!$C$2:$C$622,MATCH(382,'Transfer Engine'!$C$2:$C$622,0)))</f>
        <v/>
      </c>
      <c r="D391" s="8">
        <f>IF(ISNA(MATCH(382,'Transfer Engine'!$C$2:$C$622,0)),"",INDEX('Compliance Database'!$D$2:$D$622,MATCH(382,'Transfer Engine'!$C$2:$C$622,0)))</f>
        <v/>
      </c>
      <c r="E391">
        <f>IF(ISNA(MATCH(382,'Transfer Engine'!$C$2:$C$622,0)),"",INDEX('Compliance Database'!$E$2:$E$622,MATCH(382,'Transfer Engine'!$C$2:$C$622,0)))</f>
        <v/>
      </c>
      <c r="F391">
        <f>IF(ISNA(MATCH(382,'Transfer Engine'!$C$2:$C$622,0)),"",INDEX('Compliance Database'!$F$2:$F$622,MATCH(382,'Transfer Engine'!$C$2:$C$622,0)))</f>
        <v/>
      </c>
      <c r="G391">
        <f>IF(ISNA(MATCH(382,'Transfer Engine'!$C$2:$C$622,0)),"",INDEX('Compliance Database'!$G$2:$G$622,MATCH(382,'Transfer Engine'!$C$2:$C$622,0)))</f>
        <v/>
      </c>
      <c r="H391">
        <f>IF(ISNA(MATCH(382,'Transfer Engine'!$C$2:$C$622,0)),"",INDEX('Compliance Database'!$H$2:$H$622,MATCH(382,'Transfer Engine'!$C$2:$C$622,0)))</f>
        <v/>
      </c>
      <c r="I391" s="8">
        <f>IF(ISNA(MATCH(382,'Transfer Engine'!$C$2:$C$622,0)),"",INDEX('Compliance Database'!$I$2:$I$622,MATCH(382,'Transfer Engine'!$C$2:$C$622,0)))</f>
        <v/>
      </c>
      <c r="J391" s="8">
        <f>IF(ISNA(MATCH(382,'Transfer Engine'!$C$2:$C$622,0)),"",INDEX('Compliance Database'!$J$2:$J$622,MATCH(382,'Transfer Engine'!$C$2:$C$622,0)))</f>
        <v/>
      </c>
      <c r="K391">
        <f>IF(ISNA(MATCH(382,'Transfer Engine'!$C$2:$C$622,0)),"",INDEX('Compliance Database'!$K$2:$K$622,MATCH(382,'Transfer Engine'!$C$2:$C$622,0)))</f>
        <v/>
      </c>
      <c r="L391" s="8">
        <f>IF(ISNA(MATCH(382,'Transfer Engine'!$C$2:$C$622,0)),"",INDEX('Compliance Database'!$L$2:$L$622,MATCH(382,'Transfer Engine'!$C$2:$C$622,0)))</f>
        <v/>
      </c>
      <c r="M391" s="8">
        <f>IF(ISNA(MATCH(382,'Transfer Engine'!$C$2:$C$622,0)),"",INDEX('Compliance Database'!$M$2:$M$622,MATCH(382,'Transfer Engine'!$C$2:$C$622,0)))</f>
        <v/>
      </c>
      <c r="N391" s="8">
        <f>IF(ISNA(MATCH(382,'Transfer Engine'!$C$2:$C$622,0)),"",INDEX('Compliance Database'!$N$2:$N$622,MATCH(382,'Transfer Engine'!$C$2:$C$622,0)))</f>
        <v/>
      </c>
      <c r="O391" s="8">
        <f>IF(ISNA(MATCH(382,'Transfer Engine'!$C$2:$C$622,0)),"",INDEX('Compliance Database'!$O$2:$O$622,MATCH(382,'Transfer Engine'!$C$2:$C$622,0)))</f>
        <v/>
      </c>
    </row>
    <row r="392">
      <c r="A392">
        <f>IF(ISNA(MATCH(383,'Transfer Engine'!$C$2:$C$622,0)),"",INDEX('Compliance Database'!$A$2:$A$622,MATCH(383,'Transfer Engine'!$C$2:$C$622,0)))</f>
        <v/>
      </c>
      <c r="B392">
        <f>IF(ISNA(MATCH(383,'Transfer Engine'!$C$2:$C$622,0)),"",INDEX('Compliance Database'!$B$2:$B$622,MATCH(383,'Transfer Engine'!$C$2:$C$622,0)))</f>
        <v/>
      </c>
      <c r="C392">
        <f>IF(ISNA(MATCH(383,'Transfer Engine'!$C$2:$C$622,0)),"",INDEX('Compliance Database'!$C$2:$C$622,MATCH(383,'Transfer Engine'!$C$2:$C$622,0)))</f>
        <v/>
      </c>
      <c r="D392" s="8">
        <f>IF(ISNA(MATCH(383,'Transfer Engine'!$C$2:$C$622,0)),"",INDEX('Compliance Database'!$D$2:$D$622,MATCH(383,'Transfer Engine'!$C$2:$C$622,0)))</f>
        <v/>
      </c>
      <c r="E392">
        <f>IF(ISNA(MATCH(383,'Transfer Engine'!$C$2:$C$622,0)),"",INDEX('Compliance Database'!$E$2:$E$622,MATCH(383,'Transfer Engine'!$C$2:$C$622,0)))</f>
        <v/>
      </c>
      <c r="F392">
        <f>IF(ISNA(MATCH(383,'Transfer Engine'!$C$2:$C$622,0)),"",INDEX('Compliance Database'!$F$2:$F$622,MATCH(383,'Transfer Engine'!$C$2:$C$622,0)))</f>
        <v/>
      </c>
      <c r="G392">
        <f>IF(ISNA(MATCH(383,'Transfer Engine'!$C$2:$C$622,0)),"",INDEX('Compliance Database'!$G$2:$G$622,MATCH(383,'Transfer Engine'!$C$2:$C$622,0)))</f>
        <v/>
      </c>
      <c r="H392">
        <f>IF(ISNA(MATCH(383,'Transfer Engine'!$C$2:$C$622,0)),"",INDEX('Compliance Database'!$H$2:$H$622,MATCH(383,'Transfer Engine'!$C$2:$C$622,0)))</f>
        <v/>
      </c>
      <c r="I392" s="8">
        <f>IF(ISNA(MATCH(383,'Transfer Engine'!$C$2:$C$622,0)),"",INDEX('Compliance Database'!$I$2:$I$622,MATCH(383,'Transfer Engine'!$C$2:$C$622,0)))</f>
        <v/>
      </c>
      <c r="J392" s="8">
        <f>IF(ISNA(MATCH(383,'Transfer Engine'!$C$2:$C$622,0)),"",INDEX('Compliance Database'!$J$2:$J$622,MATCH(383,'Transfer Engine'!$C$2:$C$622,0)))</f>
        <v/>
      </c>
      <c r="K392">
        <f>IF(ISNA(MATCH(383,'Transfer Engine'!$C$2:$C$622,0)),"",INDEX('Compliance Database'!$K$2:$K$622,MATCH(383,'Transfer Engine'!$C$2:$C$622,0)))</f>
        <v/>
      </c>
      <c r="L392" s="8">
        <f>IF(ISNA(MATCH(383,'Transfer Engine'!$C$2:$C$622,0)),"",INDEX('Compliance Database'!$L$2:$L$622,MATCH(383,'Transfer Engine'!$C$2:$C$622,0)))</f>
        <v/>
      </c>
      <c r="M392" s="8">
        <f>IF(ISNA(MATCH(383,'Transfer Engine'!$C$2:$C$622,0)),"",INDEX('Compliance Database'!$M$2:$M$622,MATCH(383,'Transfer Engine'!$C$2:$C$622,0)))</f>
        <v/>
      </c>
      <c r="N392" s="8">
        <f>IF(ISNA(MATCH(383,'Transfer Engine'!$C$2:$C$622,0)),"",INDEX('Compliance Database'!$N$2:$N$622,MATCH(383,'Transfer Engine'!$C$2:$C$622,0)))</f>
        <v/>
      </c>
      <c r="O392" s="8">
        <f>IF(ISNA(MATCH(383,'Transfer Engine'!$C$2:$C$622,0)),"",INDEX('Compliance Database'!$O$2:$O$622,MATCH(383,'Transfer Engine'!$C$2:$C$622,0)))</f>
        <v/>
      </c>
    </row>
    <row r="393">
      <c r="A393">
        <f>IF(ISNA(MATCH(384,'Transfer Engine'!$C$2:$C$622,0)),"",INDEX('Compliance Database'!$A$2:$A$622,MATCH(384,'Transfer Engine'!$C$2:$C$622,0)))</f>
        <v/>
      </c>
      <c r="B393">
        <f>IF(ISNA(MATCH(384,'Transfer Engine'!$C$2:$C$622,0)),"",INDEX('Compliance Database'!$B$2:$B$622,MATCH(384,'Transfer Engine'!$C$2:$C$622,0)))</f>
        <v/>
      </c>
      <c r="C393">
        <f>IF(ISNA(MATCH(384,'Transfer Engine'!$C$2:$C$622,0)),"",INDEX('Compliance Database'!$C$2:$C$622,MATCH(384,'Transfer Engine'!$C$2:$C$622,0)))</f>
        <v/>
      </c>
      <c r="D393" s="8">
        <f>IF(ISNA(MATCH(384,'Transfer Engine'!$C$2:$C$622,0)),"",INDEX('Compliance Database'!$D$2:$D$622,MATCH(384,'Transfer Engine'!$C$2:$C$622,0)))</f>
        <v/>
      </c>
      <c r="E393">
        <f>IF(ISNA(MATCH(384,'Transfer Engine'!$C$2:$C$622,0)),"",INDEX('Compliance Database'!$E$2:$E$622,MATCH(384,'Transfer Engine'!$C$2:$C$622,0)))</f>
        <v/>
      </c>
      <c r="F393">
        <f>IF(ISNA(MATCH(384,'Transfer Engine'!$C$2:$C$622,0)),"",INDEX('Compliance Database'!$F$2:$F$622,MATCH(384,'Transfer Engine'!$C$2:$C$622,0)))</f>
        <v/>
      </c>
      <c r="G393">
        <f>IF(ISNA(MATCH(384,'Transfer Engine'!$C$2:$C$622,0)),"",INDEX('Compliance Database'!$G$2:$G$622,MATCH(384,'Transfer Engine'!$C$2:$C$622,0)))</f>
        <v/>
      </c>
      <c r="H393">
        <f>IF(ISNA(MATCH(384,'Transfer Engine'!$C$2:$C$622,0)),"",INDEX('Compliance Database'!$H$2:$H$622,MATCH(384,'Transfer Engine'!$C$2:$C$622,0)))</f>
        <v/>
      </c>
      <c r="I393" s="8">
        <f>IF(ISNA(MATCH(384,'Transfer Engine'!$C$2:$C$622,0)),"",INDEX('Compliance Database'!$I$2:$I$622,MATCH(384,'Transfer Engine'!$C$2:$C$622,0)))</f>
        <v/>
      </c>
      <c r="J393" s="8">
        <f>IF(ISNA(MATCH(384,'Transfer Engine'!$C$2:$C$622,0)),"",INDEX('Compliance Database'!$J$2:$J$622,MATCH(384,'Transfer Engine'!$C$2:$C$622,0)))</f>
        <v/>
      </c>
      <c r="K393">
        <f>IF(ISNA(MATCH(384,'Transfer Engine'!$C$2:$C$622,0)),"",INDEX('Compliance Database'!$K$2:$K$622,MATCH(384,'Transfer Engine'!$C$2:$C$622,0)))</f>
        <v/>
      </c>
      <c r="L393" s="8">
        <f>IF(ISNA(MATCH(384,'Transfer Engine'!$C$2:$C$622,0)),"",INDEX('Compliance Database'!$L$2:$L$622,MATCH(384,'Transfer Engine'!$C$2:$C$622,0)))</f>
        <v/>
      </c>
      <c r="M393" s="8">
        <f>IF(ISNA(MATCH(384,'Transfer Engine'!$C$2:$C$622,0)),"",INDEX('Compliance Database'!$M$2:$M$622,MATCH(384,'Transfer Engine'!$C$2:$C$622,0)))</f>
        <v/>
      </c>
      <c r="N393" s="8">
        <f>IF(ISNA(MATCH(384,'Transfer Engine'!$C$2:$C$622,0)),"",INDEX('Compliance Database'!$N$2:$N$622,MATCH(384,'Transfer Engine'!$C$2:$C$622,0)))</f>
        <v/>
      </c>
      <c r="O393" s="8">
        <f>IF(ISNA(MATCH(384,'Transfer Engine'!$C$2:$C$622,0)),"",INDEX('Compliance Database'!$O$2:$O$622,MATCH(384,'Transfer Engine'!$C$2:$C$622,0)))</f>
        <v/>
      </c>
    </row>
    <row r="394">
      <c r="A394">
        <f>IF(ISNA(MATCH(385,'Transfer Engine'!$C$2:$C$622,0)),"",INDEX('Compliance Database'!$A$2:$A$622,MATCH(385,'Transfer Engine'!$C$2:$C$622,0)))</f>
        <v/>
      </c>
      <c r="B394">
        <f>IF(ISNA(MATCH(385,'Transfer Engine'!$C$2:$C$622,0)),"",INDEX('Compliance Database'!$B$2:$B$622,MATCH(385,'Transfer Engine'!$C$2:$C$622,0)))</f>
        <v/>
      </c>
      <c r="C394">
        <f>IF(ISNA(MATCH(385,'Transfer Engine'!$C$2:$C$622,0)),"",INDEX('Compliance Database'!$C$2:$C$622,MATCH(385,'Transfer Engine'!$C$2:$C$622,0)))</f>
        <v/>
      </c>
      <c r="D394" s="8">
        <f>IF(ISNA(MATCH(385,'Transfer Engine'!$C$2:$C$622,0)),"",INDEX('Compliance Database'!$D$2:$D$622,MATCH(385,'Transfer Engine'!$C$2:$C$622,0)))</f>
        <v/>
      </c>
      <c r="E394">
        <f>IF(ISNA(MATCH(385,'Transfer Engine'!$C$2:$C$622,0)),"",INDEX('Compliance Database'!$E$2:$E$622,MATCH(385,'Transfer Engine'!$C$2:$C$622,0)))</f>
        <v/>
      </c>
      <c r="F394">
        <f>IF(ISNA(MATCH(385,'Transfer Engine'!$C$2:$C$622,0)),"",INDEX('Compliance Database'!$F$2:$F$622,MATCH(385,'Transfer Engine'!$C$2:$C$622,0)))</f>
        <v/>
      </c>
      <c r="G394">
        <f>IF(ISNA(MATCH(385,'Transfer Engine'!$C$2:$C$622,0)),"",INDEX('Compliance Database'!$G$2:$G$622,MATCH(385,'Transfer Engine'!$C$2:$C$622,0)))</f>
        <v/>
      </c>
      <c r="H394">
        <f>IF(ISNA(MATCH(385,'Transfer Engine'!$C$2:$C$622,0)),"",INDEX('Compliance Database'!$H$2:$H$622,MATCH(385,'Transfer Engine'!$C$2:$C$622,0)))</f>
        <v/>
      </c>
      <c r="I394" s="8">
        <f>IF(ISNA(MATCH(385,'Transfer Engine'!$C$2:$C$622,0)),"",INDEX('Compliance Database'!$I$2:$I$622,MATCH(385,'Transfer Engine'!$C$2:$C$622,0)))</f>
        <v/>
      </c>
      <c r="J394" s="8">
        <f>IF(ISNA(MATCH(385,'Transfer Engine'!$C$2:$C$622,0)),"",INDEX('Compliance Database'!$J$2:$J$622,MATCH(385,'Transfer Engine'!$C$2:$C$622,0)))</f>
        <v/>
      </c>
      <c r="K394">
        <f>IF(ISNA(MATCH(385,'Transfer Engine'!$C$2:$C$622,0)),"",INDEX('Compliance Database'!$K$2:$K$622,MATCH(385,'Transfer Engine'!$C$2:$C$622,0)))</f>
        <v/>
      </c>
      <c r="L394" s="8">
        <f>IF(ISNA(MATCH(385,'Transfer Engine'!$C$2:$C$622,0)),"",INDEX('Compliance Database'!$L$2:$L$622,MATCH(385,'Transfer Engine'!$C$2:$C$622,0)))</f>
        <v/>
      </c>
      <c r="M394" s="8">
        <f>IF(ISNA(MATCH(385,'Transfer Engine'!$C$2:$C$622,0)),"",INDEX('Compliance Database'!$M$2:$M$622,MATCH(385,'Transfer Engine'!$C$2:$C$622,0)))</f>
        <v/>
      </c>
      <c r="N394" s="8">
        <f>IF(ISNA(MATCH(385,'Transfer Engine'!$C$2:$C$622,0)),"",INDEX('Compliance Database'!$N$2:$N$622,MATCH(385,'Transfer Engine'!$C$2:$C$622,0)))</f>
        <v/>
      </c>
      <c r="O394" s="8">
        <f>IF(ISNA(MATCH(385,'Transfer Engine'!$C$2:$C$622,0)),"",INDEX('Compliance Database'!$O$2:$O$622,MATCH(385,'Transfer Engine'!$C$2:$C$622,0)))</f>
        <v/>
      </c>
    </row>
    <row r="395">
      <c r="A395">
        <f>IF(ISNA(MATCH(386,'Transfer Engine'!$C$2:$C$622,0)),"",INDEX('Compliance Database'!$A$2:$A$622,MATCH(386,'Transfer Engine'!$C$2:$C$622,0)))</f>
        <v/>
      </c>
      <c r="B395">
        <f>IF(ISNA(MATCH(386,'Transfer Engine'!$C$2:$C$622,0)),"",INDEX('Compliance Database'!$B$2:$B$622,MATCH(386,'Transfer Engine'!$C$2:$C$622,0)))</f>
        <v/>
      </c>
      <c r="C395">
        <f>IF(ISNA(MATCH(386,'Transfer Engine'!$C$2:$C$622,0)),"",INDEX('Compliance Database'!$C$2:$C$622,MATCH(386,'Transfer Engine'!$C$2:$C$622,0)))</f>
        <v/>
      </c>
      <c r="D395" s="8">
        <f>IF(ISNA(MATCH(386,'Transfer Engine'!$C$2:$C$622,0)),"",INDEX('Compliance Database'!$D$2:$D$622,MATCH(386,'Transfer Engine'!$C$2:$C$622,0)))</f>
        <v/>
      </c>
      <c r="E395">
        <f>IF(ISNA(MATCH(386,'Transfer Engine'!$C$2:$C$622,0)),"",INDEX('Compliance Database'!$E$2:$E$622,MATCH(386,'Transfer Engine'!$C$2:$C$622,0)))</f>
        <v/>
      </c>
      <c r="F395">
        <f>IF(ISNA(MATCH(386,'Transfer Engine'!$C$2:$C$622,0)),"",INDEX('Compliance Database'!$F$2:$F$622,MATCH(386,'Transfer Engine'!$C$2:$C$622,0)))</f>
        <v/>
      </c>
      <c r="G395">
        <f>IF(ISNA(MATCH(386,'Transfer Engine'!$C$2:$C$622,0)),"",INDEX('Compliance Database'!$G$2:$G$622,MATCH(386,'Transfer Engine'!$C$2:$C$622,0)))</f>
        <v/>
      </c>
      <c r="H395">
        <f>IF(ISNA(MATCH(386,'Transfer Engine'!$C$2:$C$622,0)),"",INDEX('Compliance Database'!$H$2:$H$622,MATCH(386,'Transfer Engine'!$C$2:$C$622,0)))</f>
        <v/>
      </c>
      <c r="I395" s="8">
        <f>IF(ISNA(MATCH(386,'Transfer Engine'!$C$2:$C$622,0)),"",INDEX('Compliance Database'!$I$2:$I$622,MATCH(386,'Transfer Engine'!$C$2:$C$622,0)))</f>
        <v/>
      </c>
      <c r="J395" s="8">
        <f>IF(ISNA(MATCH(386,'Transfer Engine'!$C$2:$C$622,0)),"",INDEX('Compliance Database'!$J$2:$J$622,MATCH(386,'Transfer Engine'!$C$2:$C$622,0)))</f>
        <v/>
      </c>
      <c r="K395">
        <f>IF(ISNA(MATCH(386,'Transfer Engine'!$C$2:$C$622,0)),"",INDEX('Compliance Database'!$K$2:$K$622,MATCH(386,'Transfer Engine'!$C$2:$C$622,0)))</f>
        <v/>
      </c>
      <c r="L395" s="8">
        <f>IF(ISNA(MATCH(386,'Transfer Engine'!$C$2:$C$622,0)),"",INDEX('Compliance Database'!$L$2:$L$622,MATCH(386,'Transfer Engine'!$C$2:$C$622,0)))</f>
        <v/>
      </c>
      <c r="M395" s="8">
        <f>IF(ISNA(MATCH(386,'Transfer Engine'!$C$2:$C$622,0)),"",INDEX('Compliance Database'!$M$2:$M$622,MATCH(386,'Transfer Engine'!$C$2:$C$622,0)))</f>
        <v/>
      </c>
      <c r="N395" s="8">
        <f>IF(ISNA(MATCH(386,'Transfer Engine'!$C$2:$C$622,0)),"",INDEX('Compliance Database'!$N$2:$N$622,MATCH(386,'Transfer Engine'!$C$2:$C$622,0)))</f>
        <v/>
      </c>
      <c r="O395" s="8">
        <f>IF(ISNA(MATCH(386,'Transfer Engine'!$C$2:$C$622,0)),"",INDEX('Compliance Database'!$O$2:$O$622,MATCH(386,'Transfer Engine'!$C$2:$C$622,0)))</f>
        <v/>
      </c>
    </row>
    <row r="396">
      <c r="A396">
        <f>IF(ISNA(MATCH(387,'Transfer Engine'!$C$2:$C$622,0)),"",INDEX('Compliance Database'!$A$2:$A$622,MATCH(387,'Transfer Engine'!$C$2:$C$622,0)))</f>
        <v/>
      </c>
      <c r="B396">
        <f>IF(ISNA(MATCH(387,'Transfer Engine'!$C$2:$C$622,0)),"",INDEX('Compliance Database'!$B$2:$B$622,MATCH(387,'Transfer Engine'!$C$2:$C$622,0)))</f>
        <v/>
      </c>
      <c r="C396">
        <f>IF(ISNA(MATCH(387,'Transfer Engine'!$C$2:$C$622,0)),"",INDEX('Compliance Database'!$C$2:$C$622,MATCH(387,'Transfer Engine'!$C$2:$C$622,0)))</f>
        <v/>
      </c>
      <c r="D396" s="8">
        <f>IF(ISNA(MATCH(387,'Transfer Engine'!$C$2:$C$622,0)),"",INDEX('Compliance Database'!$D$2:$D$622,MATCH(387,'Transfer Engine'!$C$2:$C$622,0)))</f>
        <v/>
      </c>
      <c r="E396">
        <f>IF(ISNA(MATCH(387,'Transfer Engine'!$C$2:$C$622,0)),"",INDEX('Compliance Database'!$E$2:$E$622,MATCH(387,'Transfer Engine'!$C$2:$C$622,0)))</f>
        <v/>
      </c>
      <c r="F396">
        <f>IF(ISNA(MATCH(387,'Transfer Engine'!$C$2:$C$622,0)),"",INDEX('Compliance Database'!$F$2:$F$622,MATCH(387,'Transfer Engine'!$C$2:$C$622,0)))</f>
        <v/>
      </c>
      <c r="G396">
        <f>IF(ISNA(MATCH(387,'Transfer Engine'!$C$2:$C$622,0)),"",INDEX('Compliance Database'!$G$2:$G$622,MATCH(387,'Transfer Engine'!$C$2:$C$622,0)))</f>
        <v/>
      </c>
      <c r="H396">
        <f>IF(ISNA(MATCH(387,'Transfer Engine'!$C$2:$C$622,0)),"",INDEX('Compliance Database'!$H$2:$H$622,MATCH(387,'Transfer Engine'!$C$2:$C$622,0)))</f>
        <v/>
      </c>
      <c r="I396" s="8">
        <f>IF(ISNA(MATCH(387,'Transfer Engine'!$C$2:$C$622,0)),"",INDEX('Compliance Database'!$I$2:$I$622,MATCH(387,'Transfer Engine'!$C$2:$C$622,0)))</f>
        <v/>
      </c>
      <c r="J396" s="8">
        <f>IF(ISNA(MATCH(387,'Transfer Engine'!$C$2:$C$622,0)),"",INDEX('Compliance Database'!$J$2:$J$622,MATCH(387,'Transfer Engine'!$C$2:$C$622,0)))</f>
        <v/>
      </c>
      <c r="K396">
        <f>IF(ISNA(MATCH(387,'Transfer Engine'!$C$2:$C$622,0)),"",INDEX('Compliance Database'!$K$2:$K$622,MATCH(387,'Transfer Engine'!$C$2:$C$622,0)))</f>
        <v/>
      </c>
      <c r="L396" s="8">
        <f>IF(ISNA(MATCH(387,'Transfer Engine'!$C$2:$C$622,0)),"",INDEX('Compliance Database'!$L$2:$L$622,MATCH(387,'Transfer Engine'!$C$2:$C$622,0)))</f>
        <v/>
      </c>
      <c r="M396" s="8">
        <f>IF(ISNA(MATCH(387,'Transfer Engine'!$C$2:$C$622,0)),"",INDEX('Compliance Database'!$M$2:$M$622,MATCH(387,'Transfer Engine'!$C$2:$C$622,0)))</f>
        <v/>
      </c>
      <c r="N396" s="8">
        <f>IF(ISNA(MATCH(387,'Transfer Engine'!$C$2:$C$622,0)),"",INDEX('Compliance Database'!$N$2:$N$622,MATCH(387,'Transfer Engine'!$C$2:$C$622,0)))</f>
        <v/>
      </c>
      <c r="O396" s="8">
        <f>IF(ISNA(MATCH(387,'Transfer Engine'!$C$2:$C$622,0)),"",INDEX('Compliance Database'!$O$2:$O$622,MATCH(387,'Transfer Engine'!$C$2:$C$622,0)))</f>
        <v/>
      </c>
    </row>
    <row r="397">
      <c r="A397">
        <f>IF(ISNA(MATCH(388,'Transfer Engine'!$C$2:$C$622,0)),"",INDEX('Compliance Database'!$A$2:$A$622,MATCH(388,'Transfer Engine'!$C$2:$C$622,0)))</f>
        <v/>
      </c>
      <c r="B397">
        <f>IF(ISNA(MATCH(388,'Transfer Engine'!$C$2:$C$622,0)),"",INDEX('Compliance Database'!$B$2:$B$622,MATCH(388,'Transfer Engine'!$C$2:$C$622,0)))</f>
        <v/>
      </c>
      <c r="C397">
        <f>IF(ISNA(MATCH(388,'Transfer Engine'!$C$2:$C$622,0)),"",INDEX('Compliance Database'!$C$2:$C$622,MATCH(388,'Transfer Engine'!$C$2:$C$622,0)))</f>
        <v/>
      </c>
      <c r="D397" s="8">
        <f>IF(ISNA(MATCH(388,'Transfer Engine'!$C$2:$C$622,0)),"",INDEX('Compliance Database'!$D$2:$D$622,MATCH(388,'Transfer Engine'!$C$2:$C$622,0)))</f>
        <v/>
      </c>
      <c r="E397">
        <f>IF(ISNA(MATCH(388,'Transfer Engine'!$C$2:$C$622,0)),"",INDEX('Compliance Database'!$E$2:$E$622,MATCH(388,'Transfer Engine'!$C$2:$C$622,0)))</f>
        <v/>
      </c>
      <c r="F397">
        <f>IF(ISNA(MATCH(388,'Transfer Engine'!$C$2:$C$622,0)),"",INDEX('Compliance Database'!$F$2:$F$622,MATCH(388,'Transfer Engine'!$C$2:$C$622,0)))</f>
        <v/>
      </c>
      <c r="G397">
        <f>IF(ISNA(MATCH(388,'Transfer Engine'!$C$2:$C$622,0)),"",INDEX('Compliance Database'!$G$2:$G$622,MATCH(388,'Transfer Engine'!$C$2:$C$622,0)))</f>
        <v/>
      </c>
      <c r="H397">
        <f>IF(ISNA(MATCH(388,'Transfer Engine'!$C$2:$C$622,0)),"",INDEX('Compliance Database'!$H$2:$H$622,MATCH(388,'Transfer Engine'!$C$2:$C$622,0)))</f>
        <v/>
      </c>
      <c r="I397" s="8">
        <f>IF(ISNA(MATCH(388,'Transfer Engine'!$C$2:$C$622,0)),"",INDEX('Compliance Database'!$I$2:$I$622,MATCH(388,'Transfer Engine'!$C$2:$C$622,0)))</f>
        <v/>
      </c>
      <c r="J397" s="8">
        <f>IF(ISNA(MATCH(388,'Transfer Engine'!$C$2:$C$622,0)),"",INDEX('Compliance Database'!$J$2:$J$622,MATCH(388,'Transfer Engine'!$C$2:$C$622,0)))</f>
        <v/>
      </c>
      <c r="K397">
        <f>IF(ISNA(MATCH(388,'Transfer Engine'!$C$2:$C$622,0)),"",INDEX('Compliance Database'!$K$2:$K$622,MATCH(388,'Transfer Engine'!$C$2:$C$622,0)))</f>
        <v/>
      </c>
      <c r="L397" s="8">
        <f>IF(ISNA(MATCH(388,'Transfer Engine'!$C$2:$C$622,0)),"",INDEX('Compliance Database'!$L$2:$L$622,MATCH(388,'Transfer Engine'!$C$2:$C$622,0)))</f>
        <v/>
      </c>
      <c r="M397" s="8">
        <f>IF(ISNA(MATCH(388,'Transfer Engine'!$C$2:$C$622,0)),"",INDEX('Compliance Database'!$M$2:$M$622,MATCH(388,'Transfer Engine'!$C$2:$C$622,0)))</f>
        <v/>
      </c>
      <c r="N397" s="8">
        <f>IF(ISNA(MATCH(388,'Transfer Engine'!$C$2:$C$622,0)),"",INDEX('Compliance Database'!$N$2:$N$622,MATCH(388,'Transfer Engine'!$C$2:$C$622,0)))</f>
        <v/>
      </c>
      <c r="O397" s="8">
        <f>IF(ISNA(MATCH(388,'Transfer Engine'!$C$2:$C$622,0)),"",INDEX('Compliance Database'!$O$2:$O$622,MATCH(388,'Transfer Engine'!$C$2:$C$622,0)))</f>
        <v/>
      </c>
    </row>
    <row r="398">
      <c r="A398">
        <f>IF(ISNA(MATCH(389,'Transfer Engine'!$C$2:$C$622,0)),"",INDEX('Compliance Database'!$A$2:$A$622,MATCH(389,'Transfer Engine'!$C$2:$C$622,0)))</f>
        <v/>
      </c>
      <c r="B398">
        <f>IF(ISNA(MATCH(389,'Transfer Engine'!$C$2:$C$622,0)),"",INDEX('Compliance Database'!$B$2:$B$622,MATCH(389,'Transfer Engine'!$C$2:$C$622,0)))</f>
        <v/>
      </c>
      <c r="C398">
        <f>IF(ISNA(MATCH(389,'Transfer Engine'!$C$2:$C$622,0)),"",INDEX('Compliance Database'!$C$2:$C$622,MATCH(389,'Transfer Engine'!$C$2:$C$622,0)))</f>
        <v/>
      </c>
      <c r="D398" s="8">
        <f>IF(ISNA(MATCH(389,'Transfer Engine'!$C$2:$C$622,0)),"",INDEX('Compliance Database'!$D$2:$D$622,MATCH(389,'Transfer Engine'!$C$2:$C$622,0)))</f>
        <v/>
      </c>
      <c r="E398">
        <f>IF(ISNA(MATCH(389,'Transfer Engine'!$C$2:$C$622,0)),"",INDEX('Compliance Database'!$E$2:$E$622,MATCH(389,'Transfer Engine'!$C$2:$C$622,0)))</f>
        <v/>
      </c>
      <c r="F398">
        <f>IF(ISNA(MATCH(389,'Transfer Engine'!$C$2:$C$622,0)),"",INDEX('Compliance Database'!$F$2:$F$622,MATCH(389,'Transfer Engine'!$C$2:$C$622,0)))</f>
        <v/>
      </c>
      <c r="G398">
        <f>IF(ISNA(MATCH(389,'Transfer Engine'!$C$2:$C$622,0)),"",INDEX('Compliance Database'!$G$2:$G$622,MATCH(389,'Transfer Engine'!$C$2:$C$622,0)))</f>
        <v/>
      </c>
      <c r="H398">
        <f>IF(ISNA(MATCH(389,'Transfer Engine'!$C$2:$C$622,0)),"",INDEX('Compliance Database'!$H$2:$H$622,MATCH(389,'Transfer Engine'!$C$2:$C$622,0)))</f>
        <v/>
      </c>
      <c r="I398" s="8">
        <f>IF(ISNA(MATCH(389,'Transfer Engine'!$C$2:$C$622,0)),"",INDEX('Compliance Database'!$I$2:$I$622,MATCH(389,'Transfer Engine'!$C$2:$C$622,0)))</f>
        <v/>
      </c>
      <c r="J398" s="8">
        <f>IF(ISNA(MATCH(389,'Transfer Engine'!$C$2:$C$622,0)),"",INDEX('Compliance Database'!$J$2:$J$622,MATCH(389,'Transfer Engine'!$C$2:$C$622,0)))</f>
        <v/>
      </c>
      <c r="K398">
        <f>IF(ISNA(MATCH(389,'Transfer Engine'!$C$2:$C$622,0)),"",INDEX('Compliance Database'!$K$2:$K$622,MATCH(389,'Transfer Engine'!$C$2:$C$622,0)))</f>
        <v/>
      </c>
      <c r="L398" s="8">
        <f>IF(ISNA(MATCH(389,'Transfer Engine'!$C$2:$C$622,0)),"",INDEX('Compliance Database'!$L$2:$L$622,MATCH(389,'Transfer Engine'!$C$2:$C$622,0)))</f>
        <v/>
      </c>
      <c r="M398" s="8">
        <f>IF(ISNA(MATCH(389,'Transfer Engine'!$C$2:$C$622,0)),"",INDEX('Compliance Database'!$M$2:$M$622,MATCH(389,'Transfer Engine'!$C$2:$C$622,0)))</f>
        <v/>
      </c>
      <c r="N398" s="8">
        <f>IF(ISNA(MATCH(389,'Transfer Engine'!$C$2:$C$622,0)),"",INDEX('Compliance Database'!$N$2:$N$622,MATCH(389,'Transfer Engine'!$C$2:$C$622,0)))</f>
        <v/>
      </c>
      <c r="O398" s="8">
        <f>IF(ISNA(MATCH(389,'Transfer Engine'!$C$2:$C$622,0)),"",INDEX('Compliance Database'!$O$2:$O$622,MATCH(389,'Transfer Engine'!$C$2:$C$622,0)))</f>
        <v/>
      </c>
    </row>
    <row r="399">
      <c r="A399">
        <f>IF(ISNA(MATCH(390,'Transfer Engine'!$C$2:$C$622,0)),"",INDEX('Compliance Database'!$A$2:$A$622,MATCH(390,'Transfer Engine'!$C$2:$C$622,0)))</f>
        <v/>
      </c>
      <c r="B399">
        <f>IF(ISNA(MATCH(390,'Transfer Engine'!$C$2:$C$622,0)),"",INDEX('Compliance Database'!$B$2:$B$622,MATCH(390,'Transfer Engine'!$C$2:$C$622,0)))</f>
        <v/>
      </c>
      <c r="C399">
        <f>IF(ISNA(MATCH(390,'Transfer Engine'!$C$2:$C$622,0)),"",INDEX('Compliance Database'!$C$2:$C$622,MATCH(390,'Transfer Engine'!$C$2:$C$622,0)))</f>
        <v/>
      </c>
      <c r="D399" s="8">
        <f>IF(ISNA(MATCH(390,'Transfer Engine'!$C$2:$C$622,0)),"",INDEX('Compliance Database'!$D$2:$D$622,MATCH(390,'Transfer Engine'!$C$2:$C$622,0)))</f>
        <v/>
      </c>
      <c r="E399">
        <f>IF(ISNA(MATCH(390,'Transfer Engine'!$C$2:$C$622,0)),"",INDEX('Compliance Database'!$E$2:$E$622,MATCH(390,'Transfer Engine'!$C$2:$C$622,0)))</f>
        <v/>
      </c>
      <c r="F399">
        <f>IF(ISNA(MATCH(390,'Transfer Engine'!$C$2:$C$622,0)),"",INDEX('Compliance Database'!$F$2:$F$622,MATCH(390,'Transfer Engine'!$C$2:$C$622,0)))</f>
        <v/>
      </c>
      <c r="G399">
        <f>IF(ISNA(MATCH(390,'Transfer Engine'!$C$2:$C$622,0)),"",INDEX('Compliance Database'!$G$2:$G$622,MATCH(390,'Transfer Engine'!$C$2:$C$622,0)))</f>
        <v/>
      </c>
      <c r="H399">
        <f>IF(ISNA(MATCH(390,'Transfer Engine'!$C$2:$C$622,0)),"",INDEX('Compliance Database'!$H$2:$H$622,MATCH(390,'Transfer Engine'!$C$2:$C$622,0)))</f>
        <v/>
      </c>
      <c r="I399" s="8">
        <f>IF(ISNA(MATCH(390,'Transfer Engine'!$C$2:$C$622,0)),"",INDEX('Compliance Database'!$I$2:$I$622,MATCH(390,'Transfer Engine'!$C$2:$C$622,0)))</f>
        <v/>
      </c>
      <c r="J399" s="8">
        <f>IF(ISNA(MATCH(390,'Transfer Engine'!$C$2:$C$622,0)),"",INDEX('Compliance Database'!$J$2:$J$622,MATCH(390,'Transfer Engine'!$C$2:$C$622,0)))</f>
        <v/>
      </c>
      <c r="K399">
        <f>IF(ISNA(MATCH(390,'Transfer Engine'!$C$2:$C$622,0)),"",INDEX('Compliance Database'!$K$2:$K$622,MATCH(390,'Transfer Engine'!$C$2:$C$622,0)))</f>
        <v/>
      </c>
      <c r="L399" s="8">
        <f>IF(ISNA(MATCH(390,'Transfer Engine'!$C$2:$C$622,0)),"",INDEX('Compliance Database'!$L$2:$L$622,MATCH(390,'Transfer Engine'!$C$2:$C$622,0)))</f>
        <v/>
      </c>
      <c r="M399" s="8">
        <f>IF(ISNA(MATCH(390,'Transfer Engine'!$C$2:$C$622,0)),"",INDEX('Compliance Database'!$M$2:$M$622,MATCH(390,'Transfer Engine'!$C$2:$C$622,0)))</f>
        <v/>
      </c>
      <c r="N399" s="8">
        <f>IF(ISNA(MATCH(390,'Transfer Engine'!$C$2:$C$622,0)),"",INDEX('Compliance Database'!$N$2:$N$622,MATCH(390,'Transfer Engine'!$C$2:$C$622,0)))</f>
        <v/>
      </c>
      <c r="O399" s="8">
        <f>IF(ISNA(MATCH(390,'Transfer Engine'!$C$2:$C$622,0)),"",INDEX('Compliance Database'!$O$2:$O$622,MATCH(390,'Transfer Engine'!$C$2:$C$622,0)))</f>
        <v/>
      </c>
    </row>
    <row r="400">
      <c r="A400">
        <f>IF(ISNA(MATCH(391,'Transfer Engine'!$C$2:$C$622,0)),"",INDEX('Compliance Database'!$A$2:$A$622,MATCH(391,'Transfer Engine'!$C$2:$C$622,0)))</f>
        <v/>
      </c>
      <c r="B400">
        <f>IF(ISNA(MATCH(391,'Transfer Engine'!$C$2:$C$622,0)),"",INDEX('Compliance Database'!$B$2:$B$622,MATCH(391,'Transfer Engine'!$C$2:$C$622,0)))</f>
        <v/>
      </c>
      <c r="C400">
        <f>IF(ISNA(MATCH(391,'Transfer Engine'!$C$2:$C$622,0)),"",INDEX('Compliance Database'!$C$2:$C$622,MATCH(391,'Transfer Engine'!$C$2:$C$622,0)))</f>
        <v/>
      </c>
      <c r="D400" s="8">
        <f>IF(ISNA(MATCH(391,'Transfer Engine'!$C$2:$C$622,0)),"",INDEX('Compliance Database'!$D$2:$D$622,MATCH(391,'Transfer Engine'!$C$2:$C$622,0)))</f>
        <v/>
      </c>
      <c r="E400">
        <f>IF(ISNA(MATCH(391,'Transfer Engine'!$C$2:$C$622,0)),"",INDEX('Compliance Database'!$E$2:$E$622,MATCH(391,'Transfer Engine'!$C$2:$C$622,0)))</f>
        <v/>
      </c>
      <c r="F400">
        <f>IF(ISNA(MATCH(391,'Transfer Engine'!$C$2:$C$622,0)),"",INDEX('Compliance Database'!$F$2:$F$622,MATCH(391,'Transfer Engine'!$C$2:$C$622,0)))</f>
        <v/>
      </c>
      <c r="G400">
        <f>IF(ISNA(MATCH(391,'Transfer Engine'!$C$2:$C$622,0)),"",INDEX('Compliance Database'!$G$2:$G$622,MATCH(391,'Transfer Engine'!$C$2:$C$622,0)))</f>
        <v/>
      </c>
      <c r="H400">
        <f>IF(ISNA(MATCH(391,'Transfer Engine'!$C$2:$C$622,0)),"",INDEX('Compliance Database'!$H$2:$H$622,MATCH(391,'Transfer Engine'!$C$2:$C$622,0)))</f>
        <v/>
      </c>
      <c r="I400" s="8">
        <f>IF(ISNA(MATCH(391,'Transfer Engine'!$C$2:$C$622,0)),"",INDEX('Compliance Database'!$I$2:$I$622,MATCH(391,'Transfer Engine'!$C$2:$C$622,0)))</f>
        <v/>
      </c>
      <c r="J400" s="8">
        <f>IF(ISNA(MATCH(391,'Transfer Engine'!$C$2:$C$622,0)),"",INDEX('Compliance Database'!$J$2:$J$622,MATCH(391,'Transfer Engine'!$C$2:$C$622,0)))</f>
        <v/>
      </c>
      <c r="K400">
        <f>IF(ISNA(MATCH(391,'Transfer Engine'!$C$2:$C$622,0)),"",INDEX('Compliance Database'!$K$2:$K$622,MATCH(391,'Transfer Engine'!$C$2:$C$622,0)))</f>
        <v/>
      </c>
      <c r="L400" s="8">
        <f>IF(ISNA(MATCH(391,'Transfer Engine'!$C$2:$C$622,0)),"",INDEX('Compliance Database'!$L$2:$L$622,MATCH(391,'Transfer Engine'!$C$2:$C$622,0)))</f>
        <v/>
      </c>
      <c r="M400" s="8">
        <f>IF(ISNA(MATCH(391,'Transfer Engine'!$C$2:$C$622,0)),"",INDEX('Compliance Database'!$M$2:$M$622,MATCH(391,'Transfer Engine'!$C$2:$C$622,0)))</f>
        <v/>
      </c>
      <c r="N400" s="8">
        <f>IF(ISNA(MATCH(391,'Transfer Engine'!$C$2:$C$622,0)),"",INDEX('Compliance Database'!$N$2:$N$622,MATCH(391,'Transfer Engine'!$C$2:$C$622,0)))</f>
        <v/>
      </c>
      <c r="O400" s="8">
        <f>IF(ISNA(MATCH(391,'Transfer Engine'!$C$2:$C$622,0)),"",INDEX('Compliance Database'!$O$2:$O$622,MATCH(391,'Transfer Engine'!$C$2:$C$622,0)))</f>
        <v/>
      </c>
    </row>
    <row r="401">
      <c r="A401">
        <f>IF(ISNA(MATCH(392,'Transfer Engine'!$C$2:$C$622,0)),"",INDEX('Compliance Database'!$A$2:$A$622,MATCH(392,'Transfer Engine'!$C$2:$C$622,0)))</f>
        <v/>
      </c>
      <c r="B401">
        <f>IF(ISNA(MATCH(392,'Transfer Engine'!$C$2:$C$622,0)),"",INDEX('Compliance Database'!$B$2:$B$622,MATCH(392,'Transfer Engine'!$C$2:$C$622,0)))</f>
        <v/>
      </c>
      <c r="C401">
        <f>IF(ISNA(MATCH(392,'Transfer Engine'!$C$2:$C$622,0)),"",INDEX('Compliance Database'!$C$2:$C$622,MATCH(392,'Transfer Engine'!$C$2:$C$622,0)))</f>
        <v/>
      </c>
      <c r="D401" s="8">
        <f>IF(ISNA(MATCH(392,'Transfer Engine'!$C$2:$C$622,0)),"",INDEX('Compliance Database'!$D$2:$D$622,MATCH(392,'Transfer Engine'!$C$2:$C$622,0)))</f>
        <v/>
      </c>
      <c r="E401">
        <f>IF(ISNA(MATCH(392,'Transfer Engine'!$C$2:$C$622,0)),"",INDEX('Compliance Database'!$E$2:$E$622,MATCH(392,'Transfer Engine'!$C$2:$C$622,0)))</f>
        <v/>
      </c>
      <c r="F401">
        <f>IF(ISNA(MATCH(392,'Transfer Engine'!$C$2:$C$622,0)),"",INDEX('Compliance Database'!$F$2:$F$622,MATCH(392,'Transfer Engine'!$C$2:$C$622,0)))</f>
        <v/>
      </c>
      <c r="G401">
        <f>IF(ISNA(MATCH(392,'Transfer Engine'!$C$2:$C$622,0)),"",INDEX('Compliance Database'!$G$2:$G$622,MATCH(392,'Transfer Engine'!$C$2:$C$622,0)))</f>
        <v/>
      </c>
      <c r="H401">
        <f>IF(ISNA(MATCH(392,'Transfer Engine'!$C$2:$C$622,0)),"",INDEX('Compliance Database'!$H$2:$H$622,MATCH(392,'Transfer Engine'!$C$2:$C$622,0)))</f>
        <v/>
      </c>
      <c r="I401" s="8">
        <f>IF(ISNA(MATCH(392,'Transfer Engine'!$C$2:$C$622,0)),"",INDEX('Compliance Database'!$I$2:$I$622,MATCH(392,'Transfer Engine'!$C$2:$C$622,0)))</f>
        <v/>
      </c>
      <c r="J401" s="8">
        <f>IF(ISNA(MATCH(392,'Transfer Engine'!$C$2:$C$622,0)),"",INDEX('Compliance Database'!$J$2:$J$622,MATCH(392,'Transfer Engine'!$C$2:$C$622,0)))</f>
        <v/>
      </c>
      <c r="K401">
        <f>IF(ISNA(MATCH(392,'Transfer Engine'!$C$2:$C$622,0)),"",INDEX('Compliance Database'!$K$2:$K$622,MATCH(392,'Transfer Engine'!$C$2:$C$622,0)))</f>
        <v/>
      </c>
      <c r="L401" s="8">
        <f>IF(ISNA(MATCH(392,'Transfer Engine'!$C$2:$C$622,0)),"",INDEX('Compliance Database'!$L$2:$L$622,MATCH(392,'Transfer Engine'!$C$2:$C$622,0)))</f>
        <v/>
      </c>
      <c r="M401" s="8">
        <f>IF(ISNA(MATCH(392,'Transfer Engine'!$C$2:$C$622,0)),"",INDEX('Compliance Database'!$M$2:$M$622,MATCH(392,'Transfer Engine'!$C$2:$C$622,0)))</f>
        <v/>
      </c>
      <c r="N401" s="8">
        <f>IF(ISNA(MATCH(392,'Transfer Engine'!$C$2:$C$622,0)),"",INDEX('Compliance Database'!$N$2:$N$622,MATCH(392,'Transfer Engine'!$C$2:$C$622,0)))</f>
        <v/>
      </c>
      <c r="O401" s="8">
        <f>IF(ISNA(MATCH(392,'Transfer Engine'!$C$2:$C$622,0)),"",INDEX('Compliance Database'!$O$2:$O$622,MATCH(392,'Transfer Engine'!$C$2:$C$622,0)))</f>
        <v/>
      </c>
    </row>
    <row r="402">
      <c r="A402">
        <f>IF(ISNA(MATCH(393,'Transfer Engine'!$C$2:$C$622,0)),"",INDEX('Compliance Database'!$A$2:$A$622,MATCH(393,'Transfer Engine'!$C$2:$C$622,0)))</f>
        <v/>
      </c>
      <c r="B402">
        <f>IF(ISNA(MATCH(393,'Transfer Engine'!$C$2:$C$622,0)),"",INDEX('Compliance Database'!$B$2:$B$622,MATCH(393,'Transfer Engine'!$C$2:$C$622,0)))</f>
        <v/>
      </c>
      <c r="C402">
        <f>IF(ISNA(MATCH(393,'Transfer Engine'!$C$2:$C$622,0)),"",INDEX('Compliance Database'!$C$2:$C$622,MATCH(393,'Transfer Engine'!$C$2:$C$622,0)))</f>
        <v/>
      </c>
      <c r="D402" s="8">
        <f>IF(ISNA(MATCH(393,'Transfer Engine'!$C$2:$C$622,0)),"",INDEX('Compliance Database'!$D$2:$D$622,MATCH(393,'Transfer Engine'!$C$2:$C$622,0)))</f>
        <v/>
      </c>
      <c r="E402">
        <f>IF(ISNA(MATCH(393,'Transfer Engine'!$C$2:$C$622,0)),"",INDEX('Compliance Database'!$E$2:$E$622,MATCH(393,'Transfer Engine'!$C$2:$C$622,0)))</f>
        <v/>
      </c>
      <c r="F402">
        <f>IF(ISNA(MATCH(393,'Transfer Engine'!$C$2:$C$622,0)),"",INDEX('Compliance Database'!$F$2:$F$622,MATCH(393,'Transfer Engine'!$C$2:$C$622,0)))</f>
        <v/>
      </c>
      <c r="G402">
        <f>IF(ISNA(MATCH(393,'Transfer Engine'!$C$2:$C$622,0)),"",INDEX('Compliance Database'!$G$2:$G$622,MATCH(393,'Transfer Engine'!$C$2:$C$622,0)))</f>
        <v/>
      </c>
      <c r="H402">
        <f>IF(ISNA(MATCH(393,'Transfer Engine'!$C$2:$C$622,0)),"",INDEX('Compliance Database'!$H$2:$H$622,MATCH(393,'Transfer Engine'!$C$2:$C$622,0)))</f>
        <v/>
      </c>
      <c r="I402" s="8">
        <f>IF(ISNA(MATCH(393,'Transfer Engine'!$C$2:$C$622,0)),"",INDEX('Compliance Database'!$I$2:$I$622,MATCH(393,'Transfer Engine'!$C$2:$C$622,0)))</f>
        <v/>
      </c>
      <c r="J402" s="8">
        <f>IF(ISNA(MATCH(393,'Transfer Engine'!$C$2:$C$622,0)),"",INDEX('Compliance Database'!$J$2:$J$622,MATCH(393,'Transfer Engine'!$C$2:$C$622,0)))</f>
        <v/>
      </c>
      <c r="K402">
        <f>IF(ISNA(MATCH(393,'Transfer Engine'!$C$2:$C$622,0)),"",INDEX('Compliance Database'!$K$2:$K$622,MATCH(393,'Transfer Engine'!$C$2:$C$622,0)))</f>
        <v/>
      </c>
      <c r="L402" s="8">
        <f>IF(ISNA(MATCH(393,'Transfer Engine'!$C$2:$C$622,0)),"",INDEX('Compliance Database'!$L$2:$L$622,MATCH(393,'Transfer Engine'!$C$2:$C$622,0)))</f>
        <v/>
      </c>
      <c r="M402" s="8">
        <f>IF(ISNA(MATCH(393,'Transfer Engine'!$C$2:$C$622,0)),"",INDEX('Compliance Database'!$M$2:$M$622,MATCH(393,'Transfer Engine'!$C$2:$C$622,0)))</f>
        <v/>
      </c>
      <c r="N402" s="8">
        <f>IF(ISNA(MATCH(393,'Transfer Engine'!$C$2:$C$622,0)),"",INDEX('Compliance Database'!$N$2:$N$622,MATCH(393,'Transfer Engine'!$C$2:$C$622,0)))</f>
        <v/>
      </c>
      <c r="O402" s="8">
        <f>IF(ISNA(MATCH(393,'Transfer Engine'!$C$2:$C$622,0)),"",INDEX('Compliance Database'!$O$2:$O$622,MATCH(393,'Transfer Engine'!$C$2:$C$622,0)))</f>
        <v/>
      </c>
    </row>
    <row r="403">
      <c r="A403">
        <f>IF(ISNA(MATCH(394,'Transfer Engine'!$C$2:$C$622,0)),"",INDEX('Compliance Database'!$A$2:$A$622,MATCH(394,'Transfer Engine'!$C$2:$C$622,0)))</f>
        <v/>
      </c>
      <c r="B403">
        <f>IF(ISNA(MATCH(394,'Transfer Engine'!$C$2:$C$622,0)),"",INDEX('Compliance Database'!$B$2:$B$622,MATCH(394,'Transfer Engine'!$C$2:$C$622,0)))</f>
        <v/>
      </c>
      <c r="C403">
        <f>IF(ISNA(MATCH(394,'Transfer Engine'!$C$2:$C$622,0)),"",INDEX('Compliance Database'!$C$2:$C$622,MATCH(394,'Transfer Engine'!$C$2:$C$622,0)))</f>
        <v/>
      </c>
      <c r="D403" s="8">
        <f>IF(ISNA(MATCH(394,'Transfer Engine'!$C$2:$C$622,0)),"",INDEX('Compliance Database'!$D$2:$D$622,MATCH(394,'Transfer Engine'!$C$2:$C$622,0)))</f>
        <v/>
      </c>
      <c r="E403">
        <f>IF(ISNA(MATCH(394,'Transfer Engine'!$C$2:$C$622,0)),"",INDEX('Compliance Database'!$E$2:$E$622,MATCH(394,'Transfer Engine'!$C$2:$C$622,0)))</f>
        <v/>
      </c>
      <c r="F403">
        <f>IF(ISNA(MATCH(394,'Transfer Engine'!$C$2:$C$622,0)),"",INDEX('Compliance Database'!$F$2:$F$622,MATCH(394,'Transfer Engine'!$C$2:$C$622,0)))</f>
        <v/>
      </c>
      <c r="G403">
        <f>IF(ISNA(MATCH(394,'Transfer Engine'!$C$2:$C$622,0)),"",INDEX('Compliance Database'!$G$2:$G$622,MATCH(394,'Transfer Engine'!$C$2:$C$622,0)))</f>
        <v/>
      </c>
      <c r="H403">
        <f>IF(ISNA(MATCH(394,'Transfer Engine'!$C$2:$C$622,0)),"",INDEX('Compliance Database'!$H$2:$H$622,MATCH(394,'Transfer Engine'!$C$2:$C$622,0)))</f>
        <v/>
      </c>
      <c r="I403" s="8">
        <f>IF(ISNA(MATCH(394,'Transfer Engine'!$C$2:$C$622,0)),"",INDEX('Compliance Database'!$I$2:$I$622,MATCH(394,'Transfer Engine'!$C$2:$C$622,0)))</f>
        <v/>
      </c>
      <c r="J403" s="8">
        <f>IF(ISNA(MATCH(394,'Transfer Engine'!$C$2:$C$622,0)),"",INDEX('Compliance Database'!$J$2:$J$622,MATCH(394,'Transfer Engine'!$C$2:$C$622,0)))</f>
        <v/>
      </c>
      <c r="K403">
        <f>IF(ISNA(MATCH(394,'Transfer Engine'!$C$2:$C$622,0)),"",INDEX('Compliance Database'!$K$2:$K$622,MATCH(394,'Transfer Engine'!$C$2:$C$622,0)))</f>
        <v/>
      </c>
      <c r="L403" s="8">
        <f>IF(ISNA(MATCH(394,'Transfer Engine'!$C$2:$C$622,0)),"",INDEX('Compliance Database'!$L$2:$L$622,MATCH(394,'Transfer Engine'!$C$2:$C$622,0)))</f>
        <v/>
      </c>
      <c r="M403" s="8">
        <f>IF(ISNA(MATCH(394,'Transfer Engine'!$C$2:$C$622,0)),"",INDEX('Compliance Database'!$M$2:$M$622,MATCH(394,'Transfer Engine'!$C$2:$C$622,0)))</f>
        <v/>
      </c>
      <c r="N403" s="8">
        <f>IF(ISNA(MATCH(394,'Transfer Engine'!$C$2:$C$622,0)),"",INDEX('Compliance Database'!$N$2:$N$622,MATCH(394,'Transfer Engine'!$C$2:$C$622,0)))</f>
        <v/>
      </c>
      <c r="O403" s="8">
        <f>IF(ISNA(MATCH(394,'Transfer Engine'!$C$2:$C$622,0)),"",INDEX('Compliance Database'!$O$2:$O$622,MATCH(394,'Transfer Engine'!$C$2:$C$622,0)))</f>
        <v/>
      </c>
    </row>
    <row r="404">
      <c r="A404">
        <f>IF(ISNA(MATCH(395,'Transfer Engine'!$C$2:$C$622,0)),"",INDEX('Compliance Database'!$A$2:$A$622,MATCH(395,'Transfer Engine'!$C$2:$C$622,0)))</f>
        <v/>
      </c>
      <c r="B404">
        <f>IF(ISNA(MATCH(395,'Transfer Engine'!$C$2:$C$622,0)),"",INDEX('Compliance Database'!$B$2:$B$622,MATCH(395,'Transfer Engine'!$C$2:$C$622,0)))</f>
        <v/>
      </c>
      <c r="C404">
        <f>IF(ISNA(MATCH(395,'Transfer Engine'!$C$2:$C$622,0)),"",INDEX('Compliance Database'!$C$2:$C$622,MATCH(395,'Transfer Engine'!$C$2:$C$622,0)))</f>
        <v/>
      </c>
      <c r="D404" s="8">
        <f>IF(ISNA(MATCH(395,'Transfer Engine'!$C$2:$C$622,0)),"",INDEX('Compliance Database'!$D$2:$D$622,MATCH(395,'Transfer Engine'!$C$2:$C$622,0)))</f>
        <v/>
      </c>
      <c r="E404">
        <f>IF(ISNA(MATCH(395,'Transfer Engine'!$C$2:$C$622,0)),"",INDEX('Compliance Database'!$E$2:$E$622,MATCH(395,'Transfer Engine'!$C$2:$C$622,0)))</f>
        <v/>
      </c>
      <c r="F404">
        <f>IF(ISNA(MATCH(395,'Transfer Engine'!$C$2:$C$622,0)),"",INDEX('Compliance Database'!$F$2:$F$622,MATCH(395,'Transfer Engine'!$C$2:$C$622,0)))</f>
        <v/>
      </c>
      <c r="G404">
        <f>IF(ISNA(MATCH(395,'Transfer Engine'!$C$2:$C$622,0)),"",INDEX('Compliance Database'!$G$2:$G$622,MATCH(395,'Transfer Engine'!$C$2:$C$622,0)))</f>
        <v/>
      </c>
      <c r="H404">
        <f>IF(ISNA(MATCH(395,'Transfer Engine'!$C$2:$C$622,0)),"",INDEX('Compliance Database'!$H$2:$H$622,MATCH(395,'Transfer Engine'!$C$2:$C$622,0)))</f>
        <v/>
      </c>
      <c r="I404" s="8">
        <f>IF(ISNA(MATCH(395,'Transfer Engine'!$C$2:$C$622,0)),"",INDEX('Compliance Database'!$I$2:$I$622,MATCH(395,'Transfer Engine'!$C$2:$C$622,0)))</f>
        <v/>
      </c>
      <c r="J404" s="8">
        <f>IF(ISNA(MATCH(395,'Transfer Engine'!$C$2:$C$622,0)),"",INDEX('Compliance Database'!$J$2:$J$622,MATCH(395,'Transfer Engine'!$C$2:$C$622,0)))</f>
        <v/>
      </c>
      <c r="K404">
        <f>IF(ISNA(MATCH(395,'Transfer Engine'!$C$2:$C$622,0)),"",INDEX('Compliance Database'!$K$2:$K$622,MATCH(395,'Transfer Engine'!$C$2:$C$622,0)))</f>
        <v/>
      </c>
      <c r="L404" s="8">
        <f>IF(ISNA(MATCH(395,'Transfer Engine'!$C$2:$C$622,0)),"",INDEX('Compliance Database'!$L$2:$L$622,MATCH(395,'Transfer Engine'!$C$2:$C$622,0)))</f>
        <v/>
      </c>
      <c r="M404" s="8">
        <f>IF(ISNA(MATCH(395,'Transfer Engine'!$C$2:$C$622,0)),"",INDEX('Compliance Database'!$M$2:$M$622,MATCH(395,'Transfer Engine'!$C$2:$C$622,0)))</f>
        <v/>
      </c>
      <c r="N404" s="8">
        <f>IF(ISNA(MATCH(395,'Transfer Engine'!$C$2:$C$622,0)),"",INDEX('Compliance Database'!$N$2:$N$622,MATCH(395,'Transfer Engine'!$C$2:$C$622,0)))</f>
        <v/>
      </c>
      <c r="O404" s="8">
        <f>IF(ISNA(MATCH(395,'Transfer Engine'!$C$2:$C$622,0)),"",INDEX('Compliance Database'!$O$2:$O$622,MATCH(395,'Transfer Engine'!$C$2:$C$622,0)))</f>
        <v/>
      </c>
    </row>
    <row r="405">
      <c r="A405">
        <f>IF(ISNA(MATCH(396,'Transfer Engine'!$C$2:$C$622,0)),"",INDEX('Compliance Database'!$A$2:$A$622,MATCH(396,'Transfer Engine'!$C$2:$C$622,0)))</f>
        <v/>
      </c>
      <c r="B405">
        <f>IF(ISNA(MATCH(396,'Transfer Engine'!$C$2:$C$622,0)),"",INDEX('Compliance Database'!$B$2:$B$622,MATCH(396,'Transfer Engine'!$C$2:$C$622,0)))</f>
        <v/>
      </c>
      <c r="C405">
        <f>IF(ISNA(MATCH(396,'Transfer Engine'!$C$2:$C$622,0)),"",INDEX('Compliance Database'!$C$2:$C$622,MATCH(396,'Transfer Engine'!$C$2:$C$622,0)))</f>
        <v/>
      </c>
      <c r="D405" s="8">
        <f>IF(ISNA(MATCH(396,'Transfer Engine'!$C$2:$C$622,0)),"",INDEX('Compliance Database'!$D$2:$D$622,MATCH(396,'Transfer Engine'!$C$2:$C$622,0)))</f>
        <v/>
      </c>
      <c r="E405">
        <f>IF(ISNA(MATCH(396,'Transfer Engine'!$C$2:$C$622,0)),"",INDEX('Compliance Database'!$E$2:$E$622,MATCH(396,'Transfer Engine'!$C$2:$C$622,0)))</f>
        <v/>
      </c>
      <c r="F405">
        <f>IF(ISNA(MATCH(396,'Transfer Engine'!$C$2:$C$622,0)),"",INDEX('Compliance Database'!$F$2:$F$622,MATCH(396,'Transfer Engine'!$C$2:$C$622,0)))</f>
        <v/>
      </c>
      <c r="G405">
        <f>IF(ISNA(MATCH(396,'Transfer Engine'!$C$2:$C$622,0)),"",INDEX('Compliance Database'!$G$2:$G$622,MATCH(396,'Transfer Engine'!$C$2:$C$622,0)))</f>
        <v/>
      </c>
      <c r="H405">
        <f>IF(ISNA(MATCH(396,'Transfer Engine'!$C$2:$C$622,0)),"",INDEX('Compliance Database'!$H$2:$H$622,MATCH(396,'Transfer Engine'!$C$2:$C$622,0)))</f>
        <v/>
      </c>
      <c r="I405" s="8">
        <f>IF(ISNA(MATCH(396,'Transfer Engine'!$C$2:$C$622,0)),"",INDEX('Compliance Database'!$I$2:$I$622,MATCH(396,'Transfer Engine'!$C$2:$C$622,0)))</f>
        <v/>
      </c>
      <c r="J405" s="8">
        <f>IF(ISNA(MATCH(396,'Transfer Engine'!$C$2:$C$622,0)),"",INDEX('Compliance Database'!$J$2:$J$622,MATCH(396,'Transfer Engine'!$C$2:$C$622,0)))</f>
        <v/>
      </c>
      <c r="K405">
        <f>IF(ISNA(MATCH(396,'Transfer Engine'!$C$2:$C$622,0)),"",INDEX('Compliance Database'!$K$2:$K$622,MATCH(396,'Transfer Engine'!$C$2:$C$622,0)))</f>
        <v/>
      </c>
      <c r="L405" s="8">
        <f>IF(ISNA(MATCH(396,'Transfer Engine'!$C$2:$C$622,0)),"",INDEX('Compliance Database'!$L$2:$L$622,MATCH(396,'Transfer Engine'!$C$2:$C$622,0)))</f>
        <v/>
      </c>
      <c r="M405" s="8">
        <f>IF(ISNA(MATCH(396,'Transfer Engine'!$C$2:$C$622,0)),"",INDEX('Compliance Database'!$M$2:$M$622,MATCH(396,'Transfer Engine'!$C$2:$C$622,0)))</f>
        <v/>
      </c>
      <c r="N405" s="8">
        <f>IF(ISNA(MATCH(396,'Transfer Engine'!$C$2:$C$622,0)),"",INDEX('Compliance Database'!$N$2:$N$622,MATCH(396,'Transfer Engine'!$C$2:$C$622,0)))</f>
        <v/>
      </c>
      <c r="O405" s="8">
        <f>IF(ISNA(MATCH(396,'Transfer Engine'!$C$2:$C$622,0)),"",INDEX('Compliance Database'!$O$2:$O$622,MATCH(396,'Transfer Engine'!$C$2:$C$622,0)))</f>
        <v/>
      </c>
    </row>
    <row r="406">
      <c r="A406">
        <f>IF(ISNA(MATCH(397,'Transfer Engine'!$C$2:$C$622,0)),"",INDEX('Compliance Database'!$A$2:$A$622,MATCH(397,'Transfer Engine'!$C$2:$C$622,0)))</f>
        <v/>
      </c>
      <c r="B406">
        <f>IF(ISNA(MATCH(397,'Transfer Engine'!$C$2:$C$622,0)),"",INDEX('Compliance Database'!$B$2:$B$622,MATCH(397,'Transfer Engine'!$C$2:$C$622,0)))</f>
        <v/>
      </c>
      <c r="C406">
        <f>IF(ISNA(MATCH(397,'Transfer Engine'!$C$2:$C$622,0)),"",INDEX('Compliance Database'!$C$2:$C$622,MATCH(397,'Transfer Engine'!$C$2:$C$622,0)))</f>
        <v/>
      </c>
      <c r="D406" s="8">
        <f>IF(ISNA(MATCH(397,'Transfer Engine'!$C$2:$C$622,0)),"",INDEX('Compliance Database'!$D$2:$D$622,MATCH(397,'Transfer Engine'!$C$2:$C$622,0)))</f>
        <v/>
      </c>
      <c r="E406">
        <f>IF(ISNA(MATCH(397,'Transfer Engine'!$C$2:$C$622,0)),"",INDEX('Compliance Database'!$E$2:$E$622,MATCH(397,'Transfer Engine'!$C$2:$C$622,0)))</f>
        <v/>
      </c>
      <c r="F406">
        <f>IF(ISNA(MATCH(397,'Transfer Engine'!$C$2:$C$622,0)),"",INDEX('Compliance Database'!$F$2:$F$622,MATCH(397,'Transfer Engine'!$C$2:$C$622,0)))</f>
        <v/>
      </c>
      <c r="G406">
        <f>IF(ISNA(MATCH(397,'Transfer Engine'!$C$2:$C$622,0)),"",INDEX('Compliance Database'!$G$2:$G$622,MATCH(397,'Transfer Engine'!$C$2:$C$622,0)))</f>
        <v/>
      </c>
      <c r="H406">
        <f>IF(ISNA(MATCH(397,'Transfer Engine'!$C$2:$C$622,0)),"",INDEX('Compliance Database'!$H$2:$H$622,MATCH(397,'Transfer Engine'!$C$2:$C$622,0)))</f>
        <v/>
      </c>
      <c r="I406" s="8">
        <f>IF(ISNA(MATCH(397,'Transfer Engine'!$C$2:$C$622,0)),"",INDEX('Compliance Database'!$I$2:$I$622,MATCH(397,'Transfer Engine'!$C$2:$C$622,0)))</f>
        <v/>
      </c>
      <c r="J406" s="8">
        <f>IF(ISNA(MATCH(397,'Transfer Engine'!$C$2:$C$622,0)),"",INDEX('Compliance Database'!$J$2:$J$622,MATCH(397,'Transfer Engine'!$C$2:$C$622,0)))</f>
        <v/>
      </c>
      <c r="K406">
        <f>IF(ISNA(MATCH(397,'Transfer Engine'!$C$2:$C$622,0)),"",INDEX('Compliance Database'!$K$2:$K$622,MATCH(397,'Transfer Engine'!$C$2:$C$622,0)))</f>
        <v/>
      </c>
      <c r="L406" s="8">
        <f>IF(ISNA(MATCH(397,'Transfer Engine'!$C$2:$C$622,0)),"",INDEX('Compliance Database'!$L$2:$L$622,MATCH(397,'Transfer Engine'!$C$2:$C$622,0)))</f>
        <v/>
      </c>
      <c r="M406" s="8">
        <f>IF(ISNA(MATCH(397,'Transfer Engine'!$C$2:$C$622,0)),"",INDEX('Compliance Database'!$M$2:$M$622,MATCH(397,'Transfer Engine'!$C$2:$C$622,0)))</f>
        <v/>
      </c>
      <c r="N406" s="8">
        <f>IF(ISNA(MATCH(397,'Transfer Engine'!$C$2:$C$622,0)),"",INDEX('Compliance Database'!$N$2:$N$622,MATCH(397,'Transfer Engine'!$C$2:$C$622,0)))</f>
        <v/>
      </c>
      <c r="O406" s="8">
        <f>IF(ISNA(MATCH(397,'Transfer Engine'!$C$2:$C$622,0)),"",INDEX('Compliance Database'!$O$2:$O$622,MATCH(397,'Transfer Engine'!$C$2:$C$622,0)))</f>
        <v/>
      </c>
    </row>
    <row r="407">
      <c r="A407">
        <f>IF(ISNA(MATCH(398,'Transfer Engine'!$C$2:$C$622,0)),"",INDEX('Compliance Database'!$A$2:$A$622,MATCH(398,'Transfer Engine'!$C$2:$C$622,0)))</f>
        <v/>
      </c>
      <c r="B407">
        <f>IF(ISNA(MATCH(398,'Transfer Engine'!$C$2:$C$622,0)),"",INDEX('Compliance Database'!$B$2:$B$622,MATCH(398,'Transfer Engine'!$C$2:$C$622,0)))</f>
        <v/>
      </c>
      <c r="C407">
        <f>IF(ISNA(MATCH(398,'Transfer Engine'!$C$2:$C$622,0)),"",INDEX('Compliance Database'!$C$2:$C$622,MATCH(398,'Transfer Engine'!$C$2:$C$622,0)))</f>
        <v/>
      </c>
      <c r="D407" s="8">
        <f>IF(ISNA(MATCH(398,'Transfer Engine'!$C$2:$C$622,0)),"",INDEX('Compliance Database'!$D$2:$D$622,MATCH(398,'Transfer Engine'!$C$2:$C$622,0)))</f>
        <v/>
      </c>
      <c r="E407">
        <f>IF(ISNA(MATCH(398,'Transfer Engine'!$C$2:$C$622,0)),"",INDEX('Compliance Database'!$E$2:$E$622,MATCH(398,'Transfer Engine'!$C$2:$C$622,0)))</f>
        <v/>
      </c>
      <c r="F407">
        <f>IF(ISNA(MATCH(398,'Transfer Engine'!$C$2:$C$622,0)),"",INDEX('Compliance Database'!$F$2:$F$622,MATCH(398,'Transfer Engine'!$C$2:$C$622,0)))</f>
        <v/>
      </c>
      <c r="G407">
        <f>IF(ISNA(MATCH(398,'Transfer Engine'!$C$2:$C$622,0)),"",INDEX('Compliance Database'!$G$2:$G$622,MATCH(398,'Transfer Engine'!$C$2:$C$622,0)))</f>
        <v/>
      </c>
      <c r="H407">
        <f>IF(ISNA(MATCH(398,'Transfer Engine'!$C$2:$C$622,0)),"",INDEX('Compliance Database'!$H$2:$H$622,MATCH(398,'Transfer Engine'!$C$2:$C$622,0)))</f>
        <v/>
      </c>
      <c r="I407" s="8">
        <f>IF(ISNA(MATCH(398,'Transfer Engine'!$C$2:$C$622,0)),"",INDEX('Compliance Database'!$I$2:$I$622,MATCH(398,'Transfer Engine'!$C$2:$C$622,0)))</f>
        <v/>
      </c>
      <c r="J407" s="8">
        <f>IF(ISNA(MATCH(398,'Transfer Engine'!$C$2:$C$622,0)),"",INDEX('Compliance Database'!$J$2:$J$622,MATCH(398,'Transfer Engine'!$C$2:$C$622,0)))</f>
        <v/>
      </c>
      <c r="K407">
        <f>IF(ISNA(MATCH(398,'Transfer Engine'!$C$2:$C$622,0)),"",INDEX('Compliance Database'!$K$2:$K$622,MATCH(398,'Transfer Engine'!$C$2:$C$622,0)))</f>
        <v/>
      </c>
      <c r="L407" s="8">
        <f>IF(ISNA(MATCH(398,'Transfer Engine'!$C$2:$C$622,0)),"",INDEX('Compliance Database'!$L$2:$L$622,MATCH(398,'Transfer Engine'!$C$2:$C$622,0)))</f>
        <v/>
      </c>
      <c r="M407" s="8">
        <f>IF(ISNA(MATCH(398,'Transfer Engine'!$C$2:$C$622,0)),"",INDEX('Compliance Database'!$M$2:$M$622,MATCH(398,'Transfer Engine'!$C$2:$C$622,0)))</f>
        <v/>
      </c>
      <c r="N407" s="8">
        <f>IF(ISNA(MATCH(398,'Transfer Engine'!$C$2:$C$622,0)),"",INDEX('Compliance Database'!$N$2:$N$622,MATCH(398,'Transfer Engine'!$C$2:$C$622,0)))</f>
        <v/>
      </c>
      <c r="O407" s="8">
        <f>IF(ISNA(MATCH(398,'Transfer Engine'!$C$2:$C$622,0)),"",INDEX('Compliance Database'!$O$2:$O$622,MATCH(398,'Transfer Engine'!$C$2:$C$622,0)))</f>
        <v/>
      </c>
    </row>
    <row r="408">
      <c r="A408">
        <f>IF(ISNA(MATCH(399,'Transfer Engine'!$C$2:$C$622,0)),"",INDEX('Compliance Database'!$A$2:$A$622,MATCH(399,'Transfer Engine'!$C$2:$C$622,0)))</f>
        <v/>
      </c>
      <c r="B408">
        <f>IF(ISNA(MATCH(399,'Transfer Engine'!$C$2:$C$622,0)),"",INDEX('Compliance Database'!$B$2:$B$622,MATCH(399,'Transfer Engine'!$C$2:$C$622,0)))</f>
        <v/>
      </c>
      <c r="C408">
        <f>IF(ISNA(MATCH(399,'Transfer Engine'!$C$2:$C$622,0)),"",INDEX('Compliance Database'!$C$2:$C$622,MATCH(399,'Transfer Engine'!$C$2:$C$622,0)))</f>
        <v/>
      </c>
      <c r="D408" s="8">
        <f>IF(ISNA(MATCH(399,'Transfer Engine'!$C$2:$C$622,0)),"",INDEX('Compliance Database'!$D$2:$D$622,MATCH(399,'Transfer Engine'!$C$2:$C$622,0)))</f>
        <v/>
      </c>
      <c r="E408">
        <f>IF(ISNA(MATCH(399,'Transfer Engine'!$C$2:$C$622,0)),"",INDEX('Compliance Database'!$E$2:$E$622,MATCH(399,'Transfer Engine'!$C$2:$C$622,0)))</f>
        <v/>
      </c>
      <c r="F408">
        <f>IF(ISNA(MATCH(399,'Transfer Engine'!$C$2:$C$622,0)),"",INDEX('Compliance Database'!$F$2:$F$622,MATCH(399,'Transfer Engine'!$C$2:$C$622,0)))</f>
        <v/>
      </c>
      <c r="G408">
        <f>IF(ISNA(MATCH(399,'Transfer Engine'!$C$2:$C$622,0)),"",INDEX('Compliance Database'!$G$2:$G$622,MATCH(399,'Transfer Engine'!$C$2:$C$622,0)))</f>
        <v/>
      </c>
      <c r="H408">
        <f>IF(ISNA(MATCH(399,'Transfer Engine'!$C$2:$C$622,0)),"",INDEX('Compliance Database'!$H$2:$H$622,MATCH(399,'Transfer Engine'!$C$2:$C$622,0)))</f>
        <v/>
      </c>
      <c r="I408" s="8">
        <f>IF(ISNA(MATCH(399,'Transfer Engine'!$C$2:$C$622,0)),"",INDEX('Compliance Database'!$I$2:$I$622,MATCH(399,'Transfer Engine'!$C$2:$C$622,0)))</f>
        <v/>
      </c>
      <c r="J408" s="8">
        <f>IF(ISNA(MATCH(399,'Transfer Engine'!$C$2:$C$622,0)),"",INDEX('Compliance Database'!$J$2:$J$622,MATCH(399,'Transfer Engine'!$C$2:$C$622,0)))</f>
        <v/>
      </c>
      <c r="K408">
        <f>IF(ISNA(MATCH(399,'Transfer Engine'!$C$2:$C$622,0)),"",INDEX('Compliance Database'!$K$2:$K$622,MATCH(399,'Transfer Engine'!$C$2:$C$622,0)))</f>
        <v/>
      </c>
      <c r="L408" s="8">
        <f>IF(ISNA(MATCH(399,'Transfer Engine'!$C$2:$C$622,0)),"",INDEX('Compliance Database'!$L$2:$L$622,MATCH(399,'Transfer Engine'!$C$2:$C$622,0)))</f>
        <v/>
      </c>
      <c r="M408" s="8">
        <f>IF(ISNA(MATCH(399,'Transfer Engine'!$C$2:$C$622,0)),"",INDEX('Compliance Database'!$M$2:$M$622,MATCH(399,'Transfer Engine'!$C$2:$C$622,0)))</f>
        <v/>
      </c>
      <c r="N408" s="8">
        <f>IF(ISNA(MATCH(399,'Transfer Engine'!$C$2:$C$622,0)),"",INDEX('Compliance Database'!$N$2:$N$622,MATCH(399,'Transfer Engine'!$C$2:$C$622,0)))</f>
        <v/>
      </c>
      <c r="O408" s="8">
        <f>IF(ISNA(MATCH(399,'Transfer Engine'!$C$2:$C$622,0)),"",INDEX('Compliance Database'!$O$2:$O$622,MATCH(399,'Transfer Engine'!$C$2:$C$622,0)))</f>
        <v/>
      </c>
    </row>
    <row r="409">
      <c r="A409">
        <f>IF(ISNA(MATCH(400,'Transfer Engine'!$C$2:$C$622,0)),"",INDEX('Compliance Database'!$A$2:$A$622,MATCH(400,'Transfer Engine'!$C$2:$C$622,0)))</f>
        <v/>
      </c>
      <c r="B409">
        <f>IF(ISNA(MATCH(400,'Transfer Engine'!$C$2:$C$622,0)),"",INDEX('Compliance Database'!$B$2:$B$622,MATCH(400,'Transfer Engine'!$C$2:$C$622,0)))</f>
        <v/>
      </c>
      <c r="C409">
        <f>IF(ISNA(MATCH(400,'Transfer Engine'!$C$2:$C$622,0)),"",INDEX('Compliance Database'!$C$2:$C$622,MATCH(400,'Transfer Engine'!$C$2:$C$622,0)))</f>
        <v/>
      </c>
      <c r="D409" s="8">
        <f>IF(ISNA(MATCH(400,'Transfer Engine'!$C$2:$C$622,0)),"",INDEX('Compliance Database'!$D$2:$D$622,MATCH(400,'Transfer Engine'!$C$2:$C$622,0)))</f>
        <v/>
      </c>
      <c r="E409">
        <f>IF(ISNA(MATCH(400,'Transfer Engine'!$C$2:$C$622,0)),"",INDEX('Compliance Database'!$E$2:$E$622,MATCH(400,'Transfer Engine'!$C$2:$C$622,0)))</f>
        <v/>
      </c>
      <c r="F409">
        <f>IF(ISNA(MATCH(400,'Transfer Engine'!$C$2:$C$622,0)),"",INDEX('Compliance Database'!$F$2:$F$622,MATCH(400,'Transfer Engine'!$C$2:$C$622,0)))</f>
        <v/>
      </c>
      <c r="G409">
        <f>IF(ISNA(MATCH(400,'Transfer Engine'!$C$2:$C$622,0)),"",INDEX('Compliance Database'!$G$2:$G$622,MATCH(400,'Transfer Engine'!$C$2:$C$622,0)))</f>
        <v/>
      </c>
      <c r="H409">
        <f>IF(ISNA(MATCH(400,'Transfer Engine'!$C$2:$C$622,0)),"",INDEX('Compliance Database'!$H$2:$H$622,MATCH(400,'Transfer Engine'!$C$2:$C$622,0)))</f>
        <v/>
      </c>
      <c r="I409" s="8">
        <f>IF(ISNA(MATCH(400,'Transfer Engine'!$C$2:$C$622,0)),"",INDEX('Compliance Database'!$I$2:$I$622,MATCH(400,'Transfer Engine'!$C$2:$C$622,0)))</f>
        <v/>
      </c>
      <c r="J409" s="8">
        <f>IF(ISNA(MATCH(400,'Transfer Engine'!$C$2:$C$622,0)),"",INDEX('Compliance Database'!$J$2:$J$622,MATCH(400,'Transfer Engine'!$C$2:$C$622,0)))</f>
        <v/>
      </c>
      <c r="K409">
        <f>IF(ISNA(MATCH(400,'Transfer Engine'!$C$2:$C$622,0)),"",INDEX('Compliance Database'!$K$2:$K$622,MATCH(400,'Transfer Engine'!$C$2:$C$622,0)))</f>
        <v/>
      </c>
      <c r="L409" s="8">
        <f>IF(ISNA(MATCH(400,'Transfer Engine'!$C$2:$C$622,0)),"",INDEX('Compliance Database'!$L$2:$L$622,MATCH(400,'Transfer Engine'!$C$2:$C$622,0)))</f>
        <v/>
      </c>
      <c r="M409" s="8">
        <f>IF(ISNA(MATCH(400,'Transfer Engine'!$C$2:$C$622,0)),"",INDEX('Compliance Database'!$M$2:$M$622,MATCH(400,'Transfer Engine'!$C$2:$C$622,0)))</f>
        <v/>
      </c>
      <c r="N409" s="8">
        <f>IF(ISNA(MATCH(400,'Transfer Engine'!$C$2:$C$622,0)),"",INDEX('Compliance Database'!$N$2:$N$622,MATCH(400,'Transfer Engine'!$C$2:$C$622,0)))</f>
        <v/>
      </c>
      <c r="O409" s="8">
        <f>IF(ISNA(MATCH(400,'Transfer Engine'!$C$2:$C$622,0)),"",INDEX('Compliance Database'!$O$2:$O$622,MATCH(400,'Transfer Engine'!$C$2:$C$622,0)))</f>
        <v/>
      </c>
    </row>
    <row r="410">
      <c r="A410">
        <f>IF(ISNA(MATCH(401,'Transfer Engine'!$C$2:$C$622,0)),"",INDEX('Compliance Database'!$A$2:$A$622,MATCH(401,'Transfer Engine'!$C$2:$C$622,0)))</f>
        <v/>
      </c>
      <c r="B410">
        <f>IF(ISNA(MATCH(401,'Transfer Engine'!$C$2:$C$622,0)),"",INDEX('Compliance Database'!$B$2:$B$622,MATCH(401,'Transfer Engine'!$C$2:$C$622,0)))</f>
        <v/>
      </c>
      <c r="C410">
        <f>IF(ISNA(MATCH(401,'Transfer Engine'!$C$2:$C$622,0)),"",INDEX('Compliance Database'!$C$2:$C$622,MATCH(401,'Transfer Engine'!$C$2:$C$622,0)))</f>
        <v/>
      </c>
      <c r="D410" s="8">
        <f>IF(ISNA(MATCH(401,'Transfer Engine'!$C$2:$C$622,0)),"",INDEX('Compliance Database'!$D$2:$D$622,MATCH(401,'Transfer Engine'!$C$2:$C$622,0)))</f>
        <v/>
      </c>
      <c r="E410">
        <f>IF(ISNA(MATCH(401,'Transfer Engine'!$C$2:$C$622,0)),"",INDEX('Compliance Database'!$E$2:$E$622,MATCH(401,'Transfer Engine'!$C$2:$C$622,0)))</f>
        <v/>
      </c>
      <c r="F410">
        <f>IF(ISNA(MATCH(401,'Transfer Engine'!$C$2:$C$622,0)),"",INDEX('Compliance Database'!$F$2:$F$622,MATCH(401,'Transfer Engine'!$C$2:$C$622,0)))</f>
        <v/>
      </c>
      <c r="G410">
        <f>IF(ISNA(MATCH(401,'Transfer Engine'!$C$2:$C$622,0)),"",INDEX('Compliance Database'!$G$2:$G$622,MATCH(401,'Transfer Engine'!$C$2:$C$622,0)))</f>
        <v/>
      </c>
      <c r="H410">
        <f>IF(ISNA(MATCH(401,'Transfer Engine'!$C$2:$C$622,0)),"",INDEX('Compliance Database'!$H$2:$H$622,MATCH(401,'Transfer Engine'!$C$2:$C$622,0)))</f>
        <v/>
      </c>
      <c r="I410" s="8">
        <f>IF(ISNA(MATCH(401,'Transfer Engine'!$C$2:$C$622,0)),"",INDEX('Compliance Database'!$I$2:$I$622,MATCH(401,'Transfer Engine'!$C$2:$C$622,0)))</f>
        <v/>
      </c>
      <c r="J410" s="8">
        <f>IF(ISNA(MATCH(401,'Transfer Engine'!$C$2:$C$622,0)),"",INDEX('Compliance Database'!$J$2:$J$622,MATCH(401,'Transfer Engine'!$C$2:$C$622,0)))</f>
        <v/>
      </c>
      <c r="K410">
        <f>IF(ISNA(MATCH(401,'Transfer Engine'!$C$2:$C$622,0)),"",INDEX('Compliance Database'!$K$2:$K$622,MATCH(401,'Transfer Engine'!$C$2:$C$622,0)))</f>
        <v/>
      </c>
      <c r="L410" s="8">
        <f>IF(ISNA(MATCH(401,'Transfer Engine'!$C$2:$C$622,0)),"",INDEX('Compliance Database'!$L$2:$L$622,MATCH(401,'Transfer Engine'!$C$2:$C$622,0)))</f>
        <v/>
      </c>
      <c r="M410" s="8">
        <f>IF(ISNA(MATCH(401,'Transfer Engine'!$C$2:$C$622,0)),"",INDEX('Compliance Database'!$M$2:$M$622,MATCH(401,'Transfer Engine'!$C$2:$C$622,0)))</f>
        <v/>
      </c>
      <c r="N410" s="8">
        <f>IF(ISNA(MATCH(401,'Transfer Engine'!$C$2:$C$622,0)),"",INDEX('Compliance Database'!$N$2:$N$622,MATCH(401,'Transfer Engine'!$C$2:$C$622,0)))</f>
        <v/>
      </c>
      <c r="O410" s="8">
        <f>IF(ISNA(MATCH(401,'Transfer Engine'!$C$2:$C$622,0)),"",INDEX('Compliance Database'!$O$2:$O$622,MATCH(401,'Transfer Engine'!$C$2:$C$622,0)))</f>
        <v/>
      </c>
    </row>
    <row r="411">
      <c r="A411">
        <f>IF(ISNA(MATCH(402,'Transfer Engine'!$C$2:$C$622,0)),"",INDEX('Compliance Database'!$A$2:$A$622,MATCH(402,'Transfer Engine'!$C$2:$C$622,0)))</f>
        <v/>
      </c>
      <c r="B411">
        <f>IF(ISNA(MATCH(402,'Transfer Engine'!$C$2:$C$622,0)),"",INDEX('Compliance Database'!$B$2:$B$622,MATCH(402,'Transfer Engine'!$C$2:$C$622,0)))</f>
        <v/>
      </c>
      <c r="C411">
        <f>IF(ISNA(MATCH(402,'Transfer Engine'!$C$2:$C$622,0)),"",INDEX('Compliance Database'!$C$2:$C$622,MATCH(402,'Transfer Engine'!$C$2:$C$622,0)))</f>
        <v/>
      </c>
      <c r="D411" s="8">
        <f>IF(ISNA(MATCH(402,'Transfer Engine'!$C$2:$C$622,0)),"",INDEX('Compliance Database'!$D$2:$D$622,MATCH(402,'Transfer Engine'!$C$2:$C$622,0)))</f>
        <v/>
      </c>
      <c r="E411">
        <f>IF(ISNA(MATCH(402,'Transfer Engine'!$C$2:$C$622,0)),"",INDEX('Compliance Database'!$E$2:$E$622,MATCH(402,'Transfer Engine'!$C$2:$C$622,0)))</f>
        <v/>
      </c>
      <c r="F411">
        <f>IF(ISNA(MATCH(402,'Transfer Engine'!$C$2:$C$622,0)),"",INDEX('Compliance Database'!$F$2:$F$622,MATCH(402,'Transfer Engine'!$C$2:$C$622,0)))</f>
        <v/>
      </c>
      <c r="G411">
        <f>IF(ISNA(MATCH(402,'Transfer Engine'!$C$2:$C$622,0)),"",INDEX('Compliance Database'!$G$2:$G$622,MATCH(402,'Transfer Engine'!$C$2:$C$622,0)))</f>
        <v/>
      </c>
      <c r="H411">
        <f>IF(ISNA(MATCH(402,'Transfer Engine'!$C$2:$C$622,0)),"",INDEX('Compliance Database'!$H$2:$H$622,MATCH(402,'Transfer Engine'!$C$2:$C$622,0)))</f>
        <v/>
      </c>
      <c r="I411" s="8">
        <f>IF(ISNA(MATCH(402,'Transfer Engine'!$C$2:$C$622,0)),"",INDEX('Compliance Database'!$I$2:$I$622,MATCH(402,'Transfer Engine'!$C$2:$C$622,0)))</f>
        <v/>
      </c>
      <c r="J411" s="8">
        <f>IF(ISNA(MATCH(402,'Transfer Engine'!$C$2:$C$622,0)),"",INDEX('Compliance Database'!$J$2:$J$622,MATCH(402,'Transfer Engine'!$C$2:$C$622,0)))</f>
        <v/>
      </c>
      <c r="K411">
        <f>IF(ISNA(MATCH(402,'Transfer Engine'!$C$2:$C$622,0)),"",INDEX('Compliance Database'!$K$2:$K$622,MATCH(402,'Transfer Engine'!$C$2:$C$622,0)))</f>
        <v/>
      </c>
      <c r="L411" s="8">
        <f>IF(ISNA(MATCH(402,'Transfer Engine'!$C$2:$C$622,0)),"",INDEX('Compliance Database'!$L$2:$L$622,MATCH(402,'Transfer Engine'!$C$2:$C$622,0)))</f>
        <v/>
      </c>
      <c r="M411" s="8">
        <f>IF(ISNA(MATCH(402,'Transfer Engine'!$C$2:$C$622,0)),"",INDEX('Compliance Database'!$M$2:$M$622,MATCH(402,'Transfer Engine'!$C$2:$C$622,0)))</f>
        <v/>
      </c>
      <c r="N411" s="8">
        <f>IF(ISNA(MATCH(402,'Transfer Engine'!$C$2:$C$622,0)),"",INDEX('Compliance Database'!$N$2:$N$622,MATCH(402,'Transfer Engine'!$C$2:$C$622,0)))</f>
        <v/>
      </c>
      <c r="O411" s="8">
        <f>IF(ISNA(MATCH(402,'Transfer Engine'!$C$2:$C$622,0)),"",INDEX('Compliance Database'!$O$2:$O$622,MATCH(402,'Transfer Engine'!$C$2:$C$622,0)))</f>
        <v/>
      </c>
    </row>
    <row r="412">
      <c r="A412">
        <f>IF(ISNA(MATCH(403,'Transfer Engine'!$C$2:$C$622,0)),"",INDEX('Compliance Database'!$A$2:$A$622,MATCH(403,'Transfer Engine'!$C$2:$C$622,0)))</f>
        <v/>
      </c>
      <c r="B412">
        <f>IF(ISNA(MATCH(403,'Transfer Engine'!$C$2:$C$622,0)),"",INDEX('Compliance Database'!$B$2:$B$622,MATCH(403,'Transfer Engine'!$C$2:$C$622,0)))</f>
        <v/>
      </c>
      <c r="C412">
        <f>IF(ISNA(MATCH(403,'Transfer Engine'!$C$2:$C$622,0)),"",INDEX('Compliance Database'!$C$2:$C$622,MATCH(403,'Transfer Engine'!$C$2:$C$622,0)))</f>
        <v/>
      </c>
      <c r="D412" s="8">
        <f>IF(ISNA(MATCH(403,'Transfer Engine'!$C$2:$C$622,0)),"",INDEX('Compliance Database'!$D$2:$D$622,MATCH(403,'Transfer Engine'!$C$2:$C$622,0)))</f>
        <v/>
      </c>
      <c r="E412">
        <f>IF(ISNA(MATCH(403,'Transfer Engine'!$C$2:$C$622,0)),"",INDEX('Compliance Database'!$E$2:$E$622,MATCH(403,'Transfer Engine'!$C$2:$C$622,0)))</f>
        <v/>
      </c>
      <c r="F412">
        <f>IF(ISNA(MATCH(403,'Transfer Engine'!$C$2:$C$622,0)),"",INDEX('Compliance Database'!$F$2:$F$622,MATCH(403,'Transfer Engine'!$C$2:$C$622,0)))</f>
        <v/>
      </c>
      <c r="G412">
        <f>IF(ISNA(MATCH(403,'Transfer Engine'!$C$2:$C$622,0)),"",INDEX('Compliance Database'!$G$2:$G$622,MATCH(403,'Transfer Engine'!$C$2:$C$622,0)))</f>
        <v/>
      </c>
      <c r="H412">
        <f>IF(ISNA(MATCH(403,'Transfer Engine'!$C$2:$C$622,0)),"",INDEX('Compliance Database'!$H$2:$H$622,MATCH(403,'Transfer Engine'!$C$2:$C$622,0)))</f>
        <v/>
      </c>
      <c r="I412" s="8">
        <f>IF(ISNA(MATCH(403,'Transfer Engine'!$C$2:$C$622,0)),"",INDEX('Compliance Database'!$I$2:$I$622,MATCH(403,'Transfer Engine'!$C$2:$C$622,0)))</f>
        <v/>
      </c>
      <c r="J412" s="8">
        <f>IF(ISNA(MATCH(403,'Transfer Engine'!$C$2:$C$622,0)),"",INDEX('Compliance Database'!$J$2:$J$622,MATCH(403,'Transfer Engine'!$C$2:$C$622,0)))</f>
        <v/>
      </c>
      <c r="K412">
        <f>IF(ISNA(MATCH(403,'Transfer Engine'!$C$2:$C$622,0)),"",INDEX('Compliance Database'!$K$2:$K$622,MATCH(403,'Transfer Engine'!$C$2:$C$622,0)))</f>
        <v/>
      </c>
      <c r="L412" s="8">
        <f>IF(ISNA(MATCH(403,'Transfer Engine'!$C$2:$C$622,0)),"",INDEX('Compliance Database'!$L$2:$L$622,MATCH(403,'Transfer Engine'!$C$2:$C$622,0)))</f>
        <v/>
      </c>
      <c r="M412" s="8">
        <f>IF(ISNA(MATCH(403,'Transfer Engine'!$C$2:$C$622,0)),"",INDEX('Compliance Database'!$M$2:$M$622,MATCH(403,'Transfer Engine'!$C$2:$C$622,0)))</f>
        <v/>
      </c>
      <c r="N412" s="8">
        <f>IF(ISNA(MATCH(403,'Transfer Engine'!$C$2:$C$622,0)),"",INDEX('Compliance Database'!$N$2:$N$622,MATCH(403,'Transfer Engine'!$C$2:$C$622,0)))</f>
        <v/>
      </c>
      <c r="O412" s="8">
        <f>IF(ISNA(MATCH(403,'Transfer Engine'!$C$2:$C$622,0)),"",INDEX('Compliance Database'!$O$2:$O$622,MATCH(403,'Transfer Engine'!$C$2:$C$622,0)))</f>
        <v/>
      </c>
    </row>
    <row r="413">
      <c r="A413">
        <f>IF(ISNA(MATCH(404,'Transfer Engine'!$C$2:$C$622,0)),"",INDEX('Compliance Database'!$A$2:$A$622,MATCH(404,'Transfer Engine'!$C$2:$C$622,0)))</f>
        <v/>
      </c>
      <c r="B413">
        <f>IF(ISNA(MATCH(404,'Transfer Engine'!$C$2:$C$622,0)),"",INDEX('Compliance Database'!$B$2:$B$622,MATCH(404,'Transfer Engine'!$C$2:$C$622,0)))</f>
        <v/>
      </c>
      <c r="C413">
        <f>IF(ISNA(MATCH(404,'Transfer Engine'!$C$2:$C$622,0)),"",INDEX('Compliance Database'!$C$2:$C$622,MATCH(404,'Transfer Engine'!$C$2:$C$622,0)))</f>
        <v/>
      </c>
      <c r="D413" s="8">
        <f>IF(ISNA(MATCH(404,'Transfer Engine'!$C$2:$C$622,0)),"",INDEX('Compliance Database'!$D$2:$D$622,MATCH(404,'Transfer Engine'!$C$2:$C$622,0)))</f>
        <v/>
      </c>
      <c r="E413">
        <f>IF(ISNA(MATCH(404,'Transfer Engine'!$C$2:$C$622,0)),"",INDEX('Compliance Database'!$E$2:$E$622,MATCH(404,'Transfer Engine'!$C$2:$C$622,0)))</f>
        <v/>
      </c>
      <c r="F413">
        <f>IF(ISNA(MATCH(404,'Transfer Engine'!$C$2:$C$622,0)),"",INDEX('Compliance Database'!$F$2:$F$622,MATCH(404,'Transfer Engine'!$C$2:$C$622,0)))</f>
        <v/>
      </c>
      <c r="G413">
        <f>IF(ISNA(MATCH(404,'Transfer Engine'!$C$2:$C$622,0)),"",INDEX('Compliance Database'!$G$2:$G$622,MATCH(404,'Transfer Engine'!$C$2:$C$622,0)))</f>
        <v/>
      </c>
      <c r="H413">
        <f>IF(ISNA(MATCH(404,'Transfer Engine'!$C$2:$C$622,0)),"",INDEX('Compliance Database'!$H$2:$H$622,MATCH(404,'Transfer Engine'!$C$2:$C$622,0)))</f>
        <v/>
      </c>
      <c r="I413" s="8">
        <f>IF(ISNA(MATCH(404,'Transfer Engine'!$C$2:$C$622,0)),"",INDEX('Compliance Database'!$I$2:$I$622,MATCH(404,'Transfer Engine'!$C$2:$C$622,0)))</f>
        <v/>
      </c>
      <c r="J413" s="8">
        <f>IF(ISNA(MATCH(404,'Transfer Engine'!$C$2:$C$622,0)),"",INDEX('Compliance Database'!$J$2:$J$622,MATCH(404,'Transfer Engine'!$C$2:$C$622,0)))</f>
        <v/>
      </c>
      <c r="K413">
        <f>IF(ISNA(MATCH(404,'Transfer Engine'!$C$2:$C$622,0)),"",INDEX('Compliance Database'!$K$2:$K$622,MATCH(404,'Transfer Engine'!$C$2:$C$622,0)))</f>
        <v/>
      </c>
      <c r="L413" s="8">
        <f>IF(ISNA(MATCH(404,'Transfer Engine'!$C$2:$C$622,0)),"",INDEX('Compliance Database'!$L$2:$L$622,MATCH(404,'Transfer Engine'!$C$2:$C$622,0)))</f>
        <v/>
      </c>
      <c r="M413" s="8">
        <f>IF(ISNA(MATCH(404,'Transfer Engine'!$C$2:$C$622,0)),"",INDEX('Compliance Database'!$M$2:$M$622,MATCH(404,'Transfer Engine'!$C$2:$C$622,0)))</f>
        <v/>
      </c>
      <c r="N413" s="8">
        <f>IF(ISNA(MATCH(404,'Transfer Engine'!$C$2:$C$622,0)),"",INDEX('Compliance Database'!$N$2:$N$622,MATCH(404,'Transfer Engine'!$C$2:$C$622,0)))</f>
        <v/>
      </c>
      <c r="O413" s="8">
        <f>IF(ISNA(MATCH(404,'Transfer Engine'!$C$2:$C$622,0)),"",INDEX('Compliance Database'!$O$2:$O$622,MATCH(404,'Transfer Engine'!$C$2:$C$622,0)))</f>
        <v/>
      </c>
    </row>
    <row r="414">
      <c r="A414">
        <f>IF(ISNA(MATCH(405,'Transfer Engine'!$C$2:$C$622,0)),"",INDEX('Compliance Database'!$A$2:$A$622,MATCH(405,'Transfer Engine'!$C$2:$C$622,0)))</f>
        <v/>
      </c>
      <c r="B414">
        <f>IF(ISNA(MATCH(405,'Transfer Engine'!$C$2:$C$622,0)),"",INDEX('Compliance Database'!$B$2:$B$622,MATCH(405,'Transfer Engine'!$C$2:$C$622,0)))</f>
        <v/>
      </c>
      <c r="C414">
        <f>IF(ISNA(MATCH(405,'Transfer Engine'!$C$2:$C$622,0)),"",INDEX('Compliance Database'!$C$2:$C$622,MATCH(405,'Transfer Engine'!$C$2:$C$622,0)))</f>
        <v/>
      </c>
      <c r="D414" s="8">
        <f>IF(ISNA(MATCH(405,'Transfer Engine'!$C$2:$C$622,0)),"",INDEX('Compliance Database'!$D$2:$D$622,MATCH(405,'Transfer Engine'!$C$2:$C$622,0)))</f>
        <v/>
      </c>
      <c r="E414">
        <f>IF(ISNA(MATCH(405,'Transfer Engine'!$C$2:$C$622,0)),"",INDEX('Compliance Database'!$E$2:$E$622,MATCH(405,'Transfer Engine'!$C$2:$C$622,0)))</f>
        <v/>
      </c>
      <c r="F414">
        <f>IF(ISNA(MATCH(405,'Transfer Engine'!$C$2:$C$622,0)),"",INDEX('Compliance Database'!$F$2:$F$622,MATCH(405,'Transfer Engine'!$C$2:$C$622,0)))</f>
        <v/>
      </c>
      <c r="G414">
        <f>IF(ISNA(MATCH(405,'Transfer Engine'!$C$2:$C$622,0)),"",INDEX('Compliance Database'!$G$2:$G$622,MATCH(405,'Transfer Engine'!$C$2:$C$622,0)))</f>
        <v/>
      </c>
      <c r="H414">
        <f>IF(ISNA(MATCH(405,'Transfer Engine'!$C$2:$C$622,0)),"",INDEX('Compliance Database'!$H$2:$H$622,MATCH(405,'Transfer Engine'!$C$2:$C$622,0)))</f>
        <v/>
      </c>
      <c r="I414" s="8">
        <f>IF(ISNA(MATCH(405,'Transfer Engine'!$C$2:$C$622,0)),"",INDEX('Compliance Database'!$I$2:$I$622,MATCH(405,'Transfer Engine'!$C$2:$C$622,0)))</f>
        <v/>
      </c>
      <c r="J414" s="8">
        <f>IF(ISNA(MATCH(405,'Transfer Engine'!$C$2:$C$622,0)),"",INDEX('Compliance Database'!$J$2:$J$622,MATCH(405,'Transfer Engine'!$C$2:$C$622,0)))</f>
        <v/>
      </c>
      <c r="K414">
        <f>IF(ISNA(MATCH(405,'Transfer Engine'!$C$2:$C$622,0)),"",INDEX('Compliance Database'!$K$2:$K$622,MATCH(405,'Transfer Engine'!$C$2:$C$622,0)))</f>
        <v/>
      </c>
      <c r="L414" s="8">
        <f>IF(ISNA(MATCH(405,'Transfer Engine'!$C$2:$C$622,0)),"",INDEX('Compliance Database'!$L$2:$L$622,MATCH(405,'Transfer Engine'!$C$2:$C$622,0)))</f>
        <v/>
      </c>
      <c r="M414" s="8">
        <f>IF(ISNA(MATCH(405,'Transfer Engine'!$C$2:$C$622,0)),"",INDEX('Compliance Database'!$M$2:$M$622,MATCH(405,'Transfer Engine'!$C$2:$C$622,0)))</f>
        <v/>
      </c>
      <c r="N414" s="8">
        <f>IF(ISNA(MATCH(405,'Transfer Engine'!$C$2:$C$622,0)),"",INDEX('Compliance Database'!$N$2:$N$622,MATCH(405,'Transfer Engine'!$C$2:$C$622,0)))</f>
        <v/>
      </c>
      <c r="O414" s="8">
        <f>IF(ISNA(MATCH(405,'Transfer Engine'!$C$2:$C$622,0)),"",INDEX('Compliance Database'!$O$2:$O$622,MATCH(405,'Transfer Engine'!$C$2:$C$622,0)))</f>
        <v/>
      </c>
    </row>
    <row r="415">
      <c r="A415">
        <f>IF(ISNA(MATCH(406,'Transfer Engine'!$C$2:$C$622,0)),"",INDEX('Compliance Database'!$A$2:$A$622,MATCH(406,'Transfer Engine'!$C$2:$C$622,0)))</f>
        <v/>
      </c>
      <c r="B415">
        <f>IF(ISNA(MATCH(406,'Transfer Engine'!$C$2:$C$622,0)),"",INDEX('Compliance Database'!$B$2:$B$622,MATCH(406,'Transfer Engine'!$C$2:$C$622,0)))</f>
        <v/>
      </c>
      <c r="C415">
        <f>IF(ISNA(MATCH(406,'Transfer Engine'!$C$2:$C$622,0)),"",INDEX('Compliance Database'!$C$2:$C$622,MATCH(406,'Transfer Engine'!$C$2:$C$622,0)))</f>
        <v/>
      </c>
      <c r="D415" s="8">
        <f>IF(ISNA(MATCH(406,'Transfer Engine'!$C$2:$C$622,0)),"",INDEX('Compliance Database'!$D$2:$D$622,MATCH(406,'Transfer Engine'!$C$2:$C$622,0)))</f>
        <v/>
      </c>
      <c r="E415">
        <f>IF(ISNA(MATCH(406,'Transfer Engine'!$C$2:$C$622,0)),"",INDEX('Compliance Database'!$E$2:$E$622,MATCH(406,'Transfer Engine'!$C$2:$C$622,0)))</f>
        <v/>
      </c>
      <c r="F415">
        <f>IF(ISNA(MATCH(406,'Transfer Engine'!$C$2:$C$622,0)),"",INDEX('Compliance Database'!$F$2:$F$622,MATCH(406,'Transfer Engine'!$C$2:$C$622,0)))</f>
        <v/>
      </c>
      <c r="G415">
        <f>IF(ISNA(MATCH(406,'Transfer Engine'!$C$2:$C$622,0)),"",INDEX('Compliance Database'!$G$2:$G$622,MATCH(406,'Transfer Engine'!$C$2:$C$622,0)))</f>
        <v/>
      </c>
      <c r="H415">
        <f>IF(ISNA(MATCH(406,'Transfer Engine'!$C$2:$C$622,0)),"",INDEX('Compliance Database'!$H$2:$H$622,MATCH(406,'Transfer Engine'!$C$2:$C$622,0)))</f>
        <v/>
      </c>
      <c r="I415" s="8">
        <f>IF(ISNA(MATCH(406,'Transfer Engine'!$C$2:$C$622,0)),"",INDEX('Compliance Database'!$I$2:$I$622,MATCH(406,'Transfer Engine'!$C$2:$C$622,0)))</f>
        <v/>
      </c>
      <c r="J415" s="8">
        <f>IF(ISNA(MATCH(406,'Transfer Engine'!$C$2:$C$622,0)),"",INDEX('Compliance Database'!$J$2:$J$622,MATCH(406,'Transfer Engine'!$C$2:$C$622,0)))</f>
        <v/>
      </c>
      <c r="K415">
        <f>IF(ISNA(MATCH(406,'Transfer Engine'!$C$2:$C$622,0)),"",INDEX('Compliance Database'!$K$2:$K$622,MATCH(406,'Transfer Engine'!$C$2:$C$622,0)))</f>
        <v/>
      </c>
      <c r="L415" s="8">
        <f>IF(ISNA(MATCH(406,'Transfer Engine'!$C$2:$C$622,0)),"",INDEX('Compliance Database'!$L$2:$L$622,MATCH(406,'Transfer Engine'!$C$2:$C$622,0)))</f>
        <v/>
      </c>
      <c r="M415" s="8">
        <f>IF(ISNA(MATCH(406,'Transfer Engine'!$C$2:$C$622,0)),"",INDEX('Compliance Database'!$M$2:$M$622,MATCH(406,'Transfer Engine'!$C$2:$C$622,0)))</f>
        <v/>
      </c>
      <c r="N415" s="8">
        <f>IF(ISNA(MATCH(406,'Transfer Engine'!$C$2:$C$622,0)),"",INDEX('Compliance Database'!$N$2:$N$622,MATCH(406,'Transfer Engine'!$C$2:$C$622,0)))</f>
        <v/>
      </c>
      <c r="O415" s="8">
        <f>IF(ISNA(MATCH(406,'Transfer Engine'!$C$2:$C$622,0)),"",INDEX('Compliance Database'!$O$2:$O$622,MATCH(406,'Transfer Engine'!$C$2:$C$622,0)))</f>
        <v/>
      </c>
    </row>
    <row r="416">
      <c r="A416">
        <f>IF(ISNA(MATCH(407,'Transfer Engine'!$C$2:$C$622,0)),"",INDEX('Compliance Database'!$A$2:$A$622,MATCH(407,'Transfer Engine'!$C$2:$C$622,0)))</f>
        <v/>
      </c>
      <c r="B416">
        <f>IF(ISNA(MATCH(407,'Transfer Engine'!$C$2:$C$622,0)),"",INDEX('Compliance Database'!$B$2:$B$622,MATCH(407,'Transfer Engine'!$C$2:$C$622,0)))</f>
        <v/>
      </c>
      <c r="C416">
        <f>IF(ISNA(MATCH(407,'Transfer Engine'!$C$2:$C$622,0)),"",INDEX('Compliance Database'!$C$2:$C$622,MATCH(407,'Transfer Engine'!$C$2:$C$622,0)))</f>
        <v/>
      </c>
      <c r="D416" s="8">
        <f>IF(ISNA(MATCH(407,'Transfer Engine'!$C$2:$C$622,0)),"",INDEX('Compliance Database'!$D$2:$D$622,MATCH(407,'Transfer Engine'!$C$2:$C$622,0)))</f>
        <v/>
      </c>
      <c r="E416">
        <f>IF(ISNA(MATCH(407,'Transfer Engine'!$C$2:$C$622,0)),"",INDEX('Compliance Database'!$E$2:$E$622,MATCH(407,'Transfer Engine'!$C$2:$C$622,0)))</f>
        <v/>
      </c>
      <c r="F416">
        <f>IF(ISNA(MATCH(407,'Transfer Engine'!$C$2:$C$622,0)),"",INDEX('Compliance Database'!$F$2:$F$622,MATCH(407,'Transfer Engine'!$C$2:$C$622,0)))</f>
        <v/>
      </c>
      <c r="G416">
        <f>IF(ISNA(MATCH(407,'Transfer Engine'!$C$2:$C$622,0)),"",INDEX('Compliance Database'!$G$2:$G$622,MATCH(407,'Transfer Engine'!$C$2:$C$622,0)))</f>
        <v/>
      </c>
      <c r="H416">
        <f>IF(ISNA(MATCH(407,'Transfer Engine'!$C$2:$C$622,0)),"",INDEX('Compliance Database'!$H$2:$H$622,MATCH(407,'Transfer Engine'!$C$2:$C$622,0)))</f>
        <v/>
      </c>
      <c r="I416" s="8">
        <f>IF(ISNA(MATCH(407,'Transfer Engine'!$C$2:$C$622,0)),"",INDEX('Compliance Database'!$I$2:$I$622,MATCH(407,'Transfer Engine'!$C$2:$C$622,0)))</f>
        <v/>
      </c>
      <c r="J416" s="8">
        <f>IF(ISNA(MATCH(407,'Transfer Engine'!$C$2:$C$622,0)),"",INDEX('Compliance Database'!$J$2:$J$622,MATCH(407,'Transfer Engine'!$C$2:$C$622,0)))</f>
        <v/>
      </c>
      <c r="K416">
        <f>IF(ISNA(MATCH(407,'Transfer Engine'!$C$2:$C$622,0)),"",INDEX('Compliance Database'!$K$2:$K$622,MATCH(407,'Transfer Engine'!$C$2:$C$622,0)))</f>
        <v/>
      </c>
      <c r="L416" s="8">
        <f>IF(ISNA(MATCH(407,'Transfer Engine'!$C$2:$C$622,0)),"",INDEX('Compliance Database'!$L$2:$L$622,MATCH(407,'Transfer Engine'!$C$2:$C$622,0)))</f>
        <v/>
      </c>
      <c r="M416" s="8">
        <f>IF(ISNA(MATCH(407,'Transfer Engine'!$C$2:$C$622,0)),"",INDEX('Compliance Database'!$M$2:$M$622,MATCH(407,'Transfer Engine'!$C$2:$C$622,0)))</f>
        <v/>
      </c>
      <c r="N416" s="8">
        <f>IF(ISNA(MATCH(407,'Transfer Engine'!$C$2:$C$622,0)),"",INDEX('Compliance Database'!$N$2:$N$622,MATCH(407,'Transfer Engine'!$C$2:$C$622,0)))</f>
        <v/>
      </c>
      <c r="O416" s="8">
        <f>IF(ISNA(MATCH(407,'Transfer Engine'!$C$2:$C$622,0)),"",INDEX('Compliance Database'!$O$2:$O$622,MATCH(407,'Transfer Engine'!$C$2:$C$622,0)))</f>
        <v/>
      </c>
    </row>
    <row r="417">
      <c r="A417">
        <f>IF(ISNA(MATCH(408,'Transfer Engine'!$C$2:$C$622,0)),"",INDEX('Compliance Database'!$A$2:$A$622,MATCH(408,'Transfer Engine'!$C$2:$C$622,0)))</f>
        <v/>
      </c>
      <c r="B417">
        <f>IF(ISNA(MATCH(408,'Transfer Engine'!$C$2:$C$622,0)),"",INDEX('Compliance Database'!$B$2:$B$622,MATCH(408,'Transfer Engine'!$C$2:$C$622,0)))</f>
        <v/>
      </c>
      <c r="C417">
        <f>IF(ISNA(MATCH(408,'Transfer Engine'!$C$2:$C$622,0)),"",INDEX('Compliance Database'!$C$2:$C$622,MATCH(408,'Transfer Engine'!$C$2:$C$622,0)))</f>
        <v/>
      </c>
      <c r="D417" s="8">
        <f>IF(ISNA(MATCH(408,'Transfer Engine'!$C$2:$C$622,0)),"",INDEX('Compliance Database'!$D$2:$D$622,MATCH(408,'Transfer Engine'!$C$2:$C$622,0)))</f>
        <v/>
      </c>
      <c r="E417">
        <f>IF(ISNA(MATCH(408,'Transfer Engine'!$C$2:$C$622,0)),"",INDEX('Compliance Database'!$E$2:$E$622,MATCH(408,'Transfer Engine'!$C$2:$C$622,0)))</f>
        <v/>
      </c>
      <c r="F417">
        <f>IF(ISNA(MATCH(408,'Transfer Engine'!$C$2:$C$622,0)),"",INDEX('Compliance Database'!$F$2:$F$622,MATCH(408,'Transfer Engine'!$C$2:$C$622,0)))</f>
        <v/>
      </c>
      <c r="G417">
        <f>IF(ISNA(MATCH(408,'Transfer Engine'!$C$2:$C$622,0)),"",INDEX('Compliance Database'!$G$2:$G$622,MATCH(408,'Transfer Engine'!$C$2:$C$622,0)))</f>
        <v/>
      </c>
      <c r="H417">
        <f>IF(ISNA(MATCH(408,'Transfer Engine'!$C$2:$C$622,0)),"",INDEX('Compliance Database'!$H$2:$H$622,MATCH(408,'Transfer Engine'!$C$2:$C$622,0)))</f>
        <v/>
      </c>
      <c r="I417" s="8">
        <f>IF(ISNA(MATCH(408,'Transfer Engine'!$C$2:$C$622,0)),"",INDEX('Compliance Database'!$I$2:$I$622,MATCH(408,'Transfer Engine'!$C$2:$C$622,0)))</f>
        <v/>
      </c>
      <c r="J417" s="8">
        <f>IF(ISNA(MATCH(408,'Transfer Engine'!$C$2:$C$622,0)),"",INDEX('Compliance Database'!$J$2:$J$622,MATCH(408,'Transfer Engine'!$C$2:$C$622,0)))</f>
        <v/>
      </c>
      <c r="K417">
        <f>IF(ISNA(MATCH(408,'Transfer Engine'!$C$2:$C$622,0)),"",INDEX('Compliance Database'!$K$2:$K$622,MATCH(408,'Transfer Engine'!$C$2:$C$622,0)))</f>
        <v/>
      </c>
      <c r="L417" s="8">
        <f>IF(ISNA(MATCH(408,'Transfer Engine'!$C$2:$C$622,0)),"",INDEX('Compliance Database'!$L$2:$L$622,MATCH(408,'Transfer Engine'!$C$2:$C$622,0)))</f>
        <v/>
      </c>
      <c r="M417" s="8">
        <f>IF(ISNA(MATCH(408,'Transfer Engine'!$C$2:$C$622,0)),"",INDEX('Compliance Database'!$M$2:$M$622,MATCH(408,'Transfer Engine'!$C$2:$C$622,0)))</f>
        <v/>
      </c>
      <c r="N417" s="8">
        <f>IF(ISNA(MATCH(408,'Transfer Engine'!$C$2:$C$622,0)),"",INDEX('Compliance Database'!$N$2:$N$622,MATCH(408,'Transfer Engine'!$C$2:$C$622,0)))</f>
        <v/>
      </c>
      <c r="O417" s="8">
        <f>IF(ISNA(MATCH(408,'Transfer Engine'!$C$2:$C$622,0)),"",INDEX('Compliance Database'!$O$2:$O$622,MATCH(408,'Transfer Engine'!$C$2:$C$622,0)))</f>
        <v/>
      </c>
    </row>
    <row r="418">
      <c r="A418">
        <f>IF(ISNA(MATCH(409,'Transfer Engine'!$C$2:$C$622,0)),"",INDEX('Compliance Database'!$A$2:$A$622,MATCH(409,'Transfer Engine'!$C$2:$C$622,0)))</f>
        <v/>
      </c>
      <c r="B418">
        <f>IF(ISNA(MATCH(409,'Transfer Engine'!$C$2:$C$622,0)),"",INDEX('Compliance Database'!$B$2:$B$622,MATCH(409,'Transfer Engine'!$C$2:$C$622,0)))</f>
        <v/>
      </c>
      <c r="C418">
        <f>IF(ISNA(MATCH(409,'Transfer Engine'!$C$2:$C$622,0)),"",INDEX('Compliance Database'!$C$2:$C$622,MATCH(409,'Transfer Engine'!$C$2:$C$622,0)))</f>
        <v/>
      </c>
      <c r="D418" s="8">
        <f>IF(ISNA(MATCH(409,'Transfer Engine'!$C$2:$C$622,0)),"",INDEX('Compliance Database'!$D$2:$D$622,MATCH(409,'Transfer Engine'!$C$2:$C$622,0)))</f>
        <v/>
      </c>
      <c r="E418">
        <f>IF(ISNA(MATCH(409,'Transfer Engine'!$C$2:$C$622,0)),"",INDEX('Compliance Database'!$E$2:$E$622,MATCH(409,'Transfer Engine'!$C$2:$C$622,0)))</f>
        <v/>
      </c>
      <c r="F418">
        <f>IF(ISNA(MATCH(409,'Transfer Engine'!$C$2:$C$622,0)),"",INDEX('Compliance Database'!$F$2:$F$622,MATCH(409,'Transfer Engine'!$C$2:$C$622,0)))</f>
        <v/>
      </c>
      <c r="G418">
        <f>IF(ISNA(MATCH(409,'Transfer Engine'!$C$2:$C$622,0)),"",INDEX('Compliance Database'!$G$2:$G$622,MATCH(409,'Transfer Engine'!$C$2:$C$622,0)))</f>
        <v/>
      </c>
      <c r="H418">
        <f>IF(ISNA(MATCH(409,'Transfer Engine'!$C$2:$C$622,0)),"",INDEX('Compliance Database'!$H$2:$H$622,MATCH(409,'Transfer Engine'!$C$2:$C$622,0)))</f>
        <v/>
      </c>
      <c r="I418" s="8">
        <f>IF(ISNA(MATCH(409,'Transfer Engine'!$C$2:$C$622,0)),"",INDEX('Compliance Database'!$I$2:$I$622,MATCH(409,'Transfer Engine'!$C$2:$C$622,0)))</f>
        <v/>
      </c>
      <c r="J418" s="8">
        <f>IF(ISNA(MATCH(409,'Transfer Engine'!$C$2:$C$622,0)),"",INDEX('Compliance Database'!$J$2:$J$622,MATCH(409,'Transfer Engine'!$C$2:$C$622,0)))</f>
        <v/>
      </c>
      <c r="K418">
        <f>IF(ISNA(MATCH(409,'Transfer Engine'!$C$2:$C$622,0)),"",INDEX('Compliance Database'!$K$2:$K$622,MATCH(409,'Transfer Engine'!$C$2:$C$622,0)))</f>
        <v/>
      </c>
      <c r="L418" s="8">
        <f>IF(ISNA(MATCH(409,'Transfer Engine'!$C$2:$C$622,0)),"",INDEX('Compliance Database'!$L$2:$L$622,MATCH(409,'Transfer Engine'!$C$2:$C$622,0)))</f>
        <v/>
      </c>
      <c r="M418" s="8">
        <f>IF(ISNA(MATCH(409,'Transfer Engine'!$C$2:$C$622,0)),"",INDEX('Compliance Database'!$M$2:$M$622,MATCH(409,'Transfer Engine'!$C$2:$C$622,0)))</f>
        <v/>
      </c>
      <c r="N418" s="8">
        <f>IF(ISNA(MATCH(409,'Transfer Engine'!$C$2:$C$622,0)),"",INDEX('Compliance Database'!$N$2:$N$622,MATCH(409,'Transfer Engine'!$C$2:$C$622,0)))</f>
        <v/>
      </c>
      <c r="O418" s="8">
        <f>IF(ISNA(MATCH(409,'Transfer Engine'!$C$2:$C$622,0)),"",INDEX('Compliance Database'!$O$2:$O$622,MATCH(409,'Transfer Engine'!$C$2:$C$622,0)))</f>
        <v/>
      </c>
    </row>
    <row r="419">
      <c r="A419">
        <f>IF(ISNA(MATCH(410,'Transfer Engine'!$C$2:$C$622,0)),"",INDEX('Compliance Database'!$A$2:$A$622,MATCH(410,'Transfer Engine'!$C$2:$C$622,0)))</f>
        <v/>
      </c>
      <c r="B419">
        <f>IF(ISNA(MATCH(410,'Transfer Engine'!$C$2:$C$622,0)),"",INDEX('Compliance Database'!$B$2:$B$622,MATCH(410,'Transfer Engine'!$C$2:$C$622,0)))</f>
        <v/>
      </c>
      <c r="C419">
        <f>IF(ISNA(MATCH(410,'Transfer Engine'!$C$2:$C$622,0)),"",INDEX('Compliance Database'!$C$2:$C$622,MATCH(410,'Transfer Engine'!$C$2:$C$622,0)))</f>
        <v/>
      </c>
      <c r="D419" s="8">
        <f>IF(ISNA(MATCH(410,'Transfer Engine'!$C$2:$C$622,0)),"",INDEX('Compliance Database'!$D$2:$D$622,MATCH(410,'Transfer Engine'!$C$2:$C$622,0)))</f>
        <v/>
      </c>
      <c r="E419">
        <f>IF(ISNA(MATCH(410,'Transfer Engine'!$C$2:$C$622,0)),"",INDEX('Compliance Database'!$E$2:$E$622,MATCH(410,'Transfer Engine'!$C$2:$C$622,0)))</f>
        <v/>
      </c>
      <c r="F419">
        <f>IF(ISNA(MATCH(410,'Transfer Engine'!$C$2:$C$622,0)),"",INDEX('Compliance Database'!$F$2:$F$622,MATCH(410,'Transfer Engine'!$C$2:$C$622,0)))</f>
        <v/>
      </c>
      <c r="G419">
        <f>IF(ISNA(MATCH(410,'Transfer Engine'!$C$2:$C$622,0)),"",INDEX('Compliance Database'!$G$2:$G$622,MATCH(410,'Transfer Engine'!$C$2:$C$622,0)))</f>
        <v/>
      </c>
      <c r="H419">
        <f>IF(ISNA(MATCH(410,'Transfer Engine'!$C$2:$C$622,0)),"",INDEX('Compliance Database'!$H$2:$H$622,MATCH(410,'Transfer Engine'!$C$2:$C$622,0)))</f>
        <v/>
      </c>
      <c r="I419" s="8">
        <f>IF(ISNA(MATCH(410,'Transfer Engine'!$C$2:$C$622,0)),"",INDEX('Compliance Database'!$I$2:$I$622,MATCH(410,'Transfer Engine'!$C$2:$C$622,0)))</f>
        <v/>
      </c>
      <c r="J419" s="8">
        <f>IF(ISNA(MATCH(410,'Transfer Engine'!$C$2:$C$622,0)),"",INDEX('Compliance Database'!$J$2:$J$622,MATCH(410,'Transfer Engine'!$C$2:$C$622,0)))</f>
        <v/>
      </c>
      <c r="K419">
        <f>IF(ISNA(MATCH(410,'Transfer Engine'!$C$2:$C$622,0)),"",INDEX('Compliance Database'!$K$2:$K$622,MATCH(410,'Transfer Engine'!$C$2:$C$622,0)))</f>
        <v/>
      </c>
      <c r="L419" s="8">
        <f>IF(ISNA(MATCH(410,'Transfer Engine'!$C$2:$C$622,0)),"",INDEX('Compliance Database'!$L$2:$L$622,MATCH(410,'Transfer Engine'!$C$2:$C$622,0)))</f>
        <v/>
      </c>
      <c r="M419" s="8">
        <f>IF(ISNA(MATCH(410,'Transfer Engine'!$C$2:$C$622,0)),"",INDEX('Compliance Database'!$M$2:$M$622,MATCH(410,'Transfer Engine'!$C$2:$C$622,0)))</f>
        <v/>
      </c>
      <c r="N419" s="8">
        <f>IF(ISNA(MATCH(410,'Transfer Engine'!$C$2:$C$622,0)),"",INDEX('Compliance Database'!$N$2:$N$622,MATCH(410,'Transfer Engine'!$C$2:$C$622,0)))</f>
        <v/>
      </c>
      <c r="O419" s="8">
        <f>IF(ISNA(MATCH(410,'Transfer Engine'!$C$2:$C$622,0)),"",INDEX('Compliance Database'!$O$2:$O$622,MATCH(410,'Transfer Engine'!$C$2:$C$622,0)))</f>
        <v/>
      </c>
    </row>
    <row r="420">
      <c r="A420">
        <f>IF(ISNA(MATCH(411,'Transfer Engine'!$C$2:$C$622,0)),"",INDEX('Compliance Database'!$A$2:$A$622,MATCH(411,'Transfer Engine'!$C$2:$C$622,0)))</f>
        <v/>
      </c>
      <c r="B420">
        <f>IF(ISNA(MATCH(411,'Transfer Engine'!$C$2:$C$622,0)),"",INDEX('Compliance Database'!$B$2:$B$622,MATCH(411,'Transfer Engine'!$C$2:$C$622,0)))</f>
        <v/>
      </c>
      <c r="C420">
        <f>IF(ISNA(MATCH(411,'Transfer Engine'!$C$2:$C$622,0)),"",INDEX('Compliance Database'!$C$2:$C$622,MATCH(411,'Transfer Engine'!$C$2:$C$622,0)))</f>
        <v/>
      </c>
      <c r="D420" s="8">
        <f>IF(ISNA(MATCH(411,'Transfer Engine'!$C$2:$C$622,0)),"",INDEX('Compliance Database'!$D$2:$D$622,MATCH(411,'Transfer Engine'!$C$2:$C$622,0)))</f>
        <v/>
      </c>
      <c r="E420">
        <f>IF(ISNA(MATCH(411,'Transfer Engine'!$C$2:$C$622,0)),"",INDEX('Compliance Database'!$E$2:$E$622,MATCH(411,'Transfer Engine'!$C$2:$C$622,0)))</f>
        <v/>
      </c>
      <c r="F420">
        <f>IF(ISNA(MATCH(411,'Transfer Engine'!$C$2:$C$622,0)),"",INDEX('Compliance Database'!$F$2:$F$622,MATCH(411,'Transfer Engine'!$C$2:$C$622,0)))</f>
        <v/>
      </c>
      <c r="G420">
        <f>IF(ISNA(MATCH(411,'Transfer Engine'!$C$2:$C$622,0)),"",INDEX('Compliance Database'!$G$2:$G$622,MATCH(411,'Transfer Engine'!$C$2:$C$622,0)))</f>
        <v/>
      </c>
      <c r="H420">
        <f>IF(ISNA(MATCH(411,'Transfer Engine'!$C$2:$C$622,0)),"",INDEX('Compliance Database'!$H$2:$H$622,MATCH(411,'Transfer Engine'!$C$2:$C$622,0)))</f>
        <v/>
      </c>
      <c r="I420" s="8">
        <f>IF(ISNA(MATCH(411,'Transfer Engine'!$C$2:$C$622,0)),"",INDEX('Compliance Database'!$I$2:$I$622,MATCH(411,'Transfer Engine'!$C$2:$C$622,0)))</f>
        <v/>
      </c>
      <c r="J420" s="8">
        <f>IF(ISNA(MATCH(411,'Transfer Engine'!$C$2:$C$622,0)),"",INDEX('Compliance Database'!$J$2:$J$622,MATCH(411,'Transfer Engine'!$C$2:$C$622,0)))</f>
        <v/>
      </c>
      <c r="K420">
        <f>IF(ISNA(MATCH(411,'Transfer Engine'!$C$2:$C$622,0)),"",INDEX('Compliance Database'!$K$2:$K$622,MATCH(411,'Transfer Engine'!$C$2:$C$622,0)))</f>
        <v/>
      </c>
      <c r="L420" s="8">
        <f>IF(ISNA(MATCH(411,'Transfer Engine'!$C$2:$C$622,0)),"",INDEX('Compliance Database'!$L$2:$L$622,MATCH(411,'Transfer Engine'!$C$2:$C$622,0)))</f>
        <v/>
      </c>
      <c r="M420" s="8">
        <f>IF(ISNA(MATCH(411,'Transfer Engine'!$C$2:$C$622,0)),"",INDEX('Compliance Database'!$M$2:$M$622,MATCH(411,'Transfer Engine'!$C$2:$C$622,0)))</f>
        <v/>
      </c>
      <c r="N420" s="8">
        <f>IF(ISNA(MATCH(411,'Transfer Engine'!$C$2:$C$622,0)),"",INDEX('Compliance Database'!$N$2:$N$622,MATCH(411,'Transfer Engine'!$C$2:$C$622,0)))</f>
        <v/>
      </c>
      <c r="O420" s="8">
        <f>IF(ISNA(MATCH(411,'Transfer Engine'!$C$2:$C$622,0)),"",INDEX('Compliance Database'!$O$2:$O$622,MATCH(411,'Transfer Engine'!$C$2:$C$622,0)))</f>
        <v/>
      </c>
    </row>
    <row r="421">
      <c r="A421">
        <f>IF(ISNA(MATCH(412,'Transfer Engine'!$C$2:$C$622,0)),"",INDEX('Compliance Database'!$A$2:$A$622,MATCH(412,'Transfer Engine'!$C$2:$C$622,0)))</f>
        <v/>
      </c>
      <c r="B421">
        <f>IF(ISNA(MATCH(412,'Transfer Engine'!$C$2:$C$622,0)),"",INDEX('Compliance Database'!$B$2:$B$622,MATCH(412,'Transfer Engine'!$C$2:$C$622,0)))</f>
        <v/>
      </c>
      <c r="C421">
        <f>IF(ISNA(MATCH(412,'Transfer Engine'!$C$2:$C$622,0)),"",INDEX('Compliance Database'!$C$2:$C$622,MATCH(412,'Transfer Engine'!$C$2:$C$622,0)))</f>
        <v/>
      </c>
      <c r="D421" s="8">
        <f>IF(ISNA(MATCH(412,'Transfer Engine'!$C$2:$C$622,0)),"",INDEX('Compliance Database'!$D$2:$D$622,MATCH(412,'Transfer Engine'!$C$2:$C$622,0)))</f>
        <v/>
      </c>
      <c r="E421">
        <f>IF(ISNA(MATCH(412,'Transfer Engine'!$C$2:$C$622,0)),"",INDEX('Compliance Database'!$E$2:$E$622,MATCH(412,'Transfer Engine'!$C$2:$C$622,0)))</f>
        <v/>
      </c>
      <c r="F421">
        <f>IF(ISNA(MATCH(412,'Transfer Engine'!$C$2:$C$622,0)),"",INDEX('Compliance Database'!$F$2:$F$622,MATCH(412,'Transfer Engine'!$C$2:$C$622,0)))</f>
        <v/>
      </c>
      <c r="G421">
        <f>IF(ISNA(MATCH(412,'Transfer Engine'!$C$2:$C$622,0)),"",INDEX('Compliance Database'!$G$2:$G$622,MATCH(412,'Transfer Engine'!$C$2:$C$622,0)))</f>
        <v/>
      </c>
      <c r="H421">
        <f>IF(ISNA(MATCH(412,'Transfer Engine'!$C$2:$C$622,0)),"",INDEX('Compliance Database'!$H$2:$H$622,MATCH(412,'Transfer Engine'!$C$2:$C$622,0)))</f>
        <v/>
      </c>
      <c r="I421" s="8">
        <f>IF(ISNA(MATCH(412,'Transfer Engine'!$C$2:$C$622,0)),"",INDEX('Compliance Database'!$I$2:$I$622,MATCH(412,'Transfer Engine'!$C$2:$C$622,0)))</f>
        <v/>
      </c>
      <c r="J421" s="8">
        <f>IF(ISNA(MATCH(412,'Transfer Engine'!$C$2:$C$622,0)),"",INDEX('Compliance Database'!$J$2:$J$622,MATCH(412,'Transfer Engine'!$C$2:$C$622,0)))</f>
        <v/>
      </c>
      <c r="K421">
        <f>IF(ISNA(MATCH(412,'Transfer Engine'!$C$2:$C$622,0)),"",INDEX('Compliance Database'!$K$2:$K$622,MATCH(412,'Transfer Engine'!$C$2:$C$622,0)))</f>
        <v/>
      </c>
      <c r="L421" s="8">
        <f>IF(ISNA(MATCH(412,'Transfer Engine'!$C$2:$C$622,0)),"",INDEX('Compliance Database'!$L$2:$L$622,MATCH(412,'Transfer Engine'!$C$2:$C$622,0)))</f>
        <v/>
      </c>
      <c r="M421" s="8">
        <f>IF(ISNA(MATCH(412,'Transfer Engine'!$C$2:$C$622,0)),"",INDEX('Compliance Database'!$M$2:$M$622,MATCH(412,'Transfer Engine'!$C$2:$C$622,0)))</f>
        <v/>
      </c>
      <c r="N421" s="8">
        <f>IF(ISNA(MATCH(412,'Transfer Engine'!$C$2:$C$622,0)),"",INDEX('Compliance Database'!$N$2:$N$622,MATCH(412,'Transfer Engine'!$C$2:$C$622,0)))</f>
        <v/>
      </c>
      <c r="O421" s="8">
        <f>IF(ISNA(MATCH(412,'Transfer Engine'!$C$2:$C$622,0)),"",INDEX('Compliance Database'!$O$2:$O$622,MATCH(412,'Transfer Engine'!$C$2:$C$622,0)))</f>
        <v/>
      </c>
    </row>
    <row r="422">
      <c r="A422">
        <f>IF(ISNA(MATCH(413,'Transfer Engine'!$C$2:$C$622,0)),"",INDEX('Compliance Database'!$A$2:$A$622,MATCH(413,'Transfer Engine'!$C$2:$C$622,0)))</f>
        <v/>
      </c>
      <c r="B422">
        <f>IF(ISNA(MATCH(413,'Transfer Engine'!$C$2:$C$622,0)),"",INDEX('Compliance Database'!$B$2:$B$622,MATCH(413,'Transfer Engine'!$C$2:$C$622,0)))</f>
        <v/>
      </c>
      <c r="C422">
        <f>IF(ISNA(MATCH(413,'Transfer Engine'!$C$2:$C$622,0)),"",INDEX('Compliance Database'!$C$2:$C$622,MATCH(413,'Transfer Engine'!$C$2:$C$622,0)))</f>
        <v/>
      </c>
      <c r="D422" s="8">
        <f>IF(ISNA(MATCH(413,'Transfer Engine'!$C$2:$C$622,0)),"",INDEX('Compliance Database'!$D$2:$D$622,MATCH(413,'Transfer Engine'!$C$2:$C$622,0)))</f>
        <v/>
      </c>
      <c r="E422">
        <f>IF(ISNA(MATCH(413,'Transfer Engine'!$C$2:$C$622,0)),"",INDEX('Compliance Database'!$E$2:$E$622,MATCH(413,'Transfer Engine'!$C$2:$C$622,0)))</f>
        <v/>
      </c>
      <c r="F422">
        <f>IF(ISNA(MATCH(413,'Transfer Engine'!$C$2:$C$622,0)),"",INDEX('Compliance Database'!$F$2:$F$622,MATCH(413,'Transfer Engine'!$C$2:$C$622,0)))</f>
        <v/>
      </c>
      <c r="G422">
        <f>IF(ISNA(MATCH(413,'Transfer Engine'!$C$2:$C$622,0)),"",INDEX('Compliance Database'!$G$2:$G$622,MATCH(413,'Transfer Engine'!$C$2:$C$622,0)))</f>
        <v/>
      </c>
      <c r="H422">
        <f>IF(ISNA(MATCH(413,'Transfer Engine'!$C$2:$C$622,0)),"",INDEX('Compliance Database'!$H$2:$H$622,MATCH(413,'Transfer Engine'!$C$2:$C$622,0)))</f>
        <v/>
      </c>
      <c r="I422" s="8">
        <f>IF(ISNA(MATCH(413,'Transfer Engine'!$C$2:$C$622,0)),"",INDEX('Compliance Database'!$I$2:$I$622,MATCH(413,'Transfer Engine'!$C$2:$C$622,0)))</f>
        <v/>
      </c>
      <c r="J422" s="8">
        <f>IF(ISNA(MATCH(413,'Transfer Engine'!$C$2:$C$622,0)),"",INDEX('Compliance Database'!$J$2:$J$622,MATCH(413,'Transfer Engine'!$C$2:$C$622,0)))</f>
        <v/>
      </c>
      <c r="K422">
        <f>IF(ISNA(MATCH(413,'Transfer Engine'!$C$2:$C$622,0)),"",INDEX('Compliance Database'!$K$2:$K$622,MATCH(413,'Transfer Engine'!$C$2:$C$622,0)))</f>
        <v/>
      </c>
      <c r="L422" s="8">
        <f>IF(ISNA(MATCH(413,'Transfer Engine'!$C$2:$C$622,0)),"",INDEX('Compliance Database'!$L$2:$L$622,MATCH(413,'Transfer Engine'!$C$2:$C$622,0)))</f>
        <v/>
      </c>
      <c r="M422" s="8">
        <f>IF(ISNA(MATCH(413,'Transfer Engine'!$C$2:$C$622,0)),"",INDEX('Compliance Database'!$M$2:$M$622,MATCH(413,'Transfer Engine'!$C$2:$C$622,0)))</f>
        <v/>
      </c>
      <c r="N422" s="8">
        <f>IF(ISNA(MATCH(413,'Transfer Engine'!$C$2:$C$622,0)),"",INDEX('Compliance Database'!$N$2:$N$622,MATCH(413,'Transfer Engine'!$C$2:$C$622,0)))</f>
        <v/>
      </c>
      <c r="O422" s="8">
        <f>IF(ISNA(MATCH(413,'Transfer Engine'!$C$2:$C$622,0)),"",INDEX('Compliance Database'!$O$2:$O$622,MATCH(413,'Transfer Engine'!$C$2:$C$622,0)))</f>
        <v/>
      </c>
    </row>
    <row r="423">
      <c r="A423">
        <f>IF(ISNA(MATCH(414,'Transfer Engine'!$C$2:$C$622,0)),"",INDEX('Compliance Database'!$A$2:$A$622,MATCH(414,'Transfer Engine'!$C$2:$C$622,0)))</f>
        <v/>
      </c>
      <c r="B423">
        <f>IF(ISNA(MATCH(414,'Transfer Engine'!$C$2:$C$622,0)),"",INDEX('Compliance Database'!$B$2:$B$622,MATCH(414,'Transfer Engine'!$C$2:$C$622,0)))</f>
        <v/>
      </c>
      <c r="C423">
        <f>IF(ISNA(MATCH(414,'Transfer Engine'!$C$2:$C$622,0)),"",INDEX('Compliance Database'!$C$2:$C$622,MATCH(414,'Transfer Engine'!$C$2:$C$622,0)))</f>
        <v/>
      </c>
      <c r="D423" s="8">
        <f>IF(ISNA(MATCH(414,'Transfer Engine'!$C$2:$C$622,0)),"",INDEX('Compliance Database'!$D$2:$D$622,MATCH(414,'Transfer Engine'!$C$2:$C$622,0)))</f>
        <v/>
      </c>
      <c r="E423">
        <f>IF(ISNA(MATCH(414,'Transfer Engine'!$C$2:$C$622,0)),"",INDEX('Compliance Database'!$E$2:$E$622,MATCH(414,'Transfer Engine'!$C$2:$C$622,0)))</f>
        <v/>
      </c>
      <c r="F423">
        <f>IF(ISNA(MATCH(414,'Transfer Engine'!$C$2:$C$622,0)),"",INDEX('Compliance Database'!$F$2:$F$622,MATCH(414,'Transfer Engine'!$C$2:$C$622,0)))</f>
        <v/>
      </c>
      <c r="G423">
        <f>IF(ISNA(MATCH(414,'Transfer Engine'!$C$2:$C$622,0)),"",INDEX('Compliance Database'!$G$2:$G$622,MATCH(414,'Transfer Engine'!$C$2:$C$622,0)))</f>
        <v/>
      </c>
      <c r="H423">
        <f>IF(ISNA(MATCH(414,'Transfer Engine'!$C$2:$C$622,0)),"",INDEX('Compliance Database'!$H$2:$H$622,MATCH(414,'Transfer Engine'!$C$2:$C$622,0)))</f>
        <v/>
      </c>
      <c r="I423" s="8">
        <f>IF(ISNA(MATCH(414,'Transfer Engine'!$C$2:$C$622,0)),"",INDEX('Compliance Database'!$I$2:$I$622,MATCH(414,'Transfer Engine'!$C$2:$C$622,0)))</f>
        <v/>
      </c>
      <c r="J423" s="8">
        <f>IF(ISNA(MATCH(414,'Transfer Engine'!$C$2:$C$622,0)),"",INDEX('Compliance Database'!$J$2:$J$622,MATCH(414,'Transfer Engine'!$C$2:$C$622,0)))</f>
        <v/>
      </c>
      <c r="K423">
        <f>IF(ISNA(MATCH(414,'Transfer Engine'!$C$2:$C$622,0)),"",INDEX('Compliance Database'!$K$2:$K$622,MATCH(414,'Transfer Engine'!$C$2:$C$622,0)))</f>
        <v/>
      </c>
      <c r="L423" s="8">
        <f>IF(ISNA(MATCH(414,'Transfer Engine'!$C$2:$C$622,0)),"",INDEX('Compliance Database'!$L$2:$L$622,MATCH(414,'Transfer Engine'!$C$2:$C$622,0)))</f>
        <v/>
      </c>
      <c r="M423" s="8">
        <f>IF(ISNA(MATCH(414,'Transfer Engine'!$C$2:$C$622,0)),"",INDEX('Compliance Database'!$M$2:$M$622,MATCH(414,'Transfer Engine'!$C$2:$C$622,0)))</f>
        <v/>
      </c>
      <c r="N423" s="8">
        <f>IF(ISNA(MATCH(414,'Transfer Engine'!$C$2:$C$622,0)),"",INDEX('Compliance Database'!$N$2:$N$622,MATCH(414,'Transfer Engine'!$C$2:$C$622,0)))</f>
        <v/>
      </c>
      <c r="O423" s="8">
        <f>IF(ISNA(MATCH(414,'Transfer Engine'!$C$2:$C$622,0)),"",INDEX('Compliance Database'!$O$2:$O$622,MATCH(414,'Transfer Engine'!$C$2:$C$622,0)))</f>
        <v/>
      </c>
    </row>
    <row r="424">
      <c r="A424">
        <f>IF(ISNA(MATCH(415,'Transfer Engine'!$C$2:$C$622,0)),"",INDEX('Compliance Database'!$A$2:$A$622,MATCH(415,'Transfer Engine'!$C$2:$C$622,0)))</f>
        <v/>
      </c>
      <c r="B424">
        <f>IF(ISNA(MATCH(415,'Transfer Engine'!$C$2:$C$622,0)),"",INDEX('Compliance Database'!$B$2:$B$622,MATCH(415,'Transfer Engine'!$C$2:$C$622,0)))</f>
        <v/>
      </c>
      <c r="C424">
        <f>IF(ISNA(MATCH(415,'Transfer Engine'!$C$2:$C$622,0)),"",INDEX('Compliance Database'!$C$2:$C$622,MATCH(415,'Transfer Engine'!$C$2:$C$622,0)))</f>
        <v/>
      </c>
      <c r="D424" s="8">
        <f>IF(ISNA(MATCH(415,'Transfer Engine'!$C$2:$C$622,0)),"",INDEX('Compliance Database'!$D$2:$D$622,MATCH(415,'Transfer Engine'!$C$2:$C$622,0)))</f>
        <v/>
      </c>
      <c r="E424">
        <f>IF(ISNA(MATCH(415,'Transfer Engine'!$C$2:$C$622,0)),"",INDEX('Compliance Database'!$E$2:$E$622,MATCH(415,'Transfer Engine'!$C$2:$C$622,0)))</f>
        <v/>
      </c>
      <c r="F424">
        <f>IF(ISNA(MATCH(415,'Transfer Engine'!$C$2:$C$622,0)),"",INDEX('Compliance Database'!$F$2:$F$622,MATCH(415,'Transfer Engine'!$C$2:$C$622,0)))</f>
        <v/>
      </c>
      <c r="G424">
        <f>IF(ISNA(MATCH(415,'Transfer Engine'!$C$2:$C$622,0)),"",INDEX('Compliance Database'!$G$2:$G$622,MATCH(415,'Transfer Engine'!$C$2:$C$622,0)))</f>
        <v/>
      </c>
      <c r="H424">
        <f>IF(ISNA(MATCH(415,'Transfer Engine'!$C$2:$C$622,0)),"",INDEX('Compliance Database'!$H$2:$H$622,MATCH(415,'Transfer Engine'!$C$2:$C$622,0)))</f>
        <v/>
      </c>
      <c r="I424" s="8">
        <f>IF(ISNA(MATCH(415,'Transfer Engine'!$C$2:$C$622,0)),"",INDEX('Compliance Database'!$I$2:$I$622,MATCH(415,'Transfer Engine'!$C$2:$C$622,0)))</f>
        <v/>
      </c>
      <c r="J424" s="8">
        <f>IF(ISNA(MATCH(415,'Transfer Engine'!$C$2:$C$622,0)),"",INDEX('Compliance Database'!$J$2:$J$622,MATCH(415,'Transfer Engine'!$C$2:$C$622,0)))</f>
        <v/>
      </c>
      <c r="K424">
        <f>IF(ISNA(MATCH(415,'Transfer Engine'!$C$2:$C$622,0)),"",INDEX('Compliance Database'!$K$2:$K$622,MATCH(415,'Transfer Engine'!$C$2:$C$622,0)))</f>
        <v/>
      </c>
      <c r="L424" s="8">
        <f>IF(ISNA(MATCH(415,'Transfer Engine'!$C$2:$C$622,0)),"",INDEX('Compliance Database'!$L$2:$L$622,MATCH(415,'Transfer Engine'!$C$2:$C$622,0)))</f>
        <v/>
      </c>
      <c r="M424" s="8">
        <f>IF(ISNA(MATCH(415,'Transfer Engine'!$C$2:$C$622,0)),"",INDEX('Compliance Database'!$M$2:$M$622,MATCH(415,'Transfer Engine'!$C$2:$C$622,0)))</f>
        <v/>
      </c>
      <c r="N424" s="8">
        <f>IF(ISNA(MATCH(415,'Transfer Engine'!$C$2:$C$622,0)),"",INDEX('Compliance Database'!$N$2:$N$622,MATCH(415,'Transfer Engine'!$C$2:$C$622,0)))</f>
        <v/>
      </c>
      <c r="O424" s="8">
        <f>IF(ISNA(MATCH(415,'Transfer Engine'!$C$2:$C$622,0)),"",INDEX('Compliance Database'!$O$2:$O$622,MATCH(415,'Transfer Engine'!$C$2:$C$622,0)))</f>
        <v/>
      </c>
    </row>
    <row r="425">
      <c r="A425">
        <f>IF(ISNA(MATCH(416,'Transfer Engine'!$C$2:$C$622,0)),"",INDEX('Compliance Database'!$A$2:$A$622,MATCH(416,'Transfer Engine'!$C$2:$C$622,0)))</f>
        <v/>
      </c>
      <c r="B425">
        <f>IF(ISNA(MATCH(416,'Transfer Engine'!$C$2:$C$622,0)),"",INDEX('Compliance Database'!$B$2:$B$622,MATCH(416,'Transfer Engine'!$C$2:$C$622,0)))</f>
        <v/>
      </c>
      <c r="C425">
        <f>IF(ISNA(MATCH(416,'Transfer Engine'!$C$2:$C$622,0)),"",INDEX('Compliance Database'!$C$2:$C$622,MATCH(416,'Transfer Engine'!$C$2:$C$622,0)))</f>
        <v/>
      </c>
      <c r="D425" s="8">
        <f>IF(ISNA(MATCH(416,'Transfer Engine'!$C$2:$C$622,0)),"",INDEX('Compliance Database'!$D$2:$D$622,MATCH(416,'Transfer Engine'!$C$2:$C$622,0)))</f>
        <v/>
      </c>
      <c r="E425">
        <f>IF(ISNA(MATCH(416,'Transfer Engine'!$C$2:$C$622,0)),"",INDEX('Compliance Database'!$E$2:$E$622,MATCH(416,'Transfer Engine'!$C$2:$C$622,0)))</f>
        <v/>
      </c>
      <c r="F425">
        <f>IF(ISNA(MATCH(416,'Transfer Engine'!$C$2:$C$622,0)),"",INDEX('Compliance Database'!$F$2:$F$622,MATCH(416,'Transfer Engine'!$C$2:$C$622,0)))</f>
        <v/>
      </c>
      <c r="G425">
        <f>IF(ISNA(MATCH(416,'Transfer Engine'!$C$2:$C$622,0)),"",INDEX('Compliance Database'!$G$2:$G$622,MATCH(416,'Transfer Engine'!$C$2:$C$622,0)))</f>
        <v/>
      </c>
      <c r="H425">
        <f>IF(ISNA(MATCH(416,'Transfer Engine'!$C$2:$C$622,0)),"",INDEX('Compliance Database'!$H$2:$H$622,MATCH(416,'Transfer Engine'!$C$2:$C$622,0)))</f>
        <v/>
      </c>
      <c r="I425" s="8">
        <f>IF(ISNA(MATCH(416,'Transfer Engine'!$C$2:$C$622,0)),"",INDEX('Compliance Database'!$I$2:$I$622,MATCH(416,'Transfer Engine'!$C$2:$C$622,0)))</f>
        <v/>
      </c>
      <c r="J425" s="8">
        <f>IF(ISNA(MATCH(416,'Transfer Engine'!$C$2:$C$622,0)),"",INDEX('Compliance Database'!$J$2:$J$622,MATCH(416,'Transfer Engine'!$C$2:$C$622,0)))</f>
        <v/>
      </c>
      <c r="K425">
        <f>IF(ISNA(MATCH(416,'Transfer Engine'!$C$2:$C$622,0)),"",INDEX('Compliance Database'!$K$2:$K$622,MATCH(416,'Transfer Engine'!$C$2:$C$622,0)))</f>
        <v/>
      </c>
      <c r="L425" s="8">
        <f>IF(ISNA(MATCH(416,'Transfer Engine'!$C$2:$C$622,0)),"",INDEX('Compliance Database'!$L$2:$L$622,MATCH(416,'Transfer Engine'!$C$2:$C$622,0)))</f>
        <v/>
      </c>
      <c r="M425" s="8">
        <f>IF(ISNA(MATCH(416,'Transfer Engine'!$C$2:$C$622,0)),"",INDEX('Compliance Database'!$M$2:$M$622,MATCH(416,'Transfer Engine'!$C$2:$C$622,0)))</f>
        <v/>
      </c>
      <c r="N425" s="8">
        <f>IF(ISNA(MATCH(416,'Transfer Engine'!$C$2:$C$622,0)),"",INDEX('Compliance Database'!$N$2:$N$622,MATCH(416,'Transfer Engine'!$C$2:$C$622,0)))</f>
        <v/>
      </c>
      <c r="O425" s="8">
        <f>IF(ISNA(MATCH(416,'Transfer Engine'!$C$2:$C$622,0)),"",INDEX('Compliance Database'!$O$2:$O$622,MATCH(416,'Transfer Engine'!$C$2:$C$622,0)))</f>
        <v/>
      </c>
    </row>
    <row r="426">
      <c r="A426">
        <f>IF(ISNA(MATCH(417,'Transfer Engine'!$C$2:$C$622,0)),"",INDEX('Compliance Database'!$A$2:$A$622,MATCH(417,'Transfer Engine'!$C$2:$C$622,0)))</f>
        <v/>
      </c>
      <c r="B426">
        <f>IF(ISNA(MATCH(417,'Transfer Engine'!$C$2:$C$622,0)),"",INDEX('Compliance Database'!$B$2:$B$622,MATCH(417,'Transfer Engine'!$C$2:$C$622,0)))</f>
        <v/>
      </c>
      <c r="C426">
        <f>IF(ISNA(MATCH(417,'Transfer Engine'!$C$2:$C$622,0)),"",INDEX('Compliance Database'!$C$2:$C$622,MATCH(417,'Transfer Engine'!$C$2:$C$622,0)))</f>
        <v/>
      </c>
      <c r="D426" s="8">
        <f>IF(ISNA(MATCH(417,'Transfer Engine'!$C$2:$C$622,0)),"",INDEX('Compliance Database'!$D$2:$D$622,MATCH(417,'Transfer Engine'!$C$2:$C$622,0)))</f>
        <v/>
      </c>
      <c r="E426">
        <f>IF(ISNA(MATCH(417,'Transfer Engine'!$C$2:$C$622,0)),"",INDEX('Compliance Database'!$E$2:$E$622,MATCH(417,'Transfer Engine'!$C$2:$C$622,0)))</f>
        <v/>
      </c>
      <c r="F426">
        <f>IF(ISNA(MATCH(417,'Transfer Engine'!$C$2:$C$622,0)),"",INDEX('Compliance Database'!$F$2:$F$622,MATCH(417,'Transfer Engine'!$C$2:$C$622,0)))</f>
        <v/>
      </c>
      <c r="G426">
        <f>IF(ISNA(MATCH(417,'Transfer Engine'!$C$2:$C$622,0)),"",INDEX('Compliance Database'!$G$2:$G$622,MATCH(417,'Transfer Engine'!$C$2:$C$622,0)))</f>
        <v/>
      </c>
      <c r="H426">
        <f>IF(ISNA(MATCH(417,'Transfer Engine'!$C$2:$C$622,0)),"",INDEX('Compliance Database'!$H$2:$H$622,MATCH(417,'Transfer Engine'!$C$2:$C$622,0)))</f>
        <v/>
      </c>
      <c r="I426" s="8">
        <f>IF(ISNA(MATCH(417,'Transfer Engine'!$C$2:$C$622,0)),"",INDEX('Compliance Database'!$I$2:$I$622,MATCH(417,'Transfer Engine'!$C$2:$C$622,0)))</f>
        <v/>
      </c>
      <c r="J426" s="8">
        <f>IF(ISNA(MATCH(417,'Transfer Engine'!$C$2:$C$622,0)),"",INDEX('Compliance Database'!$J$2:$J$622,MATCH(417,'Transfer Engine'!$C$2:$C$622,0)))</f>
        <v/>
      </c>
      <c r="K426">
        <f>IF(ISNA(MATCH(417,'Transfer Engine'!$C$2:$C$622,0)),"",INDEX('Compliance Database'!$K$2:$K$622,MATCH(417,'Transfer Engine'!$C$2:$C$622,0)))</f>
        <v/>
      </c>
      <c r="L426" s="8">
        <f>IF(ISNA(MATCH(417,'Transfer Engine'!$C$2:$C$622,0)),"",INDEX('Compliance Database'!$L$2:$L$622,MATCH(417,'Transfer Engine'!$C$2:$C$622,0)))</f>
        <v/>
      </c>
      <c r="M426" s="8">
        <f>IF(ISNA(MATCH(417,'Transfer Engine'!$C$2:$C$622,0)),"",INDEX('Compliance Database'!$M$2:$M$622,MATCH(417,'Transfer Engine'!$C$2:$C$622,0)))</f>
        <v/>
      </c>
      <c r="N426" s="8">
        <f>IF(ISNA(MATCH(417,'Transfer Engine'!$C$2:$C$622,0)),"",INDEX('Compliance Database'!$N$2:$N$622,MATCH(417,'Transfer Engine'!$C$2:$C$622,0)))</f>
        <v/>
      </c>
      <c r="O426" s="8">
        <f>IF(ISNA(MATCH(417,'Transfer Engine'!$C$2:$C$622,0)),"",INDEX('Compliance Database'!$O$2:$O$622,MATCH(417,'Transfer Engine'!$C$2:$C$622,0)))</f>
        <v/>
      </c>
    </row>
    <row r="427">
      <c r="A427">
        <f>IF(ISNA(MATCH(418,'Transfer Engine'!$C$2:$C$622,0)),"",INDEX('Compliance Database'!$A$2:$A$622,MATCH(418,'Transfer Engine'!$C$2:$C$622,0)))</f>
        <v/>
      </c>
      <c r="B427">
        <f>IF(ISNA(MATCH(418,'Transfer Engine'!$C$2:$C$622,0)),"",INDEX('Compliance Database'!$B$2:$B$622,MATCH(418,'Transfer Engine'!$C$2:$C$622,0)))</f>
        <v/>
      </c>
      <c r="C427">
        <f>IF(ISNA(MATCH(418,'Transfer Engine'!$C$2:$C$622,0)),"",INDEX('Compliance Database'!$C$2:$C$622,MATCH(418,'Transfer Engine'!$C$2:$C$622,0)))</f>
        <v/>
      </c>
      <c r="D427" s="8">
        <f>IF(ISNA(MATCH(418,'Transfer Engine'!$C$2:$C$622,0)),"",INDEX('Compliance Database'!$D$2:$D$622,MATCH(418,'Transfer Engine'!$C$2:$C$622,0)))</f>
        <v/>
      </c>
      <c r="E427">
        <f>IF(ISNA(MATCH(418,'Transfer Engine'!$C$2:$C$622,0)),"",INDEX('Compliance Database'!$E$2:$E$622,MATCH(418,'Transfer Engine'!$C$2:$C$622,0)))</f>
        <v/>
      </c>
      <c r="F427">
        <f>IF(ISNA(MATCH(418,'Transfer Engine'!$C$2:$C$622,0)),"",INDEX('Compliance Database'!$F$2:$F$622,MATCH(418,'Transfer Engine'!$C$2:$C$622,0)))</f>
        <v/>
      </c>
      <c r="G427">
        <f>IF(ISNA(MATCH(418,'Transfer Engine'!$C$2:$C$622,0)),"",INDEX('Compliance Database'!$G$2:$G$622,MATCH(418,'Transfer Engine'!$C$2:$C$622,0)))</f>
        <v/>
      </c>
      <c r="H427">
        <f>IF(ISNA(MATCH(418,'Transfer Engine'!$C$2:$C$622,0)),"",INDEX('Compliance Database'!$H$2:$H$622,MATCH(418,'Transfer Engine'!$C$2:$C$622,0)))</f>
        <v/>
      </c>
      <c r="I427" s="8">
        <f>IF(ISNA(MATCH(418,'Transfer Engine'!$C$2:$C$622,0)),"",INDEX('Compliance Database'!$I$2:$I$622,MATCH(418,'Transfer Engine'!$C$2:$C$622,0)))</f>
        <v/>
      </c>
      <c r="J427" s="8">
        <f>IF(ISNA(MATCH(418,'Transfer Engine'!$C$2:$C$622,0)),"",INDEX('Compliance Database'!$J$2:$J$622,MATCH(418,'Transfer Engine'!$C$2:$C$622,0)))</f>
        <v/>
      </c>
      <c r="K427">
        <f>IF(ISNA(MATCH(418,'Transfer Engine'!$C$2:$C$622,0)),"",INDEX('Compliance Database'!$K$2:$K$622,MATCH(418,'Transfer Engine'!$C$2:$C$622,0)))</f>
        <v/>
      </c>
      <c r="L427" s="8">
        <f>IF(ISNA(MATCH(418,'Transfer Engine'!$C$2:$C$622,0)),"",INDEX('Compliance Database'!$L$2:$L$622,MATCH(418,'Transfer Engine'!$C$2:$C$622,0)))</f>
        <v/>
      </c>
      <c r="M427" s="8">
        <f>IF(ISNA(MATCH(418,'Transfer Engine'!$C$2:$C$622,0)),"",INDEX('Compliance Database'!$M$2:$M$622,MATCH(418,'Transfer Engine'!$C$2:$C$622,0)))</f>
        <v/>
      </c>
      <c r="N427" s="8">
        <f>IF(ISNA(MATCH(418,'Transfer Engine'!$C$2:$C$622,0)),"",INDEX('Compliance Database'!$N$2:$N$622,MATCH(418,'Transfer Engine'!$C$2:$C$622,0)))</f>
        <v/>
      </c>
      <c r="O427" s="8">
        <f>IF(ISNA(MATCH(418,'Transfer Engine'!$C$2:$C$622,0)),"",INDEX('Compliance Database'!$O$2:$O$622,MATCH(418,'Transfer Engine'!$C$2:$C$622,0)))</f>
        <v/>
      </c>
    </row>
    <row r="428">
      <c r="A428">
        <f>IF(ISNA(MATCH(419,'Transfer Engine'!$C$2:$C$622,0)),"",INDEX('Compliance Database'!$A$2:$A$622,MATCH(419,'Transfer Engine'!$C$2:$C$622,0)))</f>
        <v/>
      </c>
      <c r="B428">
        <f>IF(ISNA(MATCH(419,'Transfer Engine'!$C$2:$C$622,0)),"",INDEX('Compliance Database'!$B$2:$B$622,MATCH(419,'Transfer Engine'!$C$2:$C$622,0)))</f>
        <v/>
      </c>
      <c r="C428">
        <f>IF(ISNA(MATCH(419,'Transfer Engine'!$C$2:$C$622,0)),"",INDEX('Compliance Database'!$C$2:$C$622,MATCH(419,'Transfer Engine'!$C$2:$C$622,0)))</f>
        <v/>
      </c>
      <c r="D428" s="8">
        <f>IF(ISNA(MATCH(419,'Transfer Engine'!$C$2:$C$622,0)),"",INDEX('Compliance Database'!$D$2:$D$622,MATCH(419,'Transfer Engine'!$C$2:$C$622,0)))</f>
        <v/>
      </c>
      <c r="E428">
        <f>IF(ISNA(MATCH(419,'Transfer Engine'!$C$2:$C$622,0)),"",INDEX('Compliance Database'!$E$2:$E$622,MATCH(419,'Transfer Engine'!$C$2:$C$622,0)))</f>
        <v/>
      </c>
      <c r="F428">
        <f>IF(ISNA(MATCH(419,'Transfer Engine'!$C$2:$C$622,0)),"",INDEX('Compliance Database'!$F$2:$F$622,MATCH(419,'Transfer Engine'!$C$2:$C$622,0)))</f>
        <v/>
      </c>
      <c r="G428">
        <f>IF(ISNA(MATCH(419,'Transfer Engine'!$C$2:$C$622,0)),"",INDEX('Compliance Database'!$G$2:$G$622,MATCH(419,'Transfer Engine'!$C$2:$C$622,0)))</f>
        <v/>
      </c>
      <c r="H428">
        <f>IF(ISNA(MATCH(419,'Transfer Engine'!$C$2:$C$622,0)),"",INDEX('Compliance Database'!$H$2:$H$622,MATCH(419,'Transfer Engine'!$C$2:$C$622,0)))</f>
        <v/>
      </c>
      <c r="I428" s="8">
        <f>IF(ISNA(MATCH(419,'Transfer Engine'!$C$2:$C$622,0)),"",INDEX('Compliance Database'!$I$2:$I$622,MATCH(419,'Transfer Engine'!$C$2:$C$622,0)))</f>
        <v/>
      </c>
      <c r="J428" s="8">
        <f>IF(ISNA(MATCH(419,'Transfer Engine'!$C$2:$C$622,0)),"",INDEX('Compliance Database'!$J$2:$J$622,MATCH(419,'Transfer Engine'!$C$2:$C$622,0)))</f>
        <v/>
      </c>
      <c r="K428">
        <f>IF(ISNA(MATCH(419,'Transfer Engine'!$C$2:$C$622,0)),"",INDEX('Compliance Database'!$K$2:$K$622,MATCH(419,'Transfer Engine'!$C$2:$C$622,0)))</f>
        <v/>
      </c>
      <c r="L428" s="8">
        <f>IF(ISNA(MATCH(419,'Transfer Engine'!$C$2:$C$622,0)),"",INDEX('Compliance Database'!$L$2:$L$622,MATCH(419,'Transfer Engine'!$C$2:$C$622,0)))</f>
        <v/>
      </c>
      <c r="M428" s="8">
        <f>IF(ISNA(MATCH(419,'Transfer Engine'!$C$2:$C$622,0)),"",INDEX('Compliance Database'!$M$2:$M$622,MATCH(419,'Transfer Engine'!$C$2:$C$622,0)))</f>
        <v/>
      </c>
      <c r="N428" s="8">
        <f>IF(ISNA(MATCH(419,'Transfer Engine'!$C$2:$C$622,0)),"",INDEX('Compliance Database'!$N$2:$N$622,MATCH(419,'Transfer Engine'!$C$2:$C$622,0)))</f>
        <v/>
      </c>
      <c r="O428" s="8">
        <f>IF(ISNA(MATCH(419,'Transfer Engine'!$C$2:$C$622,0)),"",INDEX('Compliance Database'!$O$2:$O$622,MATCH(419,'Transfer Engine'!$C$2:$C$622,0)))</f>
        <v/>
      </c>
    </row>
    <row r="429">
      <c r="A429">
        <f>IF(ISNA(MATCH(420,'Transfer Engine'!$C$2:$C$622,0)),"",INDEX('Compliance Database'!$A$2:$A$622,MATCH(420,'Transfer Engine'!$C$2:$C$622,0)))</f>
        <v/>
      </c>
      <c r="B429">
        <f>IF(ISNA(MATCH(420,'Transfer Engine'!$C$2:$C$622,0)),"",INDEX('Compliance Database'!$B$2:$B$622,MATCH(420,'Transfer Engine'!$C$2:$C$622,0)))</f>
        <v/>
      </c>
      <c r="C429">
        <f>IF(ISNA(MATCH(420,'Transfer Engine'!$C$2:$C$622,0)),"",INDEX('Compliance Database'!$C$2:$C$622,MATCH(420,'Transfer Engine'!$C$2:$C$622,0)))</f>
        <v/>
      </c>
      <c r="D429" s="8">
        <f>IF(ISNA(MATCH(420,'Transfer Engine'!$C$2:$C$622,0)),"",INDEX('Compliance Database'!$D$2:$D$622,MATCH(420,'Transfer Engine'!$C$2:$C$622,0)))</f>
        <v/>
      </c>
      <c r="E429">
        <f>IF(ISNA(MATCH(420,'Transfer Engine'!$C$2:$C$622,0)),"",INDEX('Compliance Database'!$E$2:$E$622,MATCH(420,'Transfer Engine'!$C$2:$C$622,0)))</f>
        <v/>
      </c>
      <c r="F429">
        <f>IF(ISNA(MATCH(420,'Transfer Engine'!$C$2:$C$622,0)),"",INDEX('Compliance Database'!$F$2:$F$622,MATCH(420,'Transfer Engine'!$C$2:$C$622,0)))</f>
        <v/>
      </c>
      <c r="G429">
        <f>IF(ISNA(MATCH(420,'Transfer Engine'!$C$2:$C$622,0)),"",INDEX('Compliance Database'!$G$2:$G$622,MATCH(420,'Transfer Engine'!$C$2:$C$622,0)))</f>
        <v/>
      </c>
      <c r="H429">
        <f>IF(ISNA(MATCH(420,'Transfer Engine'!$C$2:$C$622,0)),"",INDEX('Compliance Database'!$H$2:$H$622,MATCH(420,'Transfer Engine'!$C$2:$C$622,0)))</f>
        <v/>
      </c>
      <c r="I429" s="8">
        <f>IF(ISNA(MATCH(420,'Transfer Engine'!$C$2:$C$622,0)),"",INDEX('Compliance Database'!$I$2:$I$622,MATCH(420,'Transfer Engine'!$C$2:$C$622,0)))</f>
        <v/>
      </c>
      <c r="J429" s="8">
        <f>IF(ISNA(MATCH(420,'Transfer Engine'!$C$2:$C$622,0)),"",INDEX('Compliance Database'!$J$2:$J$622,MATCH(420,'Transfer Engine'!$C$2:$C$622,0)))</f>
        <v/>
      </c>
      <c r="K429">
        <f>IF(ISNA(MATCH(420,'Transfer Engine'!$C$2:$C$622,0)),"",INDEX('Compliance Database'!$K$2:$K$622,MATCH(420,'Transfer Engine'!$C$2:$C$622,0)))</f>
        <v/>
      </c>
      <c r="L429" s="8">
        <f>IF(ISNA(MATCH(420,'Transfer Engine'!$C$2:$C$622,0)),"",INDEX('Compliance Database'!$L$2:$L$622,MATCH(420,'Transfer Engine'!$C$2:$C$622,0)))</f>
        <v/>
      </c>
      <c r="M429" s="8">
        <f>IF(ISNA(MATCH(420,'Transfer Engine'!$C$2:$C$622,0)),"",INDEX('Compliance Database'!$M$2:$M$622,MATCH(420,'Transfer Engine'!$C$2:$C$622,0)))</f>
        <v/>
      </c>
      <c r="N429" s="8">
        <f>IF(ISNA(MATCH(420,'Transfer Engine'!$C$2:$C$622,0)),"",INDEX('Compliance Database'!$N$2:$N$622,MATCH(420,'Transfer Engine'!$C$2:$C$622,0)))</f>
        <v/>
      </c>
      <c r="O429" s="8">
        <f>IF(ISNA(MATCH(420,'Transfer Engine'!$C$2:$C$622,0)),"",INDEX('Compliance Database'!$O$2:$O$622,MATCH(420,'Transfer Engine'!$C$2:$C$622,0)))</f>
        <v/>
      </c>
    </row>
    <row r="430">
      <c r="A430">
        <f>IF(ISNA(MATCH(421,'Transfer Engine'!$C$2:$C$622,0)),"",INDEX('Compliance Database'!$A$2:$A$622,MATCH(421,'Transfer Engine'!$C$2:$C$622,0)))</f>
        <v/>
      </c>
      <c r="B430">
        <f>IF(ISNA(MATCH(421,'Transfer Engine'!$C$2:$C$622,0)),"",INDEX('Compliance Database'!$B$2:$B$622,MATCH(421,'Transfer Engine'!$C$2:$C$622,0)))</f>
        <v/>
      </c>
      <c r="C430">
        <f>IF(ISNA(MATCH(421,'Transfer Engine'!$C$2:$C$622,0)),"",INDEX('Compliance Database'!$C$2:$C$622,MATCH(421,'Transfer Engine'!$C$2:$C$622,0)))</f>
        <v/>
      </c>
      <c r="D430" s="8">
        <f>IF(ISNA(MATCH(421,'Transfer Engine'!$C$2:$C$622,0)),"",INDEX('Compliance Database'!$D$2:$D$622,MATCH(421,'Transfer Engine'!$C$2:$C$622,0)))</f>
        <v/>
      </c>
      <c r="E430">
        <f>IF(ISNA(MATCH(421,'Transfer Engine'!$C$2:$C$622,0)),"",INDEX('Compliance Database'!$E$2:$E$622,MATCH(421,'Transfer Engine'!$C$2:$C$622,0)))</f>
        <v/>
      </c>
      <c r="F430">
        <f>IF(ISNA(MATCH(421,'Transfer Engine'!$C$2:$C$622,0)),"",INDEX('Compliance Database'!$F$2:$F$622,MATCH(421,'Transfer Engine'!$C$2:$C$622,0)))</f>
        <v/>
      </c>
      <c r="G430">
        <f>IF(ISNA(MATCH(421,'Transfer Engine'!$C$2:$C$622,0)),"",INDEX('Compliance Database'!$G$2:$G$622,MATCH(421,'Transfer Engine'!$C$2:$C$622,0)))</f>
        <v/>
      </c>
      <c r="H430">
        <f>IF(ISNA(MATCH(421,'Transfer Engine'!$C$2:$C$622,0)),"",INDEX('Compliance Database'!$H$2:$H$622,MATCH(421,'Transfer Engine'!$C$2:$C$622,0)))</f>
        <v/>
      </c>
      <c r="I430" s="8">
        <f>IF(ISNA(MATCH(421,'Transfer Engine'!$C$2:$C$622,0)),"",INDEX('Compliance Database'!$I$2:$I$622,MATCH(421,'Transfer Engine'!$C$2:$C$622,0)))</f>
        <v/>
      </c>
      <c r="J430" s="8">
        <f>IF(ISNA(MATCH(421,'Transfer Engine'!$C$2:$C$622,0)),"",INDEX('Compliance Database'!$J$2:$J$622,MATCH(421,'Transfer Engine'!$C$2:$C$622,0)))</f>
        <v/>
      </c>
      <c r="K430">
        <f>IF(ISNA(MATCH(421,'Transfer Engine'!$C$2:$C$622,0)),"",INDEX('Compliance Database'!$K$2:$K$622,MATCH(421,'Transfer Engine'!$C$2:$C$622,0)))</f>
        <v/>
      </c>
      <c r="L430" s="8">
        <f>IF(ISNA(MATCH(421,'Transfer Engine'!$C$2:$C$622,0)),"",INDEX('Compliance Database'!$L$2:$L$622,MATCH(421,'Transfer Engine'!$C$2:$C$622,0)))</f>
        <v/>
      </c>
      <c r="M430" s="8">
        <f>IF(ISNA(MATCH(421,'Transfer Engine'!$C$2:$C$622,0)),"",INDEX('Compliance Database'!$M$2:$M$622,MATCH(421,'Transfer Engine'!$C$2:$C$622,0)))</f>
        <v/>
      </c>
      <c r="N430" s="8">
        <f>IF(ISNA(MATCH(421,'Transfer Engine'!$C$2:$C$622,0)),"",INDEX('Compliance Database'!$N$2:$N$622,MATCH(421,'Transfer Engine'!$C$2:$C$622,0)))</f>
        <v/>
      </c>
      <c r="O430" s="8">
        <f>IF(ISNA(MATCH(421,'Transfer Engine'!$C$2:$C$622,0)),"",INDEX('Compliance Database'!$O$2:$O$622,MATCH(421,'Transfer Engine'!$C$2:$C$622,0)))</f>
        <v/>
      </c>
    </row>
    <row r="431">
      <c r="A431">
        <f>IF(ISNA(MATCH(422,'Transfer Engine'!$C$2:$C$622,0)),"",INDEX('Compliance Database'!$A$2:$A$622,MATCH(422,'Transfer Engine'!$C$2:$C$622,0)))</f>
        <v/>
      </c>
      <c r="B431">
        <f>IF(ISNA(MATCH(422,'Transfer Engine'!$C$2:$C$622,0)),"",INDEX('Compliance Database'!$B$2:$B$622,MATCH(422,'Transfer Engine'!$C$2:$C$622,0)))</f>
        <v/>
      </c>
      <c r="C431">
        <f>IF(ISNA(MATCH(422,'Transfer Engine'!$C$2:$C$622,0)),"",INDEX('Compliance Database'!$C$2:$C$622,MATCH(422,'Transfer Engine'!$C$2:$C$622,0)))</f>
        <v/>
      </c>
      <c r="D431" s="8">
        <f>IF(ISNA(MATCH(422,'Transfer Engine'!$C$2:$C$622,0)),"",INDEX('Compliance Database'!$D$2:$D$622,MATCH(422,'Transfer Engine'!$C$2:$C$622,0)))</f>
        <v/>
      </c>
      <c r="E431">
        <f>IF(ISNA(MATCH(422,'Transfer Engine'!$C$2:$C$622,0)),"",INDEX('Compliance Database'!$E$2:$E$622,MATCH(422,'Transfer Engine'!$C$2:$C$622,0)))</f>
        <v/>
      </c>
      <c r="F431">
        <f>IF(ISNA(MATCH(422,'Transfer Engine'!$C$2:$C$622,0)),"",INDEX('Compliance Database'!$F$2:$F$622,MATCH(422,'Transfer Engine'!$C$2:$C$622,0)))</f>
        <v/>
      </c>
      <c r="G431">
        <f>IF(ISNA(MATCH(422,'Transfer Engine'!$C$2:$C$622,0)),"",INDEX('Compliance Database'!$G$2:$G$622,MATCH(422,'Transfer Engine'!$C$2:$C$622,0)))</f>
        <v/>
      </c>
      <c r="H431">
        <f>IF(ISNA(MATCH(422,'Transfer Engine'!$C$2:$C$622,0)),"",INDEX('Compliance Database'!$H$2:$H$622,MATCH(422,'Transfer Engine'!$C$2:$C$622,0)))</f>
        <v/>
      </c>
      <c r="I431" s="8">
        <f>IF(ISNA(MATCH(422,'Transfer Engine'!$C$2:$C$622,0)),"",INDEX('Compliance Database'!$I$2:$I$622,MATCH(422,'Transfer Engine'!$C$2:$C$622,0)))</f>
        <v/>
      </c>
      <c r="J431" s="8">
        <f>IF(ISNA(MATCH(422,'Transfer Engine'!$C$2:$C$622,0)),"",INDEX('Compliance Database'!$J$2:$J$622,MATCH(422,'Transfer Engine'!$C$2:$C$622,0)))</f>
        <v/>
      </c>
      <c r="K431">
        <f>IF(ISNA(MATCH(422,'Transfer Engine'!$C$2:$C$622,0)),"",INDEX('Compliance Database'!$K$2:$K$622,MATCH(422,'Transfer Engine'!$C$2:$C$622,0)))</f>
        <v/>
      </c>
      <c r="L431" s="8">
        <f>IF(ISNA(MATCH(422,'Transfer Engine'!$C$2:$C$622,0)),"",INDEX('Compliance Database'!$L$2:$L$622,MATCH(422,'Transfer Engine'!$C$2:$C$622,0)))</f>
        <v/>
      </c>
      <c r="M431" s="8">
        <f>IF(ISNA(MATCH(422,'Transfer Engine'!$C$2:$C$622,0)),"",INDEX('Compliance Database'!$M$2:$M$622,MATCH(422,'Transfer Engine'!$C$2:$C$622,0)))</f>
        <v/>
      </c>
      <c r="N431" s="8">
        <f>IF(ISNA(MATCH(422,'Transfer Engine'!$C$2:$C$622,0)),"",INDEX('Compliance Database'!$N$2:$N$622,MATCH(422,'Transfer Engine'!$C$2:$C$622,0)))</f>
        <v/>
      </c>
      <c r="O431" s="8">
        <f>IF(ISNA(MATCH(422,'Transfer Engine'!$C$2:$C$622,0)),"",INDEX('Compliance Database'!$O$2:$O$622,MATCH(422,'Transfer Engine'!$C$2:$C$622,0)))</f>
        <v/>
      </c>
    </row>
    <row r="432">
      <c r="A432">
        <f>IF(ISNA(MATCH(423,'Transfer Engine'!$C$2:$C$622,0)),"",INDEX('Compliance Database'!$A$2:$A$622,MATCH(423,'Transfer Engine'!$C$2:$C$622,0)))</f>
        <v/>
      </c>
      <c r="B432">
        <f>IF(ISNA(MATCH(423,'Transfer Engine'!$C$2:$C$622,0)),"",INDEX('Compliance Database'!$B$2:$B$622,MATCH(423,'Transfer Engine'!$C$2:$C$622,0)))</f>
        <v/>
      </c>
      <c r="C432">
        <f>IF(ISNA(MATCH(423,'Transfer Engine'!$C$2:$C$622,0)),"",INDEX('Compliance Database'!$C$2:$C$622,MATCH(423,'Transfer Engine'!$C$2:$C$622,0)))</f>
        <v/>
      </c>
      <c r="D432" s="8">
        <f>IF(ISNA(MATCH(423,'Transfer Engine'!$C$2:$C$622,0)),"",INDEX('Compliance Database'!$D$2:$D$622,MATCH(423,'Transfer Engine'!$C$2:$C$622,0)))</f>
        <v/>
      </c>
      <c r="E432">
        <f>IF(ISNA(MATCH(423,'Transfer Engine'!$C$2:$C$622,0)),"",INDEX('Compliance Database'!$E$2:$E$622,MATCH(423,'Transfer Engine'!$C$2:$C$622,0)))</f>
        <v/>
      </c>
      <c r="F432">
        <f>IF(ISNA(MATCH(423,'Transfer Engine'!$C$2:$C$622,0)),"",INDEX('Compliance Database'!$F$2:$F$622,MATCH(423,'Transfer Engine'!$C$2:$C$622,0)))</f>
        <v/>
      </c>
      <c r="G432">
        <f>IF(ISNA(MATCH(423,'Transfer Engine'!$C$2:$C$622,0)),"",INDEX('Compliance Database'!$G$2:$G$622,MATCH(423,'Transfer Engine'!$C$2:$C$622,0)))</f>
        <v/>
      </c>
      <c r="H432">
        <f>IF(ISNA(MATCH(423,'Transfer Engine'!$C$2:$C$622,0)),"",INDEX('Compliance Database'!$H$2:$H$622,MATCH(423,'Transfer Engine'!$C$2:$C$622,0)))</f>
        <v/>
      </c>
      <c r="I432" s="8">
        <f>IF(ISNA(MATCH(423,'Transfer Engine'!$C$2:$C$622,0)),"",INDEX('Compliance Database'!$I$2:$I$622,MATCH(423,'Transfer Engine'!$C$2:$C$622,0)))</f>
        <v/>
      </c>
      <c r="J432" s="8">
        <f>IF(ISNA(MATCH(423,'Transfer Engine'!$C$2:$C$622,0)),"",INDEX('Compliance Database'!$J$2:$J$622,MATCH(423,'Transfer Engine'!$C$2:$C$622,0)))</f>
        <v/>
      </c>
      <c r="K432">
        <f>IF(ISNA(MATCH(423,'Transfer Engine'!$C$2:$C$622,0)),"",INDEX('Compliance Database'!$K$2:$K$622,MATCH(423,'Transfer Engine'!$C$2:$C$622,0)))</f>
        <v/>
      </c>
      <c r="L432" s="8">
        <f>IF(ISNA(MATCH(423,'Transfer Engine'!$C$2:$C$622,0)),"",INDEX('Compliance Database'!$L$2:$L$622,MATCH(423,'Transfer Engine'!$C$2:$C$622,0)))</f>
        <v/>
      </c>
      <c r="M432" s="8">
        <f>IF(ISNA(MATCH(423,'Transfer Engine'!$C$2:$C$622,0)),"",INDEX('Compliance Database'!$M$2:$M$622,MATCH(423,'Transfer Engine'!$C$2:$C$622,0)))</f>
        <v/>
      </c>
      <c r="N432" s="8">
        <f>IF(ISNA(MATCH(423,'Transfer Engine'!$C$2:$C$622,0)),"",INDEX('Compliance Database'!$N$2:$N$622,MATCH(423,'Transfer Engine'!$C$2:$C$622,0)))</f>
        <v/>
      </c>
      <c r="O432" s="8">
        <f>IF(ISNA(MATCH(423,'Transfer Engine'!$C$2:$C$622,0)),"",INDEX('Compliance Database'!$O$2:$O$622,MATCH(423,'Transfer Engine'!$C$2:$C$622,0)))</f>
        <v/>
      </c>
    </row>
    <row r="433">
      <c r="A433">
        <f>IF(ISNA(MATCH(424,'Transfer Engine'!$C$2:$C$622,0)),"",INDEX('Compliance Database'!$A$2:$A$622,MATCH(424,'Transfer Engine'!$C$2:$C$622,0)))</f>
        <v/>
      </c>
      <c r="B433">
        <f>IF(ISNA(MATCH(424,'Transfer Engine'!$C$2:$C$622,0)),"",INDEX('Compliance Database'!$B$2:$B$622,MATCH(424,'Transfer Engine'!$C$2:$C$622,0)))</f>
        <v/>
      </c>
      <c r="C433">
        <f>IF(ISNA(MATCH(424,'Transfer Engine'!$C$2:$C$622,0)),"",INDEX('Compliance Database'!$C$2:$C$622,MATCH(424,'Transfer Engine'!$C$2:$C$622,0)))</f>
        <v/>
      </c>
      <c r="D433" s="8">
        <f>IF(ISNA(MATCH(424,'Transfer Engine'!$C$2:$C$622,0)),"",INDEX('Compliance Database'!$D$2:$D$622,MATCH(424,'Transfer Engine'!$C$2:$C$622,0)))</f>
        <v/>
      </c>
      <c r="E433">
        <f>IF(ISNA(MATCH(424,'Transfer Engine'!$C$2:$C$622,0)),"",INDEX('Compliance Database'!$E$2:$E$622,MATCH(424,'Transfer Engine'!$C$2:$C$622,0)))</f>
        <v/>
      </c>
      <c r="F433">
        <f>IF(ISNA(MATCH(424,'Transfer Engine'!$C$2:$C$622,0)),"",INDEX('Compliance Database'!$F$2:$F$622,MATCH(424,'Transfer Engine'!$C$2:$C$622,0)))</f>
        <v/>
      </c>
      <c r="G433">
        <f>IF(ISNA(MATCH(424,'Transfer Engine'!$C$2:$C$622,0)),"",INDEX('Compliance Database'!$G$2:$G$622,MATCH(424,'Transfer Engine'!$C$2:$C$622,0)))</f>
        <v/>
      </c>
      <c r="H433">
        <f>IF(ISNA(MATCH(424,'Transfer Engine'!$C$2:$C$622,0)),"",INDEX('Compliance Database'!$H$2:$H$622,MATCH(424,'Transfer Engine'!$C$2:$C$622,0)))</f>
        <v/>
      </c>
      <c r="I433" s="8">
        <f>IF(ISNA(MATCH(424,'Transfer Engine'!$C$2:$C$622,0)),"",INDEX('Compliance Database'!$I$2:$I$622,MATCH(424,'Transfer Engine'!$C$2:$C$622,0)))</f>
        <v/>
      </c>
      <c r="J433" s="8">
        <f>IF(ISNA(MATCH(424,'Transfer Engine'!$C$2:$C$622,0)),"",INDEX('Compliance Database'!$J$2:$J$622,MATCH(424,'Transfer Engine'!$C$2:$C$622,0)))</f>
        <v/>
      </c>
      <c r="K433">
        <f>IF(ISNA(MATCH(424,'Transfer Engine'!$C$2:$C$622,0)),"",INDEX('Compliance Database'!$K$2:$K$622,MATCH(424,'Transfer Engine'!$C$2:$C$622,0)))</f>
        <v/>
      </c>
      <c r="L433" s="8">
        <f>IF(ISNA(MATCH(424,'Transfer Engine'!$C$2:$C$622,0)),"",INDEX('Compliance Database'!$L$2:$L$622,MATCH(424,'Transfer Engine'!$C$2:$C$622,0)))</f>
        <v/>
      </c>
      <c r="M433" s="8">
        <f>IF(ISNA(MATCH(424,'Transfer Engine'!$C$2:$C$622,0)),"",INDEX('Compliance Database'!$M$2:$M$622,MATCH(424,'Transfer Engine'!$C$2:$C$622,0)))</f>
        <v/>
      </c>
      <c r="N433" s="8">
        <f>IF(ISNA(MATCH(424,'Transfer Engine'!$C$2:$C$622,0)),"",INDEX('Compliance Database'!$N$2:$N$622,MATCH(424,'Transfer Engine'!$C$2:$C$622,0)))</f>
        <v/>
      </c>
      <c r="O433" s="8">
        <f>IF(ISNA(MATCH(424,'Transfer Engine'!$C$2:$C$622,0)),"",INDEX('Compliance Database'!$O$2:$O$622,MATCH(424,'Transfer Engine'!$C$2:$C$622,0)))</f>
        <v/>
      </c>
    </row>
    <row r="434">
      <c r="A434">
        <f>IF(ISNA(MATCH(425,'Transfer Engine'!$C$2:$C$622,0)),"",INDEX('Compliance Database'!$A$2:$A$622,MATCH(425,'Transfer Engine'!$C$2:$C$622,0)))</f>
        <v/>
      </c>
      <c r="B434">
        <f>IF(ISNA(MATCH(425,'Transfer Engine'!$C$2:$C$622,0)),"",INDEX('Compliance Database'!$B$2:$B$622,MATCH(425,'Transfer Engine'!$C$2:$C$622,0)))</f>
        <v/>
      </c>
      <c r="C434">
        <f>IF(ISNA(MATCH(425,'Transfer Engine'!$C$2:$C$622,0)),"",INDEX('Compliance Database'!$C$2:$C$622,MATCH(425,'Transfer Engine'!$C$2:$C$622,0)))</f>
        <v/>
      </c>
      <c r="D434" s="8">
        <f>IF(ISNA(MATCH(425,'Transfer Engine'!$C$2:$C$622,0)),"",INDEX('Compliance Database'!$D$2:$D$622,MATCH(425,'Transfer Engine'!$C$2:$C$622,0)))</f>
        <v/>
      </c>
      <c r="E434">
        <f>IF(ISNA(MATCH(425,'Transfer Engine'!$C$2:$C$622,0)),"",INDEX('Compliance Database'!$E$2:$E$622,MATCH(425,'Transfer Engine'!$C$2:$C$622,0)))</f>
        <v/>
      </c>
      <c r="F434">
        <f>IF(ISNA(MATCH(425,'Transfer Engine'!$C$2:$C$622,0)),"",INDEX('Compliance Database'!$F$2:$F$622,MATCH(425,'Transfer Engine'!$C$2:$C$622,0)))</f>
        <v/>
      </c>
      <c r="G434">
        <f>IF(ISNA(MATCH(425,'Transfer Engine'!$C$2:$C$622,0)),"",INDEX('Compliance Database'!$G$2:$G$622,MATCH(425,'Transfer Engine'!$C$2:$C$622,0)))</f>
        <v/>
      </c>
      <c r="H434">
        <f>IF(ISNA(MATCH(425,'Transfer Engine'!$C$2:$C$622,0)),"",INDEX('Compliance Database'!$H$2:$H$622,MATCH(425,'Transfer Engine'!$C$2:$C$622,0)))</f>
        <v/>
      </c>
      <c r="I434" s="8">
        <f>IF(ISNA(MATCH(425,'Transfer Engine'!$C$2:$C$622,0)),"",INDEX('Compliance Database'!$I$2:$I$622,MATCH(425,'Transfer Engine'!$C$2:$C$622,0)))</f>
        <v/>
      </c>
      <c r="J434" s="8">
        <f>IF(ISNA(MATCH(425,'Transfer Engine'!$C$2:$C$622,0)),"",INDEX('Compliance Database'!$J$2:$J$622,MATCH(425,'Transfer Engine'!$C$2:$C$622,0)))</f>
        <v/>
      </c>
      <c r="K434">
        <f>IF(ISNA(MATCH(425,'Transfer Engine'!$C$2:$C$622,0)),"",INDEX('Compliance Database'!$K$2:$K$622,MATCH(425,'Transfer Engine'!$C$2:$C$622,0)))</f>
        <v/>
      </c>
      <c r="L434" s="8">
        <f>IF(ISNA(MATCH(425,'Transfer Engine'!$C$2:$C$622,0)),"",INDEX('Compliance Database'!$L$2:$L$622,MATCH(425,'Transfer Engine'!$C$2:$C$622,0)))</f>
        <v/>
      </c>
      <c r="M434" s="8">
        <f>IF(ISNA(MATCH(425,'Transfer Engine'!$C$2:$C$622,0)),"",INDEX('Compliance Database'!$M$2:$M$622,MATCH(425,'Transfer Engine'!$C$2:$C$622,0)))</f>
        <v/>
      </c>
      <c r="N434" s="8">
        <f>IF(ISNA(MATCH(425,'Transfer Engine'!$C$2:$C$622,0)),"",INDEX('Compliance Database'!$N$2:$N$622,MATCH(425,'Transfer Engine'!$C$2:$C$622,0)))</f>
        <v/>
      </c>
      <c r="O434" s="8">
        <f>IF(ISNA(MATCH(425,'Transfer Engine'!$C$2:$C$622,0)),"",INDEX('Compliance Database'!$O$2:$O$622,MATCH(425,'Transfer Engine'!$C$2:$C$622,0)))</f>
        <v/>
      </c>
    </row>
    <row r="435">
      <c r="A435">
        <f>IF(ISNA(MATCH(426,'Transfer Engine'!$C$2:$C$622,0)),"",INDEX('Compliance Database'!$A$2:$A$622,MATCH(426,'Transfer Engine'!$C$2:$C$622,0)))</f>
        <v/>
      </c>
      <c r="B435">
        <f>IF(ISNA(MATCH(426,'Transfer Engine'!$C$2:$C$622,0)),"",INDEX('Compliance Database'!$B$2:$B$622,MATCH(426,'Transfer Engine'!$C$2:$C$622,0)))</f>
        <v/>
      </c>
      <c r="C435">
        <f>IF(ISNA(MATCH(426,'Transfer Engine'!$C$2:$C$622,0)),"",INDEX('Compliance Database'!$C$2:$C$622,MATCH(426,'Transfer Engine'!$C$2:$C$622,0)))</f>
        <v/>
      </c>
      <c r="D435" s="8">
        <f>IF(ISNA(MATCH(426,'Transfer Engine'!$C$2:$C$622,0)),"",INDEX('Compliance Database'!$D$2:$D$622,MATCH(426,'Transfer Engine'!$C$2:$C$622,0)))</f>
        <v/>
      </c>
      <c r="E435">
        <f>IF(ISNA(MATCH(426,'Transfer Engine'!$C$2:$C$622,0)),"",INDEX('Compliance Database'!$E$2:$E$622,MATCH(426,'Transfer Engine'!$C$2:$C$622,0)))</f>
        <v/>
      </c>
      <c r="F435">
        <f>IF(ISNA(MATCH(426,'Transfer Engine'!$C$2:$C$622,0)),"",INDEX('Compliance Database'!$F$2:$F$622,MATCH(426,'Transfer Engine'!$C$2:$C$622,0)))</f>
        <v/>
      </c>
      <c r="G435">
        <f>IF(ISNA(MATCH(426,'Transfer Engine'!$C$2:$C$622,0)),"",INDEX('Compliance Database'!$G$2:$G$622,MATCH(426,'Transfer Engine'!$C$2:$C$622,0)))</f>
        <v/>
      </c>
      <c r="H435">
        <f>IF(ISNA(MATCH(426,'Transfer Engine'!$C$2:$C$622,0)),"",INDEX('Compliance Database'!$H$2:$H$622,MATCH(426,'Transfer Engine'!$C$2:$C$622,0)))</f>
        <v/>
      </c>
      <c r="I435" s="8">
        <f>IF(ISNA(MATCH(426,'Transfer Engine'!$C$2:$C$622,0)),"",INDEX('Compliance Database'!$I$2:$I$622,MATCH(426,'Transfer Engine'!$C$2:$C$622,0)))</f>
        <v/>
      </c>
      <c r="J435" s="8">
        <f>IF(ISNA(MATCH(426,'Transfer Engine'!$C$2:$C$622,0)),"",INDEX('Compliance Database'!$J$2:$J$622,MATCH(426,'Transfer Engine'!$C$2:$C$622,0)))</f>
        <v/>
      </c>
      <c r="K435">
        <f>IF(ISNA(MATCH(426,'Transfer Engine'!$C$2:$C$622,0)),"",INDEX('Compliance Database'!$K$2:$K$622,MATCH(426,'Transfer Engine'!$C$2:$C$622,0)))</f>
        <v/>
      </c>
      <c r="L435" s="8">
        <f>IF(ISNA(MATCH(426,'Transfer Engine'!$C$2:$C$622,0)),"",INDEX('Compliance Database'!$L$2:$L$622,MATCH(426,'Transfer Engine'!$C$2:$C$622,0)))</f>
        <v/>
      </c>
      <c r="M435" s="8">
        <f>IF(ISNA(MATCH(426,'Transfer Engine'!$C$2:$C$622,0)),"",INDEX('Compliance Database'!$M$2:$M$622,MATCH(426,'Transfer Engine'!$C$2:$C$622,0)))</f>
        <v/>
      </c>
      <c r="N435" s="8">
        <f>IF(ISNA(MATCH(426,'Transfer Engine'!$C$2:$C$622,0)),"",INDEX('Compliance Database'!$N$2:$N$622,MATCH(426,'Transfer Engine'!$C$2:$C$622,0)))</f>
        <v/>
      </c>
      <c r="O435" s="8">
        <f>IF(ISNA(MATCH(426,'Transfer Engine'!$C$2:$C$622,0)),"",INDEX('Compliance Database'!$O$2:$O$622,MATCH(426,'Transfer Engine'!$C$2:$C$622,0)))</f>
        <v/>
      </c>
    </row>
    <row r="436">
      <c r="A436">
        <f>IF(ISNA(MATCH(427,'Transfer Engine'!$C$2:$C$622,0)),"",INDEX('Compliance Database'!$A$2:$A$622,MATCH(427,'Transfer Engine'!$C$2:$C$622,0)))</f>
        <v/>
      </c>
      <c r="B436">
        <f>IF(ISNA(MATCH(427,'Transfer Engine'!$C$2:$C$622,0)),"",INDEX('Compliance Database'!$B$2:$B$622,MATCH(427,'Transfer Engine'!$C$2:$C$622,0)))</f>
        <v/>
      </c>
      <c r="C436">
        <f>IF(ISNA(MATCH(427,'Transfer Engine'!$C$2:$C$622,0)),"",INDEX('Compliance Database'!$C$2:$C$622,MATCH(427,'Transfer Engine'!$C$2:$C$622,0)))</f>
        <v/>
      </c>
      <c r="D436" s="8">
        <f>IF(ISNA(MATCH(427,'Transfer Engine'!$C$2:$C$622,0)),"",INDEX('Compliance Database'!$D$2:$D$622,MATCH(427,'Transfer Engine'!$C$2:$C$622,0)))</f>
        <v/>
      </c>
      <c r="E436">
        <f>IF(ISNA(MATCH(427,'Transfer Engine'!$C$2:$C$622,0)),"",INDEX('Compliance Database'!$E$2:$E$622,MATCH(427,'Transfer Engine'!$C$2:$C$622,0)))</f>
        <v/>
      </c>
      <c r="F436">
        <f>IF(ISNA(MATCH(427,'Transfer Engine'!$C$2:$C$622,0)),"",INDEX('Compliance Database'!$F$2:$F$622,MATCH(427,'Transfer Engine'!$C$2:$C$622,0)))</f>
        <v/>
      </c>
      <c r="G436">
        <f>IF(ISNA(MATCH(427,'Transfer Engine'!$C$2:$C$622,0)),"",INDEX('Compliance Database'!$G$2:$G$622,MATCH(427,'Transfer Engine'!$C$2:$C$622,0)))</f>
        <v/>
      </c>
      <c r="H436">
        <f>IF(ISNA(MATCH(427,'Transfer Engine'!$C$2:$C$622,0)),"",INDEX('Compliance Database'!$H$2:$H$622,MATCH(427,'Transfer Engine'!$C$2:$C$622,0)))</f>
        <v/>
      </c>
      <c r="I436" s="8">
        <f>IF(ISNA(MATCH(427,'Transfer Engine'!$C$2:$C$622,0)),"",INDEX('Compliance Database'!$I$2:$I$622,MATCH(427,'Transfer Engine'!$C$2:$C$622,0)))</f>
        <v/>
      </c>
      <c r="J436" s="8">
        <f>IF(ISNA(MATCH(427,'Transfer Engine'!$C$2:$C$622,0)),"",INDEX('Compliance Database'!$J$2:$J$622,MATCH(427,'Transfer Engine'!$C$2:$C$622,0)))</f>
        <v/>
      </c>
      <c r="K436">
        <f>IF(ISNA(MATCH(427,'Transfer Engine'!$C$2:$C$622,0)),"",INDEX('Compliance Database'!$K$2:$K$622,MATCH(427,'Transfer Engine'!$C$2:$C$622,0)))</f>
        <v/>
      </c>
      <c r="L436" s="8">
        <f>IF(ISNA(MATCH(427,'Transfer Engine'!$C$2:$C$622,0)),"",INDEX('Compliance Database'!$L$2:$L$622,MATCH(427,'Transfer Engine'!$C$2:$C$622,0)))</f>
        <v/>
      </c>
      <c r="M436" s="8">
        <f>IF(ISNA(MATCH(427,'Transfer Engine'!$C$2:$C$622,0)),"",INDEX('Compliance Database'!$M$2:$M$622,MATCH(427,'Transfer Engine'!$C$2:$C$622,0)))</f>
        <v/>
      </c>
      <c r="N436" s="8">
        <f>IF(ISNA(MATCH(427,'Transfer Engine'!$C$2:$C$622,0)),"",INDEX('Compliance Database'!$N$2:$N$622,MATCH(427,'Transfer Engine'!$C$2:$C$622,0)))</f>
        <v/>
      </c>
      <c r="O436" s="8">
        <f>IF(ISNA(MATCH(427,'Transfer Engine'!$C$2:$C$622,0)),"",INDEX('Compliance Database'!$O$2:$O$622,MATCH(427,'Transfer Engine'!$C$2:$C$622,0)))</f>
        <v/>
      </c>
    </row>
    <row r="437">
      <c r="A437">
        <f>IF(ISNA(MATCH(428,'Transfer Engine'!$C$2:$C$622,0)),"",INDEX('Compliance Database'!$A$2:$A$622,MATCH(428,'Transfer Engine'!$C$2:$C$622,0)))</f>
        <v/>
      </c>
      <c r="B437">
        <f>IF(ISNA(MATCH(428,'Transfer Engine'!$C$2:$C$622,0)),"",INDEX('Compliance Database'!$B$2:$B$622,MATCH(428,'Transfer Engine'!$C$2:$C$622,0)))</f>
        <v/>
      </c>
      <c r="C437">
        <f>IF(ISNA(MATCH(428,'Transfer Engine'!$C$2:$C$622,0)),"",INDEX('Compliance Database'!$C$2:$C$622,MATCH(428,'Transfer Engine'!$C$2:$C$622,0)))</f>
        <v/>
      </c>
      <c r="D437" s="8">
        <f>IF(ISNA(MATCH(428,'Transfer Engine'!$C$2:$C$622,0)),"",INDEX('Compliance Database'!$D$2:$D$622,MATCH(428,'Transfer Engine'!$C$2:$C$622,0)))</f>
        <v/>
      </c>
      <c r="E437">
        <f>IF(ISNA(MATCH(428,'Transfer Engine'!$C$2:$C$622,0)),"",INDEX('Compliance Database'!$E$2:$E$622,MATCH(428,'Transfer Engine'!$C$2:$C$622,0)))</f>
        <v/>
      </c>
      <c r="F437">
        <f>IF(ISNA(MATCH(428,'Transfer Engine'!$C$2:$C$622,0)),"",INDEX('Compliance Database'!$F$2:$F$622,MATCH(428,'Transfer Engine'!$C$2:$C$622,0)))</f>
        <v/>
      </c>
      <c r="G437">
        <f>IF(ISNA(MATCH(428,'Transfer Engine'!$C$2:$C$622,0)),"",INDEX('Compliance Database'!$G$2:$G$622,MATCH(428,'Transfer Engine'!$C$2:$C$622,0)))</f>
        <v/>
      </c>
      <c r="H437">
        <f>IF(ISNA(MATCH(428,'Transfer Engine'!$C$2:$C$622,0)),"",INDEX('Compliance Database'!$H$2:$H$622,MATCH(428,'Transfer Engine'!$C$2:$C$622,0)))</f>
        <v/>
      </c>
      <c r="I437" s="8">
        <f>IF(ISNA(MATCH(428,'Transfer Engine'!$C$2:$C$622,0)),"",INDEX('Compliance Database'!$I$2:$I$622,MATCH(428,'Transfer Engine'!$C$2:$C$622,0)))</f>
        <v/>
      </c>
      <c r="J437" s="8">
        <f>IF(ISNA(MATCH(428,'Transfer Engine'!$C$2:$C$622,0)),"",INDEX('Compliance Database'!$J$2:$J$622,MATCH(428,'Transfer Engine'!$C$2:$C$622,0)))</f>
        <v/>
      </c>
      <c r="K437">
        <f>IF(ISNA(MATCH(428,'Transfer Engine'!$C$2:$C$622,0)),"",INDEX('Compliance Database'!$K$2:$K$622,MATCH(428,'Transfer Engine'!$C$2:$C$622,0)))</f>
        <v/>
      </c>
      <c r="L437" s="8">
        <f>IF(ISNA(MATCH(428,'Transfer Engine'!$C$2:$C$622,0)),"",INDEX('Compliance Database'!$L$2:$L$622,MATCH(428,'Transfer Engine'!$C$2:$C$622,0)))</f>
        <v/>
      </c>
      <c r="M437" s="8">
        <f>IF(ISNA(MATCH(428,'Transfer Engine'!$C$2:$C$622,0)),"",INDEX('Compliance Database'!$M$2:$M$622,MATCH(428,'Transfer Engine'!$C$2:$C$622,0)))</f>
        <v/>
      </c>
      <c r="N437" s="8">
        <f>IF(ISNA(MATCH(428,'Transfer Engine'!$C$2:$C$622,0)),"",INDEX('Compliance Database'!$N$2:$N$622,MATCH(428,'Transfer Engine'!$C$2:$C$622,0)))</f>
        <v/>
      </c>
      <c r="O437" s="8">
        <f>IF(ISNA(MATCH(428,'Transfer Engine'!$C$2:$C$622,0)),"",INDEX('Compliance Database'!$O$2:$O$622,MATCH(428,'Transfer Engine'!$C$2:$C$622,0)))</f>
        <v/>
      </c>
    </row>
    <row r="438">
      <c r="A438">
        <f>IF(ISNA(MATCH(429,'Transfer Engine'!$C$2:$C$622,0)),"",INDEX('Compliance Database'!$A$2:$A$622,MATCH(429,'Transfer Engine'!$C$2:$C$622,0)))</f>
        <v/>
      </c>
      <c r="B438">
        <f>IF(ISNA(MATCH(429,'Transfer Engine'!$C$2:$C$622,0)),"",INDEX('Compliance Database'!$B$2:$B$622,MATCH(429,'Transfer Engine'!$C$2:$C$622,0)))</f>
        <v/>
      </c>
      <c r="C438">
        <f>IF(ISNA(MATCH(429,'Transfer Engine'!$C$2:$C$622,0)),"",INDEX('Compliance Database'!$C$2:$C$622,MATCH(429,'Transfer Engine'!$C$2:$C$622,0)))</f>
        <v/>
      </c>
      <c r="D438" s="8">
        <f>IF(ISNA(MATCH(429,'Transfer Engine'!$C$2:$C$622,0)),"",INDEX('Compliance Database'!$D$2:$D$622,MATCH(429,'Transfer Engine'!$C$2:$C$622,0)))</f>
        <v/>
      </c>
      <c r="E438">
        <f>IF(ISNA(MATCH(429,'Transfer Engine'!$C$2:$C$622,0)),"",INDEX('Compliance Database'!$E$2:$E$622,MATCH(429,'Transfer Engine'!$C$2:$C$622,0)))</f>
        <v/>
      </c>
      <c r="F438">
        <f>IF(ISNA(MATCH(429,'Transfer Engine'!$C$2:$C$622,0)),"",INDEX('Compliance Database'!$F$2:$F$622,MATCH(429,'Transfer Engine'!$C$2:$C$622,0)))</f>
        <v/>
      </c>
      <c r="G438">
        <f>IF(ISNA(MATCH(429,'Transfer Engine'!$C$2:$C$622,0)),"",INDEX('Compliance Database'!$G$2:$G$622,MATCH(429,'Transfer Engine'!$C$2:$C$622,0)))</f>
        <v/>
      </c>
      <c r="H438">
        <f>IF(ISNA(MATCH(429,'Transfer Engine'!$C$2:$C$622,0)),"",INDEX('Compliance Database'!$H$2:$H$622,MATCH(429,'Transfer Engine'!$C$2:$C$622,0)))</f>
        <v/>
      </c>
      <c r="I438" s="8">
        <f>IF(ISNA(MATCH(429,'Transfer Engine'!$C$2:$C$622,0)),"",INDEX('Compliance Database'!$I$2:$I$622,MATCH(429,'Transfer Engine'!$C$2:$C$622,0)))</f>
        <v/>
      </c>
      <c r="J438" s="8">
        <f>IF(ISNA(MATCH(429,'Transfer Engine'!$C$2:$C$622,0)),"",INDEX('Compliance Database'!$J$2:$J$622,MATCH(429,'Transfer Engine'!$C$2:$C$622,0)))</f>
        <v/>
      </c>
      <c r="K438">
        <f>IF(ISNA(MATCH(429,'Transfer Engine'!$C$2:$C$622,0)),"",INDEX('Compliance Database'!$K$2:$K$622,MATCH(429,'Transfer Engine'!$C$2:$C$622,0)))</f>
        <v/>
      </c>
      <c r="L438" s="8">
        <f>IF(ISNA(MATCH(429,'Transfer Engine'!$C$2:$C$622,0)),"",INDEX('Compliance Database'!$L$2:$L$622,MATCH(429,'Transfer Engine'!$C$2:$C$622,0)))</f>
        <v/>
      </c>
      <c r="M438" s="8">
        <f>IF(ISNA(MATCH(429,'Transfer Engine'!$C$2:$C$622,0)),"",INDEX('Compliance Database'!$M$2:$M$622,MATCH(429,'Transfer Engine'!$C$2:$C$622,0)))</f>
        <v/>
      </c>
      <c r="N438" s="8">
        <f>IF(ISNA(MATCH(429,'Transfer Engine'!$C$2:$C$622,0)),"",INDEX('Compliance Database'!$N$2:$N$622,MATCH(429,'Transfer Engine'!$C$2:$C$622,0)))</f>
        <v/>
      </c>
      <c r="O438" s="8">
        <f>IF(ISNA(MATCH(429,'Transfer Engine'!$C$2:$C$622,0)),"",INDEX('Compliance Database'!$O$2:$O$622,MATCH(429,'Transfer Engine'!$C$2:$C$622,0)))</f>
        <v/>
      </c>
    </row>
    <row r="439">
      <c r="A439">
        <f>IF(ISNA(MATCH(430,'Transfer Engine'!$C$2:$C$622,0)),"",INDEX('Compliance Database'!$A$2:$A$622,MATCH(430,'Transfer Engine'!$C$2:$C$622,0)))</f>
        <v/>
      </c>
      <c r="B439">
        <f>IF(ISNA(MATCH(430,'Transfer Engine'!$C$2:$C$622,0)),"",INDEX('Compliance Database'!$B$2:$B$622,MATCH(430,'Transfer Engine'!$C$2:$C$622,0)))</f>
        <v/>
      </c>
      <c r="C439">
        <f>IF(ISNA(MATCH(430,'Transfer Engine'!$C$2:$C$622,0)),"",INDEX('Compliance Database'!$C$2:$C$622,MATCH(430,'Transfer Engine'!$C$2:$C$622,0)))</f>
        <v/>
      </c>
      <c r="D439" s="8">
        <f>IF(ISNA(MATCH(430,'Transfer Engine'!$C$2:$C$622,0)),"",INDEX('Compliance Database'!$D$2:$D$622,MATCH(430,'Transfer Engine'!$C$2:$C$622,0)))</f>
        <v/>
      </c>
      <c r="E439">
        <f>IF(ISNA(MATCH(430,'Transfer Engine'!$C$2:$C$622,0)),"",INDEX('Compliance Database'!$E$2:$E$622,MATCH(430,'Transfer Engine'!$C$2:$C$622,0)))</f>
        <v/>
      </c>
      <c r="F439">
        <f>IF(ISNA(MATCH(430,'Transfer Engine'!$C$2:$C$622,0)),"",INDEX('Compliance Database'!$F$2:$F$622,MATCH(430,'Transfer Engine'!$C$2:$C$622,0)))</f>
        <v/>
      </c>
      <c r="G439">
        <f>IF(ISNA(MATCH(430,'Transfer Engine'!$C$2:$C$622,0)),"",INDEX('Compliance Database'!$G$2:$G$622,MATCH(430,'Transfer Engine'!$C$2:$C$622,0)))</f>
        <v/>
      </c>
      <c r="H439">
        <f>IF(ISNA(MATCH(430,'Transfer Engine'!$C$2:$C$622,0)),"",INDEX('Compliance Database'!$H$2:$H$622,MATCH(430,'Transfer Engine'!$C$2:$C$622,0)))</f>
        <v/>
      </c>
      <c r="I439" s="8">
        <f>IF(ISNA(MATCH(430,'Transfer Engine'!$C$2:$C$622,0)),"",INDEX('Compliance Database'!$I$2:$I$622,MATCH(430,'Transfer Engine'!$C$2:$C$622,0)))</f>
        <v/>
      </c>
      <c r="J439" s="8">
        <f>IF(ISNA(MATCH(430,'Transfer Engine'!$C$2:$C$622,0)),"",INDEX('Compliance Database'!$J$2:$J$622,MATCH(430,'Transfer Engine'!$C$2:$C$622,0)))</f>
        <v/>
      </c>
      <c r="K439">
        <f>IF(ISNA(MATCH(430,'Transfer Engine'!$C$2:$C$622,0)),"",INDEX('Compliance Database'!$K$2:$K$622,MATCH(430,'Transfer Engine'!$C$2:$C$622,0)))</f>
        <v/>
      </c>
      <c r="L439" s="8">
        <f>IF(ISNA(MATCH(430,'Transfer Engine'!$C$2:$C$622,0)),"",INDEX('Compliance Database'!$L$2:$L$622,MATCH(430,'Transfer Engine'!$C$2:$C$622,0)))</f>
        <v/>
      </c>
      <c r="M439" s="8">
        <f>IF(ISNA(MATCH(430,'Transfer Engine'!$C$2:$C$622,0)),"",INDEX('Compliance Database'!$M$2:$M$622,MATCH(430,'Transfer Engine'!$C$2:$C$622,0)))</f>
        <v/>
      </c>
      <c r="N439" s="8">
        <f>IF(ISNA(MATCH(430,'Transfer Engine'!$C$2:$C$622,0)),"",INDEX('Compliance Database'!$N$2:$N$622,MATCH(430,'Transfer Engine'!$C$2:$C$622,0)))</f>
        <v/>
      </c>
      <c r="O439" s="8">
        <f>IF(ISNA(MATCH(430,'Transfer Engine'!$C$2:$C$622,0)),"",INDEX('Compliance Database'!$O$2:$O$622,MATCH(430,'Transfer Engine'!$C$2:$C$622,0)))</f>
        <v/>
      </c>
    </row>
    <row r="440">
      <c r="A440">
        <f>IF(ISNA(MATCH(431,'Transfer Engine'!$C$2:$C$622,0)),"",INDEX('Compliance Database'!$A$2:$A$622,MATCH(431,'Transfer Engine'!$C$2:$C$622,0)))</f>
        <v/>
      </c>
      <c r="B440">
        <f>IF(ISNA(MATCH(431,'Transfer Engine'!$C$2:$C$622,0)),"",INDEX('Compliance Database'!$B$2:$B$622,MATCH(431,'Transfer Engine'!$C$2:$C$622,0)))</f>
        <v/>
      </c>
      <c r="C440">
        <f>IF(ISNA(MATCH(431,'Transfer Engine'!$C$2:$C$622,0)),"",INDEX('Compliance Database'!$C$2:$C$622,MATCH(431,'Transfer Engine'!$C$2:$C$622,0)))</f>
        <v/>
      </c>
      <c r="D440" s="8">
        <f>IF(ISNA(MATCH(431,'Transfer Engine'!$C$2:$C$622,0)),"",INDEX('Compliance Database'!$D$2:$D$622,MATCH(431,'Transfer Engine'!$C$2:$C$622,0)))</f>
        <v/>
      </c>
      <c r="E440">
        <f>IF(ISNA(MATCH(431,'Transfer Engine'!$C$2:$C$622,0)),"",INDEX('Compliance Database'!$E$2:$E$622,MATCH(431,'Transfer Engine'!$C$2:$C$622,0)))</f>
        <v/>
      </c>
      <c r="F440">
        <f>IF(ISNA(MATCH(431,'Transfer Engine'!$C$2:$C$622,0)),"",INDEX('Compliance Database'!$F$2:$F$622,MATCH(431,'Transfer Engine'!$C$2:$C$622,0)))</f>
        <v/>
      </c>
      <c r="G440">
        <f>IF(ISNA(MATCH(431,'Transfer Engine'!$C$2:$C$622,0)),"",INDEX('Compliance Database'!$G$2:$G$622,MATCH(431,'Transfer Engine'!$C$2:$C$622,0)))</f>
        <v/>
      </c>
      <c r="H440">
        <f>IF(ISNA(MATCH(431,'Transfer Engine'!$C$2:$C$622,0)),"",INDEX('Compliance Database'!$H$2:$H$622,MATCH(431,'Transfer Engine'!$C$2:$C$622,0)))</f>
        <v/>
      </c>
      <c r="I440" s="8">
        <f>IF(ISNA(MATCH(431,'Transfer Engine'!$C$2:$C$622,0)),"",INDEX('Compliance Database'!$I$2:$I$622,MATCH(431,'Transfer Engine'!$C$2:$C$622,0)))</f>
        <v/>
      </c>
      <c r="J440" s="8">
        <f>IF(ISNA(MATCH(431,'Transfer Engine'!$C$2:$C$622,0)),"",INDEX('Compliance Database'!$J$2:$J$622,MATCH(431,'Transfer Engine'!$C$2:$C$622,0)))</f>
        <v/>
      </c>
      <c r="K440">
        <f>IF(ISNA(MATCH(431,'Transfer Engine'!$C$2:$C$622,0)),"",INDEX('Compliance Database'!$K$2:$K$622,MATCH(431,'Transfer Engine'!$C$2:$C$622,0)))</f>
        <v/>
      </c>
      <c r="L440" s="8">
        <f>IF(ISNA(MATCH(431,'Transfer Engine'!$C$2:$C$622,0)),"",INDEX('Compliance Database'!$L$2:$L$622,MATCH(431,'Transfer Engine'!$C$2:$C$622,0)))</f>
        <v/>
      </c>
      <c r="M440" s="8">
        <f>IF(ISNA(MATCH(431,'Transfer Engine'!$C$2:$C$622,0)),"",INDEX('Compliance Database'!$M$2:$M$622,MATCH(431,'Transfer Engine'!$C$2:$C$622,0)))</f>
        <v/>
      </c>
      <c r="N440" s="8">
        <f>IF(ISNA(MATCH(431,'Transfer Engine'!$C$2:$C$622,0)),"",INDEX('Compliance Database'!$N$2:$N$622,MATCH(431,'Transfer Engine'!$C$2:$C$622,0)))</f>
        <v/>
      </c>
      <c r="O440" s="8">
        <f>IF(ISNA(MATCH(431,'Transfer Engine'!$C$2:$C$622,0)),"",INDEX('Compliance Database'!$O$2:$O$622,MATCH(431,'Transfer Engine'!$C$2:$C$622,0)))</f>
        <v/>
      </c>
    </row>
    <row r="441">
      <c r="A441">
        <f>IF(ISNA(MATCH(432,'Transfer Engine'!$C$2:$C$622,0)),"",INDEX('Compliance Database'!$A$2:$A$622,MATCH(432,'Transfer Engine'!$C$2:$C$622,0)))</f>
        <v/>
      </c>
      <c r="B441">
        <f>IF(ISNA(MATCH(432,'Transfer Engine'!$C$2:$C$622,0)),"",INDEX('Compliance Database'!$B$2:$B$622,MATCH(432,'Transfer Engine'!$C$2:$C$622,0)))</f>
        <v/>
      </c>
      <c r="C441">
        <f>IF(ISNA(MATCH(432,'Transfer Engine'!$C$2:$C$622,0)),"",INDEX('Compliance Database'!$C$2:$C$622,MATCH(432,'Transfer Engine'!$C$2:$C$622,0)))</f>
        <v/>
      </c>
      <c r="D441" s="8">
        <f>IF(ISNA(MATCH(432,'Transfer Engine'!$C$2:$C$622,0)),"",INDEX('Compliance Database'!$D$2:$D$622,MATCH(432,'Transfer Engine'!$C$2:$C$622,0)))</f>
        <v/>
      </c>
      <c r="E441">
        <f>IF(ISNA(MATCH(432,'Transfer Engine'!$C$2:$C$622,0)),"",INDEX('Compliance Database'!$E$2:$E$622,MATCH(432,'Transfer Engine'!$C$2:$C$622,0)))</f>
        <v/>
      </c>
      <c r="F441">
        <f>IF(ISNA(MATCH(432,'Transfer Engine'!$C$2:$C$622,0)),"",INDEX('Compliance Database'!$F$2:$F$622,MATCH(432,'Transfer Engine'!$C$2:$C$622,0)))</f>
        <v/>
      </c>
      <c r="G441">
        <f>IF(ISNA(MATCH(432,'Transfer Engine'!$C$2:$C$622,0)),"",INDEX('Compliance Database'!$G$2:$G$622,MATCH(432,'Transfer Engine'!$C$2:$C$622,0)))</f>
        <v/>
      </c>
      <c r="H441">
        <f>IF(ISNA(MATCH(432,'Transfer Engine'!$C$2:$C$622,0)),"",INDEX('Compliance Database'!$H$2:$H$622,MATCH(432,'Transfer Engine'!$C$2:$C$622,0)))</f>
        <v/>
      </c>
      <c r="I441" s="8">
        <f>IF(ISNA(MATCH(432,'Transfer Engine'!$C$2:$C$622,0)),"",INDEX('Compliance Database'!$I$2:$I$622,MATCH(432,'Transfer Engine'!$C$2:$C$622,0)))</f>
        <v/>
      </c>
      <c r="J441" s="8">
        <f>IF(ISNA(MATCH(432,'Transfer Engine'!$C$2:$C$622,0)),"",INDEX('Compliance Database'!$J$2:$J$622,MATCH(432,'Transfer Engine'!$C$2:$C$622,0)))</f>
        <v/>
      </c>
      <c r="K441">
        <f>IF(ISNA(MATCH(432,'Transfer Engine'!$C$2:$C$622,0)),"",INDEX('Compliance Database'!$K$2:$K$622,MATCH(432,'Transfer Engine'!$C$2:$C$622,0)))</f>
        <v/>
      </c>
      <c r="L441" s="8">
        <f>IF(ISNA(MATCH(432,'Transfer Engine'!$C$2:$C$622,0)),"",INDEX('Compliance Database'!$L$2:$L$622,MATCH(432,'Transfer Engine'!$C$2:$C$622,0)))</f>
        <v/>
      </c>
      <c r="M441" s="8">
        <f>IF(ISNA(MATCH(432,'Transfer Engine'!$C$2:$C$622,0)),"",INDEX('Compliance Database'!$M$2:$M$622,MATCH(432,'Transfer Engine'!$C$2:$C$622,0)))</f>
        <v/>
      </c>
      <c r="N441" s="8">
        <f>IF(ISNA(MATCH(432,'Transfer Engine'!$C$2:$C$622,0)),"",INDEX('Compliance Database'!$N$2:$N$622,MATCH(432,'Transfer Engine'!$C$2:$C$622,0)))</f>
        <v/>
      </c>
      <c r="O441" s="8">
        <f>IF(ISNA(MATCH(432,'Transfer Engine'!$C$2:$C$622,0)),"",INDEX('Compliance Database'!$O$2:$O$622,MATCH(432,'Transfer Engine'!$C$2:$C$622,0)))</f>
        <v/>
      </c>
    </row>
    <row r="442">
      <c r="A442">
        <f>IF(ISNA(MATCH(433,'Transfer Engine'!$C$2:$C$622,0)),"",INDEX('Compliance Database'!$A$2:$A$622,MATCH(433,'Transfer Engine'!$C$2:$C$622,0)))</f>
        <v/>
      </c>
      <c r="B442">
        <f>IF(ISNA(MATCH(433,'Transfer Engine'!$C$2:$C$622,0)),"",INDEX('Compliance Database'!$B$2:$B$622,MATCH(433,'Transfer Engine'!$C$2:$C$622,0)))</f>
        <v/>
      </c>
      <c r="C442">
        <f>IF(ISNA(MATCH(433,'Transfer Engine'!$C$2:$C$622,0)),"",INDEX('Compliance Database'!$C$2:$C$622,MATCH(433,'Transfer Engine'!$C$2:$C$622,0)))</f>
        <v/>
      </c>
      <c r="D442" s="8">
        <f>IF(ISNA(MATCH(433,'Transfer Engine'!$C$2:$C$622,0)),"",INDEX('Compliance Database'!$D$2:$D$622,MATCH(433,'Transfer Engine'!$C$2:$C$622,0)))</f>
        <v/>
      </c>
      <c r="E442">
        <f>IF(ISNA(MATCH(433,'Transfer Engine'!$C$2:$C$622,0)),"",INDEX('Compliance Database'!$E$2:$E$622,MATCH(433,'Transfer Engine'!$C$2:$C$622,0)))</f>
        <v/>
      </c>
      <c r="F442">
        <f>IF(ISNA(MATCH(433,'Transfer Engine'!$C$2:$C$622,0)),"",INDEX('Compliance Database'!$F$2:$F$622,MATCH(433,'Transfer Engine'!$C$2:$C$622,0)))</f>
        <v/>
      </c>
      <c r="G442">
        <f>IF(ISNA(MATCH(433,'Transfer Engine'!$C$2:$C$622,0)),"",INDEX('Compliance Database'!$G$2:$G$622,MATCH(433,'Transfer Engine'!$C$2:$C$622,0)))</f>
        <v/>
      </c>
      <c r="H442">
        <f>IF(ISNA(MATCH(433,'Transfer Engine'!$C$2:$C$622,0)),"",INDEX('Compliance Database'!$H$2:$H$622,MATCH(433,'Transfer Engine'!$C$2:$C$622,0)))</f>
        <v/>
      </c>
      <c r="I442" s="8">
        <f>IF(ISNA(MATCH(433,'Transfer Engine'!$C$2:$C$622,0)),"",INDEX('Compliance Database'!$I$2:$I$622,MATCH(433,'Transfer Engine'!$C$2:$C$622,0)))</f>
        <v/>
      </c>
      <c r="J442" s="8">
        <f>IF(ISNA(MATCH(433,'Transfer Engine'!$C$2:$C$622,0)),"",INDEX('Compliance Database'!$J$2:$J$622,MATCH(433,'Transfer Engine'!$C$2:$C$622,0)))</f>
        <v/>
      </c>
      <c r="K442">
        <f>IF(ISNA(MATCH(433,'Transfer Engine'!$C$2:$C$622,0)),"",INDEX('Compliance Database'!$K$2:$K$622,MATCH(433,'Transfer Engine'!$C$2:$C$622,0)))</f>
        <v/>
      </c>
      <c r="L442" s="8">
        <f>IF(ISNA(MATCH(433,'Transfer Engine'!$C$2:$C$622,0)),"",INDEX('Compliance Database'!$L$2:$L$622,MATCH(433,'Transfer Engine'!$C$2:$C$622,0)))</f>
        <v/>
      </c>
      <c r="M442" s="8">
        <f>IF(ISNA(MATCH(433,'Transfer Engine'!$C$2:$C$622,0)),"",INDEX('Compliance Database'!$M$2:$M$622,MATCH(433,'Transfer Engine'!$C$2:$C$622,0)))</f>
        <v/>
      </c>
      <c r="N442" s="8">
        <f>IF(ISNA(MATCH(433,'Transfer Engine'!$C$2:$C$622,0)),"",INDEX('Compliance Database'!$N$2:$N$622,MATCH(433,'Transfer Engine'!$C$2:$C$622,0)))</f>
        <v/>
      </c>
      <c r="O442" s="8">
        <f>IF(ISNA(MATCH(433,'Transfer Engine'!$C$2:$C$622,0)),"",INDEX('Compliance Database'!$O$2:$O$622,MATCH(433,'Transfer Engine'!$C$2:$C$622,0)))</f>
        <v/>
      </c>
    </row>
    <row r="443">
      <c r="A443">
        <f>IF(ISNA(MATCH(434,'Transfer Engine'!$C$2:$C$622,0)),"",INDEX('Compliance Database'!$A$2:$A$622,MATCH(434,'Transfer Engine'!$C$2:$C$622,0)))</f>
        <v/>
      </c>
      <c r="B443">
        <f>IF(ISNA(MATCH(434,'Transfer Engine'!$C$2:$C$622,0)),"",INDEX('Compliance Database'!$B$2:$B$622,MATCH(434,'Transfer Engine'!$C$2:$C$622,0)))</f>
        <v/>
      </c>
      <c r="C443">
        <f>IF(ISNA(MATCH(434,'Transfer Engine'!$C$2:$C$622,0)),"",INDEX('Compliance Database'!$C$2:$C$622,MATCH(434,'Transfer Engine'!$C$2:$C$622,0)))</f>
        <v/>
      </c>
      <c r="D443" s="8">
        <f>IF(ISNA(MATCH(434,'Transfer Engine'!$C$2:$C$622,0)),"",INDEX('Compliance Database'!$D$2:$D$622,MATCH(434,'Transfer Engine'!$C$2:$C$622,0)))</f>
        <v/>
      </c>
      <c r="E443">
        <f>IF(ISNA(MATCH(434,'Transfer Engine'!$C$2:$C$622,0)),"",INDEX('Compliance Database'!$E$2:$E$622,MATCH(434,'Transfer Engine'!$C$2:$C$622,0)))</f>
        <v/>
      </c>
      <c r="F443">
        <f>IF(ISNA(MATCH(434,'Transfer Engine'!$C$2:$C$622,0)),"",INDEX('Compliance Database'!$F$2:$F$622,MATCH(434,'Transfer Engine'!$C$2:$C$622,0)))</f>
        <v/>
      </c>
      <c r="G443">
        <f>IF(ISNA(MATCH(434,'Transfer Engine'!$C$2:$C$622,0)),"",INDEX('Compliance Database'!$G$2:$G$622,MATCH(434,'Transfer Engine'!$C$2:$C$622,0)))</f>
        <v/>
      </c>
      <c r="H443">
        <f>IF(ISNA(MATCH(434,'Transfer Engine'!$C$2:$C$622,0)),"",INDEX('Compliance Database'!$H$2:$H$622,MATCH(434,'Transfer Engine'!$C$2:$C$622,0)))</f>
        <v/>
      </c>
      <c r="I443" s="8">
        <f>IF(ISNA(MATCH(434,'Transfer Engine'!$C$2:$C$622,0)),"",INDEX('Compliance Database'!$I$2:$I$622,MATCH(434,'Transfer Engine'!$C$2:$C$622,0)))</f>
        <v/>
      </c>
      <c r="J443" s="8">
        <f>IF(ISNA(MATCH(434,'Transfer Engine'!$C$2:$C$622,0)),"",INDEX('Compliance Database'!$J$2:$J$622,MATCH(434,'Transfer Engine'!$C$2:$C$622,0)))</f>
        <v/>
      </c>
      <c r="K443">
        <f>IF(ISNA(MATCH(434,'Transfer Engine'!$C$2:$C$622,0)),"",INDEX('Compliance Database'!$K$2:$K$622,MATCH(434,'Transfer Engine'!$C$2:$C$622,0)))</f>
        <v/>
      </c>
      <c r="L443" s="8">
        <f>IF(ISNA(MATCH(434,'Transfer Engine'!$C$2:$C$622,0)),"",INDEX('Compliance Database'!$L$2:$L$622,MATCH(434,'Transfer Engine'!$C$2:$C$622,0)))</f>
        <v/>
      </c>
      <c r="M443" s="8">
        <f>IF(ISNA(MATCH(434,'Transfer Engine'!$C$2:$C$622,0)),"",INDEX('Compliance Database'!$M$2:$M$622,MATCH(434,'Transfer Engine'!$C$2:$C$622,0)))</f>
        <v/>
      </c>
      <c r="N443" s="8">
        <f>IF(ISNA(MATCH(434,'Transfer Engine'!$C$2:$C$622,0)),"",INDEX('Compliance Database'!$N$2:$N$622,MATCH(434,'Transfer Engine'!$C$2:$C$622,0)))</f>
        <v/>
      </c>
      <c r="O443" s="8">
        <f>IF(ISNA(MATCH(434,'Transfer Engine'!$C$2:$C$622,0)),"",INDEX('Compliance Database'!$O$2:$O$622,MATCH(434,'Transfer Engine'!$C$2:$C$622,0)))</f>
        <v/>
      </c>
    </row>
    <row r="444">
      <c r="A444">
        <f>IF(ISNA(MATCH(435,'Transfer Engine'!$C$2:$C$622,0)),"",INDEX('Compliance Database'!$A$2:$A$622,MATCH(435,'Transfer Engine'!$C$2:$C$622,0)))</f>
        <v/>
      </c>
      <c r="B444">
        <f>IF(ISNA(MATCH(435,'Transfer Engine'!$C$2:$C$622,0)),"",INDEX('Compliance Database'!$B$2:$B$622,MATCH(435,'Transfer Engine'!$C$2:$C$622,0)))</f>
        <v/>
      </c>
      <c r="C444">
        <f>IF(ISNA(MATCH(435,'Transfer Engine'!$C$2:$C$622,0)),"",INDEX('Compliance Database'!$C$2:$C$622,MATCH(435,'Transfer Engine'!$C$2:$C$622,0)))</f>
        <v/>
      </c>
      <c r="D444" s="8">
        <f>IF(ISNA(MATCH(435,'Transfer Engine'!$C$2:$C$622,0)),"",INDEX('Compliance Database'!$D$2:$D$622,MATCH(435,'Transfer Engine'!$C$2:$C$622,0)))</f>
        <v/>
      </c>
      <c r="E444">
        <f>IF(ISNA(MATCH(435,'Transfer Engine'!$C$2:$C$622,0)),"",INDEX('Compliance Database'!$E$2:$E$622,MATCH(435,'Transfer Engine'!$C$2:$C$622,0)))</f>
        <v/>
      </c>
      <c r="F444">
        <f>IF(ISNA(MATCH(435,'Transfer Engine'!$C$2:$C$622,0)),"",INDEX('Compliance Database'!$F$2:$F$622,MATCH(435,'Transfer Engine'!$C$2:$C$622,0)))</f>
        <v/>
      </c>
      <c r="G444">
        <f>IF(ISNA(MATCH(435,'Transfer Engine'!$C$2:$C$622,0)),"",INDEX('Compliance Database'!$G$2:$G$622,MATCH(435,'Transfer Engine'!$C$2:$C$622,0)))</f>
        <v/>
      </c>
      <c r="H444">
        <f>IF(ISNA(MATCH(435,'Transfer Engine'!$C$2:$C$622,0)),"",INDEX('Compliance Database'!$H$2:$H$622,MATCH(435,'Transfer Engine'!$C$2:$C$622,0)))</f>
        <v/>
      </c>
      <c r="I444" s="8">
        <f>IF(ISNA(MATCH(435,'Transfer Engine'!$C$2:$C$622,0)),"",INDEX('Compliance Database'!$I$2:$I$622,MATCH(435,'Transfer Engine'!$C$2:$C$622,0)))</f>
        <v/>
      </c>
      <c r="J444" s="8">
        <f>IF(ISNA(MATCH(435,'Transfer Engine'!$C$2:$C$622,0)),"",INDEX('Compliance Database'!$J$2:$J$622,MATCH(435,'Transfer Engine'!$C$2:$C$622,0)))</f>
        <v/>
      </c>
      <c r="K444">
        <f>IF(ISNA(MATCH(435,'Transfer Engine'!$C$2:$C$622,0)),"",INDEX('Compliance Database'!$K$2:$K$622,MATCH(435,'Transfer Engine'!$C$2:$C$622,0)))</f>
        <v/>
      </c>
      <c r="L444" s="8">
        <f>IF(ISNA(MATCH(435,'Transfer Engine'!$C$2:$C$622,0)),"",INDEX('Compliance Database'!$L$2:$L$622,MATCH(435,'Transfer Engine'!$C$2:$C$622,0)))</f>
        <v/>
      </c>
      <c r="M444" s="8">
        <f>IF(ISNA(MATCH(435,'Transfer Engine'!$C$2:$C$622,0)),"",INDEX('Compliance Database'!$M$2:$M$622,MATCH(435,'Transfer Engine'!$C$2:$C$622,0)))</f>
        <v/>
      </c>
      <c r="N444" s="8">
        <f>IF(ISNA(MATCH(435,'Transfer Engine'!$C$2:$C$622,0)),"",INDEX('Compliance Database'!$N$2:$N$622,MATCH(435,'Transfer Engine'!$C$2:$C$622,0)))</f>
        <v/>
      </c>
      <c r="O444" s="8">
        <f>IF(ISNA(MATCH(435,'Transfer Engine'!$C$2:$C$622,0)),"",INDEX('Compliance Database'!$O$2:$O$622,MATCH(435,'Transfer Engine'!$C$2:$C$622,0)))</f>
        <v/>
      </c>
    </row>
    <row r="445">
      <c r="A445">
        <f>IF(ISNA(MATCH(436,'Transfer Engine'!$C$2:$C$622,0)),"",INDEX('Compliance Database'!$A$2:$A$622,MATCH(436,'Transfer Engine'!$C$2:$C$622,0)))</f>
        <v/>
      </c>
      <c r="B445">
        <f>IF(ISNA(MATCH(436,'Transfer Engine'!$C$2:$C$622,0)),"",INDEX('Compliance Database'!$B$2:$B$622,MATCH(436,'Transfer Engine'!$C$2:$C$622,0)))</f>
        <v/>
      </c>
      <c r="C445">
        <f>IF(ISNA(MATCH(436,'Transfer Engine'!$C$2:$C$622,0)),"",INDEX('Compliance Database'!$C$2:$C$622,MATCH(436,'Transfer Engine'!$C$2:$C$622,0)))</f>
        <v/>
      </c>
      <c r="D445" s="8">
        <f>IF(ISNA(MATCH(436,'Transfer Engine'!$C$2:$C$622,0)),"",INDEX('Compliance Database'!$D$2:$D$622,MATCH(436,'Transfer Engine'!$C$2:$C$622,0)))</f>
        <v/>
      </c>
      <c r="E445">
        <f>IF(ISNA(MATCH(436,'Transfer Engine'!$C$2:$C$622,0)),"",INDEX('Compliance Database'!$E$2:$E$622,MATCH(436,'Transfer Engine'!$C$2:$C$622,0)))</f>
        <v/>
      </c>
      <c r="F445">
        <f>IF(ISNA(MATCH(436,'Transfer Engine'!$C$2:$C$622,0)),"",INDEX('Compliance Database'!$F$2:$F$622,MATCH(436,'Transfer Engine'!$C$2:$C$622,0)))</f>
        <v/>
      </c>
      <c r="G445">
        <f>IF(ISNA(MATCH(436,'Transfer Engine'!$C$2:$C$622,0)),"",INDEX('Compliance Database'!$G$2:$G$622,MATCH(436,'Transfer Engine'!$C$2:$C$622,0)))</f>
        <v/>
      </c>
      <c r="H445">
        <f>IF(ISNA(MATCH(436,'Transfer Engine'!$C$2:$C$622,0)),"",INDEX('Compliance Database'!$H$2:$H$622,MATCH(436,'Transfer Engine'!$C$2:$C$622,0)))</f>
        <v/>
      </c>
      <c r="I445" s="8">
        <f>IF(ISNA(MATCH(436,'Transfer Engine'!$C$2:$C$622,0)),"",INDEX('Compliance Database'!$I$2:$I$622,MATCH(436,'Transfer Engine'!$C$2:$C$622,0)))</f>
        <v/>
      </c>
      <c r="J445" s="8">
        <f>IF(ISNA(MATCH(436,'Transfer Engine'!$C$2:$C$622,0)),"",INDEX('Compliance Database'!$J$2:$J$622,MATCH(436,'Transfer Engine'!$C$2:$C$622,0)))</f>
        <v/>
      </c>
      <c r="K445">
        <f>IF(ISNA(MATCH(436,'Transfer Engine'!$C$2:$C$622,0)),"",INDEX('Compliance Database'!$K$2:$K$622,MATCH(436,'Transfer Engine'!$C$2:$C$622,0)))</f>
        <v/>
      </c>
      <c r="L445" s="8">
        <f>IF(ISNA(MATCH(436,'Transfer Engine'!$C$2:$C$622,0)),"",INDEX('Compliance Database'!$L$2:$L$622,MATCH(436,'Transfer Engine'!$C$2:$C$622,0)))</f>
        <v/>
      </c>
      <c r="M445" s="8">
        <f>IF(ISNA(MATCH(436,'Transfer Engine'!$C$2:$C$622,0)),"",INDEX('Compliance Database'!$M$2:$M$622,MATCH(436,'Transfer Engine'!$C$2:$C$622,0)))</f>
        <v/>
      </c>
      <c r="N445" s="8">
        <f>IF(ISNA(MATCH(436,'Transfer Engine'!$C$2:$C$622,0)),"",INDEX('Compliance Database'!$N$2:$N$622,MATCH(436,'Transfer Engine'!$C$2:$C$622,0)))</f>
        <v/>
      </c>
      <c r="O445" s="8">
        <f>IF(ISNA(MATCH(436,'Transfer Engine'!$C$2:$C$622,0)),"",INDEX('Compliance Database'!$O$2:$O$622,MATCH(436,'Transfer Engine'!$C$2:$C$622,0)))</f>
        <v/>
      </c>
    </row>
    <row r="446">
      <c r="A446">
        <f>IF(ISNA(MATCH(437,'Transfer Engine'!$C$2:$C$622,0)),"",INDEX('Compliance Database'!$A$2:$A$622,MATCH(437,'Transfer Engine'!$C$2:$C$622,0)))</f>
        <v/>
      </c>
      <c r="B446">
        <f>IF(ISNA(MATCH(437,'Transfer Engine'!$C$2:$C$622,0)),"",INDEX('Compliance Database'!$B$2:$B$622,MATCH(437,'Transfer Engine'!$C$2:$C$622,0)))</f>
        <v/>
      </c>
      <c r="C446">
        <f>IF(ISNA(MATCH(437,'Transfer Engine'!$C$2:$C$622,0)),"",INDEX('Compliance Database'!$C$2:$C$622,MATCH(437,'Transfer Engine'!$C$2:$C$622,0)))</f>
        <v/>
      </c>
      <c r="D446" s="8">
        <f>IF(ISNA(MATCH(437,'Transfer Engine'!$C$2:$C$622,0)),"",INDEX('Compliance Database'!$D$2:$D$622,MATCH(437,'Transfer Engine'!$C$2:$C$622,0)))</f>
        <v/>
      </c>
      <c r="E446">
        <f>IF(ISNA(MATCH(437,'Transfer Engine'!$C$2:$C$622,0)),"",INDEX('Compliance Database'!$E$2:$E$622,MATCH(437,'Transfer Engine'!$C$2:$C$622,0)))</f>
        <v/>
      </c>
      <c r="F446">
        <f>IF(ISNA(MATCH(437,'Transfer Engine'!$C$2:$C$622,0)),"",INDEX('Compliance Database'!$F$2:$F$622,MATCH(437,'Transfer Engine'!$C$2:$C$622,0)))</f>
        <v/>
      </c>
      <c r="G446">
        <f>IF(ISNA(MATCH(437,'Transfer Engine'!$C$2:$C$622,0)),"",INDEX('Compliance Database'!$G$2:$G$622,MATCH(437,'Transfer Engine'!$C$2:$C$622,0)))</f>
        <v/>
      </c>
      <c r="H446">
        <f>IF(ISNA(MATCH(437,'Transfer Engine'!$C$2:$C$622,0)),"",INDEX('Compliance Database'!$H$2:$H$622,MATCH(437,'Transfer Engine'!$C$2:$C$622,0)))</f>
        <v/>
      </c>
      <c r="I446" s="8">
        <f>IF(ISNA(MATCH(437,'Transfer Engine'!$C$2:$C$622,0)),"",INDEX('Compliance Database'!$I$2:$I$622,MATCH(437,'Transfer Engine'!$C$2:$C$622,0)))</f>
        <v/>
      </c>
      <c r="J446" s="8">
        <f>IF(ISNA(MATCH(437,'Transfer Engine'!$C$2:$C$622,0)),"",INDEX('Compliance Database'!$J$2:$J$622,MATCH(437,'Transfer Engine'!$C$2:$C$622,0)))</f>
        <v/>
      </c>
      <c r="K446">
        <f>IF(ISNA(MATCH(437,'Transfer Engine'!$C$2:$C$622,0)),"",INDEX('Compliance Database'!$K$2:$K$622,MATCH(437,'Transfer Engine'!$C$2:$C$622,0)))</f>
        <v/>
      </c>
      <c r="L446" s="8">
        <f>IF(ISNA(MATCH(437,'Transfer Engine'!$C$2:$C$622,0)),"",INDEX('Compliance Database'!$L$2:$L$622,MATCH(437,'Transfer Engine'!$C$2:$C$622,0)))</f>
        <v/>
      </c>
      <c r="M446" s="8">
        <f>IF(ISNA(MATCH(437,'Transfer Engine'!$C$2:$C$622,0)),"",INDEX('Compliance Database'!$M$2:$M$622,MATCH(437,'Transfer Engine'!$C$2:$C$622,0)))</f>
        <v/>
      </c>
      <c r="N446" s="8">
        <f>IF(ISNA(MATCH(437,'Transfer Engine'!$C$2:$C$622,0)),"",INDEX('Compliance Database'!$N$2:$N$622,MATCH(437,'Transfer Engine'!$C$2:$C$622,0)))</f>
        <v/>
      </c>
      <c r="O446" s="8">
        <f>IF(ISNA(MATCH(437,'Transfer Engine'!$C$2:$C$622,0)),"",INDEX('Compliance Database'!$O$2:$O$622,MATCH(437,'Transfer Engine'!$C$2:$C$622,0)))</f>
        <v/>
      </c>
    </row>
    <row r="447">
      <c r="A447">
        <f>IF(ISNA(MATCH(438,'Transfer Engine'!$C$2:$C$622,0)),"",INDEX('Compliance Database'!$A$2:$A$622,MATCH(438,'Transfer Engine'!$C$2:$C$622,0)))</f>
        <v/>
      </c>
      <c r="B447">
        <f>IF(ISNA(MATCH(438,'Transfer Engine'!$C$2:$C$622,0)),"",INDEX('Compliance Database'!$B$2:$B$622,MATCH(438,'Transfer Engine'!$C$2:$C$622,0)))</f>
        <v/>
      </c>
      <c r="C447">
        <f>IF(ISNA(MATCH(438,'Transfer Engine'!$C$2:$C$622,0)),"",INDEX('Compliance Database'!$C$2:$C$622,MATCH(438,'Transfer Engine'!$C$2:$C$622,0)))</f>
        <v/>
      </c>
      <c r="D447" s="8">
        <f>IF(ISNA(MATCH(438,'Transfer Engine'!$C$2:$C$622,0)),"",INDEX('Compliance Database'!$D$2:$D$622,MATCH(438,'Transfer Engine'!$C$2:$C$622,0)))</f>
        <v/>
      </c>
      <c r="E447">
        <f>IF(ISNA(MATCH(438,'Transfer Engine'!$C$2:$C$622,0)),"",INDEX('Compliance Database'!$E$2:$E$622,MATCH(438,'Transfer Engine'!$C$2:$C$622,0)))</f>
        <v/>
      </c>
      <c r="F447">
        <f>IF(ISNA(MATCH(438,'Transfer Engine'!$C$2:$C$622,0)),"",INDEX('Compliance Database'!$F$2:$F$622,MATCH(438,'Transfer Engine'!$C$2:$C$622,0)))</f>
        <v/>
      </c>
      <c r="G447">
        <f>IF(ISNA(MATCH(438,'Transfer Engine'!$C$2:$C$622,0)),"",INDEX('Compliance Database'!$G$2:$G$622,MATCH(438,'Transfer Engine'!$C$2:$C$622,0)))</f>
        <v/>
      </c>
      <c r="H447">
        <f>IF(ISNA(MATCH(438,'Transfer Engine'!$C$2:$C$622,0)),"",INDEX('Compliance Database'!$H$2:$H$622,MATCH(438,'Transfer Engine'!$C$2:$C$622,0)))</f>
        <v/>
      </c>
      <c r="I447" s="8">
        <f>IF(ISNA(MATCH(438,'Transfer Engine'!$C$2:$C$622,0)),"",INDEX('Compliance Database'!$I$2:$I$622,MATCH(438,'Transfer Engine'!$C$2:$C$622,0)))</f>
        <v/>
      </c>
      <c r="J447" s="8">
        <f>IF(ISNA(MATCH(438,'Transfer Engine'!$C$2:$C$622,0)),"",INDEX('Compliance Database'!$J$2:$J$622,MATCH(438,'Transfer Engine'!$C$2:$C$622,0)))</f>
        <v/>
      </c>
      <c r="K447">
        <f>IF(ISNA(MATCH(438,'Transfer Engine'!$C$2:$C$622,0)),"",INDEX('Compliance Database'!$K$2:$K$622,MATCH(438,'Transfer Engine'!$C$2:$C$622,0)))</f>
        <v/>
      </c>
      <c r="L447" s="8">
        <f>IF(ISNA(MATCH(438,'Transfer Engine'!$C$2:$C$622,0)),"",INDEX('Compliance Database'!$L$2:$L$622,MATCH(438,'Transfer Engine'!$C$2:$C$622,0)))</f>
        <v/>
      </c>
      <c r="M447" s="8">
        <f>IF(ISNA(MATCH(438,'Transfer Engine'!$C$2:$C$622,0)),"",INDEX('Compliance Database'!$M$2:$M$622,MATCH(438,'Transfer Engine'!$C$2:$C$622,0)))</f>
        <v/>
      </c>
      <c r="N447" s="8">
        <f>IF(ISNA(MATCH(438,'Transfer Engine'!$C$2:$C$622,0)),"",INDEX('Compliance Database'!$N$2:$N$622,MATCH(438,'Transfer Engine'!$C$2:$C$622,0)))</f>
        <v/>
      </c>
      <c r="O447" s="8">
        <f>IF(ISNA(MATCH(438,'Transfer Engine'!$C$2:$C$622,0)),"",INDEX('Compliance Database'!$O$2:$O$622,MATCH(438,'Transfer Engine'!$C$2:$C$622,0)))</f>
        <v/>
      </c>
    </row>
    <row r="448">
      <c r="A448">
        <f>IF(ISNA(MATCH(439,'Transfer Engine'!$C$2:$C$622,0)),"",INDEX('Compliance Database'!$A$2:$A$622,MATCH(439,'Transfer Engine'!$C$2:$C$622,0)))</f>
        <v/>
      </c>
      <c r="B448">
        <f>IF(ISNA(MATCH(439,'Transfer Engine'!$C$2:$C$622,0)),"",INDEX('Compliance Database'!$B$2:$B$622,MATCH(439,'Transfer Engine'!$C$2:$C$622,0)))</f>
        <v/>
      </c>
      <c r="C448">
        <f>IF(ISNA(MATCH(439,'Transfer Engine'!$C$2:$C$622,0)),"",INDEX('Compliance Database'!$C$2:$C$622,MATCH(439,'Transfer Engine'!$C$2:$C$622,0)))</f>
        <v/>
      </c>
      <c r="D448" s="8">
        <f>IF(ISNA(MATCH(439,'Transfer Engine'!$C$2:$C$622,0)),"",INDEX('Compliance Database'!$D$2:$D$622,MATCH(439,'Transfer Engine'!$C$2:$C$622,0)))</f>
        <v/>
      </c>
      <c r="E448">
        <f>IF(ISNA(MATCH(439,'Transfer Engine'!$C$2:$C$622,0)),"",INDEX('Compliance Database'!$E$2:$E$622,MATCH(439,'Transfer Engine'!$C$2:$C$622,0)))</f>
        <v/>
      </c>
      <c r="F448">
        <f>IF(ISNA(MATCH(439,'Transfer Engine'!$C$2:$C$622,0)),"",INDEX('Compliance Database'!$F$2:$F$622,MATCH(439,'Transfer Engine'!$C$2:$C$622,0)))</f>
        <v/>
      </c>
      <c r="G448">
        <f>IF(ISNA(MATCH(439,'Transfer Engine'!$C$2:$C$622,0)),"",INDEX('Compliance Database'!$G$2:$G$622,MATCH(439,'Transfer Engine'!$C$2:$C$622,0)))</f>
        <v/>
      </c>
      <c r="H448">
        <f>IF(ISNA(MATCH(439,'Transfer Engine'!$C$2:$C$622,0)),"",INDEX('Compliance Database'!$H$2:$H$622,MATCH(439,'Transfer Engine'!$C$2:$C$622,0)))</f>
        <v/>
      </c>
      <c r="I448" s="8">
        <f>IF(ISNA(MATCH(439,'Transfer Engine'!$C$2:$C$622,0)),"",INDEX('Compliance Database'!$I$2:$I$622,MATCH(439,'Transfer Engine'!$C$2:$C$622,0)))</f>
        <v/>
      </c>
      <c r="J448" s="8">
        <f>IF(ISNA(MATCH(439,'Transfer Engine'!$C$2:$C$622,0)),"",INDEX('Compliance Database'!$J$2:$J$622,MATCH(439,'Transfer Engine'!$C$2:$C$622,0)))</f>
        <v/>
      </c>
      <c r="K448">
        <f>IF(ISNA(MATCH(439,'Transfer Engine'!$C$2:$C$622,0)),"",INDEX('Compliance Database'!$K$2:$K$622,MATCH(439,'Transfer Engine'!$C$2:$C$622,0)))</f>
        <v/>
      </c>
      <c r="L448" s="8">
        <f>IF(ISNA(MATCH(439,'Transfer Engine'!$C$2:$C$622,0)),"",INDEX('Compliance Database'!$L$2:$L$622,MATCH(439,'Transfer Engine'!$C$2:$C$622,0)))</f>
        <v/>
      </c>
      <c r="M448" s="8">
        <f>IF(ISNA(MATCH(439,'Transfer Engine'!$C$2:$C$622,0)),"",INDEX('Compliance Database'!$M$2:$M$622,MATCH(439,'Transfer Engine'!$C$2:$C$622,0)))</f>
        <v/>
      </c>
      <c r="N448" s="8">
        <f>IF(ISNA(MATCH(439,'Transfer Engine'!$C$2:$C$622,0)),"",INDEX('Compliance Database'!$N$2:$N$622,MATCH(439,'Transfer Engine'!$C$2:$C$622,0)))</f>
        <v/>
      </c>
      <c r="O448" s="8">
        <f>IF(ISNA(MATCH(439,'Transfer Engine'!$C$2:$C$622,0)),"",INDEX('Compliance Database'!$O$2:$O$622,MATCH(439,'Transfer Engine'!$C$2:$C$622,0)))</f>
        <v/>
      </c>
    </row>
    <row r="449">
      <c r="A449">
        <f>IF(ISNA(MATCH(440,'Transfer Engine'!$C$2:$C$622,0)),"",INDEX('Compliance Database'!$A$2:$A$622,MATCH(440,'Transfer Engine'!$C$2:$C$622,0)))</f>
        <v/>
      </c>
      <c r="B449">
        <f>IF(ISNA(MATCH(440,'Transfer Engine'!$C$2:$C$622,0)),"",INDEX('Compliance Database'!$B$2:$B$622,MATCH(440,'Transfer Engine'!$C$2:$C$622,0)))</f>
        <v/>
      </c>
      <c r="C449">
        <f>IF(ISNA(MATCH(440,'Transfer Engine'!$C$2:$C$622,0)),"",INDEX('Compliance Database'!$C$2:$C$622,MATCH(440,'Transfer Engine'!$C$2:$C$622,0)))</f>
        <v/>
      </c>
      <c r="D449" s="8">
        <f>IF(ISNA(MATCH(440,'Transfer Engine'!$C$2:$C$622,0)),"",INDEX('Compliance Database'!$D$2:$D$622,MATCH(440,'Transfer Engine'!$C$2:$C$622,0)))</f>
        <v/>
      </c>
      <c r="E449">
        <f>IF(ISNA(MATCH(440,'Transfer Engine'!$C$2:$C$622,0)),"",INDEX('Compliance Database'!$E$2:$E$622,MATCH(440,'Transfer Engine'!$C$2:$C$622,0)))</f>
        <v/>
      </c>
      <c r="F449">
        <f>IF(ISNA(MATCH(440,'Transfer Engine'!$C$2:$C$622,0)),"",INDEX('Compliance Database'!$F$2:$F$622,MATCH(440,'Transfer Engine'!$C$2:$C$622,0)))</f>
        <v/>
      </c>
      <c r="G449">
        <f>IF(ISNA(MATCH(440,'Transfer Engine'!$C$2:$C$622,0)),"",INDEX('Compliance Database'!$G$2:$G$622,MATCH(440,'Transfer Engine'!$C$2:$C$622,0)))</f>
        <v/>
      </c>
      <c r="H449">
        <f>IF(ISNA(MATCH(440,'Transfer Engine'!$C$2:$C$622,0)),"",INDEX('Compliance Database'!$H$2:$H$622,MATCH(440,'Transfer Engine'!$C$2:$C$622,0)))</f>
        <v/>
      </c>
      <c r="I449" s="8">
        <f>IF(ISNA(MATCH(440,'Transfer Engine'!$C$2:$C$622,0)),"",INDEX('Compliance Database'!$I$2:$I$622,MATCH(440,'Transfer Engine'!$C$2:$C$622,0)))</f>
        <v/>
      </c>
      <c r="J449" s="8">
        <f>IF(ISNA(MATCH(440,'Transfer Engine'!$C$2:$C$622,0)),"",INDEX('Compliance Database'!$J$2:$J$622,MATCH(440,'Transfer Engine'!$C$2:$C$622,0)))</f>
        <v/>
      </c>
      <c r="K449">
        <f>IF(ISNA(MATCH(440,'Transfer Engine'!$C$2:$C$622,0)),"",INDEX('Compliance Database'!$K$2:$K$622,MATCH(440,'Transfer Engine'!$C$2:$C$622,0)))</f>
        <v/>
      </c>
      <c r="L449" s="8">
        <f>IF(ISNA(MATCH(440,'Transfer Engine'!$C$2:$C$622,0)),"",INDEX('Compliance Database'!$L$2:$L$622,MATCH(440,'Transfer Engine'!$C$2:$C$622,0)))</f>
        <v/>
      </c>
      <c r="M449" s="8">
        <f>IF(ISNA(MATCH(440,'Transfer Engine'!$C$2:$C$622,0)),"",INDEX('Compliance Database'!$M$2:$M$622,MATCH(440,'Transfer Engine'!$C$2:$C$622,0)))</f>
        <v/>
      </c>
      <c r="N449" s="8">
        <f>IF(ISNA(MATCH(440,'Transfer Engine'!$C$2:$C$622,0)),"",INDEX('Compliance Database'!$N$2:$N$622,MATCH(440,'Transfer Engine'!$C$2:$C$622,0)))</f>
        <v/>
      </c>
      <c r="O449" s="8">
        <f>IF(ISNA(MATCH(440,'Transfer Engine'!$C$2:$C$622,0)),"",INDEX('Compliance Database'!$O$2:$O$622,MATCH(440,'Transfer Engine'!$C$2:$C$622,0)))</f>
        <v/>
      </c>
    </row>
    <row r="450">
      <c r="A450">
        <f>IF(ISNA(MATCH(441,'Transfer Engine'!$C$2:$C$622,0)),"",INDEX('Compliance Database'!$A$2:$A$622,MATCH(441,'Transfer Engine'!$C$2:$C$622,0)))</f>
        <v/>
      </c>
      <c r="B450">
        <f>IF(ISNA(MATCH(441,'Transfer Engine'!$C$2:$C$622,0)),"",INDEX('Compliance Database'!$B$2:$B$622,MATCH(441,'Transfer Engine'!$C$2:$C$622,0)))</f>
        <v/>
      </c>
      <c r="C450">
        <f>IF(ISNA(MATCH(441,'Transfer Engine'!$C$2:$C$622,0)),"",INDEX('Compliance Database'!$C$2:$C$622,MATCH(441,'Transfer Engine'!$C$2:$C$622,0)))</f>
        <v/>
      </c>
      <c r="D450" s="8">
        <f>IF(ISNA(MATCH(441,'Transfer Engine'!$C$2:$C$622,0)),"",INDEX('Compliance Database'!$D$2:$D$622,MATCH(441,'Transfer Engine'!$C$2:$C$622,0)))</f>
        <v/>
      </c>
      <c r="E450">
        <f>IF(ISNA(MATCH(441,'Transfer Engine'!$C$2:$C$622,0)),"",INDEX('Compliance Database'!$E$2:$E$622,MATCH(441,'Transfer Engine'!$C$2:$C$622,0)))</f>
        <v/>
      </c>
      <c r="F450">
        <f>IF(ISNA(MATCH(441,'Transfer Engine'!$C$2:$C$622,0)),"",INDEX('Compliance Database'!$F$2:$F$622,MATCH(441,'Transfer Engine'!$C$2:$C$622,0)))</f>
        <v/>
      </c>
      <c r="G450">
        <f>IF(ISNA(MATCH(441,'Transfer Engine'!$C$2:$C$622,0)),"",INDEX('Compliance Database'!$G$2:$G$622,MATCH(441,'Transfer Engine'!$C$2:$C$622,0)))</f>
        <v/>
      </c>
      <c r="H450">
        <f>IF(ISNA(MATCH(441,'Transfer Engine'!$C$2:$C$622,0)),"",INDEX('Compliance Database'!$H$2:$H$622,MATCH(441,'Transfer Engine'!$C$2:$C$622,0)))</f>
        <v/>
      </c>
      <c r="I450" s="8">
        <f>IF(ISNA(MATCH(441,'Transfer Engine'!$C$2:$C$622,0)),"",INDEX('Compliance Database'!$I$2:$I$622,MATCH(441,'Transfer Engine'!$C$2:$C$622,0)))</f>
        <v/>
      </c>
      <c r="J450" s="8">
        <f>IF(ISNA(MATCH(441,'Transfer Engine'!$C$2:$C$622,0)),"",INDEX('Compliance Database'!$J$2:$J$622,MATCH(441,'Transfer Engine'!$C$2:$C$622,0)))</f>
        <v/>
      </c>
      <c r="K450">
        <f>IF(ISNA(MATCH(441,'Transfer Engine'!$C$2:$C$622,0)),"",INDEX('Compliance Database'!$K$2:$K$622,MATCH(441,'Transfer Engine'!$C$2:$C$622,0)))</f>
        <v/>
      </c>
      <c r="L450" s="8">
        <f>IF(ISNA(MATCH(441,'Transfer Engine'!$C$2:$C$622,0)),"",INDEX('Compliance Database'!$L$2:$L$622,MATCH(441,'Transfer Engine'!$C$2:$C$622,0)))</f>
        <v/>
      </c>
      <c r="M450" s="8">
        <f>IF(ISNA(MATCH(441,'Transfer Engine'!$C$2:$C$622,0)),"",INDEX('Compliance Database'!$M$2:$M$622,MATCH(441,'Transfer Engine'!$C$2:$C$622,0)))</f>
        <v/>
      </c>
      <c r="N450" s="8">
        <f>IF(ISNA(MATCH(441,'Transfer Engine'!$C$2:$C$622,0)),"",INDEX('Compliance Database'!$N$2:$N$622,MATCH(441,'Transfer Engine'!$C$2:$C$622,0)))</f>
        <v/>
      </c>
      <c r="O450" s="8">
        <f>IF(ISNA(MATCH(441,'Transfer Engine'!$C$2:$C$622,0)),"",INDEX('Compliance Database'!$O$2:$O$622,MATCH(441,'Transfer Engine'!$C$2:$C$622,0)))</f>
        <v/>
      </c>
    </row>
    <row r="451">
      <c r="A451">
        <f>IF(ISNA(MATCH(442,'Transfer Engine'!$C$2:$C$622,0)),"",INDEX('Compliance Database'!$A$2:$A$622,MATCH(442,'Transfer Engine'!$C$2:$C$622,0)))</f>
        <v/>
      </c>
      <c r="B451">
        <f>IF(ISNA(MATCH(442,'Transfer Engine'!$C$2:$C$622,0)),"",INDEX('Compliance Database'!$B$2:$B$622,MATCH(442,'Transfer Engine'!$C$2:$C$622,0)))</f>
        <v/>
      </c>
      <c r="C451">
        <f>IF(ISNA(MATCH(442,'Transfer Engine'!$C$2:$C$622,0)),"",INDEX('Compliance Database'!$C$2:$C$622,MATCH(442,'Transfer Engine'!$C$2:$C$622,0)))</f>
        <v/>
      </c>
      <c r="D451" s="8">
        <f>IF(ISNA(MATCH(442,'Transfer Engine'!$C$2:$C$622,0)),"",INDEX('Compliance Database'!$D$2:$D$622,MATCH(442,'Transfer Engine'!$C$2:$C$622,0)))</f>
        <v/>
      </c>
      <c r="E451">
        <f>IF(ISNA(MATCH(442,'Transfer Engine'!$C$2:$C$622,0)),"",INDEX('Compliance Database'!$E$2:$E$622,MATCH(442,'Transfer Engine'!$C$2:$C$622,0)))</f>
        <v/>
      </c>
      <c r="F451">
        <f>IF(ISNA(MATCH(442,'Transfer Engine'!$C$2:$C$622,0)),"",INDEX('Compliance Database'!$F$2:$F$622,MATCH(442,'Transfer Engine'!$C$2:$C$622,0)))</f>
        <v/>
      </c>
      <c r="G451">
        <f>IF(ISNA(MATCH(442,'Transfer Engine'!$C$2:$C$622,0)),"",INDEX('Compliance Database'!$G$2:$G$622,MATCH(442,'Transfer Engine'!$C$2:$C$622,0)))</f>
        <v/>
      </c>
      <c r="H451">
        <f>IF(ISNA(MATCH(442,'Transfer Engine'!$C$2:$C$622,0)),"",INDEX('Compliance Database'!$H$2:$H$622,MATCH(442,'Transfer Engine'!$C$2:$C$622,0)))</f>
        <v/>
      </c>
      <c r="I451" s="8">
        <f>IF(ISNA(MATCH(442,'Transfer Engine'!$C$2:$C$622,0)),"",INDEX('Compliance Database'!$I$2:$I$622,MATCH(442,'Transfer Engine'!$C$2:$C$622,0)))</f>
        <v/>
      </c>
      <c r="J451" s="8">
        <f>IF(ISNA(MATCH(442,'Transfer Engine'!$C$2:$C$622,0)),"",INDEX('Compliance Database'!$J$2:$J$622,MATCH(442,'Transfer Engine'!$C$2:$C$622,0)))</f>
        <v/>
      </c>
      <c r="K451">
        <f>IF(ISNA(MATCH(442,'Transfer Engine'!$C$2:$C$622,0)),"",INDEX('Compliance Database'!$K$2:$K$622,MATCH(442,'Transfer Engine'!$C$2:$C$622,0)))</f>
        <v/>
      </c>
      <c r="L451" s="8">
        <f>IF(ISNA(MATCH(442,'Transfer Engine'!$C$2:$C$622,0)),"",INDEX('Compliance Database'!$L$2:$L$622,MATCH(442,'Transfer Engine'!$C$2:$C$622,0)))</f>
        <v/>
      </c>
      <c r="M451" s="8">
        <f>IF(ISNA(MATCH(442,'Transfer Engine'!$C$2:$C$622,0)),"",INDEX('Compliance Database'!$M$2:$M$622,MATCH(442,'Transfer Engine'!$C$2:$C$622,0)))</f>
        <v/>
      </c>
      <c r="N451" s="8">
        <f>IF(ISNA(MATCH(442,'Transfer Engine'!$C$2:$C$622,0)),"",INDEX('Compliance Database'!$N$2:$N$622,MATCH(442,'Transfer Engine'!$C$2:$C$622,0)))</f>
        <v/>
      </c>
      <c r="O451" s="8">
        <f>IF(ISNA(MATCH(442,'Transfer Engine'!$C$2:$C$622,0)),"",INDEX('Compliance Database'!$O$2:$O$622,MATCH(442,'Transfer Engine'!$C$2:$C$622,0)))</f>
        <v/>
      </c>
    </row>
    <row r="452">
      <c r="A452">
        <f>IF(ISNA(MATCH(443,'Transfer Engine'!$C$2:$C$622,0)),"",INDEX('Compliance Database'!$A$2:$A$622,MATCH(443,'Transfer Engine'!$C$2:$C$622,0)))</f>
        <v/>
      </c>
      <c r="B452">
        <f>IF(ISNA(MATCH(443,'Transfer Engine'!$C$2:$C$622,0)),"",INDEX('Compliance Database'!$B$2:$B$622,MATCH(443,'Transfer Engine'!$C$2:$C$622,0)))</f>
        <v/>
      </c>
      <c r="C452">
        <f>IF(ISNA(MATCH(443,'Transfer Engine'!$C$2:$C$622,0)),"",INDEX('Compliance Database'!$C$2:$C$622,MATCH(443,'Transfer Engine'!$C$2:$C$622,0)))</f>
        <v/>
      </c>
      <c r="D452" s="8">
        <f>IF(ISNA(MATCH(443,'Transfer Engine'!$C$2:$C$622,0)),"",INDEX('Compliance Database'!$D$2:$D$622,MATCH(443,'Transfer Engine'!$C$2:$C$622,0)))</f>
        <v/>
      </c>
      <c r="E452">
        <f>IF(ISNA(MATCH(443,'Transfer Engine'!$C$2:$C$622,0)),"",INDEX('Compliance Database'!$E$2:$E$622,MATCH(443,'Transfer Engine'!$C$2:$C$622,0)))</f>
        <v/>
      </c>
      <c r="F452">
        <f>IF(ISNA(MATCH(443,'Transfer Engine'!$C$2:$C$622,0)),"",INDEX('Compliance Database'!$F$2:$F$622,MATCH(443,'Transfer Engine'!$C$2:$C$622,0)))</f>
        <v/>
      </c>
      <c r="G452">
        <f>IF(ISNA(MATCH(443,'Transfer Engine'!$C$2:$C$622,0)),"",INDEX('Compliance Database'!$G$2:$G$622,MATCH(443,'Transfer Engine'!$C$2:$C$622,0)))</f>
        <v/>
      </c>
      <c r="H452">
        <f>IF(ISNA(MATCH(443,'Transfer Engine'!$C$2:$C$622,0)),"",INDEX('Compliance Database'!$H$2:$H$622,MATCH(443,'Transfer Engine'!$C$2:$C$622,0)))</f>
        <v/>
      </c>
      <c r="I452" s="8">
        <f>IF(ISNA(MATCH(443,'Transfer Engine'!$C$2:$C$622,0)),"",INDEX('Compliance Database'!$I$2:$I$622,MATCH(443,'Transfer Engine'!$C$2:$C$622,0)))</f>
        <v/>
      </c>
      <c r="J452" s="8">
        <f>IF(ISNA(MATCH(443,'Transfer Engine'!$C$2:$C$622,0)),"",INDEX('Compliance Database'!$J$2:$J$622,MATCH(443,'Transfer Engine'!$C$2:$C$622,0)))</f>
        <v/>
      </c>
      <c r="K452">
        <f>IF(ISNA(MATCH(443,'Transfer Engine'!$C$2:$C$622,0)),"",INDEX('Compliance Database'!$K$2:$K$622,MATCH(443,'Transfer Engine'!$C$2:$C$622,0)))</f>
        <v/>
      </c>
      <c r="L452" s="8">
        <f>IF(ISNA(MATCH(443,'Transfer Engine'!$C$2:$C$622,0)),"",INDEX('Compliance Database'!$L$2:$L$622,MATCH(443,'Transfer Engine'!$C$2:$C$622,0)))</f>
        <v/>
      </c>
      <c r="M452" s="8">
        <f>IF(ISNA(MATCH(443,'Transfer Engine'!$C$2:$C$622,0)),"",INDEX('Compliance Database'!$M$2:$M$622,MATCH(443,'Transfer Engine'!$C$2:$C$622,0)))</f>
        <v/>
      </c>
      <c r="N452" s="8">
        <f>IF(ISNA(MATCH(443,'Transfer Engine'!$C$2:$C$622,0)),"",INDEX('Compliance Database'!$N$2:$N$622,MATCH(443,'Transfer Engine'!$C$2:$C$622,0)))</f>
        <v/>
      </c>
      <c r="O452" s="8">
        <f>IF(ISNA(MATCH(443,'Transfer Engine'!$C$2:$C$622,0)),"",INDEX('Compliance Database'!$O$2:$O$622,MATCH(443,'Transfer Engine'!$C$2:$C$622,0)))</f>
        <v/>
      </c>
    </row>
    <row r="453">
      <c r="A453">
        <f>IF(ISNA(MATCH(444,'Transfer Engine'!$C$2:$C$622,0)),"",INDEX('Compliance Database'!$A$2:$A$622,MATCH(444,'Transfer Engine'!$C$2:$C$622,0)))</f>
        <v/>
      </c>
      <c r="B453">
        <f>IF(ISNA(MATCH(444,'Transfer Engine'!$C$2:$C$622,0)),"",INDEX('Compliance Database'!$B$2:$B$622,MATCH(444,'Transfer Engine'!$C$2:$C$622,0)))</f>
        <v/>
      </c>
      <c r="C453">
        <f>IF(ISNA(MATCH(444,'Transfer Engine'!$C$2:$C$622,0)),"",INDEX('Compliance Database'!$C$2:$C$622,MATCH(444,'Transfer Engine'!$C$2:$C$622,0)))</f>
        <v/>
      </c>
      <c r="D453" s="8">
        <f>IF(ISNA(MATCH(444,'Transfer Engine'!$C$2:$C$622,0)),"",INDEX('Compliance Database'!$D$2:$D$622,MATCH(444,'Transfer Engine'!$C$2:$C$622,0)))</f>
        <v/>
      </c>
      <c r="E453">
        <f>IF(ISNA(MATCH(444,'Transfer Engine'!$C$2:$C$622,0)),"",INDEX('Compliance Database'!$E$2:$E$622,MATCH(444,'Transfer Engine'!$C$2:$C$622,0)))</f>
        <v/>
      </c>
      <c r="F453">
        <f>IF(ISNA(MATCH(444,'Transfer Engine'!$C$2:$C$622,0)),"",INDEX('Compliance Database'!$F$2:$F$622,MATCH(444,'Transfer Engine'!$C$2:$C$622,0)))</f>
        <v/>
      </c>
      <c r="G453">
        <f>IF(ISNA(MATCH(444,'Transfer Engine'!$C$2:$C$622,0)),"",INDEX('Compliance Database'!$G$2:$G$622,MATCH(444,'Transfer Engine'!$C$2:$C$622,0)))</f>
        <v/>
      </c>
      <c r="H453">
        <f>IF(ISNA(MATCH(444,'Transfer Engine'!$C$2:$C$622,0)),"",INDEX('Compliance Database'!$H$2:$H$622,MATCH(444,'Transfer Engine'!$C$2:$C$622,0)))</f>
        <v/>
      </c>
      <c r="I453" s="8">
        <f>IF(ISNA(MATCH(444,'Transfer Engine'!$C$2:$C$622,0)),"",INDEX('Compliance Database'!$I$2:$I$622,MATCH(444,'Transfer Engine'!$C$2:$C$622,0)))</f>
        <v/>
      </c>
      <c r="J453" s="8">
        <f>IF(ISNA(MATCH(444,'Transfer Engine'!$C$2:$C$622,0)),"",INDEX('Compliance Database'!$J$2:$J$622,MATCH(444,'Transfer Engine'!$C$2:$C$622,0)))</f>
        <v/>
      </c>
      <c r="K453">
        <f>IF(ISNA(MATCH(444,'Transfer Engine'!$C$2:$C$622,0)),"",INDEX('Compliance Database'!$K$2:$K$622,MATCH(444,'Transfer Engine'!$C$2:$C$622,0)))</f>
        <v/>
      </c>
      <c r="L453" s="8">
        <f>IF(ISNA(MATCH(444,'Transfer Engine'!$C$2:$C$622,0)),"",INDEX('Compliance Database'!$L$2:$L$622,MATCH(444,'Transfer Engine'!$C$2:$C$622,0)))</f>
        <v/>
      </c>
      <c r="M453" s="8">
        <f>IF(ISNA(MATCH(444,'Transfer Engine'!$C$2:$C$622,0)),"",INDEX('Compliance Database'!$M$2:$M$622,MATCH(444,'Transfer Engine'!$C$2:$C$622,0)))</f>
        <v/>
      </c>
      <c r="N453" s="8">
        <f>IF(ISNA(MATCH(444,'Transfer Engine'!$C$2:$C$622,0)),"",INDEX('Compliance Database'!$N$2:$N$622,MATCH(444,'Transfer Engine'!$C$2:$C$622,0)))</f>
        <v/>
      </c>
      <c r="O453" s="8">
        <f>IF(ISNA(MATCH(444,'Transfer Engine'!$C$2:$C$622,0)),"",INDEX('Compliance Database'!$O$2:$O$622,MATCH(444,'Transfer Engine'!$C$2:$C$622,0)))</f>
        <v/>
      </c>
    </row>
    <row r="454">
      <c r="A454">
        <f>IF(ISNA(MATCH(445,'Transfer Engine'!$C$2:$C$622,0)),"",INDEX('Compliance Database'!$A$2:$A$622,MATCH(445,'Transfer Engine'!$C$2:$C$622,0)))</f>
        <v/>
      </c>
      <c r="B454">
        <f>IF(ISNA(MATCH(445,'Transfer Engine'!$C$2:$C$622,0)),"",INDEX('Compliance Database'!$B$2:$B$622,MATCH(445,'Transfer Engine'!$C$2:$C$622,0)))</f>
        <v/>
      </c>
      <c r="C454">
        <f>IF(ISNA(MATCH(445,'Transfer Engine'!$C$2:$C$622,0)),"",INDEX('Compliance Database'!$C$2:$C$622,MATCH(445,'Transfer Engine'!$C$2:$C$622,0)))</f>
        <v/>
      </c>
      <c r="D454" s="8">
        <f>IF(ISNA(MATCH(445,'Transfer Engine'!$C$2:$C$622,0)),"",INDEX('Compliance Database'!$D$2:$D$622,MATCH(445,'Transfer Engine'!$C$2:$C$622,0)))</f>
        <v/>
      </c>
      <c r="E454">
        <f>IF(ISNA(MATCH(445,'Transfer Engine'!$C$2:$C$622,0)),"",INDEX('Compliance Database'!$E$2:$E$622,MATCH(445,'Transfer Engine'!$C$2:$C$622,0)))</f>
        <v/>
      </c>
      <c r="F454">
        <f>IF(ISNA(MATCH(445,'Transfer Engine'!$C$2:$C$622,0)),"",INDEX('Compliance Database'!$F$2:$F$622,MATCH(445,'Transfer Engine'!$C$2:$C$622,0)))</f>
        <v/>
      </c>
      <c r="G454">
        <f>IF(ISNA(MATCH(445,'Transfer Engine'!$C$2:$C$622,0)),"",INDEX('Compliance Database'!$G$2:$G$622,MATCH(445,'Transfer Engine'!$C$2:$C$622,0)))</f>
        <v/>
      </c>
      <c r="H454">
        <f>IF(ISNA(MATCH(445,'Transfer Engine'!$C$2:$C$622,0)),"",INDEX('Compliance Database'!$H$2:$H$622,MATCH(445,'Transfer Engine'!$C$2:$C$622,0)))</f>
        <v/>
      </c>
      <c r="I454" s="8">
        <f>IF(ISNA(MATCH(445,'Transfer Engine'!$C$2:$C$622,0)),"",INDEX('Compliance Database'!$I$2:$I$622,MATCH(445,'Transfer Engine'!$C$2:$C$622,0)))</f>
        <v/>
      </c>
      <c r="J454" s="8">
        <f>IF(ISNA(MATCH(445,'Transfer Engine'!$C$2:$C$622,0)),"",INDEX('Compliance Database'!$J$2:$J$622,MATCH(445,'Transfer Engine'!$C$2:$C$622,0)))</f>
        <v/>
      </c>
      <c r="K454">
        <f>IF(ISNA(MATCH(445,'Transfer Engine'!$C$2:$C$622,0)),"",INDEX('Compliance Database'!$K$2:$K$622,MATCH(445,'Transfer Engine'!$C$2:$C$622,0)))</f>
        <v/>
      </c>
      <c r="L454" s="8">
        <f>IF(ISNA(MATCH(445,'Transfer Engine'!$C$2:$C$622,0)),"",INDEX('Compliance Database'!$L$2:$L$622,MATCH(445,'Transfer Engine'!$C$2:$C$622,0)))</f>
        <v/>
      </c>
      <c r="M454" s="8">
        <f>IF(ISNA(MATCH(445,'Transfer Engine'!$C$2:$C$622,0)),"",INDEX('Compliance Database'!$M$2:$M$622,MATCH(445,'Transfer Engine'!$C$2:$C$622,0)))</f>
        <v/>
      </c>
      <c r="N454" s="8">
        <f>IF(ISNA(MATCH(445,'Transfer Engine'!$C$2:$C$622,0)),"",INDEX('Compliance Database'!$N$2:$N$622,MATCH(445,'Transfer Engine'!$C$2:$C$622,0)))</f>
        <v/>
      </c>
      <c r="O454" s="8">
        <f>IF(ISNA(MATCH(445,'Transfer Engine'!$C$2:$C$622,0)),"",INDEX('Compliance Database'!$O$2:$O$622,MATCH(445,'Transfer Engine'!$C$2:$C$622,0)))</f>
        <v/>
      </c>
    </row>
    <row r="455">
      <c r="A455">
        <f>IF(ISNA(MATCH(446,'Transfer Engine'!$C$2:$C$622,0)),"",INDEX('Compliance Database'!$A$2:$A$622,MATCH(446,'Transfer Engine'!$C$2:$C$622,0)))</f>
        <v/>
      </c>
      <c r="B455">
        <f>IF(ISNA(MATCH(446,'Transfer Engine'!$C$2:$C$622,0)),"",INDEX('Compliance Database'!$B$2:$B$622,MATCH(446,'Transfer Engine'!$C$2:$C$622,0)))</f>
        <v/>
      </c>
      <c r="C455">
        <f>IF(ISNA(MATCH(446,'Transfer Engine'!$C$2:$C$622,0)),"",INDEX('Compliance Database'!$C$2:$C$622,MATCH(446,'Transfer Engine'!$C$2:$C$622,0)))</f>
        <v/>
      </c>
      <c r="D455" s="8">
        <f>IF(ISNA(MATCH(446,'Transfer Engine'!$C$2:$C$622,0)),"",INDEX('Compliance Database'!$D$2:$D$622,MATCH(446,'Transfer Engine'!$C$2:$C$622,0)))</f>
        <v/>
      </c>
      <c r="E455">
        <f>IF(ISNA(MATCH(446,'Transfer Engine'!$C$2:$C$622,0)),"",INDEX('Compliance Database'!$E$2:$E$622,MATCH(446,'Transfer Engine'!$C$2:$C$622,0)))</f>
        <v/>
      </c>
      <c r="F455">
        <f>IF(ISNA(MATCH(446,'Transfer Engine'!$C$2:$C$622,0)),"",INDEX('Compliance Database'!$F$2:$F$622,MATCH(446,'Transfer Engine'!$C$2:$C$622,0)))</f>
        <v/>
      </c>
      <c r="G455">
        <f>IF(ISNA(MATCH(446,'Transfer Engine'!$C$2:$C$622,0)),"",INDEX('Compliance Database'!$G$2:$G$622,MATCH(446,'Transfer Engine'!$C$2:$C$622,0)))</f>
        <v/>
      </c>
      <c r="H455">
        <f>IF(ISNA(MATCH(446,'Transfer Engine'!$C$2:$C$622,0)),"",INDEX('Compliance Database'!$H$2:$H$622,MATCH(446,'Transfer Engine'!$C$2:$C$622,0)))</f>
        <v/>
      </c>
      <c r="I455" s="8">
        <f>IF(ISNA(MATCH(446,'Transfer Engine'!$C$2:$C$622,0)),"",INDEX('Compliance Database'!$I$2:$I$622,MATCH(446,'Transfer Engine'!$C$2:$C$622,0)))</f>
        <v/>
      </c>
      <c r="J455" s="8">
        <f>IF(ISNA(MATCH(446,'Transfer Engine'!$C$2:$C$622,0)),"",INDEX('Compliance Database'!$J$2:$J$622,MATCH(446,'Transfer Engine'!$C$2:$C$622,0)))</f>
        <v/>
      </c>
      <c r="K455">
        <f>IF(ISNA(MATCH(446,'Transfer Engine'!$C$2:$C$622,0)),"",INDEX('Compliance Database'!$K$2:$K$622,MATCH(446,'Transfer Engine'!$C$2:$C$622,0)))</f>
        <v/>
      </c>
      <c r="L455" s="8">
        <f>IF(ISNA(MATCH(446,'Transfer Engine'!$C$2:$C$622,0)),"",INDEX('Compliance Database'!$L$2:$L$622,MATCH(446,'Transfer Engine'!$C$2:$C$622,0)))</f>
        <v/>
      </c>
      <c r="M455" s="8">
        <f>IF(ISNA(MATCH(446,'Transfer Engine'!$C$2:$C$622,0)),"",INDEX('Compliance Database'!$M$2:$M$622,MATCH(446,'Transfer Engine'!$C$2:$C$622,0)))</f>
        <v/>
      </c>
      <c r="N455" s="8">
        <f>IF(ISNA(MATCH(446,'Transfer Engine'!$C$2:$C$622,0)),"",INDEX('Compliance Database'!$N$2:$N$622,MATCH(446,'Transfer Engine'!$C$2:$C$622,0)))</f>
        <v/>
      </c>
      <c r="O455" s="8">
        <f>IF(ISNA(MATCH(446,'Transfer Engine'!$C$2:$C$622,0)),"",INDEX('Compliance Database'!$O$2:$O$622,MATCH(446,'Transfer Engine'!$C$2:$C$622,0)))</f>
        <v/>
      </c>
    </row>
    <row r="456">
      <c r="A456">
        <f>IF(ISNA(MATCH(447,'Transfer Engine'!$C$2:$C$622,0)),"",INDEX('Compliance Database'!$A$2:$A$622,MATCH(447,'Transfer Engine'!$C$2:$C$622,0)))</f>
        <v/>
      </c>
      <c r="B456">
        <f>IF(ISNA(MATCH(447,'Transfer Engine'!$C$2:$C$622,0)),"",INDEX('Compliance Database'!$B$2:$B$622,MATCH(447,'Transfer Engine'!$C$2:$C$622,0)))</f>
        <v/>
      </c>
      <c r="C456">
        <f>IF(ISNA(MATCH(447,'Transfer Engine'!$C$2:$C$622,0)),"",INDEX('Compliance Database'!$C$2:$C$622,MATCH(447,'Transfer Engine'!$C$2:$C$622,0)))</f>
        <v/>
      </c>
      <c r="D456" s="8">
        <f>IF(ISNA(MATCH(447,'Transfer Engine'!$C$2:$C$622,0)),"",INDEX('Compliance Database'!$D$2:$D$622,MATCH(447,'Transfer Engine'!$C$2:$C$622,0)))</f>
        <v/>
      </c>
      <c r="E456">
        <f>IF(ISNA(MATCH(447,'Transfer Engine'!$C$2:$C$622,0)),"",INDEX('Compliance Database'!$E$2:$E$622,MATCH(447,'Transfer Engine'!$C$2:$C$622,0)))</f>
        <v/>
      </c>
      <c r="F456">
        <f>IF(ISNA(MATCH(447,'Transfer Engine'!$C$2:$C$622,0)),"",INDEX('Compliance Database'!$F$2:$F$622,MATCH(447,'Transfer Engine'!$C$2:$C$622,0)))</f>
        <v/>
      </c>
      <c r="G456">
        <f>IF(ISNA(MATCH(447,'Transfer Engine'!$C$2:$C$622,0)),"",INDEX('Compliance Database'!$G$2:$G$622,MATCH(447,'Transfer Engine'!$C$2:$C$622,0)))</f>
        <v/>
      </c>
      <c r="H456">
        <f>IF(ISNA(MATCH(447,'Transfer Engine'!$C$2:$C$622,0)),"",INDEX('Compliance Database'!$H$2:$H$622,MATCH(447,'Transfer Engine'!$C$2:$C$622,0)))</f>
        <v/>
      </c>
      <c r="I456" s="8">
        <f>IF(ISNA(MATCH(447,'Transfer Engine'!$C$2:$C$622,0)),"",INDEX('Compliance Database'!$I$2:$I$622,MATCH(447,'Transfer Engine'!$C$2:$C$622,0)))</f>
        <v/>
      </c>
      <c r="J456" s="8">
        <f>IF(ISNA(MATCH(447,'Transfer Engine'!$C$2:$C$622,0)),"",INDEX('Compliance Database'!$J$2:$J$622,MATCH(447,'Transfer Engine'!$C$2:$C$622,0)))</f>
        <v/>
      </c>
      <c r="K456">
        <f>IF(ISNA(MATCH(447,'Transfer Engine'!$C$2:$C$622,0)),"",INDEX('Compliance Database'!$K$2:$K$622,MATCH(447,'Transfer Engine'!$C$2:$C$622,0)))</f>
        <v/>
      </c>
      <c r="L456" s="8">
        <f>IF(ISNA(MATCH(447,'Transfer Engine'!$C$2:$C$622,0)),"",INDEX('Compliance Database'!$L$2:$L$622,MATCH(447,'Transfer Engine'!$C$2:$C$622,0)))</f>
        <v/>
      </c>
      <c r="M456" s="8">
        <f>IF(ISNA(MATCH(447,'Transfer Engine'!$C$2:$C$622,0)),"",INDEX('Compliance Database'!$M$2:$M$622,MATCH(447,'Transfer Engine'!$C$2:$C$622,0)))</f>
        <v/>
      </c>
      <c r="N456" s="8">
        <f>IF(ISNA(MATCH(447,'Transfer Engine'!$C$2:$C$622,0)),"",INDEX('Compliance Database'!$N$2:$N$622,MATCH(447,'Transfer Engine'!$C$2:$C$622,0)))</f>
        <v/>
      </c>
      <c r="O456" s="8">
        <f>IF(ISNA(MATCH(447,'Transfer Engine'!$C$2:$C$622,0)),"",INDEX('Compliance Database'!$O$2:$O$622,MATCH(447,'Transfer Engine'!$C$2:$C$622,0)))</f>
        <v/>
      </c>
    </row>
    <row r="457">
      <c r="A457">
        <f>IF(ISNA(MATCH(448,'Transfer Engine'!$C$2:$C$622,0)),"",INDEX('Compliance Database'!$A$2:$A$622,MATCH(448,'Transfer Engine'!$C$2:$C$622,0)))</f>
        <v/>
      </c>
      <c r="B457">
        <f>IF(ISNA(MATCH(448,'Transfer Engine'!$C$2:$C$622,0)),"",INDEX('Compliance Database'!$B$2:$B$622,MATCH(448,'Transfer Engine'!$C$2:$C$622,0)))</f>
        <v/>
      </c>
      <c r="C457">
        <f>IF(ISNA(MATCH(448,'Transfer Engine'!$C$2:$C$622,0)),"",INDEX('Compliance Database'!$C$2:$C$622,MATCH(448,'Transfer Engine'!$C$2:$C$622,0)))</f>
        <v/>
      </c>
      <c r="D457" s="8">
        <f>IF(ISNA(MATCH(448,'Transfer Engine'!$C$2:$C$622,0)),"",INDEX('Compliance Database'!$D$2:$D$622,MATCH(448,'Transfer Engine'!$C$2:$C$622,0)))</f>
        <v/>
      </c>
      <c r="E457">
        <f>IF(ISNA(MATCH(448,'Transfer Engine'!$C$2:$C$622,0)),"",INDEX('Compliance Database'!$E$2:$E$622,MATCH(448,'Transfer Engine'!$C$2:$C$622,0)))</f>
        <v/>
      </c>
      <c r="F457">
        <f>IF(ISNA(MATCH(448,'Transfer Engine'!$C$2:$C$622,0)),"",INDEX('Compliance Database'!$F$2:$F$622,MATCH(448,'Transfer Engine'!$C$2:$C$622,0)))</f>
        <v/>
      </c>
      <c r="G457">
        <f>IF(ISNA(MATCH(448,'Transfer Engine'!$C$2:$C$622,0)),"",INDEX('Compliance Database'!$G$2:$G$622,MATCH(448,'Transfer Engine'!$C$2:$C$622,0)))</f>
        <v/>
      </c>
      <c r="H457">
        <f>IF(ISNA(MATCH(448,'Transfer Engine'!$C$2:$C$622,0)),"",INDEX('Compliance Database'!$H$2:$H$622,MATCH(448,'Transfer Engine'!$C$2:$C$622,0)))</f>
        <v/>
      </c>
      <c r="I457" s="8">
        <f>IF(ISNA(MATCH(448,'Transfer Engine'!$C$2:$C$622,0)),"",INDEX('Compliance Database'!$I$2:$I$622,MATCH(448,'Transfer Engine'!$C$2:$C$622,0)))</f>
        <v/>
      </c>
      <c r="J457" s="8">
        <f>IF(ISNA(MATCH(448,'Transfer Engine'!$C$2:$C$622,0)),"",INDEX('Compliance Database'!$J$2:$J$622,MATCH(448,'Transfer Engine'!$C$2:$C$622,0)))</f>
        <v/>
      </c>
      <c r="K457">
        <f>IF(ISNA(MATCH(448,'Transfer Engine'!$C$2:$C$622,0)),"",INDEX('Compliance Database'!$K$2:$K$622,MATCH(448,'Transfer Engine'!$C$2:$C$622,0)))</f>
        <v/>
      </c>
      <c r="L457" s="8">
        <f>IF(ISNA(MATCH(448,'Transfer Engine'!$C$2:$C$622,0)),"",INDEX('Compliance Database'!$L$2:$L$622,MATCH(448,'Transfer Engine'!$C$2:$C$622,0)))</f>
        <v/>
      </c>
      <c r="M457" s="8">
        <f>IF(ISNA(MATCH(448,'Transfer Engine'!$C$2:$C$622,0)),"",INDEX('Compliance Database'!$M$2:$M$622,MATCH(448,'Transfer Engine'!$C$2:$C$622,0)))</f>
        <v/>
      </c>
      <c r="N457" s="8">
        <f>IF(ISNA(MATCH(448,'Transfer Engine'!$C$2:$C$622,0)),"",INDEX('Compliance Database'!$N$2:$N$622,MATCH(448,'Transfer Engine'!$C$2:$C$622,0)))</f>
        <v/>
      </c>
      <c r="O457" s="8">
        <f>IF(ISNA(MATCH(448,'Transfer Engine'!$C$2:$C$622,0)),"",INDEX('Compliance Database'!$O$2:$O$622,MATCH(448,'Transfer Engine'!$C$2:$C$622,0)))</f>
        <v/>
      </c>
    </row>
    <row r="458">
      <c r="A458">
        <f>IF(ISNA(MATCH(449,'Transfer Engine'!$C$2:$C$622,0)),"",INDEX('Compliance Database'!$A$2:$A$622,MATCH(449,'Transfer Engine'!$C$2:$C$622,0)))</f>
        <v/>
      </c>
      <c r="B458">
        <f>IF(ISNA(MATCH(449,'Transfer Engine'!$C$2:$C$622,0)),"",INDEX('Compliance Database'!$B$2:$B$622,MATCH(449,'Transfer Engine'!$C$2:$C$622,0)))</f>
        <v/>
      </c>
      <c r="C458">
        <f>IF(ISNA(MATCH(449,'Transfer Engine'!$C$2:$C$622,0)),"",INDEX('Compliance Database'!$C$2:$C$622,MATCH(449,'Transfer Engine'!$C$2:$C$622,0)))</f>
        <v/>
      </c>
      <c r="D458" s="8">
        <f>IF(ISNA(MATCH(449,'Transfer Engine'!$C$2:$C$622,0)),"",INDEX('Compliance Database'!$D$2:$D$622,MATCH(449,'Transfer Engine'!$C$2:$C$622,0)))</f>
        <v/>
      </c>
      <c r="E458">
        <f>IF(ISNA(MATCH(449,'Transfer Engine'!$C$2:$C$622,0)),"",INDEX('Compliance Database'!$E$2:$E$622,MATCH(449,'Transfer Engine'!$C$2:$C$622,0)))</f>
        <v/>
      </c>
      <c r="F458">
        <f>IF(ISNA(MATCH(449,'Transfer Engine'!$C$2:$C$622,0)),"",INDEX('Compliance Database'!$F$2:$F$622,MATCH(449,'Transfer Engine'!$C$2:$C$622,0)))</f>
        <v/>
      </c>
      <c r="G458">
        <f>IF(ISNA(MATCH(449,'Transfer Engine'!$C$2:$C$622,0)),"",INDEX('Compliance Database'!$G$2:$G$622,MATCH(449,'Transfer Engine'!$C$2:$C$622,0)))</f>
        <v/>
      </c>
      <c r="H458">
        <f>IF(ISNA(MATCH(449,'Transfer Engine'!$C$2:$C$622,0)),"",INDEX('Compliance Database'!$H$2:$H$622,MATCH(449,'Transfer Engine'!$C$2:$C$622,0)))</f>
        <v/>
      </c>
      <c r="I458" s="8">
        <f>IF(ISNA(MATCH(449,'Transfer Engine'!$C$2:$C$622,0)),"",INDEX('Compliance Database'!$I$2:$I$622,MATCH(449,'Transfer Engine'!$C$2:$C$622,0)))</f>
        <v/>
      </c>
      <c r="J458" s="8">
        <f>IF(ISNA(MATCH(449,'Transfer Engine'!$C$2:$C$622,0)),"",INDEX('Compliance Database'!$J$2:$J$622,MATCH(449,'Transfer Engine'!$C$2:$C$622,0)))</f>
        <v/>
      </c>
      <c r="K458">
        <f>IF(ISNA(MATCH(449,'Transfer Engine'!$C$2:$C$622,0)),"",INDEX('Compliance Database'!$K$2:$K$622,MATCH(449,'Transfer Engine'!$C$2:$C$622,0)))</f>
        <v/>
      </c>
      <c r="L458" s="8">
        <f>IF(ISNA(MATCH(449,'Transfer Engine'!$C$2:$C$622,0)),"",INDEX('Compliance Database'!$L$2:$L$622,MATCH(449,'Transfer Engine'!$C$2:$C$622,0)))</f>
        <v/>
      </c>
      <c r="M458" s="8">
        <f>IF(ISNA(MATCH(449,'Transfer Engine'!$C$2:$C$622,0)),"",INDEX('Compliance Database'!$M$2:$M$622,MATCH(449,'Transfer Engine'!$C$2:$C$622,0)))</f>
        <v/>
      </c>
      <c r="N458" s="8">
        <f>IF(ISNA(MATCH(449,'Transfer Engine'!$C$2:$C$622,0)),"",INDEX('Compliance Database'!$N$2:$N$622,MATCH(449,'Transfer Engine'!$C$2:$C$622,0)))</f>
        <v/>
      </c>
      <c r="O458" s="8">
        <f>IF(ISNA(MATCH(449,'Transfer Engine'!$C$2:$C$622,0)),"",INDEX('Compliance Database'!$O$2:$O$622,MATCH(449,'Transfer Engine'!$C$2:$C$622,0)))</f>
        <v/>
      </c>
    </row>
    <row r="459">
      <c r="A459">
        <f>IF(ISNA(MATCH(450,'Transfer Engine'!$C$2:$C$622,0)),"",INDEX('Compliance Database'!$A$2:$A$622,MATCH(450,'Transfer Engine'!$C$2:$C$622,0)))</f>
        <v/>
      </c>
      <c r="B459">
        <f>IF(ISNA(MATCH(450,'Transfer Engine'!$C$2:$C$622,0)),"",INDEX('Compliance Database'!$B$2:$B$622,MATCH(450,'Transfer Engine'!$C$2:$C$622,0)))</f>
        <v/>
      </c>
      <c r="C459">
        <f>IF(ISNA(MATCH(450,'Transfer Engine'!$C$2:$C$622,0)),"",INDEX('Compliance Database'!$C$2:$C$622,MATCH(450,'Transfer Engine'!$C$2:$C$622,0)))</f>
        <v/>
      </c>
      <c r="D459" s="8">
        <f>IF(ISNA(MATCH(450,'Transfer Engine'!$C$2:$C$622,0)),"",INDEX('Compliance Database'!$D$2:$D$622,MATCH(450,'Transfer Engine'!$C$2:$C$622,0)))</f>
        <v/>
      </c>
      <c r="E459">
        <f>IF(ISNA(MATCH(450,'Transfer Engine'!$C$2:$C$622,0)),"",INDEX('Compliance Database'!$E$2:$E$622,MATCH(450,'Transfer Engine'!$C$2:$C$622,0)))</f>
        <v/>
      </c>
      <c r="F459">
        <f>IF(ISNA(MATCH(450,'Transfer Engine'!$C$2:$C$622,0)),"",INDEX('Compliance Database'!$F$2:$F$622,MATCH(450,'Transfer Engine'!$C$2:$C$622,0)))</f>
        <v/>
      </c>
      <c r="G459">
        <f>IF(ISNA(MATCH(450,'Transfer Engine'!$C$2:$C$622,0)),"",INDEX('Compliance Database'!$G$2:$G$622,MATCH(450,'Transfer Engine'!$C$2:$C$622,0)))</f>
        <v/>
      </c>
      <c r="H459">
        <f>IF(ISNA(MATCH(450,'Transfer Engine'!$C$2:$C$622,0)),"",INDEX('Compliance Database'!$H$2:$H$622,MATCH(450,'Transfer Engine'!$C$2:$C$622,0)))</f>
        <v/>
      </c>
      <c r="I459" s="8">
        <f>IF(ISNA(MATCH(450,'Transfer Engine'!$C$2:$C$622,0)),"",INDEX('Compliance Database'!$I$2:$I$622,MATCH(450,'Transfer Engine'!$C$2:$C$622,0)))</f>
        <v/>
      </c>
      <c r="J459" s="8">
        <f>IF(ISNA(MATCH(450,'Transfer Engine'!$C$2:$C$622,0)),"",INDEX('Compliance Database'!$J$2:$J$622,MATCH(450,'Transfer Engine'!$C$2:$C$622,0)))</f>
        <v/>
      </c>
      <c r="K459">
        <f>IF(ISNA(MATCH(450,'Transfer Engine'!$C$2:$C$622,0)),"",INDEX('Compliance Database'!$K$2:$K$622,MATCH(450,'Transfer Engine'!$C$2:$C$622,0)))</f>
        <v/>
      </c>
      <c r="L459" s="8">
        <f>IF(ISNA(MATCH(450,'Transfer Engine'!$C$2:$C$622,0)),"",INDEX('Compliance Database'!$L$2:$L$622,MATCH(450,'Transfer Engine'!$C$2:$C$622,0)))</f>
        <v/>
      </c>
      <c r="M459" s="8">
        <f>IF(ISNA(MATCH(450,'Transfer Engine'!$C$2:$C$622,0)),"",INDEX('Compliance Database'!$M$2:$M$622,MATCH(450,'Transfer Engine'!$C$2:$C$622,0)))</f>
        <v/>
      </c>
      <c r="N459" s="8">
        <f>IF(ISNA(MATCH(450,'Transfer Engine'!$C$2:$C$622,0)),"",INDEX('Compliance Database'!$N$2:$N$622,MATCH(450,'Transfer Engine'!$C$2:$C$622,0)))</f>
        <v/>
      </c>
      <c r="O459" s="8">
        <f>IF(ISNA(MATCH(450,'Transfer Engine'!$C$2:$C$622,0)),"",INDEX('Compliance Database'!$O$2:$O$622,MATCH(450,'Transfer Engine'!$C$2:$C$622,0)))</f>
        <v/>
      </c>
    </row>
    <row r="460">
      <c r="A460">
        <f>IF(ISNA(MATCH(451,'Transfer Engine'!$C$2:$C$622,0)),"",INDEX('Compliance Database'!$A$2:$A$622,MATCH(451,'Transfer Engine'!$C$2:$C$622,0)))</f>
        <v/>
      </c>
      <c r="B460">
        <f>IF(ISNA(MATCH(451,'Transfer Engine'!$C$2:$C$622,0)),"",INDEX('Compliance Database'!$B$2:$B$622,MATCH(451,'Transfer Engine'!$C$2:$C$622,0)))</f>
        <v/>
      </c>
      <c r="C460">
        <f>IF(ISNA(MATCH(451,'Transfer Engine'!$C$2:$C$622,0)),"",INDEX('Compliance Database'!$C$2:$C$622,MATCH(451,'Transfer Engine'!$C$2:$C$622,0)))</f>
        <v/>
      </c>
      <c r="D460" s="8">
        <f>IF(ISNA(MATCH(451,'Transfer Engine'!$C$2:$C$622,0)),"",INDEX('Compliance Database'!$D$2:$D$622,MATCH(451,'Transfer Engine'!$C$2:$C$622,0)))</f>
        <v/>
      </c>
      <c r="E460">
        <f>IF(ISNA(MATCH(451,'Transfer Engine'!$C$2:$C$622,0)),"",INDEX('Compliance Database'!$E$2:$E$622,MATCH(451,'Transfer Engine'!$C$2:$C$622,0)))</f>
        <v/>
      </c>
      <c r="F460">
        <f>IF(ISNA(MATCH(451,'Transfer Engine'!$C$2:$C$622,0)),"",INDEX('Compliance Database'!$F$2:$F$622,MATCH(451,'Transfer Engine'!$C$2:$C$622,0)))</f>
        <v/>
      </c>
      <c r="G460">
        <f>IF(ISNA(MATCH(451,'Transfer Engine'!$C$2:$C$622,0)),"",INDEX('Compliance Database'!$G$2:$G$622,MATCH(451,'Transfer Engine'!$C$2:$C$622,0)))</f>
        <v/>
      </c>
      <c r="H460">
        <f>IF(ISNA(MATCH(451,'Transfer Engine'!$C$2:$C$622,0)),"",INDEX('Compliance Database'!$H$2:$H$622,MATCH(451,'Transfer Engine'!$C$2:$C$622,0)))</f>
        <v/>
      </c>
      <c r="I460" s="8">
        <f>IF(ISNA(MATCH(451,'Transfer Engine'!$C$2:$C$622,0)),"",INDEX('Compliance Database'!$I$2:$I$622,MATCH(451,'Transfer Engine'!$C$2:$C$622,0)))</f>
        <v/>
      </c>
      <c r="J460" s="8">
        <f>IF(ISNA(MATCH(451,'Transfer Engine'!$C$2:$C$622,0)),"",INDEX('Compliance Database'!$J$2:$J$622,MATCH(451,'Transfer Engine'!$C$2:$C$622,0)))</f>
        <v/>
      </c>
      <c r="K460">
        <f>IF(ISNA(MATCH(451,'Transfer Engine'!$C$2:$C$622,0)),"",INDEX('Compliance Database'!$K$2:$K$622,MATCH(451,'Transfer Engine'!$C$2:$C$622,0)))</f>
        <v/>
      </c>
      <c r="L460" s="8">
        <f>IF(ISNA(MATCH(451,'Transfer Engine'!$C$2:$C$622,0)),"",INDEX('Compliance Database'!$L$2:$L$622,MATCH(451,'Transfer Engine'!$C$2:$C$622,0)))</f>
        <v/>
      </c>
      <c r="M460" s="8">
        <f>IF(ISNA(MATCH(451,'Transfer Engine'!$C$2:$C$622,0)),"",INDEX('Compliance Database'!$M$2:$M$622,MATCH(451,'Transfer Engine'!$C$2:$C$622,0)))</f>
        <v/>
      </c>
      <c r="N460" s="8">
        <f>IF(ISNA(MATCH(451,'Transfer Engine'!$C$2:$C$622,0)),"",INDEX('Compliance Database'!$N$2:$N$622,MATCH(451,'Transfer Engine'!$C$2:$C$622,0)))</f>
        <v/>
      </c>
      <c r="O460" s="8">
        <f>IF(ISNA(MATCH(451,'Transfer Engine'!$C$2:$C$622,0)),"",INDEX('Compliance Database'!$O$2:$O$622,MATCH(451,'Transfer Engine'!$C$2:$C$622,0)))</f>
        <v/>
      </c>
    </row>
    <row r="461">
      <c r="A461">
        <f>IF(ISNA(MATCH(452,'Transfer Engine'!$C$2:$C$622,0)),"",INDEX('Compliance Database'!$A$2:$A$622,MATCH(452,'Transfer Engine'!$C$2:$C$622,0)))</f>
        <v/>
      </c>
      <c r="B461">
        <f>IF(ISNA(MATCH(452,'Transfer Engine'!$C$2:$C$622,0)),"",INDEX('Compliance Database'!$B$2:$B$622,MATCH(452,'Transfer Engine'!$C$2:$C$622,0)))</f>
        <v/>
      </c>
      <c r="C461">
        <f>IF(ISNA(MATCH(452,'Transfer Engine'!$C$2:$C$622,0)),"",INDEX('Compliance Database'!$C$2:$C$622,MATCH(452,'Transfer Engine'!$C$2:$C$622,0)))</f>
        <v/>
      </c>
      <c r="D461" s="8">
        <f>IF(ISNA(MATCH(452,'Transfer Engine'!$C$2:$C$622,0)),"",INDEX('Compliance Database'!$D$2:$D$622,MATCH(452,'Transfer Engine'!$C$2:$C$622,0)))</f>
        <v/>
      </c>
      <c r="E461">
        <f>IF(ISNA(MATCH(452,'Transfer Engine'!$C$2:$C$622,0)),"",INDEX('Compliance Database'!$E$2:$E$622,MATCH(452,'Transfer Engine'!$C$2:$C$622,0)))</f>
        <v/>
      </c>
      <c r="F461">
        <f>IF(ISNA(MATCH(452,'Transfer Engine'!$C$2:$C$622,0)),"",INDEX('Compliance Database'!$F$2:$F$622,MATCH(452,'Transfer Engine'!$C$2:$C$622,0)))</f>
        <v/>
      </c>
      <c r="G461">
        <f>IF(ISNA(MATCH(452,'Transfer Engine'!$C$2:$C$622,0)),"",INDEX('Compliance Database'!$G$2:$G$622,MATCH(452,'Transfer Engine'!$C$2:$C$622,0)))</f>
        <v/>
      </c>
      <c r="H461">
        <f>IF(ISNA(MATCH(452,'Transfer Engine'!$C$2:$C$622,0)),"",INDEX('Compliance Database'!$H$2:$H$622,MATCH(452,'Transfer Engine'!$C$2:$C$622,0)))</f>
        <v/>
      </c>
      <c r="I461" s="8">
        <f>IF(ISNA(MATCH(452,'Transfer Engine'!$C$2:$C$622,0)),"",INDEX('Compliance Database'!$I$2:$I$622,MATCH(452,'Transfer Engine'!$C$2:$C$622,0)))</f>
        <v/>
      </c>
      <c r="J461" s="8">
        <f>IF(ISNA(MATCH(452,'Transfer Engine'!$C$2:$C$622,0)),"",INDEX('Compliance Database'!$J$2:$J$622,MATCH(452,'Transfer Engine'!$C$2:$C$622,0)))</f>
        <v/>
      </c>
      <c r="K461">
        <f>IF(ISNA(MATCH(452,'Transfer Engine'!$C$2:$C$622,0)),"",INDEX('Compliance Database'!$K$2:$K$622,MATCH(452,'Transfer Engine'!$C$2:$C$622,0)))</f>
        <v/>
      </c>
      <c r="L461" s="8">
        <f>IF(ISNA(MATCH(452,'Transfer Engine'!$C$2:$C$622,0)),"",INDEX('Compliance Database'!$L$2:$L$622,MATCH(452,'Transfer Engine'!$C$2:$C$622,0)))</f>
        <v/>
      </c>
      <c r="M461" s="8">
        <f>IF(ISNA(MATCH(452,'Transfer Engine'!$C$2:$C$622,0)),"",INDEX('Compliance Database'!$M$2:$M$622,MATCH(452,'Transfer Engine'!$C$2:$C$622,0)))</f>
        <v/>
      </c>
      <c r="N461" s="8">
        <f>IF(ISNA(MATCH(452,'Transfer Engine'!$C$2:$C$622,0)),"",INDEX('Compliance Database'!$N$2:$N$622,MATCH(452,'Transfer Engine'!$C$2:$C$622,0)))</f>
        <v/>
      </c>
      <c r="O461" s="8">
        <f>IF(ISNA(MATCH(452,'Transfer Engine'!$C$2:$C$622,0)),"",INDEX('Compliance Database'!$O$2:$O$622,MATCH(452,'Transfer Engine'!$C$2:$C$622,0)))</f>
        <v/>
      </c>
    </row>
    <row r="462">
      <c r="A462">
        <f>IF(ISNA(MATCH(453,'Transfer Engine'!$C$2:$C$622,0)),"",INDEX('Compliance Database'!$A$2:$A$622,MATCH(453,'Transfer Engine'!$C$2:$C$622,0)))</f>
        <v/>
      </c>
      <c r="B462">
        <f>IF(ISNA(MATCH(453,'Transfer Engine'!$C$2:$C$622,0)),"",INDEX('Compliance Database'!$B$2:$B$622,MATCH(453,'Transfer Engine'!$C$2:$C$622,0)))</f>
        <v/>
      </c>
      <c r="C462">
        <f>IF(ISNA(MATCH(453,'Transfer Engine'!$C$2:$C$622,0)),"",INDEX('Compliance Database'!$C$2:$C$622,MATCH(453,'Transfer Engine'!$C$2:$C$622,0)))</f>
        <v/>
      </c>
      <c r="D462" s="8">
        <f>IF(ISNA(MATCH(453,'Transfer Engine'!$C$2:$C$622,0)),"",INDEX('Compliance Database'!$D$2:$D$622,MATCH(453,'Transfer Engine'!$C$2:$C$622,0)))</f>
        <v/>
      </c>
      <c r="E462">
        <f>IF(ISNA(MATCH(453,'Transfer Engine'!$C$2:$C$622,0)),"",INDEX('Compliance Database'!$E$2:$E$622,MATCH(453,'Transfer Engine'!$C$2:$C$622,0)))</f>
        <v/>
      </c>
      <c r="F462">
        <f>IF(ISNA(MATCH(453,'Transfer Engine'!$C$2:$C$622,0)),"",INDEX('Compliance Database'!$F$2:$F$622,MATCH(453,'Transfer Engine'!$C$2:$C$622,0)))</f>
        <v/>
      </c>
      <c r="G462">
        <f>IF(ISNA(MATCH(453,'Transfer Engine'!$C$2:$C$622,0)),"",INDEX('Compliance Database'!$G$2:$G$622,MATCH(453,'Transfer Engine'!$C$2:$C$622,0)))</f>
        <v/>
      </c>
      <c r="H462">
        <f>IF(ISNA(MATCH(453,'Transfer Engine'!$C$2:$C$622,0)),"",INDEX('Compliance Database'!$H$2:$H$622,MATCH(453,'Transfer Engine'!$C$2:$C$622,0)))</f>
        <v/>
      </c>
      <c r="I462" s="8">
        <f>IF(ISNA(MATCH(453,'Transfer Engine'!$C$2:$C$622,0)),"",INDEX('Compliance Database'!$I$2:$I$622,MATCH(453,'Transfer Engine'!$C$2:$C$622,0)))</f>
        <v/>
      </c>
      <c r="J462" s="8">
        <f>IF(ISNA(MATCH(453,'Transfer Engine'!$C$2:$C$622,0)),"",INDEX('Compliance Database'!$J$2:$J$622,MATCH(453,'Transfer Engine'!$C$2:$C$622,0)))</f>
        <v/>
      </c>
      <c r="K462">
        <f>IF(ISNA(MATCH(453,'Transfer Engine'!$C$2:$C$622,0)),"",INDEX('Compliance Database'!$K$2:$K$622,MATCH(453,'Transfer Engine'!$C$2:$C$622,0)))</f>
        <v/>
      </c>
      <c r="L462" s="8">
        <f>IF(ISNA(MATCH(453,'Transfer Engine'!$C$2:$C$622,0)),"",INDEX('Compliance Database'!$L$2:$L$622,MATCH(453,'Transfer Engine'!$C$2:$C$622,0)))</f>
        <v/>
      </c>
      <c r="M462" s="8">
        <f>IF(ISNA(MATCH(453,'Transfer Engine'!$C$2:$C$622,0)),"",INDEX('Compliance Database'!$M$2:$M$622,MATCH(453,'Transfer Engine'!$C$2:$C$622,0)))</f>
        <v/>
      </c>
      <c r="N462" s="8">
        <f>IF(ISNA(MATCH(453,'Transfer Engine'!$C$2:$C$622,0)),"",INDEX('Compliance Database'!$N$2:$N$622,MATCH(453,'Transfer Engine'!$C$2:$C$622,0)))</f>
        <v/>
      </c>
      <c r="O462" s="8">
        <f>IF(ISNA(MATCH(453,'Transfer Engine'!$C$2:$C$622,0)),"",INDEX('Compliance Database'!$O$2:$O$622,MATCH(453,'Transfer Engine'!$C$2:$C$622,0)))</f>
        <v/>
      </c>
    </row>
    <row r="463">
      <c r="A463">
        <f>IF(ISNA(MATCH(454,'Transfer Engine'!$C$2:$C$622,0)),"",INDEX('Compliance Database'!$A$2:$A$622,MATCH(454,'Transfer Engine'!$C$2:$C$622,0)))</f>
        <v/>
      </c>
      <c r="B463">
        <f>IF(ISNA(MATCH(454,'Transfer Engine'!$C$2:$C$622,0)),"",INDEX('Compliance Database'!$B$2:$B$622,MATCH(454,'Transfer Engine'!$C$2:$C$622,0)))</f>
        <v/>
      </c>
      <c r="C463">
        <f>IF(ISNA(MATCH(454,'Transfer Engine'!$C$2:$C$622,0)),"",INDEX('Compliance Database'!$C$2:$C$622,MATCH(454,'Transfer Engine'!$C$2:$C$622,0)))</f>
        <v/>
      </c>
      <c r="D463" s="8">
        <f>IF(ISNA(MATCH(454,'Transfer Engine'!$C$2:$C$622,0)),"",INDEX('Compliance Database'!$D$2:$D$622,MATCH(454,'Transfer Engine'!$C$2:$C$622,0)))</f>
        <v/>
      </c>
      <c r="E463">
        <f>IF(ISNA(MATCH(454,'Transfer Engine'!$C$2:$C$622,0)),"",INDEX('Compliance Database'!$E$2:$E$622,MATCH(454,'Transfer Engine'!$C$2:$C$622,0)))</f>
        <v/>
      </c>
      <c r="F463">
        <f>IF(ISNA(MATCH(454,'Transfer Engine'!$C$2:$C$622,0)),"",INDEX('Compliance Database'!$F$2:$F$622,MATCH(454,'Transfer Engine'!$C$2:$C$622,0)))</f>
        <v/>
      </c>
      <c r="G463">
        <f>IF(ISNA(MATCH(454,'Transfer Engine'!$C$2:$C$622,0)),"",INDEX('Compliance Database'!$G$2:$G$622,MATCH(454,'Transfer Engine'!$C$2:$C$622,0)))</f>
        <v/>
      </c>
      <c r="H463">
        <f>IF(ISNA(MATCH(454,'Transfer Engine'!$C$2:$C$622,0)),"",INDEX('Compliance Database'!$H$2:$H$622,MATCH(454,'Transfer Engine'!$C$2:$C$622,0)))</f>
        <v/>
      </c>
      <c r="I463" s="8">
        <f>IF(ISNA(MATCH(454,'Transfer Engine'!$C$2:$C$622,0)),"",INDEX('Compliance Database'!$I$2:$I$622,MATCH(454,'Transfer Engine'!$C$2:$C$622,0)))</f>
        <v/>
      </c>
      <c r="J463" s="8">
        <f>IF(ISNA(MATCH(454,'Transfer Engine'!$C$2:$C$622,0)),"",INDEX('Compliance Database'!$J$2:$J$622,MATCH(454,'Transfer Engine'!$C$2:$C$622,0)))</f>
        <v/>
      </c>
      <c r="K463">
        <f>IF(ISNA(MATCH(454,'Transfer Engine'!$C$2:$C$622,0)),"",INDEX('Compliance Database'!$K$2:$K$622,MATCH(454,'Transfer Engine'!$C$2:$C$622,0)))</f>
        <v/>
      </c>
      <c r="L463" s="8">
        <f>IF(ISNA(MATCH(454,'Transfer Engine'!$C$2:$C$622,0)),"",INDEX('Compliance Database'!$L$2:$L$622,MATCH(454,'Transfer Engine'!$C$2:$C$622,0)))</f>
        <v/>
      </c>
      <c r="M463" s="8">
        <f>IF(ISNA(MATCH(454,'Transfer Engine'!$C$2:$C$622,0)),"",INDEX('Compliance Database'!$M$2:$M$622,MATCH(454,'Transfer Engine'!$C$2:$C$622,0)))</f>
        <v/>
      </c>
      <c r="N463" s="8">
        <f>IF(ISNA(MATCH(454,'Transfer Engine'!$C$2:$C$622,0)),"",INDEX('Compliance Database'!$N$2:$N$622,MATCH(454,'Transfer Engine'!$C$2:$C$622,0)))</f>
        <v/>
      </c>
      <c r="O463" s="8">
        <f>IF(ISNA(MATCH(454,'Transfer Engine'!$C$2:$C$622,0)),"",INDEX('Compliance Database'!$O$2:$O$622,MATCH(454,'Transfer Engine'!$C$2:$C$622,0)))</f>
        <v/>
      </c>
    </row>
    <row r="464">
      <c r="A464">
        <f>IF(ISNA(MATCH(455,'Transfer Engine'!$C$2:$C$622,0)),"",INDEX('Compliance Database'!$A$2:$A$622,MATCH(455,'Transfer Engine'!$C$2:$C$622,0)))</f>
        <v/>
      </c>
      <c r="B464">
        <f>IF(ISNA(MATCH(455,'Transfer Engine'!$C$2:$C$622,0)),"",INDEX('Compliance Database'!$B$2:$B$622,MATCH(455,'Transfer Engine'!$C$2:$C$622,0)))</f>
        <v/>
      </c>
      <c r="C464">
        <f>IF(ISNA(MATCH(455,'Transfer Engine'!$C$2:$C$622,0)),"",INDEX('Compliance Database'!$C$2:$C$622,MATCH(455,'Transfer Engine'!$C$2:$C$622,0)))</f>
        <v/>
      </c>
      <c r="D464" s="8">
        <f>IF(ISNA(MATCH(455,'Transfer Engine'!$C$2:$C$622,0)),"",INDEX('Compliance Database'!$D$2:$D$622,MATCH(455,'Transfer Engine'!$C$2:$C$622,0)))</f>
        <v/>
      </c>
      <c r="E464">
        <f>IF(ISNA(MATCH(455,'Transfer Engine'!$C$2:$C$622,0)),"",INDEX('Compliance Database'!$E$2:$E$622,MATCH(455,'Transfer Engine'!$C$2:$C$622,0)))</f>
        <v/>
      </c>
      <c r="F464">
        <f>IF(ISNA(MATCH(455,'Transfer Engine'!$C$2:$C$622,0)),"",INDEX('Compliance Database'!$F$2:$F$622,MATCH(455,'Transfer Engine'!$C$2:$C$622,0)))</f>
        <v/>
      </c>
      <c r="G464">
        <f>IF(ISNA(MATCH(455,'Transfer Engine'!$C$2:$C$622,0)),"",INDEX('Compliance Database'!$G$2:$G$622,MATCH(455,'Transfer Engine'!$C$2:$C$622,0)))</f>
        <v/>
      </c>
      <c r="H464">
        <f>IF(ISNA(MATCH(455,'Transfer Engine'!$C$2:$C$622,0)),"",INDEX('Compliance Database'!$H$2:$H$622,MATCH(455,'Transfer Engine'!$C$2:$C$622,0)))</f>
        <v/>
      </c>
      <c r="I464" s="8">
        <f>IF(ISNA(MATCH(455,'Transfer Engine'!$C$2:$C$622,0)),"",INDEX('Compliance Database'!$I$2:$I$622,MATCH(455,'Transfer Engine'!$C$2:$C$622,0)))</f>
        <v/>
      </c>
      <c r="J464" s="8">
        <f>IF(ISNA(MATCH(455,'Transfer Engine'!$C$2:$C$622,0)),"",INDEX('Compliance Database'!$J$2:$J$622,MATCH(455,'Transfer Engine'!$C$2:$C$622,0)))</f>
        <v/>
      </c>
      <c r="K464">
        <f>IF(ISNA(MATCH(455,'Transfer Engine'!$C$2:$C$622,0)),"",INDEX('Compliance Database'!$K$2:$K$622,MATCH(455,'Transfer Engine'!$C$2:$C$622,0)))</f>
        <v/>
      </c>
      <c r="L464" s="8">
        <f>IF(ISNA(MATCH(455,'Transfer Engine'!$C$2:$C$622,0)),"",INDEX('Compliance Database'!$L$2:$L$622,MATCH(455,'Transfer Engine'!$C$2:$C$622,0)))</f>
        <v/>
      </c>
      <c r="M464" s="8">
        <f>IF(ISNA(MATCH(455,'Transfer Engine'!$C$2:$C$622,0)),"",INDEX('Compliance Database'!$M$2:$M$622,MATCH(455,'Transfer Engine'!$C$2:$C$622,0)))</f>
        <v/>
      </c>
      <c r="N464" s="8">
        <f>IF(ISNA(MATCH(455,'Transfer Engine'!$C$2:$C$622,0)),"",INDEX('Compliance Database'!$N$2:$N$622,MATCH(455,'Transfer Engine'!$C$2:$C$622,0)))</f>
        <v/>
      </c>
      <c r="O464" s="8">
        <f>IF(ISNA(MATCH(455,'Transfer Engine'!$C$2:$C$622,0)),"",INDEX('Compliance Database'!$O$2:$O$622,MATCH(455,'Transfer Engine'!$C$2:$C$622,0)))</f>
        <v/>
      </c>
    </row>
    <row r="465">
      <c r="A465">
        <f>IF(ISNA(MATCH(456,'Transfer Engine'!$C$2:$C$622,0)),"",INDEX('Compliance Database'!$A$2:$A$622,MATCH(456,'Transfer Engine'!$C$2:$C$622,0)))</f>
        <v/>
      </c>
      <c r="B465">
        <f>IF(ISNA(MATCH(456,'Transfer Engine'!$C$2:$C$622,0)),"",INDEX('Compliance Database'!$B$2:$B$622,MATCH(456,'Transfer Engine'!$C$2:$C$622,0)))</f>
        <v/>
      </c>
      <c r="C465">
        <f>IF(ISNA(MATCH(456,'Transfer Engine'!$C$2:$C$622,0)),"",INDEX('Compliance Database'!$C$2:$C$622,MATCH(456,'Transfer Engine'!$C$2:$C$622,0)))</f>
        <v/>
      </c>
      <c r="D465" s="8">
        <f>IF(ISNA(MATCH(456,'Transfer Engine'!$C$2:$C$622,0)),"",INDEX('Compliance Database'!$D$2:$D$622,MATCH(456,'Transfer Engine'!$C$2:$C$622,0)))</f>
        <v/>
      </c>
      <c r="E465">
        <f>IF(ISNA(MATCH(456,'Transfer Engine'!$C$2:$C$622,0)),"",INDEX('Compliance Database'!$E$2:$E$622,MATCH(456,'Transfer Engine'!$C$2:$C$622,0)))</f>
        <v/>
      </c>
      <c r="F465">
        <f>IF(ISNA(MATCH(456,'Transfer Engine'!$C$2:$C$622,0)),"",INDEX('Compliance Database'!$F$2:$F$622,MATCH(456,'Transfer Engine'!$C$2:$C$622,0)))</f>
        <v/>
      </c>
      <c r="G465">
        <f>IF(ISNA(MATCH(456,'Transfer Engine'!$C$2:$C$622,0)),"",INDEX('Compliance Database'!$G$2:$G$622,MATCH(456,'Transfer Engine'!$C$2:$C$622,0)))</f>
        <v/>
      </c>
      <c r="H465">
        <f>IF(ISNA(MATCH(456,'Transfer Engine'!$C$2:$C$622,0)),"",INDEX('Compliance Database'!$H$2:$H$622,MATCH(456,'Transfer Engine'!$C$2:$C$622,0)))</f>
        <v/>
      </c>
      <c r="I465" s="8">
        <f>IF(ISNA(MATCH(456,'Transfer Engine'!$C$2:$C$622,0)),"",INDEX('Compliance Database'!$I$2:$I$622,MATCH(456,'Transfer Engine'!$C$2:$C$622,0)))</f>
        <v/>
      </c>
      <c r="J465" s="8">
        <f>IF(ISNA(MATCH(456,'Transfer Engine'!$C$2:$C$622,0)),"",INDEX('Compliance Database'!$J$2:$J$622,MATCH(456,'Transfer Engine'!$C$2:$C$622,0)))</f>
        <v/>
      </c>
      <c r="K465">
        <f>IF(ISNA(MATCH(456,'Transfer Engine'!$C$2:$C$622,0)),"",INDEX('Compliance Database'!$K$2:$K$622,MATCH(456,'Transfer Engine'!$C$2:$C$622,0)))</f>
        <v/>
      </c>
      <c r="L465" s="8">
        <f>IF(ISNA(MATCH(456,'Transfer Engine'!$C$2:$C$622,0)),"",INDEX('Compliance Database'!$L$2:$L$622,MATCH(456,'Transfer Engine'!$C$2:$C$622,0)))</f>
        <v/>
      </c>
      <c r="M465" s="8">
        <f>IF(ISNA(MATCH(456,'Transfer Engine'!$C$2:$C$622,0)),"",INDEX('Compliance Database'!$M$2:$M$622,MATCH(456,'Transfer Engine'!$C$2:$C$622,0)))</f>
        <v/>
      </c>
      <c r="N465" s="8">
        <f>IF(ISNA(MATCH(456,'Transfer Engine'!$C$2:$C$622,0)),"",INDEX('Compliance Database'!$N$2:$N$622,MATCH(456,'Transfer Engine'!$C$2:$C$622,0)))</f>
        <v/>
      </c>
      <c r="O465" s="8">
        <f>IF(ISNA(MATCH(456,'Transfer Engine'!$C$2:$C$622,0)),"",INDEX('Compliance Database'!$O$2:$O$622,MATCH(456,'Transfer Engine'!$C$2:$C$622,0)))</f>
        <v/>
      </c>
    </row>
    <row r="466">
      <c r="A466">
        <f>IF(ISNA(MATCH(457,'Transfer Engine'!$C$2:$C$622,0)),"",INDEX('Compliance Database'!$A$2:$A$622,MATCH(457,'Transfer Engine'!$C$2:$C$622,0)))</f>
        <v/>
      </c>
      <c r="B466">
        <f>IF(ISNA(MATCH(457,'Transfer Engine'!$C$2:$C$622,0)),"",INDEX('Compliance Database'!$B$2:$B$622,MATCH(457,'Transfer Engine'!$C$2:$C$622,0)))</f>
        <v/>
      </c>
      <c r="C466">
        <f>IF(ISNA(MATCH(457,'Transfer Engine'!$C$2:$C$622,0)),"",INDEX('Compliance Database'!$C$2:$C$622,MATCH(457,'Transfer Engine'!$C$2:$C$622,0)))</f>
        <v/>
      </c>
      <c r="D466" s="8">
        <f>IF(ISNA(MATCH(457,'Transfer Engine'!$C$2:$C$622,0)),"",INDEX('Compliance Database'!$D$2:$D$622,MATCH(457,'Transfer Engine'!$C$2:$C$622,0)))</f>
        <v/>
      </c>
      <c r="E466">
        <f>IF(ISNA(MATCH(457,'Transfer Engine'!$C$2:$C$622,0)),"",INDEX('Compliance Database'!$E$2:$E$622,MATCH(457,'Transfer Engine'!$C$2:$C$622,0)))</f>
        <v/>
      </c>
      <c r="F466">
        <f>IF(ISNA(MATCH(457,'Transfer Engine'!$C$2:$C$622,0)),"",INDEX('Compliance Database'!$F$2:$F$622,MATCH(457,'Transfer Engine'!$C$2:$C$622,0)))</f>
        <v/>
      </c>
      <c r="G466">
        <f>IF(ISNA(MATCH(457,'Transfer Engine'!$C$2:$C$622,0)),"",INDEX('Compliance Database'!$G$2:$G$622,MATCH(457,'Transfer Engine'!$C$2:$C$622,0)))</f>
        <v/>
      </c>
      <c r="H466">
        <f>IF(ISNA(MATCH(457,'Transfer Engine'!$C$2:$C$622,0)),"",INDEX('Compliance Database'!$H$2:$H$622,MATCH(457,'Transfer Engine'!$C$2:$C$622,0)))</f>
        <v/>
      </c>
      <c r="I466" s="8">
        <f>IF(ISNA(MATCH(457,'Transfer Engine'!$C$2:$C$622,0)),"",INDEX('Compliance Database'!$I$2:$I$622,MATCH(457,'Transfer Engine'!$C$2:$C$622,0)))</f>
        <v/>
      </c>
      <c r="J466" s="8">
        <f>IF(ISNA(MATCH(457,'Transfer Engine'!$C$2:$C$622,0)),"",INDEX('Compliance Database'!$J$2:$J$622,MATCH(457,'Transfer Engine'!$C$2:$C$622,0)))</f>
        <v/>
      </c>
      <c r="K466">
        <f>IF(ISNA(MATCH(457,'Transfer Engine'!$C$2:$C$622,0)),"",INDEX('Compliance Database'!$K$2:$K$622,MATCH(457,'Transfer Engine'!$C$2:$C$622,0)))</f>
        <v/>
      </c>
      <c r="L466" s="8">
        <f>IF(ISNA(MATCH(457,'Transfer Engine'!$C$2:$C$622,0)),"",INDEX('Compliance Database'!$L$2:$L$622,MATCH(457,'Transfer Engine'!$C$2:$C$622,0)))</f>
        <v/>
      </c>
      <c r="M466" s="8">
        <f>IF(ISNA(MATCH(457,'Transfer Engine'!$C$2:$C$622,0)),"",INDEX('Compliance Database'!$M$2:$M$622,MATCH(457,'Transfer Engine'!$C$2:$C$622,0)))</f>
        <v/>
      </c>
      <c r="N466" s="8">
        <f>IF(ISNA(MATCH(457,'Transfer Engine'!$C$2:$C$622,0)),"",INDEX('Compliance Database'!$N$2:$N$622,MATCH(457,'Transfer Engine'!$C$2:$C$622,0)))</f>
        <v/>
      </c>
      <c r="O466" s="8">
        <f>IF(ISNA(MATCH(457,'Transfer Engine'!$C$2:$C$622,0)),"",INDEX('Compliance Database'!$O$2:$O$622,MATCH(457,'Transfer Engine'!$C$2:$C$622,0)))</f>
        <v/>
      </c>
    </row>
    <row r="467">
      <c r="A467">
        <f>IF(ISNA(MATCH(458,'Transfer Engine'!$C$2:$C$622,0)),"",INDEX('Compliance Database'!$A$2:$A$622,MATCH(458,'Transfer Engine'!$C$2:$C$622,0)))</f>
        <v/>
      </c>
      <c r="B467">
        <f>IF(ISNA(MATCH(458,'Transfer Engine'!$C$2:$C$622,0)),"",INDEX('Compliance Database'!$B$2:$B$622,MATCH(458,'Transfer Engine'!$C$2:$C$622,0)))</f>
        <v/>
      </c>
      <c r="C467">
        <f>IF(ISNA(MATCH(458,'Transfer Engine'!$C$2:$C$622,0)),"",INDEX('Compliance Database'!$C$2:$C$622,MATCH(458,'Transfer Engine'!$C$2:$C$622,0)))</f>
        <v/>
      </c>
      <c r="D467" s="8">
        <f>IF(ISNA(MATCH(458,'Transfer Engine'!$C$2:$C$622,0)),"",INDEX('Compliance Database'!$D$2:$D$622,MATCH(458,'Transfer Engine'!$C$2:$C$622,0)))</f>
        <v/>
      </c>
      <c r="E467">
        <f>IF(ISNA(MATCH(458,'Transfer Engine'!$C$2:$C$622,0)),"",INDEX('Compliance Database'!$E$2:$E$622,MATCH(458,'Transfer Engine'!$C$2:$C$622,0)))</f>
        <v/>
      </c>
      <c r="F467">
        <f>IF(ISNA(MATCH(458,'Transfer Engine'!$C$2:$C$622,0)),"",INDEX('Compliance Database'!$F$2:$F$622,MATCH(458,'Transfer Engine'!$C$2:$C$622,0)))</f>
        <v/>
      </c>
      <c r="G467">
        <f>IF(ISNA(MATCH(458,'Transfer Engine'!$C$2:$C$622,0)),"",INDEX('Compliance Database'!$G$2:$G$622,MATCH(458,'Transfer Engine'!$C$2:$C$622,0)))</f>
        <v/>
      </c>
      <c r="H467">
        <f>IF(ISNA(MATCH(458,'Transfer Engine'!$C$2:$C$622,0)),"",INDEX('Compliance Database'!$H$2:$H$622,MATCH(458,'Transfer Engine'!$C$2:$C$622,0)))</f>
        <v/>
      </c>
      <c r="I467" s="8">
        <f>IF(ISNA(MATCH(458,'Transfer Engine'!$C$2:$C$622,0)),"",INDEX('Compliance Database'!$I$2:$I$622,MATCH(458,'Transfer Engine'!$C$2:$C$622,0)))</f>
        <v/>
      </c>
      <c r="J467" s="8">
        <f>IF(ISNA(MATCH(458,'Transfer Engine'!$C$2:$C$622,0)),"",INDEX('Compliance Database'!$J$2:$J$622,MATCH(458,'Transfer Engine'!$C$2:$C$622,0)))</f>
        <v/>
      </c>
      <c r="K467">
        <f>IF(ISNA(MATCH(458,'Transfer Engine'!$C$2:$C$622,0)),"",INDEX('Compliance Database'!$K$2:$K$622,MATCH(458,'Transfer Engine'!$C$2:$C$622,0)))</f>
        <v/>
      </c>
      <c r="L467" s="8">
        <f>IF(ISNA(MATCH(458,'Transfer Engine'!$C$2:$C$622,0)),"",INDEX('Compliance Database'!$L$2:$L$622,MATCH(458,'Transfer Engine'!$C$2:$C$622,0)))</f>
        <v/>
      </c>
      <c r="M467" s="8">
        <f>IF(ISNA(MATCH(458,'Transfer Engine'!$C$2:$C$622,0)),"",INDEX('Compliance Database'!$M$2:$M$622,MATCH(458,'Transfer Engine'!$C$2:$C$622,0)))</f>
        <v/>
      </c>
      <c r="N467" s="8">
        <f>IF(ISNA(MATCH(458,'Transfer Engine'!$C$2:$C$622,0)),"",INDEX('Compliance Database'!$N$2:$N$622,MATCH(458,'Transfer Engine'!$C$2:$C$622,0)))</f>
        <v/>
      </c>
      <c r="O467" s="8">
        <f>IF(ISNA(MATCH(458,'Transfer Engine'!$C$2:$C$622,0)),"",INDEX('Compliance Database'!$O$2:$O$622,MATCH(458,'Transfer Engine'!$C$2:$C$622,0)))</f>
        <v/>
      </c>
    </row>
    <row r="468">
      <c r="A468">
        <f>IF(ISNA(MATCH(459,'Transfer Engine'!$C$2:$C$622,0)),"",INDEX('Compliance Database'!$A$2:$A$622,MATCH(459,'Transfer Engine'!$C$2:$C$622,0)))</f>
        <v/>
      </c>
      <c r="B468">
        <f>IF(ISNA(MATCH(459,'Transfer Engine'!$C$2:$C$622,0)),"",INDEX('Compliance Database'!$B$2:$B$622,MATCH(459,'Transfer Engine'!$C$2:$C$622,0)))</f>
        <v/>
      </c>
      <c r="C468">
        <f>IF(ISNA(MATCH(459,'Transfer Engine'!$C$2:$C$622,0)),"",INDEX('Compliance Database'!$C$2:$C$622,MATCH(459,'Transfer Engine'!$C$2:$C$622,0)))</f>
        <v/>
      </c>
      <c r="D468" s="8">
        <f>IF(ISNA(MATCH(459,'Transfer Engine'!$C$2:$C$622,0)),"",INDEX('Compliance Database'!$D$2:$D$622,MATCH(459,'Transfer Engine'!$C$2:$C$622,0)))</f>
        <v/>
      </c>
      <c r="E468">
        <f>IF(ISNA(MATCH(459,'Transfer Engine'!$C$2:$C$622,0)),"",INDEX('Compliance Database'!$E$2:$E$622,MATCH(459,'Transfer Engine'!$C$2:$C$622,0)))</f>
        <v/>
      </c>
      <c r="F468">
        <f>IF(ISNA(MATCH(459,'Transfer Engine'!$C$2:$C$622,0)),"",INDEX('Compliance Database'!$F$2:$F$622,MATCH(459,'Transfer Engine'!$C$2:$C$622,0)))</f>
        <v/>
      </c>
      <c r="G468">
        <f>IF(ISNA(MATCH(459,'Transfer Engine'!$C$2:$C$622,0)),"",INDEX('Compliance Database'!$G$2:$G$622,MATCH(459,'Transfer Engine'!$C$2:$C$622,0)))</f>
        <v/>
      </c>
      <c r="H468">
        <f>IF(ISNA(MATCH(459,'Transfer Engine'!$C$2:$C$622,0)),"",INDEX('Compliance Database'!$H$2:$H$622,MATCH(459,'Transfer Engine'!$C$2:$C$622,0)))</f>
        <v/>
      </c>
      <c r="I468" s="8">
        <f>IF(ISNA(MATCH(459,'Transfer Engine'!$C$2:$C$622,0)),"",INDEX('Compliance Database'!$I$2:$I$622,MATCH(459,'Transfer Engine'!$C$2:$C$622,0)))</f>
        <v/>
      </c>
      <c r="J468" s="8">
        <f>IF(ISNA(MATCH(459,'Transfer Engine'!$C$2:$C$622,0)),"",INDEX('Compliance Database'!$J$2:$J$622,MATCH(459,'Transfer Engine'!$C$2:$C$622,0)))</f>
        <v/>
      </c>
      <c r="K468">
        <f>IF(ISNA(MATCH(459,'Transfer Engine'!$C$2:$C$622,0)),"",INDEX('Compliance Database'!$K$2:$K$622,MATCH(459,'Transfer Engine'!$C$2:$C$622,0)))</f>
        <v/>
      </c>
      <c r="L468" s="8">
        <f>IF(ISNA(MATCH(459,'Transfer Engine'!$C$2:$C$622,0)),"",INDEX('Compliance Database'!$L$2:$L$622,MATCH(459,'Transfer Engine'!$C$2:$C$622,0)))</f>
        <v/>
      </c>
      <c r="M468" s="8">
        <f>IF(ISNA(MATCH(459,'Transfer Engine'!$C$2:$C$622,0)),"",INDEX('Compliance Database'!$M$2:$M$622,MATCH(459,'Transfer Engine'!$C$2:$C$622,0)))</f>
        <v/>
      </c>
      <c r="N468" s="8">
        <f>IF(ISNA(MATCH(459,'Transfer Engine'!$C$2:$C$622,0)),"",INDEX('Compliance Database'!$N$2:$N$622,MATCH(459,'Transfer Engine'!$C$2:$C$622,0)))</f>
        <v/>
      </c>
      <c r="O468" s="8">
        <f>IF(ISNA(MATCH(459,'Transfer Engine'!$C$2:$C$622,0)),"",INDEX('Compliance Database'!$O$2:$O$622,MATCH(459,'Transfer Engine'!$C$2:$C$622,0)))</f>
        <v/>
      </c>
    </row>
    <row r="469">
      <c r="A469">
        <f>IF(ISNA(MATCH(460,'Transfer Engine'!$C$2:$C$622,0)),"",INDEX('Compliance Database'!$A$2:$A$622,MATCH(460,'Transfer Engine'!$C$2:$C$622,0)))</f>
        <v/>
      </c>
      <c r="B469">
        <f>IF(ISNA(MATCH(460,'Transfer Engine'!$C$2:$C$622,0)),"",INDEX('Compliance Database'!$B$2:$B$622,MATCH(460,'Transfer Engine'!$C$2:$C$622,0)))</f>
        <v/>
      </c>
      <c r="C469">
        <f>IF(ISNA(MATCH(460,'Transfer Engine'!$C$2:$C$622,0)),"",INDEX('Compliance Database'!$C$2:$C$622,MATCH(460,'Transfer Engine'!$C$2:$C$622,0)))</f>
        <v/>
      </c>
      <c r="D469" s="8">
        <f>IF(ISNA(MATCH(460,'Transfer Engine'!$C$2:$C$622,0)),"",INDEX('Compliance Database'!$D$2:$D$622,MATCH(460,'Transfer Engine'!$C$2:$C$622,0)))</f>
        <v/>
      </c>
      <c r="E469">
        <f>IF(ISNA(MATCH(460,'Transfer Engine'!$C$2:$C$622,0)),"",INDEX('Compliance Database'!$E$2:$E$622,MATCH(460,'Transfer Engine'!$C$2:$C$622,0)))</f>
        <v/>
      </c>
      <c r="F469">
        <f>IF(ISNA(MATCH(460,'Transfer Engine'!$C$2:$C$622,0)),"",INDEX('Compliance Database'!$F$2:$F$622,MATCH(460,'Transfer Engine'!$C$2:$C$622,0)))</f>
        <v/>
      </c>
      <c r="G469">
        <f>IF(ISNA(MATCH(460,'Transfer Engine'!$C$2:$C$622,0)),"",INDEX('Compliance Database'!$G$2:$G$622,MATCH(460,'Transfer Engine'!$C$2:$C$622,0)))</f>
        <v/>
      </c>
      <c r="H469">
        <f>IF(ISNA(MATCH(460,'Transfer Engine'!$C$2:$C$622,0)),"",INDEX('Compliance Database'!$H$2:$H$622,MATCH(460,'Transfer Engine'!$C$2:$C$622,0)))</f>
        <v/>
      </c>
      <c r="I469" s="8">
        <f>IF(ISNA(MATCH(460,'Transfer Engine'!$C$2:$C$622,0)),"",INDEX('Compliance Database'!$I$2:$I$622,MATCH(460,'Transfer Engine'!$C$2:$C$622,0)))</f>
        <v/>
      </c>
      <c r="J469" s="8">
        <f>IF(ISNA(MATCH(460,'Transfer Engine'!$C$2:$C$622,0)),"",INDEX('Compliance Database'!$J$2:$J$622,MATCH(460,'Transfer Engine'!$C$2:$C$622,0)))</f>
        <v/>
      </c>
      <c r="K469">
        <f>IF(ISNA(MATCH(460,'Transfer Engine'!$C$2:$C$622,0)),"",INDEX('Compliance Database'!$K$2:$K$622,MATCH(460,'Transfer Engine'!$C$2:$C$622,0)))</f>
        <v/>
      </c>
      <c r="L469" s="8">
        <f>IF(ISNA(MATCH(460,'Transfer Engine'!$C$2:$C$622,0)),"",INDEX('Compliance Database'!$L$2:$L$622,MATCH(460,'Transfer Engine'!$C$2:$C$622,0)))</f>
        <v/>
      </c>
      <c r="M469" s="8">
        <f>IF(ISNA(MATCH(460,'Transfer Engine'!$C$2:$C$622,0)),"",INDEX('Compliance Database'!$M$2:$M$622,MATCH(460,'Transfer Engine'!$C$2:$C$622,0)))</f>
        <v/>
      </c>
      <c r="N469" s="8">
        <f>IF(ISNA(MATCH(460,'Transfer Engine'!$C$2:$C$622,0)),"",INDEX('Compliance Database'!$N$2:$N$622,MATCH(460,'Transfer Engine'!$C$2:$C$622,0)))</f>
        <v/>
      </c>
      <c r="O469" s="8">
        <f>IF(ISNA(MATCH(460,'Transfer Engine'!$C$2:$C$622,0)),"",INDEX('Compliance Database'!$O$2:$O$622,MATCH(460,'Transfer Engine'!$C$2:$C$622,0)))</f>
        <v/>
      </c>
    </row>
    <row r="470">
      <c r="A470">
        <f>IF(ISNA(MATCH(461,'Transfer Engine'!$C$2:$C$622,0)),"",INDEX('Compliance Database'!$A$2:$A$622,MATCH(461,'Transfer Engine'!$C$2:$C$622,0)))</f>
        <v/>
      </c>
      <c r="B470">
        <f>IF(ISNA(MATCH(461,'Transfer Engine'!$C$2:$C$622,0)),"",INDEX('Compliance Database'!$B$2:$B$622,MATCH(461,'Transfer Engine'!$C$2:$C$622,0)))</f>
        <v/>
      </c>
      <c r="C470">
        <f>IF(ISNA(MATCH(461,'Transfer Engine'!$C$2:$C$622,0)),"",INDEX('Compliance Database'!$C$2:$C$622,MATCH(461,'Transfer Engine'!$C$2:$C$622,0)))</f>
        <v/>
      </c>
      <c r="D470" s="8">
        <f>IF(ISNA(MATCH(461,'Transfer Engine'!$C$2:$C$622,0)),"",INDEX('Compliance Database'!$D$2:$D$622,MATCH(461,'Transfer Engine'!$C$2:$C$622,0)))</f>
        <v/>
      </c>
      <c r="E470">
        <f>IF(ISNA(MATCH(461,'Transfer Engine'!$C$2:$C$622,0)),"",INDEX('Compliance Database'!$E$2:$E$622,MATCH(461,'Transfer Engine'!$C$2:$C$622,0)))</f>
        <v/>
      </c>
      <c r="F470">
        <f>IF(ISNA(MATCH(461,'Transfer Engine'!$C$2:$C$622,0)),"",INDEX('Compliance Database'!$F$2:$F$622,MATCH(461,'Transfer Engine'!$C$2:$C$622,0)))</f>
        <v/>
      </c>
      <c r="G470">
        <f>IF(ISNA(MATCH(461,'Transfer Engine'!$C$2:$C$622,0)),"",INDEX('Compliance Database'!$G$2:$G$622,MATCH(461,'Transfer Engine'!$C$2:$C$622,0)))</f>
        <v/>
      </c>
      <c r="H470">
        <f>IF(ISNA(MATCH(461,'Transfer Engine'!$C$2:$C$622,0)),"",INDEX('Compliance Database'!$H$2:$H$622,MATCH(461,'Transfer Engine'!$C$2:$C$622,0)))</f>
        <v/>
      </c>
      <c r="I470" s="8">
        <f>IF(ISNA(MATCH(461,'Transfer Engine'!$C$2:$C$622,0)),"",INDEX('Compliance Database'!$I$2:$I$622,MATCH(461,'Transfer Engine'!$C$2:$C$622,0)))</f>
        <v/>
      </c>
      <c r="J470" s="8">
        <f>IF(ISNA(MATCH(461,'Transfer Engine'!$C$2:$C$622,0)),"",INDEX('Compliance Database'!$J$2:$J$622,MATCH(461,'Transfer Engine'!$C$2:$C$622,0)))</f>
        <v/>
      </c>
      <c r="K470">
        <f>IF(ISNA(MATCH(461,'Transfer Engine'!$C$2:$C$622,0)),"",INDEX('Compliance Database'!$K$2:$K$622,MATCH(461,'Transfer Engine'!$C$2:$C$622,0)))</f>
        <v/>
      </c>
      <c r="L470" s="8">
        <f>IF(ISNA(MATCH(461,'Transfer Engine'!$C$2:$C$622,0)),"",INDEX('Compliance Database'!$L$2:$L$622,MATCH(461,'Transfer Engine'!$C$2:$C$622,0)))</f>
        <v/>
      </c>
      <c r="M470" s="8">
        <f>IF(ISNA(MATCH(461,'Transfer Engine'!$C$2:$C$622,0)),"",INDEX('Compliance Database'!$M$2:$M$622,MATCH(461,'Transfer Engine'!$C$2:$C$622,0)))</f>
        <v/>
      </c>
      <c r="N470" s="8">
        <f>IF(ISNA(MATCH(461,'Transfer Engine'!$C$2:$C$622,0)),"",INDEX('Compliance Database'!$N$2:$N$622,MATCH(461,'Transfer Engine'!$C$2:$C$622,0)))</f>
        <v/>
      </c>
      <c r="O470" s="8">
        <f>IF(ISNA(MATCH(461,'Transfer Engine'!$C$2:$C$622,0)),"",INDEX('Compliance Database'!$O$2:$O$622,MATCH(461,'Transfer Engine'!$C$2:$C$622,0)))</f>
        <v/>
      </c>
    </row>
    <row r="471">
      <c r="A471">
        <f>IF(ISNA(MATCH(462,'Transfer Engine'!$C$2:$C$622,0)),"",INDEX('Compliance Database'!$A$2:$A$622,MATCH(462,'Transfer Engine'!$C$2:$C$622,0)))</f>
        <v/>
      </c>
      <c r="B471">
        <f>IF(ISNA(MATCH(462,'Transfer Engine'!$C$2:$C$622,0)),"",INDEX('Compliance Database'!$B$2:$B$622,MATCH(462,'Transfer Engine'!$C$2:$C$622,0)))</f>
        <v/>
      </c>
      <c r="C471">
        <f>IF(ISNA(MATCH(462,'Transfer Engine'!$C$2:$C$622,0)),"",INDEX('Compliance Database'!$C$2:$C$622,MATCH(462,'Transfer Engine'!$C$2:$C$622,0)))</f>
        <v/>
      </c>
      <c r="D471" s="8">
        <f>IF(ISNA(MATCH(462,'Transfer Engine'!$C$2:$C$622,0)),"",INDEX('Compliance Database'!$D$2:$D$622,MATCH(462,'Transfer Engine'!$C$2:$C$622,0)))</f>
        <v/>
      </c>
      <c r="E471">
        <f>IF(ISNA(MATCH(462,'Transfer Engine'!$C$2:$C$622,0)),"",INDEX('Compliance Database'!$E$2:$E$622,MATCH(462,'Transfer Engine'!$C$2:$C$622,0)))</f>
        <v/>
      </c>
      <c r="F471">
        <f>IF(ISNA(MATCH(462,'Transfer Engine'!$C$2:$C$622,0)),"",INDEX('Compliance Database'!$F$2:$F$622,MATCH(462,'Transfer Engine'!$C$2:$C$622,0)))</f>
        <v/>
      </c>
      <c r="G471">
        <f>IF(ISNA(MATCH(462,'Transfer Engine'!$C$2:$C$622,0)),"",INDEX('Compliance Database'!$G$2:$G$622,MATCH(462,'Transfer Engine'!$C$2:$C$622,0)))</f>
        <v/>
      </c>
      <c r="H471">
        <f>IF(ISNA(MATCH(462,'Transfer Engine'!$C$2:$C$622,0)),"",INDEX('Compliance Database'!$H$2:$H$622,MATCH(462,'Transfer Engine'!$C$2:$C$622,0)))</f>
        <v/>
      </c>
      <c r="I471" s="8">
        <f>IF(ISNA(MATCH(462,'Transfer Engine'!$C$2:$C$622,0)),"",INDEX('Compliance Database'!$I$2:$I$622,MATCH(462,'Transfer Engine'!$C$2:$C$622,0)))</f>
        <v/>
      </c>
      <c r="J471" s="8">
        <f>IF(ISNA(MATCH(462,'Transfer Engine'!$C$2:$C$622,0)),"",INDEX('Compliance Database'!$J$2:$J$622,MATCH(462,'Transfer Engine'!$C$2:$C$622,0)))</f>
        <v/>
      </c>
      <c r="K471">
        <f>IF(ISNA(MATCH(462,'Transfer Engine'!$C$2:$C$622,0)),"",INDEX('Compliance Database'!$K$2:$K$622,MATCH(462,'Transfer Engine'!$C$2:$C$622,0)))</f>
        <v/>
      </c>
      <c r="L471" s="8">
        <f>IF(ISNA(MATCH(462,'Transfer Engine'!$C$2:$C$622,0)),"",INDEX('Compliance Database'!$L$2:$L$622,MATCH(462,'Transfer Engine'!$C$2:$C$622,0)))</f>
        <v/>
      </c>
      <c r="M471" s="8">
        <f>IF(ISNA(MATCH(462,'Transfer Engine'!$C$2:$C$622,0)),"",INDEX('Compliance Database'!$M$2:$M$622,MATCH(462,'Transfer Engine'!$C$2:$C$622,0)))</f>
        <v/>
      </c>
      <c r="N471" s="8">
        <f>IF(ISNA(MATCH(462,'Transfer Engine'!$C$2:$C$622,0)),"",INDEX('Compliance Database'!$N$2:$N$622,MATCH(462,'Transfer Engine'!$C$2:$C$622,0)))</f>
        <v/>
      </c>
      <c r="O471" s="8">
        <f>IF(ISNA(MATCH(462,'Transfer Engine'!$C$2:$C$622,0)),"",INDEX('Compliance Database'!$O$2:$O$622,MATCH(462,'Transfer Engine'!$C$2:$C$622,0)))</f>
        <v/>
      </c>
    </row>
    <row r="472">
      <c r="A472">
        <f>IF(ISNA(MATCH(463,'Transfer Engine'!$C$2:$C$622,0)),"",INDEX('Compliance Database'!$A$2:$A$622,MATCH(463,'Transfer Engine'!$C$2:$C$622,0)))</f>
        <v/>
      </c>
      <c r="B472">
        <f>IF(ISNA(MATCH(463,'Transfer Engine'!$C$2:$C$622,0)),"",INDEX('Compliance Database'!$B$2:$B$622,MATCH(463,'Transfer Engine'!$C$2:$C$622,0)))</f>
        <v/>
      </c>
      <c r="C472">
        <f>IF(ISNA(MATCH(463,'Transfer Engine'!$C$2:$C$622,0)),"",INDEX('Compliance Database'!$C$2:$C$622,MATCH(463,'Transfer Engine'!$C$2:$C$622,0)))</f>
        <v/>
      </c>
      <c r="D472" s="8">
        <f>IF(ISNA(MATCH(463,'Transfer Engine'!$C$2:$C$622,0)),"",INDEX('Compliance Database'!$D$2:$D$622,MATCH(463,'Transfer Engine'!$C$2:$C$622,0)))</f>
        <v/>
      </c>
      <c r="E472">
        <f>IF(ISNA(MATCH(463,'Transfer Engine'!$C$2:$C$622,0)),"",INDEX('Compliance Database'!$E$2:$E$622,MATCH(463,'Transfer Engine'!$C$2:$C$622,0)))</f>
        <v/>
      </c>
      <c r="F472">
        <f>IF(ISNA(MATCH(463,'Transfer Engine'!$C$2:$C$622,0)),"",INDEX('Compliance Database'!$F$2:$F$622,MATCH(463,'Transfer Engine'!$C$2:$C$622,0)))</f>
        <v/>
      </c>
      <c r="G472">
        <f>IF(ISNA(MATCH(463,'Transfer Engine'!$C$2:$C$622,0)),"",INDEX('Compliance Database'!$G$2:$G$622,MATCH(463,'Transfer Engine'!$C$2:$C$622,0)))</f>
        <v/>
      </c>
      <c r="H472">
        <f>IF(ISNA(MATCH(463,'Transfer Engine'!$C$2:$C$622,0)),"",INDEX('Compliance Database'!$H$2:$H$622,MATCH(463,'Transfer Engine'!$C$2:$C$622,0)))</f>
        <v/>
      </c>
      <c r="I472" s="8">
        <f>IF(ISNA(MATCH(463,'Transfer Engine'!$C$2:$C$622,0)),"",INDEX('Compliance Database'!$I$2:$I$622,MATCH(463,'Transfer Engine'!$C$2:$C$622,0)))</f>
        <v/>
      </c>
      <c r="J472" s="8">
        <f>IF(ISNA(MATCH(463,'Transfer Engine'!$C$2:$C$622,0)),"",INDEX('Compliance Database'!$J$2:$J$622,MATCH(463,'Transfer Engine'!$C$2:$C$622,0)))</f>
        <v/>
      </c>
      <c r="K472">
        <f>IF(ISNA(MATCH(463,'Transfer Engine'!$C$2:$C$622,0)),"",INDEX('Compliance Database'!$K$2:$K$622,MATCH(463,'Transfer Engine'!$C$2:$C$622,0)))</f>
        <v/>
      </c>
      <c r="L472" s="8">
        <f>IF(ISNA(MATCH(463,'Transfer Engine'!$C$2:$C$622,0)),"",INDEX('Compliance Database'!$L$2:$L$622,MATCH(463,'Transfer Engine'!$C$2:$C$622,0)))</f>
        <v/>
      </c>
      <c r="M472" s="8">
        <f>IF(ISNA(MATCH(463,'Transfer Engine'!$C$2:$C$622,0)),"",INDEX('Compliance Database'!$M$2:$M$622,MATCH(463,'Transfer Engine'!$C$2:$C$622,0)))</f>
        <v/>
      </c>
      <c r="N472" s="8">
        <f>IF(ISNA(MATCH(463,'Transfer Engine'!$C$2:$C$622,0)),"",INDEX('Compliance Database'!$N$2:$N$622,MATCH(463,'Transfer Engine'!$C$2:$C$622,0)))</f>
        <v/>
      </c>
      <c r="O472" s="8">
        <f>IF(ISNA(MATCH(463,'Transfer Engine'!$C$2:$C$622,0)),"",INDEX('Compliance Database'!$O$2:$O$622,MATCH(463,'Transfer Engine'!$C$2:$C$622,0)))</f>
        <v/>
      </c>
    </row>
    <row r="473">
      <c r="A473">
        <f>IF(ISNA(MATCH(464,'Transfer Engine'!$C$2:$C$622,0)),"",INDEX('Compliance Database'!$A$2:$A$622,MATCH(464,'Transfer Engine'!$C$2:$C$622,0)))</f>
        <v/>
      </c>
      <c r="B473">
        <f>IF(ISNA(MATCH(464,'Transfer Engine'!$C$2:$C$622,0)),"",INDEX('Compliance Database'!$B$2:$B$622,MATCH(464,'Transfer Engine'!$C$2:$C$622,0)))</f>
        <v/>
      </c>
      <c r="C473">
        <f>IF(ISNA(MATCH(464,'Transfer Engine'!$C$2:$C$622,0)),"",INDEX('Compliance Database'!$C$2:$C$622,MATCH(464,'Transfer Engine'!$C$2:$C$622,0)))</f>
        <v/>
      </c>
      <c r="D473" s="8">
        <f>IF(ISNA(MATCH(464,'Transfer Engine'!$C$2:$C$622,0)),"",INDEX('Compliance Database'!$D$2:$D$622,MATCH(464,'Transfer Engine'!$C$2:$C$622,0)))</f>
        <v/>
      </c>
      <c r="E473">
        <f>IF(ISNA(MATCH(464,'Transfer Engine'!$C$2:$C$622,0)),"",INDEX('Compliance Database'!$E$2:$E$622,MATCH(464,'Transfer Engine'!$C$2:$C$622,0)))</f>
        <v/>
      </c>
      <c r="F473">
        <f>IF(ISNA(MATCH(464,'Transfer Engine'!$C$2:$C$622,0)),"",INDEX('Compliance Database'!$F$2:$F$622,MATCH(464,'Transfer Engine'!$C$2:$C$622,0)))</f>
        <v/>
      </c>
      <c r="G473">
        <f>IF(ISNA(MATCH(464,'Transfer Engine'!$C$2:$C$622,0)),"",INDEX('Compliance Database'!$G$2:$G$622,MATCH(464,'Transfer Engine'!$C$2:$C$622,0)))</f>
        <v/>
      </c>
      <c r="H473">
        <f>IF(ISNA(MATCH(464,'Transfer Engine'!$C$2:$C$622,0)),"",INDEX('Compliance Database'!$H$2:$H$622,MATCH(464,'Transfer Engine'!$C$2:$C$622,0)))</f>
        <v/>
      </c>
      <c r="I473" s="8">
        <f>IF(ISNA(MATCH(464,'Transfer Engine'!$C$2:$C$622,0)),"",INDEX('Compliance Database'!$I$2:$I$622,MATCH(464,'Transfer Engine'!$C$2:$C$622,0)))</f>
        <v/>
      </c>
      <c r="J473" s="8">
        <f>IF(ISNA(MATCH(464,'Transfer Engine'!$C$2:$C$622,0)),"",INDEX('Compliance Database'!$J$2:$J$622,MATCH(464,'Transfer Engine'!$C$2:$C$622,0)))</f>
        <v/>
      </c>
      <c r="K473">
        <f>IF(ISNA(MATCH(464,'Transfer Engine'!$C$2:$C$622,0)),"",INDEX('Compliance Database'!$K$2:$K$622,MATCH(464,'Transfer Engine'!$C$2:$C$622,0)))</f>
        <v/>
      </c>
      <c r="L473" s="8">
        <f>IF(ISNA(MATCH(464,'Transfer Engine'!$C$2:$C$622,0)),"",INDEX('Compliance Database'!$L$2:$L$622,MATCH(464,'Transfer Engine'!$C$2:$C$622,0)))</f>
        <v/>
      </c>
      <c r="M473" s="8">
        <f>IF(ISNA(MATCH(464,'Transfer Engine'!$C$2:$C$622,0)),"",INDEX('Compliance Database'!$M$2:$M$622,MATCH(464,'Transfer Engine'!$C$2:$C$622,0)))</f>
        <v/>
      </c>
      <c r="N473" s="8">
        <f>IF(ISNA(MATCH(464,'Transfer Engine'!$C$2:$C$622,0)),"",INDEX('Compliance Database'!$N$2:$N$622,MATCH(464,'Transfer Engine'!$C$2:$C$622,0)))</f>
        <v/>
      </c>
      <c r="O473" s="8">
        <f>IF(ISNA(MATCH(464,'Transfer Engine'!$C$2:$C$622,0)),"",INDEX('Compliance Database'!$O$2:$O$622,MATCH(464,'Transfer Engine'!$C$2:$C$622,0)))</f>
        <v/>
      </c>
    </row>
    <row r="474">
      <c r="A474">
        <f>IF(ISNA(MATCH(465,'Transfer Engine'!$C$2:$C$622,0)),"",INDEX('Compliance Database'!$A$2:$A$622,MATCH(465,'Transfer Engine'!$C$2:$C$622,0)))</f>
        <v/>
      </c>
      <c r="B474">
        <f>IF(ISNA(MATCH(465,'Transfer Engine'!$C$2:$C$622,0)),"",INDEX('Compliance Database'!$B$2:$B$622,MATCH(465,'Transfer Engine'!$C$2:$C$622,0)))</f>
        <v/>
      </c>
      <c r="C474">
        <f>IF(ISNA(MATCH(465,'Transfer Engine'!$C$2:$C$622,0)),"",INDEX('Compliance Database'!$C$2:$C$622,MATCH(465,'Transfer Engine'!$C$2:$C$622,0)))</f>
        <v/>
      </c>
      <c r="D474" s="8">
        <f>IF(ISNA(MATCH(465,'Transfer Engine'!$C$2:$C$622,0)),"",INDEX('Compliance Database'!$D$2:$D$622,MATCH(465,'Transfer Engine'!$C$2:$C$622,0)))</f>
        <v/>
      </c>
      <c r="E474">
        <f>IF(ISNA(MATCH(465,'Transfer Engine'!$C$2:$C$622,0)),"",INDEX('Compliance Database'!$E$2:$E$622,MATCH(465,'Transfer Engine'!$C$2:$C$622,0)))</f>
        <v/>
      </c>
      <c r="F474">
        <f>IF(ISNA(MATCH(465,'Transfer Engine'!$C$2:$C$622,0)),"",INDEX('Compliance Database'!$F$2:$F$622,MATCH(465,'Transfer Engine'!$C$2:$C$622,0)))</f>
        <v/>
      </c>
      <c r="G474">
        <f>IF(ISNA(MATCH(465,'Transfer Engine'!$C$2:$C$622,0)),"",INDEX('Compliance Database'!$G$2:$G$622,MATCH(465,'Transfer Engine'!$C$2:$C$622,0)))</f>
        <v/>
      </c>
      <c r="H474">
        <f>IF(ISNA(MATCH(465,'Transfer Engine'!$C$2:$C$622,0)),"",INDEX('Compliance Database'!$H$2:$H$622,MATCH(465,'Transfer Engine'!$C$2:$C$622,0)))</f>
        <v/>
      </c>
      <c r="I474" s="8">
        <f>IF(ISNA(MATCH(465,'Transfer Engine'!$C$2:$C$622,0)),"",INDEX('Compliance Database'!$I$2:$I$622,MATCH(465,'Transfer Engine'!$C$2:$C$622,0)))</f>
        <v/>
      </c>
      <c r="J474" s="8">
        <f>IF(ISNA(MATCH(465,'Transfer Engine'!$C$2:$C$622,0)),"",INDEX('Compliance Database'!$J$2:$J$622,MATCH(465,'Transfer Engine'!$C$2:$C$622,0)))</f>
        <v/>
      </c>
      <c r="K474">
        <f>IF(ISNA(MATCH(465,'Transfer Engine'!$C$2:$C$622,0)),"",INDEX('Compliance Database'!$K$2:$K$622,MATCH(465,'Transfer Engine'!$C$2:$C$622,0)))</f>
        <v/>
      </c>
      <c r="L474" s="8">
        <f>IF(ISNA(MATCH(465,'Transfer Engine'!$C$2:$C$622,0)),"",INDEX('Compliance Database'!$L$2:$L$622,MATCH(465,'Transfer Engine'!$C$2:$C$622,0)))</f>
        <v/>
      </c>
      <c r="M474" s="8">
        <f>IF(ISNA(MATCH(465,'Transfer Engine'!$C$2:$C$622,0)),"",INDEX('Compliance Database'!$M$2:$M$622,MATCH(465,'Transfer Engine'!$C$2:$C$622,0)))</f>
        <v/>
      </c>
      <c r="N474" s="8">
        <f>IF(ISNA(MATCH(465,'Transfer Engine'!$C$2:$C$622,0)),"",INDEX('Compliance Database'!$N$2:$N$622,MATCH(465,'Transfer Engine'!$C$2:$C$622,0)))</f>
        <v/>
      </c>
      <c r="O474" s="8">
        <f>IF(ISNA(MATCH(465,'Transfer Engine'!$C$2:$C$622,0)),"",INDEX('Compliance Database'!$O$2:$O$622,MATCH(465,'Transfer Engine'!$C$2:$C$622,0)))</f>
        <v/>
      </c>
    </row>
    <row r="475">
      <c r="A475">
        <f>IF(ISNA(MATCH(466,'Transfer Engine'!$C$2:$C$622,0)),"",INDEX('Compliance Database'!$A$2:$A$622,MATCH(466,'Transfer Engine'!$C$2:$C$622,0)))</f>
        <v/>
      </c>
      <c r="B475">
        <f>IF(ISNA(MATCH(466,'Transfer Engine'!$C$2:$C$622,0)),"",INDEX('Compliance Database'!$B$2:$B$622,MATCH(466,'Transfer Engine'!$C$2:$C$622,0)))</f>
        <v/>
      </c>
      <c r="C475">
        <f>IF(ISNA(MATCH(466,'Transfer Engine'!$C$2:$C$622,0)),"",INDEX('Compliance Database'!$C$2:$C$622,MATCH(466,'Transfer Engine'!$C$2:$C$622,0)))</f>
        <v/>
      </c>
      <c r="D475" s="8">
        <f>IF(ISNA(MATCH(466,'Transfer Engine'!$C$2:$C$622,0)),"",INDEX('Compliance Database'!$D$2:$D$622,MATCH(466,'Transfer Engine'!$C$2:$C$622,0)))</f>
        <v/>
      </c>
      <c r="E475">
        <f>IF(ISNA(MATCH(466,'Transfer Engine'!$C$2:$C$622,0)),"",INDEX('Compliance Database'!$E$2:$E$622,MATCH(466,'Transfer Engine'!$C$2:$C$622,0)))</f>
        <v/>
      </c>
      <c r="F475">
        <f>IF(ISNA(MATCH(466,'Transfer Engine'!$C$2:$C$622,0)),"",INDEX('Compliance Database'!$F$2:$F$622,MATCH(466,'Transfer Engine'!$C$2:$C$622,0)))</f>
        <v/>
      </c>
      <c r="G475">
        <f>IF(ISNA(MATCH(466,'Transfer Engine'!$C$2:$C$622,0)),"",INDEX('Compliance Database'!$G$2:$G$622,MATCH(466,'Transfer Engine'!$C$2:$C$622,0)))</f>
        <v/>
      </c>
      <c r="H475">
        <f>IF(ISNA(MATCH(466,'Transfer Engine'!$C$2:$C$622,0)),"",INDEX('Compliance Database'!$H$2:$H$622,MATCH(466,'Transfer Engine'!$C$2:$C$622,0)))</f>
        <v/>
      </c>
      <c r="I475" s="8">
        <f>IF(ISNA(MATCH(466,'Transfer Engine'!$C$2:$C$622,0)),"",INDEX('Compliance Database'!$I$2:$I$622,MATCH(466,'Transfer Engine'!$C$2:$C$622,0)))</f>
        <v/>
      </c>
      <c r="J475" s="8">
        <f>IF(ISNA(MATCH(466,'Transfer Engine'!$C$2:$C$622,0)),"",INDEX('Compliance Database'!$J$2:$J$622,MATCH(466,'Transfer Engine'!$C$2:$C$622,0)))</f>
        <v/>
      </c>
      <c r="K475">
        <f>IF(ISNA(MATCH(466,'Transfer Engine'!$C$2:$C$622,0)),"",INDEX('Compliance Database'!$K$2:$K$622,MATCH(466,'Transfer Engine'!$C$2:$C$622,0)))</f>
        <v/>
      </c>
      <c r="L475" s="8">
        <f>IF(ISNA(MATCH(466,'Transfer Engine'!$C$2:$C$622,0)),"",INDEX('Compliance Database'!$L$2:$L$622,MATCH(466,'Transfer Engine'!$C$2:$C$622,0)))</f>
        <v/>
      </c>
      <c r="M475" s="8">
        <f>IF(ISNA(MATCH(466,'Transfer Engine'!$C$2:$C$622,0)),"",INDEX('Compliance Database'!$M$2:$M$622,MATCH(466,'Transfer Engine'!$C$2:$C$622,0)))</f>
        <v/>
      </c>
      <c r="N475" s="8">
        <f>IF(ISNA(MATCH(466,'Transfer Engine'!$C$2:$C$622,0)),"",INDEX('Compliance Database'!$N$2:$N$622,MATCH(466,'Transfer Engine'!$C$2:$C$622,0)))</f>
        <v/>
      </c>
      <c r="O475" s="8">
        <f>IF(ISNA(MATCH(466,'Transfer Engine'!$C$2:$C$622,0)),"",INDEX('Compliance Database'!$O$2:$O$622,MATCH(466,'Transfer Engine'!$C$2:$C$622,0)))</f>
        <v/>
      </c>
    </row>
    <row r="476">
      <c r="A476">
        <f>IF(ISNA(MATCH(467,'Transfer Engine'!$C$2:$C$622,0)),"",INDEX('Compliance Database'!$A$2:$A$622,MATCH(467,'Transfer Engine'!$C$2:$C$622,0)))</f>
        <v/>
      </c>
      <c r="B476">
        <f>IF(ISNA(MATCH(467,'Transfer Engine'!$C$2:$C$622,0)),"",INDEX('Compliance Database'!$B$2:$B$622,MATCH(467,'Transfer Engine'!$C$2:$C$622,0)))</f>
        <v/>
      </c>
      <c r="C476">
        <f>IF(ISNA(MATCH(467,'Transfer Engine'!$C$2:$C$622,0)),"",INDEX('Compliance Database'!$C$2:$C$622,MATCH(467,'Transfer Engine'!$C$2:$C$622,0)))</f>
        <v/>
      </c>
      <c r="D476" s="8">
        <f>IF(ISNA(MATCH(467,'Transfer Engine'!$C$2:$C$622,0)),"",INDEX('Compliance Database'!$D$2:$D$622,MATCH(467,'Transfer Engine'!$C$2:$C$622,0)))</f>
        <v/>
      </c>
      <c r="E476">
        <f>IF(ISNA(MATCH(467,'Transfer Engine'!$C$2:$C$622,0)),"",INDEX('Compliance Database'!$E$2:$E$622,MATCH(467,'Transfer Engine'!$C$2:$C$622,0)))</f>
        <v/>
      </c>
      <c r="F476">
        <f>IF(ISNA(MATCH(467,'Transfer Engine'!$C$2:$C$622,0)),"",INDEX('Compliance Database'!$F$2:$F$622,MATCH(467,'Transfer Engine'!$C$2:$C$622,0)))</f>
        <v/>
      </c>
      <c r="G476">
        <f>IF(ISNA(MATCH(467,'Transfer Engine'!$C$2:$C$622,0)),"",INDEX('Compliance Database'!$G$2:$G$622,MATCH(467,'Transfer Engine'!$C$2:$C$622,0)))</f>
        <v/>
      </c>
      <c r="H476">
        <f>IF(ISNA(MATCH(467,'Transfer Engine'!$C$2:$C$622,0)),"",INDEX('Compliance Database'!$H$2:$H$622,MATCH(467,'Transfer Engine'!$C$2:$C$622,0)))</f>
        <v/>
      </c>
      <c r="I476" s="8">
        <f>IF(ISNA(MATCH(467,'Transfer Engine'!$C$2:$C$622,0)),"",INDEX('Compliance Database'!$I$2:$I$622,MATCH(467,'Transfer Engine'!$C$2:$C$622,0)))</f>
        <v/>
      </c>
      <c r="J476" s="8">
        <f>IF(ISNA(MATCH(467,'Transfer Engine'!$C$2:$C$622,0)),"",INDEX('Compliance Database'!$J$2:$J$622,MATCH(467,'Transfer Engine'!$C$2:$C$622,0)))</f>
        <v/>
      </c>
      <c r="K476">
        <f>IF(ISNA(MATCH(467,'Transfer Engine'!$C$2:$C$622,0)),"",INDEX('Compliance Database'!$K$2:$K$622,MATCH(467,'Transfer Engine'!$C$2:$C$622,0)))</f>
        <v/>
      </c>
      <c r="L476" s="8">
        <f>IF(ISNA(MATCH(467,'Transfer Engine'!$C$2:$C$622,0)),"",INDEX('Compliance Database'!$L$2:$L$622,MATCH(467,'Transfer Engine'!$C$2:$C$622,0)))</f>
        <v/>
      </c>
      <c r="M476" s="8">
        <f>IF(ISNA(MATCH(467,'Transfer Engine'!$C$2:$C$622,0)),"",INDEX('Compliance Database'!$M$2:$M$622,MATCH(467,'Transfer Engine'!$C$2:$C$622,0)))</f>
        <v/>
      </c>
      <c r="N476" s="8">
        <f>IF(ISNA(MATCH(467,'Transfer Engine'!$C$2:$C$622,0)),"",INDEX('Compliance Database'!$N$2:$N$622,MATCH(467,'Transfer Engine'!$C$2:$C$622,0)))</f>
        <v/>
      </c>
      <c r="O476" s="8">
        <f>IF(ISNA(MATCH(467,'Transfer Engine'!$C$2:$C$622,0)),"",INDEX('Compliance Database'!$O$2:$O$622,MATCH(467,'Transfer Engine'!$C$2:$C$622,0)))</f>
        <v/>
      </c>
    </row>
    <row r="477">
      <c r="A477">
        <f>IF(ISNA(MATCH(468,'Transfer Engine'!$C$2:$C$622,0)),"",INDEX('Compliance Database'!$A$2:$A$622,MATCH(468,'Transfer Engine'!$C$2:$C$622,0)))</f>
        <v/>
      </c>
      <c r="B477">
        <f>IF(ISNA(MATCH(468,'Transfer Engine'!$C$2:$C$622,0)),"",INDEX('Compliance Database'!$B$2:$B$622,MATCH(468,'Transfer Engine'!$C$2:$C$622,0)))</f>
        <v/>
      </c>
      <c r="C477">
        <f>IF(ISNA(MATCH(468,'Transfer Engine'!$C$2:$C$622,0)),"",INDEX('Compliance Database'!$C$2:$C$622,MATCH(468,'Transfer Engine'!$C$2:$C$622,0)))</f>
        <v/>
      </c>
      <c r="D477" s="8">
        <f>IF(ISNA(MATCH(468,'Transfer Engine'!$C$2:$C$622,0)),"",INDEX('Compliance Database'!$D$2:$D$622,MATCH(468,'Transfer Engine'!$C$2:$C$622,0)))</f>
        <v/>
      </c>
      <c r="E477">
        <f>IF(ISNA(MATCH(468,'Transfer Engine'!$C$2:$C$622,0)),"",INDEX('Compliance Database'!$E$2:$E$622,MATCH(468,'Transfer Engine'!$C$2:$C$622,0)))</f>
        <v/>
      </c>
      <c r="F477">
        <f>IF(ISNA(MATCH(468,'Transfer Engine'!$C$2:$C$622,0)),"",INDEX('Compliance Database'!$F$2:$F$622,MATCH(468,'Transfer Engine'!$C$2:$C$622,0)))</f>
        <v/>
      </c>
      <c r="G477">
        <f>IF(ISNA(MATCH(468,'Transfer Engine'!$C$2:$C$622,0)),"",INDEX('Compliance Database'!$G$2:$G$622,MATCH(468,'Transfer Engine'!$C$2:$C$622,0)))</f>
        <v/>
      </c>
      <c r="H477">
        <f>IF(ISNA(MATCH(468,'Transfer Engine'!$C$2:$C$622,0)),"",INDEX('Compliance Database'!$H$2:$H$622,MATCH(468,'Transfer Engine'!$C$2:$C$622,0)))</f>
        <v/>
      </c>
      <c r="I477" s="8">
        <f>IF(ISNA(MATCH(468,'Transfer Engine'!$C$2:$C$622,0)),"",INDEX('Compliance Database'!$I$2:$I$622,MATCH(468,'Transfer Engine'!$C$2:$C$622,0)))</f>
        <v/>
      </c>
      <c r="J477" s="8">
        <f>IF(ISNA(MATCH(468,'Transfer Engine'!$C$2:$C$622,0)),"",INDEX('Compliance Database'!$J$2:$J$622,MATCH(468,'Transfer Engine'!$C$2:$C$622,0)))</f>
        <v/>
      </c>
      <c r="K477">
        <f>IF(ISNA(MATCH(468,'Transfer Engine'!$C$2:$C$622,0)),"",INDEX('Compliance Database'!$K$2:$K$622,MATCH(468,'Transfer Engine'!$C$2:$C$622,0)))</f>
        <v/>
      </c>
      <c r="L477" s="8">
        <f>IF(ISNA(MATCH(468,'Transfer Engine'!$C$2:$C$622,0)),"",INDEX('Compliance Database'!$L$2:$L$622,MATCH(468,'Transfer Engine'!$C$2:$C$622,0)))</f>
        <v/>
      </c>
      <c r="M477" s="8">
        <f>IF(ISNA(MATCH(468,'Transfer Engine'!$C$2:$C$622,0)),"",INDEX('Compliance Database'!$M$2:$M$622,MATCH(468,'Transfer Engine'!$C$2:$C$622,0)))</f>
        <v/>
      </c>
      <c r="N477" s="8">
        <f>IF(ISNA(MATCH(468,'Transfer Engine'!$C$2:$C$622,0)),"",INDEX('Compliance Database'!$N$2:$N$622,MATCH(468,'Transfer Engine'!$C$2:$C$622,0)))</f>
        <v/>
      </c>
      <c r="O477" s="8">
        <f>IF(ISNA(MATCH(468,'Transfer Engine'!$C$2:$C$622,0)),"",INDEX('Compliance Database'!$O$2:$O$622,MATCH(468,'Transfer Engine'!$C$2:$C$622,0)))</f>
        <v/>
      </c>
    </row>
    <row r="478">
      <c r="A478">
        <f>IF(ISNA(MATCH(469,'Transfer Engine'!$C$2:$C$622,0)),"",INDEX('Compliance Database'!$A$2:$A$622,MATCH(469,'Transfer Engine'!$C$2:$C$622,0)))</f>
        <v/>
      </c>
      <c r="B478">
        <f>IF(ISNA(MATCH(469,'Transfer Engine'!$C$2:$C$622,0)),"",INDEX('Compliance Database'!$B$2:$B$622,MATCH(469,'Transfer Engine'!$C$2:$C$622,0)))</f>
        <v/>
      </c>
      <c r="C478">
        <f>IF(ISNA(MATCH(469,'Transfer Engine'!$C$2:$C$622,0)),"",INDEX('Compliance Database'!$C$2:$C$622,MATCH(469,'Transfer Engine'!$C$2:$C$622,0)))</f>
        <v/>
      </c>
      <c r="D478" s="8">
        <f>IF(ISNA(MATCH(469,'Transfer Engine'!$C$2:$C$622,0)),"",INDEX('Compliance Database'!$D$2:$D$622,MATCH(469,'Transfer Engine'!$C$2:$C$622,0)))</f>
        <v/>
      </c>
      <c r="E478">
        <f>IF(ISNA(MATCH(469,'Transfer Engine'!$C$2:$C$622,0)),"",INDEX('Compliance Database'!$E$2:$E$622,MATCH(469,'Transfer Engine'!$C$2:$C$622,0)))</f>
        <v/>
      </c>
      <c r="F478">
        <f>IF(ISNA(MATCH(469,'Transfer Engine'!$C$2:$C$622,0)),"",INDEX('Compliance Database'!$F$2:$F$622,MATCH(469,'Transfer Engine'!$C$2:$C$622,0)))</f>
        <v/>
      </c>
      <c r="G478">
        <f>IF(ISNA(MATCH(469,'Transfer Engine'!$C$2:$C$622,0)),"",INDEX('Compliance Database'!$G$2:$G$622,MATCH(469,'Transfer Engine'!$C$2:$C$622,0)))</f>
        <v/>
      </c>
      <c r="H478">
        <f>IF(ISNA(MATCH(469,'Transfer Engine'!$C$2:$C$622,0)),"",INDEX('Compliance Database'!$H$2:$H$622,MATCH(469,'Transfer Engine'!$C$2:$C$622,0)))</f>
        <v/>
      </c>
      <c r="I478" s="8">
        <f>IF(ISNA(MATCH(469,'Transfer Engine'!$C$2:$C$622,0)),"",INDEX('Compliance Database'!$I$2:$I$622,MATCH(469,'Transfer Engine'!$C$2:$C$622,0)))</f>
        <v/>
      </c>
      <c r="J478" s="8">
        <f>IF(ISNA(MATCH(469,'Transfer Engine'!$C$2:$C$622,0)),"",INDEX('Compliance Database'!$J$2:$J$622,MATCH(469,'Transfer Engine'!$C$2:$C$622,0)))</f>
        <v/>
      </c>
      <c r="K478">
        <f>IF(ISNA(MATCH(469,'Transfer Engine'!$C$2:$C$622,0)),"",INDEX('Compliance Database'!$K$2:$K$622,MATCH(469,'Transfer Engine'!$C$2:$C$622,0)))</f>
        <v/>
      </c>
      <c r="L478" s="8">
        <f>IF(ISNA(MATCH(469,'Transfer Engine'!$C$2:$C$622,0)),"",INDEX('Compliance Database'!$L$2:$L$622,MATCH(469,'Transfer Engine'!$C$2:$C$622,0)))</f>
        <v/>
      </c>
      <c r="M478" s="8">
        <f>IF(ISNA(MATCH(469,'Transfer Engine'!$C$2:$C$622,0)),"",INDEX('Compliance Database'!$M$2:$M$622,MATCH(469,'Transfer Engine'!$C$2:$C$622,0)))</f>
        <v/>
      </c>
      <c r="N478" s="8">
        <f>IF(ISNA(MATCH(469,'Transfer Engine'!$C$2:$C$622,0)),"",INDEX('Compliance Database'!$N$2:$N$622,MATCH(469,'Transfer Engine'!$C$2:$C$622,0)))</f>
        <v/>
      </c>
      <c r="O478" s="8">
        <f>IF(ISNA(MATCH(469,'Transfer Engine'!$C$2:$C$622,0)),"",INDEX('Compliance Database'!$O$2:$O$622,MATCH(469,'Transfer Engine'!$C$2:$C$622,0)))</f>
        <v/>
      </c>
    </row>
    <row r="479">
      <c r="A479">
        <f>IF(ISNA(MATCH(470,'Transfer Engine'!$C$2:$C$622,0)),"",INDEX('Compliance Database'!$A$2:$A$622,MATCH(470,'Transfer Engine'!$C$2:$C$622,0)))</f>
        <v/>
      </c>
      <c r="B479">
        <f>IF(ISNA(MATCH(470,'Transfer Engine'!$C$2:$C$622,0)),"",INDEX('Compliance Database'!$B$2:$B$622,MATCH(470,'Transfer Engine'!$C$2:$C$622,0)))</f>
        <v/>
      </c>
      <c r="C479">
        <f>IF(ISNA(MATCH(470,'Transfer Engine'!$C$2:$C$622,0)),"",INDEX('Compliance Database'!$C$2:$C$622,MATCH(470,'Transfer Engine'!$C$2:$C$622,0)))</f>
        <v/>
      </c>
      <c r="D479" s="8">
        <f>IF(ISNA(MATCH(470,'Transfer Engine'!$C$2:$C$622,0)),"",INDEX('Compliance Database'!$D$2:$D$622,MATCH(470,'Transfer Engine'!$C$2:$C$622,0)))</f>
        <v/>
      </c>
      <c r="E479">
        <f>IF(ISNA(MATCH(470,'Transfer Engine'!$C$2:$C$622,0)),"",INDEX('Compliance Database'!$E$2:$E$622,MATCH(470,'Transfer Engine'!$C$2:$C$622,0)))</f>
        <v/>
      </c>
      <c r="F479">
        <f>IF(ISNA(MATCH(470,'Transfer Engine'!$C$2:$C$622,0)),"",INDEX('Compliance Database'!$F$2:$F$622,MATCH(470,'Transfer Engine'!$C$2:$C$622,0)))</f>
        <v/>
      </c>
      <c r="G479">
        <f>IF(ISNA(MATCH(470,'Transfer Engine'!$C$2:$C$622,0)),"",INDEX('Compliance Database'!$G$2:$G$622,MATCH(470,'Transfer Engine'!$C$2:$C$622,0)))</f>
        <v/>
      </c>
      <c r="H479">
        <f>IF(ISNA(MATCH(470,'Transfer Engine'!$C$2:$C$622,0)),"",INDEX('Compliance Database'!$H$2:$H$622,MATCH(470,'Transfer Engine'!$C$2:$C$622,0)))</f>
        <v/>
      </c>
      <c r="I479" s="8">
        <f>IF(ISNA(MATCH(470,'Transfer Engine'!$C$2:$C$622,0)),"",INDEX('Compliance Database'!$I$2:$I$622,MATCH(470,'Transfer Engine'!$C$2:$C$622,0)))</f>
        <v/>
      </c>
      <c r="J479" s="8">
        <f>IF(ISNA(MATCH(470,'Transfer Engine'!$C$2:$C$622,0)),"",INDEX('Compliance Database'!$J$2:$J$622,MATCH(470,'Transfer Engine'!$C$2:$C$622,0)))</f>
        <v/>
      </c>
      <c r="K479">
        <f>IF(ISNA(MATCH(470,'Transfer Engine'!$C$2:$C$622,0)),"",INDEX('Compliance Database'!$K$2:$K$622,MATCH(470,'Transfer Engine'!$C$2:$C$622,0)))</f>
        <v/>
      </c>
      <c r="L479" s="8">
        <f>IF(ISNA(MATCH(470,'Transfer Engine'!$C$2:$C$622,0)),"",INDEX('Compliance Database'!$L$2:$L$622,MATCH(470,'Transfer Engine'!$C$2:$C$622,0)))</f>
        <v/>
      </c>
      <c r="M479" s="8">
        <f>IF(ISNA(MATCH(470,'Transfer Engine'!$C$2:$C$622,0)),"",INDEX('Compliance Database'!$M$2:$M$622,MATCH(470,'Transfer Engine'!$C$2:$C$622,0)))</f>
        <v/>
      </c>
      <c r="N479" s="8">
        <f>IF(ISNA(MATCH(470,'Transfer Engine'!$C$2:$C$622,0)),"",INDEX('Compliance Database'!$N$2:$N$622,MATCH(470,'Transfer Engine'!$C$2:$C$622,0)))</f>
        <v/>
      </c>
      <c r="O479" s="8">
        <f>IF(ISNA(MATCH(470,'Transfer Engine'!$C$2:$C$622,0)),"",INDEX('Compliance Database'!$O$2:$O$622,MATCH(470,'Transfer Engine'!$C$2:$C$622,0)))</f>
        <v/>
      </c>
    </row>
    <row r="480">
      <c r="A480">
        <f>IF(ISNA(MATCH(471,'Transfer Engine'!$C$2:$C$622,0)),"",INDEX('Compliance Database'!$A$2:$A$622,MATCH(471,'Transfer Engine'!$C$2:$C$622,0)))</f>
        <v/>
      </c>
      <c r="B480">
        <f>IF(ISNA(MATCH(471,'Transfer Engine'!$C$2:$C$622,0)),"",INDEX('Compliance Database'!$B$2:$B$622,MATCH(471,'Transfer Engine'!$C$2:$C$622,0)))</f>
        <v/>
      </c>
      <c r="C480">
        <f>IF(ISNA(MATCH(471,'Transfer Engine'!$C$2:$C$622,0)),"",INDEX('Compliance Database'!$C$2:$C$622,MATCH(471,'Transfer Engine'!$C$2:$C$622,0)))</f>
        <v/>
      </c>
      <c r="D480" s="8">
        <f>IF(ISNA(MATCH(471,'Transfer Engine'!$C$2:$C$622,0)),"",INDEX('Compliance Database'!$D$2:$D$622,MATCH(471,'Transfer Engine'!$C$2:$C$622,0)))</f>
        <v/>
      </c>
      <c r="E480">
        <f>IF(ISNA(MATCH(471,'Transfer Engine'!$C$2:$C$622,0)),"",INDEX('Compliance Database'!$E$2:$E$622,MATCH(471,'Transfer Engine'!$C$2:$C$622,0)))</f>
        <v/>
      </c>
      <c r="F480">
        <f>IF(ISNA(MATCH(471,'Transfer Engine'!$C$2:$C$622,0)),"",INDEX('Compliance Database'!$F$2:$F$622,MATCH(471,'Transfer Engine'!$C$2:$C$622,0)))</f>
        <v/>
      </c>
      <c r="G480">
        <f>IF(ISNA(MATCH(471,'Transfer Engine'!$C$2:$C$622,0)),"",INDEX('Compliance Database'!$G$2:$G$622,MATCH(471,'Transfer Engine'!$C$2:$C$622,0)))</f>
        <v/>
      </c>
      <c r="H480">
        <f>IF(ISNA(MATCH(471,'Transfer Engine'!$C$2:$C$622,0)),"",INDEX('Compliance Database'!$H$2:$H$622,MATCH(471,'Transfer Engine'!$C$2:$C$622,0)))</f>
        <v/>
      </c>
      <c r="I480" s="8">
        <f>IF(ISNA(MATCH(471,'Transfer Engine'!$C$2:$C$622,0)),"",INDEX('Compliance Database'!$I$2:$I$622,MATCH(471,'Transfer Engine'!$C$2:$C$622,0)))</f>
        <v/>
      </c>
      <c r="J480" s="8">
        <f>IF(ISNA(MATCH(471,'Transfer Engine'!$C$2:$C$622,0)),"",INDEX('Compliance Database'!$J$2:$J$622,MATCH(471,'Transfer Engine'!$C$2:$C$622,0)))</f>
        <v/>
      </c>
      <c r="K480">
        <f>IF(ISNA(MATCH(471,'Transfer Engine'!$C$2:$C$622,0)),"",INDEX('Compliance Database'!$K$2:$K$622,MATCH(471,'Transfer Engine'!$C$2:$C$622,0)))</f>
        <v/>
      </c>
      <c r="L480" s="8">
        <f>IF(ISNA(MATCH(471,'Transfer Engine'!$C$2:$C$622,0)),"",INDEX('Compliance Database'!$L$2:$L$622,MATCH(471,'Transfer Engine'!$C$2:$C$622,0)))</f>
        <v/>
      </c>
      <c r="M480" s="8">
        <f>IF(ISNA(MATCH(471,'Transfer Engine'!$C$2:$C$622,0)),"",INDEX('Compliance Database'!$M$2:$M$622,MATCH(471,'Transfer Engine'!$C$2:$C$622,0)))</f>
        <v/>
      </c>
      <c r="N480" s="8">
        <f>IF(ISNA(MATCH(471,'Transfer Engine'!$C$2:$C$622,0)),"",INDEX('Compliance Database'!$N$2:$N$622,MATCH(471,'Transfer Engine'!$C$2:$C$622,0)))</f>
        <v/>
      </c>
      <c r="O480" s="8">
        <f>IF(ISNA(MATCH(471,'Transfer Engine'!$C$2:$C$622,0)),"",INDEX('Compliance Database'!$O$2:$O$622,MATCH(471,'Transfer Engine'!$C$2:$C$622,0)))</f>
        <v/>
      </c>
    </row>
    <row r="481">
      <c r="A481">
        <f>IF(ISNA(MATCH(472,'Transfer Engine'!$C$2:$C$622,0)),"",INDEX('Compliance Database'!$A$2:$A$622,MATCH(472,'Transfer Engine'!$C$2:$C$622,0)))</f>
        <v/>
      </c>
      <c r="B481">
        <f>IF(ISNA(MATCH(472,'Transfer Engine'!$C$2:$C$622,0)),"",INDEX('Compliance Database'!$B$2:$B$622,MATCH(472,'Transfer Engine'!$C$2:$C$622,0)))</f>
        <v/>
      </c>
      <c r="C481">
        <f>IF(ISNA(MATCH(472,'Transfer Engine'!$C$2:$C$622,0)),"",INDEX('Compliance Database'!$C$2:$C$622,MATCH(472,'Transfer Engine'!$C$2:$C$622,0)))</f>
        <v/>
      </c>
      <c r="D481" s="8">
        <f>IF(ISNA(MATCH(472,'Transfer Engine'!$C$2:$C$622,0)),"",INDEX('Compliance Database'!$D$2:$D$622,MATCH(472,'Transfer Engine'!$C$2:$C$622,0)))</f>
        <v/>
      </c>
      <c r="E481">
        <f>IF(ISNA(MATCH(472,'Transfer Engine'!$C$2:$C$622,0)),"",INDEX('Compliance Database'!$E$2:$E$622,MATCH(472,'Transfer Engine'!$C$2:$C$622,0)))</f>
        <v/>
      </c>
      <c r="F481">
        <f>IF(ISNA(MATCH(472,'Transfer Engine'!$C$2:$C$622,0)),"",INDEX('Compliance Database'!$F$2:$F$622,MATCH(472,'Transfer Engine'!$C$2:$C$622,0)))</f>
        <v/>
      </c>
      <c r="G481">
        <f>IF(ISNA(MATCH(472,'Transfer Engine'!$C$2:$C$622,0)),"",INDEX('Compliance Database'!$G$2:$G$622,MATCH(472,'Transfer Engine'!$C$2:$C$622,0)))</f>
        <v/>
      </c>
      <c r="H481">
        <f>IF(ISNA(MATCH(472,'Transfer Engine'!$C$2:$C$622,0)),"",INDEX('Compliance Database'!$H$2:$H$622,MATCH(472,'Transfer Engine'!$C$2:$C$622,0)))</f>
        <v/>
      </c>
      <c r="I481" s="8">
        <f>IF(ISNA(MATCH(472,'Transfer Engine'!$C$2:$C$622,0)),"",INDEX('Compliance Database'!$I$2:$I$622,MATCH(472,'Transfer Engine'!$C$2:$C$622,0)))</f>
        <v/>
      </c>
      <c r="J481" s="8">
        <f>IF(ISNA(MATCH(472,'Transfer Engine'!$C$2:$C$622,0)),"",INDEX('Compliance Database'!$J$2:$J$622,MATCH(472,'Transfer Engine'!$C$2:$C$622,0)))</f>
        <v/>
      </c>
      <c r="K481">
        <f>IF(ISNA(MATCH(472,'Transfer Engine'!$C$2:$C$622,0)),"",INDEX('Compliance Database'!$K$2:$K$622,MATCH(472,'Transfer Engine'!$C$2:$C$622,0)))</f>
        <v/>
      </c>
      <c r="L481" s="8">
        <f>IF(ISNA(MATCH(472,'Transfer Engine'!$C$2:$C$622,0)),"",INDEX('Compliance Database'!$L$2:$L$622,MATCH(472,'Transfer Engine'!$C$2:$C$622,0)))</f>
        <v/>
      </c>
      <c r="M481" s="8">
        <f>IF(ISNA(MATCH(472,'Transfer Engine'!$C$2:$C$622,0)),"",INDEX('Compliance Database'!$M$2:$M$622,MATCH(472,'Transfer Engine'!$C$2:$C$622,0)))</f>
        <v/>
      </c>
      <c r="N481" s="8">
        <f>IF(ISNA(MATCH(472,'Transfer Engine'!$C$2:$C$622,0)),"",INDEX('Compliance Database'!$N$2:$N$622,MATCH(472,'Transfer Engine'!$C$2:$C$622,0)))</f>
        <v/>
      </c>
      <c r="O481" s="8">
        <f>IF(ISNA(MATCH(472,'Transfer Engine'!$C$2:$C$622,0)),"",INDEX('Compliance Database'!$O$2:$O$622,MATCH(472,'Transfer Engine'!$C$2:$C$622,0)))</f>
        <v/>
      </c>
    </row>
    <row r="482">
      <c r="A482">
        <f>IF(ISNA(MATCH(473,'Transfer Engine'!$C$2:$C$622,0)),"",INDEX('Compliance Database'!$A$2:$A$622,MATCH(473,'Transfer Engine'!$C$2:$C$622,0)))</f>
        <v/>
      </c>
      <c r="B482">
        <f>IF(ISNA(MATCH(473,'Transfer Engine'!$C$2:$C$622,0)),"",INDEX('Compliance Database'!$B$2:$B$622,MATCH(473,'Transfer Engine'!$C$2:$C$622,0)))</f>
        <v/>
      </c>
      <c r="C482">
        <f>IF(ISNA(MATCH(473,'Transfer Engine'!$C$2:$C$622,0)),"",INDEX('Compliance Database'!$C$2:$C$622,MATCH(473,'Transfer Engine'!$C$2:$C$622,0)))</f>
        <v/>
      </c>
      <c r="D482" s="8">
        <f>IF(ISNA(MATCH(473,'Transfer Engine'!$C$2:$C$622,0)),"",INDEX('Compliance Database'!$D$2:$D$622,MATCH(473,'Transfer Engine'!$C$2:$C$622,0)))</f>
        <v/>
      </c>
      <c r="E482">
        <f>IF(ISNA(MATCH(473,'Transfer Engine'!$C$2:$C$622,0)),"",INDEX('Compliance Database'!$E$2:$E$622,MATCH(473,'Transfer Engine'!$C$2:$C$622,0)))</f>
        <v/>
      </c>
      <c r="F482">
        <f>IF(ISNA(MATCH(473,'Transfer Engine'!$C$2:$C$622,0)),"",INDEX('Compliance Database'!$F$2:$F$622,MATCH(473,'Transfer Engine'!$C$2:$C$622,0)))</f>
        <v/>
      </c>
      <c r="G482">
        <f>IF(ISNA(MATCH(473,'Transfer Engine'!$C$2:$C$622,0)),"",INDEX('Compliance Database'!$G$2:$G$622,MATCH(473,'Transfer Engine'!$C$2:$C$622,0)))</f>
        <v/>
      </c>
      <c r="H482">
        <f>IF(ISNA(MATCH(473,'Transfer Engine'!$C$2:$C$622,0)),"",INDEX('Compliance Database'!$H$2:$H$622,MATCH(473,'Transfer Engine'!$C$2:$C$622,0)))</f>
        <v/>
      </c>
      <c r="I482" s="8">
        <f>IF(ISNA(MATCH(473,'Transfer Engine'!$C$2:$C$622,0)),"",INDEX('Compliance Database'!$I$2:$I$622,MATCH(473,'Transfer Engine'!$C$2:$C$622,0)))</f>
        <v/>
      </c>
      <c r="J482" s="8">
        <f>IF(ISNA(MATCH(473,'Transfer Engine'!$C$2:$C$622,0)),"",INDEX('Compliance Database'!$J$2:$J$622,MATCH(473,'Transfer Engine'!$C$2:$C$622,0)))</f>
        <v/>
      </c>
      <c r="K482">
        <f>IF(ISNA(MATCH(473,'Transfer Engine'!$C$2:$C$622,0)),"",INDEX('Compliance Database'!$K$2:$K$622,MATCH(473,'Transfer Engine'!$C$2:$C$622,0)))</f>
        <v/>
      </c>
      <c r="L482" s="8">
        <f>IF(ISNA(MATCH(473,'Transfer Engine'!$C$2:$C$622,0)),"",INDEX('Compliance Database'!$L$2:$L$622,MATCH(473,'Transfer Engine'!$C$2:$C$622,0)))</f>
        <v/>
      </c>
      <c r="M482" s="8">
        <f>IF(ISNA(MATCH(473,'Transfer Engine'!$C$2:$C$622,0)),"",INDEX('Compliance Database'!$M$2:$M$622,MATCH(473,'Transfer Engine'!$C$2:$C$622,0)))</f>
        <v/>
      </c>
      <c r="N482" s="8">
        <f>IF(ISNA(MATCH(473,'Transfer Engine'!$C$2:$C$622,0)),"",INDEX('Compliance Database'!$N$2:$N$622,MATCH(473,'Transfer Engine'!$C$2:$C$622,0)))</f>
        <v/>
      </c>
      <c r="O482" s="8">
        <f>IF(ISNA(MATCH(473,'Transfer Engine'!$C$2:$C$622,0)),"",INDEX('Compliance Database'!$O$2:$O$622,MATCH(473,'Transfer Engine'!$C$2:$C$622,0)))</f>
        <v/>
      </c>
    </row>
    <row r="483">
      <c r="A483">
        <f>IF(ISNA(MATCH(474,'Transfer Engine'!$C$2:$C$622,0)),"",INDEX('Compliance Database'!$A$2:$A$622,MATCH(474,'Transfer Engine'!$C$2:$C$622,0)))</f>
        <v/>
      </c>
      <c r="B483">
        <f>IF(ISNA(MATCH(474,'Transfer Engine'!$C$2:$C$622,0)),"",INDEX('Compliance Database'!$B$2:$B$622,MATCH(474,'Transfer Engine'!$C$2:$C$622,0)))</f>
        <v/>
      </c>
      <c r="C483">
        <f>IF(ISNA(MATCH(474,'Transfer Engine'!$C$2:$C$622,0)),"",INDEX('Compliance Database'!$C$2:$C$622,MATCH(474,'Transfer Engine'!$C$2:$C$622,0)))</f>
        <v/>
      </c>
      <c r="D483" s="8">
        <f>IF(ISNA(MATCH(474,'Transfer Engine'!$C$2:$C$622,0)),"",INDEX('Compliance Database'!$D$2:$D$622,MATCH(474,'Transfer Engine'!$C$2:$C$622,0)))</f>
        <v/>
      </c>
      <c r="E483">
        <f>IF(ISNA(MATCH(474,'Transfer Engine'!$C$2:$C$622,0)),"",INDEX('Compliance Database'!$E$2:$E$622,MATCH(474,'Transfer Engine'!$C$2:$C$622,0)))</f>
        <v/>
      </c>
      <c r="F483">
        <f>IF(ISNA(MATCH(474,'Transfer Engine'!$C$2:$C$622,0)),"",INDEX('Compliance Database'!$F$2:$F$622,MATCH(474,'Transfer Engine'!$C$2:$C$622,0)))</f>
        <v/>
      </c>
      <c r="G483">
        <f>IF(ISNA(MATCH(474,'Transfer Engine'!$C$2:$C$622,0)),"",INDEX('Compliance Database'!$G$2:$G$622,MATCH(474,'Transfer Engine'!$C$2:$C$622,0)))</f>
        <v/>
      </c>
      <c r="H483">
        <f>IF(ISNA(MATCH(474,'Transfer Engine'!$C$2:$C$622,0)),"",INDEX('Compliance Database'!$H$2:$H$622,MATCH(474,'Transfer Engine'!$C$2:$C$622,0)))</f>
        <v/>
      </c>
      <c r="I483" s="8">
        <f>IF(ISNA(MATCH(474,'Transfer Engine'!$C$2:$C$622,0)),"",INDEX('Compliance Database'!$I$2:$I$622,MATCH(474,'Transfer Engine'!$C$2:$C$622,0)))</f>
        <v/>
      </c>
      <c r="J483" s="8">
        <f>IF(ISNA(MATCH(474,'Transfer Engine'!$C$2:$C$622,0)),"",INDEX('Compliance Database'!$J$2:$J$622,MATCH(474,'Transfer Engine'!$C$2:$C$622,0)))</f>
        <v/>
      </c>
      <c r="K483">
        <f>IF(ISNA(MATCH(474,'Transfer Engine'!$C$2:$C$622,0)),"",INDEX('Compliance Database'!$K$2:$K$622,MATCH(474,'Transfer Engine'!$C$2:$C$622,0)))</f>
        <v/>
      </c>
      <c r="L483" s="8">
        <f>IF(ISNA(MATCH(474,'Transfer Engine'!$C$2:$C$622,0)),"",INDEX('Compliance Database'!$L$2:$L$622,MATCH(474,'Transfer Engine'!$C$2:$C$622,0)))</f>
        <v/>
      </c>
      <c r="M483" s="8">
        <f>IF(ISNA(MATCH(474,'Transfer Engine'!$C$2:$C$622,0)),"",INDEX('Compliance Database'!$M$2:$M$622,MATCH(474,'Transfer Engine'!$C$2:$C$622,0)))</f>
        <v/>
      </c>
      <c r="N483" s="8">
        <f>IF(ISNA(MATCH(474,'Transfer Engine'!$C$2:$C$622,0)),"",INDEX('Compliance Database'!$N$2:$N$622,MATCH(474,'Transfer Engine'!$C$2:$C$622,0)))</f>
        <v/>
      </c>
      <c r="O483" s="8">
        <f>IF(ISNA(MATCH(474,'Transfer Engine'!$C$2:$C$622,0)),"",INDEX('Compliance Database'!$O$2:$O$622,MATCH(474,'Transfer Engine'!$C$2:$C$622,0)))</f>
        <v/>
      </c>
    </row>
    <row r="484">
      <c r="A484">
        <f>IF(ISNA(MATCH(475,'Transfer Engine'!$C$2:$C$622,0)),"",INDEX('Compliance Database'!$A$2:$A$622,MATCH(475,'Transfer Engine'!$C$2:$C$622,0)))</f>
        <v/>
      </c>
      <c r="B484">
        <f>IF(ISNA(MATCH(475,'Transfer Engine'!$C$2:$C$622,0)),"",INDEX('Compliance Database'!$B$2:$B$622,MATCH(475,'Transfer Engine'!$C$2:$C$622,0)))</f>
        <v/>
      </c>
      <c r="C484">
        <f>IF(ISNA(MATCH(475,'Transfer Engine'!$C$2:$C$622,0)),"",INDEX('Compliance Database'!$C$2:$C$622,MATCH(475,'Transfer Engine'!$C$2:$C$622,0)))</f>
        <v/>
      </c>
      <c r="D484" s="8">
        <f>IF(ISNA(MATCH(475,'Transfer Engine'!$C$2:$C$622,0)),"",INDEX('Compliance Database'!$D$2:$D$622,MATCH(475,'Transfer Engine'!$C$2:$C$622,0)))</f>
        <v/>
      </c>
      <c r="E484">
        <f>IF(ISNA(MATCH(475,'Transfer Engine'!$C$2:$C$622,0)),"",INDEX('Compliance Database'!$E$2:$E$622,MATCH(475,'Transfer Engine'!$C$2:$C$622,0)))</f>
        <v/>
      </c>
      <c r="F484">
        <f>IF(ISNA(MATCH(475,'Transfer Engine'!$C$2:$C$622,0)),"",INDEX('Compliance Database'!$F$2:$F$622,MATCH(475,'Transfer Engine'!$C$2:$C$622,0)))</f>
        <v/>
      </c>
      <c r="G484">
        <f>IF(ISNA(MATCH(475,'Transfer Engine'!$C$2:$C$622,0)),"",INDEX('Compliance Database'!$G$2:$G$622,MATCH(475,'Transfer Engine'!$C$2:$C$622,0)))</f>
        <v/>
      </c>
      <c r="H484">
        <f>IF(ISNA(MATCH(475,'Transfer Engine'!$C$2:$C$622,0)),"",INDEX('Compliance Database'!$H$2:$H$622,MATCH(475,'Transfer Engine'!$C$2:$C$622,0)))</f>
        <v/>
      </c>
      <c r="I484" s="8">
        <f>IF(ISNA(MATCH(475,'Transfer Engine'!$C$2:$C$622,0)),"",INDEX('Compliance Database'!$I$2:$I$622,MATCH(475,'Transfer Engine'!$C$2:$C$622,0)))</f>
        <v/>
      </c>
      <c r="J484" s="8">
        <f>IF(ISNA(MATCH(475,'Transfer Engine'!$C$2:$C$622,0)),"",INDEX('Compliance Database'!$J$2:$J$622,MATCH(475,'Transfer Engine'!$C$2:$C$622,0)))</f>
        <v/>
      </c>
      <c r="K484">
        <f>IF(ISNA(MATCH(475,'Transfer Engine'!$C$2:$C$622,0)),"",INDEX('Compliance Database'!$K$2:$K$622,MATCH(475,'Transfer Engine'!$C$2:$C$622,0)))</f>
        <v/>
      </c>
      <c r="L484" s="8">
        <f>IF(ISNA(MATCH(475,'Transfer Engine'!$C$2:$C$622,0)),"",INDEX('Compliance Database'!$L$2:$L$622,MATCH(475,'Transfer Engine'!$C$2:$C$622,0)))</f>
        <v/>
      </c>
      <c r="M484" s="8">
        <f>IF(ISNA(MATCH(475,'Transfer Engine'!$C$2:$C$622,0)),"",INDEX('Compliance Database'!$M$2:$M$622,MATCH(475,'Transfer Engine'!$C$2:$C$622,0)))</f>
        <v/>
      </c>
      <c r="N484" s="8">
        <f>IF(ISNA(MATCH(475,'Transfer Engine'!$C$2:$C$622,0)),"",INDEX('Compliance Database'!$N$2:$N$622,MATCH(475,'Transfer Engine'!$C$2:$C$622,0)))</f>
        <v/>
      </c>
      <c r="O484" s="8">
        <f>IF(ISNA(MATCH(475,'Transfer Engine'!$C$2:$C$622,0)),"",INDEX('Compliance Database'!$O$2:$O$622,MATCH(475,'Transfer Engine'!$C$2:$C$622,0)))</f>
        <v/>
      </c>
    </row>
    <row r="485">
      <c r="A485">
        <f>IF(ISNA(MATCH(476,'Transfer Engine'!$C$2:$C$622,0)),"",INDEX('Compliance Database'!$A$2:$A$622,MATCH(476,'Transfer Engine'!$C$2:$C$622,0)))</f>
        <v/>
      </c>
      <c r="B485">
        <f>IF(ISNA(MATCH(476,'Transfer Engine'!$C$2:$C$622,0)),"",INDEX('Compliance Database'!$B$2:$B$622,MATCH(476,'Transfer Engine'!$C$2:$C$622,0)))</f>
        <v/>
      </c>
      <c r="C485">
        <f>IF(ISNA(MATCH(476,'Transfer Engine'!$C$2:$C$622,0)),"",INDEX('Compliance Database'!$C$2:$C$622,MATCH(476,'Transfer Engine'!$C$2:$C$622,0)))</f>
        <v/>
      </c>
      <c r="D485" s="8">
        <f>IF(ISNA(MATCH(476,'Transfer Engine'!$C$2:$C$622,0)),"",INDEX('Compliance Database'!$D$2:$D$622,MATCH(476,'Transfer Engine'!$C$2:$C$622,0)))</f>
        <v/>
      </c>
      <c r="E485">
        <f>IF(ISNA(MATCH(476,'Transfer Engine'!$C$2:$C$622,0)),"",INDEX('Compliance Database'!$E$2:$E$622,MATCH(476,'Transfer Engine'!$C$2:$C$622,0)))</f>
        <v/>
      </c>
      <c r="F485">
        <f>IF(ISNA(MATCH(476,'Transfer Engine'!$C$2:$C$622,0)),"",INDEX('Compliance Database'!$F$2:$F$622,MATCH(476,'Transfer Engine'!$C$2:$C$622,0)))</f>
        <v/>
      </c>
      <c r="G485">
        <f>IF(ISNA(MATCH(476,'Transfer Engine'!$C$2:$C$622,0)),"",INDEX('Compliance Database'!$G$2:$G$622,MATCH(476,'Transfer Engine'!$C$2:$C$622,0)))</f>
        <v/>
      </c>
      <c r="H485">
        <f>IF(ISNA(MATCH(476,'Transfer Engine'!$C$2:$C$622,0)),"",INDEX('Compliance Database'!$H$2:$H$622,MATCH(476,'Transfer Engine'!$C$2:$C$622,0)))</f>
        <v/>
      </c>
      <c r="I485" s="8">
        <f>IF(ISNA(MATCH(476,'Transfer Engine'!$C$2:$C$622,0)),"",INDEX('Compliance Database'!$I$2:$I$622,MATCH(476,'Transfer Engine'!$C$2:$C$622,0)))</f>
        <v/>
      </c>
      <c r="J485" s="8">
        <f>IF(ISNA(MATCH(476,'Transfer Engine'!$C$2:$C$622,0)),"",INDEX('Compliance Database'!$J$2:$J$622,MATCH(476,'Transfer Engine'!$C$2:$C$622,0)))</f>
        <v/>
      </c>
      <c r="K485">
        <f>IF(ISNA(MATCH(476,'Transfer Engine'!$C$2:$C$622,0)),"",INDEX('Compliance Database'!$K$2:$K$622,MATCH(476,'Transfer Engine'!$C$2:$C$622,0)))</f>
        <v/>
      </c>
      <c r="L485" s="8">
        <f>IF(ISNA(MATCH(476,'Transfer Engine'!$C$2:$C$622,0)),"",INDEX('Compliance Database'!$L$2:$L$622,MATCH(476,'Transfer Engine'!$C$2:$C$622,0)))</f>
        <v/>
      </c>
      <c r="M485" s="8">
        <f>IF(ISNA(MATCH(476,'Transfer Engine'!$C$2:$C$622,0)),"",INDEX('Compliance Database'!$M$2:$M$622,MATCH(476,'Transfer Engine'!$C$2:$C$622,0)))</f>
        <v/>
      </c>
      <c r="N485" s="8">
        <f>IF(ISNA(MATCH(476,'Transfer Engine'!$C$2:$C$622,0)),"",INDEX('Compliance Database'!$N$2:$N$622,MATCH(476,'Transfer Engine'!$C$2:$C$622,0)))</f>
        <v/>
      </c>
      <c r="O485" s="8">
        <f>IF(ISNA(MATCH(476,'Transfer Engine'!$C$2:$C$622,0)),"",INDEX('Compliance Database'!$O$2:$O$622,MATCH(476,'Transfer Engine'!$C$2:$C$622,0)))</f>
        <v/>
      </c>
    </row>
    <row r="486">
      <c r="A486">
        <f>IF(ISNA(MATCH(477,'Transfer Engine'!$C$2:$C$622,0)),"",INDEX('Compliance Database'!$A$2:$A$622,MATCH(477,'Transfer Engine'!$C$2:$C$622,0)))</f>
        <v/>
      </c>
      <c r="B486">
        <f>IF(ISNA(MATCH(477,'Transfer Engine'!$C$2:$C$622,0)),"",INDEX('Compliance Database'!$B$2:$B$622,MATCH(477,'Transfer Engine'!$C$2:$C$622,0)))</f>
        <v/>
      </c>
      <c r="C486">
        <f>IF(ISNA(MATCH(477,'Transfer Engine'!$C$2:$C$622,0)),"",INDEX('Compliance Database'!$C$2:$C$622,MATCH(477,'Transfer Engine'!$C$2:$C$622,0)))</f>
        <v/>
      </c>
      <c r="D486" s="8">
        <f>IF(ISNA(MATCH(477,'Transfer Engine'!$C$2:$C$622,0)),"",INDEX('Compliance Database'!$D$2:$D$622,MATCH(477,'Transfer Engine'!$C$2:$C$622,0)))</f>
        <v/>
      </c>
      <c r="E486">
        <f>IF(ISNA(MATCH(477,'Transfer Engine'!$C$2:$C$622,0)),"",INDEX('Compliance Database'!$E$2:$E$622,MATCH(477,'Transfer Engine'!$C$2:$C$622,0)))</f>
        <v/>
      </c>
      <c r="F486">
        <f>IF(ISNA(MATCH(477,'Transfer Engine'!$C$2:$C$622,0)),"",INDEX('Compliance Database'!$F$2:$F$622,MATCH(477,'Transfer Engine'!$C$2:$C$622,0)))</f>
        <v/>
      </c>
      <c r="G486">
        <f>IF(ISNA(MATCH(477,'Transfer Engine'!$C$2:$C$622,0)),"",INDEX('Compliance Database'!$G$2:$G$622,MATCH(477,'Transfer Engine'!$C$2:$C$622,0)))</f>
        <v/>
      </c>
      <c r="H486">
        <f>IF(ISNA(MATCH(477,'Transfer Engine'!$C$2:$C$622,0)),"",INDEX('Compliance Database'!$H$2:$H$622,MATCH(477,'Transfer Engine'!$C$2:$C$622,0)))</f>
        <v/>
      </c>
      <c r="I486" s="8">
        <f>IF(ISNA(MATCH(477,'Transfer Engine'!$C$2:$C$622,0)),"",INDEX('Compliance Database'!$I$2:$I$622,MATCH(477,'Transfer Engine'!$C$2:$C$622,0)))</f>
        <v/>
      </c>
      <c r="J486" s="8">
        <f>IF(ISNA(MATCH(477,'Transfer Engine'!$C$2:$C$622,0)),"",INDEX('Compliance Database'!$J$2:$J$622,MATCH(477,'Transfer Engine'!$C$2:$C$622,0)))</f>
        <v/>
      </c>
      <c r="K486">
        <f>IF(ISNA(MATCH(477,'Transfer Engine'!$C$2:$C$622,0)),"",INDEX('Compliance Database'!$K$2:$K$622,MATCH(477,'Transfer Engine'!$C$2:$C$622,0)))</f>
        <v/>
      </c>
      <c r="L486" s="8">
        <f>IF(ISNA(MATCH(477,'Transfer Engine'!$C$2:$C$622,0)),"",INDEX('Compliance Database'!$L$2:$L$622,MATCH(477,'Transfer Engine'!$C$2:$C$622,0)))</f>
        <v/>
      </c>
      <c r="M486" s="8">
        <f>IF(ISNA(MATCH(477,'Transfer Engine'!$C$2:$C$622,0)),"",INDEX('Compliance Database'!$M$2:$M$622,MATCH(477,'Transfer Engine'!$C$2:$C$622,0)))</f>
        <v/>
      </c>
      <c r="N486" s="8">
        <f>IF(ISNA(MATCH(477,'Transfer Engine'!$C$2:$C$622,0)),"",INDEX('Compliance Database'!$N$2:$N$622,MATCH(477,'Transfer Engine'!$C$2:$C$622,0)))</f>
        <v/>
      </c>
      <c r="O486" s="8">
        <f>IF(ISNA(MATCH(477,'Transfer Engine'!$C$2:$C$622,0)),"",INDEX('Compliance Database'!$O$2:$O$622,MATCH(477,'Transfer Engine'!$C$2:$C$622,0)))</f>
        <v/>
      </c>
    </row>
    <row r="487">
      <c r="A487">
        <f>IF(ISNA(MATCH(478,'Transfer Engine'!$C$2:$C$622,0)),"",INDEX('Compliance Database'!$A$2:$A$622,MATCH(478,'Transfer Engine'!$C$2:$C$622,0)))</f>
        <v/>
      </c>
      <c r="B487">
        <f>IF(ISNA(MATCH(478,'Transfer Engine'!$C$2:$C$622,0)),"",INDEX('Compliance Database'!$B$2:$B$622,MATCH(478,'Transfer Engine'!$C$2:$C$622,0)))</f>
        <v/>
      </c>
      <c r="C487">
        <f>IF(ISNA(MATCH(478,'Transfer Engine'!$C$2:$C$622,0)),"",INDEX('Compliance Database'!$C$2:$C$622,MATCH(478,'Transfer Engine'!$C$2:$C$622,0)))</f>
        <v/>
      </c>
      <c r="D487" s="8">
        <f>IF(ISNA(MATCH(478,'Transfer Engine'!$C$2:$C$622,0)),"",INDEX('Compliance Database'!$D$2:$D$622,MATCH(478,'Transfer Engine'!$C$2:$C$622,0)))</f>
        <v/>
      </c>
      <c r="E487">
        <f>IF(ISNA(MATCH(478,'Transfer Engine'!$C$2:$C$622,0)),"",INDEX('Compliance Database'!$E$2:$E$622,MATCH(478,'Transfer Engine'!$C$2:$C$622,0)))</f>
        <v/>
      </c>
      <c r="F487">
        <f>IF(ISNA(MATCH(478,'Transfer Engine'!$C$2:$C$622,0)),"",INDEX('Compliance Database'!$F$2:$F$622,MATCH(478,'Transfer Engine'!$C$2:$C$622,0)))</f>
        <v/>
      </c>
      <c r="G487">
        <f>IF(ISNA(MATCH(478,'Transfer Engine'!$C$2:$C$622,0)),"",INDEX('Compliance Database'!$G$2:$G$622,MATCH(478,'Transfer Engine'!$C$2:$C$622,0)))</f>
        <v/>
      </c>
      <c r="H487">
        <f>IF(ISNA(MATCH(478,'Transfer Engine'!$C$2:$C$622,0)),"",INDEX('Compliance Database'!$H$2:$H$622,MATCH(478,'Transfer Engine'!$C$2:$C$622,0)))</f>
        <v/>
      </c>
      <c r="I487" s="8">
        <f>IF(ISNA(MATCH(478,'Transfer Engine'!$C$2:$C$622,0)),"",INDEX('Compliance Database'!$I$2:$I$622,MATCH(478,'Transfer Engine'!$C$2:$C$622,0)))</f>
        <v/>
      </c>
      <c r="J487" s="8">
        <f>IF(ISNA(MATCH(478,'Transfer Engine'!$C$2:$C$622,0)),"",INDEX('Compliance Database'!$J$2:$J$622,MATCH(478,'Transfer Engine'!$C$2:$C$622,0)))</f>
        <v/>
      </c>
      <c r="K487">
        <f>IF(ISNA(MATCH(478,'Transfer Engine'!$C$2:$C$622,0)),"",INDEX('Compliance Database'!$K$2:$K$622,MATCH(478,'Transfer Engine'!$C$2:$C$622,0)))</f>
        <v/>
      </c>
      <c r="L487" s="8">
        <f>IF(ISNA(MATCH(478,'Transfer Engine'!$C$2:$C$622,0)),"",INDEX('Compliance Database'!$L$2:$L$622,MATCH(478,'Transfer Engine'!$C$2:$C$622,0)))</f>
        <v/>
      </c>
      <c r="M487" s="8">
        <f>IF(ISNA(MATCH(478,'Transfer Engine'!$C$2:$C$622,0)),"",INDEX('Compliance Database'!$M$2:$M$622,MATCH(478,'Transfer Engine'!$C$2:$C$622,0)))</f>
        <v/>
      </c>
      <c r="N487" s="8">
        <f>IF(ISNA(MATCH(478,'Transfer Engine'!$C$2:$C$622,0)),"",INDEX('Compliance Database'!$N$2:$N$622,MATCH(478,'Transfer Engine'!$C$2:$C$622,0)))</f>
        <v/>
      </c>
      <c r="O487" s="8">
        <f>IF(ISNA(MATCH(478,'Transfer Engine'!$C$2:$C$622,0)),"",INDEX('Compliance Database'!$O$2:$O$622,MATCH(478,'Transfer Engine'!$C$2:$C$622,0)))</f>
        <v/>
      </c>
    </row>
    <row r="488">
      <c r="A488">
        <f>IF(ISNA(MATCH(479,'Transfer Engine'!$C$2:$C$622,0)),"",INDEX('Compliance Database'!$A$2:$A$622,MATCH(479,'Transfer Engine'!$C$2:$C$622,0)))</f>
        <v/>
      </c>
      <c r="B488">
        <f>IF(ISNA(MATCH(479,'Transfer Engine'!$C$2:$C$622,0)),"",INDEX('Compliance Database'!$B$2:$B$622,MATCH(479,'Transfer Engine'!$C$2:$C$622,0)))</f>
        <v/>
      </c>
      <c r="C488">
        <f>IF(ISNA(MATCH(479,'Transfer Engine'!$C$2:$C$622,0)),"",INDEX('Compliance Database'!$C$2:$C$622,MATCH(479,'Transfer Engine'!$C$2:$C$622,0)))</f>
        <v/>
      </c>
      <c r="D488" s="8">
        <f>IF(ISNA(MATCH(479,'Transfer Engine'!$C$2:$C$622,0)),"",INDEX('Compliance Database'!$D$2:$D$622,MATCH(479,'Transfer Engine'!$C$2:$C$622,0)))</f>
        <v/>
      </c>
      <c r="E488">
        <f>IF(ISNA(MATCH(479,'Transfer Engine'!$C$2:$C$622,0)),"",INDEX('Compliance Database'!$E$2:$E$622,MATCH(479,'Transfer Engine'!$C$2:$C$622,0)))</f>
        <v/>
      </c>
      <c r="F488">
        <f>IF(ISNA(MATCH(479,'Transfer Engine'!$C$2:$C$622,0)),"",INDEX('Compliance Database'!$F$2:$F$622,MATCH(479,'Transfer Engine'!$C$2:$C$622,0)))</f>
        <v/>
      </c>
      <c r="G488">
        <f>IF(ISNA(MATCH(479,'Transfer Engine'!$C$2:$C$622,0)),"",INDEX('Compliance Database'!$G$2:$G$622,MATCH(479,'Transfer Engine'!$C$2:$C$622,0)))</f>
        <v/>
      </c>
      <c r="H488">
        <f>IF(ISNA(MATCH(479,'Transfer Engine'!$C$2:$C$622,0)),"",INDEX('Compliance Database'!$H$2:$H$622,MATCH(479,'Transfer Engine'!$C$2:$C$622,0)))</f>
        <v/>
      </c>
      <c r="I488" s="8">
        <f>IF(ISNA(MATCH(479,'Transfer Engine'!$C$2:$C$622,0)),"",INDEX('Compliance Database'!$I$2:$I$622,MATCH(479,'Transfer Engine'!$C$2:$C$622,0)))</f>
        <v/>
      </c>
      <c r="J488" s="8">
        <f>IF(ISNA(MATCH(479,'Transfer Engine'!$C$2:$C$622,0)),"",INDEX('Compliance Database'!$J$2:$J$622,MATCH(479,'Transfer Engine'!$C$2:$C$622,0)))</f>
        <v/>
      </c>
      <c r="K488">
        <f>IF(ISNA(MATCH(479,'Transfer Engine'!$C$2:$C$622,0)),"",INDEX('Compliance Database'!$K$2:$K$622,MATCH(479,'Transfer Engine'!$C$2:$C$622,0)))</f>
        <v/>
      </c>
      <c r="L488" s="8">
        <f>IF(ISNA(MATCH(479,'Transfer Engine'!$C$2:$C$622,0)),"",INDEX('Compliance Database'!$L$2:$L$622,MATCH(479,'Transfer Engine'!$C$2:$C$622,0)))</f>
        <v/>
      </c>
      <c r="M488" s="8">
        <f>IF(ISNA(MATCH(479,'Transfer Engine'!$C$2:$C$622,0)),"",INDEX('Compliance Database'!$M$2:$M$622,MATCH(479,'Transfer Engine'!$C$2:$C$622,0)))</f>
        <v/>
      </c>
      <c r="N488" s="8">
        <f>IF(ISNA(MATCH(479,'Transfer Engine'!$C$2:$C$622,0)),"",INDEX('Compliance Database'!$N$2:$N$622,MATCH(479,'Transfer Engine'!$C$2:$C$622,0)))</f>
        <v/>
      </c>
      <c r="O488" s="8">
        <f>IF(ISNA(MATCH(479,'Transfer Engine'!$C$2:$C$622,0)),"",INDEX('Compliance Database'!$O$2:$O$622,MATCH(479,'Transfer Engine'!$C$2:$C$622,0)))</f>
        <v/>
      </c>
    </row>
    <row r="489">
      <c r="A489">
        <f>IF(ISNA(MATCH(480,'Transfer Engine'!$C$2:$C$622,0)),"",INDEX('Compliance Database'!$A$2:$A$622,MATCH(480,'Transfer Engine'!$C$2:$C$622,0)))</f>
        <v/>
      </c>
      <c r="B489">
        <f>IF(ISNA(MATCH(480,'Transfer Engine'!$C$2:$C$622,0)),"",INDEX('Compliance Database'!$B$2:$B$622,MATCH(480,'Transfer Engine'!$C$2:$C$622,0)))</f>
        <v/>
      </c>
      <c r="C489">
        <f>IF(ISNA(MATCH(480,'Transfer Engine'!$C$2:$C$622,0)),"",INDEX('Compliance Database'!$C$2:$C$622,MATCH(480,'Transfer Engine'!$C$2:$C$622,0)))</f>
        <v/>
      </c>
      <c r="D489" s="8">
        <f>IF(ISNA(MATCH(480,'Transfer Engine'!$C$2:$C$622,0)),"",INDEX('Compliance Database'!$D$2:$D$622,MATCH(480,'Transfer Engine'!$C$2:$C$622,0)))</f>
        <v/>
      </c>
      <c r="E489">
        <f>IF(ISNA(MATCH(480,'Transfer Engine'!$C$2:$C$622,0)),"",INDEX('Compliance Database'!$E$2:$E$622,MATCH(480,'Transfer Engine'!$C$2:$C$622,0)))</f>
        <v/>
      </c>
      <c r="F489">
        <f>IF(ISNA(MATCH(480,'Transfer Engine'!$C$2:$C$622,0)),"",INDEX('Compliance Database'!$F$2:$F$622,MATCH(480,'Transfer Engine'!$C$2:$C$622,0)))</f>
        <v/>
      </c>
      <c r="G489">
        <f>IF(ISNA(MATCH(480,'Transfer Engine'!$C$2:$C$622,0)),"",INDEX('Compliance Database'!$G$2:$G$622,MATCH(480,'Transfer Engine'!$C$2:$C$622,0)))</f>
        <v/>
      </c>
      <c r="H489">
        <f>IF(ISNA(MATCH(480,'Transfer Engine'!$C$2:$C$622,0)),"",INDEX('Compliance Database'!$H$2:$H$622,MATCH(480,'Transfer Engine'!$C$2:$C$622,0)))</f>
        <v/>
      </c>
      <c r="I489" s="8">
        <f>IF(ISNA(MATCH(480,'Transfer Engine'!$C$2:$C$622,0)),"",INDEX('Compliance Database'!$I$2:$I$622,MATCH(480,'Transfer Engine'!$C$2:$C$622,0)))</f>
        <v/>
      </c>
      <c r="J489" s="8">
        <f>IF(ISNA(MATCH(480,'Transfer Engine'!$C$2:$C$622,0)),"",INDEX('Compliance Database'!$J$2:$J$622,MATCH(480,'Transfer Engine'!$C$2:$C$622,0)))</f>
        <v/>
      </c>
      <c r="K489">
        <f>IF(ISNA(MATCH(480,'Transfer Engine'!$C$2:$C$622,0)),"",INDEX('Compliance Database'!$K$2:$K$622,MATCH(480,'Transfer Engine'!$C$2:$C$622,0)))</f>
        <v/>
      </c>
      <c r="L489" s="8">
        <f>IF(ISNA(MATCH(480,'Transfer Engine'!$C$2:$C$622,0)),"",INDEX('Compliance Database'!$L$2:$L$622,MATCH(480,'Transfer Engine'!$C$2:$C$622,0)))</f>
        <v/>
      </c>
      <c r="M489" s="8">
        <f>IF(ISNA(MATCH(480,'Transfer Engine'!$C$2:$C$622,0)),"",INDEX('Compliance Database'!$M$2:$M$622,MATCH(480,'Transfer Engine'!$C$2:$C$622,0)))</f>
        <v/>
      </c>
      <c r="N489" s="8">
        <f>IF(ISNA(MATCH(480,'Transfer Engine'!$C$2:$C$622,0)),"",INDEX('Compliance Database'!$N$2:$N$622,MATCH(480,'Transfer Engine'!$C$2:$C$622,0)))</f>
        <v/>
      </c>
      <c r="O489" s="8">
        <f>IF(ISNA(MATCH(480,'Transfer Engine'!$C$2:$C$622,0)),"",INDEX('Compliance Database'!$O$2:$O$622,MATCH(480,'Transfer Engine'!$C$2:$C$622,0)))</f>
        <v/>
      </c>
    </row>
    <row r="490">
      <c r="A490">
        <f>IF(ISNA(MATCH(481,'Transfer Engine'!$C$2:$C$622,0)),"",INDEX('Compliance Database'!$A$2:$A$622,MATCH(481,'Transfer Engine'!$C$2:$C$622,0)))</f>
        <v/>
      </c>
      <c r="B490">
        <f>IF(ISNA(MATCH(481,'Transfer Engine'!$C$2:$C$622,0)),"",INDEX('Compliance Database'!$B$2:$B$622,MATCH(481,'Transfer Engine'!$C$2:$C$622,0)))</f>
        <v/>
      </c>
      <c r="C490">
        <f>IF(ISNA(MATCH(481,'Transfer Engine'!$C$2:$C$622,0)),"",INDEX('Compliance Database'!$C$2:$C$622,MATCH(481,'Transfer Engine'!$C$2:$C$622,0)))</f>
        <v/>
      </c>
      <c r="D490" s="8">
        <f>IF(ISNA(MATCH(481,'Transfer Engine'!$C$2:$C$622,0)),"",INDEX('Compliance Database'!$D$2:$D$622,MATCH(481,'Transfer Engine'!$C$2:$C$622,0)))</f>
        <v/>
      </c>
      <c r="E490">
        <f>IF(ISNA(MATCH(481,'Transfer Engine'!$C$2:$C$622,0)),"",INDEX('Compliance Database'!$E$2:$E$622,MATCH(481,'Transfer Engine'!$C$2:$C$622,0)))</f>
        <v/>
      </c>
      <c r="F490">
        <f>IF(ISNA(MATCH(481,'Transfer Engine'!$C$2:$C$622,0)),"",INDEX('Compliance Database'!$F$2:$F$622,MATCH(481,'Transfer Engine'!$C$2:$C$622,0)))</f>
        <v/>
      </c>
      <c r="G490">
        <f>IF(ISNA(MATCH(481,'Transfer Engine'!$C$2:$C$622,0)),"",INDEX('Compliance Database'!$G$2:$G$622,MATCH(481,'Transfer Engine'!$C$2:$C$622,0)))</f>
        <v/>
      </c>
      <c r="H490">
        <f>IF(ISNA(MATCH(481,'Transfer Engine'!$C$2:$C$622,0)),"",INDEX('Compliance Database'!$H$2:$H$622,MATCH(481,'Transfer Engine'!$C$2:$C$622,0)))</f>
        <v/>
      </c>
      <c r="I490" s="8">
        <f>IF(ISNA(MATCH(481,'Transfer Engine'!$C$2:$C$622,0)),"",INDEX('Compliance Database'!$I$2:$I$622,MATCH(481,'Transfer Engine'!$C$2:$C$622,0)))</f>
        <v/>
      </c>
      <c r="J490" s="8">
        <f>IF(ISNA(MATCH(481,'Transfer Engine'!$C$2:$C$622,0)),"",INDEX('Compliance Database'!$J$2:$J$622,MATCH(481,'Transfer Engine'!$C$2:$C$622,0)))</f>
        <v/>
      </c>
      <c r="K490">
        <f>IF(ISNA(MATCH(481,'Transfer Engine'!$C$2:$C$622,0)),"",INDEX('Compliance Database'!$K$2:$K$622,MATCH(481,'Transfer Engine'!$C$2:$C$622,0)))</f>
        <v/>
      </c>
      <c r="L490" s="8">
        <f>IF(ISNA(MATCH(481,'Transfer Engine'!$C$2:$C$622,0)),"",INDEX('Compliance Database'!$L$2:$L$622,MATCH(481,'Transfer Engine'!$C$2:$C$622,0)))</f>
        <v/>
      </c>
      <c r="M490" s="8">
        <f>IF(ISNA(MATCH(481,'Transfer Engine'!$C$2:$C$622,0)),"",INDEX('Compliance Database'!$M$2:$M$622,MATCH(481,'Transfer Engine'!$C$2:$C$622,0)))</f>
        <v/>
      </c>
      <c r="N490" s="8">
        <f>IF(ISNA(MATCH(481,'Transfer Engine'!$C$2:$C$622,0)),"",INDEX('Compliance Database'!$N$2:$N$622,MATCH(481,'Transfer Engine'!$C$2:$C$622,0)))</f>
        <v/>
      </c>
      <c r="O490" s="8">
        <f>IF(ISNA(MATCH(481,'Transfer Engine'!$C$2:$C$622,0)),"",INDEX('Compliance Database'!$O$2:$O$622,MATCH(481,'Transfer Engine'!$C$2:$C$622,0)))</f>
        <v/>
      </c>
    </row>
    <row r="491">
      <c r="A491">
        <f>IF(ISNA(MATCH(482,'Transfer Engine'!$C$2:$C$622,0)),"",INDEX('Compliance Database'!$A$2:$A$622,MATCH(482,'Transfer Engine'!$C$2:$C$622,0)))</f>
        <v/>
      </c>
      <c r="B491">
        <f>IF(ISNA(MATCH(482,'Transfer Engine'!$C$2:$C$622,0)),"",INDEX('Compliance Database'!$B$2:$B$622,MATCH(482,'Transfer Engine'!$C$2:$C$622,0)))</f>
        <v/>
      </c>
      <c r="C491">
        <f>IF(ISNA(MATCH(482,'Transfer Engine'!$C$2:$C$622,0)),"",INDEX('Compliance Database'!$C$2:$C$622,MATCH(482,'Transfer Engine'!$C$2:$C$622,0)))</f>
        <v/>
      </c>
      <c r="D491" s="8">
        <f>IF(ISNA(MATCH(482,'Transfer Engine'!$C$2:$C$622,0)),"",INDEX('Compliance Database'!$D$2:$D$622,MATCH(482,'Transfer Engine'!$C$2:$C$622,0)))</f>
        <v/>
      </c>
      <c r="E491">
        <f>IF(ISNA(MATCH(482,'Transfer Engine'!$C$2:$C$622,0)),"",INDEX('Compliance Database'!$E$2:$E$622,MATCH(482,'Transfer Engine'!$C$2:$C$622,0)))</f>
        <v/>
      </c>
      <c r="F491">
        <f>IF(ISNA(MATCH(482,'Transfer Engine'!$C$2:$C$622,0)),"",INDEX('Compliance Database'!$F$2:$F$622,MATCH(482,'Transfer Engine'!$C$2:$C$622,0)))</f>
        <v/>
      </c>
      <c r="G491">
        <f>IF(ISNA(MATCH(482,'Transfer Engine'!$C$2:$C$622,0)),"",INDEX('Compliance Database'!$G$2:$G$622,MATCH(482,'Transfer Engine'!$C$2:$C$622,0)))</f>
        <v/>
      </c>
      <c r="H491">
        <f>IF(ISNA(MATCH(482,'Transfer Engine'!$C$2:$C$622,0)),"",INDEX('Compliance Database'!$H$2:$H$622,MATCH(482,'Transfer Engine'!$C$2:$C$622,0)))</f>
        <v/>
      </c>
      <c r="I491" s="8">
        <f>IF(ISNA(MATCH(482,'Transfer Engine'!$C$2:$C$622,0)),"",INDEX('Compliance Database'!$I$2:$I$622,MATCH(482,'Transfer Engine'!$C$2:$C$622,0)))</f>
        <v/>
      </c>
      <c r="J491" s="8">
        <f>IF(ISNA(MATCH(482,'Transfer Engine'!$C$2:$C$622,0)),"",INDEX('Compliance Database'!$J$2:$J$622,MATCH(482,'Transfer Engine'!$C$2:$C$622,0)))</f>
        <v/>
      </c>
      <c r="K491">
        <f>IF(ISNA(MATCH(482,'Transfer Engine'!$C$2:$C$622,0)),"",INDEX('Compliance Database'!$K$2:$K$622,MATCH(482,'Transfer Engine'!$C$2:$C$622,0)))</f>
        <v/>
      </c>
      <c r="L491" s="8">
        <f>IF(ISNA(MATCH(482,'Transfer Engine'!$C$2:$C$622,0)),"",INDEX('Compliance Database'!$L$2:$L$622,MATCH(482,'Transfer Engine'!$C$2:$C$622,0)))</f>
        <v/>
      </c>
      <c r="M491" s="8">
        <f>IF(ISNA(MATCH(482,'Transfer Engine'!$C$2:$C$622,0)),"",INDEX('Compliance Database'!$M$2:$M$622,MATCH(482,'Transfer Engine'!$C$2:$C$622,0)))</f>
        <v/>
      </c>
      <c r="N491" s="8">
        <f>IF(ISNA(MATCH(482,'Transfer Engine'!$C$2:$C$622,0)),"",INDEX('Compliance Database'!$N$2:$N$622,MATCH(482,'Transfer Engine'!$C$2:$C$622,0)))</f>
        <v/>
      </c>
      <c r="O491" s="8">
        <f>IF(ISNA(MATCH(482,'Transfer Engine'!$C$2:$C$622,0)),"",INDEX('Compliance Database'!$O$2:$O$622,MATCH(482,'Transfer Engine'!$C$2:$C$622,0)))</f>
        <v/>
      </c>
    </row>
    <row r="492">
      <c r="A492">
        <f>IF(ISNA(MATCH(483,'Transfer Engine'!$C$2:$C$622,0)),"",INDEX('Compliance Database'!$A$2:$A$622,MATCH(483,'Transfer Engine'!$C$2:$C$622,0)))</f>
        <v/>
      </c>
      <c r="B492">
        <f>IF(ISNA(MATCH(483,'Transfer Engine'!$C$2:$C$622,0)),"",INDEX('Compliance Database'!$B$2:$B$622,MATCH(483,'Transfer Engine'!$C$2:$C$622,0)))</f>
        <v/>
      </c>
      <c r="C492">
        <f>IF(ISNA(MATCH(483,'Transfer Engine'!$C$2:$C$622,0)),"",INDEX('Compliance Database'!$C$2:$C$622,MATCH(483,'Transfer Engine'!$C$2:$C$622,0)))</f>
        <v/>
      </c>
      <c r="D492" s="8">
        <f>IF(ISNA(MATCH(483,'Transfer Engine'!$C$2:$C$622,0)),"",INDEX('Compliance Database'!$D$2:$D$622,MATCH(483,'Transfer Engine'!$C$2:$C$622,0)))</f>
        <v/>
      </c>
      <c r="E492">
        <f>IF(ISNA(MATCH(483,'Transfer Engine'!$C$2:$C$622,0)),"",INDEX('Compliance Database'!$E$2:$E$622,MATCH(483,'Transfer Engine'!$C$2:$C$622,0)))</f>
        <v/>
      </c>
      <c r="F492">
        <f>IF(ISNA(MATCH(483,'Transfer Engine'!$C$2:$C$622,0)),"",INDEX('Compliance Database'!$F$2:$F$622,MATCH(483,'Transfer Engine'!$C$2:$C$622,0)))</f>
        <v/>
      </c>
      <c r="G492">
        <f>IF(ISNA(MATCH(483,'Transfer Engine'!$C$2:$C$622,0)),"",INDEX('Compliance Database'!$G$2:$G$622,MATCH(483,'Transfer Engine'!$C$2:$C$622,0)))</f>
        <v/>
      </c>
      <c r="H492">
        <f>IF(ISNA(MATCH(483,'Transfer Engine'!$C$2:$C$622,0)),"",INDEX('Compliance Database'!$H$2:$H$622,MATCH(483,'Transfer Engine'!$C$2:$C$622,0)))</f>
        <v/>
      </c>
      <c r="I492" s="8">
        <f>IF(ISNA(MATCH(483,'Transfer Engine'!$C$2:$C$622,0)),"",INDEX('Compliance Database'!$I$2:$I$622,MATCH(483,'Transfer Engine'!$C$2:$C$622,0)))</f>
        <v/>
      </c>
      <c r="J492" s="8">
        <f>IF(ISNA(MATCH(483,'Transfer Engine'!$C$2:$C$622,0)),"",INDEX('Compliance Database'!$J$2:$J$622,MATCH(483,'Transfer Engine'!$C$2:$C$622,0)))</f>
        <v/>
      </c>
      <c r="K492">
        <f>IF(ISNA(MATCH(483,'Transfer Engine'!$C$2:$C$622,0)),"",INDEX('Compliance Database'!$K$2:$K$622,MATCH(483,'Transfer Engine'!$C$2:$C$622,0)))</f>
        <v/>
      </c>
      <c r="L492" s="8">
        <f>IF(ISNA(MATCH(483,'Transfer Engine'!$C$2:$C$622,0)),"",INDEX('Compliance Database'!$L$2:$L$622,MATCH(483,'Transfer Engine'!$C$2:$C$622,0)))</f>
        <v/>
      </c>
      <c r="M492" s="8">
        <f>IF(ISNA(MATCH(483,'Transfer Engine'!$C$2:$C$622,0)),"",INDEX('Compliance Database'!$M$2:$M$622,MATCH(483,'Transfer Engine'!$C$2:$C$622,0)))</f>
        <v/>
      </c>
      <c r="N492" s="8">
        <f>IF(ISNA(MATCH(483,'Transfer Engine'!$C$2:$C$622,0)),"",INDEX('Compliance Database'!$N$2:$N$622,MATCH(483,'Transfer Engine'!$C$2:$C$622,0)))</f>
        <v/>
      </c>
      <c r="O492" s="8">
        <f>IF(ISNA(MATCH(483,'Transfer Engine'!$C$2:$C$622,0)),"",INDEX('Compliance Database'!$O$2:$O$622,MATCH(483,'Transfer Engine'!$C$2:$C$622,0)))</f>
        <v/>
      </c>
    </row>
    <row r="493">
      <c r="A493">
        <f>IF(ISNA(MATCH(484,'Transfer Engine'!$C$2:$C$622,0)),"",INDEX('Compliance Database'!$A$2:$A$622,MATCH(484,'Transfer Engine'!$C$2:$C$622,0)))</f>
        <v/>
      </c>
      <c r="B493">
        <f>IF(ISNA(MATCH(484,'Transfer Engine'!$C$2:$C$622,0)),"",INDEX('Compliance Database'!$B$2:$B$622,MATCH(484,'Transfer Engine'!$C$2:$C$622,0)))</f>
        <v/>
      </c>
      <c r="C493">
        <f>IF(ISNA(MATCH(484,'Transfer Engine'!$C$2:$C$622,0)),"",INDEX('Compliance Database'!$C$2:$C$622,MATCH(484,'Transfer Engine'!$C$2:$C$622,0)))</f>
        <v/>
      </c>
      <c r="D493" s="8">
        <f>IF(ISNA(MATCH(484,'Transfer Engine'!$C$2:$C$622,0)),"",INDEX('Compliance Database'!$D$2:$D$622,MATCH(484,'Transfer Engine'!$C$2:$C$622,0)))</f>
        <v/>
      </c>
      <c r="E493">
        <f>IF(ISNA(MATCH(484,'Transfer Engine'!$C$2:$C$622,0)),"",INDEX('Compliance Database'!$E$2:$E$622,MATCH(484,'Transfer Engine'!$C$2:$C$622,0)))</f>
        <v/>
      </c>
      <c r="F493">
        <f>IF(ISNA(MATCH(484,'Transfer Engine'!$C$2:$C$622,0)),"",INDEX('Compliance Database'!$F$2:$F$622,MATCH(484,'Transfer Engine'!$C$2:$C$622,0)))</f>
        <v/>
      </c>
      <c r="G493">
        <f>IF(ISNA(MATCH(484,'Transfer Engine'!$C$2:$C$622,0)),"",INDEX('Compliance Database'!$G$2:$G$622,MATCH(484,'Transfer Engine'!$C$2:$C$622,0)))</f>
        <v/>
      </c>
      <c r="H493">
        <f>IF(ISNA(MATCH(484,'Transfer Engine'!$C$2:$C$622,0)),"",INDEX('Compliance Database'!$H$2:$H$622,MATCH(484,'Transfer Engine'!$C$2:$C$622,0)))</f>
        <v/>
      </c>
      <c r="I493" s="8">
        <f>IF(ISNA(MATCH(484,'Transfer Engine'!$C$2:$C$622,0)),"",INDEX('Compliance Database'!$I$2:$I$622,MATCH(484,'Transfer Engine'!$C$2:$C$622,0)))</f>
        <v/>
      </c>
      <c r="J493" s="8">
        <f>IF(ISNA(MATCH(484,'Transfer Engine'!$C$2:$C$622,0)),"",INDEX('Compliance Database'!$J$2:$J$622,MATCH(484,'Transfer Engine'!$C$2:$C$622,0)))</f>
        <v/>
      </c>
      <c r="K493">
        <f>IF(ISNA(MATCH(484,'Transfer Engine'!$C$2:$C$622,0)),"",INDEX('Compliance Database'!$K$2:$K$622,MATCH(484,'Transfer Engine'!$C$2:$C$622,0)))</f>
        <v/>
      </c>
      <c r="L493" s="8">
        <f>IF(ISNA(MATCH(484,'Transfer Engine'!$C$2:$C$622,0)),"",INDEX('Compliance Database'!$L$2:$L$622,MATCH(484,'Transfer Engine'!$C$2:$C$622,0)))</f>
        <v/>
      </c>
      <c r="M493" s="8">
        <f>IF(ISNA(MATCH(484,'Transfer Engine'!$C$2:$C$622,0)),"",INDEX('Compliance Database'!$M$2:$M$622,MATCH(484,'Transfer Engine'!$C$2:$C$622,0)))</f>
        <v/>
      </c>
      <c r="N493" s="8">
        <f>IF(ISNA(MATCH(484,'Transfer Engine'!$C$2:$C$622,0)),"",INDEX('Compliance Database'!$N$2:$N$622,MATCH(484,'Transfer Engine'!$C$2:$C$622,0)))</f>
        <v/>
      </c>
      <c r="O493" s="8">
        <f>IF(ISNA(MATCH(484,'Transfer Engine'!$C$2:$C$622,0)),"",INDEX('Compliance Database'!$O$2:$O$622,MATCH(484,'Transfer Engine'!$C$2:$C$622,0)))</f>
        <v/>
      </c>
    </row>
    <row r="494">
      <c r="A494">
        <f>IF(ISNA(MATCH(485,'Transfer Engine'!$C$2:$C$622,0)),"",INDEX('Compliance Database'!$A$2:$A$622,MATCH(485,'Transfer Engine'!$C$2:$C$622,0)))</f>
        <v/>
      </c>
      <c r="B494">
        <f>IF(ISNA(MATCH(485,'Transfer Engine'!$C$2:$C$622,0)),"",INDEX('Compliance Database'!$B$2:$B$622,MATCH(485,'Transfer Engine'!$C$2:$C$622,0)))</f>
        <v/>
      </c>
      <c r="C494">
        <f>IF(ISNA(MATCH(485,'Transfer Engine'!$C$2:$C$622,0)),"",INDEX('Compliance Database'!$C$2:$C$622,MATCH(485,'Transfer Engine'!$C$2:$C$622,0)))</f>
        <v/>
      </c>
      <c r="D494" s="8">
        <f>IF(ISNA(MATCH(485,'Transfer Engine'!$C$2:$C$622,0)),"",INDEX('Compliance Database'!$D$2:$D$622,MATCH(485,'Transfer Engine'!$C$2:$C$622,0)))</f>
        <v/>
      </c>
      <c r="E494">
        <f>IF(ISNA(MATCH(485,'Transfer Engine'!$C$2:$C$622,0)),"",INDEX('Compliance Database'!$E$2:$E$622,MATCH(485,'Transfer Engine'!$C$2:$C$622,0)))</f>
        <v/>
      </c>
      <c r="F494">
        <f>IF(ISNA(MATCH(485,'Transfer Engine'!$C$2:$C$622,0)),"",INDEX('Compliance Database'!$F$2:$F$622,MATCH(485,'Transfer Engine'!$C$2:$C$622,0)))</f>
        <v/>
      </c>
      <c r="G494">
        <f>IF(ISNA(MATCH(485,'Transfer Engine'!$C$2:$C$622,0)),"",INDEX('Compliance Database'!$G$2:$G$622,MATCH(485,'Transfer Engine'!$C$2:$C$622,0)))</f>
        <v/>
      </c>
      <c r="H494">
        <f>IF(ISNA(MATCH(485,'Transfer Engine'!$C$2:$C$622,0)),"",INDEX('Compliance Database'!$H$2:$H$622,MATCH(485,'Transfer Engine'!$C$2:$C$622,0)))</f>
        <v/>
      </c>
      <c r="I494" s="8">
        <f>IF(ISNA(MATCH(485,'Transfer Engine'!$C$2:$C$622,0)),"",INDEX('Compliance Database'!$I$2:$I$622,MATCH(485,'Transfer Engine'!$C$2:$C$622,0)))</f>
        <v/>
      </c>
      <c r="J494" s="8">
        <f>IF(ISNA(MATCH(485,'Transfer Engine'!$C$2:$C$622,0)),"",INDEX('Compliance Database'!$J$2:$J$622,MATCH(485,'Transfer Engine'!$C$2:$C$622,0)))</f>
        <v/>
      </c>
      <c r="K494">
        <f>IF(ISNA(MATCH(485,'Transfer Engine'!$C$2:$C$622,0)),"",INDEX('Compliance Database'!$K$2:$K$622,MATCH(485,'Transfer Engine'!$C$2:$C$622,0)))</f>
        <v/>
      </c>
      <c r="L494" s="8">
        <f>IF(ISNA(MATCH(485,'Transfer Engine'!$C$2:$C$622,0)),"",INDEX('Compliance Database'!$L$2:$L$622,MATCH(485,'Transfer Engine'!$C$2:$C$622,0)))</f>
        <v/>
      </c>
      <c r="M494" s="8">
        <f>IF(ISNA(MATCH(485,'Transfer Engine'!$C$2:$C$622,0)),"",INDEX('Compliance Database'!$M$2:$M$622,MATCH(485,'Transfer Engine'!$C$2:$C$622,0)))</f>
        <v/>
      </c>
      <c r="N494" s="8">
        <f>IF(ISNA(MATCH(485,'Transfer Engine'!$C$2:$C$622,0)),"",INDEX('Compliance Database'!$N$2:$N$622,MATCH(485,'Transfer Engine'!$C$2:$C$622,0)))</f>
        <v/>
      </c>
      <c r="O494" s="8">
        <f>IF(ISNA(MATCH(485,'Transfer Engine'!$C$2:$C$622,0)),"",INDEX('Compliance Database'!$O$2:$O$622,MATCH(485,'Transfer Engine'!$C$2:$C$622,0)))</f>
        <v/>
      </c>
    </row>
    <row r="495">
      <c r="A495">
        <f>IF(ISNA(MATCH(486,'Transfer Engine'!$C$2:$C$622,0)),"",INDEX('Compliance Database'!$A$2:$A$622,MATCH(486,'Transfer Engine'!$C$2:$C$622,0)))</f>
        <v/>
      </c>
      <c r="B495">
        <f>IF(ISNA(MATCH(486,'Transfer Engine'!$C$2:$C$622,0)),"",INDEX('Compliance Database'!$B$2:$B$622,MATCH(486,'Transfer Engine'!$C$2:$C$622,0)))</f>
        <v/>
      </c>
      <c r="C495">
        <f>IF(ISNA(MATCH(486,'Transfer Engine'!$C$2:$C$622,0)),"",INDEX('Compliance Database'!$C$2:$C$622,MATCH(486,'Transfer Engine'!$C$2:$C$622,0)))</f>
        <v/>
      </c>
      <c r="D495" s="8">
        <f>IF(ISNA(MATCH(486,'Transfer Engine'!$C$2:$C$622,0)),"",INDEX('Compliance Database'!$D$2:$D$622,MATCH(486,'Transfer Engine'!$C$2:$C$622,0)))</f>
        <v/>
      </c>
      <c r="E495">
        <f>IF(ISNA(MATCH(486,'Transfer Engine'!$C$2:$C$622,0)),"",INDEX('Compliance Database'!$E$2:$E$622,MATCH(486,'Transfer Engine'!$C$2:$C$622,0)))</f>
        <v/>
      </c>
      <c r="F495">
        <f>IF(ISNA(MATCH(486,'Transfer Engine'!$C$2:$C$622,0)),"",INDEX('Compliance Database'!$F$2:$F$622,MATCH(486,'Transfer Engine'!$C$2:$C$622,0)))</f>
        <v/>
      </c>
      <c r="G495">
        <f>IF(ISNA(MATCH(486,'Transfer Engine'!$C$2:$C$622,0)),"",INDEX('Compliance Database'!$G$2:$G$622,MATCH(486,'Transfer Engine'!$C$2:$C$622,0)))</f>
        <v/>
      </c>
      <c r="H495">
        <f>IF(ISNA(MATCH(486,'Transfer Engine'!$C$2:$C$622,0)),"",INDEX('Compliance Database'!$H$2:$H$622,MATCH(486,'Transfer Engine'!$C$2:$C$622,0)))</f>
        <v/>
      </c>
      <c r="I495" s="8">
        <f>IF(ISNA(MATCH(486,'Transfer Engine'!$C$2:$C$622,0)),"",INDEX('Compliance Database'!$I$2:$I$622,MATCH(486,'Transfer Engine'!$C$2:$C$622,0)))</f>
        <v/>
      </c>
      <c r="J495" s="8">
        <f>IF(ISNA(MATCH(486,'Transfer Engine'!$C$2:$C$622,0)),"",INDEX('Compliance Database'!$J$2:$J$622,MATCH(486,'Transfer Engine'!$C$2:$C$622,0)))</f>
        <v/>
      </c>
      <c r="K495">
        <f>IF(ISNA(MATCH(486,'Transfer Engine'!$C$2:$C$622,0)),"",INDEX('Compliance Database'!$K$2:$K$622,MATCH(486,'Transfer Engine'!$C$2:$C$622,0)))</f>
        <v/>
      </c>
      <c r="L495" s="8">
        <f>IF(ISNA(MATCH(486,'Transfer Engine'!$C$2:$C$622,0)),"",INDEX('Compliance Database'!$L$2:$L$622,MATCH(486,'Transfer Engine'!$C$2:$C$622,0)))</f>
        <v/>
      </c>
      <c r="M495" s="8">
        <f>IF(ISNA(MATCH(486,'Transfer Engine'!$C$2:$C$622,0)),"",INDEX('Compliance Database'!$M$2:$M$622,MATCH(486,'Transfer Engine'!$C$2:$C$622,0)))</f>
        <v/>
      </c>
      <c r="N495" s="8">
        <f>IF(ISNA(MATCH(486,'Transfer Engine'!$C$2:$C$622,0)),"",INDEX('Compliance Database'!$N$2:$N$622,MATCH(486,'Transfer Engine'!$C$2:$C$622,0)))</f>
        <v/>
      </c>
      <c r="O495" s="8">
        <f>IF(ISNA(MATCH(486,'Transfer Engine'!$C$2:$C$622,0)),"",INDEX('Compliance Database'!$O$2:$O$622,MATCH(486,'Transfer Engine'!$C$2:$C$622,0)))</f>
        <v/>
      </c>
    </row>
    <row r="496">
      <c r="A496">
        <f>IF(ISNA(MATCH(487,'Transfer Engine'!$C$2:$C$622,0)),"",INDEX('Compliance Database'!$A$2:$A$622,MATCH(487,'Transfer Engine'!$C$2:$C$622,0)))</f>
        <v/>
      </c>
      <c r="B496">
        <f>IF(ISNA(MATCH(487,'Transfer Engine'!$C$2:$C$622,0)),"",INDEX('Compliance Database'!$B$2:$B$622,MATCH(487,'Transfer Engine'!$C$2:$C$622,0)))</f>
        <v/>
      </c>
      <c r="C496">
        <f>IF(ISNA(MATCH(487,'Transfer Engine'!$C$2:$C$622,0)),"",INDEX('Compliance Database'!$C$2:$C$622,MATCH(487,'Transfer Engine'!$C$2:$C$622,0)))</f>
        <v/>
      </c>
      <c r="D496" s="8">
        <f>IF(ISNA(MATCH(487,'Transfer Engine'!$C$2:$C$622,0)),"",INDEX('Compliance Database'!$D$2:$D$622,MATCH(487,'Transfer Engine'!$C$2:$C$622,0)))</f>
        <v/>
      </c>
      <c r="E496">
        <f>IF(ISNA(MATCH(487,'Transfer Engine'!$C$2:$C$622,0)),"",INDEX('Compliance Database'!$E$2:$E$622,MATCH(487,'Transfer Engine'!$C$2:$C$622,0)))</f>
        <v/>
      </c>
      <c r="F496">
        <f>IF(ISNA(MATCH(487,'Transfer Engine'!$C$2:$C$622,0)),"",INDEX('Compliance Database'!$F$2:$F$622,MATCH(487,'Transfer Engine'!$C$2:$C$622,0)))</f>
        <v/>
      </c>
      <c r="G496">
        <f>IF(ISNA(MATCH(487,'Transfer Engine'!$C$2:$C$622,0)),"",INDEX('Compliance Database'!$G$2:$G$622,MATCH(487,'Transfer Engine'!$C$2:$C$622,0)))</f>
        <v/>
      </c>
      <c r="H496">
        <f>IF(ISNA(MATCH(487,'Transfer Engine'!$C$2:$C$622,0)),"",INDEX('Compliance Database'!$H$2:$H$622,MATCH(487,'Transfer Engine'!$C$2:$C$622,0)))</f>
        <v/>
      </c>
      <c r="I496" s="8">
        <f>IF(ISNA(MATCH(487,'Transfer Engine'!$C$2:$C$622,0)),"",INDEX('Compliance Database'!$I$2:$I$622,MATCH(487,'Transfer Engine'!$C$2:$C$622,0)))</f>
        <v/>
      </c>
      <c r="J496" s="8">
        <f>IF(ISNA(MATCH(487,'Transfer Engine'!$C$2:$C$622,0)),"",INDEX('Compliance Database'!$J$2:$J$622,MATCH(487,'Transfer Engine'!$C$2:$C$622,0)))</f>
        <v/>
      </c>
      <c r="K496">
        <f>IF(ISNA(MATCH(487,'Transfer Engine'!$C$2:$C$622,0)),"",INDEX('Compliance Database'!$K$2:$K$622,MATCH(487,'Transfer Engine'!$C$2:$C$622,0)))</f>
        <v/>
      </c>
      <c r="L496" s="8">
        <f>IF(ISNA(MATCH(487,'Transfer Engine'!$C$2:$C$622,0)),"",INDEX('Compliance Database'!$L$2:$L$622,MATCH(487,'Transfer Engine'!$C$2:$C$622,0)))</f>
        <v/>
      </c>
      <c r="M496" s="8">
        <f>IF(ISNA(MATCH(487,'Transfer Engine'!$C$2:$C$622,0)),"",INDEX('Compliance Database'!$M$2:$M$622,MATCH(487,'Transfer Engine'!$C$2:$C$622,0)))</f>
        <v/>
      </c>
      <c r="N496" s="8">
        <f>IF(ISNA(MATCH(487,'Transfer Engine'!$C$2:$C$622,0)),"",INDEX('Compliance Database'!$N$2:$N$622,MATCH(487,'Transfer Engine'!$C$2:$C$622,0)))</f>
        <v/>
      </c>
      <c r="O496" s="8">
        <f>IF(ISNA(MATCH(487,'Transfer Engine'!$C$2:$C$622,0)),"",INDEX('Compliance Database'!$O$2:$O$622,MATCH(487,'Transfer Engine'!$C$2:$C$622,0)))</f>
        <v/>
      </c>
    </row>
    <row r="497">
      <c r="A497">
        <f>IF(ISNA(MATCH(488,'Transfer Engine'!$C$2:$C$622,0)),"",INDEX('Compliance Database'!$A$2:$A$622,MATCH(488,'Transfer Engine'!$C$2:$C$622,0)))</f>
        <v/>
      </c>
      <c r="B497">
        <f>IF(ISNA(MATCH(488,'Transfer Engine'!$C$2:$C$622,0)),"",INDEX('Compliance Database'!$B$2:$B$622,MATCH(488,'Transfer Engine'!$C$2:$C$622,0)))</f>
        <v/>
      </c>
      <c r="C497">
        <f>IF(ISNA(MATCH(488,'Transfer Engine'!$C$2:$C$622,0)),"",INDEX('Compliance Database'!$C$2:$C$622,MATCH(488,'Transfer Engine'!$C$2:$C$622,0)))</f>
        <v/>
      </c>
      <c r="D497" s="8">
        <f>IF(ISNA(MATCH(488,'Transfer Engine'!$C$2:$C$622,0)),"",INDEX('Compliance Database'!$D$2:$D$622,MATCH(488,'Transfer Engine'!$C$2:$C$622,0)))</f>
        <v/>
      </c>
      <c r="E497">
        <f>IF(ISNA(MATCH(488,'Transfer Engine'!$C$2:$C$622,0)),"",INDEX('Compliance Database'!$E$2:$E$622,MATCH(488,'Transfer Engine'!$C$2:$C$622,0)))</f>
        <v/>
      </c>
      <c r="F497">
        <f>IF(ISNA(MATCH(488,'Transfer Engine'!$C$2:$C$622,0)),"",INDEX('Compliance Database'!$F$2:$F$622,MATCH(488,'Transfer Engine'!$C$2:$C$622,0)))</f>
        <v/>
      </c>
      <c r="G497">
        <f>IF(ISNA(MATCH(488,'Transfer Engine'!$C$2:$C$622,0)),"",INDEX('Compliance Database'!$G$2:$G$622,MATCH(488,'Transfer Engine'!$C$2:$C$622,0)))</f>
        <v/>
      </c>
      <c r="H497">
        <f>IF(ISNA(MATCH(488,'Transfer Engine'!$C$2:$C$622,0)),"",INDEX('Compliance Database'!$H$2:$H$622,MATCH(488,'Transfer Engine'!$C$2:$C$622,0)))</f>
        <v/>
      </c>
      <c r="I497" s="8">
        <f>IF(ISNA(MATCH(488,'Transfer Engine'!$C$2:$C$622,0)),"",INDEX('Compliance Database'!$I$2:$I$622,MATCH(488,'Transfer Engine'!$C$2:$C$622,0)))</f>
        <v/>
      </c>
      <c r="J497" s="8">
        <f>IF(ISNA(MATCH(488,'Transfer Engine'!$C$2:$C$622,0)),"",INDEX('Compliance Database'!$J$2:$J$622,MATCH(488,'Transfer Engine'!$C$2:$C$622,0)))</f>
        <v/>
      </c>
      <c r="K497">
        <f>IF(ISNA(MATCH(488,'Transfer Engine'!$C$2:$C$622,0)),"",INDEX('Compliance Database'!$K$2:$K$622,MATCH(488,'Transfer Engine'!$C$2:$C$622,0)))</f>
        <v/>
      </c>
      <c r="L497" s="8">
        <f>IF(ISNA(MATCH(488,'Transfer Engine'!$C$2:$C$622,0)),"",INDEX('Compliance Database'!$L$2:$L$622,MATCH(488,'Transfer Engine'!$C$2:$C$622,0)))</f>
        <v/>
      </c>
      <c r="M497" s="8">
        <f>IF(ISNA(MATCH(488,'Transfer Engine'!$C$2:$C$622,0)),"",INDEX('Compliance Database'!$M$2:$M$622,MATCH(488,'Transfer Engine'!$C$2:$C$622,0)))</f>
        <v/>
      </c>
      <c r="N497" s="8">
        <f>IF(ISNA(MATCH(488,'Transfer Engine'!$C$2:$C$622,0)),"",INDEX('Compliance Database'!$N$2:$N$622,MATCH(488,'Transfer Engine'!$C$2:$C$622,0)))</f>
        <v/>
      </c>
      <c r="O497" s="8">
        <f>IF(ISNA(MATCH(488,'Transfer Engine'!$C$2:$C$622,0)),"",INDEX('Compliance Database'!$O$2:$O$622,MATCH(488,'Transfer Engine'!$C$2:$C$622,0)))</f>
        <v/>
      </c>
    </row>
    <row r="498">
      <c r="A498">
        <f>IF(ISNA(MATCH(489,'Transfer Engine'!$C$2:$C$622,0)),"",INDEX('Compliance Database'!$A$2:$A$622,MATCH(489,'Transfer Engine'!$C$2:$C$622,0)))</f>
        <v/>
      </c>
      <c r="B498">
        <f>IF(ISNA(MATCH(489,'Transfer Engine'!$C$2:$C$622,0)),"",INDEX('Compliance Database'!$B$2:$B$622,MATCH(489,'Transfer Engine'!$C$2:$C$622,0)))</f>
        <v/>
      </c>
      <c r="C498">
        <f>IF(ISNA(MATCH(489,'Transfer Engine'!$C$2:$C$622,0)),"",INDEX('Compliance Database'!$C$2:$C$622,MATCH(489,'Transfer Engine'!$C$2:$C$622,0)))</f>
        <v/>
      </c>
      <c r="D498" s="8">
        <f>IF(ISNA(MATCH(489,'Transfer Engine'!$C$2:$C$622,0)),"",INDEX('Compliance Database'!$D$2:$D$622,MATCH(489,'Transfer Engine'!$C$2:$C$622,0)))</f>
        <v/>
      </c>
      <c r="E498">
        <f>IF(ISNA(MATCH(489,'Transfer Engine'!$C$2:$C$622,0)),"",INDEX('Compliance Database'!$E$2:$E$622,MATCH(489,'Transfer Engine'!$C$2:$C$622,0)))</f>
        <v/>
      </c>
      <c r="F498">
        <f>IF(ISNA(MATCH(489,'Transfer Engine'!$C$2:$C$622,0)),"",INDEX('Compliance Database'!$F$2:$F$622,MATCH(489,'Transfer Engine'!$C$2:$C$622,0)))</f>
        <v/>
      </c>
      <c r="G498">
        <f>IF(ISNA(MATCH(489,'Transfer Engine'!$C$2:$C$622,0)),"",INDEX('Compliance Database'!$G$2:$G$622,MATCH(489,'Transfer Engine'!$C$2:$C$622,0)))</f>
        <v/>
      </c>
      <c r="H498">
        <f>IF(ISNA(MATCH(489,'Transfer Engine'!$C$2:$C$622,0)),"",INDEX('Compliance Database'!$H$2:$H$622,MATCH(489,'Transfer Engine'!$C$2:$C$622,0)))</f>
        <v/>
      </c>
      <c r="I498" s="8">
        <f>IF(ISNA(MATCH(489,'Transfer Engine'!$C$2:$C$622,0)),"",INDEX('Compliance Database'!$I$2:$I$622,MATCH(489,'Transfer Engine'!$C$2:$C$622,0)))</f>
        <v/>
      </c>
      <c r="J498" s="8">
        <f>IF(ISNA(MATCH(489,'Transfer Engine'!$C$2:$C$622,0)),"",INDEX('Compliance Database'!$J$2:$J$622,MATCH(489,'Transfer Engine'!$C$2:$C$622,0)))</f>
        <v/>
      </c>
      <c r="K498">
        <f>IF(ISNA(MATCH(489,'Transfer Engine'!$C$2:$C$622,0)),"",INDEX('Compliance Database'!$K$2:$K$622,MATCH(489,'Transfer Engine'!$C$2:$C$622,0)))</f>
        <v/>
      </c>
      <c r="L498" s="8">
        <f>IF(ISNA(MATCH(489,'Transfer Engine'!$C$2:$C$622,0)),"",INDEX('Compliance Database'!$L$2:$L$622,MATCH(489,'Transfer Engine'!$C$2:$C$622,0)))</f>
        <v/>
      </c>
      <c r="M498" s="8">
        <f>IF(ISNA(MATCH(489,'Transfer Engine'!$C$2:$C$622,0)),"",INDEX('Compliance Database'!$M$2:$M$622,MATCH(489,'Transfer Engine'!$C$2:$C$622,0)))</f>
        <v/>
      </c>
      <c r="N498" s="8">
        <f>IF(ISNA(MATCH(489,'Transfer Engine'!$C$2:$C$622,0)),"",INDEX('Compliance Database'!$N$2:$N$622,MATCH(489,'Transfer Engine'!$C$2:$C$622,0)))</f>
        <v/>
      </c>
      <c r="O498" s="8">
        <f>IF(ISNA(MATCH(489,'Transfer Engine'!$C$2:$C$622,0)),"",INDEX('Compliance Database'!$O$2:$O$622,MATCH(489,'Transfer Engine'!$C$2:$C$622,0)))</f>
        <v/>
      </c>
    </row>
    <row r="499">
      <c r="A499">
        <f>IF(ISNA(MATCH(490,'Transfer Engine'!$C$2:$C$622,0)),"",INDEX('Compliance Database'!$A$2:$A$622,MATCH(490,'Transfer Engine'!$C$2:$C$622,0)))</f>
        <v/>
      </c>
      <c r="B499">
        <f>IF(ISNA(MATCH(490,'Transfer Engine'!$C$2:$C$622,0)),"",INDEX('Compliance Database'!$B$2:$B$622,MATCH(490,'Transfer Engine'!$C$2:$C$622,0)))</f>
        <v/>
      </c>
      <c r="C499">
        <f>IF(ISNA(MATCH(490,'Transfer Engine'!$C$2:$C$622,0)),"",INDEX('Compliance Database'!$C$2:$C$622,MATCH(490,'Transfer Engine'!$C$2:$C$622,0)))</f>
        <v/>
      </c>
      <c r="D499" s="8">
        <f>IF(ISNA(MATCH(490,'Transfer Engine'!$C$2:$C$622,0)),"",INDEX('Compliance Database'!$D$2:$D$622,MATCH(490,'Transfer Engine'!$C$2:$C$622,0)))</f>
        <v/>
      </c>
      <c r="E499">
        <f>IF(ISNA(MATCH(490,'Transfer Engine'!$C$2:$C$622,0)),"",INDEX('Compliance Database'!$E$2:$E$622,MATCH(490,'Transfer Engine'!$C$2:$C$622,0)))</f>
        <v/>
      </c>
      <c r="F499">
        <f>IF(ISNA(MATCH(490,'Transfer Engine'!$C$2:$C$622,0)),"",INDEX('Compliance Database'!$F$2:$F$622,MATCH(490,'Transfer Engine'!$C$2:$C$622,0)))</f>
        <v/>
      </c>
      <c r="G499">
        <f>IF(ISNA(MATCH(490,'Transfer Engine'!$C$2:$C$622,0)),"",INDEX('Compliance Database'!$G$2:$G$622,MATCH(490,'Transfer Engine'!$C$2:$C$622,0)))</f>
        <v/>
      </c>
      <c r="H499">
        <f>IF(ISNA(MATCH(490,'Transfer Engine'!$C$2:$C$622,0)),"",INDEX('Compliance Database'!$H$2:$H$622,MATCH(490,'Transfer Engine'!$C$2:$C$622,0)))</f>
        <v/>
      </c>
      <c r="I499" s="8">
        <f>IF(ISNA(MATCH(490,'Transfer Engine'!$C$2:$C$622,0)),"",INDEX('Compliance Database'!$I$2:$I$622,MATCH(490,'Transfer Engine'!$C$2:$C$622,0)))</f>
        <v/>
      </c>
      <c r="J499" s="8">
        <f>IF(ISNA(MATCH(490,'Transfer Engine'!$C$2:$C$622,0)),"",INDEX('Compliance Database'!$J$2:$J$622,MATCH(490,'Transfer Engine'!$C$2:$C$622,0)))</f>
        <v/>
      </c>
      <c r="K499">
        <f>IF(ISNA(MATCH(490,'Transfer Engine'!$C$2:$C$622,0)),"",INDEX('Compliance Database'!$K$2:$K$622,MATCH(490,'Transfer Engine'!$C$2:$C$622,0)))</f>
        <v/>
      </c>
      <c r="L499" s="8">
        <f>IF(ISNA(MATCH(490,'Transfer Engine'!$C$2:$C$622,0)),"",INDEX('Compliance Database'!$L$2:$L$622,MATCH(490,'Transfer Engine'!$C$2:$C$622,0)))</f>
        <v/>
      </c>
      <c r="M499" s="8">
        <f>IF(ISNA(MATCH(490,'Transfer Engine'!$C$2:$C$622,0)),"",INDEX('Compliance Database'!$M$2:$M$622,MATCH(490,'Transfer Engine'!$C$2:$C$622,0)))</f>
        <v/>
      </c>
      <c r="N499" s="8">
        <f>IF(ISNA(MATCH(490,'Transfer Engine'!$C$2:$C$622,0)),"",INDEX('Compliance Database'!$N$2:$N$622,MATCH(490,'Transfer Engine'!$C$2:$C$622,0)))</f>
        <v/>
      </c>
      <c r="O499" s="8">
        <f>IF(ISNA(MATCH(490,'Transfer Engine'!$C$2:$C$622,0)),"",INDEX('Compliance Database'!$O$2:$O$622,MATCH(490,'Transfer Engine'!$C$2:$C$622,0)))</f>
        <v/>
      </c>
    </row>
    <row r="500">
      <c r="A500">
        <f>IF(ISNA(MATCH(491,'Transfer Engine'!$C$2:$C$622,0)),"",INDEX('Compliance Database'!$A$2:$A$622,MATCH(491,'Transfer Engine'!$C$2:$C$622,0)))</f>
        <v/>
      </c>
      <c r="B500">
        <f>IF(ISNA(MATCH(491,'Transfer Engine'!$C$2:$C$622,0)),"",INDEX('Compliance Database'!$B$2:$B$622,MATCH(491,'Transfer Engine'!$C$2:$C$622,0)))</f>
        <v/>
      </c>
      <c r="C500">
        <f>IF(ISNA(MATCH(491,'Transfer Engine'!$C$2:$C$622,0)),"",INDEX('Compliance Database'!$C$2:$C$622,MATCH(491,'Transfer Engine'!$C$2:$C$622,0)))</f>
        <v/>
      </c>
      <c r="D500" s="8">
        <f>IF(ISNA(MATCH(491,'Transfer Engine'!$C$2:$C$622,0)),"",INDEX('Compliance Database'!$D$2:$D$622,MATCH(491,'Transfer Engine'!$C$2:$C$622,0)))</f>
        <v/>
      </c>
      <c r="E500">
        <f>IF(ISNA(MATCH(491,'Transfer Engine'!$C$2:$C$622,0)),"",INDEX('Compliance Database'!$E$2:$E$622,MATCH(491,'Transfer Engine'!$C$2:$C$622,0)))</f>
        <v/>
      </c>
      <c r="F500">
        <f>IF(ISNA(MATCH(491,'Transfer Engine'!$C$2:$C$622,0)),"",INDEX('Compliance Database'!$F$2:$F$622,MATCH(491,'Transfer Engine'!$C$2:$C$622,0)))</f>
        <v/>
      </c>
      <c r="G500">
        <f>IF(ISNA(MATCH(491,'Transfer Engine'!$C$2:$C$622,0)),"",INDEX('Compliance Database'!$G$2:$G$622,MATCH(491,'Transfer Engine'!$C$2:$C$622,0)))</f>
        <v/>
      </c>
      <c r="H500">
        <f>IF(ISNA(MATCH(491,'Transfer Engine'!$C$2:$C$622,0)),"",INDEX('Compliance Database'!$H$2:$H$622,MATCH(491,'Transfer Engine'!$C$2:$C$622,0)))</f>
        <v/>
      </c>
      <c r="I500" s="8">
        <f>IF(ISNA(MATCH(491,'Transfer Engine'!$C$2:$C$622,0)),"",INDEX('Compliance Database'!$I$2:$I$622,MATCH(491,'Transfer Engine'!$C$2:$C$622,0)))</f>
        <v/>
      </c>
      <c r="J500" s="8">
        <f>IF(ISNA(MATCH(491,'Transfer Engine'!$C$2:$C$622,0)),"",INDEX('Compliance Database'!$J$2:$J$622,MATCH(491,'Transfer Engine'!$C$2:$C$622,0)))</f>
        <v/>
      </c>
      <c r="K500">
        <f>IF(ISNA(MATCH(491,'Transfer Engine'!$C$2:$C$622,0)),"",INDEX('Compliance Database'!$K$2:$K$622,MATCH(491,'Transfer Engine'!$C$2:$C$622,0)))</f>
        <v/>
      </c>
      <c r="L500" s="8">
        <f>IF(ISNA(MATCH(491,'Transfer Engine'!$C$2:$C$622,0)),"",INDEX('Compliance Database'!$L$2:$L$622,MATCH(491,'Transfer Engine'!$C$2:$C$622,0)))</f>
        <v/>
      </c>
      <c r="M500" s="8">
        <f>IF(ISNA(MATCH(491,'Transfer Engine'!$C$2:$C$622,0)),"",INDEX('Compliance Database'!$M$2:$M$622,MATCH(491,'Transfer Engine'!$C$2:$C$622,0)))</f>
        <v/>
      </c>
      <c r="N500" s="8">
        <f>IF(ISNA(MATCH(491,'Transfer Engine'!$C$2:$C$622,0)),"",INDEX('Compliance Database'!$N$2:$N$622,MATCH(491,'Transfer Engine'!$C$2:$C$622,0)))</f>
        <v/>
      </c>
      <c r="O500" s="8">
        <f>IF(ISNA(MATCH(491,'Transfer Engine'!$C$2:$C$622,0)),"",INDEX('Compliance Database'!$O$2:$O$622,MATCH(491,'Transfer Engine'!$C$2:$C$622,0)))</f>
        <v/>
      </c>
    </row>
    <row r="501">
      <c r="A501">
        <f>IF(ISNA(MATCH(492,'Transfer Engine'!$C$2:$C$622,0)),"",INDEX('Compliance Database'!$A$2:$A$622,MATCH(492,'Transfer Engine'!$C$2:$C$622,0)))</f>
        <v/>
      </c>
      <c r="B501">
        <f>IF(ISNA(MATCH(492,'Transfer Engine'!$C$2:$C$622,0)),"",INDEX('Compliance Database'!$B$2:$B$622,MATCH(492,'Transfer Engine'!$C$2:$C$622,0)))</f>
        <v/>
      </c>
      <c r="C501">
        <f>IF(ISNA(MATCH(492,'Transfer Engine'!$C$2:$C$622,0)),"",INDEX('Compliance Database'!$C$2:$C$622,MATCH(492,'Transfer Engine'!$C$2:$C$622,0)))</f>
        <v/>
      </c>
      <c r="D501" s="8">
        <f>IF(ISNA(MATCH(492,'Transfer Engine'!$C$2:$C$622,0)),"",INDEX('Compliance Database'!$D$2:$D$622,MATCH(492,'Transfer Engine'!$C$2:$C$622,0)))</f>
        <v/>
      </c>
      <c r="E501">
        <f>IF(ISNA(MATCH(492,'Transfer Engine'!$C$2:$C$622,0)),"",INDEX('Compliance Database'!$E$2:$E$622,MATCH(492,'Transfer Engine'!$C$2:$C$622,0)))</f>
        <v/>
      </c>
      <c r="F501">
        <f>IF(ISNA(MATCH(492,'Transfer Engine'!$C$2:$C$622,0)),"",INDEX('Compliance Database'!$F$2:$F$622,MATCH(492,'Transfer Engine'!$C$2:$C$622,0)))</f>
        <v/>
      </c>
      <c r="G501">
        <f>IF(ISNA(MATCH(492,'Transfer Engine'!$C$2:$C$622,0)),"",INDEX('Compliance Database'!$G$2:$G$622,MATCH(492,'Transfer Engine'!$C$2:$C$622,0)))</f>
        <v/>
      </c>
      <c r="H501">
        <f>IF(ISNA(MATCH(492,'Transfer Engine'!$C$2:$C$622,0)),"",INDEX('Compliance Database'!$H$2:$H$622,MATCH(492,'Transfer Engine'!$C$2:$C$622,0)))</f>
        <v/>
      </c>
      <c r="I501" s="8">
        <f>IF(ISNA(MATCH(492,'Transfer Engine'!$C$2:$C$622,0)),"",INDEX('Compliance Database'!$I$2:$I$622,MATCH(492,'Transfer Engine'!$C$2:$C$622,0)))</f>
        <v/>
      </c>
      <c r="J501" s="8">
        <f>IF(ISNA(MATCH(492,'Transfer Engine'!$C$2:$C$622,0)),"",INDEX('Compliance Database'!$J$2:$J$622,MATCH(492,'Transfer Engine'!$C$2:$C$622,0)))</f>
        <v/>
      </c>
      <c r="K501">
        <f>IF(ISNA(MATCH(492,'Transfer Engine'!$C$2:$C$622,0)),"",INDEX('Compliance Database'!$K$2:$K$622,MATCH(492,'Transfer Engine'!$C$2:$C$622,0)))</f>
        <v/>
      </c>
      <c r="L501" s="8">
        <f>IF(ISNA(MATCH(492,'Transfer Engine'!$C$2:$C$622,0)),"",INDEX('Compliance Database'!$L$2:$L$622,MATCH(492,'Transfer Engine'!$C$2:$C$622,0)))</f>
        <v/>
      </c>
      <c r="M501" s="8">
        <f>IF(ISNA(MATCH(492,'Transfer Engine'!$C$2:$C$622,0)),"",INDEX('Compliance Database'!$M$2:$M$622,MATCH(492,'Transfer Engine'!$C$2:$C$622,0)))</f>
        <v/>
      </c>
      <c r="N501" s="8">
        <f>IF(ISNA(MATCH(492,'Transfer Engine'!$C$2:$C$622,0)),"",INDEX('Compliance Database'!$N$2:$N$622,MATCH(492,'Transfer Engine'!$C$2:$C$622,0)))</f>
        <v/>
      </c>
      <c r="O501" s="8">
        <f>IF(ISNA(MATCH(492,'Transfer Engine'!$C$2:$C$622,0)),"",INDEX('Compliance Database'!$O$2:$O$622,MATCH(492,'Transfer Engine'!$C$2:$C$622,0)))</f>
        <v/>
      </c>
    </row>
    <row r="502">
      <c r="A502">
        <f>IF(ISNA(MATCH(493,'Transfer Engine'!$C$2:$C$622,0)),"",INDEX('Compliance Database'!$A$2:$A$622,MATCH(493,'Transfer Engine'!$C$2:$C$622,0)))</f>
        <v/>
      </c>
      <c r="B502">
        <f>IF(ISNA(MATCH(493,'Transfer Engine'!$C$2:$C$622,0)),"",INDEX('Compliance Database'!$B$2:$B$622,MATCH(493,'Transfer Engine'!$C$2:$C$622,0)))</f>
        <v/>
      </c>
      <c r="C502">
        <f>IF(ISNA(MATCH(493,'Transfer Engine'!$C$2:$C$622,0)),"",INDEX('Compliance Database'!$C$2:$C$622,MATCH(493,'Transfer Engine'!$C$2:$C$622,0)))</f>
        <v/>
      </c>
      <c r="D502" s="8">
        <f>IF(ISNA(MATCH(493,'Transfer Engine'!$C$2:$C$622,0)),"",INDEX('Compliance Database'!$D$2:$D$622,MATCH(493,'Transfer Engine'!$C$2:$C$622,0)))</f>
        <v/>
      </c>
      <c r="E502">
        <f>IF(ISNA(MATCH(493,'Transfer Engine'!$C$2:$C$622,0)),"",INDEX('Compliance Database'!$E$2:$E$622,MATCH(493,'Transfer Engine'!$C$2:$C$622,0)))</f>
        <v/>
      </c>
      <c r="F502">
        <f>IF(ISNA(MATCH(493,'Transfer Engine'!$C$2:$C$622,0)),"",INDEX('Compliance Database'!$F$2:$F$622,MATCH(493,'Transfer Engine'!$C$2:$C$622,0)))</f>
        <v/>
      </c>
      <c r="G502">
        <f>IF(ISNA(MATCH(493,'Transfer Engine'!$C$2:$C$622,0)),"",INDEX('Compliance Database'!$G$2:$G$622,MATCH(493,'Transfer Engine'!$C$2:$C$622,0)))</f>
        <v/>
      </c>
      <c r="H502">
        <f>IF(ISNA(MATCH(493,'Transfer Engine'!$C$2:$C$622,0)),"",INDEX('Compliance Database'!$H$2:$H$622,MATCH(493,'Transfer Engine'!$C$2:$C$622,0)))</f>
        <v/>
      </c>
      <c r="I502" s="8">
        <f>IF(ISNA(MATCH(493,'Transfer Engine'!$C$2:$C$622,0)),"",INDEX('Compliance Database'!$I$2:$I$622,MATCH(493,'Transfer Engine'!$C$2:$C$622,0)))</f>
        <v/>
      </c>
      <c r="J502" s="8">
        <f>IF(ISNA(MATCH(493,'Transfer Engine'!$C$2:$C$622,0)),"",INDEX('Compliance Database'!$J$2:$J$622,MATCH(493,'Transfer Engine'!$C$2:$C$622,0)))</f>
        <v/>
      </c>
      <c r="K502">
        <f>IF(ISNA(MATCH(493,'Transfer Engine'!$C$2:$C$622,0)),"",INDEX('Compliance Database'!$K$2:$K$622,MATCH(493,'Transfer Engine'!$C$2:$C$622,0)))</f>
        <v/>
      </c>
      <c r="L502" s="8">
        <f>IF(ISNA(MATCH(493,'Transfer Engine'!$C$2:$C$622,0)),"",INDEX('Compliance Database'!$L$2:$L$622,MATCH(493,'Transfer Engine'!$C$2:$C$622,0)))</f>
        <v/>
      </c>
      <c r="M502" s="8">
        <f>IF(ISNA(MATCH(493,'Transfer Engine'!$C$2:$C$622,0)),"",INDEX('Compliance Database'!$M$2:$M$622,MATCH(493,'Transfer Engine'!$C$2:$C$622,0)))</f>
        <v/>
      </c>
      <c r="N502" s="8">
        <f>IF(ISNA(MATCH(493,'Transfer Engine'!$C$2:$C$622,0)),"",INDEX('Compliance Database'!$N$2:$N$622,MATCH(493,'Transfer Engine'!$C$2:$C$622,0)))</f>
        <v/>
      </c>
      <c r="O502" s="8">
        <f>IF(ISNA(MATCH(493,'Transfer Engine'!$C$2:$C$622,0)),"",INDEX('Compliance Database'!$O$2:$O$622,MATCH(493,'Transfer Engine'!$C$2:$C$622,0)))</f>
        <v/>
      </c>
    </row>
    <row r="503">
      <c r="A503">
        <f>IF(ISNA(MATCH(494,'Transfer Engine'!$C$2:$C$622,0)),"",INDEX('Compliance Database'!$A$2:$A$622,MATCH(494,'Transfer Engine'!$C$2:$C$622,0)))</f>
        <v/>
      </c>
      <c r="B503">
        <f>IF(ISNA(MATCH(494,'Transfer Engine'!$C$2:$C$622,0)),"",INDEX('Compliance Database'!$B$2:$B$622,MATCH(494,'Transfer Engine'!$C$2:$C$622,0)))</f>
        <v/>
      </c>
      <c r="C503">
        <f>IF(ISNA(MATCH(494,'Transfer Engine'!$C$2:$C$622,0)),"",INDEX('Compliance Database'!$C$2:$C$622,MATCH(494,'Transfer Engine'!$C$2:$C$622,0)))</f>
        <v/>
      </c>
      <c r="D503" s="8">
        <f>IF(ISNA(MATCH(494,'Transfer Engine'!$C$2:$C$622,0)),"",INDEX('Compliance Database'!$D$2:$D$622,MATCH(494,'Transfer Engine'!$C$2:$C$622,0)))</f>
        <v/>
      </c>
      <c r="E503">
        <f>IF(ISNA(MATCH(494,'Transfer Engine'!$C$2:$C$622,0)),"",INDEX('Compliance Database'!$E$2:$E$622,MATCH(494,'Transfer Engine'!$C$2:$C$622,0)))</f>
        <v/>
      </c>
      <c r="F503">
        <f>IF(ISNA(MATCH(494,'Transfer Engine'!$C$2:$C$622,0)),"",INDEX('Compliance Database'!$F$2:$F$622,MATCH(494,'Transfer Engine'!$C$2:$C$622,0)))</f>
        <v/>
      </c>
      <c r="G503">
        <f>IF(ISNA(MATCH(494,'Transfer Engine'!$C$2:$C$622,0)),"",INDEX('Compliance Database'!$G$2:$G$622,MATCH(494,'Transfer Engine'!$C$2:$C$622,0)))</f>
        <v/>
      </c>
      <c r="H503">
        <f>IF(ISNA(MATCH(494,'Transfer Engine'!$C$2:$C$622,0)),"",INDEX('Compliance Database'!$H$2:$H$622,MATCH(494,'Transfer Engine'!$C$2:$C$622,0)))</f>
        <v/>
      </c>
      <c r="I503" s="8">
        <f>IF(ISNA(MATCH(494,'Transfer Engine'!$C$2:$C$622,0)),"",INDEX('Compliance Database'!$I$2:$I$622,MATCH(494,'Transfer Engine'!$C$2:$C$622,0)))</f>
        <v/>
      </c>
      <c r="J503" s="8">
        <f>IF(ISNA(MATCH(494,'Transfer Engine'!$C$2:$C$622,0)),"",INDEX('Compliance Database'!$J$2:$J$622,MATCH(494,'Transfer Engine'!$C$2:$C$622,0)))</f>
        <v/>
      </c>
      <c r="K503">
        <f>IF(ISNA(MATCH(494,'Transfer Engine'!$C$2:$C$622,0)),"",INDEX('Compliance Database'!$K$2:$K$622,MATCH(494,'Transfer Engine'!$C$2:$C$622,0)))</f>
        <v/>
      </c>
      <c r="L503" s="8">
        <f>IF(ISNA(MATCH(494,'Transfer Engine'!$C$2:$C$622,0)),"",INDEX('Compliance Database'!$L$2:$L$622,MATCH(494,'Transfer Engine'!$C$2:$C$622,0)))</f>
        <v/>
      </c>
      <c r="M503" s="8">
        <f>IF(ISNA(MATCH(494,'Transfer Engine'!$C$2:$C$622,0)),"",INDEX('Compliance Database'!$M$2:$M$622,MATCH(494,'Transfer Engine'!$C$2:$C$622,0)))</f>
        <v/>
      </c>
      <c r="N503" s="8">
        <f>IF(ISNA(MATCH(494,'Transfer Engine'!$C$2:$C$622,0)),"",INDEX('Compliance Database'!$N$2:$N$622,MATCH(494,'Transfer Engine'!$C$2:$C$622,0)))</f>
        <v/>
      </c>
      <c r="O503" s="8">
        <f>IF(ISNA(MATCH(494,'Transfer Engine'!$C$2:$C$622,0)),"",INDEX('Compliance Database'!$O$2:$O$622,MATCH(494,'Transfer Engine'!$C$2:$C$622,0)))</f>
        <v/>
      </c>
    </row>
    <row r="504">
      <c r="A504">
        <f>IF(ISNA(MATCH(495,'Transfer Engine'!$C$2:$C$622,0)),"",INDEX('Compliance Database'!$A$2:$A$622,MATCH(495,'Transfer Engine'!$C$2:$C$622,0)))</f>
        <v/>
      </c>
      <c r="B504">
        <f>IF(ISNA(MATCH(495,'Transfer Engine'!$C$2:$C$622,0)),"",INDEX('Compliance Database'!$B$2:$B$622,MATCH(495,'Transfer Engine'!$C$2:$C$622,0)))</f>
        <v/>
      </c>
      <c r="C504">
        <f>IF(ISNA(MATCH(495,'Transfer Engine'!$C$2:$C$622,0)),"",INDEX('Compliance Database'!$C$2:$C$622,MATCH(495,'Transfer Engine'!$C$2:$C$622,0)))</f>
        <v/>
      </c>
      <c r="D504" s="8">
        <f>IF(ISNA(MATCH(495,'Transfer Engine'!$C$2:$C$622,0)),"",INDEX('Compliance Database'!$D$2:$D$622,MATCH(495,'Transfer Engine'!$C$2:$C$622,0)))</f>
        <v/>
      </c>
      <c r="E504">
        <f>IF(ISNA(MATCH(495,'Transfer Engine'!$C$2:$C$622,0)),"",INDEX('Compliance Database'!$E$2:$E$622,MATCH(495,'Transfer Engine'!$C$2:$C$622,0)))</f>
        <v/>
      </c>
      <c r="F504">
        <f>IF(ISNA(MATCH(495,'Transfer Engine'!$C$2:$C$622,0)),"",INDEX('Compliance Database'!$F$2:$F$622,MATCH(495,'Transfer Engine'!$C$2:$C$622,0)))</f>
        <v/>
      </c>
      <c r="G504">
        <f>IF(ISNA(MATCH(495,'Transfer Engine'!$C$2:$C$622,0)),"",INDEX('Compliance Database'!$G$2:$G$622,MATCH(495,'Transfer Engine'!$C$2:$C$622,0)))</f>
        <v/>
      </c>
      <c r="H504">
        <f>IF(ISNA(MATCH(495,'Transfer Engine'!$C$2:$C$622,0)),"",INDEX('Compliance Database'!$H$2:$H$622,MATCH(495,'Transfer Engine'!$C$2:$C$622,0)))</f>
        <v/>
      </c>
      <c r="I504" s="8">
        <f>IF(ISNA(MATCH(495,'Transfer Engine'!$C$2:$C$622,0)),"",INDEX('Compliance Database'!$I$2:$I$622,MATCH(495,'Transfer Engine'!$C$2:$C$622,0)))</f>
        <v/>
      </c>
      <c r="J504" s="8">
        <f>IF(ISNA(MATCH(495,'Transfer Engine'!$C$2:$C$622,0)),"",INDEX('Compliance Database'!$J$2:$J$622,MATCH(495,'Transfer Engine'!$C$2:$C$622,0)))</f>
        <v/>
      </c>
      <c r="K504">
        <f>IF(ISNA(MATCH(495,'Transfer Engine'!$C$2:$C$622,0)),"",INDEX('Compliance Database'!$K$2:$K$622,MATCH(495,'Transfer Engine'!$C$2:$C$622,0)))</f>
        <v/>
      </c>
      <c r="L504" s="8">
        <f>IF(ISNA(MATCH(495,'Transfer Engine'!$C$2:$C$622,0)),"",INDEX('Compliance Database'!$L$2:$L$622,MATCH(495,'Transfer Engine'!$C$2:$C$622,0)))</f>
        <v/>
      </c>
      <c r="M504" s="8">
        <f>IF(ISNA(MATCH(495,'Transfer Engine'!$C$2:$C$622,0)),"",INDEX('Compliance Database'!$M$2:$M$622,MATCH(495,'Transfer Engine'!$C$2:$C$622,0)))</f>
        <v/>
      </c>
      <c r="N504" s="8">
        <f>IF(ISNA(MATCH(495,'Transfer Engine'!$C$2:$C$622,0)),"",INDEX('Compliance Database'!$N$2:$N$622,MATCH(495,'Transfer Engine'!$C$2:$C$622,0)))</f>
        <v/>
      </c>
      <c r="O504" s="8">
        <f>IF(ISNA(MATCH(495,'Transfer Engine'!$C$2:$C$622,0)),"",INDEX('Compliance Database'!$O$2:$O$622,MATCH(495,'Transfer Engine'!$C$2:$C$622,0)))</f>
        <v/>
      </c>
    </row>
    <row r="505">
      <c r="A505">
        <f>IF(ISNA(MATCH(496,'Transfer Engine'!$C$2:$C$622,0)),"",INDEX('Compliance Database'!$A$2:$A$622,MATCH(496,'Transfer Engine'!$C$2:$C$622,0)))</f>
        <v/>
      </c>
      <c r="B505">
        <f>IF(ISNA(MATCH(496,'Transfer Engine'!$C$2:$C$622,0)),"",INDEX('Compliance Database'!$B$2:$B$622,MATCH(496,'Transfer Engine'!$C$2:$C$622,0)))</f>
        <v/>
      </c>
      <c r="C505">
        <f>IF(ISNA(MATCH(496,'Transfer Engine'!$C$2:$C$622,0)),"",INDEX('Compliance Database'!$C$2:$C$622,MATCH(496,'Transfer Engine'!$C$2:$C$622,0)))</f>
        <v/>
      </c>
      <c r="D505" s="8">
        <f>IF(ISNA(MATCH(496,'Transfer Engine'!$C$2:$C$622,0)),"",INDEX('Compliance Database'!$D$2:$D$622,MATCH(496,'Transfer Engine'!$C$2:$C$622,0)))</f>
        <v/>
      </c>
      <c r="E505">
        <f>IF(ISNA(MATCH(496,'Transfer Engine'!$C$2:$C$622,0)),"",INDEX('Compliance Database'!$E$2:$E$622,MATCH(496,'Transfer Engine'!$C$2:$C$622,0)))</f>
        <v/>
      </c>
      <c r="F505">
        <f>IF(ISNA(MATCH(496,'Transfer Engine'!$C$2:$C$622,0)),"",INDEX('Compliance Database'!$F$2:$F$622,MATCH(496,'Transfer Engine'!$C$2:$C$622,0)))</f>
        <v/>
      </c>
      <c r="G505">
        <f>IF(ISNA(MATCH(496,'Transfer Engine'!$C$2:$C$622,0)),"",INDEX('Compliance Database'!$G$2:$G$622,MATCH(496,'Transfer Engine'!$C$2:$C$622,0)))</f>
        <v/>
      </c>
      <c r="H505">
        <f>IF(ISNA(MATCH(496,'Transfer Engine'!$C$2:$C$622,0)),"",INDEX('Compliance Database'!$H$2:$H$622,MATCH(496,'Transfer Engine'!$C$2:$C$622,0)))</f>
        <v/>
      </c>
      <c r="I505" s="8">
        <f>IF(ISNA(MATCH(496,'Transfer Engine'!$C$2:$C$622,0)),"",INDEX('Compliance Database'!$I$2:$I$622,MATCH(496,'Transfer Engine'!$C$2:$C$622,0)))</f>
        <v/>
      </c>
      <c r="J505" s="8">
        <f>IF(ISNA(MATCH(496,'Transfer Engine'!$C$2:$C$622,0)),"",INDEX('Compliance Database'!$J$2:$J$622,MATCH(496,'Transfer Engine'!$C$2:$C$622,0)))</f>
        <v/>
      </c>
      <c r="K505">
        <f>IF(ISNA(MATCH(496,'Transfer Engine'!$C$2:$C$622,0)),"",INDEX('Compliance Database'!$K$2:$K$622,MATCH(496,'Transfer Engine'!$C$2:$C$622,0)))</f>
        <v/>
      </c>
      <c r="L505" s="8">
        <f>IF(ISNA(MATCH(496,'Transfer Engine'!$C$2:$C$622,0)),"",INDEX('Compliance Database'!$L$2:$L$622,MATCH(496,'Transfer Engine'!$C$2:$C$622,0)))</f>
        <v/>
      </c>
      <c r="M505" s="8">
        <f>IF(ISNA(MATCH(496,'Transfer Engine'!$C$2:$C$622,0)),"",INDEX('Compliance Database'!$M$2:$M$622,MATCH(496,'Transfer Engine'!$C$2:$C$622,0)))</f>
        <v/>
      </c>
      <c r="N505" s="8">
        <f>IF(ISNA(MATCH(496,'Transfer Engine'!$C$2:$C$622,0)),"",INDEX('Compliance Database'!$N$2:$N$622,MATCH(496,'Transfer Engine'!$C$2:$C$622,0)))</f>
        <v/>
      </c>
      <c r="O505" s="8">
        <f>IF(ISNA(MATCH(496,'Transfer Engine'!$C$2:$C$622,0)),"",INDEX('Compliance Database'!$O$2:$O$622,MATCH(496,'Transfer Engine'!$C$2:$C$622,0)))</f>
        <v/>
      </c>
    </row>
    <row r="506">
      <c r="A506">
        <f>IF(ISNA(MATCH(497,'Transfer Engine'!$C$2:$C$622,0)),"",INDEX('Compliance Database'!$A$2:$A$622,MATCH(497,'Transfer Engine'!$C$2:$C$622,0)))</f>
        <v/>
      </c>
      <c r="B506">
        <f>IF(ISNA(MATCH(497,'Transfer Engine'!$C$2:$C$622,0)),"",INDEX('Compliance Database'!$B$2:$B$622,MATCH(497,'Transfer Engine'!$C$2:$C$622,0)))</f>
        <v/>
      </c>
      <c r="C506">
        <f>IF(ISNA(MATCH(497,'Transfer Engine'!$C$2:$C$622,0)),"",INDEX('Compliance Database'!$C$2:$C$622,MATCH(497,'Transfer Engine'!$C$2:$C$622,0)))</f>
        <v/>
      </c>
      <c r="D506" s="8">
        <f>IF(ISNA(MATCH(497,'Transfer Engine'!$C$2:$C$622,0)),"",INDEX('Compliance Database'!$D$2:$D$622,MATCH(497,'Transfer Engine'!$C$2:$C$622,0)))</f>
        <v/>
      </c>
      <c r="E506">
        <f>IF(ISNA(MATCH(497,'Transfer Engine'!$C$2:$C$622,0)),"",INDEX('Compliance Database'!$E$2:$E$622,MATCH(497,'Transfer Engine'!$C$2:$C$622,0)))</f>
        <v/>
      </c>
      <c r="F506">
        <f>IF(ISNA(MATCH(497,'Transfer Engine'!$C$2:$C$622,0)),"",INDEX('Compliance Database'!$F$2:$F$622,MATCH(497,'Transfer Engine'!$C$2:$C$622,0)))</f>
        <v/>
      </c>
      <c r="G506">
        <f>IF(ISNA(MATCH(497,'Transfer Engine'!$C$2:$C$622,0)),"",INDEX('Compliance Database'!$G$2:$G$622,MATCH(497,'Transfer Engine'!$C$2:$C$622,0)))</f>
        <v/>
      </c>
      <c r="H506">
        <f>IF(ISNA(MATCH(497,'Transfer Engine'!$C$2:$C$622,0)),"",INDEX('Compliance Database'!$H$2:$H$622,MATCH(497,'Transfer Engine'!$C$2:$C$622,0)))</f>
        <v/>
      </c>
      <c r="I506" s="8">
        <f>IF(ISNA(MATCH(497,'Transfer Engine'!$C$2:$C$622,0)),"",INDEX('Compliance Database'!$I$2:$I$622,MATCH(497,'Transfer Engine'!$C$2:$C$622,0)))</f>
        <v/>
      </c>
      <c r="J506" s="8">
        <f>IF(ISNA(MATCH(497,'Transfer Engine'!$C$2:$C$622,0)),"",INDEX('Compliance Database'!$J$2:$J$622,MATCH(497,'Transfer Engine'!$C$2:$C$622,0)))</f>
        <v/>
      </c>
      <c r="K506">
        <f>IF(ISNA(MATCH(497,'Transfer Engine'!$C$2:$C$622,0)),"",INDEX('Compliance Database'!$K$2:$K$622,MATCH(497,'Transfer Engine'!$C$2:$C$622,0)))</f>
        <v/>
      </c>
      <c r="L506" s="8">
        <f>IF(ISNA(MATCH(497,'Transfer Engine'!$C$2:$C$622,0)),"",INDEX('Compliance Database'!$L$2:$L$622,MATCH(497,'Transfer Engine'!$C$2:$C$622,0)))</f>
        <v/>
      </c>
      <c r="M506" s="8">
        <f>IF(ISNA(MATCH(497,'Transfer Engine'!$C$2:$C$622,0)),"",INDEX('Compliance Database'!$M$2:$M$622,MATCH(497,'Transfer Engine'!$C$2:$C$622,0)))</f>
        <v/>
      </c>
      <c r="N506" s="8">
        <f>IF(ISNA(MATCH(497,'Transfer Engine'!$C$2:$C$622,0)),"",INDEX('Compliance Database'!$N$2:$N$622,MATCH(497,'Transfer Engine'!$C$2:$C$622,0)))</f>
        <v/>
      </c>
      <c r="O506" s="8">
        <f>IF(ISNA(MATCH(497,'Transfer Engine'!$C$2:$C$622,0)),"",INDEX('Compliance Database'!$O$2:$O$622,MATCH(497,'Transfer Engine'!$C$2:$C$622,0)))</f>
        <v/>
      </c>
    </row>
    <row r="507">
      <c r="A507">
        <f>IF(ISNA(MATCH(498,'Transfer Engine'!$C$2:$C$622,0)),"",INDEX('Compliance Database'!$A$2:$A$622,MATCH(498,'Transfer Engine'!$C$2:$C$622,0)))</f>
        <v/>
      </c>
      <c r="B507">
        <f>IF(ISNA(MATCH(498,'Transfer Engine'!$C$2:$C$622,0)),"",INDEX('Compliance Database'!$B$2:$B$622,MATCH(498,'Transfer Engine'!$C$2:$C$622,0)))</f>
        <v/>
      </c>
      <c r="C507">
        <f>IF(ISNA(MATCH(498,'Transfer Engine'!$C$2:$C$622,0)),"",INDEX('Compliance Database'!$C$2:$C$622,MATCH(498,'Transfer Engine'!$C$2:$C$622,0)))</f>
        <v/>
      </c>
      <c r="D507" s="8">
        <f>IF(ISNA(MATCH(498,'Transfer Engine'!$C$2:$C$622,0)),"",INDEX('Compliance Database'!$D$2:$D$622,MATCH(498,'Transfer Engine'!$C$2:$C$622,0)))</f>
        <v/>
      </c>
      <c r="E507">
        <f>IF(ISNA(MATCH(498,'Transfer Engine'!$C$2:$C$622,0)),"",INDEX('Compliance Database'!$E$2:$E$622,MATCH(498,'Transfer Engine'!$C$2:$C$622,0)))</f>
        <v/>
      </c>
      <c r="F507">
        <f>IF(ISNA(MATCH(498,'Transfer Engine'!$C$2:$C$622,0)),"",INDEX('Compliance Database'!$F$2:$F$622,MATCH(498,'Transfer Engine'!$C$2:$C$622,0)))</f>
        <v/>
      </c>
      <c r="G507">
        <f>IF(ISNA(MATCH(498,'Transfer Engine'!$C$2:$C$622,0)),"",INDEX('Compliance Database'!$G$2:$G$622,MATCH(498,'Transfer Engine'!$C$2:$C$622,0)))</f>
        <v/>
      </c>
      <c r="H507">
        <f>IF(ISNA(MATCH(498,'Transfer Engine'!$C$2:$C$622,0)),"",INDEX('Compliance Database'!$H$2:$H$622,MATCH(498,'Transfer Engine'!$C$2:$C$622,0)))</f>
        <v/>
      </c>
      <c r="I507" s="8">
        <f>IF(ISNA(MATCH(498,'Transfer Engine'!$C$2:$C$622,0)),"",INDEX('Compliance Database'!$I$2:$I$622,MATCH(498,'Transfer Engine'!$C$2:$C$622,0)))</f>
        <v/>
      </c>
      <c r="J507" s="8">
        <f>IF(ISNA(MATCH(498,'Transfer Engine'!$C$2:$C$622,0)),"",INDEX('Compliance Database'!$J$2:$J$622,MATCH(498,'Transfer Engine'!$C$2:$C$622,0)))</f>
        <v/>
      </c>
      <c r="K507">
        <f>IF(ISNA(MATCH(498,'Transfer Engine'!$C$2:$C$622,0)),"",INDEX('Compliance Database'!$K$2:$K$622,MATCH(498,'Transfer Engine'!$C$2:$C$622,0)))</f>
        <v/>
      </c>
      <c r="L507" s="8">
        <f>IF(ISNA(MATCH(498,'Transfer Engine'!$C$2:$C$622,0)),"",INDEX('Compliance Database'!$L$2:$L$622,MATCH(498,'Transfer Engine'!$C$2:$C$622,0)))</f>
        <v/>
      </c>
      <c r="M507" s="8">
        <f>IF(ISNA(MATCH(498,'Transfer Engine'!$C$2:$C$622,0)),"",INDEX('Compliance Database'!$M$2:$M$622,MATCH(498,'Transfer Engine'!$C$2:$C$622,0)))</f>
        <v/>
      </c>
      <c r="N507" s="8">
        <f>IF(ISNA(MATCH(498,'Transfer Engine'!$C$2:$C$622,0)),"",INDEX('Compliance Database'!$N$2:$N$622,MATCH(498,'Transfer Engine'!$C$2:$C$622,0)))</f>
        <v/>
      </c>
      <c r="O507" s="8">
        <f>IF(ISNA(MATCH(498,'Transfer Engine'!$C$2:$C$622,0)),"",INDEX('Compliance Database'!$O$2:$O$622,MATCH(498,'Transfer Engine'!$C$2:$C$622,0)))</f>
        <v/>
      </c>
    </row>
    <row r="508">
      <c r="A508">
        <f>IF(ISNA(MATCH(499,'Transfer Engine'!$C$2:$C$622,0)),"",INDEX('Compliance Database'!$A$2:$A$622,MATCH(499,'Transfer Engine'!$C$2:$C$622,0)))</f>
        <v/>
      </c>
      <c r="B508">
        <f>IF(ISNA(MATCH(499,'Transfer Engine'!$C$2:$C$622,0)),"",INDEX('Compliance Database'!$B$2:$B$622,MATCH(499,'Transfer Engine'!$C$2:$C$622,0)))</f>
        <v/>
      </c>
      <c r="C508">
        <f>IF(ISNA(MATCH(499,'Transfer Engine'!$C$2:$C$622,0)),"",INDEX('Compliance Database'!$C$2:$C$622,MATCH(499,'Transfer Engine'!$C$2:$C$622,0)))</f>
        <v/>
      </c>
      <c r="D508" s="8">
        <f>IF(ISNA(MATCH(499,'Transfer Engine'!$C$2:$C$622,0)),"",INDEX('Compliance Database'!$D$2:$D$622,MATCH(499,'Transfer Engine'!$C$2:$C$622,0)))</f>
        <v/>
      </c>
      <c r="E508">
        <f>IF(ISNA(MATCH(499,'Transfer Engine'!$C$2:$C$622,0)),"",INDEX('Compliance Database'!$E$2:$E$622,MATCH(499,'Transfer Engine'!$C$2:$C$622,0)))</f>
        <v/>
      </c>
      <c r="F508">
        <f>IF(ISNA(MATCH(499,'Transfer Engine'!$C$2:$C$622,0)),"",INDEX('Compliance Database'!$F$2:$F$622,MATCH(499,'Transfer Engine'!$C$2:$C$622,0)))</f>
        <v/>
      </c>
      <c r="G508">
        <f>IF(ISNA(MATCH(499,'Transfer Engine'!$C$2:$C$622,0)),"",INDEX('Compliance Database'!$G$2:$G$622,MATCH(499,'Transfer Engine'!$C$2:$C$622,0)))</f>
        <v/>
      </c>
      <c r="H508">
        <f>IF(ISNA(MATCH(499,'Transfer Engine'!$C$2:$C$622,0)),"",INDEX('Compliance Database'!$H$2:$H$622,MATCH(499,'Transfer Engine'!$C$2:$C$622,0)))</f>
        <v/>
      </c>
      <c r="I508" s="8">
        <f>IF(ISNA(MATCH(499,'Transfer Engine'!$C$2:$C$622,0)),"",INDEX('Compliance Database'!$I$2:$I$622,MATCH(499,'Transfer Engine'!$C$2:$C$622,0)))</f>
        <v/>
      </c>
      <c r="J508" s="8">
        <f>IF(ISNA(MATCH(499,'Transfer Engine'!$C$2:$C$622,0)),"",INDEX('Compliance Database'!$J$2:$J$622,MATCH(499,'Transfer Engine'!$C$2:$C$622,0)))</f>
        <v/>
      </c>
      <c r="K508">
        <f>IF(ISNA(MATCH(499,'Transfer Engine'!$C$2:$C$622,0)),"",INDEX('Compliance Database'!$K$2:$K$622,MATCH(499,'Transfer Engine'!$C$2:$C$622,0)))</f>
        <v/>
      </c>
      <c r="L508" s="8">
        <f>IF(ISNA(MATCH(499,'Transfer Engine'!$C$2:$C$622,0)),"",INDEX('Compliance Database'!$L$2:$L$622,MATCH(499,'Transfer Engine'!$C$2:$C$622,0)))</f>
        <v/>
      </c>
      <c r="M508" s="8">
        <f>IF(ISNA(MATCH(499,'Transfer Engine'!$C$2:$C$622,0)),"",INDEX('Compliance Database'!$M$2:$M$622,MATCH(499,'Transfer Engine'!$C$2:$C$622,0)))</f>
        <v/>
      </c>
      <c r="N508" s="8">
        <f>IF(ISNA(MATCH(499,'Transfer Engine'!$C$2:$C$622,0)),"",INDEX('Compliance Database'!$N$2:$N$622,MATCH(499,'Transfer Engine'!$C$2:$C$622,0)))</f>
        <v/>
      </c>
      <c r="O508" s="8">
        <f>IF(ISNA(MATCH(499,'Transfer Engine'!$C$2:$C$622,0)),"",INDEX('Compliance Database'!$O$2:$O$622,MATCH(499,'Transfer Engine'!$C$2:$C$622,0)))</f>
        <v/>
      </c>
    </row>
    <row r="509">
      <c r="A509">
        <f>IF(ISNA(MATCH(500,'Transfer Engine'!$C$2:$C$622,0)),"",INDEX('Compliance Database'!$A$2:$A$622,MATCH(500,'Transfer Engine'!$C$2:$C$622,0)))</f>
        <v/>
      </c>
      <c r="B509">
        <f>IF(ISNA(MATCH(500,'Transfer Engine'!$C$2:$C$622,0)),"",INDEX('Compliance Database'!$B$2:$B$622,MATCH(500,'Transfer Engine'!$C$2:$C$622,0)))</f>
        <v/>
      </c>
      <c r="C509">
        <f>IF(ISNA(MATCH(500,'Transfer Engine'!$C$2:$C$622,0)),"",INDEX('Compliance Database'!$C$2:$C$622,MATCH(500,'Transfer Engine'!$C$2:$C$622,0)))</f>
        <v/>
      </c>
      <c r="D509" s="8">
        <f>IF(ISNA(MATCH(500,'Transfer Engine'!$C$2:$C$622,0)),"",INDEX('Compliance Database'!$D$2:$D$622,MATCH(500,'Transfer Engine'!$C$2:$C$622,0)))</f>
        <v/>
      </c>
      <c r="E509">
        <f>IF(ISNA(MATCH(500,'Transfer Engine'!$C$2:$C$622,0)),"",INDEX('Compliance Database'!$E$2:$E$622,MATCH(500,'Transfer Engine'!$C$2:$C$622,0)))</f>
        <v/>
      </c>
      <c r="F509">
        <f>IF(ISNA(MATCH(500,'Transfer Engine'!$C$2:$C$622,0)),"",INDEX('Compliance Database'!$F$2:$F$622,MATCH(500,'Transfer Engine'!$C$2:$C$622,0)))</f>
        <v/>
      </c>
      <c r="G509">
        <f>IF(ISNA(MATCH(500,'Transfer Engine'!$C$2:$C$622,0)),"",INDEX('Compliance Database'!$G$2:$G$622,MATCH(500,'Transfer Engine'!$C$2:$C$622,0)))</f>
        <v/>
      </c>
      <c r="H509">
        <f>IF(ISNA(MATCH(500,'Transfer Engine'!$C$2:$C$622,0)),"",INDEX('Compliance Database'!$H$2:$H$622,MATCH(500,'Transfer Engine'!$C$2:$C$622,0)))</f>
        <v/>
      </c>
      <c r="I509" s="8">
        <f>IF(ISNA(MATCH(500,'Transfer Engine'!$C$2:$C$622,0)),"",INDEX('Compliance Database'!$I$2:$I$622,MATCH(500,'Transfer Engine'!$C$2:$C$622,0)))</f>
        <v/>
      </c>
      <c r="J509" s="8">
        <f>IF(ISNA(MATCH(500,'Transfer Engine'!$C$2:$C$622,0)),"",INDEX('Compliance Database'!$J$2:$J$622,MATCH(500,'Transfer Engine'!$C$2:$C$622,0)))</f>
        <v/>
      </c>
      <c r="K509">
        <f>IF(ISNA(MATCH(500,'Transfer Engine'!$C$2:$C$622,0)),"",INDEX('Compliance Database'!$K$2:$K$622,MATCH(500,'Transfer Engine'!$C$2:$C$622,0)))</f>
        <v/>
      </c>
      <c r="L509" s="8">
        <f>IF(ISNA(MATCH(500,'Transfer Engine'!$C$2:$C$622,0)),"",INDEX('Compliance Database'!$L$2:$L$622,MATCH(500,'Transfer Engine'!$C$2:$C$622,0)))</f>
        <v/>
      </c>
      <c r="M509" s="8">
        <f>IF(ISNA(MATCH(500,'Transfer Engine'!$C$2:$C$622,0)),"",INDEX('Compliance Database'!$M$2:$M$622,MATCH(500,'Transfer Engine'!$C$2:$C$622,0)))</f>
        <v/>
      </c>
      <c r="N509" s="8">
        <f>IF(ISNA(MATCH(500,'Transfer Engine'!$C$2:$C$622,0)),"",INDEX('Compliance Database'!$N$2:$N$622,MATCH(500,'Transfer Engine'!$C$2:$C$622,0)))</f>
        <v/>
      </c>
      <c r="O509" s="8">
        <f>IF(ISNA(MATCH(500,'Transfer Engine'!$C$2:$C$622,0)),"",INDEX('Compliance Database'!$O$2:$O$622,MATCH(500,'Transfer Engine'!$C$2:$C$622,0)))</f>
        <v/>
      </c>
    </row>
    <row r="510">
      <c r="A510">
        <f>IF(ISNA(MATCH(501,'Transfer Engine'!$C$2:$C$622,0)),"",INDEX('Compliance Database'!$A$2:$A$622,MATCH(501,'Transfer Engine'!$C$2:$C$622,0)))</f>
        <v/>
      </c>
      <c r="B510">
        <f>IF(ISNA(MATCH(501,'Transfer Engine'!$C$2:$C$622,0)),"",INDEX('Compliance Database'!$B$2:$B$622,MATCH(501,'Transfer Engine'!$C$2:$C$622,0)))</f>
        <v/>
      </c>
      <c r="C510">
        <f>IF(ISNA(MATCH(501,'Transfer Engine'!$C$2:$C$622,0)),"",INDEX('Compliance Database'!$C$2:$C$622,MATCH(501,'Transfer Engine'!$C$2:$C$622,0)))</f>
        <v/>
      </c>
      <c r="D510" s="8">
        <f>IF(ISNA(MATCH(501,'Transfer Engine'!$C$2:$C$622,0)),"",INDEX('Compliance Database'!$D$2:$D$622,MATCH(501,'Transfer Engine'!$C$2:$C$622,0)))</f>
        <v/>
      </c>
      <c r="E510">
        <f>IF(ISNA(MATCH(501,'Transfer Engine'!$C$2:$C$622,0)),"",INDEX('Compliance Database'!$E$2:$E$622,MATCH(501,'Transfer Engine'!$C$2:$C$622,0)))</f>
        <v/>
      </c>
      <c r="F510">
        <f>IF(ISNA(MATCH(501,'Transfer Engine'!$C$2:$C$622,0)),"",INDEX('Compliance Database'!$F$2:$F$622,MATCH(501,'Transfer Engine'!$C$2:$C$622,0)))</f>
        <v/>
      </c>
      <c r="G510">
        <f>IF(ISNA(MATCH(501,'Transfer Engine'!$C$2:$C$622,0)),"",INDEX('Compliance Database'!$G$2:$G$622,MATCH(501,'Transfer Engine'!$C$2:$C$622,0)))</f>
        <v/>
      </c>
      <c r="H510">
        <f>IF(ISNA(MATCH(501,'Transfer Engine'!$C$2:$C$622,0)),"",INDEX('Compliance Database'!$H$2:$H$622,MATCH(501,'Transfer Engine'!$C$2:$C$622,0)))</f>
        <v/>
      </c>
      <c r="I510" s="8">
        <f>IF(ISNA(MATCH(501,'Transfer Engine'!$C$2:$C$622,0)),"",INDEX('Compliance Database'!$I$2:$I$622,MATCH(501,'Transfer Engine'!$C$2:$C$622,0)))</f>
        <v/>
      </c>
      <c r="J510" s="8">
        <f>IF(ISNA(MATCH(501,'Transfer Engine'!$C$2:$C$622,0)),"",INDEX('Compliance Database'!$J$2:$J$622,MATCH(501,'Transfer Engine'!$C$2:$C$622,0)))</f>
        <v/>
      </c>
      <c r="K510">
        <f>IF(ISNA(MATCH(501,'Transfer Engine'!$C$2:$C$622,0)),"",INDEX('Compliance Database'!$K$2:$K$622,MATCH(501,'Transfer Engine'!$C$2:$C$622,0)))</f>
        <v/>
      </c>
      <c r="L510" s="8">
        <f>IF(ISNA(MATCH(501,'Transfer Engine'!$C$2:$C$622,0)),"",INDEX('Compliance Database'!$L$2:$L$622,MATCH(501,'Transfer Engine'!$C$2:$C$622,0)))</f>
        <v/>
      </c>
      <c r="M510" s="8">
        <f>IF(ISNA(MATCH(501,'Transfer Engine'!$C$2:$C$622,0)),"",INDEX('Compliance Database'!$M$2:$M$622,MATCH(501,'Transfer Engine'!$C$2:$C$622,0)))</f>
        <v/>
      </c>
      <c r="N510" s="8">
        <f>IF(ISNA(MATCH(501,'Transfer Engine'!$C$2:$C$622,0)),"",INDEX('Compliance Database'!$N$2:$N$622,MATCH(501,'Transfer Engine'!$C$2:$C$622,0)))</f>
        <v/>
      </c>
      <c r="O510" s="8">
        <f>IF(ISNA(MATCH(501,'Transfer Engine'!$C$2:$C$622,0)),"",INDEX('Compliance Database'!$O$2:$O$622,MATCH(501,'Transfer Engine'!$C$2:$C$622,0)))</f>
        <v/>
      </c>
    </row>
    <row r="511">
      <c r="A511">
        <f>IF(ISNA(MATCH(502,'Transfer Engine'!$C$2:$C$622,0)),"",INDEX('Compliance Database'!$A$2:$A$622,MATCH(502,'Transfer Engine'!$C$2:$C$622,0)))</f>
        <v/>
      </c>
      <c r="B511">
        <f>IF(ISNA(MATCH(502,'Transfer Engine'!$C$2:$C$622,0)),"",INDEX('Compliance Database'!$B$2:$B$622,MATCH(502,'Transfer Engine'!$C$2:$C$622,0)))</f>
        <v/>
      </c>
      <c r="C511">
        <f>IF(ISNA(MATCH(502,'Transfer Engine'!$C$2:$C$622,0)),"",INDEX('Compliance Database'!$C$2:$C$622,MATCH(502,'Transfer Engine'!$C$2:$C$622,0)))</f>
        <v/>
      </c>
      <c r="D511" s="8">
        <f>IF(ISNA(MATCH(502,'Transfer Engine'!$C$2:$C$622,0)),"",INDEX('Compliance Database'!$D$2:$D$622,MATCH(502,'Transfer Engine'!$C$2:$C$622,0)))</f>
        <v/>
      </c>
      <c r="E511">
        <f>IF(ISNA(MATCH(502,'Transfer Engine'!$C$2:$C$622,0)),"",INDEX('Compliance Database'!$E$2:$E$622,MATCH(502,'Transfer Engine'!$C$2:$C$622,0)))</f>
        <v/>
      </c>
      <c r="F511">
        <f>IF(ISNA(MATCH(502,'Transfer Engine'!$C$2:$C$622,0)),"",INDEX('Compliance Database'!$F$2:$F$622,MATCH(502,'Transfer Engine'!$C$2:$C$622,0)))</f>
        <v/>
      </c>
      <c r="G511">
        <f>IF(ISNA(MATCH(502,'Transfer Engine'!$C$2:$C$622,0)),"",INDEX('Compliance Database'!$G$2:$G$622,MATCH(502,'Transfer Engine'!$C$2:$C$622,0)))</f>
        <v/>
      </c>
      <c r="H511">
        <f>IF(ISNA(MATCH(502,'Transfer Engine'!$C$2:$C$622,0)),"",INDEX('Compliance Database'!$H$2:$H$622,MATCH(502,'Transfer Engine'!$C$2:$C$622,0)))</f>
        <v/>
      </c>
      <c r="I511" s="8">
        <f>IF(ISNA(MATCH(502,'Transfer Engine'!$C$2:$C$622,0)),"",INDEX('Compliance Database'!$I$2:$I$622,MATCH(502,'Transfer Engine'!$C$2:$C$622,0)))</f>
        <v/>
      </c>
      <c r="J511" s="8">
        <f>IF(ISNA(MATCH(502,'Transfer Engine'!$C$2:$C$622,0)),"",INDEX('Compliance Database'!$J$2:$J$622,MATCH(502,'Transfer Engine'!$C$2:$C$622,0)))</f>
        <v/>
      </c>
      <c r="K511">
        <f>IF(ISNA(MATCH(502,'Transfer Engine'!$C$2:$C$622,0)),"",INDEX('Compliance Database'!$K$2:$K$622,MATCH(502,'Transfer Engine'!$C$2:$C$622,0)))</f>
        <v/>
      </c>
      <c r="L511" s="8">
        <f>IF(ISNA(MATCH(502,'Transfer Engine'!$C$2:$C$622,0)),"",INDEX('Compliance Database'!$L$2:$L$622,MATCH(502,'Transfer Engine'!$C$2:$C$622,0)))</f>
        <v/>
      </c>
      <c r="M511" s="8">
        <f>IF(ISNA(MATCH(502,'Transfer Engine'!$C$2:$C$622,0)),"",INDEX('Compliance Database'!$M$2:$M$622,MATCH(502,'Transfer Engine'!$C$2:$C$622,0)))</f>
        <v/>
      </c>
      <c r="N511" s="8">
        <f>IF(ISNA(MATCH(502,'Transfer Engine'!$C$2:$C$622,0)),"",INDEX('Compliance Database'!$N$2:$N$622,MATCH(502,'Transfer Engine'!$C$2:$C$622,0)))</f>
        <v/>
      </c>
      <c r="O511" s="8">
        <f>IF(ISNA(MATCH(502,'Transfer Engine'!$C$2:$C$622,0)),"",INDEX('Compliance Database'!$O$2:$O$622,MATCH(502,'Transfer Engine'!$C$2:$C$622,0)))</f>
        <v/>
      </c>
    </row>
    <row r="512">
      <c r="A512">
        <f>IF(ISNA(MATCH(503,'Transfer Engine'!$C$2:$C$622,0)),"",INDEX('Compliance Database'!$A$2:$A$622,MATCH(503,'Transfer Engine'!$C$2:$C$622,0)))</f>
        <v/>
      </c>
      <c r="B512">
        <f>IF(ISNA(MATCH(503,'Transfer Engine'!$C$2:$C$622,0)),"",INDEX('Compliance Database'!$B$2:$B$622,MATCH(503,'Transfer Engine'!$C$2:$C$622,0)))</f>
        <v/>
      </c>
      <c r="C512">
        <f>IF(ISNA(MATCH(503,'Transfer Engine'!$C$2:$C$622,0)),"",INDEX('Compliance Database'!$C$2:$C$622,MATCH(503,'Transfer Engine'!$C$2:$C$622,0)))</f>
        <v/>
      </c>
      <c r="D512" s="8">
        <f>IF(ISNA(MATCH(503,'Transfer Engine'!$C$2:$C$622,0)),"",INDEX('Compliance Database'!$D$2:$D$622,MATCH(503,'Transfer Engine'!$C$2:$C$622,0)))</f>
        <v/>
      </c>
      <c r="E512">
        <f>IF(ISNA(MATCH(503,'Transfer Engine'!$C$2:$C$622,0)),"",INDEX('Compliance Database'!$E$2:$E$622,MATCH(503,'Transfer Engine'!$C$2:$C$622,0)))</f>
        <v/>
      </c>
      <c r="F512">
        <f>IF(ISNA(MATCH(503,'Transfer Engine'!$C$2:$C$622,0)),"",INDEX('Compliance Database'!$F$2:$F$622,MATCH(503,'Transfer Engine'!$C$2:$C$622,0)))</f>
        <v/>
      </c>
      <c r="G512">
        <f>IF(ISNA(MATCH(503,'Transfer Engine'!$C$2:$C$622,0)),"",INDEX('Compliance Database'!$G$2:$G$622,MATCH(503,'Transfer Engine'!$C$2:$C$622,0)))</f>
        <v/>
      </c>
      <c r="H512">
        <f>IF(ISNA(MATCH(503,'Transfer Engine'!$C$2:$C$622,0)),"",INDEX('Compliance Database'!$H$2:$H$622,MATCH(503,'Transfer Engine'!$C$2:$C$622,0)))</f>
        <v/>
      </c>
      <c r="I512" s="8">
        <f>IF(ISNA(MATCH(503,'Transfer Engine'!$C$2:$C$622,0)),"",INDEX('Compliance Database'!$I$2:$I$622,MATCH(503,'Transfer Engine'!$C$2:$C$622,0)))</f>
        <v/>
      </c>
      <c r="J512" s="8">
        <f>IF(ISNA(MATCH(503,'Transfer Engine'!$C$2:$C$622,0)),"",INDEX('Compliance Database'!$J$2:$J$622,MATCH(503,'Transfer Engine'!$C$2:$C$622,0)))</f>
        <v/>
      </c>
      <c r="K512">
        <f>IF(ISNA(MATCH(503,'Transfer Engine'!$C$2:$C$622,0)),"",INDEX('Compliance Database'!$K$2:$K$622,MATCH(503,'Transfer Engine'!$C$2:$C$622,0)))</f>
        <v/>
      </c>
      <c r="L512" s="8">
        <f>IF(ISNA(MATCH(503,'Transfer Engine'!$C$2:$C$622,0)),"",INDEX('Compliance Database'!$L$2:$L$622,MATCH(503,'Transfer Engine'!$C$2:$C$622,0)))</f>
        <v/>
      </c>
      <c r="M512" s="8">
        <f>IF(ISNA(MATCH(503,'Transfer Engine'!$C$2:$C$622,0)),"",INDEX('Compliance Database'!$M$2:$M$622,MATCH(503,'Transfer Engine'!$C$2:$C$622,0)))</f>
        <v/>
      </c>
      <c r="N512" s="8">
        <f>IF(ISNA(MATCH(503,'Transfer Engine'!$C$2:$C$622,0)),"",INDEX('Compliance Database'!$N$2:$N$622,MATCH(503,'Transfer Engine'!$C$2:$C$622,0)))</f>
        <v/>
      </c>
      <c r="O512" s="8">
        <f>IF(ISNA(MATCH(503,'Transfer Engine'!$C$2:$C$622,0)),"",INDEX('Compliance Database'!$O$2:$O$622,MATCH(503,'Transfer Engine'!$C$2:$C$622,0)))</f>
        <v/>
      </c>
    </row>
    <row r="513">
      <c r="A513">
        <f>IF(ISNA(MATCH(504,'Transfer Engine'!$C$2:$C$622,0)),"",INDEX('Compliance Database'!$A$2:$A$622,MATCH(504,'Transfer Engine'!$C$2:$C$622,0)))</f>
        <v/>
      </c>
      <c r="B513">
        <f>IF(ISNA(MATCH(504,'Transfer Engine'!$C$2:$C$622,0)),"",INDEX('Compliance Database'!$B$2:$B$622,MATCH(504,'Transfer Engine'!$C$2:$C$622,0)))</f>
        <v/>
      </c>
      <c r="C513">
        <f>IF(ISNA(MATCH(504,'Transfer Engine'!$C$2:$C$622,0)),"",INDEX('Compliance Database'!$C$2:$C$622,MATCH(504,'Transfer Engine'!$C$2:$C$622,0)))</f>
        <v/>
      </c>
      <c r="D513" s="8">
        <f>IF(ISNA(MATCH(504,'Transfer Engine'!$C$2:$C$622,0)),"",INDEX('Compliance Database'!$D$2:$D$622,MATCH(504,'Transfer Engine'!$C$2:$C$622,0)))</f>
        <v/>
      </c>
      <c r="E513">
        <f>IF(ISNA(MATCH(504,'Transfer Engine'!$C$2:$C$622,0)),"",INDEX('Compliance Database'!$E$2:$E$622,MATCH(504,'Transfer Engine'!$C$2:$C$622,0)))</f>
        <v/>
      </c>
      <c r="F513">
        <f>IF(ISNA(MATCH(504,'Transfer Engine'!$C$2:$C$622,0)),"",INDEX('Compliance Database'!$F$2:$F$622,MATCH(504,'Transfer Engine'!$C$2:$C$622,0)))</f>
        <v/>
      </c>
      <c r="G513">
        <f>IF(ISNA(MATCH(504,'Transfer Engine'!$C$2:$C$622,0)),"",INDEX('Compliance Database'!$G$2:$G$622,MATCH(504,'Transfer Engine'!$C$2:$C$622,0)))</f>
        <v/>
      </c>
      <c r="H513">
        <f>IF(ISNA(MATCH(504,'Transfer Engine'!$C$2:$C$622,0)),"",INDEX('Compliance Database'!$H$2:$H$622,MATCH(504,'Transfer Engine'!$C$2:$C$622,0)))</f>
        <v/>
      </c>
      <c r="I513" s="8">
        <f>IF(ISNA(MATCH(504,'Transfer Engine'!$C$2:$C$622,0)),"",INDEX('Compliance Database'!$I$2:$I$622,MATCH(504,'Transfer Engine'!$C$2:$C$622,0)))</f>
        <v/>
      </c>
      <c r="J513" s="8">
        <f>IF(ISNA(MATCH(504,'Transfer Engine'!$C$2:$C$622,0)),"",INDEX('Compliance Database'!$J$2:$J$622,MATCH(504,'Transfer Engine'!$C$2:$C$622,0)))</f>
        <v/>
      </c>
      <c r="K513">
        <f>IF(ISNA(MATCH(504,'Transfer Engine'!$C$2:$C$622,0)),"",INDEX('Compliance Database'!$K$2:$K$622,MATCH(504,'Transfer Engine'!$C$2:$C$622,0)))</f>
        <v/>
      </c>
      <c r="L513" s="8">
        <f>IF(ISNA(MATCH(504,'Transfer Engine'!$C$2:$C$622,0)),"",INDEX('Compliance Database'!$L$2:$L$622,MATCH(504,'Transfer Engine'!$C$2:$C$622,0)))</f>
        <v/>
      </c>
      <c r="M513" s="8">
        <f>IF(ISNA(MATCH(504,'Transfer Engine'!$C$2:$C$622,0)),"",INDEX('Compliance Database'!$M$2:$M$622,MATCH(504,'Transfer Engine'!$C$2:$C$622,0)))</f>
        <v/>
      </c>
      <c r="N513" s="8">
        <f>IF(ISNA(MATCH(504,'Transfer Engine'!$C$2:$C$622,0)),"",INDEX('Compliance Database'!$N$2:$N$622,MATCH(504,'Transfer Engine'!$C$2:$C$622,0)))</f>
        <v/>
      </c>
      <c r="O513" s="8">
        <f>IF(ISNA(MATCH(504,'Transfer Engine'!$C$2:$C$622,0)),"",INDEX('Compliance Database'!$O$2:$O$622,MATCH(504,'Transfer Engine'!$C$2:$C$622,0)))</f>
        <v/>
      </c>
    </row>
    <row r="514">
      <c r="A514">
        <f>IF(ISNA(MATCH(505,'Transfer Engine'!$C$2:$C$622,0)),"",INDEX('Compliance Database'!$A$2:$A$622,MATCH(505,'Transfer Engine'!$C$2:$C$622,0)))</f>
        <v/>
      </c>
      <c r="B514">
        <f>IF(ISNA(MATCH(505,'Transfer Engine'!$C$2:$C$622,0)),"",INDEX('Compliance Database'!$B$2:$B$622,MATCH(505,'Transfer Engine'!$C$2:$C$622,0)))</f>
        <v/>
      </c>
      <c r="C514">
        <f>IF(ISNA(MATCH(505,'Transfer Engine'!$C$2:$C$622,0)),"",INDEX('Compliance Database'!$C$2:$C$622,MATCH(505,'Transfer Engine'!$C$2:$C$622,0)))</f>
        <v/>
      </c>
      <c r="D514" s="8">
        <f>IF(ISNA(MATCH(505,'Transfer Engine'!$C$2:$C$622,0)),"",INDEX('Compliance Database'!$D$2:$D$622,MATCH(505,'Transfer Engine'!$C$2:$C$622,0)))</f>
        <v/>
      </c>
      <c r="E514">
        <f>IF(ISNA(MATCH(505,'Transfer Engine'!$C$2:$C$622,0)),"",INDEX('Compliance Database'!$E$2:$E$622,MATCH(505,'Transfer Engine'!$C$2:$C$622,0)))</f>
        <v/>
      </c>
      <c r="F514">
        <f>IF(ISNA(MATCH(505,'Transfer Engine'!$C$2:$C$622,0)),"",INDEX('Compliance Database'!$F$2:$F$622,MATCH(505,'Transfer Engine'!$C$2:$C$622,0)))</f>
        <v/>
      </c>
      <c r="G514">
        <f>IF(ISNA(MATCH(505,'Transfer Engine'!$C$2:$C$622,0)),"",INDEX('Compliance Database'!$G$2:$G$622,MATCH(505,'Transfer Engine'!$C$2:$C$622,0)))</f>
        <v/>
      </c>
      <c r="H514">
        <f>IF(ISNA(MATCH(505,'Transfer Engine'!$C$2:$C$622,0)),"",INDEX('Compliance Database'!$H$2:$H$622,MATCH(505,'Transfer Engine'!$C$2:$C$622,0)))</f>
        <v/>
      </c>
      <c r="I514" s="8">
        <f>IF(ISNA(MATCH(505,'Transfer Engine'!$C$2:$C$622,0)),"",INDEX('Compliance Database'!$I$2:$I$622,MATCH(505,'Transfer Engine'!$C$2:$C$622,0)))</f>
        <v/>
      </c>
      <c r="J514" s="8">
        <f>IF(ISNA(MATCH(505,'Transfer Engine'!$C$2:$C$622,0)),"",INDEX('Compliance Database'!$J$2:$J$622,MATCH(505,'Transfer Engine'!$C$2:$C$622,0)))</f>
        <v/>
      </c>
      <c r="K514">
        <f>IF(ISNA(MATCH(505,'Transfer Engine'!$C$2:$C$622,0)),"",INDEX('Compliance Database'!$K$2:$K$622,MATCH(505,'Transfer Engine'!$C$2:$C$622,0)))</f>
        <v/>
      </c>
      <c r="L514" s="8">
        <f>IF(ISNA(MATCH(505,'Transfer Engine'!$C$2:$C$622,0)),"",INDEX('Compliance Database'!$L$2:$L$622,MATCH(505,'Transfer Engine'!$C$2:$C$622,0)))</f>
        <v/>
      </c>
      <c r="M514" s="8">
        <f>IF(ISNA(MATCH(505,'Transfer Engine'!$C$2:$C$622,0)),"",INDEX('Compliance Database'!$M$2:$M$622,MATCH(505,'Transfer Engine'!$C$2:$C$622,0)))</f>
        <v/>
      </c>
      <c r="N514" s="8">
        <f>IF(ISNA(MATCH(505,'Transfer Engine'!$C$2:$C$622,0)),"",INDEX('Compliance Database'!$N$2:$N$622,MATCH(505,'Transfer Engine'!$C$2:$C$622,0)))</f>
        <v/>
      </c>
      <c r="O514" s="8">
        <f>IF(ISNA(MATCH(505,'Transfer Engine'!$C$2:$C$622,0)),"",INDEX('Compliance Database'!$O$2:$O$622,MATCH(505,'Transfer Engine'!$C$2:$C$622,0)))</f>
        <v/>
      </c>
    </row>
    <row r="515">
      <c r="A515">
        <f>IF(ISNA(MATCH(506,'Transfer Engine'!$C$2:$C$622,0)),"",INDEX('Compliance Database'!$A$2:$A$622,MATCH(506,'Transfer Engine'!$C$2:$C$622,0)))</f>
        <v/>
      </c>
      <c r="B515">
        <f>IF(ISNA(MATCH(506,'Transfer Engine'!$C$2:$C$622,0)),"",INDEX('Compliance Database'!$B$2:$B$622,MATCH(506,'Transfer Engine'!$C$2:$C$622,0)))</f>
        <v/>
      </c>
      <c r="C515">
        <f>IF(ISNA(MATCH(506,'Transfer Engine'!$C$2:$C$622,0)),"",INDEX('Compliance Database'!$C$2:$C$622,MATCH(506,'Transfer Engine'!$C$2:$C$622,0)))</f>
        <v/>
      </c>
      <c r="D515" s="8">
        <f>IF(ISNA(MATCH(506,'Transfer Engine'!$C$2:$C$622,0)),"",INDEX('Compliance Database'!$D$2:$D$622,MATCH(506,'Transfer Engine'!$C$2:$C$622,0)))</f>
        <v/>
      </c>
      <c r="E515">
        <f>IF(ISNA(MATCH(506,'Transfer Engine'!$C$2:$C$622,0)),"",INDEX('Compliance Database'!$E$2:$E$622,MATCH(506,'Transfer Engine'!$C$2:$C$622,0)))</f>
        <v/>
      </c>
      <c r="F515">
        <f>IF(ISNA(MATCH(506,'Transfer Engine'!$C$2:$C$622,0)),"",INDEX('Compliance Database'!$F$2:$F$622,MATCH(506,'Transfer Engine'!$C$2:$C$622,0)))</f>
        <v/>
      </c>
      <c r="G515">
        <f>IF(ISNA(MATCH(506,'Transfer Engine'!$C$2:$C$622,0)),"",INDEX('Compliance Database'!$G$2:$G$622,MATCH(506,'Transfer Engine'!$C$2:$C$622,0)))</f>
        <v/>
      </c>
      <c r="H515">
        <f>IF(ISNA(MATCH(506,'Transfer Engine'!$C$2:$C$622,0)),"",INDEX('Compliance Database'!$H$2:$H$622,MATCH(506,'Transfer Engine'!$C$2:$C$622,0)))</f>
        <v/>
      </c>
      <c r="I515" s="8">
        <f>IF(ISNA(MATCH(506,'Transfer Engine'!$C$2:$C$622,0)),"",INDEX('Compliance Database'!$I$2:$I$622,MATCH(506,'Transfer Engine'!$C$2:$C$622,0)))</f>
        <v/>
      </c>
      <c r="J515" s="8">
        <f>IF(ISNA(MATCH(506,'Transfer Engine'!$C$2:$C$622,0)),"",INDEX('Compliance Database'!$J$2:$J$622,MATCH(506,'Transfer Engine'!$C$2:$C$622,0)))</f>
        <v/>
      </c>
      <c r="K515">
        <f>IF(ISNA(MATCH(506,'Transfer Engine'!$C$2:$C$622,0)),"",INDEX('Compliance Database'!$K$2:$K$622,MATCH(506,'Transfer Engine'!$C$2:$C$622,0)))</f>
        <v/>
      </c>
      <c r="L515" s="8">
        <f>IF(ISNA(MATCH(506,'Transfer Engine'!$C$2:$C$622,0)),"",INDEX('Compliance Database'!$L$2:$L$622,MATCH(506,'Transfer Engine'!$C$2:$C$622,0)))</f>
        <v/>
      </c>
      <c r="M515" s="8">
        <f>IF(ISNA(MATCH(506,'Transfer Engine'!$C$2:$C$622,0)),"",INDEX('Compliance Database'!$M$2:$M$622,MATCH(506,'Transfer Engine'!$C$2:$C$622,0)))</f>
        <v/>
      </c>
      <c r="N515" s="8">
        <f>IF(ISNA(MATCH(506,'Transfer Engine'!$C$2:$C$622,0)),"",INDEX('Compliance Database'!$N$2:$N$622,MATCH(506,'Transfer Engine'!$C$2:$C$622,0)))</f>
        <v/>
      </c>
      <c r="O515" s="8">
        <f>IF(ISNA(MATCH(506,'Transfer Engine'!$C$2:$C$622,0)),"",INDEX('Compliance Database'!$O$2:$O$622,MATCH(506,'Transfer Engine'!$C$2:$C$622,0)))</f>
        <v/>
      </c>
    </row>
    <row r="516">
      <c r="A516">
        <f>IF(ISNA(MATCH(507,'Transfer Engine'!$C$2:$C$622,0)),"",INDEX('Compliance Database'!$A$2:$A$622,MATCH(507,'Transfer Engine'!$C$2:$C$622,0)))</f>
        <v/>
      </c>
      <c r="B516">
        <f>IF(ISNA(MATCH(507,'Transfer Engine'!$C$2:$C$622,0)),"",INDEX('Compliance Database'!$B$2:$B$622,MATCH(507,'Transfer Engine'!$C$2:$C$622,0)))</f>
        <v/>
      </c>
      <c r="C516">
        <f>IF(ISNA(MATCH(507,'Transfer Engine'!$C$2:$C$622,0)),"",INDEX('Compliance Database'!$C$2:$C$622,MATCH(507,'Transfer Engine'!$C$2:$C$622,0)))</f>
        <v/>
      </c>
      <c r="D516" s="8">
        <f>IF(ISNA(MATCH(507,'Transfer Engine'!$C$2:$C$622,0)),"",INDEX('Compliance Database'!$D$2:$D$622,MATCH(507,'Transfer Engine'!$C$2:$C$622,0)))</f>
        <v/>
      </c>
      <c r="E516">
        <f>IF(ISNA(MATCH(507,'Transfer Engine'!$C$2:$C$622,0)),"",INDEX('Compliance Database'!$E$2:$E$622,MATCH(507,'Transfer Engine'!$C$2:$C$622,0)))</f>
        <v/>
      </c>
      <c r="F516">
        <f>IF(ISNA(MATCH(507,'Transfer Engine'!$C$2:$C$622,0)),"",INDEX('Compliance Database'!$F$2:$F$622,MATCH(507,'Transfer Engine'!$C$2:$C$622,0)))</f>
        <v/>
      </c>
      <c r="G516">
        <f>IF(ISNA(MATCH(507,'Transfer Engine'!$C$2:$C$622,0)),"",INDEX('Compliance Database'!$G$2:$G$622,MATCH(507,'Transfer Engine'!$C$2:$C$622,0)))</f>
        <v/>
      </c>
      <c r="H516">
        <f>IF(ISNA(MATCH(507,'Transfer Engine'!$C$2:$C$622,0)),"",INDEX('Compliance Database'!$H$2:$H$622,MATCH(507,'Transfer Engine'!$C$2:$C$622,0)))</f>
        <v/>
      </c>
      <c r="I516" s="8">
        <f>IF(ISNA(MATCH(507,'Transfer Engine'!$C$2:$C$622,0)),"",INDEX('Compliance Database'!$I$2:$I$622,MATCH(507,'Transfer Engine'!$C$2:$C$622,0)))</f>
        <v/>
      </c>
      <c r="J516" s="8">
        <f>IF(ISNA(MATCH(507,'Transfer Engine'!$C$2:$C$622,0)),"",INDEX('Compliance Database'!$J$2:$J$622,MATCH(507,'Transfer Engine'!$C$2:$C$622,0)))</f>
        <v/>
      </c>
      <c r="K516">
        <f>IF(ISNA(MATCH(507,'Transfer Engine'!$C$2:$C$622,0)),"",INDEX('Compliance Database'!$K$2:$K$622,MATCH(507,'Transfer Engine'!$C$2:$C$622,0)))</f>
        <v/>
      </c>
      <c r="L516" s="8">
        <f>IF(ISNA(MATCH(507,'Transfer Engine'!$C$2:$C$622,0)),"",INDEX('Compliance Database'!$L$2:$L$622,MATCH(507,'Transfer Engine'!$C$2:$C$622,0)))</f>
        <v/>
      </c>
      <c r="M516" s="8">
        <f>IF(ISNA(MATCH(507,'Transfer Engine'!$C$2:$C$622,0)),"",INDEX('Compliance Database'!$M$2:$M$622,MATCH(507,'Transfer Engine'!$C$2:$C$622,0)))</f>
        <v/>
      </c>
      <c r="N516" s="8">
        <f>IF(ISNA(MATCH(507,'Transfer Engine'!$C$2:$C$622,0)),"",INDEX('Compliance Database'!$N$2:$N$622,MATCH(507,'Transfer Engine'!$C$2:$C$622,0)))</f>
        <v/>
      </c>
      <c r="O516" s="8">
        <f>IF(ISNA(MATCH(507,'Transfer Engine'!$C$2:$C$622,0)),"",INDEX('Compliance Database'!$O$2:$O$622,MATCH(507,'Transfer Engine'!$C$2:$C$622,0)))</f>
        <v/>
      </c>
    </row>
    <row r="517">
      <c r="A517">
        <f>IF(ISNA(MATCH(508,'Transfer Engine'!$C$2:$C$622,0)),"",INDEX('Compliance Database'!$A$2:$A$622,MATCH(508,'Transfer Engine'!$C$2:$C$622,0)))</f>
        <v/>
      </c>
      <c r="B517">
        <f>IF(ISNA(MATCH(508,'Transfer Engine'!$C$2:$C$622,0)),"",INDEX('Compliance Database'!$B$2:$B$622,MATCH(508,'Transfer Engine'!$C$2:$C$622,0)))</f>
        <v/>
      </c>
      <c r="C517">
        <f>IF(ISNA(MATCH(508,'Transfer Engine'!$C$2:$C$622,0)),"",INDEX('Compliance Database'!$C$2:$C$622,MATCH(508,'Transfer Engine'!$C$2:$C$622,0)))</f>
        <v/>
      </c>
      <c r="D517" s="8">
        <f>IF(ISNA(MATCH(508,'Transfer Engine'!$C$2:$C$622,0)),"",INDEX('Compliance Database'!$D$2:$D$622,MATCH(508,'Transfer Engine'!$C$2:$C$622,0)))</f>
        <v/>
      </c>
      <c r="E517">
        <f>IF(ISNA(MATCH(508,'Transfer Engine'!$C$2:$C$622,0)),"",INDEX('Compliance Database'!$E$2:$E$622,MATCH(508,'Transfer Engine'!$C$2:$C$622,0)))</f>
        <v/>
      </c>
      <c r="F517">
        <f>IF(ISNA(MATCH(508,'Transfer Engine'!$C$2:$C$622,0)),"",INDEX('Compliance Database'!$F$2:$F$622,MATCH(508,'Transfer Engine'!$C$2:$C$622,0)))</f>
        <v/>
      </c>
      <c r="G517">
        <f>IF(ISNA(MATCH(508,'Transfer Engine'!$C$2:$C$622,0)),"",INDEX('Compliance Database'!$G$2:$G$622,MATCH(508,'Transfer Engine'!$C$2:$C$622,0)))</f>
        <v/>
      </c>
      <c r="H517">
        <f>IF(ISNA(MATCH(508,'Transfer Engine'!$C$2:$C$622,0)),"",INDEX('Compliance Database'!$H$2:$H$622,MATCH(508,'Transfer Engine'!$C$2:$C$622,0)))</f>
        <v/>
      </c>
      <c r="I517" s="8">
        <f>IF(ISNA(MATCH(508,'Transfer Engine'!$C$2:$C$622,0)),"",INDEX('Compliance Database'!$I$2:$I$622,MATCH(508,'Transfer Engine'!$C$2:$C$622,0)))</f>
        <v/>
      </c>
      <c r="J517" s="8">
        <f>IF(ISNA(MATCH(508,'Transfer Engine'!$C$2:$C$622,0)),"",INDEX('Compliance Database'!$J$2:$J$622,MATCH(508,'Transfer Engine'!$C$2:$C$622,0)))</f>
        <v/>
      </c>
      <c r="K517">
        <f>IF(ISNA(MATCH(508,'Transfer Engine'!$C$2:$C$622,0)),"",INDEX('Compliance Database'!$K$2:$K$622,MATCH(508,'Transfer Engine'!$C$2:$C$622,0)))</f>
        <v/>
      </c>
      <c r="L517" s="8">
        <f>IF(ISNA(MATCH(508,'Transfer Engine'!$C$2:$C$622,0)),"",INDEX('Compliance Database'!$L$2:$L$622,MATCH(508,'Transfer Engine'!$C$2:$C$622,0)))</f>
        <v/>
      </c>
      <c r="M517" s="8">
        <f>IF(ISNA(MATCH(508,'Transfer Engine'!$C$2:$C$622,0)),"",INDEX('Compliance Database'!$M$2:$M$622,MATCH(508,'Transfer Engine'!$C$2:$C$622,0)))</f>
        <v/>
      </c>
      <c r="N517" s="8">
        <f>IF(ISNA(MATCH(508,'Transfer Engine'!$C$2:$C$622,0)),"",INDEX('Compliance Database'!$N$2:$N$622,MATCH(508,'Transfer Engine'!$C$2:$C$622,0)))</f>
        <v/>
      </c>
      <c r="O517" s="8">
        <f>IF(ISNA(MATCH(508,'Transfer Engine'!$C$2:$C$622,0)),"",INDEX('Compliance Database'!$O$2:$O$622,MATCH(508,'Transfer Engine'!$C$2:$C$622,0)))</f>
        <v/>
      </c>
    </row>
    <row r="518">
      <c r="A518">
        <f>IF(ISNA(MATCH(509,'Transfer Engine'!$C$2:$C$622,0)),"",INDEX('Compliance Database'!$A$2:$A$622,MATCH(509,'Transfer Engine'!$C$2:$C$622,0)))</f>
        <v/>
      </c>
      <c r="B518">
        <f>IF(ISNA(MATCH(509,'Transfer Engine'!$C$2:$C$622,0)),"",INDEX('Compliance Database'!$B$2:$B$622,MATCH(509,'Transfer Engine'!$C$2:$C$622,0)))</f>
        <v/>
      </c>
      <c r="C518">
        <f>IF(ISNA(MATCH(509,'Transfer Engine'!$C$2:$C$622,0)),"",INDEX('Compliance Database'!$C$2:$C$622,MATCH(509,'Transfer Engine'!$C$2:$C$622,0)))</f>
        <v/>
      </c>
      <c r="D518" s="8">
        <f>IF(ISNA(MATCH(509,'Transfer Engine'!$C$2:$C$622,0)),"",INDEX('Compliance Database'!$D$2:$D$622,MATCH(509,'Transfer Engine'!$C$2:$C$622,0)))</f>
        <v/>
      </c>
      <c r="E518">
        <f>IF(ISNA(MATCH(509,'Transfer Engine'!$C$2:$C$622,0)),"",INDEX('Compliance Database'!$E$2:$E$622,MATCH(509,'Transfer Engine'!$C$2:$C$622,0)))</f>
        <v/>
      </c>
      <c r="F518">
        <f>IF(ISNA(MATCH(509,'Transfer Engine'!$C$2:$C$622,0)),"",INDEX('Compliance Database'!$F$2:$F$622,MATCH(509,'Transfer Engine'!$C$2:$C$622,0)))</f>
        <v/>
      </c>
      <c r="G518">
        <f>IF(ISNA(MATCH(509,'Transfer Engine'!$C$2:$C$622,0)),"",INDEX('Compliance Database'!$G$2:$G$622,MATCH(509,'Transfer Engine'!$C$2:$C$622,0)))</f>
        <v/>
      </c>
      <c r="H518">
        <f>IF(ISNA(MATCH(509,'Transfer Engine'!$C$2:$C$622,0)),"",INDEX('Compliance Database'!$H$2:$H$622,MATCH(509,'Transfer Engine'!$C$2:$C$622,0)))</f>
        <v/>
      </c>
      <c r="I518" s="8">
        <f>IF(ISNA(MATCH(509,'Transfer Engine'!$C$2:$C$622,0)),"",INDEX('Compliance Database'!$I$2:$I$622,MATCH(509,'Transfer Engine'!$C$2:$C$622,0)))</f>
        <v/>
      </c>
      <c r="J518" s="8">
        <f>IF(ISNA(MATCH(509,'Transfer Engine'!$C$2:$C$622,0)),"",INDEX('Compliance Database'!$J$2:$J$622,MATCH(509,'Transfer Engine'!$C$2:$C$622,0)))</f>
        <v/>
      </c>
      <c r="K518">
        <f>IF(ISNA(MATCH(509,'Transfer Engine'!$C$2:$C$622,0)),"",INDEX('Compliance Database'!$K$2:$K$622,MATCH(509,'Transfer Engine'!$C$2:$C$622,0)))</f>
        <v/>
      </c>
      <c r="L518" s="8">
        <f>IF(ISNA(MATCH(509,'Transfer Engine'!$C$2:$C$622,0)),"",INDEX('Compliance Database'!$L$2:$L$622,MATCH(509,'Transfer Engine'!$C$2:$C$622,0)))</f>
        <v/>
      </c>
      <c r="M518" s="8">
        <f>IF(ISNA(MATCH(509,'Transfer Engine'!$C$2:$C$622,0)),"",INDEX('Compliance Database'!$M$2:$M$622,MATCH(509,'Transfer Engine'!$C$2:$C$622,0)))</f>
        <v/>
      </c>
      <c r="N518" s="8">
        <f>IF(ISNA(MATCH(509,'Transfer Engine'!$C$2:$C$622,0)),"",INDEX('Compliance Database'!$N$2:$N$622,MATCH(509,'Transfer Engine'!$C$2:$C$622,0)))</f>
        <v/>
      </c>
      <c r="O518" s="8">
        <f>IF(ISNA(MATCH(509,'Transfer Engine'!$C$2:$C$622,0)),"",INDEX('Compliance Database'!$O$2:$O$622,MATCH(509,'Transfer Engine'!$C$2:$C$622,0)))</f>
        <v/>
      </c>
    </row>
    <row r="519">
      <c r="A519">
        <f>IF(ISNA(MATCH(510,'Transfer Engine'!$C$2:$C$622,0)),"",INDEX('Compliance Database'!$A$2:$A$622,MATCH(510,'Transfer Engine'!$C$2:$C$622,0)))</f>
        <v/>
      </c>
      <c r="B519">
        <f>IF(ISNA(MATCH(510,'Transfer Engine'!$C$2:$C$622,0)),"",INDEX('Compliance Database'!$B$2:$B$622,MATCH(510,'Transfer Engine'!$C$2:$C$622,0)))</f>
        <v/>
      </c>
      <c r="C519">
        <f>IF(ISNA(MATCH(510,'Transfer Engine'!$C$2:$C$622,0)),"",INDEX('Compliance Database'!$C$2:$C$622,MATCH(510,'Transfer Engine'!$C$2:$C$622,0)))</f>
        <v/>
      </c>
      <c r="D519" s="8">
        <f>IF(ISNA(MATCH(510,'Transfer Engine'!$C$2:$C$622,0)),"",INDEX('Compliance Database'!$D$2:$D$622,MATCH(510,'Transfer Engine'!$C$2:$C$622,0)))</f>
        <v/>
      </c>
      <c r="E519">
        <f>IF(ISNA(MATCH(510,'Transfer Engine'!$C$2:$C$622,0)),"",INDEX('Compliance Database'!$E$2:$E$622,MATCH(510,'Transfer Engine'!$C$2:$C$622,0)))</f>
        <v/>
      </c>
      <c r="F519">
        <f>IF(ISNA(MATCH(510,'Transfer Engine'!$C$2:$C$622,0)),"",INDEX('Compliance Database'!$F$2:$F$622,MATCH(510,'Transfer Engine'!$C$2:$C$622,0)))</f>
        <v/>
      </c>
      <c r="G519">
        <f>IF(ISNA(MATCH(510,'Transfer Engine'!$C$2:$C$622,0)),"",INDEX('Compliance Database'!$G$2:$G$622,MATCH(510,'Transfer Engine'!$C$2:$C$622,0)))</f>
        <v/>
      </c>
      <c r="H519">
        <f>IF(ISNA(MATCH(510,'Transfer Engine'!$C$2:$C$622,0)),"",INDEX('Compliance Database'!$H$2:$H$622,MATCH(510,'Transfer Engine'!$C$2:$C$622,0)))</f>
        <v/>
      </c>
      <c r="I519" s="8">
        <f>IF(ISNA(MATCH(510,'Transfer Engine'!$C$2:$C$622,0)),"",INDEX('Compliance Database'!$I$2:$I$622,MATCH(510,'Transfer Engine'!$C$2:$C$622,0)))</f>
        <v/>
      </c>
      <c r="J519" s="8">
        <f>IF(ISNA(MATCH(510,'Transfer Engine'!$C$2:$C$622,0)),"",INDEX('Compliance Database'!$J$2:$J$622,MATCH(510,'Transfer Engine'!$C$2:$C$622,0)))</f>
        <v/>
      </c>
      <c r="K519">
        <f>IF(ISNA(MATCH(510,'Transfer Engine'!$C$2:$C$622,0)),"",INDEX('Compliance Database'!$K$2:$K$622,MATCH(510,'Transfer Engine'!$C$2:$C$622,0)))</f>
        <v/>
      </c>
      <c r="L519" s="8">
        <f>IF(ISNA(MATCH(510,'Transfer Engine'!$C$2:$C$622,0)),"",INDEX('Compliance Database'!$L$2:$L$622,MATCH(510,'Transfer Engine'!$C$2:$C$622,0)))</f>
        <v/>
      </c>
      <c r="M519" s="8">
        <f>IF(ISNA(MATCH(510,'Transfer Engine'!$C$2:$C$622,0)),"",INDEX('Compliance Database'!$M$2:$M$622,MATCH(510,'Transfer Engine'!$C$2:$C$622,0)))</f>
        <v/>
      </c>
      <c r="N519" s="8">
        <f>IF(ISNA(MATCH(510,'Transfer Engine'!$C$2:$C$622,0)),"",INDEX('Compliance Database'!$N$2:$N$622,MATCH(510,'Transfer Engine'!$C$2:$C$622,0)))</f>
        <v/>
      </c>
      <c r="O519" s="8">
        <f>IF(ISNA(MATCH(510,'Transfer Engine'!$C$2:$C$622,0)),"",INDEX('Compliance Database'!$O$2:$O$622,MATCH(510,'Transfer Engine'!$C$2:$C$622,0)))</f>
        <v/>
      </c>
    </row>
    <row r="520">
      <c r="A520">
        <f>IF(ISNA(MATCH(511,'Transfer Engine'!$C$2:$C$622,0)),"",INDEX('Compliance Database'!$A$2:$A$622,MATCH(511,'Transfer Engine'!$C$2:$C$622,0)))</f>
        <v/>
      </c>
      <c r="B520">
        <f>IF(ISNA(MATCH(511,'Transfer Engine'!$C$2:$C$622,0)),"",INDEX('Compliance Database'!$B$2:$B$622,MATCH(511,'Transfer Engine'!$C$2:$C$622,0)))</f>
        <v/>
      </c>
      <c r="C520">
        <f>IF(ISNA(MATCH(511,'Transfer Engine'!$C$2:$C$622,0)),"",INDEX('Compliance Database'!$C$2:$C$622,MATCH(511,'Transfer Engine'!$C$2:$C$622,0)))</f>
        <v/>
      </c>
      <c r="D520" s="8">
        <f>IF(ISNA(MATCH(511,'Transfer Engine'!$C$2:$C$622,0)),"",INDEX('Compliance Database'!$D$2:$D$622,MATCH(511,'Transfer Engine'!$C$2:$C$622,0)))</f>
        <v/>
      </c>
      <c r="E520">
        <f>IF(ISNA(MATCH(511,'Transfer Engine'!$C$2:$C$622,0)),"",INDEX('Compliance Database'!$E$2:$E$622,MATCH(511,'Transfer Engine'!$C$2:$C$622,0)))</f>
        <v/>
      </c>
      <c r="F520">
        <f>IF(ISNA(MATCH(511,'Transfer Engine'!$C$2:$C$622,0)),"",INDEX('Compliance Database'!$F$2:$F$622,MATCH(511,'Transfer Engine'!$C$2:$C$622,0)))</f>
        <v/>
      </c>
      <c r="G520">
        <f>IF(ISNA(MATCH(511,'Transfer Engine'!$C$2:$C$622,0)),"",INDEX('Compliance Database'!$G$2:$G$622,MATCH(511,'Transfer Engine'!$C$2:$C$622,0)))</f>
        <v/>
      </c>
      <c r="H520">
        <f>IF(ISNA(MATCH(511,'Transfer Engine'!$C$2:$C$622,0)),"",INDEX('Compliance Database'!$H$2:$H$622,MATCH(511,'Transfer Engine'!$C$2:$C$622,0)))</f>
        <v/>
      </c>
      <c r="I520" s="8">
        <f>IF(ISNA(MATCH(511,'Transfer Engine'!$C$2:$C$622,0)),"",INDEX('Compliance Database'!$I$2:$I$622,MATCH(511,'Transfer Engine'!$C$2:$C$622,0)))</f>
        <v/>
      </c>
      <c r="J520" s="8">
        <f>IF(ISNA(MATCH(511,'Transfer Engine'!$C$2:$C$622,0)),"",INDEX('Compliance Database'!$J$2:$J$622,MATCH(511,'Transfer Engine'!$C$2:$C$622,0)))</f>
        <v/>
      </c>
      <c r="K520">
        <f>IF(ISNA(MATCH(511,'Transfer Engine'!$C$2:$C$622,0)),"",INDEX('Compliance Database'!$K$2:$K$622,MATCH(511,'Transfer Engine'!$C$2:$C$622,0)))</f>
        <v/>
      </c>
      <c r="L520" s="8">
        <f>IF(ISNA(MATCH(511,'Transfer Engine'!$C$2:$C$622,0)),"",INDEX('Compliance Database'!$L$2:$L$622,MATCH(511,'Transfer Engine'!$C$2:$C$622,0)))</f>
        <v/>
      </c>
      <c r="M520" s="8">
        <f>IF(ISNA(MATCH(511,'Transfer Engine'!$C$2:$C$622,0)),"",INDEX('Compliance Database'!$M$2:$M$622,MATCH(511,'Transfer Engine'!$C$2:$C$622,0)))</f>
        <v/>
      </c>
      <c r="N520" s="8">
        <f>IF(ISNA(MATCH(511,'Transfer Engine'!$C$2:$C$622,0)),"",INDEX('Compliance Database'!$N$2:$N$622,MATCH(511,'Transfer Engine'!$C$2:$C$622,0)))</f>
        <v/>
      </c>
      <c r="O520" s="8">
        <f>IF(ISNA(MATCH(511,'Transfer Engine'!$C$2:$C$622,0)),"",INDEX('Compliance Database'!$O$2:$O$622,MATCH(511,'Transfer Engine'!$C$2:$C$622,0)))</f>
        <v/>
      </c>
    </row>
    <row r="521">
      <c r="A521">
        <f>IF(ISNA(MATCH(512,'Transfer Engine'!$C$2:$C$622,0)),"",INDEX('Compliance Database'!$A$2:$A$622,MATCH(512,'Transfer Engine'!$C$2:$C$622,0)))</f>
        <v/>
      </c>
      <c r="B521">
        <f>IF(ISNA(MATCH(512,'Transfer Engine'!$C$2:$C$622,0)),"",INDEX('Compliance Database'!$B$2:$B$622,MATCH(512,'Transfer Engine'!$C$2:$C$622,0)))</f>
        <v/>
      </c>
      <c r="C521">
        <f>IF(ISNA(MATCH(512,'Transfer Engine'!$C$2:$C$622,0)),"",INDEX('Compliance Database'!$C$2:$C$622,MATCH(512,'Transfer Engine'!$C$2:$C$622,0)))</f>
        <v/>
      </c>
      <c r="D521" s="8">
        <f>IF(ISNA(MATCH(512,'Transfer Engine'!$C$2:$C$622,0)),"",INDEX('Compliance Database'!$D$2:$D$622,MATCH(512,'Transfer Engine'!$C$2:$C$622,0)))</f>
        <v/>
      </c>
      <c r="E521">
        <f>IF(ISNA(MATCH(512,'Transfer Engine'!$C$2:$C$622,0)),"",INDEX('Compliance Database'!$E$2:$E$622,MATCH(512,'Transfer Engine'!$C$2:$C$622,0)))</f>
        <v/>
      </c>
      <c r="F521">
        <f>IF(ISNA(MATCH(512,'Transfer Engine'!$C$2:$C$622,0)),"",INDEX('Compliance Database'!$F$2:$F$622,MATCH(512,'Transfer Engine'!$C$2:$C$622,0)))</f>
        <v/>
      </c>
      <c r="G521">
        <f>IF(ISNA(MATCH(512,'Transfer Engine'!$C$2:$C$622,0)),"",INDEX('Compliance Database'!$G$2:$G$622,MATCH(512,'Transfer Engine'!$C$2:$C$622,0)))</f>
        <v/>
      </c>
      <c r="H521">
        <f>IF(ISNA(MATCH(512,'Transfer Engine'!$C$2:$C$622,0)),"",INDEX('Compliance Database'!$H$2:$H$622,MATCH(512,'Transfer Engine'!$C$2:$C$622,0)))</f>
        <v/>
      </c>
      <c r="I521" s="8">
        <f>IF(ISNA(MATCH(512,'Transfer Engine'!$C$2:$C$622,0)),"",INDEX('Compliance Database'!$I$2:$I$622,MATCH(512,'Transfer Engine'!$C$2:$C$622,0)))</f>
        <v/>
      </c>
      <c r="J521" s="8">
        <f>IF(ISNA(MATCH(512,'Transfer Engine'!$C$2:$C$622,0)),"",INDEX('Compliance Database'!$J$2:$J$622,MATCH(512,'Transfer Engine'!$C$2:$C$622,0)))</f>
        <v/>
      </c>
      <c r="K521">
        <f>IF(ISNA(MATCH(512,'Transfer Engine'!$C$2:$C$622,0)),"",INDEX('Compliance Database'!$K$2:$K$622,MATCH(512,'Transfer Engine'!$C$2:$C$622,0)))</f>
        <v/>
      </c>
      <c r="L521" s="8">
        <f>IF(ISNA(MATCH(512,'Transfer Engine'!$C$2:$C$622,0)),"",INDEX('Compliance Database'!$L$2:$L$622,MATCH(512,'Transfer Engine'!$C$2:$C$622,0)))</f>
        <v/>
      </c>
      <c r="M521" s="8">
        <f>IF(ISNA(MATCH(512,'Transfer Engine'!$C$2:$C$622,0)),"",INDEX('Compliance Database'!$M$2:$M$622,MATCH(512,'Transfer Engine'!$C$2:$C$622,0)))</f>
        <v/>
      </c>
      <c r="N521" s="8">
        <f>IF(ISNA(MATCH(512,'Transfer Engine'!$C$2:$C$622,0)),"",INDEX('Compliance Database'!$N$2:$N$622,MATCH(512,'Transfer Engine'!$C$2:$C$622,0)))</f>
        <v/>
      </c>
      <c r="O521" s="8">
        <f>IF(ISNA(MATCH(512,'Transfer Engine'!$C$2:$C$622,0)),"",INDEX('Compliance Database'!$O$2:$O$622,MATCH(512,'Transfer Engine'!$C$2:$C$622,0)))</f>
        <v/>
      </c>
    </row>
    <row r="522">
      <c r="A522">
        <f>IF(ISNA(MATCH(513,'Transfer Engine'!$C$2:$C$622,0)),"",INDEX('Compliance Database'!$A$2:$A$622,MATCH(513,'Transfer Engine'!$C$2:$C$622,0)))</f>
        <v/>
      </c>
      <c r="B522">
        <f>IF(ISNA(MATCH(513,'Transfer Engine'!$C$2:$C$622,0)),"",INDEX('Compliance Database'!$B$2:$B$622,MATCH(513,'Transfer Engine'!$C$2:$C$622,0)))</f>
        <v/>
      </c>
      <c r="C522">
        <f>IF(ISNA(MATCH(513,'Transfer Engine'!$C$2:$C$622,0)),"",INDEX('Compliance Database'!$C$2:$C$622,MATCH(513,'Transfer Engine'!$C$2:$C$622,0)))</f>
        <v/>
      </c>
      <c r="D522" s="8">
        <f>IF(ISNA(MATCH(513,'Transfer Engine'!$C$2:$C$622,0)),"",INDEX('Compliance Database'!$D$2:$D$622,MATCH(513,'Transfer Engine'!$C$2:$C$622,0)))</f>
        <v/>
      </c>
      <c r="E522">
        <f>IF(ISNA(MATCH(513,'Transfer Engine'!$C$2:$C$622,0)),"",INDEX('Compliance Database'!$E$2:$E$622,MATCH(513,'Transfer Engine'!$C$2:$C$622,0)))</f>
        <v/>
      </c>
      <c r="F522">
        <f>IF(ISNA(MATCH(513,'Transfer Engine'!$C$2:$C$622,0)),"",INDEX('Compliance Database'!$F$2:$F$622,MATCH(513,'Transfer Engine'!$C$2:$C$622,0)))</f>
        <v/>
      </c>
      <c r="G522">
        <f>IF(ISNA(MATCH(513,'Transfer Engine'!$C$2:$C$622,0)),"",INDEX('Compliance Database'!$G$2:$G$622,MATCH(513,'Transfer Engine'!$C$2:$C$622,0)))</f>
        <v/>
      </c>
      <c r="H522">
        <f>IF(ISNA(MATCH(513,'Transfer Engine'!$C$2:$C$622,0)),"",INDEX('Compliance Database'!$H$2:$H$622,MATCH(513,'Transfer Engine'!$C$2:$C$622,0)))</f>
        <v/>
      </c>
      <c r="I522" s="8">
        <f>IF(ISNA(MATCH(513,'Transfer Engine'!$C$2:$C$622,0)),"",INDEX('Compliance Database'!$I$2:$I$622,MATCH(513,'Transfer Engine'!$C$2:$C$622,0)))</f>
        <v/>
      </c>
      <c r="J522" s="8">
        <f>IF(ISNA(MATCH(513,'Transfer Engine'!$C$2:$C$622,0)),"",INDEX('Compliance Database'!$J$2:$J$622,MATCH(513,'Transfer Engine'!$C$2:$C$622,0)))</f>
        <v/>
      </c>
      <c r="K522">
        <f>IF(ISNA(MATCH(513,'Transfer Engine'!$C$2:$C$622,0)),"",INDEX('Compliance Database'!$K$2:$K$622,MATCH(513,'Transfer Engine'!$C$2:$C$622,0)))</f>
        <v/>
      </c>
      <c r="L522" s="8">
        <f>IF(ISNA(MATCH(513,'Transfer Engine'!$C$2:$C$622,0)),"",INDEX('Compliance Database'!$L$2:$L$622,MATCH(513,'Transfer Engine'!$C$2:$C$622,0)))</f>
        <v/>
      </c>
      <c r="M522" s="8">
        <f>IF(ISNA(MATCH(513,'Transfer Engine'!$C$2:$C$622,0)),"",INDEX('Compliance Database'!$M$2:$M$622,MATCH(513,'Transfer Engine'!$C$2:$C$622,0)))</f>
        <v/>
      </c>
      <c r="N522" s="8">
        <f>IF(ISNA(MATCH(513,'Transfer Engine'!$C$2:$C$622,0)),"",INDEX('Compliance Database'!$N$2:$N$622,MATCH(513,'Transfer Engine'!$C$2:$C$622,0)))</f>
        <v/>
      </c>
      <c r="O522" s="8">
        <f>IF(ISNA(MATCH(513,'Transfer Engine'!$C$2:$C$622,0)),"",INDEX('Compliance Database'!$O$2:$O$622,MATCH(513,'Transfer Engine'!$C$2:$C$622,0)))</f>
        <v/>
      </c>
    </row>
    <row r="523">
      <c r="A523">
        <f>IF(ISNA(MATCH(514,'Transfer Engine'!$C$2:$C$622,0)),"",INDEX('Compliance Database'!$A$2:$A$622,MATCH(514,'Transfer Engine'!$C$2:$C$622,0)))</f>
        <v/>
      </c>
      <c r="B523">
        <f>IF(ISNA(MATCH(514,'Transfer Engine'!$C$2:$C$622,0)),"",INDEX('Compliance Database'!$B$2:$B$622,MATCH(514,'Transfer Engine'!$C$2:$C$622,0)))</f>
        <v/>
      </c>
      <c r="C523">
        <f>IF(ISNA(MATCH(514,'Transfer Engine'!$C$2:$C$622,0)),"",INDEX('Compliance Database'!$C$2:$C$622,MATCH(514,'Transfer Engine'!$C$2:$C$622,0)))</f>
        <v/>
      </c>
      <c r="D523" s="8">
        <f>IF(ISNA(MATCH(514,'Transfer Engine'!$C$2:$C$622,0)),"",INDEX('Compliance Database'!$D$2:$D$622,MATCH(514,'Transfer Engine'!$C$2:$C$622,0)))</f>
        <v/>
      </c>
      <c r="E523">
        <f>IF(ISNA(MATCH(514,'Transfer Engine'!$C$2:$C$622,0)),"",INDEX('Compliance Database'!$E$2:$E$622,MATCH(514,'Transfer Engine'!$C$2:$C$622,0)))</f>
        <v/>
      </c>
      <c r="F523">
        <f>IF(ISNA(MATCH(514,'Transfer Engine'!$C$2:$C$622,0)),"",INDEX('Compliance Database'!$F$2:$F$622,MATCH(514,'Transfer Engine'!$C$2:$C$622,0)))</f>
        <v/>
      </c>
      <c r="G523">
        <f>IF(ISNA(MATCH(514,'Transfer Engine'!$C$2:$C$622,0)),"",INDEX('Compliance Database'!$G$2:$G$622,MATCH(514,'Transfer Engine'!$C$2:$C$622,0)))</f>
        <v/>
      </c>
      <c r="H523">
        <f>IF(ISNA(MATCH(514,'Transfer Engine'!$C$2:$C$622,0)),"",INDEX('Compliance Database'!$H$2:$H$622,MATCH(514,'Transfer Engine'!$C$2:$C$622,0)))</f>
        <v/>
      </c>
      <c r="I523" s="8">
        <f>IF(ISNA(MATCH(514,'Transfer Engine'!$C$2:$C$622,0)),"",INDEX('Compliance Database'!$I$2:$I$622,MATCH(514,'Transfer Engine'!$C$2:$C$622,0)))</f>
        <v/>
      </c>
      <c r="J523" s="8">
        <f>IF(ISNA(MATCH(514,'Transfer Engine'!$C$2:$C$622,0)),"",INDEX('Compliance Database'!$J$2:$J$622,MATCH(514,'Transfer Engine'!$C$2:$C$622,0)))</f>
        <v/>
      </c>
      <c r="K523">
        <f>IF(ISNA(MATCH(514,'Transfer Engine'!$C$2:$C$622,0)),"",INDEX('Compliance Database'!$K$2:$K$622,MATCH(514,'Transfer Engine'!$C$2:$C$622,0)))</f>
        <v/>
      </c>
      <c r="L523" s="8">
        <f>IF(ISNA(MATCH(514,'Transfer Engine'!$C$2:$C$622,0)),"",INDEX('Compliance Database'!$L$2:$L$622,MATCH(514,'Transfer Engine'!$C$2:$C$622,0)))</f>
        <v/>
      </c>
      <c r="M523" s="8">
        <f>IF(ISNA(MATCH(514,'Transfer Engine'!$C$2:$C$622,0)),"",INDEX('Compliance Database'!$M$2:$M$622,MATCH(514,'Transfer Engine'!$C$2:$C$622,0)))</f>
        <v/>
      </c>
      <c r="N523" s="8">
        <f>IF(ISNA(MATCH(514,'Transfer Engine'!$C$2:$C$622,0)),"",INDEX('Compliance Database'!$N$2:$N$622,MATCH(514,'Transfer Engine'!$C$2:$C$622,0)))</f>
        <v/>
      </c>
      <c r="O523" s="8">
        <f>IF(ISNA(MATCH(514,'Transfer Engine'!$C$2:$C$622,0)),"",INDEX('Compliance Database'!$O$2:$O$622,MATCH(514,'Transfer Engine'!$C$2:$C$622,0)))</f>
        <v/>
      </c>
    </row>
    <row r="524">
      <c r="A524">
        <f>IF(ISNA(MATCH(515,'Transfer Engine'!$C$2:$C$622,0)),"",INDEX('Compliance Database'!$A$2:$A$622,MATCH(515,'Transfer Engine'!$C$2:$C$622,0)))</f>
        <v/>
      </c>
      <c r="B524">
        <f>IF(ISNA(MATCH(515,'Transfer Engine'!$C$2:$C$622,0)),"",INDEX('Compliance Database'!$B$2:$B$622,MATCH(515,'Transfer Engine'!$C$2:$C$622,0)))</f>
        <v/>
      </c>
      <c r="C524">
        <f>IF(ISNA(MATCH(515,'Transfer Engine'!$C$2:$C$622,0)),"",INDEX('Compliance Database'!$C$2:$C$622,MATCH(515,'Transfer Engine'!$C$2:$C$622,0)))</f>
        <v/>
      </c>
      <c r="D524" s="8">
        <f>IF(ISNA(MATCH(515,'Transfer Engine'!$C$2:$C$622,0)),"",INDEX('Compliance Database'!$D$2:$D$622,MATCH(515,'Transfer Engine'!$C$2:$C$622,0)))</f>
        <v/>
      </c>
      <c r="E524">
        <f>IF(ISNA(MATCH(515,'Transfer Engine'!$C$2:$C$622,0)),"",INDEX('Compliance Database'!$E$2:$E$622,MATCH(515,'Transfer Engine'!$C$2:$C$622,0)))</f>
        <v/>
      </c>
      <c r="F524">
        <f>IF(ISNA(MATCH(515,'Transfer Engine'!$C$2:$C$622,0)),"",INDEX('Compliance Database'!$F$2:$F$622,MATCH(515,'Transfer Engine'!$C$2:$C$622,0)))</f>
        <v/>
      </c>
      <c r="G524">
        <f>IF(ISNA(MATCH(515,'Transfer Engine'!$C$2:$C$622,0)),"",INDEX('Compliance Database'!$G$2:$G$622,MATCH(515,'Transfer Engine'!$C$2:$C$622,0)))</f>
        <v/>
      </c>
      <c r="H524">
        <f>IF(ISNA(MATCH(515,'Transfer Engine'!$C$2:$C$622,0)),"",INDEX('Compliance Database'!$H$2:$H$622,MATCH(515,'Transfer Engine'!$C$2:$C$622,0)))</f>
        <v/>
      </c>
      <c r="I524" s="8">
        <f>IF(ISNA(MATCH(515,'Transfer Engine'!$C$2:$C$622,0)),"",INDEX('Compliance Database'!$I$2:$I$622,MATCH(515,'Transfer Engine'!$C$2:$C$622,0)))</f>
        <v/>
      </c>
      <c r="J524" s="8">
        <f>IF(ISNA(MATCH(515,'Transfer Engine'!$C$2:$C$622,0)),"",INDEX('Compliance Database'!$J$2:$J$622,MATCH(515,'Transfer Engine'!$C$2:$C$622,0)))</f>
        <v/>
      </c>
      <c r="K524">
        <f>IF(ISNA(MATCH(515,'Transfer Engine'!$C$2:$C$622,0)),"",INDEX('Compliance Database'!$K$2:$K$622,MATCH(515,'Transfer Engine'!$C$2:$C$622,0)))</f>
        <v/>
      </c>
      <c r="L524" s="8">
        <f>IF(ISNA(MATCH(515,'Transfer Engine'!$C$2:$C$622,0)),"",INDEX('Compliance Database'!$L$2:$L$622,MATCH(515,'Transfer Engine'!$C$2:$C$622,0)))</f>
        <v/>
      </c>
      <c r="M524" s="8">
        <f>IF(ISNA(MATCH(515,'Transfer Engine'!$C$2:$C$622,0)),"",INDEX('Compliance Database'!$M$2:$M$622,MATCH(515,'Transfer Engine'!$C$2:$C$622,0)))</f>
        <v/>
      </c>
      <c r="N524" s="8">
        <f>IF(ISNA(MATCH(515,'Transfer Engine'!$C$2:$C$622,0)),"",INDEX('Compliance Database'!$N$2:$N$622,MATCH(515,'Transfer Engine'!$C$2:$C$622,0)))</f>
        <v/>
      </c>
      <c r="O524" s="8">
        <f>IF(ISNA(MATCH(515,'Transfer Engine'!$C$2:$C$622,0)),"",INDEX('Compliance Database'!$O$2:$O$622,MATCH(515,'Transfer Engine'!$C$2:$C$622,0)))</f>
        <v/>
      </c>
    </row>
    <row r="525">
      <c r="A525">
        <f>IF(ISNA(MATCH(516,'Transfer Engine'!$C$2:$C$622,0)),"",INDEX('Compliance Database'!$A$2:$A$622,MATCH(516,'Transfer Engine'!$C$2:$C$622,0)))</f>
        <v/>
      </c>
      <c r="B525">
        <f>IF(ISNA(MATCH(516,'Transfer Engine'!$C$2:$C$622,0)),"",INDEX('Compliance Database'!$B$2:$B$622,MATCH(516,'Transfer Engine'!$C$2:$C$622,0)))</f>
        <v/>
      </c>
      <c r="C525">
        <f>IF(ISNA(MATCH(516,'Transfer Engine'!$C$2:$C$622,0)),"",INDEX('Compliance Database'!$C$2:$C$622,MATCH(516,'Transfer Engine'!$C$2:$C$622,0)))</f>
        <v/>
      </c>
      <c r="D525" s="8">
        <f>IF(ISNA(MATCH(516,'Transfer Engine'!$C$2:$C$622,0)),"",INDEX('Compliance Database'!$D$2:$D$622,MATCH(516,'Transfer Engine'!$C$2:$C$622,0)))</f>
        <v/>
      </c>
      <c r="E525">
        <f>IF(ISNA(MATCH(516,'Transfer Engine'!$C$2:$C$622,0)),"",INDEX('Compliance Database'!$E$2:$E$622,MATCH(516,'Transfer Engine'!$C$2:$C$622,0)))</f>
        <v/>
      </c>
      <c r="F525">
        <f>IF(ISNA(MATCH(516,'Transfer Engine'!$C$2:$C$622,0)),"",INDEX('Compliance Database'!$F$2:$F$622,MATCH(516,'Transfer Engine'!$C$2:$C$622,0)))</f>
        <v/>
      </c>
      <c r="G525">
        <f>IF(ISNA(MATCH(516,'Transfer Engine'!$C$2:$C$622,0)),"",INDEX('Compliance Database'!$G$2:$G$622,MATCH(516,'Transfer Engine'!$C$2:$C$622,0)))</f>
        <v/>
      </c>
      <c r="H525">
        <f>IF(ISNA(MATCH(516,'Transfer Engine'!$C$2:$C$622,0)),"",INDEX('Compliance Database'!$H$2:$H$622,MATCH(516,'Transfer Engine'!$C$2:$C$622,0)))</f>
        <v/>
      </c>
      <c r="I525" s="8">
        <f>IF(ISNA(MATCH(516,'Transfer Engine'!$C$2:$C$622,0)),"",INDEX('Compliance Database'!$I$2:$I$622,MATCH(516,'Transfer Engine'!$C$2:$C$622,0)))</f>
        <v/>
      </c>
      <c r="J525" s="8">
        <f>IF(ISNA(MATCH(516,'Transfer Engine'!$C$2:$C$622,0)),"",INDEX('Compliance Database'!$J$2:$J$622,MATCH(516,'Transfer Engine'!$C$2:$C$622,0)))</f>
        <v/>
      </c>
      <c r="K525">
        <f>IF(ISNA(MATCH(516,'Transfer Engine'!$C$2:$C$622,0)),"",INDEX('Compliance Database'!$K$2:$K$622,MATCH(516,'Transfer Engine'!$C$2:$C$622,0)))</f>
        <v/>
      </c>
      <c r="L525" s="8">
        <f>IF(ISNA(MATCH(516,'Transfer Engine'!$C$2:$C$622,0)),"",INDEX('Compliance Database'!$L$2:$L$622,MATCH(516,'Transfer Engine'!$C$2:$C$622,0)))</f>
        <v/>
      </c>
      <c r="M525" s="8">
        <f>IF(ISNA(MATCH(516,'Transfer Engine'!$C$2:$C$622,0)),"",INDEX('Compliance Database'!$M$2:$M$622,MATCH(516,'Transfer Engine'!$C$2:$C$622,0)))</f>
        <v/>
      </c>
      <c r="N525" s="8">
        <f>IF(ISNA(MATCH(516,'Transfer Engine'!$C$2:$C$622,0)),"",INDEX('Compliance Database'!$N$2:$N$622,MATCH(516,'Transfer Engine'!$C$2:$C$622,0)))</f>
        <v/>
      </c>
      <c r="O525" s="8">
        <f>IF(ISNA(MATCH(516,'Transfer Engine'!$C$2:$C$622,0)),"",INDEX('Compliance Database'!$O$2:$O$622,MATCH(516,'Transfer Engine'!$C$2:$C$622,0)))</f>
        <v/>
      </c>
    </row>
    <row r="526">
      <c r="A526">
        <f>IF(ISNA(MATCH(517,'Transfer Engine'!$C$2:$C$622,0)),"",INDEX('Compliance Database'!$A$2:$A$622,MATCH(517,'Transfer Engine'!$C$2:$C$622,0)))</f>
        <v/>
      </c>
      <c r="B526">
        <f>IF(ISNA(MATCH(517,'Transfer Engine'!$C$2:$C$622,0)),"",INDEX('Compliance Database'!$B$2:$B$622,MATCH(517,'Transfer Engine'!$C$2:$C$622,0)))</f>
        <v/>
      </c>
      <c r="C526">
        <f>IF(ISNA(MATCH(517,'Transfer Engine'!$C$2:$C$622,0)),"",INDEX('Compliance Database'!$C$2:$C$622,MATCH(517,'Transfer Engine'!$C$2:$C$622,0)))</f>
        <v/>
      </c>
      <c r="D526" s="8">
        <f>IF(ISNA(MATCH(517,'Transfer Engine'!$C$2:$C$622,0)),"",INDEX('Compliance Database'!$D$2:$D$622,MATCH(517,'Transfer Engine'!$C$2:$C$622,0)))</f>
        <v/>
      </c>
      <c r="E526">
        <f>IF(ISNA(MATCH(517,'Transfer Engine'!$C$2:$C$622,0)),"",INDEX('Compliance Database'!$E$2:$E$622,MATCH(517,'Transfer Engine'!$C$2:$C$622,0)))</f>
        <v/>
      </c>
      <c r="F526">
        <f>IF(ISNA(MATCH(517,'Transfer Engine'!$C$2:$C$622,0)),"",INDEX('Compliance Database'!$F$2:$F$622,MATCH(517,'Transfer Engine'!$C$2:$C$622,0)))</f>
        <v/>
      </c>
      <c r="G526">
        <f>IF(ISNA(MATCH(517,'Transfer Engine'!$C$2:$C$622,0)),"",INDEX('Compliance Database'!$G$2:$G$622,MATCH(517,'Transfer Engine'!$C$2:$C$622,0)))</f>
        <v/>
      </c>
      <c r="H526">
        <f>IF(ISNA(MATCH(517,'Transfer Engine'!$C$2:$C$622,0)),"",INDEX('Compliance Database'!$H$2:$H$622,MATCH(517,'Transfer Engine'!$C$2:$C$622,0)))</f>
        <v/>
      </c>
      <c r="I526" s="8">
        <f>IF(ISNA(MATCH(517,'Transfer Engine'!$C$2:$C$622,0)),"",INDEX('Compliance Database'!$I$2:$I$622,MATCH(517,'Transfer Engine'!$C$2:$C$622,0)))</f>
        <v/>
      </c>
      <c r="J526" s="8">
        <f>IF(ISNA(MATCH(517,'Transfer Engine'!$C$2:$C$622,0)),"",INDEX('Compliance Database'!$J$2:$J$622,MATCH(517,'Transfer Engine'!$C$2:$C$622,0)))</f>
        <v/>
      </c>
      <c r="K526">
        <f>IF(ISNA(MATCH(517,'Transfer Engine'!$C$2:$C$622,0)),"",INDEX('Compliance Database'!$K$2:$K$622,MATCH(517,'Transfer Engine'!$C$2:$C$622,0)))</f>
        <v/>
      </c>
      <c r="L526" s="8">
        <f>IF(ISNA(MATCH(517,'Transfer Engine'!$C$2:$C$622,0)),"",INDEX('Compliance Database'!$L$2:$L$622,MATCH(517,'Transfer Engine'!$C$2:$C$622,0)))</f>
        <v/>
      </c>
      <c r="M526" s="8">
        <f>IF(ISNA(MATCH(517,'Transfer Engine'!$C$2:$C$622,0)),"",INDEX('Compliance Database'!$M$2:$M$622,MATCH(517,'Transfer Engine'!$C$2:$C$622,0)))</f>
        <v/>
      </c>
      <c r="N526" s="8">
        <f>IF(ISNA(MATCH(517,'Transfer Engine'!$C$2:$C$622,0)),"",INDEX('Compliance Database'!$N$2:$N$622,MATCH(517,'Transfer Engine'!$C$2:$C$622,0)))</f>
        <v/>
      </c>
      <c r="O526" s="8">
        <f>IF(ISNA(MATCH(517,'Transfer Engine'!$C$2:$C$622,0)),"",INDEX('Compliance Database'!$O$2:$O$622,MATCH(517,'Transfer Engine'!$C$2:$C$622,0)))</f>
        <v/>
      </c>
    </row>
    <row r="527">
      <c r="A527">
        <f>IF(ISNA(MATCH(518,'Transfer Engine'!$C$2:$C$622,0)),"",INDEX('Compliance Database'!$A$2:$A$622,MATCH(518,'Transfer Engine'!$C$2:$C$622,0)))</f>
        <v/>
      </c>
      <c r="B527">
        <f>IF(ISNA(MATCH(518,'Transfer Engine'!$C$2:$C$622,0)),"",INDEX('Compliance Database'!$B$2:$B$622,MATCH(518,'Transfer Engine'!$C$2:$C$622,0)))</f>
        <v/>
      </c>
      <c r="C527">
        <f>IF(ISNA(MATCH(518,'Transfer Engine'!$C$2:$C$622,0)),"",INDEX('Compliance Database'!$C$2:$C$622,MATCH(518,'Transfer Engine'!$C$2:$C$622,0)))</f>
        <v/>
      </c>
      <c r="D527" s="8">
        <f>IF(ISNA(MATCH(518,'Transfer Engine'!$C$2:$C$622,0)),"",INDEX('Compliance Database'!$D$2:$D$622,MATCH(518,'Transfer Engine'!$C$2:$C$622,0)))</f>
        <v/>
      </c>
      <c r="E527">
        <f>IF(ISNA(MATCH(518,'Transfer Engine'!$C$2:$C$622,0)),"",INDEX('Compliance Database'!$E$2:$E$622,MATCH(518,'Transfer Engine'!$C$2:$C$622,0)))</f>
        <v/>
      </c>
      <c r="F527">
        <f>IF(ISNA(MATCH(518,'Transfer Engine'!$C$2:$C$622,0)),"",INDEX('Compliance Database'!$F$2:$F$622,MATCH(518,'Transfer Engine'!$C$2:$C$622,0)))</f>
        <v/>
      </c>
      <c r="G527">
        <f>IF(ISNA(MATCH(518,'Transfer Engine'!$C$2:$C$622,0)),"",INDEX('Compliance Database'!$G$2:$G$622,MATCH(518,'Transfer Engine'!$C$2:$C$622,0)))</f>
        <v/>
      </c>
      <c r="H527">
        <f>IF(ISNA(MATCH(518,'Transfer Engine'!$C$2:$C$622,0)),"",INDEX('Compliance Database'!$H$2:$H$622,MATCH(518,'Transfer Engine'!$C$2:$C$622,0)))</f>
        <v/>
      </c>
      <c r="I527" s="8">
        <f>IF(ISNA(MATCH(518,'Transfer Engine'!$C$2:$C$622,0)),"",INDEX('Compliance Database'!$I$2:$I$622,MATCH(518,'Transfer Engine'!$C$2:$C$622,0)))</f>
        <v/>
      </c>
      <c r="J527" s="8">
        <f>IF(ISNA(MATCH(518,'Transfer Engine'!$C$2:$C$622,0)),"",INDEX('Compliance Database'!$J$2:$J$622,MATCH(518,'Transfer Engine'!$C$2:$C$622,0)))</f>
        <v/>
      </c>
      <c r="K527">
        <f>IF(ISNA(MATCH(518,'Transfer Engine'!$C$2:$C$622,0)),"",INDEX('Compliance Database'!$K$2:$K$622,MATCH(518,'Transfer Engine'!$C$2:$C$622,0)))</f>
        <v/>
      </c>
      <c r="L527" s="8">
        <f>IF(ISNA(MATCH(518,'Transfer Engine'!$C$2:$C$622,0)),"",INDEX('Compliance Database'!$L$2:$L$622,MATCH(518,'Transfer Engine'!$C$2:$C$622,0)))</f>
        <v/>
      </c>
      <c r="M527" s="8">
        <f>IF(ISNA(MATCH(518,'Transfer Engine'!$C$2:$C$622,0)),"",INDEX('Compliance Database'!$M$2:$M$622,MATCH(518,'Transfer Engine'!$C$2:$C$622,0)))</f>
        <v/>
      </c>
      <c r="N527" s="8">
        <f>IF(ISNA(MATCH(518,'Transfer Engine'!$C$2:$C$622,0)),"",INDEX('Compliance Database'!$N$2:$N$622,MATCH(518,'Transfer Engine'!$C$2:$C$622,0)))</f>
        <v/>
      </c>
      <c r="O527" s="8">
        <f>IF(ISNA(MATCH(518,'Transfer Engine'!$C$2:$C$622,0)),"",INDEX('Compliance Database'!$O$2:$O$622,MATCH(518,'Transfer Engine'!$C$2:$C$622,0)))</f>
        <v/>
      </c>
    </row>
    <row r="528">
      <c r="A528">
        <f>IF(ISNA(MATCH(519,'Transfer Engine'!$C$2:$C$622,0)),"",INDEX('Compliance Database'!$A$2:$A$622,MATCH(519,'Transfer Engine'!$C$2:$C$622,0)))</f>
        <v/>
      </c>
      <c r="B528">
        <f>IF(ISNA(MATCH(519,'Transfer Engine'!$C$2:$C$622,0)),"",INDEX('Compliance Database'!$B$2:$B$622,MATCH(519,'Transfer Engine'!$C$2:$C$622,0)))</f>
        <v/>
      </c>
      <c r="C528">
        <f>IF(ISNA(MATCH(519,'Transfer Engine'!$C$2:$C$622,0)),"",INDEX('Compliance Database'!$C$2:$C$622,MATCH(519,'Transfer Engine'!$C$2:$C$622,0)))</f>
        <v/>
      </c>
      <c r="D528" s="8">
        <f>IF(ISNA(MATCH(519,'Transfer Engine'!$C$2:$C$622,0)),"",INDEX('Compliance Database'!$D$2:$D$622,MATCH(519,'Transfer Engine'!$C$2:$C$622,0)))</f>
        <v/>
      </c>
      <c r="E528">
        <f>IF(ISNA(MATCH(519,'Transfer Engine'!$C$2:$C$622,0)),"",INDEX('Compliance Database'!$E$2:$E$622,MATCH(519,'Transfer Engine'!$C$2:$C$622,0)))</f>
        <v/>
      </c>
      <c r="F528">
        <f>IF(ISNA(MATCH(519,'Transfer Engine'!$C$2:$C$622,0)),"",INDEX('Compliance Database'!$F$2:$F$622,MATCH(519,'Transfer Engine'!$C$2:$C$622,0)))</f>
        <v/>
      </c>
      <c r="G528">
        <f>IF(ISNA(MATCH(519,'Transfer Engine'!$C$2:$C$622,0)),"",INDEX('Compliance Database'!$G$2:$G$622,MATCH(519,'Transfer Engine'!$C$2:$C$622,0)))</f>
        <v/>
      </c>
      <c r="H528">
        <f>IF(ISNA(MATCH(519,'Transfer Engine'!$C$2:$C$622,0)),"",INDEX('Compliance Database'!$H$2:$H$622,MATCH(519,'Transfer Engine'!$C$2:$C$622,0)))</f>
        <v/>
      </c>
      <c r="I528" s="8">
        <f>IF(ISNA(MATCH(519,'Transfer Engine'!$C$2:$C$622,0)),"",INDEX('Compliance Database'!$I$2:$I$622,MATCH(519,'Transfer Engine'!$C$2:$C$622,0)))</f>
        <v/>
      </c>
      <c r="J528" s="8">
        <f>IF(ISNA(MATCH(519,'Transfer Engine'!$C$2:$C$622,0)),"",INDEX('Compliance Database'!$J$2:$J$622,MATCH(519,'Transfer Engine'!$C$2:$C$622,0)))</f>
        <v/>
      </c>
      <c r="K528">
        <f>IF(ISNA(MATCH(519,'Transfer Engine'!$C$2:$C$622,0)),"",INDEX('Compliance Database'!$K$2:$K$622,MATCH(519,'Transfer Engine'!$C$2:$C$622,0)))</f>
        <v/>
      </c>
      <c r="L528" s="8">
        <f>IF(ISNA(MATCH(519,'Transfer Engine'!$C$2:$C$622,0)),"",INDEX('Compliance Database'!$L$2:$L$622,MATCH(519,'Transfer Engine'!$C$2:$C$622,0)))</f>
        <v/>
      </c>
      <c r="M528" s="8">
        <f>IF(ISNA(MATCH(519,'Transfer Engine'!$C$2:$C$622,0)),"",INDEX('Compliance Database'!$M$2:$M$622,MATCH(519,'Transfer Engine'!$C$2:$C$622,0)))</f>
        <v/>
      </c>
      <c r="N528" s="8">
        <f>IF(ISNA(MATCH(519,'Transfer Engine'!$C$2:$C$622,0)),"",INDEX('Compliance Database'!$N$2:$N$622,MATCH(519,'Transfer Engine'!$C$2:$C$622,0)))</f>
        <v/>
      </c>
      <c r="O528" s="8">
        <f>IF(ISNA(MATCH(519,'Transfer Engine'!$C$2:$C$622,0)),"",INDEX('Compliance Database'!$O$2:$O$622,MATCH(519,'Transfer Engine'!$C$2:$C$622,0)))</f>
        <v/>
      </c>
    </row>
    <row r="529">
      <c r="A529">
        <f>IF(ISNA(MATCH(520,'Transfer Engine'!$C$2:$C$622,0)),"",INDEX('Compliance Database'!$A$2:$A$622,MATCH(520,'Transfer Engine'!$C$2:$C$622,0)))</f>
        <v/>
      </c>
      <c r="B529">
        <f>IF(ISNA(MATCH(520,'Transfer Engine'!$C$2:$C$622,0)),"",INDEX('Compliance Database'!$B$2:$B$622,MATCH(520,'Transfer Engine'!$C$2:$C$622,0)))</f>
        <v/>
      </c>
      <c r="C529">
        <f>IF(ISNA(MATCH(520,'Transfer Engine'!$C$2:$C$622,0)),"",INDEX('Compliance Database'!$C$2:$C$622,MATCH(520,'Transfer Engine'!$C$2:$C$622,0)))</f>
        <v/>
      </c>
      <c r="D529" s="8">
        <f>IF(ISNA(MATCH(520,'Transfer Engine'!$C$2:$C$622,0)),"",INDEX('Compliance Database'!$D$2:$D$622,MATCH(520,'Transfer Engine'!$C$2:$C$622,0)))</f>
        <v/>
      </c>
      <c r="E529">
        <f>IF(ISNA(MATCH(520,'Transfer Engine'!$C$2:$C$622,0)),"",INDEX('Compliance Database'!$E$2:$E$622,MATCH(520,'Transfer Engine'!$C$2:$C$622,0)))</f>
        <v/>
      </c>
      <c r="F529">
        <f>IF(ISNA(MATCH(520,'Transfer Engine'!$C$2:$C$622,0)),"",INDEX('Compliance Database'!$F$2:$F$622,MATCH(520,'Transfer Engine'!$C$2:$C$622,0)))</f>
        <v/>
      </c>
      <c r="G529">
        <f>IF(ISNA(MATCH(520,'Transfer Engine'!$C$2:$C$622,0)),"",INDEX('Compliance Database'!$G$2:$G$622,MATCH(520,'Transfer Engine'!$C$2:$C$622,0)))</f>
        <v/>
      </c>
      <c r="H529">
        <f>IF(ISNA(MATCH(520,'Transfer Engine'!$C$2:$C$622,0)),"",INDEX('Compliance Database'!$H$2:$H$622,MATCH(520,'Transfer Engine'!$C$2:$C$622,0)))</f>
        <v/>
      </c>
      <c r="I529" s="8">
        <f>IF(ISNA(MATCH(520,'Transfer Engine'!$C$2:$C$622,0)),"",INDEX('Compliance Database'!$I$2:$I$622,MATCH(520,'Transfer Engine'!$C$2:$C$622,0)))</f>
        <v/>
      </c>
      <c r="J529" s="8">
        <f>IF(ISNA(MATCH(520,'Transfer Engine'!$C$2:$C$622,0)),"",INDEX('Compliance Database'!$J$2:$J$622,MATCH(520,'Transfer Engine'!$C$2:$C$622,0)))</f>
        <v/>
      </c>
      <c r="K529">
        <f>IF(ISNA(MATCH(520,'Transfer Engine'!$C$2:$C$622,0)),"",INDEX('Compliance Database'!$K$2:$K$622,MATCH(520,'Transfer Engine'!$C$2:$C$622,0)))</f>
        <v/>
      </c>
      <c r="L529" s="8">
        <f>IF(ISNA(MATCH(520,'Transfer Engine'!$C$2:$C$622,0)),"",INDEX('Compliance Database'!$L$2:$L$622,MATCH(520,'Transfer Engine'!$C$2:$C$622,0)))</f>
        <v/>
      </c>
      <c r="M529" s="8">
        <f>IF(ISNA(MATCH(520,'Transfer Engine'!$C$2:$C$622,0)),"",INDEX('Compliance Database'!$M$2:$M$622,MATCH(520,'Transfer Engine'!$C$2:$C$622,0)))</f>
        <v/>
      </c>
      <c r="N529" s="8">
        <f>IF(ISNA(MATCH(520,'Transfer Engine'!$C$2:$C$622,0)),"",INDEX('Compliance Database'!$N$2:$N$622,MATCH(520,'Transfer Engine'!$C$2:$C$622,0)))</f>
        <v/>
      </c>
      <c r="O529" s="8">
        <f>IF(ISNA(MATCH(520,'Transfer Engine'!$C$2:$C$622,0)),"",INDEX('Compliance Database'!$O$2:$O$622,MATCH(520,'Transfer Engine'!$C$2:$C$622,0)))</f>
        <v/>
      </c>
    </row>
    <row r="530">
      <c r="A530">
        <f>IF(ISNA(MATCH(521,'Transfer Engine'!$C$2:$C$622,0)),"",INDEX('Compliance Database'!$A$2:$A$622,MATCH(521,'Transfer Engine'!$C$2:$C$622,0)))</f>
        <v/>
      </c>
      <c r="B530">
        <f>IF(ISNA(MATCH(521,'Transfer Engine'!$C$2:$C$622,0)),"",INDEX('Compliance Database'!$B$2:$B$622,MATCH(521,'Transfer Engine'!$C$2:$C$622,0)))</f>
        <v/>
      </c>
      <c r="C530">
        <f>IF(ISNA(MATCH(521,'Transfer Engine'!$C$2:$C$622,0)),"",INDEX('Compliance Database'!$C$2:$C$622,MATCH(521,'Transfer Engine'!$C$2:$C$622,0)))</f>
        <v/>
      </c>
      <c r="D530" s="8">
        <f>IF(ISNA(MATCH(521,'Transfer Engine'!$C$2:$C$622,0)),"",INDEX('Compliance Database'!$D$2:$D$622,MATCH(521,'Transfer Engine'!$C$2:$C$622,0)))</f>
        <v/>
      </c>
      <c r="E530">
        <f>IF(ISNA(MATCH(521,'Transfer Engine'!$C$2:$C$622,0)),"",INDEX('Compliance Database'!$E$2:$E$622,MATCH(521,'Transfer Engine'!$C$2:$C$622,0)))</f>
        <v/>
      </c>
      <c r="F530">
        <f>IF(ISNA(MATCH(521,'Transfer Engine'!$C$2:$C$622,0)),"",INDEX('Compliance Database'!$F$2:$F$622,MATCH(521,'Transfer Engine'!$C$2:$C$622,0)))</f>
        <v/>
      </c>
      <c r="G530">
        <f>IF(ISNA(MATCH(521,'Transfer Engine'!$C$2:$C$622,0)),"",INDEX('Compliance Database'!$G$2:$G$622,MATCH(521,'Transfer Engine'!$C$2:$C$622,0)))</f>
        <v/>
      </c>
      <c r="H530">
        <f>IF(ISNA(MATCH(521,'Transfer Engine'!$C$2:$C$622,0)),"",INDEX('Compliance Database'!$H$2:$H$622,MATCH(521,'Transfer Engine'!$C$2:$C$622,0)))</f>
        <v/>
      </c>
      <c r="I530" s="8">
        <f>IF(ISNA(MATCH(521,'Transfer Engine'!$C$2:$C$622,0)),"",INDEX('Compliance Database'!$I$2:$I$622,MATCH(521,'Transfer Engine'!$C$2:$C$622,0)))</f>
        <v/>
      </c>
      <c r="J530" s="8">
        <f>IF(ISNA(MATCH(521,'Transfer Engine'!$C$2:$C$622,0)),"",INDEX('Compliance Database'!$J$2:$J$622,MATCH(521,'Transfer Engine'!$C$2:$C$622,0)))</f>
        <v/>
      </c>
      <c r="K530">
        <f>IF(ISNA(MATCH(521,'Transfer Engine'!$C$2:$C$622,0)),"",INDEX('Compliance Database'!$K$2:$K$622,MATCH(521,'Transfer Engine'!$C$2:$C$622,0)))</f>
        <v/>
      </c>
      <c r="L530" s="8">
        <f>IF(ISNA(MATCH(521,'Transfer Engine'!$C$2:$C$622,0)),"",INDEX('Compliance Database'!$L$2:$L$622,MATCH(521,'Transfer Engine'!$C$2:$C$622,0)))</f>
        <v/>
      </c>
      <c r="M530" s="8">
        <f>IF(ISNA(MATCH(521,'Transfer Engine'!$C$2:$C$622,0)),"",INDEX('Compliance Database'!$M$2:$M$622,MATCH(521,'Transfer Engine'!$C$2:$C$622,0)))</f>
        <v/>
      </c>
      <c r="N530" s="8">
        <f>IF(ISNA(MATCH(521,'Transfer Engine'!$C$2:$C$622,0)),"",INDEX('Compliance Database'!$N$2:$N$622,MATCH(521,'Transfer Engine'!$C$2:$C$622,0)))</f>
        <v/>
      </c>
      <c r="O530" s="8">
        <f>IF(ISNA(MATCH(521,'Transfer Engine'!$C$2:$C$622,0)),"",INDEX('Compliance Database'!$O$2:$O$622,MATCH(521,'Transfer Engine'!$C$2:$C$622,0)))</f>
        <v/>
      </c>
    </row>
    <row r="531">
      <c r="A531">
        <f>IF(ISNA(MATCH(522,'Transfer Engine'!$C$2:$C$622,0)),"",INDEX('Compliance Database'!$A$2:$A$622,MATCH(522,'Transfer Engine'!$C$2:$C$622,0)))</f>
        <v/>
      </c>
      <c r="B531">
        <f>IF(ISNA(MATCH(522,'Transfer Engine'!$C$2:$C$622,0)),"",INDEX('Compliance Database'!$B$2:$B$622,MATCH(522,'Transfer Engine'!$C$2:$C$622,0)))</f>
        <v/>
      </c>
      <c r="C531">
        <f>IF(ISNA(MATCH(522,'Transfer Engine'!$C$2:$C$622,0)),"",INDEX('Compliance Database'!$C$2:$C$622,MATCH(522,'Transfer Engine'!$C$2:$C$622,0)))</f>
        <v/>
      </c>
      <c r="D531" s="8">
        <f>IF(ISNA(MATCH(522,'Transfer Engine'!$C$2:$C$622,0)),"",INDEX('Compliance Database'!$D$2:$D$622,MATCH(522,'Transfer Engine'!$C$2:$C$622,0)))</f>
        <v/>
      </c>
      <c r="E531">
        <f>IF(ISNA(MATCH(522,'Transfer Engine'!$C$2:$C$622,0)),"",INDEX('Compliance Database'!$E$2:$E$622,MATCH(522,'Transfer Engine'!$C$2:$C$622,0)))</f>
        <v/>
      </c>
      <c r="F531">
        <f>IF(ISNA(MATCH(522,'Transfer Engine'!$C$2:$C$622,0)),"",INDEX('Compliance Database'!$F$2:$F$622,MATCH(522,'Transfer Engine'!$C$2:$C$622,0)))</f>
        <v/>
      </c>
      <c r="G531">
        <f>IF(ISNA(MATCH(522,'Transfer Engine'!$C$2:$C$622,0)),"",INDEX('Compliance Database'!$G$2:$G$622,MATCH(522,'Transfer Engine'!$C$2:$C$622,0)))</f>
        <v/>
      </c>
      <c r="H531">
        <f>IF(ISNA(MATCH(522,'Transfer Engine'!$C$2:$C$622,0)),"",INDEX('Compliance Database'!$H$2:$H$622,MATCH(522,'Transfer Engine'!$C$2:$C$622,0)))</f>
        <v/>
      </c>
      <c r="I531" s="8">
        <f>IF(ISNA(MATCH(522,'Transfer Engine'!$C$2:$C$622,0)),"",INDEX('Compliance Database'!$I$2:$I$622,MATCH(522,'Transfer Engine'!$C$2:$C$622,0)))</f>
        <v/>
      </c>
      <c r="J531" s="8">
        <f>IF(ISNA(MATCH(522,'Transfer Engine'!$C$2:$C$622,0)),"",INDEX('Compliance Database'!$J$2:$J$622,MATCH(522,'Transfer Engine'!$C$2:$C$622,0)))</f>
        <v/>
      </c>
      <c r="K531">
        <f>IF(ISNA(MATCH(522,'Transfer Engine'!$C$2:$C$622,0)),"",INDEX('Compliance Database'!$K$2:$K$622,MATCH(522,'Transfer Engine'!$C$2:$C$622,0)))</f>
        <v/>
      </c>
      <c r="L531" s="8">
        <f>IF(ISNA(MATCH(522,'Transfer Engine'!$C$2:$C$622,0)),"",INDEX('Compliance Database'!$L$2:$L$622,MATCH(522,'Transfer Engine'!$C$2:$C$622,0)))</f>
        <v/>
      </c>
      <c r="M531" s="8">
        <f>IF(ISNA(MATCH(522,'Transfer Engine'!$C$2:$C$622,0)),"",INDEX('Compliance Database'!$M$2:$M$622,MATCH(522,'Transfer Engine'!$C$2:$C$622,0)))</f>
        <v/>
      </c>
      <c r="N531" s="8">
        <f>IF(ISNA(MATCH(522,'Transfer Engine'!$C$2:$C$622,0)),"",INDEX('Compliance Database'!$N$2:$N$622,MATCH(522,'Transfer Engine'!$C$2:$C$622,0)))</f>
        <v/>
      </c>
      <c r="O531" s="8">
        <f>IF(ISNA(MATCH(522,'Transfer Engine'!$C$2:$C$622,0)),"",INDEX('Compliance Database'!$O$2:$O$622,MATCH(522,'Transfer Engine'!$C$2:$C$622,0)))</f>
        <v/>
      </c>
    </row>
    <row r="532">
      <c r="A532">
        <f>IF(ISNA(MATCH(523,'Transfer Engine'!$C$2:$C$622,0)),"",INDEX('Compliance Database'!$A$2:$A$622,MATCH(523,'Transfer Engine'!$C$2:$C$622,0)))</f>
        <v/>
      </c>
      <c r="B532">
        <f>IF(ISNA(MATCH(523,'Transfer Engine'!$C$2:$C$622,0)),"",INDEX('Compliance Database'!$B$2:$B$622,MATCH(523,'Transfer Engine'!$C$2:$C$622,0)))</f>
        <v/>
      </c>
      <c r="C532">
        <f>IF(ISNA(MATCH(523,'Transfer Engine'!$C$2:$C$622,0)),"",INDEX('Compliance Database'!$C$2:$C$622,MATCH(523,'Transfer Engine'!$C$2:$C$622,0)))</f>
        <v/>
      </c>
      <c r="D532" s="8">
        <f>IF(ISNA(MATCH(523,'Transfer Engine'!$C$2:$C$622,0)),"",INDEX('Compliance Database'!$D$2:$D$622,MATCH(523,'Transfer Engine'!$C$2:$C$622,0)))</f>
        <v/>
      </c>
      <c r="E532">
        <f>IF(ISNA(MATCH(523,'Transfer Engine'!$C$2:$C$622,0)),"",INDEX('Compliance Database'!$E$2:$E$622,MATCH(523,'Transfer Engine'!$C$2:$C$622,0)))</f>
        <v/>
      </c>
      <c r="F532">
        <f>IF(ISNA(MATCH(523,'Transfer Engine'!$C$2:$C$622,0)),"",INDEX('Compliance Database'!$F$2:$F$622,MATCH(523,'Transfer Engine'!$C$2:$C$622,0)))</f>
        <v/>
      </c>
      <c r="G532">
        <f>IF(ISNA(MATCH(523,'Transfer Engine'!$C$2:$C$622,0)),"",INDEX('Compliance Database'!$G$2:$G$622,MATCH(523,'Transfer Engine'!$C$2:$C$622,0)))</f>
        <v/>
      </c>
      <c r="H532">
        <f>IF(ISNA(MATCH(523,'Transfer Engine'!$C$2:$C$622,0)),"",INDEX('Compliance Database'!$H$2:$H$622,MATCH(523,'Transfer Engine'!$C$2:$C$622,0)))</f>
        <v/>
      </c>
      <c r="I532" s="8">
        <f>IF(ISNA(MATCH(523,'Transfer Engine'!$C$2:$C$622,0)),"",INDEX('Compliance Database'!$I$2:$I$622,MATCH(523,'Transfer Engine'!$C$2:$C$622,0)))</f>
        <v/>
      </c>
      <c r="J532" s="8">
        <f>IF(ISNA(MATCH(523,'Transfer Engine'!$C$2:$C$622,0)),"",INDEX('Compliance Database'!$J$2:$J$622,MATCH(523,'Transfer Engine'!$C$2:$C$622,0)))</f>
        <v/>
      </c>
      <c r="K532">
        <f>IF(ISNA(MATCH(523,'Transfer Engine'!$C$2:$C$622,0)),"",INDEX('Compliance Database'!$K$2:$K$622,MATCH(523,'Transfer Engine'!$C$2:$C$622,0)))</f>
        <v/>
      </c>
      <c r="L532" s="8">
        <f>IF(ISNA(MATCH(523,'Transfer Engine'!$C$2:$C$622,0)),"",INDEX('Compliance Database'!$L$2:$L$622,MATCH(523,'Transfer Engine'!$C$2:$C$622,0)))</f>
        <v/>
      </c>
      <c r="M532" s="8">
        <f>IF(ISNA(MATCH(523,'Transfer Engine'!$C$2:$C$622,0)),"",INDEX('Compliance Database'!$M$2:$M$622,MATCH(523,'Transfer Engine'!$C$2:$C$622,0)))</f>
        <v/>
      </c>
      <c r="N532" s="8">
        <f>IF(ISNA(MATCH(523,'Transfer Engine'!$C$2:$C$622,0)),"",INDEX('Compliance Database'!$N$2:$N$622,MATCH(523,'Transfer Engine'!$C$2:$C$622,0)))</f>
        <v/>
      </c>
      <c r="O532" s="8">
        <f>IF(ISNA(MATCH(523,'Transfer Engine'!$C$2:$C$622,0)),"",INDEX('Compliance Database'!$O$2:$O$622,MATCH(523,'Transfer Engine'!$C$2:$C$622,0)))</f>
        <v/>
      </c>
    </row>
    <row r="533">
      <c r="A533">
        <f>IF(ISNA(MATCH(524,'Transfer Engine'!$C$2:$C$622,0)),"",INDEX('Compliance Database'!$A$2:$A$622,MATCH(524,'Transfer Engine'!$C$2:$C$622,0)))</f>
        <v/>
      </c>
      <c r="B533">
        <f>IF(ISNA(MATCH(524,'Transfer Engine'!$C$2:$C$622,0)),"",INDEX('Compliance Database'!$B$2:$B$622,MATCH(524,'Transfer Engine'!$C$2:$C$622,0)))</f>
        <v/>
      </c>
      <c r="C533">
        <f>IF(ISNA(MATCH(524,'Transfer Engine'!$C$2:$C$622,0)),"",INDEX('Compliance Database'!$C$2:$C$622,MATCH(524,'Transfer Engine'!$C$2:$C$622,0)))</f>
        <v/>
      </c>
      <c r="D533" s="8">
        <f>IF(ISNA(MATCH(524,'Transfer Engine'!$C$2:$C$622,0)),"",INDEX('Compliance Database'!$D$2:$D$622,MATCH(524,'Transfer Engine'!$C$2:$C$622,0)))</f>
        <v/>
      </c>
      <c r="E533">
        <f>IF(ISNA(MATCH(524,'Transfer Engine'!$C$2:$C$622,0)),"",INDEX('Compliance Database'!$E$2:$E$622,MATCH(524,'Transfer Engine'!$C$2:$C$622,0)))</f>
        <v/>
      </c>
      <c r="F533">
        <f>IF(ISNA(MATCH(524,'Transfer Engine'!$C$2:$C$622,0)),"",INDEX('Compliance Database'!$F$2:$F$622,MATCH(524,'Transfer Engine'!$C$2:$C$622,0)))</f>
        <v/>
      </c>
      <c r="G533">
        <f>IF(ISNA(MATCH(524,'Transfer Engine'!$C$2:$C$622,0)),"",INDEX('Compliance Database'!$G$2:$G$622,MATCH(524,'Transfer Engine'!$C$2:$C$622,0)))</f>
        <v/>
      </c>
      <c r="H533">
        <f>IF(ISNA(MATCH(524,'Transfer Engine'!$C$2:$C$622,0)),"",INDEX('Compliance Database'!$H$2:$H$622,MATCH(524,'Transfer Engine'!$C$2:$C$622,0)))</f>
        <v/>
      </c>
      <c r="I533" s="8">
        <f>IF(ISNA(MATCH(524,'Transfer Engine'!$C$2:$C$622,0)),"",INDEX('Compliance Database'!$I$2:$I$622,MATCH(524,'Transfer Engine'!$C$2:$C$622,0)))</f>
        <v/>
      </c>
      <c r="J533" s="8">
        <f>IF(ISNA(MATCH(524,'Transfer Engine'!$C$2:$C$622,0)),"",INDEX('Compliance Database'!$J$2:$J$622,MATCH(524,'Transfer Engine'!$C$2:$C$622,0)))</f>
        <v/>
      </c>
      <c r="K533">
        <f>IF(ISNA(MATCH(524,'Transfer Engine'!$C$2:$C$622,0)),"",INDEX('Compliance Database'!$K$2:$K$622,MATCH(524,'Transfer Engine'!$C$2:$C$622,0)))</f>
        <v/>
      </c>
      <c r="L533" s="8">
        <f>IF(ISNA(MATCH(524,'Transfer Engine'!$C$2:$C$622,0)),"",INDEX('Compliance Database'!$L$2:$L$622,MATCH(524,'Transfer Engine'!$C$2:$C$622,0)))</f>
        <v/>
      </c>
      <c r="M533" s="8">
        <f>IF(ISNA(MATCH(524,'Transfer Engine'!$C$2:$C$622,0)),"",INDEX('Compliance Database'!$M$2:$M$622,MATCH(524,'Transfer Engine'!$C$2:$C$622,0)))</f>
        <v/>
      </c>
      <c r="N533" s="8">
        <f>IF(ISNA(MATCH(524,'Transfer Engine'!$C$2:$C$622,0)),"",INDEX('Compliance Database'!$N$2:$N$622,MATCH(524,'Transfer Engine'!$C$2:$C$622,0)))</f>
        <v/>
      </c>
      <c r="O533" s="8">
        <f>IF(ISNA(MATCH(524,'Transfer Engine'!$C$2:$C$622,0)),"",INDEX('Compliance Database'!$O$2:$O$622,MATCH(524,'Transfer Engine'!$C$2:$C$622,0)))</f>
        <v/>
      </c>
    </row>
    <row r="534">
      <c r="A534">
        <f>IF(ISNA(MATCH(525,'Transfer Engine'!$C$2:$C$622,0)),"",INDEX('Compliance Database'!$A$2:$A$622,MATCH(525,'Transfer Engine'!$C$2:$C$622,0)))</f>
        <v/>
      </c>
      <c r="B534">
        <f>IF(ISNA(MATCH(525,'Transfer Engine'!$C$2:$C$622,0)),"",INDEX('Compliance Database'!$B$2:$B$622,MATCH(525,'Transfer Engine'!$C$2:$C$622,0)))</f>
        <v/>
      </c>
      <c r="C534">
        <f>IF(ISNA(MATCH(525,'Transfer Engine'!$C$2:$C$622,0)),"",INDEX('Compliance Database'!$C$2:$C$622,MATCH(525,'Transfer Engine'!$C$2:$C$622,0)))</f>
        <v/>
      </c>
      <c r="D534" s="8">
        <f>IF(ISNA(MATCH(525,'Transfer Engine'!$C$2:$C$622,0)),"",INDEX('Compliance Database'!$D$2:$D$622,MATCH(525,'Transfer Engine'!$C$2:$C$622,0)))</f>
        <v/>
      </c>
      <c r="E534">
        <f>IF(ISNA(MATCH(525,'Transfer Engine'!$C$2:$C$622,0)),"",INDEX('Compliance Database'!$E$2:$E$622,MATCH(525,'Transfer Engine'!$C$2:$C$622,0)))</f>
        <v/>
      </c>
      <c r="F534">
        <f>IF(ISNA(MATCH(525,'Transfer Engine'!$C$2:$C$622,0)),"",INDEX('Compliance Database'!$F$2:$F$622,MATCH(525,'Transfer Engine'!$C$2:$C$622,0)))</f>
        <v/>
      </c>
      <c r="G534">
        <f>IF(ISNA(MATCH(525,'Transfer Engine'!$C$2:$C$622,0)),"",INDEX('Compliance Database'!$G$2:$G$622,MATCH(525,'Transfer Engine'!$C$2:$C$622,0)))</f>
        <v/>
      </c>
      <c r="H534">
        <f>IF(ISNA(MATCH(525,'Transfer Engine'!$C$2:$C$622,0)),"",INDEX('Compliance Database'!$H$2:$H$622,MATCH(525,'Transfer Engine'!$C$2:$C$622,0)))</f>
        <v/>
      </c>
      <c r="I534" s="8">
        <f>IF(ISNA(MATCH(525,'Transfer Engine'!$C$2:$C$622,0)),"",INDEX('Compliance Database'!$I$2:$I$622,MATCH(525,'Transfer Engine'!$C$2:$C$622,0)))</f>
        <v/>
      </c>
      <c r="J534" s="8">
        <f>IF(ISNA(MATCH(525,'Transfer Engine'!$C$2:$C$622,0)),"",INDEX('Compliance Database'!$J$2:$J$622,MATCH(525,'Transfer Engine'!$C$2:$C$622,0)))</f>
        <v/>
      </c>
      <c r="K534">
        <f>IF(ISNA(MATCH(525,'Transfer Engine'!$C$2:$C$622,0)),"",INDEX('Compliance Database'!$K$2:$K$622,MATCH(525,'Transfer Engine'!$C$2:$C$622,0)))</f>
        <v/>
      </c>
      <c r="L534" s="8">
        <f>IF(ISNA(MATCH(525,'Transfer Engine'!$C$2:$C$622,0)),"",INDEX('Compliance Database'!$L$2:$L$622,MATCH(525,'Transfer Engine'!$C$2:$C$622,0)))</f>
        <v/>
      </c>
      <c r="M534" s="8">
        <f>IF(ISNA(MATCH(525,'Transfer Engine'!$C$2:$C$622,0)),"",INDEX('Compliance Database'!$M$2:$M$622,MATCH(525,'Transfer Engine'!$C$2:$C$622,0)))</f>
        <v/>
      </c>
      <c r="N534" s="8">
        <f>IF(ISNA(MATCH(525,'Transfer Engine'!$C$2:$C$622,0)),"",INDEX('Compliance Database'!$N$2:$N$622,MATCH(525,'Transfer Engine'!$C$2:$C$622,0)))</f>
        <v/>
      </c>
      <c r="O534" s="8">
        <f>IF(ISNA(MATCH(525,'Transfer Engine'!$C$2:$C$622,0)),"",INDEX('Compliance Database'!$O$2:$O$622,MATCH(525,'Transfer Engine'!$C$2:$C$622,0)))</f>
        <v/>
      </c>
    </row>
    <row r="535">
      <c r="A535">
        <f>IF(ISNA(MATCH(526,'Transfer Engine'!$C$2:$C$622,0)),"",INDEX('Compliance Database'!$A$2:$A$622,MATCH(526,'Transfer Engine'!$C$2:$C$622,0)))</f>
        <v/>
      </c>
      <c r="B535">
        <f>IF(ISNA(MATCH(526,'Transfer Engine'!$C$2:$C$622,0)),"",INDEX('Compliance Database'!$B$2:$B$622,MATCH(526,'Transfer Engine'!$C$2:$C$622,0)))</f>
        <v/>
      </c>
      <c r="C535">
        <f>IF(ISNA(MATCH(526,'Transfer Engine'!$C$2:$C$622,0)),"",INDEX('Compliance Database'!$C$2:$C$622,MATCH(526,'Transfer Engine'!$C$2:$C$622,0)))</f>
        <v/>
      </c>
      <c r="D535" s="8">
        <f>IF(ISNA(MATCH(526,'Transfer Engine'!$C$2:$C$622,0)),"",INDEX('Compliance Database'!$D$2:$D$622,MATCH(526,'Transfer Engine'!$C$2:$C$622,0)))</f>
        <v/>
      </c>
      <c r="E535">
        <f>IF(ISNA(MATCH(526,'Transfer Engine'!$C$2:$C$622,0)),"",INDEX('Compliance Database'!$E$2:$E$622,MATCH(526,'Transfer Engine'!$C$2:$C$622,0)))</f>
        <v/>
      </c>
      <c r="F535">
        <f>IF(ISNA(MATCH(526,'Transfer Engine'!$C$2:$C$622,0)),"",INDEX('Compliance Database'!$F$2:$F$622,MATCH(526,'Transfer Engine'!$C$2:$C$622,0)))</f>
        <v/>
      </c>
      <c r="G535">
        <f>IF(ISNA(MATCH(526,'Transfer Engine'!$C$2:$C$622,0)),"",INDEX('Compliance Database'!$G$2:$G$622,MATCH(526,'Transfer Engine'!$C$2:$C$622,0)))</f>
        <v/>
      </c>
      <c r="H535">
        <f>IF(ISNA(MATCH(526,'Transfer Engine'!$C$2:$C$622,0)),"",INDEX('Compliance Database'!$H$2:$H$622,MATCH(526,'Transfer Engine'!$C$2:$C$622,0)))</f>
        <v/>
      </c>
      <c r="I535" s="8">
        <f>IF(ISNA(MATCH(526,'Transfer Engine'!$C$2:$C$622,0)),"",INDEX('Compliance Database'!$I$2:$I$622,MATCH(526,'Transfer Engine'!$C$2:$C$622,0)))</f>
        <v/>
      </c>
      <c r="J535" s="8">
        <f>IF(ISNA(MATCH(526,'Transfer Engine'!$C$2:$C$622,0)),"",INDEX('Compliance Database'!$J$2:$J$622,MATCH(526,'Transfer Engine'!$C$2:$C$622,0)))</f>
        <v/>
      </c>
      <c r="K535">
        <f>IF(ISNA(MATCH(526,'Transfer Engine'!$C$2:$C$622,0)),"",INDEX('Compliance Database'!$K$2:$K$622,MATCH(526,'Transfer Engine'!$C$2:$C$622,0)))</f>
        <v/>
      </c>
      <c r="L535" s="8">
        <f>IF(ISNA(MATCH(526,'Transfer Engine'!$C$2:$C$622,0)),"",INDEX('Compliance Database'!$L$2:$L$622,MATCH(526,'Transfer Engine'!$C$2:$C$622,0)))</f>
        <v/>
      </c>
      <c r="M535" s="8">
        <f>IF(ISNA(MATCH(526,'Transfer Engine'!$C$2:$C$622,0)),"",INDEX('Compliance Database'!$M$2:$M$622,MATCH(526,'Transfer Engine'!$C$2:$C$622,0)))</f>
        <v/>
      </c>
      <c r="N535" s="8">
        <f>IF(ISNA(MATCH(526,'Transfer Engine'!$C$2:$C$622,0)),"",INDEX('Compliance Database'!$N$2:$N$622,MATCH(526,'Transfer Engine'!$C$2:$C$622,0)))</f>
        <v/>
      </c>
      <c r="O535" s="8">
        <f>IF(ISNA(MATCH(526,'Transfer Engine'!$C$2:$C$622,0)),"",INDEX('Compliance Database'!$O$2:$O$622,MATCH(526,'Transfer Engine'!$C$2:$C$622,0)))</f>
        <v/>
      </c>
    </row>
    <row r="536">
      <c r="A536">
        <f>IF(ISNA(MATCH(527,'Transfer Engine'!$C$2:$C$622,0)),"",INDEX('Compliance Database'!$A$2:$A$622,MATCH(527,'Transfer Engine'!$C$2:$C$622,0)))</f>
        <v/>
      </c>
      <c r="B536">
        <f>IF(ISNA(MATCH(527,'Transfer Engine'!$C$2:$C$622,0)),"",INDEX('Compliance Database'!$B$2:$B$622,MATCH(527,'Transfer Engine'!$C$2:$C$622,0)))</f>
        <v/>
      </c>
      <c r="C536">
        <f>IF(ISNA(MATCH(527,'Transfer Engine'!$C$2:$C$622,0)),"",INDEX('Compliance Database'!$C$2:$C$622,MATCH(527,'Transfer Engine'!$C$2:$C$622,0)))</f>
        <v/>
      </c>
      <c r="D536" s="8">
        <f>IF(ISNA(MATCH(527,'Transfer Engine'!$C$2:$C$622,0)),"",INDEX('Compliance Database'!$D$2:$D$622,MATCH(527,'Transfer Engine'!$C$2:$C$622,0)))</f>
        <v/>
      </c>
      <c r="E536">
        <f>IF(ISNA(MATCH(527,'Transfer Engine'!$C$2:$C$622,0)),"",INDEX('Compliance Database'!$E$2:$E$622,MATCH(527,'Transfer Engine'!$C$2:$C$622,0)))</f>
        <v/>
      </c>
      <c r="F536">
        <f>IF(ISNA(MATCH(527,'Transfer Engine'!$C$2:$C$622,0)),"",INDEX('Compliance Database'!$F$2:$F$622,MATCH(527,'Transfer Engine'!$C$2:$C$622,0)))</f>
        <v/>
      </c>
      <c r="G536">
        <f>IF(ISNA(MATCH(527,'Transfer Engine'!$C$2:$C$622,0)),"",INDEX('Compliance Database'!$G$2:$G$622,MATCH(527,'Transfer Engine'!$C$2:$C$622,0)))</f>
        <v/>
      </c>
      <c r="H536">
        <f>IF(ISNA(MATCH(527,'Transfer Engine'!$C$2:$C$622,0)),"",INDEX('Compliance Database'!$H$2:$H$622,MATCH(527,'Transfer Engine'!$C$2:$C$622,0)))</f>
        <v/>
      </c>
      <c r="I536" s="8">
        <f>IF(ISNA(MATCH(527,'Transfer Engine'!$C$2:$C$622,0)),"",INDEX('Compliance Database'!$I$2:$I$622,MATCH(527,'Transfer Engine'!$C$2:$C$622,0)))</f>
        <v/>
      </c>
      <c r="J536" s="8">
        <f>IF(ISNA(MATCH(527,'Transfer Engine'!$C$2:$C$622,0)),"",INDEX('Compliance Database'!$J$2:$J$622,MATCH(527,'Transfer Engine'!$C$2:$C$622,0)))</f>
        <v/>
      </c>
      <c r="K536">
        <f>IF(ISNA(MATCH(527,'Transfer Engine'!$C$2:$C$622,0)),"",INDEX('Compliance Database'!$K$2:$K$622,MATCH(527,'Transfer Engine'!$C$2:$C$622,0)))</f>
        <v/>
      </c>
      <c r="L536" s="8">
        <f>IF(ISNA(MATCH(527,'Transfer Engine'!$C$2:$C$622,0)),"",INDEX('Compliance Database'!$L$2:$L$622,MATCH(527,'Transfer Engine'!$C$2:$C$622,0)))</f>
        <v/>
      </c>
      <c r="M536" s="8">
        <f>IF(ISNA(MATCH(527,'Transfer Engine'!$C$2:$C$622,0)),"",INDEX('Compliance Database'!$M$2:$M$622,MATCH(527,'Transfer Engine'!$C$2:$C$622,0)))</f>
        <v/>
      </c>
      <c r="N536" s="8">
        <f>IF(ISNA(MATCH(527,'Transfer Engine'!$C$2:$C$622,0)),"",INDEX('Compliance Database'!$N$2:$N$622,MATCH(527,'Transfer Engine'!$C$2:$C$622,0)))</f>
        <v/>
      </c>
      <c r="O536" s="8">
        <f>IF(ISNA(MATCH(527,'Transfer Engine'!$C$2:$C$622,0)),"",INDEX('Compliance Database'!$O$2:$O$622,MATCH(527,'Transfer Engine'!$C$2:$C$622,0)))</f>
        <v/>
      </c>
    </row>
    <row r="537">
      <c r="A537">
        <f>IF(ISNA(MATCH(528,'Transfer Engine'!$C$2:$C$622,0)),"",INDEX('Compliance Database'!$A$2:$A$622,MATCH(528,'Transfer Engine'!$C$2:$C$622,0)))</f>
        <v/>
      </c>
      <c r="B537">
        <f>IF(ISNA(MATCH(528,'Transfer Engine'!$C$2:$C$622,0)),"",INDEX('Compliance Database'!$B$2:$B$622,MATCH(528,'Transfer Engine'!$C$2:$C$622,0)))</f>
        <v/>
      </c>
      <c r="C537">
        <f>IF(ISNA(MATCH(528,'Transfer Engine'!$C$2:$C$622,0)),"",INDEX('Compliance Database'!$C$2:$C$622,MATCH(528,'Transfer Engine'!$C$2:$C$622,0)))</f>
        <v/>
      </c>
      <c r="D537" s="8">
        <f>IF(ISNA(MATCH(528,'Transfer Engine'!$C$2:$C$622,0)),"",INDEX('Compliance Database'!$D$2:$D$622,MATCH(528,'Transfer Engine'!$C$2:$C$622,0)))</f>
        <v/>
      </c>
      <c r="E537">
        <f>IF(ISNA(MATCH(528,'Transfer Engine'!$C$2:$C$622,0)),"",INDEX('Compliance Database'!$E$2:$E$622,MATCH(528,'Transfer Engine'!$C$2:$C$622,0)))</f>
        <v/>
      </c>
      <c r="F537">
        <f>IF(ISNA(MATCH(528,'Transfer Engine'!$C$2:$C$622,0)),"",INDEX('Compliance Database'!$F$2:$F$622,MATCH(528,'Transfer Engine'!$C$2:$C$622,0)))</f>
        <v/>
      </c>
      <c r="G537">
        <f>IF(ISNA(MATCH(528,'Transfer Engine'!$C$2:$C$622,0)),"",INDEX('Compliance Database'!$G$2:$G$622,MATCH(528,'Transfer Engine'!$C$2:$C$622,0)))</f>
        <v/>
      </c>
      <c r="H537">
        <f>IF(ISNA(MATCH(528,'Transfer Engine'!$C$2:$C$622,0)),"",INDEX('Compliance Database'!$H$2:$H$622,MATCH(528,'Transfer Engine'!$C$2:$C$622,0)))</f>
        <v/>
      </c>
      <c r="I537" s="8">
        <f>IF(ISNA(MATCH(528,'Transfer Engine'!$C$2:$C$622,0)),"",INDEX('Compliance Database'!$I$2:$I$622,MATCH(528,'Transfer Engine'!$C$2:$C$622,0)))</f>
        <v/>
      </c>
      <c r="J537" s="8">
        <f>IF(ISNA(MATCH(528,'Transfer Engine'!$C$2:$C$622,0)),"",INDEX('Compliance Database'!$J$2:$J$622,MATCH(528,'Transfer Engine'!$C$2:$C$622,0)))</f>
        <v/>
      </c>
      <c r="K537">
        <f>IF(ISNA(MATCH(528,'Transfer Engine'!$C$2:$C$622,0)),"",INDEX('Compliance Database'!$K$2:$K$622,MATCH(528,'Transfer Engine'!$C$2:$C$622,0)))</f>
        <v/>
      </c>
      <c r="L537" s="8">
        <f>IF(ISNA(MATCH(528,'Transfer Engine'!$C$2:$C$622,0)),"",INDEX('Compliance Database'!$L$2:$L$622,MATCH(528,'Transfer Engine'!$C$2:$C$622,0)))</f>
        <v/>
      </c>
      <c r="M537" s="8">
        <f>IF(ISNA(MATCH(528,'Transfer Engine'!$C$2:$C$622,0)),"",INDEX('Compliance Database'!$M$2:$M$622,MATCH(528,'Transfer Engine'!$C$2:$C$622,0)))</f>
        <v/>
      </c>
      <c r="N537" s="8">
        <f>IF(ISNA(MATCH(528,'Transfer Engine'!$C$2:$C$622,0)),"",INDEX('Compliance Database'!$N$2:$N$622,MATCH(528,'Transfer Engine'!$C$2:$C$622,0)))</f>
        <v/>
      </c>
      <c r="O537" s="8">
        <f>IF(ISNA(MATCH(528,'Transfer Engine'!$C$2:$C$622,0)),"",INDEX('Compliance Database'!$O$2:$O$622,MATCH(528,'Transfer Engine'!$C$2:$C$622,0)))</f>
        <v/>
      </c>
    </row>
    <row r="538">
      <c r="A538">
        <f>IF(ISNA(MATCH(529,'Transfer Engine'!$C$2:$C$622,0)),"",INDEX('Compliance Database'!$A$2:$A$622,MATCH(529,'Transfer Engine'!$C$2:$C$622,0)))</f>
        <v/>
      </c>
      <c r="B538">
        <f>IF(ISNA(MATCH(529,'Transfer Engine'!$C$2:$C$622,0)),"",INDEX('Compliance Database'!$B$2:$B$622,MATCH(529,'Transfer Engine'!$C$2:$C$622,0)))</f>
        <v/>
      </c>
      <c r="C538">
        <f>IF(ISNA(MATCH(529,'Transfer Engine'!$C$2:$C$622,0)),"",INDEX('Compliance Database'!$C$2:$C$622,MATCH(529,'Transfer Engine'!$C$2:$C$622,0)))</f>
        <v/>
      </c>
      <c r="D538" s="8">
        <f>IF(ISNA(MATCH(529,'Transfer Engine'!$C$2:$C$622,0)),"",INDEX('Compliance Database'!$D$2:$D$622,MATCH(529,'Transfer Engine'!$C$2:$C$622,0)))</f>
        <v/>
      </c>
      <c r="E538">
        <f>IF(ISNA(MATCH(529,'Transfer Engine'!$C$2:$C$622,0)),"",INDEX('Compliance Database'!$E$2:$E$622,MATCH(529,'Transfer Engine'!$C$2:$C$622,0)))</f>
        <v/>
      </c>
      <c r="F538">
        <f>IF(ISNA(MATCH(529,'Transfer Engine'!$C$2:$C$622,0)),"",INDEX('Compliance Database'!$F$2:$F$622,MATCH(529,'Transfer Engine'!$C$2:$C$622,0)))</f>
        <v/>
      </c>
      <c r="G538">
        <f>IF(ISNA(MATCH(529,'Transfer Engine'!$C$2:$C$622,0)),"",INDEX('Compliance Database'!$G$2:$G$622,MATCH(529,'Transfer Engine'!$C$2:$C$622,0)))</f>
        <v/>
      </c>
      <c r="H538">
        <f>IF(ISNA(MATCH(529,'Transfer Engine'!$C$2:$C$622,0)),"",INDEX('Compliance Database'!$H$2:$H$622,MATCH(529,'Transfer Engine'!$C$2:$C$622,0)))</f>
        <v/>
      </c>
      <c r="I538" s="8">
        <f>IF(ISNA(MATCH(529,'Transfer Engine'!$C$2:$C$622,0)),"",INDEX('Compliance Database'!$I$2:$I$622,MATCH(529,'Transfer Engine'!$C$2:$C$622,0)))</f>
        <v/>
      </c>
      <c r="J538" s="8">
        <f>IF(ISNA(MATCH(529,'Transfer Engine'!$C$2:$C$622,0)),"",INDEX('Compliance Database'!$J$2:$J$622,MATCH(529,'Transfer Engine'!$C$2:$C$622,0)))</f>
        <v/>
      </c>
      <c r="K538">
        <f>IF(ISNA(MATCH(529,'Transfer Engine'!$C$2:$C$622,0)),"",INDEX('Compliance Database'!$K$2:$K$622,MATCH(529,'Transfer Engine'!$C$2:$C$622,0)))</f>
        <v/>
      </c>
      <c r="L538" s="8">
        <f>IF(ISNA(MATCH(529,'Transfer Engine'!$C$2:$C$622,0)),"",INDEX('Compliance Database'!$L$2:$L$622,MATCH(529,'Transfer Engine'!$C$2:$C$622,0)))</f>
        <v/>
      </c>
      <c r="M538" s="8">
        <f>IF(ISNA(MATCH(529,'Transfer Engine'!$C$2:$C$622,0)),"",INDEX('Compliance Database'!$M$2:$M$622,MATCH(529,'Transfer Engine'!$C$2:$C$622,0)))</f>
        <v/>
      </c>
      <c r="N538" s="8">
        <f>IF(ISNA(MATCH(529,'Transfer Engine'!$C$2:$C$622,0)),"",INDEX('Compliance Database'!$N$2:$N$622,MATCH(529,'Transfer Engine'!$C$2:$C$622,0)))</f>
        <v/>
      </c>
      <c r="O538" s="8">
        <f>IF(ISNA(MATCH(529,'Transfer Engine'!$C$2:$C$622,0)),"",INDEX('Compliance Database'!$O$2:$O$622,MATCH(529,'Transfer Engine'!$C$2:$C$622,0)))</f>
        <v/>
      </c>
    </row>
    <row r="539">
      <c r="A539">
        <f>IF(ISNA(MATCH(530,'Transfer Engine'!$C$2:$C$622,0)),"",INDEX('Compliance Database'!$A$2:$A$622,MATCH(530,'Transfer Engine'!$C$2:$C$622,0)))</f>
        <v/>
      </c>
      <c r="B539">
        <f>IF(ISNA(MATCH(530,'Transfer Engine'!$C$2:$C$622,0)),"",INDEX('Compliance Database'!$B$2:$B$622,MATCH(530,'Transfer Engine'!$C$2:$C$622,0)))</f>
        <v/>
      </c>
      <c r="C539">
        <f>IF(ISNA(MATCH(530,'Transfer Engine'!$C$2:$C$622,0)),"",INDEX('Compliance Database'!$C$2:$C$622,MATCH(530,'Transfer Engine'!$C$2:$C$622,0)))</f>
        <v/>
      </c>
      <c r="D539" s="8">
        <f>IF(ISNA(MATCH(530,'Transfer Engine'!$C$2:$C$622,0)),"",INDEX('Compliance Database'!$D$2:$D$622,MATCH(530,'Transfer Engine'!$C$2:$C$622,0)))</f>
        <v/>
      </c>
      <c r="E539">
        <f>IF(ISNA(MATCH(530,'Transfer Engine'!$C$2:$C$622,0)),"",INDEX('Compliance Database'!$E$2:$E$622,MATCH(530,'Transfer Engine'!$C$2:$C$622,0)))</f>
        <v/>
      </c>
      <c r="F539">
        <f>IF(ISNA(MATCH(530,'Transfer Engine'!$C$2:$C$622,0)),"",INDEX('Compliance Database'!$F$2:$F$622,MATCH(530,'Transfer Engine'!$C$2:$C$622,0)))</f>
        <v/>
      </c>
      <c r="G539">
        <f>IF(ISNA(MATCH(530,'Transfer Engine'!$C$2:$C$622,0)),"",INDEX('Compliance Database'!$G$2:$G$622,MATCH(530,'Transfer Engine'!$C$2:$C$622,0)))</f>
        <v/>
      </c>
      <c r="H539">
        <f>IF(ISNA(MATCH(530,'Transfer Engine'!$C$2:$C$622,0)),"",INDEX('Compliance Database'!$H$2:$H$622,MATCH(530,'Transfer Engine'!$C$2:$C$622,0)))</f>
        <v/>
      </c>
      <c r="I539" s="8">
        <f>IF(ISNA(MATCH(530,'Transfer Engine'!$C$2:$C$622,0)),"",INDEX('Compliance Database'!$I$2:$I$622,MATCH(530,'Transfer Engine'!$C$2:$C$622,0)))</f>
        <v/>
      </c>
      <c r="J539" s="8">
        <f>IF(ISNA(MATCH(530,'Transfer Engine'!$C$2:$C$622,0)),"",INDEX('Compliance Database'!$J$2:$J$622,MATCH(530,'Transfer Engine'!$C$2:$C$622,0)))</f>
        <v/>
      </c>
      <c r="K539">
        <f>IF(ISNA(MATCH(530,'Transfer Engine'!$C$2:$C$622,0)),"",INDEX('Compliance Database'!$K$2:$K$622,MATCH(530,'Transfer Engine'!$C$2:$C$622,0)))</f>
        <v/>
      </c>
      <c r="L539" s="8">
        <f>IF(ISNA(MATCH(530,'Transfer Engine'!$C$2:$C$622,0)),"",INDEX('Compliance Database'!$L$2:$L$622,MATCH(530,'Transfer Engine'!$C$2:$C$622,0)))</f>
        <v/>
      </c>
      <c r="M539" s="8">
        <f>IF(ISNA(MATCH(530,'Transfer Engine'!$C$2:$C$622,0)),"",INDEX('Compliance Database'!$M$2:$M$622,MATCH(530,'Transfer Engine'!$C$2:$C$622,0)))</f>
        <v/>
      </c>
      <c r="N539" s="8">
        <f>IF(ISNA(MATCH(530,'Transfer Engine'!$C$2:$C$622,0)),"",INDEX('Compliance Database'!$N$2:$N$622,MATCH(530,'Transfer Engine'!$C$2:$C$622,0)))</f>
        <v/>
      </c>
      <c r="O539" s="8">
        <f>IF(ISNA(MATCH(530,'Transfer Engine'!$C$2:$C$622,0)),"",INDEX('Compliance Database'!$O$2:$O$622,MATCH(530,'Transfer Engine'!$C$2:$C$622,0)))</f>
        <v/>
      </c>
    </row>
    <row r="540">
      <c r="A540">
        <f>IF(ISNA(MATCH(531,'Transfer Engine'!$C$2:$C$622,0)),"",INDEX('Compliance Database'!$A$2:$A$622,MATCH(531,'Transfer Engine'!$C$2:$C$622,0)))</f>
        <v/>
      </c>
      <c r="B540">
        <f>IF(ISNA(MATCH(531,'Transfer Engine'!$C$2:$C$622,0)),"",INDEX('Compliance Database'!$B$2:$B$622,MATCH(531,'Transfer Engine'!$C$2:$C$622,0)))</f>
        <v/>
      </c>
      <c r="C540">
        <f>IF(ISNA(MATCH(531,'Transfer Engine'!$C$2:$C$622,0)),"",INDEX('Compliance Database'!$C$2:$C$622,MATCH(531,'Transfer Engine'!$C$2:$C$622,0)))</f>
        <v/>
      </c>
      <c r="D540" s="8">
        <f>IF(ISNA(MATCH(531,'Transfer Engine'!$C$2:$C$622,0)),"",INDEX('Compliance Database'!$D$2:$D$622,MATCH(531,'Transfer Engine'!$C$2:$C$622,0)))</f>
        <v/>
      </c>
      <c r="E540">
        <f>IF(ISNA(MATCH(531,'Transfer Engine'!$C$2:$C$622,0)),"",INDEX('Compliance Database'!$E$2:$E$622,MATCH(531,'Transfer Engine'!$C$2:$C$622,0)))</f>
        <v/>
      </c>
      <c r="F540">
        <f>IF(ISNA(MATCH(531,'Transfer Engine'!$C$2:$C$622,0)),"",INDEX('Compliance Database'!$F$2:$F$622,MATCH(531,'Transfer Engine'!$C$2:$C$622,0)))</f>
        <v/>
      </c>
      <c r="G540">
        <f>IF(ISNA(MATCH(531,'Transfer Engine'!$C$2:$C$622,0)),"",INDEX('Compliance Database'!$G$2:$G$622,MATCH(531,'Transfer Engine'!$C$2:$C$622,0)))</f>
        <v/>
      </c>
      <c r="H540">
        <f>IF(ISNA(MATCH(531,'Transfer Engine'!$C$2:$C$622,0)),"",INDEX('Compliance Database'!$H$2:$H$622,MATCH(531,'Transfer Engine'!$C$2:$C$622,0)))</f>
        <v/>
      </c>
      <c r="I540" s="8">
        <f>IF(ISNA(MATCH(531,'Transfer Engine'!$C$2:$C$622,0)),"",INDEX('Compliance Database'!$I$2:$I$622,MATCH(531,'Transfer Engine'!$C$2:$C$622,0)))</f>
        <v/>
      </c>
      <c r="J540" s="8">
        <f>IF(ISNA(MATCH(531,'Transfer Engine'!$C$2:$C$622,0)),"",INDEX('Compliance Database'!$J$2:$J$622,MATCH(531,'Transfer Engine'!$C$2:$C$622,0)))</f>
        <v/>
      </c>
      <c r="K540">
        <f>IF(ISNA(MATCH(531,'Transfer Engine'!$C$2:$C$622,0)),"",INDEX('Compliance Database'!$K$2:$K$622,MATCH(531,'Transfer Engine'!$C$2:$C$622,0)))</f>
        <v/>
      </c>
      <c r="L540" s="8">
        <f>IF(ISNA(MATCH(531,'Transfer Engine'!$C$2:$C$622,0)),"",INDEX('Compliance Database'!$L$2:$L$622,MATCH(531,'Transfer Engine'!$C$2:$C$622,0)))</f>
        <v/>
      </c>
      <c r="M540" s="8">
        <f>IF(ISNA(MATCH(531,'Transfer Engine'!$C$2:$C$622,0)),"",INDEX('Compliance Database'!$M$2:$M$622,MATCH(531,'Transfer Engine'!$C$2:$C$622,0)))</f>
        <v/>
      </c>
      <c r="N540" s="8">
        <f>IF(ISNA(MATCH(531,'Transfer Engine'!$C$2:$C$622,0)),"",INDEX('Compliance Database'!$N$2:$N$622,MATCH(531,'Transfer Engine'!$C$2:$C$622,0)))</f>
        <v/>
      </c>
      <c r="O540" s="8">
        <f>IF(ISNA(MATCH(531,'Transfer Engine'!$C$2:$C$622,0)),"",INDEX('Compliance Database'!$O$2:$O$622,MATCH(531,'Transfer Engine'!$C$2:$C$622,0)))</f>
        <v/>
      </c>
    </row>
    <row r="541">
      <c r="A541">
        <f>IF(ISNA(MATCH(532,'Transfer Engine'!$C$2:$C$622,0)),"",INDEX('Compliance Database'!$A$2:$A$622,MATCH(532,'Transfer Engine'!$C$2:$C$622,0)))</f>
        <v/>
      </c>
      <c r="B541">
        <f>IF(ISNA(MATCH(532,'Transfer Engine'!$C$2:$C$622,0)),"",INDEX('Compliance Database'!$B$2:$B$622,MATCH(532,'Transfer Engine'!$C$2:$C$622,0)))</f>
        <v/>
      </c>
      <c r="C541">
        <f>IF(ISNA(MATCH(532,'Transfer Engine'!$C$2:$C$622,0)),"",INDEX('Compliance Database'!$C$2:$C$622,MATCH(532,'Transfer Engine'!$C$2:$C$622,0)))</f>
        <v/>
      </c>
      <c r="D541" s="8">
        <f>IF(ISNA(MATCH(532,'Transfer Engine'!$C$2:$C$622,0)),"",INDEX('Compliance Database'!$D$2:$D$622,MATCH(532,'Transfer Engine'!$C$2:$C$622,0)))</f>
        <v/>
      </c>
      <c r="E541">
        <f>IF(ISNA(MATCH(532,'Transfer Engine'!$C$2:$C$622,0)),"",INDEX('Compliance Database'!$E$2:$E$622,MATCH(532,'Transfer Engine'!$C$2:$C$622,0)))</f>
        <v/>
      </c>
      <c r="F541">
        <f>IF(ISNA(MATCH(532,'Transfer Engine'!$C$2:$C$622,0)),"",INDEX('Compliance Database'!$F$2:$F$622,MATCH(532,'Transfer Engine'!$C$2:$C$622,0)))</f>
        <v/>
      </c>
      <c r="G541">
        <f>IF(ISNA(MATCH(532,'Transfer Engine'!$C$2:$C$622,0)),"",INDEX('Compliance Database'!$G$2:$G$622,MATCH(532,'Transfer Engine'!$C$2:$C$622,0)))</f>
        <v/>
      </c>
      <c r="H541">
        <f>IF(ISNA(MATCH(532,'Transfer Engine'!$C$2:$C$622,0)),"",INDEX('Compliance Database'!$H$2:$H$622,MATCH(532,'Transfer Engine'!$C$2:$C$622,0)))</f>
        <v/>
      </c>
      <c r="I541" s="8">
        <f>IF(ISNA(MATCH(532,'Transfer Engine'!$C$2:$C$622,0)),"",INDEX('Compliance Database'!$I$2:$I$622,MATCH(532,'Transfer Engine'!$C$2:$C$622,0)))</f>
        <v/>
      </c>
      <c r="J541" s="8">
        <f>IF(ISNA(MATCH(532,'Transfer Engine'!$C$2:$C$622,0)),"",INDEX('Compliance Database'!$J$2:$J$622,MATCH(532,'Transfer Engine'!$C$2:$C$622,0)))</f>
        <v/>
      </c>
      <c r="K541">
        <f>IF(ISNA(MATCH(532,'Transfer Engine'!$C$2:$C$622,0)),"",INDEX('Compliance Database'!$K$2:$K$622,MATCH(532,'Transfer Engine'!$C$2:$C$622,0)))</f>
        <v/>
      </c>
      <c r="L541" s="8">
        <f>IF(ISNA(MATCH(532,'Transfer Engine'!$C$2:$C$622,0)),"",INDEX('Compliance Database'!$L$2:$L$622,MATCH(532,'Transfer Engine'!$C$2:$C$622,0)))</f>
        <v/>
      </c>
      <c r="M541" s="8">
        <f>IF(ISNA(MATCH(532,'Transfer Engine'!$C$2:$C$622,0)),"",INDEX('Compliance Database'!$M$2:$M$622,MATCH(532,'Transfer Engine'!$C$2:$C$622,0)))</f>
        <v/>
      </c>
      <c r="N541" s="8">
        <f>IF(ISNA(MATCH(532,'Transfer Engine'!$C$2:$C$622,0)),"",INDEX('Compliance Database'!$N$2:$N$622,MATCH(532,'Transfer Engine'!$C$2:$C$622,0)))</f>
        <v/>
      </c>
      <c r="O541" s="8">
        <f>IF(ISNA(MATCH(532,'Transfer Engine'!$C$2:$C$622,0)),"",INDEX('Compliance Database'!$O$2:$O$622,MATCH(532,'Transfer Engine'!$C$2:$C$622,0)))</f>
        <v/>
      </c>
    </row>
    <row r="542">
      <c r="A542">
        <f>IF(ISNA(MATCH(533,'Transfer Engine'!$C$2:$C$622,0)),"",INDEX('Compliance Database'!$A$2:$A$622,MATCH(533,'Transfer Engine'!$C$2:$C$622,0)))</f>
        <v/>
      </c>
      <c r="B542">
        <f>IF(ISNA(MATCH(533,'Transfer Engine'!$C$2:$C$622,0)),"",INDEX('Compliance Database'!$B$2:$B$622,MATCH(533,'Transfer Engine'!$C$2:$C$622,0)))</f>
        <v/>
      </c>
      <c r="C542">
        <f>IF(ISNA(MATCH(533,'Transfer Engine'!$C$2:$C$622,0)),"",INDEX('Compliance Database'!$C$2:$C$622,MATCH(533,'Transfer Engine'!$C$2:$C$622,0)))</f>
        <v/>
      </c>
      <c r="D542" s="8">
        <f>IF(ISNA(MATCH(533,'Transfer Engine'!$C$2:$C$622,0)),"",INDEX('Compliance Database'!$D$2:$D$622,MATCH(533,'Transfer Engine'!$C$2:$C$622,0)))</f>
        <v/>
      </c>
      <c r="E542">
        <f>IF(ISNA(MATCH(533,'Transfer Engine'!$C$2:$C$622,0)),"",INDEX('Compliance Database'!$E$2:$E$622,MATCH(533,'Transfer Engine'!$C$2:$C$622,0)))</f>
        <v/>
      </c>
      <c r="F542">
        <f>IF(ISNA(MATCH(533,'Transfer Engine'!$C$2:$C$622,0)),"",INDEX('Compliance Database'!$F$2:$F$622,MATCH(533,'Transfer Engine'!$C$2:$C$622,0)))</f>
        <v/>
      </c>
      <c r="G542">
        <f>IF(ISNA(MATCH(533,'Transfer Engine'!$C$2:$C$622,0)),"",INDEX('Compliance Database'!$G$2:$G$622,MATCH(533,'Transfer Engine'!$C$2:$C$622,0)))</f>
        <v/>
      </c>
      <c r="H542">
        <f>IF(ISNA(MATCH(533,'Transfer Engine'!$C$2:$C$622,0)),"",INDEX('Compliance Database'!$H$2:$H$622,MATCH(533,'Transfer Engine'!$C$2:$C$622,0)))</f>
        <v/>
      </c>
      <c r="I542" s="8">
        <f>IF(ISNA(MATCH(533,'Transfer Engine'!$C$2:$C$622,0)),"",INDEX('Compliance Database'!$I$2:$I$622,MATCH(533,'Transfer Engine'!$C$2:$C$622,0)))</f>
        <v/>
      </c>
      <c r="J542" s="8">
        <f>IF(ISNA(MATCH(533,'Transfer Engine'!$C$2:$C$622,0)),"",INDEX('Compliance Database'!$J$2:$J$622,MATCH(533,'Transfer Engine'!$C$2:$C$622,0)))</f>
        <v/>
      </c>
      <c r="K542">
        <f>IF(ISNA(MATCH(533,'Transfer Engine'!$C$2:$C$622,0)),"",INDEX('Compliance Database'!$K$2:$K$622,MATCH(533,'Transfer Engine'!$C$2:$C$622,0)))</f>
        <v/>
      </c>
      <c r="L542" s="8">
        <f>IF(ISNA(MATCH(533,'Transfer Engine'!$C$2:$C$622,0)),"",INDEX('Compliance Database'!$L$2:$L$622,MATCH(533,'Transfer Engine'!$C$2:$C$622,0)))</f>
        <v/>
      </c>
      <c r="M542" s="8">
        <f>IF(ISNA(MATCH(533,'Transfer Engine'!$C$2:$C$622,0)),"",INDEX('Compliance Database'!$M$2:$M$622,MATCH(533,'Transfer Engine'!$C$2:$C$622,0)))</f>
        <v/>
      </c>
      <c r="N542" s="8">
        <f>IF(ISNA(MATCH(533,'Transfer Engine'!$C$2:$C$622,0)),"",INDEX('Compliance Database'!$N$2:$N$622,MATCH(533,'Transfer Engine'!$C$2:$C$622,0)))</f>
        <v/>
      </c>
      <c r="O542" s="8">
        <f>IF(ISNA(MATCH(533,'Transfer Engine'!$C$2:$C$622,0)),"",INDEX('Compliance Database'!$O$2:$O$622,MATCH(533,'Transfer Engine'!$C$2:$C$622,0)))</f>
        <v/>
      </c>
    </row>
    <row r="543">
      <c r="A543">
        <f>IF(ISNA(MATCH(534,'Transfer Engine'!$C$2:$C$622,0)),"",INDEX('Compliance Database'!$A$2:$A$622,MATCH(534,'Transfer Engine'!$C$2:$C$622,0)))</f>
        <v/>
      </c>
      <c r="B543">
        <f>IF(ISNA(MATCH(534,'Transfer Engine'!$C$2:$C$622,0)),"",INDEX('Compliance Database'!$B$2:$B$622,MATCH(534,'Transfer Engine'!$C$2:$C$622,0)))</f>
        <v/>
      </c>
      <c r="C543">
        <f>IF(ISNA(MATCH(534,'Transfer Engine'!$C$2:$C$622,0)),"",INDEX('Compliance Database'!$C$2:$C$622,MATCH(534,'Transfer Engine'!$C$2:$C$622,0)))</f>
        <v/>
      </c>
      <c r="D543" s="8">
        <f>IF(ISNA(MATCH(534,'Transfer Engine'!$C$2:$C$622,0)),"",INDEX('Compliance Database'!$D$2:$D$622,MATCH(534,'Transfer Engine'!$C$2:$C$622,0)))</f>
        <v/>
      </c>
      <c r="E543">
        <f>IF(ISNA(MATCH(534,'Transfer Engine'!$C$2:$C$622,0)),"",INDEX('Compliance Database'!$E$2:$E$622,MATCH(534,'Transfer Engine'!$C$2:$C$622,0)))</f>
        <v/>
      </c>
      <c r="F543">
        <f>IF(ISNA(MATCH(534,'Transfer Engine'!$C$2:$C$622,0)),"",INDEX('Compliance Database'!$F$2:$F$622,MATCH(534,'Transfer Engine'!$C$2:$C$622,0)))</f>
        <v/>
      </c>
      <c r="G543">
        <f>IF(ISNA(MATCH(534,'Transfer Engine'!$C$2:$C$622,0)),"",INDEX('Compliance Database'!$G$2:$G$622,MATCH(534,'Transfer Engine'!$C$2:$C$622,0)))</f>
        <v/>
      </c>
      <c r="H543">
        <f>IF(ISNA(MATCH(534,'Transfer Engine'!$C$2:$C$622,0)),"",INDEX('Compliance Database'!$H$2:$H$622,MATCH(534,'Transfer Engine'!$C$2:$C$622,0)))</f>
        <v/>
      </c>
      <c r="I543" s="8">
        <f>IF(ISNA(MATCH(534,'Transfer Engine'!$C$2:$C$622,0)),"",INDEX('Compliance Database'!$I$2:$I$622,MATCH(534,'Transfer Engine'!$C$2:$C$622,0)))</f>
        <v/>
      </c>
      <c r="J543" s="8">
        <f>IF(ISNA(MATCH(534,'Transfer Engine'!$C$2:$C$622,0)),"",INDEX('Compliance Database'!$J$2:$J$622,MATCH(534,'Transfer Engine'!$C$2:$C$622,0)))</f>
        <v/>
      </c>
      <c r="K543">
        <f>IF(ISNA(MATCH(534,'Transfer Engine'!$C$2:$C$622,0)),"",INDEX('Compliance Database'!$K$2:$K$622,MATCH(534,'Transfer Engine'!$C$2:$C$622,0)))</f>
        <v/>
      </c>
      <c r="L543" s="8">
        <f>IF(ISNA(MATCH(534,'Transfer Engine'!$C$2:$C$622,0)),"",INDEX('Compliance Database'!$L$2:$L$622,MATCH(534,'Transfer Engine'!$C$2:$C$622,0)))</f>
        <v/>
      </c>
      <c r="M543" s="8">
        <f>IF(ISNA(MATCH(534,'Transfer Engine'!$C$2:$C$622,0)),"",INDEX('Compliance Database'!$M$2:$M$622,MATCH(534,'Transfer Engine'!$C$2:$C$622,0)))</f>
        <v/>
      </c>
      <c r="N543" s="8">
        <f>IF(ISNA(MATCH(534,'Transfer Engine'!$C$2:$C$622,0)),"",INDEX('Compliance Database'!$N$2:$N$622,MATCH(534,'Transfer Engine'!$C$2:$C$622,0)))</f>
        <v/>
      </c>
      <c r="O543" s="8">
        <f>IF(ISNA(MATCH(534,'Transfer Engine'!$C$2:$C$622,0)),"",INDEX('Compliance Database'!$O$2:$O$622,MATCH(534,'Transfer Engine'!$C$2:$C$622,0)))</f>
        <v/>
      </c>
    </row>
    <row r="544">
      <c r="A544">
        <f>IF(ISNA(MATCH(535,'Transfer Engine'!$C$2:$C$622,0)),"",INDEX('Compliance Database'!$A$2:$A$622,MATCH(535,'Transfer Engine'!$C$2:$C$622,0)))</f>
        <v/>
      </c>
      <c r="B544">
        <f>IF(ISNA(MATCH(535,'Transfer Engine'!$C$2:$C$622,0)),"",INDEX('Compliance Database'!$B$2:$B$622,MATCH(535,'Transfer Engine'!$C$2:$C$622,0)))</f>
        <v/>
      </c>
      <c r="C544">
        <f>IF(ISNA(MATCH(535,'Transfer Engine'!$C$2:$C$622,0)),"",INDEX('Compliance Database'!$C$2:$C$622,MATCH(535,'Transfer Engine'!$C$2:$C$622,0)))</f>
        <v/>
      </c>
      <c r="D544" s="8">
        <f>IF(ISNA(MATCH(535,'Transfer Engine'!$C$2:$C$622,0)),"",INDEX('Compliance Database'!$D$2:$D$622,MATCH(535,'Transfer Engine'!$C$2:$C$622,0)))</f>
        <v/>
      </c>
      <c r="E544">
        <f>IF(ISNA(MATCH(535,'Transfer Engine'!$C$2:$C$622,0)),"",INDEX('Compliance Database'!$E$2:$E$622,MATCH(535,'Transfer Engine'!$C$2:$C$622,0)))</f>
        <v/>
      </c>
      <c r="F544">
        <f>IF(ISNA(MATCH(535,'Transfer Engine'!$C$2:$C$622,0)),"",INDEX('Compliance Database'!$F$2:$F$622,MATCH(535,'Transfer Engine'!$C$2:$C$622,0)))</f>
        <v/>
      </c>
      <c r="G544">
        <f>IF(ISNA(MATCH(535,'Transfer Engine'!$C$2:$C$622,0)),"",INDEX('Compliance Database'!$G$2:$G$622,MATCH(535,'Transfer Engine'!$C$2:$C$622,0)))</f>
        <v/>
      </c>
      <c r="H544">
        <f>IF(ISNA(MATCH(535,'Transfer Engine'!$C$2:$C$622,0)),"",INDEX('Compliance Database'!$H$2:$H$622,MATCH(535,'Transfer Engine'!$C$2:$C$622,0)))</f>
        <v/>
      </c>
      <c r="I544" s="8">
        <f>IF(ISNA(MATCH(535,'Transfer Engine'!$C$2:$C$622,0)),"",INDEX('Compliance Database'!$I$2:$I$622,MATCH(535,'Transfer Engine'!$C$2:$C$622,0)))</f>
        <v/>
      </c>
      <c r="J544" s="8">
        <f>IF(ISNA(MATCH(535,'Transfer Engine'!$C$2:$C$622,0)),"",INDEX('Compliance Database'!$J$2:$J$622,MATCH(535,'Transfer Engine'!$C$2:$C$622,0)))</f>
        <v/>
      </c>
      <c r="K544">
        <f>IF(ISNA(MATCH(535,'Transfer Engine'!$C$2:$C$622,0)),"",INDEX('Compliance Database'!$K$2:$K$622,MATCH(535,'Transfer Engine'!$C$2:$C$622,0)))</f>
        <v/>
      </c>
      <c r="L544" s="8">
        <f>IF(ISNA(MATCH(535,'Transfer Engine'!$C$2:$C$622,0)),"",INDEX('Compliance Database'!$L$2:$L$622,MATCH(535,'Transfer Engine'!$C$2:$C$622,0)))</f>
        <v/>
      </c>
      <c r="M544" s="8">
        <f>IF(ISNA(MATCH(535,'Transfer Engine'!$C$2:$C$622,0)),"",INDEX('Compliance Database'!$M$2:$M$622,MATCH(535,'Transfer Engine'!$C$2:$C$622,0)))</f>
        <v/>
      </c>
      <c r="N544" s="8">
        <f>IF(ISNA(MATCH(535,'Transfer Engine'!$C$2:$C$622,0)),"",INDEX('Compliance Database'!$N$2:$N$622,MATCH(535,'Transfer Engine'!$C$2:$C$622,0)))</f>
        <v/>
      </c>
      <c r="O544" s="8">
        <f>IF(ISNA(MATCH(535,'Transfer Engine'!$C$2:$C$622,0)),"",INDEX('Compliance Database'!$O$2:$O$622,MATCH(535,'Transfer Engine'!$C$2:$C$622,0)))</f>
        <v/>
      </c>
    </row>
    <row r="545">
      <c r="A545">
        <f>IF(ISNA(MATCH(536,'Transfer Engine'!$C$2:$C$622,0)),"",INDEX('Compliance Database'!$A$2:$A$622,MATCH(536,'Transfer Engine'!$C$2:$C$622,0)))</f>
        <v/>
      </c>
      <c r="B545">
        <f>IF(ISNA(MATCH(536,'Transfer Engine'!$C$2:$C$622,0)),"",INDEX('Compliance Database'!$B$2:$B$622,MATCH(536,'Transfer Engine'!$C$2:$C$622,0)))</f>
        <v/>
      </c>
      <c r="C545">
        <f>IF(ISNA(MATCH(536,'Transfer Engine'!$C$2:$C$622,0)),"",INDEX('Compliance Database'!$C$2:$C$622,MATCH(536,'Transfer Engine'!$C$2:$C$622,0)))</f>
        <v/>
      </c>
      <c r="D545" s="8">
        <f>IF(ISNA(MATCH(536,'Transfer Engine'!$C$2:$C$622,0)),"",INDEX('Compliance Database'!$D$2:$D$622,MATCH(536,'Transfer Engine'!$C$2:$C$622,0)))</f>
        <v/>
      </c>
      <c r="E545">
        <f>IF(ISNA(MATCH(536,'Transfer Engine'!$C$2:$C$622,0)),"",INDEX('Compliance Database'!$E$2:$E$622,MATCH(536,'Transfer Engine'!$C$2:$C$622,0)))</f>
        <v/>
      </c>
      <c r="F545">
        <f>IF(ISNA(MATCH(536,'Transfer Engine'!$C$2:$C$622,0)),"",INDEX('Compliance Database'!$F$2:$F$622,MATCH(536,'Transfer Engine'!$C$2:$C$622,0)))</f>
        <v/>
      </c>
      <c r="G545">
        <f>IF(ISNA(MATCH(536,'Transfer Engine'!$C$2:$C$622,0)),"",INDEX('Compliance Database'!$G$2:$G$622,MATCH(536,'Transfer Engine'!$C$2:$C$622,0)))</f>
        <v/>
      </c>
      <c r="H545">
        <f>IF(ISNA(MATCH(536,'Transfer Engine'!$C$2:$C$622,0)),"",INDEX('Compliance Database'!$H$2:$H$622,MATCH(536,'Transfer Engine'!$C$2:$C$622,0)))</f>
        <v/>
      </c>
      <c r="I545" s="8">
        <f>IF(ISNA(MATCH(536,'Transfer Engine'!$C$2:$C$622,0)),"",INDEX('Compliance Database'!$I$2:$I$622,MATCH(536,'Transfer Engine'!$C$2:$C$622,0)))</f>
        <v/>
      </c>
      <c r="J545" s="8">
        <f>IF(ISNA(MATCH(536,'Transfer Engine'!$C$2:$C$622,0)),"",INDEX('Compliance Database'!$J$2:$J$622,MATCH(536,'Transfer Engine'!$C$2:$C$622,0)))</f>
        <v/>
      </c>
      <c r="K545">
        <f>IF(ISNA(MATCH(536,'Transfer Engine'!$C$2:$C$622,0)),"",INDEX('Compliance Database'!$K$2:$K$622,MATCH(536,'Transfer Engine'!$C$2:$C$622,0)))</f>
        <v/>
      </c>
      <c r="L545" s="8">
        <f>IF(ISNA(MATCH(536,'Transfer Engine'!$C$2:$C$622,0)),"",INDEX('Compliance Database'!$L$2:$L$622,MATCH(536,'Transfer Engine'!$C$2:$C$622,0)))</f>
        <v/>
      </c>
      <c r="M545" s="8">
        <f>IF(ISNA(MATCH(536,'Transfer Engine'!$C$2:$C$622,0)),"",INDEX('Compliance Database'!$M$2:$M$622,MATCH(536,'Transfer Engine'!$C$2:$C$622,0)))</f>
        <v/>
      </c>
      <c r="N545" s="8">
        <f>IF(ISNA(MATCH(536,'Transfer Engine'!$C$2:$C$622,0)),"",INDEX('Compliance Database'!$N$2:$N$622,MATCH(536,'Transfer Engine'!$C$2:$C$622,0)))</f>
        <v/>
      </c>
      <c r="O545" s="8">
        <f>IF(ISNA(MATCH(536,'Transfer Engine'!$C$2:$C$622,0)),"",INDEX('Compliance Database'!$O$2:$O$622,MATCH(536,'Transfer Engine'!$C$2:$C$622,0)))</f>
        <v/>
      </c>
    </row>
    <row r="546">
      <c r="A546">
        <f>IF(ISNA(MATCH(537,'Transfer Engine'!$C$2:$C$622,0)),"",INDEX('Compliance Database'!$A$2:$A$622,MATCH(537,'Transfer Engine'!$C$2:$C$622,0)))</f>
        <v/>
      </c>
      <c r="B546">
        <f>IF(ISNA(MATCH(537,'Transfer Engine'!$C$2:$C$622,0)),"",INDEX('Compliance Database'!$B$2:$B$622,MATCH(537,'Transfer Engine'!$C$2:$C$622,0)))</f>
        <v/>
      </c>
      <c r="C546">
        <f>IF(ISNA(MATCH(537,'Transfer Engine'!$C$2:$C$622,0)),"",INDEX('Compliance Database'!$C$2:$C$622,MATCH(537,'Transfer Engine'!$C$2:$C$622,0)))</f>
        <v/>
      </c>
      <c r="D546" s="8">
        <f>IF(ISNA(MATCH(537,'Transfer Engine'!$C$2:$C$622,0)),"",INDEX('Compliance Database'!$D$2:$D$622,MATCH(537,'Transfer Engine'!$C$2:$C$622,0)))</f>
        <v/>
      </c>
      <c r="E546">
        <f>IF(ISNA(MATCH(537,'Transfer Engine'!$C$2:$C$622,0)),"",INDEX('Compliance Database'!$E$2:$E$622,MATCH(537,'Transfer Engine'!$C$2:$C$622,0)))</f>
        <v/>
      </c>
      <c r="F546">
        <f>IF(ISNA(MATCH(537,'Transfer Engine'!$C$2:$C$622,0)),"",INDEX('Compliance Database'!$F$2:$F$622,MATCH(537,'Transfer Engine'!$C$2:$C$622,0)))</f>
        <v/>
      </c>
      <c r="G546">
        <f>IF(ISNA(MATCH(537,'Transfer Engine'!$C$2:$C$622,0)),"",INDEX('Compliance Database'!$G$2:$G$622,MATCH(537,'Transfer Engine'!$C$2:$C$622,0)))</f>
        <v/>
      </c>
      <c r="H546">
        <f>IF(ISNA(MATCH(537,'Transfer Engine'!$C$2:$C$622,0)),"",INDEX('Compliance Database'!$H$2:$H$622,MATCH(537,'Transfer Engine'!$C$2:$C$622,0)))</f>
        <v/>
      </c>
      <c r="I546" s="8">
        <f>IF(ISNA(MATCH(537,'Transfer Engine'!$C$2:$C$622,0)),"",INDEX('Compliance Database'!$I$2:$I$622,MATCH(537,'Transfer Engine'!$C$2:$C$622,0)))</f>
        <v/>
      </c>
      <c r="J546" s="8">
        <f>IF(ISNA(MATCH(537,'Transfer Engine'!$C$2:$C$622,0)),"",INDEX('Compliance Database'!$J$2:$J$622,MATCH(537,'Transfer Engine'!$C$2:$C$622,0)))</f>
        <v/>
      </c>
      <c r="K546">
        <f>IF(ISNA(MATCH(537,'Transfer Engine'!$C$2:$C$622,0)),"",INDEX('Compliance Database'!$K$2:$K$622,MATCH(537,'Transfer Engine'!$C$2:$C$622,0)))</f>
        <v/>
      </c>
      <c r="L546" s="8">
        <f>IF(ISNA(MATCH(537,'Transfer Engine'!$C$2:$C$622,0)),"",INDEX('Compliance Database'!$L$2:$L$622,MATCH(537,'Transfer Engine'!$C$2:$C$622,0)))</f>
        <v/>
      </c>
      <c r="M546" s="8">
        <f>IF(ISNA(MATCH(537,'Transfer Engine'!$C$2:$C$622,0)),"",INDEX('Compliance Database'!$M$2:$M$622,MATCH(537,'Transfer Engine'!$C$2:$C$622,0)))</f>
        <v/>
      </c>
      <c r="N546" s="8">
        <f>IF(ISNA(MATCH(537,'Transfer Engine'!$C$2:$C$622,0)),"",INDEX('Compliance Database'!$N$2:$N$622,MATCH(537,'Transfer Engine'!$C$2:$C$622,0)))</f>
        <v/>
      </c>
      <c r="O546" s="8">
        <f>IF(ISNA(MATCH(537,'Transfer Engine'!$C$2:$C$622,0)),"",INDEX('Compliance Database'!$O$2:$O$622,MATCH(537,'Transfer Engine'!$C$2:$C$622,0)))</f>
        <v/>
      </c>
    </row>
    <row r="547">
      <c r="A547">
        <f>IF(ISNA(MATCH(538,'Transfer Engine'!$C$2:$C$622,0)),"",INDEX('Compliance Database'!$A$2:$A$622,MATCH(538,'Transfer Engine'!$C$2:$C$622,0)))</f>
        <v/>
      </c>
      <c r="B547">
        <f>IF(ISNA(MATCH(538,'Transfer Engine'!$C$2:$C$622,0)),"",INDEX('Compliance Database'!$B$2:$B$622,MATCH(538,'Transfer Engine'!$C$2:$C$622,0)))</f>
        <v/>
      </c>
      <c r="C547">
        <f>IF(ISNA(MATCH(538,'Transfer Engine'!$C$2:$C$622,0)),"",INDEX('Compliance Database'!$C$2:$C$622,MATCH(538,'Transfer Engine'!$C$2:$C$622,0)))</f>
        <v/>
      </c>
      <c r="D547" s="8">
        <f>IF(ISNA(MATCH(538,'Transfer Engine'!$C$2:$C$622,0)),"",INDEX('Compliance Database'!$D$2:$D$622,MATCH(538,'Transfer Engine'!$C$2:$C$622,0)))</f>
        <v/>
      </c>
      <c r="E547">
        <f>IF(ISNA(MATCH(538,'Transfer Engine'!$C$2:$C$622,0)),"",INDEX('Compliance Database'!$E$2:$E$622,MATCH(538,'Transfer Engine'!$C$2:$C$622,0)))</f>
        <v/>
      </c>
      <c r="F547">
        <f>IF(ISNA(MATCH(538,'Transfer Engine'!$C$2:$C$622,0)),"",INDEX('Compliance Database'!$F$2:$F$622,MATCH(538,'Transfer Engine'!$C$2:$C$622,0)))</f>
        <v/>
      </c>
      <c r="G547">
        <f>IF(ISNA(MATCH(538,'Transfer Engine'!$C$2:$C$622,0)),"",INDEX('Compliance Database'!$G$2:$G$622,MATCH(538,'Transfer Engine'!$C$2:$C$622,0)))</f>
        <v/>
      </c>
      <c r="H547">
        <f>IF(ISNA(MATCH(538,'Transfer Engine'!$C$2:$C$622,0)),"",INDEX('Compliance Database'!$H$2:$H$622,MATCH(538,'Transfer Engine'!$C$2:$C$622,0)))</f>
        <v/>
      </c>
      <c r="I547" s="8">
        <f>IF(ISNA(MATCH(538,'Transfer Engine'!$C$2:$C$622,0)),"",INDEX('Compliance Database'!$I$2:$I$622,MATCH(538,'Transfer Engine'!$C$2:$C$622,0)))</f>
        <v/>
      </c>
      <c r="J547" s="8">
        <f>IF(ISNA(MATCH(538,'Transfer Engine'!$C$2:$C$622,0)),"",INDEX('Compliance Database'!$J$2:$J$622,MATCH(538,'Transfer Engine'!$C$2:$C$622,0)))</f>
        <v/>
      </c>
      <c r="K547">
        <f>IF(ISNA(MATCH(538,'Transfer Engine'!$C$2:$C$622,0)),"",INDEX('Compliance Database'!$K$2:$K$622,MATCH(538,'Transfer Engine'!$C$2:$C$622,0)))</f>
        <v/>
      </c>
      <c r="L547" s="8">
        <f>IF(ISNA(MATCH(538,'Transfer Engine'!$C$2:$C$622,0)),"",INDEX('Compliance Database'!$L$2:$L$622,MATCH(538,'Transfer Engine'!$C$2:$C$622,0)))</f>
        <v/>
      </c>
      <c r="M547" s="8">
        <f>IF(ISNA(MATCH(538,'Transfer Engine'!$C$2:$C$622,0)),"",INDEX('Compliance Database'!$M$2:$M$622,MATCH(538,'Transfer Engine'!$C$2:$C$622,0)))</f>
        <v/>
      </c>
      <c r="N547" s="8">
        <f>IF(ISNA(MATCH(538,'Transfer Engine'!$C$2:$C$622,0)),"",INDEX('Compliance Database'!$N$2:$N$622,MATCH(538,'Transfer Engine'!$C$2:$C$622,0)))</f>
        <v/>
      </c>
      <c r="O547" s="8">
        <f>IF(ISNA(MATCH(538,'Transfer Engine'!$C$2:$C$622,0)),"",INDEX('Compliance Database'!$O$2:$O$622,MATCH(538,'Transfer Engine'!$C$2:$C$622,0)))</f>
        <v/>
      </c>
    </row>
    <row r="548">
      <c r="A548">
        <f>IF(ISNA(MATCH(539,'Transfer Engine'!$C$2:$C$622,0)),"",INDEX('Compliance Database'!$A$2:$A$622,MATCH(539,'Transfer Engine'!$C$2:$C$622,0)))</f>
        <v/>
      </c>
      <c r="B548">
        <f>IF(ISNA(MATCH(539,'Transfer Engine'!$C$2:$C$622,0)),"",INDEX('Compliance Database'!$B$2:$B$622,MATCH(539,'Transfer Engine'!$C$2:$C$622,0)))</f>
        <v/>
      </c>
      <c r="C548">
        <f>IF(ISNA(MATCH(539,'Transfer Engine'!$C$2:$C$622,0)),"",INDEX('Compliance Database'!$C$2:$C$622,MATCH(539,'Transfer Engine'!$C$2:$C$622,0)))</f>
        <v/>
      </c>
      <c r="D548" s="8">
        <f>IF(ISNA(MATCH(539,'Transfer Engine'!$C$2:$C$622,0)),"",INDEX('Compliance Database'!$D$2:$D$622,MATCH(539,'Transfer Engine'!$C$2:$C$622,0)))</f>
        <v/>
      </c>
      <c r="E548">
        <f>IF(ISNA(MATCH(539,'Transfer Engine'!$C$2:$C$622,0)),"",INDEX('Compliance Database'!$E$2:$E$622,MATCH(539,'Transfer Engine'!$C$2:$C$622,0)))</f>
        <v/>
      </c>
      <c r="F548">
        <f>IF(ISNA(MATCH(539,'Transfer Engine'!$C$2:$C$622,0)),"",INDEX('Compliance Database'!$F$2:$F$622,MATCH(539,'Transfer Engine'!$C$2:$C$622,0)))</f>
        <v/>
      </c>
      <c r="G548">
        <f>IF(ISNA(MATCH(539,'Transfer Engine'!$C$2:$C$622,0)),"",INDEX('Compliance Database'!$G$2:$G$622,MATCH(539,'Transfer Engine'!$C$2:$C$622,0)))</f>
        <v/>
      </c>
      <c r="H548">
        <f>IF(ISNA(MATCH(539,'Transfer Engine'!$C$2:$C$622,0)),"",INDEX('Compliance Database'!$H$2:$H$622,MATCH(539,'Transfer Engine'!$C$2:$C$622,0)))</f>
        <v/>
      </c>
      <c r="I548" s="8">
        <f>IF(ISNA(MATCH(539,'Transfer Engine'!$C$2:$C$622,0)),"",INDEX('Compliance Database'!$I$2:$I$622,MATCH(539,'Transfer Engine'!$C$2:$C$622,0)))</f>
        <v/>
      </c>
      <c r="J548" s="8">
        <f>IF(ISNA(MATCH(539,'Transfer Engine'!$C$2:$C$622,0)),"",INDEX('Compliance Database'!$J$2:$J$622,MATCH(539,'Transfer Engine'!$C$2:$C$622,0)))</f>
        <v/>
      </c>
      <c r="K548">
        <f>IF(ISNA(MATCH(539,'Transfer Engine'!$C$2:$C$622,0)),"",INDEX('Compliance Database'!$K$2:$K$622,MATCH(539,'Transfer Engine'!$C$2:$C$622,0)))</f>
        <v/>
      </c>
      <c r="L548" s="8">
        <f>IF(ISNA(MATCH(539,'Transfer Engine'!$C$2:$C$622,0)),"",INDEX('Compliance Database'!$L$2:$L$622,MATCH(539,'Transfer Engine'!$C$2:$C$622,0)))</f>
        <v/>
      </c>
      <c r="M548" s="8">
        <f>IF(ISNA(MATCH(539,'Transfer Engine'!$C$2:$C$622,0)),"",INDEX('Compliance Database'!$M$2:$M$622,MATCH(539,'Transfer Engine'!$C$2:$C$622,0)))</f>
        <v/>
      </c>
      <c r="N548" s="8">
        <f>IF(ISNA(MATCH(539,'Transfer Engine'!$C$2:$C$622,0)),"",INDEX('Compliance Database'!$N$2:$N$622,MATCH(539,'Transfer Engine'!$C$2:$C$622,0)))</f>
        <v/>
      </c>
      <c r="O548" s="8">
        <f>IF(ISNA(MATCH(539,'Transfer Engine'!$C$2:$C$622,0)),"",INDEX('Compliance Database'!$O$2:$O$622,MATCH(539,'Transfer Engine'!$C$2:$C$622,0)))</f>
        <v/>
      </c>
    </row>
    <row r="549">
      <c r="A549">
        <f>IF(ISNA(MATCH(540,'Transfer Engine'!$C$2:$C$622,0)),"",INDEX('Compliance Database'!$A$2:$A$622,MATCH(540,'Transfer Engine'!$C$2:$C$622,0)))</f>
        <v/>
      </c>
      <c r="B549">
        <f>IF(ISNA(MATCH(540,'Transfer Engine'!$C$2:$C$622,0)),"",INDEX('Compliance Database'!$B$2:$B$622,MATCH(540,'Transfer Engine'!$C$2:$C$622,0)))</f>
        <v/>
      </c>
      <c r="C549">
        <f>IF(ISNA(MATCH(540,'Transfer Engine'!$C$2:$C$622,0)),"",INDEX('Compliance Database'!$C$2:$C$622,MATCH(540,'Transfer Engine'!$C$2:$C$622,0)))</f>
        <v/>
      </c>
      <c r="D549" s="8">
        <f>IF(ISNA(MATCH(540,'Transfer Engine'!$C$2:$C$622,0)),"",INDEX('Compliance Database'!$D$2:$D$622,MATCH(540,'Transfer Engine'!$C$2:$C$622,0)))</f>
        <v/>
      </c>
      <c r="E549">
        <f>IF(ISNA(MATCH(540,'Transfer Engine'!$C$2:$C$622,0)),"",INDEX('Compliance Database'!$E$2:$E$622,MATCH(540,'Transfer Engine'!$C$2:$C$622,0)))</f>
        <v/>
      </c>
      <c r="F549">
        <f>IF(ISNA(MATCH(540,'Transfer Engine'!$C$2:$C$622,0)),"",INDEX('Compliance Database'!$F$2:$F$622,MATCH(540,'Transfer Engine'!$C$2:$C$622,0)))</f>
        <v/>
      </c>
      <c r="G549">
        <f>IF(ISNA(MATCH(540,'Transfer Engine'!$C$2:$C$622,0)),"",INDEX('Compliance Database'!$G$2:$G$622,MATCH(540,'Transfer Engine'!$C$2:$C$622,0)))</f>
        <v/>
      </c>
      <c r="H549">
        <f>IF(ISNA(MATCH(540,'Transfer Engine'!$C$2:$C$622,0)),"",INDEX('Compliance Database'!$H$2:$H$622,MATCH(540,'Transfer Engine'!$C$2:$C$622,0)))</f>
        <v/>
      </c>
      <c r="I549" s="8">
        <f>IF(ISNA(MATCH(540,'Transfer Engine'!$C$2:$C$622,0)),"",INDEX('Compliance Database'!$I$2:$I$622,MATCH(540,'Transfer Engine'!$C$2:$C$622,0)))</f>
        <v/>
      </c>
      <c r="J549" s="8">
        <f>IF(ISNA(MATCH(540,'Transfer Engine'!$C$2:$C$622,0)),"",INDEX('Compliance Database'!$J$2:$J$622,MATCH(540,'Transfer Engine'!$C$2:$C$622,0)))</f>
        <v/>
      </c>
      <c r="K549">
        <f>IF(ISNA(MATCH(540,'Transfer Engine'!$C$2:$C$622,0)),"",INDEX('Compliance Database'!$K$2:$K$622,MATCH(540,'Transfer Engine'!$C$2:$C$622,0)))</f>
        <v/>
      </c>
      <c r="L549" s="8">
        <f>IF(ISNA(MATCH(540,'Transfer Engine'!$C$2:$C$622,0)),"",INDEX('Compliance Database'!$L$2:$L$622,MATCH(540,'Transfer Engine'!$C$2:$C$622,0)))</f>
        <v/>
      </c>
      <c r="M549" s="8">
        <f>IF(ISNA(MATCH(540,'Transfer Engine'!$C$2:$C$622,0)),"",INDEX('Compliance Database'!$M$2:$M$622,MATCH(540,'Transfer Engine'!$C$2:$C$622,0)))</f>
        <v/>
      </c>
      <c r="N549" s="8">
        <f>IF(ISNA(MATCH(540,'Transfer Engine'!$C$2:$C$622,0)),"",INDEX('Compliance Database'!$N$2:$N$622,MATCH(540,'Transfer Engine'!$C$2:$C$622,0)))</f>
        <v/>
      </c>
      <c r="O549" s="8">
        <f>IF(ISNA(MATCH(540,'Transfer Engine'!$C$2:$C$622,0)),"",INDEX('Compliance Database'!$O$2:$O$622,MATCH(540,'Transfer Engine'!$C$2:$C$622,0)))</f>
        <v/>
      </c>
    </row>
    <row r="550">
      <c r="A550">
        <f>IF(ISNA(MATCH(541,'Transfer Engine'!$C$2:$C$622,0)),"",INDEX('Compliance Database'!$A$2:$A$622,MATCH(541,'Transfer Engine'!$C$2:$C$622,0)))</f>
        <v/>
      </c>
      <c r="B550">
        <f>IF(ISNA(MATCH(541,'Transfer Engine'!$C$2:$C$622,0)),"",INDEX('Compliance Database'!$B$2:$B$622,MATCH(541,'Transfer Engine'!$C$2:$C$622,0)))</f>
        <v/>
      </c>
      <c r="C550">
        <f>IF(ISNA(MATCH(541,'Transfer Engine'!$C$2:$C$622,0)),"",INDEX('Compliance Database'!$C$2:$C$622,MATCH(541,'Transfer Engine'!$C$2:$C$622,0)))</f>
        <v/>
      </c>
      <c r="D550" s="8">
        <f>IF(ISNA(MATCH(541,'Transfer Engine'!$C$2:$C$622,0)),"",INDEX('Compliance Database'!$D$2:$D$622,MATCH(541,'Transfer Engine'!$C$2:$C$622,0)))</f>
        <v/>
      </c>
      <c r="E550">
        <f>IF(ISNA(MATCH(541,'Transfer Engine'!$C$2:$C$622,0)),"",INDEX('Compliance Database'!$E$2:$E$622,MATCH(541,'Transfer Engine'!$C$2:$C$622,0)))</f>
        <v/>
      </c>
      <c r="F550">
        <f>IF(ISNA(MATCH(541,'Transfer Engine'!$C$2:$C$622,0)),"",INDEX('Compliance Database'!$F$2:$F$622,MATCH(541,'Transfer Engine'!$C$2:$C$622,0)))</f>
        <v/>
      </c>
      <c r="G550">
        <f>IF(ISNA(MATCH(541,'Transfer Engine'!$C$2:$C$622,0)),"",INDEX('Compliance Database'!$G$2:$G$622,MATCH(541,'Transfer Engine'!$C$2:$C$622,0)))</f>
        <v/>
      </c>
      <c r="H550">
        <f>IF(ISNA(MATCH(541,'Transfer Engine'!$C$2:$C$622,0)),"",INDEX('Compliance Database'!$H$2:$H$622,MATCH(541,'Transfer Engine'!$C$2:$C$622,0)))</f>
        <v/>
      </c>
      <c r="I550" s="8">
        <f>IF(ISNA(MATCH(541,'Transfer Engine'!$C$2:$C$622,0)),"",INDEX('Compliance Database'!$I$2:$I$622,MATCH(541,'Transfer Engine'!$C$2:$C$622,0)))</f>
        <v/>
      </c>
      <c r="J550" s="8">
        <f>IF(ISNA(MATCH(541,'Transfer Engine'!$C$2:$C$622,0)),"",INDEX('Compliance Database'!$J$2:$J$622,MATCH(541,'Transfer Engine'!$C$2:$C$622,0)))</f>
        <v/>
      </c>
      <c r="K550">
        <f>IF(ISNA(MATCH(541,'Transfer Engine'!$C$2:$C$622,0)),"",INDEX('Compliance Database'!$K$2:$K$622,MATCH(541,'Transfer Engine'!$C$2:$C$622,0)))</f>
        <v/>
      </c>
      <c r="L550" s="8">
        <f>IF(ISNA(MATCH(541,'Transfer Engine'!$C$2:$C$622,0)),"",INDEX('Compliance Database'!$L$2:$L$622,MATCH(541,'Transfer Engine'!$C$2:$C$622,0)))</f>
        <v/>
      </c>
      <c r="M550" s="8">
        <f>IF(ISNA(MATCH(541,'Transfer Engine'!$C$2:$C$622,0)),"",INDEX('Compliance Database'!$M$2:$M$622,MATCH(541,'Transfer Engine'!$C$2:$C$622,0)))</f>
        <v/>
      </c>
      <c r="N550" s="8">
        <f>IF(ISNA(MATCH(541,'Transfer Engine'!$C$2:$C$622,0)),"",INDEX('Compliance Database'!$N$2:$N$622,MATCH(541,'Transfer Engine'!$C$2:$C$622,0)))</f>
        <v/>
      </c>
      <c r="O550" s="8">
        <f>IF(ISNA(MATCH(541,'Transfer Engine'!$C$2:$C$622,0)),"",INDEX('Compliance Database'!$O$2:$O$622,MATCH(541,'Transfer Engine'!$C$2:$C$622,0)))</f>
        <v/>
      </c>
    </row>
    <row r="551">
      <c r="A551">
        <f>IF(ISNA(MATCH(542,'Transfer Engine'!$C$2:$C$622,0)),"",INDEX('Compliance Database'!$A$2:$A$622,MATCH(542,'Transfer Engine'!$C$2:$C$622,0)))</f>
        <v/>
      </c>
      <c r="B551">
        <f>IF(ISNA(MATCH(542,'Transfer Engine'!$C$2:$C$622,0)),"",INDEX('Compliance Database'!$B$2:$B$622,MATCH(542,'Transfer Engine'!$C$2:$C$622,0)))</f>
        <v/>
      </c>
      <c r="C551">
        <f>IF(ISNA(MATCH(542,'Transfer Engine'!$C$2:$C$622,0)),"",INDEX('Compliance Database'!$C$2:$C$622,MATCH(542,'Transfer Engine'!$C$2:$C$622,0)))</f>
        <v/>
      </c>
      <c r="D551" s="8">
        <f>IF(ISNA(MATCH(542,'Transfer Engine'!$C$2:$C$622,0)),"",INDEX('Compliance Database'!$D$2:$D$622,MATCH(542,'Transfer Engine'!$C$2:$C$622,0)))</f>
        <v/>
      </c>
      <c r="E551">
        <f>IF(ISNA(MATCH(542,'Transfer Engine'!$C$2:$C$622,0)),"",INDEX('Compliance Database'!$E$2:$E$622,MATCH(542,'Transfer Engine'!$C$2:$C$622,0)))</f>
        <v/>
      </c>
      <c r="F551">
        <f>IF(ISNA(MATCH(542,'Transfer Engine'!$C$2:$C$622,0)),"",INDEX('Compliance Database'!$F$2:$F$622,MATCH(542,'Transfer Engine'!$C$2:$C$622,0)))</f>
        <v/>
      </c>
      <c r="G551">
        <f>IF(ISNA(MATCH(542,'Transfer Engine'!$C$2:$C$622,0)),"",INDEX('Compliance Database'!$G$2:$G$622,MATCH(542,'Transfer Engine'!$C$2:$C$622,0)))</f>
        <v/>
      </c>
      <c r="H551">
        <f>IF(ISNA(MATCH(542,'Transfer Engine'!$C$2:$C$622,0)),"",INDEX('Compliance Database'!$H$2:$H$622,MATCH(542,'Transfer Engine'!$C$2:$C$622,0)))</f>
        <v/>
      </c>
      <c r="I551" s="8">
        <f>IF(ISNA(MATCH(542,'Transfer Engine'!$C$2:$C$622,0)),"",INDEX('Compliance Database'!$I$2:$I$622,MATCH(542,'Transfer Engine'!$C$2:$C$622,0)))</f>
        <v/>
      </c>
      <c r="J551" s="8">
        <f>IF(ISNA(MATCH(542,'Transfer Engine'!$C$2:$C$622,0)),"",INDEX('Compliance Database'!$J$2:$J$622,MATCH(542,'Transfer Engine'!$C$2:$C$622,0)))</f>
        <v/>
      </c>
      <c r="K551">
        <f>IF(ISNA(MATCH(542,'Transfer Engine'!$C$2:$C$622,0)),"",INDEX('Compliance Database'!$K$2:$K$622,MATCH(542,'Transfer Engine'!$C$2:$C$622,0)))</f>
        <v/>
      </c>
      <c r="L551" s="8">
        <f>IF(ISNA(MATCH(542,'Transfer Engine'!$C$2:$C$622,0)),"",INDEX('Compliance Database'!$L$2:$L$622,MATCH(542,'Transfer Engine'!$C$2:$C$622,0)))</f>
        <v/>
      </c>
      <c r="M551" s="8">
        <f>IF(ISNA(MATCH(542,'Transfer Engine'!$C$2:$C$622,0)),"",INDEX('Compliance Database'!$M$2:$M$622,MATCH(542,'Transfer Engine'!$C$2:$C$622,0)))</f>
        <v/>
      </c>
      <c r="N551" s="8">
        <f>IF(ISNA(MATCH(542,'Transfer Engine'!$C$2:$C$622,0)),"",INDEX('Compliance Database'!$N$2:$N$622,MATCH(542,'Transfer Engine'!$C$2:$C$622,0)))</f>
        <v/>
      </c>
      <c r="O551" s="8">
        <f>IF(ISNA(MATCH(542,'Transfer Engine'!$C$2:$C$622,0)),"",INDEX('Compliance Database'!$O$2:$O$622,MATCH(542,'Transfer Engine'!$C$2:$C$622,0)))</f>
        <v/>
      </c>
    </row>
    <row r="552">
      <c r="A552">
        <f>IF(ISNA(MATCH(543,'Transfer Engine'!$C$2:$C$622,0)),"",INDEX('Compliance Database'!$A$2:$A$622,MATCH(543,'Transfer Engine'!$C$2:$C$622,0)))</f>
        <v/>
      </c>
      <c r="B552">
        <f>IF(ISNA(MATCH(543,'Transfer Engine'!$C$2:$C$622,0)),"",INDEX('Compliance Database'!$B$2:$B$622,MATCH(543,'Transfer Engine'!$C$2:$C$622,0)))</f>
        <v/>
      </c>
      <c r="C552">
        <f>IF(ISNA(MATCH(543,'Transfer Engine'!$C$2:$C$622,0)),"",INDEX('Compliance Database'!$C$2:$C$622,MATCH(543,'Transfer Engine'!$C$2:$C$622,0)))</f>
        <v/>
      </c>
      <c r="D552" s="8">
        <f>IF(ISNA(MATCH(543,'Transfer Engine'!$C$2:$C$622,0)),"",INDEX('Compliance Database'!$D$2:$D$622,MATCH(543,'Transfer Engine'!$C$2:$C$622,0)))</f>
        <v/>
      </c>
      <c r="E552">
        <f>IF(ISNA(MATCH(543,'Transfer Engine'!$C$2:$C$622,0)),"",INDEX('Compliance Database'!$E$2:$E$622,MATCH(543,'Transfer Engine'!$C$2:$C$622,0)))</f>
        <v/>
      </c>
      <c r="F552">
        <f>IF(ISNA(MATCH(543,'Transfer Engine'!$C$2:$C$622,0)),"",INDEX('Compliance Database'!$F$2:$F$622,MATCH(543,'Transfer Engine'!$C$2:$C$622,0)))</f>
        <v/>
      </c>
      <c r="G552">
        <f>IF(ISNA(MATCH(543,'Transfer Engine'!$C$2:$C$622,0)),"",INDEX('Compliance Database'!$G$2:$G$622,MATCH(543,'Transfer Engine'!$C$2:$C$622,0)))</f>
        <v/>
      </c>
      <c r="H552">
        <f>IF(ISNA(MATCH(543,'Transfer Engine'!$C$2:$C$622,0)),"",INDEX('Compliance Database'!$H$2:$H$622,MATCH(543,'Transfer Engine'!$C$2:$C$622,0)))</f>
        <v/>
      </c>
      <c r="I552" s="8">
        <f>IF(ISNA(MATCH(543,'Transfer Engine'!$C$2:$C$622,0)),"",INDEX('Compliance Database'!$I$2:$I$622,MATCH(543,'Transfer Engine'!$C$2:$C$622,0)))</f>
        <v/>
      </c>
      <c r="J552" s="8">
        <f>IF(ISNA(MATCH(543,'Transfer Engine'!$C$2:$C$622,0)),"",INDEX('Compliance Database'!$J$2:$J$622,MATCH(543,'Transfer Engine'!$C$2:$C$622,0)))</f>
        <v/>
      </c>
      <c r="K552">
        <f>IF(ISNA(MATCH(543,'Transfer Engine'!$C$2:$C$622,0)),"",INDEX('Compliance Database'!$K$2:$K$622,MATCH(543,'Transfer Engine'!$C$2:$C$622,0)))</f>
        <v/>
      </c>
      <c r="L552" s="8">
        <f>IF(ISNA(MATCH(543,'Transfer Engine'!$C$2:$C$622,0)),"",INDEX('Compliance Database'!$L$2:$L$622,MATCH(543,'Transfer Engine'!$C$2:$C$622,0)))</f>
        <v/>
      </c>
      <c r="M552" s="8">
        <f>IF(ISNA(MATCH(543,'Transfer Engine'!$C$2:$C$622,0)),"",INDEX('Compliance Database'!$M$2:$M$622,MATCH(543,'Transfer Engine'!$C$2:$C$622,0)))</f>
        <v/>
      </c>
      <c r="N552" s="8">
        <f>IF(ISNA(MATCH(543,'Transfer Engine'!$C$2:$C$622,0)),"",INDEX('Compliance Database'!$N$2:$N$622,MATCH(543,'Transfer Engine'!$C$2:$C$622,0)))</f>
        <v/>
      </c>
      <c r="O552" s="8">
        <f>IF(ISNA(MATCH(543,'Transfer Engine'!$C$2:$C$622,0)),"",INDEX('Compliance Database'!$O$2:$O$622,MATCH(543,'Transfer Engine'!$C$2:$C$622,0)))</f>
        <v/>
      </c>
    </row>
    <row r="553">
      <c r="A553">
        <f>IF(ISNA(MATCH(544,'Transfer Engine'!$C$2:$C$622,0)),"",INDEX('Compliance Database'!$A$2:$A$622,MATCH(544,'Transfer Engine'!$C$2:$C$622,0)))</f>
        <v/>
      </c>
      <c r="B553">
        <f>IF(ISNA(MATCH(544,'Transfer Engine'!$C$2:$C$622,0)),"",INDEX('Compliance Database'!$B$2:$B$622,MATCH(544,'Transfer Engine'!$C$2:$C$622,0)))</f>
        <v/>
      </c>
      <c r="C553">
        <f>IF(ISNA(MATCH(544,'Transfer Engine'!$C$2:$C$622,0)),"",INDEX('Compliance Database'!$C$2:$C$622,MATCH(544,'Transfer Engine'!$C$2:$C$622,0)))</f>
        <v/>
      </c>
      <c r="D553" s="8">
        <f>IF(ISNA(MATCH(544,'Transfer Engine'!$C$2:$C$622,0)),"",INDEX('Compliance Database'!$D$2:$D$622,MATCH(544,'Transfer Engine'!$C$2:$C$622,0)))</f>
        <v/>
      </c>
      <c r="E553">
        <f>IF(ISNA(MATCH(544,'Transfer Engine'!$C$2:$C$622,0)),"",INDEX('Compliance Database'!$E$2:$E$622,MATCH(544,'Transfer Engine'!$C$2:$C$622,0)))</f>
        <v/>
      </c>
      <c r="F553">
        <f>IF(ISNA(MATCH(544,'Transfer Engine'!$C$2:$C$622,0)),"",INDEX('Compliance Database'!$F$2:$F$622,MATCH(544,'Transfer Engine'!$C$2:$C$622,0)))</f>
        <v/>
      </c>
      <c r="G553">
        <f>IF(ISNA(MATCH(544,'Transfer Engine'!$C$2:$C$622,0)),"",INDEX('Compliance Database'!$G$2:$G$622,MATCH(544,'Transfer Engine'!$C$2:$C$622,0)))</f>
        <v/>
      </c>
      <c r="H553">
        <f>IF(ISNA(MATCH(544,'Transfer Engine'!$C$2:$C$622,0)),"",INDEX('Compliance Database'!$H$2:$H$622,MATCH(544,'Transfer Engine'!$C$2:$C$622,0)))</f>
        <v/>
      </c>
      <c r="I553" s="8">
        <f>IF(ISNA(MATCH(544,'Transfer Engine'!$C$2:$C$622,0)),"",INDEX('Compliance Database'!$I$2:$I$622,MATCH(544,'Transfer Engine'!$C$2:$C$622,0)))</f>
        <v/>
      </c>
      <c r="J553" s="8">
        <f>IF(ISNA(MATCH(544,'Transfer Engine'!$C$2:$C$622,0)),"",INDEX('Compliance Database'!$J$2:$J$622,MATCH(544,'Transfer Engine'!$C$2:$C$622,0)))</f>
        <v/>
      </c>
      <c r="K553">
        <f>IF(ISNA(MATCH(544,'Transfer Engine'!$C$2:$C$622,0)),"",INDEX('Compliance Database'!$K$2:$K$622,MATCH(544,'Transfer Engine'!$C$2:$C$622,0)))</f>
        <v/>
      </c>
      <c r="L553" s="8">
        <f>IF(ISNA(MATCH(544,'Transfer Engine'!$C$2:$C$622,0)),"",INDEX('Compliance Database'!$L$2:$L$622,MATCH(544,'Transfer Engine'!$C$2:$C$622,0)))</f>
        <v/>
      </c>
      <c r="M553" s="8">
        <f>IF(ISNA(MATCH(544,'Transfer Engine'!$C$2:$C$622,0)),"",INDEX('Compliance Database'!$M$2:$M$622,MATCH(544,'Transfer Engine'!$C$2:$C$622,0)))</f>
        <v/>
      </c>
      <c r="N553" s="8">
        <f>IF(ISNA(MATCH(544,'Transfer Engine'!$C$2:$C$622,0)),"",INDEX('Compliance Database'!$N$2:$N$622,MATCH(544,'Transfer Engine'!$C$2:$C$622,0)))</f>
        <v/>
      </c>
      <c r="O553" s="8">
        <f>IF(ISNA(MATCH(544,'Transfer Engine'!$C$2:$C$622,0)),"",INDEX('Compliance Database'!$O$2:$O$622,MATCH(544,'Transfer Engine'!$C$2:$C$622,0)))</f>
        <v/>
      </c>
    </row>
    <row r="554">
      <c r="A554">
        <f>IF(ISNA(MATCH(545,'Transfer Engine'!$C$2:$C$622,0)),"",INDEX('Compliance Database'!$A$2:$A$622,MATCH(545,'Transfer Engine'!$C$2:$C$622,0)))</f>
        <v/>
      </c>
      <c r="B554">
        <f>IF(ISNA(MATCH(545,'Transfer Engine'!$C$2:$C$622,0)),"",INDEX('Compliance Database'!$B$2:$B$622,MATCH(545,'Transfer Engine'!$C$2:$C$622,0)))</f>
        <v/>
      </c>
      <c r="C554">
        <f>IF(ISNA(MATCH(545,'Transfer Engine'!$C$2:$C$622,0)),"",INDEX('Compliance Database'!$C$2:$C$622,MATCH(545,'Transfer Engine'!$C$2:$C$622,0)))</f>
        <v/>
      </c>
      <c r="D554" s="8">
        <f>IF(ISNA(MATCH(545,'Transfer Engine'!$C$2:$C$622,0)),"",INDEX('Compliance Database'!$D$2:$D$622,MATCH(545,'Transfer Engine'!$C$2:$C$622,0)))</f>
        <v/>
      </c>
      <c r="E554">
        <f>IF(ISNA(MATCH(545,'Transfer Engine'!$C$2:$C$622,0)),"",INDEX('Compliance Database'!$E$2:$E$622,MATCH(545,'Transfer Engine'!$C$2:$C$622,0)))</f>
        <v/>
      </c>
      <c r="F554">
        <f>IF(ISNA(MATCH(545,'Transfer Engine'!$C$2:$C$622,0)),"",INDEX('Compliance Database'!$F$2:$F$622,MATCH(545,'Transfer Engine'!$C$2:$C$622,0)))</f>
        <v/>
      </c>
      <c r="G554">
        <f>IF(ISNA(MATCH(545,'Transfer Engine'!$C$2:$C$622,0)),"",INDEX('Compliance Database'!$G$2:$G$622,MATCH(545,'Transfer Engine'!$C$2:$C$622,0)))</f>
        <v/>
      </c>
      <c r="H554">
        <f>IF(ISNA(MATCH(545,'Transfer Engine'!$C$2:$C$622,0)),"",INDEX('Compliance Database'!$H$2:$H$622,MATCH(545,'Transfer Engine'!$C$2:$C$622,0)))</f>
        <v/>
      </c>
      <c r="I554" s="8">
        <f>IF(ISNA(MATCH(545,'Transfer Engine'!$C$2:$C$622,0)),"",INDEX('Compliance Database'!$I$2:$I$622,MATCH(545,'Transfer Engine'!$C$2:$C$622,0)))</f>
        <v/>
      </c>
      <c r="J554" s="8">
        <f>IF(ISNA(MATCH(545,'Transfer Engine'!$C$2:$C$622,0)),"",INDEX('Compliance Database'!$J$2:$J$622,MATCH(545,'Transfer Engine'!$C$2:$C$622,0)))</f>
        <v/>
      </c>
      <c r="K554">
        <f>IF(ISNA(MATCH(545,'Transfer Engine'!$C$2:$C$622,0)),"",INDEX('Compliance Database'!$K$2:$K$622,MATCH(545,'Transfer Engine'!$C$2:$C$622,0)))</f>
        <v/>
      </c>
      <c r="L554" s="8">
        <f>IF(ISNA(MATCH(545,'Transfer Engine'!$C$2:$C$622,0)),"",INDEX('Compliance Database'!$L$2:$L$622,MATCH(545,'Transfer Engine'!$C$2:$C$622,0)))</f>
        <v/>
      </c>
      <c r="M554" s="8">
        <f>IF(ISNA(MATCH(545,'Transfer Engine'!$C$2:$C$622,0)),"",INDEX('Compliance Database'!$M$2:$M$622,MATCH(545,'Transfer Engine'!$C$2:$C$622,0)))</f>
        <v/>
      </c>
      <c r="N554" s="8">
        <f>IF(ISNA(MATCH(545,'Transfer Engine'!$C$2:$C$622,0)),"",INDEX('Compliance Database'!$N$2:$N$622,MATCH(545,'Transfer Engine'!$C$2:$C$622,0)))</f>
        <v/>
      </c>
      <c r="O554" s="8">
        <f>IF(ISNA(MATCH(545,'Transfer Engine'!$C$2:$C$622,0)),"",INDEX('Compliance Database'!$O$2:$O$622,MATCH(545,'Transfer Engine'!$C$2:$C$622,0)))</f>
        <v/>
      </c>
    </row>
    <row r="555">
      <c r="A555">
        <f>IF(ISNA(MATCH(546,'Transfer Engine'!$C$2:$C$622,0)),"",INDEX('Compliance Database'!$A$2:$A$622,MATCH(546,'Transfer Engine'!$C$2:$C$622,0)))</f>
        <v/>
      </c>
      <c r="B555">
        <f>IF(ISNA(MATCH(546,'Transfer Engine'!$C$2:$C$622,0)),"",INDEX('Compliance Database'!$B$2:$B$622,MATCH(546,'Transfer Engine'!$C$2:$C$622,0)))</f>
        <v/>
      </c>
      <c r="C555">
        <f>IF(ISNA(MATCH(546,'Transfer Engine'!$C$2:$C$622,0)),"",INDEX('Compliance Database'!$C$2:$C$622,MATCH(546,'Transfer Engine'!$C$2:$C$622,0)))</f>
        <v/>
      </c>
      <c r="D555" s="8">
        <f>IF(ISNA(MATCH(546,'Transfer Engine'!$C$2:$C$622,0)),"",INDEX('Compliance Database'!$D$2:$D$622,MATCH(546,'Transfer Engine'!$C$2:$C$622,0)))</f>
        <v/>
      </c>
      <c r="E555">
        <f>IF(ISNA(MATCH(546,'Transfer Engine'!$C$2:$C$622,0)),"",INDEX('Compliance Database'!$E$2:$E$622,MATCH(546,'Transfer Engine'!$C$2:$C$622,0)))</f>
        <v/>
      </c>
      <c r="F555">
        <f>IF(ISNA(MATCH(546,'Transfer Engine'!$C$2:$C$622,0)),"",INDEX('Compliance Database'!$F$2:$F$622,MATCH(546,'Transfer Engine'!$C$2:$C$622,0)))</f>
        <v/>
      </c>
      <c r="G555">
        <f>IF(ISNA(MATCH(546,'Transfer Engine'!$C$2:$C$622,0)),"",INDEX('Compliance Database'!$G$2:$G$622,MATCH(546,'Transfer Engine'!$C$2:$C$622,0)))</f>
        <v/>
      </c>
      <c r="H555">
        <f>IF(ISNA(MATCH(546,'Transfer Engine'!$C$2:$C$622,0)),"",INDEX('Compliance Database'!$H$2:$H$622,MATCH(546,'Transfer Engine'!$C$2:$C$622,0)))</f>
        <v/>
      </c>
      <c r="I555" s="8">
        <f>IF(ISNA(MATCH(546,'Transfer Engine'!$C$2:$C$622,0)),"",INDEX('Compliance Database'!$I$2:$I$622,MATCH(546,'Transfer Engine'!$C$2:$C$622,0)))</f>
        <v/>
      </c>
      <c r="J555" s="8">
        <f>IF(ISNA(MATCH(546,'Transfer Engine'!$C$2:$C$622,0)),"",INDEX('Compliance Database'!$J$2:$J$622,MATCH(546,'Transfer Engine'!$C$2:$C$622,0)))</f>
        <v/>
      </c>
      <c r="K555">
        <f>IF(ISNA(MATCH(546,'Transfer Engine'!$C$2:$C$622,0)),"",INDEX('Compliance Database'!$K$2:$K$622,MATCH(546,'Transfer Engine'!$C$2:$C$622,0)))</f>
        <v/>
      </c>
      <c r="L555" s="8">
        <f>IF(ISNA(MATCH(546,'Transfer Engine'!$C$2:$C$622,0)),"",INDEX('Compliance Database'!$L$2:$L$622,MATCH(546,'Transfer Engine'!$C$2:$C$622,0)))</f>
        <v/>
      </c>
      <c r="M555" s="8">
        <f>IF(ISNA(MATCH(546,'Transfer Engine'!$C$2:$C$622,0)),"",INDEX('Compliance Database'!$M$2:$M$622,MATCH(546,'Transfer Engine'!$C$2:$C$622,0)))</f>
        <v/>
      </c>
      <c r="N555" s="8">
        <f>IF(ISNA(MATCH(546,'Transfer Engine'!$C$2:$C$622,0)),"",INDEX('Compliance Database'!$N$2:$N$622,MATCH(546,'Transfer Engine'!$C$2:$C$622,0)))</f>
        <v/>
      </c>
      <c r="O555" s="8">
        <f>IF(ISNA(MATCH(546,'Transfer Engine'!$C$2:$C$622,0)),"",INDEX('Compliance Database'!$O$2:$O$622,MATCH(546,'Transfer Engine'!$C$2:$C$622,0)))</f>
        <v/>
      </c>
    </row>
    <row r="556">
      <c r="A556">
        <f>IF(ISNA(MATCH(547,'Transfer Engine'!$C$2:$C$622,0)),"",INDEX('Compliance Database'!$A$2:$A$622,MATCH(547,'Transfer Engine'!$C$2:$C$622,0)))</f>
        <v/>
      </c>
      <c r="B556">
        <f>IF(ISNA(MATCH(547,'Transfer Engine'!$C$2:$C$622,0)),"",INDEX('Compliance Database'!$B$2:$B$622,MATCH(547,'Transfer Engine'!$C$2:$C$622,0)))</f>
        <v/>
      </c>
      <c r="C556">
        <f>IF(ISNA(MATCH(547,'Transfer Engine'!$C$2:$C$622,0)),"",INDEX('Compliance Database'!$C$2:$C$622,MATCH(547,'Transfer Engine'!$C$2:$C$622,0)))</f>
        <v/>
      </c>
      <c r="D556" s="8">
        <f>IF(ISNA(MATCH(547,'Transfer Engine'!$C$2:$C$622,0)),"",INDEX('Compliance Database'!$D$2:$D$622,MATCH(547,'Transfer Engine'!$C$2:$C$622,0)))</f>
        <v/>
      </c>
      <c r="E556">
        <f>IF(ISNA(MATCH(547,'Transfer Engine'!$C$2:$C$622,0)),"",INDEX('Compliance Database'!$E$2:$E$622,MATCH(547,'Transfer Engine'!$C$2:$C$622,0)))</f>
        <v/>
      </c>
      <c r="F556">
        <f>IF(ISNA(MATCH(547,'Transfer Engine'!$C$2:$C$622,0)),"",INDEX('Compliance Database'!$F$2:$F$622,MATCH(547,'Transfer Engine'!$C$2:$C$622,0)))</f>
        <v/>
      </c>
      <c r="G556">
        <f>IF(ISNA(MATCH(547,'Transfer Engine'!$C$2:$C$622,0)),"",INDEX('Compliance Database'!$G$2:$G$622,MATCH(547,'Transfer Engine'!$C$2:$C$622,0)))</f>
        <v/>
      </c>
      <c r="H556">
        <f>IF(ISNA(MATCH(547,'Transfer Engine'!$C$2:$C$622,0)),"",INDEX('Compliance Database'!$H$2:$H$622,MATCH(547,'Transfer Engine'!$C$2:$C$622,0)))</f>
        <v/>
      </c>
      <c r="I556" s="8">
        <f>IF(ISNA(MATCH(547,'Transfer Engine'!$C$2:$C$622,0)),"",INDEX('Compliance Database'!$I$2:$I$622,MATCH(547,'Transfer Engine'!$C$2:$C$622,0)))</f>
        <v/>
      </c>
      <c r="J556" s="8">
        <f>IF(ISNA(MATCH(547,'Transfer Engine'!$C$2:$C$622,0)),"",INDEX('Compliance Database'!$J$2:$J$622,MATCH(547,'Transfer Engine'!$C$2:$C$622,0)))</f>
        <v/>
      </c>
      <c r="K556">
        <f>IF(ISNA(MATCH(547,'Transfer Engine'!$C$2:$C$622,0)),"",INDEX('Compliance Database'!$K$2:$K$622,MATCH(547,'Transfer Engine'!$C$2:$C$622,0)))</f>
        <v/>
      </c>
      <c r="L556" s="8">
        <f>IF(ISNA(MATCH(547,'Transfer Engine'!$C$2:$C$622,0)),"",INDEX('Compliance Database'!$L$2:$L$622,MATCH(547,'Transfer Engine'!$C$2:$C$622,0)))</f>
        <v/>
      </c>
      <c r="M556" s="8">
        <f>IF(ISNA(MATCH(547,'Transfer Engine'!$C$2:$C$622,0)),"",INDEX('Compliance Database'!$M$2:$M$622,MATCH(547,'Transfer Engine'!$C$2:$C$622,0)))</f>
        <v/>
      </c>
      <c r="N556" s="8">
        <f>IF(ISNA(MATCH(547,'Transfer Engine'!$C$2:$C$622,0)),"",INDEX('Compliance Database'!$N$2:$N$622,MATCH(547,'Transfer Engine'!$C$2:$C$622,0)))</f>
        <v/>
      </c>
      <c r="O556" s="8">
        <f>IF(ISNA(MATCH(547,'Transfer Engine'!$C$2:$C$622,0)),"",INDEX('Compliance Database'!$O$2:$O$622,MATCH(547,'Transfer Engine'!$C$2:$C$622,0)))</f>
        <v/>
      </c>
    </row>
    <row r="557">
      <c r="A557">
        <f>IF(ISNA(MATCH(548,'Transfer Engine'!$C$2:$C$622,0)),"",INDEX('Compliance Database'!$A$2:$A$622,MATCH(548,'Transfer Engine'!$C$2:$C$622,0)))</f>
        <v/>
      </c>
      <c r="B557">
        <f>IF(ISNA(MATCH(548,'Transfer Engine'!$C$2:$C$622,0)),"",INDEX('Compliance Database'!$B$2:$B$622,MATCH(548,'Transfer Engine'!$C$2:$C$622,0)))</f>
        <v/>
      </c>
      <c r="C557">
        <f>IF(ISNA(MATCH(548,'Transfer Engine'!$C$2:$C$622,0)),"",INDEX('Compliance Database'!$C$2:$C$622,MATCH(548,'Transfer Engine'!$C$2:$C$622,0)))</f>
        <v/>
      </c>
      <c r="D557" s="8">
        <f>IF(ISNA(MATCH(548,'Transfer Engine'!$C$2:$C$622,0)),"",INDEX('Compliance Database'!$D$2:$D$622,MATCH(548,'Transfer Engine'!$C$2:$C$622,0)))</f>
        <v/>
      </c>
      <c r="E557">
        <f>IF(ISNA(MATCH(548,'Transfer Engine'!$C$2:$C$622,0)),"",INDEX('Compliance Database'!$E$2:$E$622,MATCH(548,'Transfer Engine'!$C$2:$C$622,0)))</f>
        <v/>
      </c>
      <c r="F557">
        <f>IF(ISNA(MATCH(548,'Transfer Engine'!$C$2:$C$622,0)),"",INDEX('Compliance Database'!$F$2:$F$622,MATCH(548,'Transfer Engine'!$C$2:$C$622,0)))</f>
        <v/>
      </c>
      <c r="G557">
        <f>IF(ISNA(MATCH(548,'Transfer Engine'!$C$2:$C$622,0)),"",INDEX('Compliance Database'!$G$2:$G$622,MATCH(548,'Transfer Engine'!$C$2:$C$622,0)))</f>
        <v/>
      </c>
      <c r="H557">
        <f>IF(ISNA(MATCH(548,'Transfer Engine'!$C$2:$C$622,0)),"",INDEX('Compliance Database'!$H$2:$H$622,MATCH(548,'Transfer Engine'!$C$2:$C$622,0)))</f>
        <v/>
      </c>
      <c r="I557" s="8">
        <f>IF(ISNA(MATCH(548,'Transfer Engine'!$C$2:$C$622,0)),"",INDEX('Compliance Database'!$I$2:$I$622,MATCH(548,'Transfer Engine'!$C$2:$C$622,0)))</f>
        <v/>
      </c>
      <c r="J557" s="8">
        <f>IF(ISNA(MATCH(548,'Transfer Engine'!$C$2:$C$622,0)),"",INDEX('Compliance Database'!$J$2:$J$622,MATCH(548,'Transfer Engine'!$C$2:$C$622,0)))</f>
        <v/>
      </c>
      <c r="K557">
        <f>IF(ISNA(MATCH(548,'Transfer Engine'!$C$2:$C$622,0)),"",INDEX('Compliance Database'!$K$2:$K$622,MATCH(548,'Transfer Engine'!$C$2:$C$622,0)))</f>
        <v/>
      </c>
      <c r="L557" s="8">
        <f>IF(ISNA(MATCH(548,'Transfer Engine'!$C$2:$C$622,0)),"",INDEX('Compliance Database'!$L$2:$L$622,MATCH(548,'Transfer Engine'!$C$2:$C$622,0)))</f>
        <v/>
      </c>
      <c r="M557" s="8">
        <f>IF(ISNA(MATCH(548,'Transfer Engine'!$C$2:$C$622,0)),"",INDEX('Compliance Database'!$M$2:$M$622,MATCH(548,'Transfer Engine'!$C$2:$C$622,0)))</f>
        <v/>
      </c>
      <c r="N557" s="8">
        <f>IF(ISNA(MATCH(548,'Transfer Engine'!$C$2:$C$622,0)),"",INDEX('Compliance Database'!$N$2:$N$622,MATCH(548,'Transfer Engine'!$C$2:$C$622,0)))</f>
        <v/>
      </c>
      <c r="O557" s="8">
        <f>IF(ISNA(MATCH(548,'Transfer Engine'!$C$2:$C$622,0)),"",INDEX('Compliance Database'!$O$2:$O$622,MATCH(548,'Transfer Engine'!$C$2:$C$622,0)))</f>
        <v/>
      </c>
    </row>
    <row r="558">
      <c r="A558">
        <f>IF(ISNA(MATCH(549,'Transfer Engine'!$C$2:$C$622,0)),"",INDEX('Compliance Database'!$A$2:$A$622,MATCH(549,'Transfer Engine'!$C$2:$C$622,0)))</f>
        <v/>
      </c>
      <c r="B558">
        <f>IF(ISNA(MATCH(549,'Transfer Engine'!$C$2:$C$622,0)),"",INDEX('Compliance Database'!$B$2:$B$622,MATCH(549,'Transfer Engine'!$C$2:$C$622,0)))</f>
        <v/>
      </c>
      <c r="C558">
        <f>IF(ISNA(MATCH(549,'Transfer Engine'!$C$2:$C$622,0)),"",INDEX('Compliance Database'!$C$2:$C$622,MATCH(549,'Transfer Engine'!$C$2:$C$622,0)))</f>
        <v/>
      </c>
      <c r="D558" s="8">
        <f>IF(ISNA(MATCH(549,'Transfer Engine'!$C$2:$C$622,0)),"",INDEX('Compliance Database'!$D$2:$D$622,MATCH(549,'Transfer Engine'!$C$2:$C$622,0)))</f>
        <v/>
      </c>
      <c r="E558">
        <f>IF(ISNA(MATCH(549,'Transfer Engine'!$C$2:$C$622,0)),"",INDEX('Compliance Database'!$E$2:$E$622,MATCH(549,'Transfer Engine'!$C$2:$C$622,0)))</f>
        <v/>
      </c>
      <c r="F558">
        <f>IF(ISNA(MATCH(549,'Transfer Engine'!$C$2:$C$622,0)),"",INDEX('Compliance Database'!$F$2:$F$622,MATCH(549,'Transfer Engine'!$C$2:$C$622,0)))</f>
        <v/>
      </c>
      <c r="G558">
        <f>IF(ISNA(MATCH(549,'Transfer Engine'!$C$2:$C$622,0)),"",INDEX('Compliance Database'!$G$2:$G$622,MATCH(549,'Transfer Engine'!$C$2:$C$622,0)))</f>
        <v/>
      </c>
      <c r="H558">
        <f>IF(ISNA(MATCH(549,'Transfer Engine'!$C$2:$C$622,0)),"",INDEX('Compliance Database'!$H$2:$H$622,MATCH(549,'Transfer Engine'!$C$2:$C$622,0)))</f>
        <v/>
      </c>
      <c r="I558" s="8">
        <f>IF(ISNA(MATCH(549,'Transfer Engine'!$C$2:$C$622,0)),"",INDEX('Compliance Database'!$I$2:$I$622,MATCH(549,'Transfer Engine'!$C$2:$C$622,0)))</f>
        <v/>
      </c>
      <c r="J558" s="8">
        <f>IF(ISNA(MATCH(549,'Transfer Engine'!$C$2:$C$622,0)),"",INDEX('Compliance Database'!$J$2:$J$622,MATCH(549,'Transfer Engine'!$C$2:$C$622,0)))</f>
        <v/>
      </c>
      <c r="K558">
        <f>IF(ISNA(MATCH(549,'Transfer Engine'!$C$2:$C$622,0)),"",INDEX('Compliance Database'!$K$2:$K$622,MATCH(549,'Transfer Engine'!$C$2:$C$622,0)))</f>
        <v/>
      </c>
      <c r="L558" s="8">
        <f>IF(ISNA(MATCH(549,'Transfer Engine'!$C$2:$C$622,0)),"",INDEX('Compliance Database'!$L$2:$L$622,MATCH(549,'Transfer Engine'!$C$2:$C$622,0)))</f>
        <v/>
      </c>
      <c r="M558" s="8">
        <f>IF(ISNA(MATCH(549,'Transfer Engine'!$C$2:$C$622,0)),"",INDEX('Compliance Database'!$M$2:$M$622,MATCH(549,'Transfer Engine'!$C$2:$C$622,0)))</f>
        <v/>
      </c>
      <c r="N558" s="8">
        <f>IF(ISNA(MATCH(549,'Transfer Engine'!$C$2:$C$622,0)),"",INDEX('Compliance Database'!$N$2:$N$622,MATCH(549,'Transfer Engine'!$C$2:$C$622,0)))</f>
        <v/>
      </c>
      <c r="O558" s="8">
        <f>IF(ISNA(MATCH(549,'Transfer Engine'!$C$2:$C$622,0)),"",INDEX('Compliance Database'!$O$2:$O$622,MATCH(549,'Transfer Engine'!$C$2:$C$622,0)))</f>
        <v/>
      </c>
    </row>
    <row r="559">
      <c r="A559">
        <f>IF(ISNA(MATCH(550,'Transfer Engine'!$C$2:$C$622,0)),"",INDEX('Compliance Database'!$A$2:$A$622,MATCH(550,'Transfer Engine'!$C$2:$C$622,0)))</f>
        <v/>
      </c>
      <c r="B559">
        <f>IF(ISNA(MATCH(550,'Transfer Engine'!$C$2:$C$622,0)),"",INDEX('Compliance Database'!$B$2:$B$622,MATCH(550,'Transfer Engine'!$C$2:$C$622,0)))</f>
        <v/>
      </c>
      <c r="C559">
        <f>IF(ISNA(MATCH(550,'Transfer Engine'!$C$2:$C$622,0)),"",INDEX('Compliance Database'!$C$2:$C$622,MATCH(550,'Transfer Engine'!$C$2:$C$622,0)))</f>
        <v/>
      </c>
      <c r="D559" s="8">
        <f>IF(ISNA(MATCH(550,'Transfer Engine'!$C$2:$C$622,0)),"",INDEX('Compliance Database'!$D$2:$D$622,MATCH(550,'Transfer Engine'!$C$2:$C$622,0)))</f>
        <v/>
      </c>
      <c r="E559">
        <f>IF(ISNA(MATCH(550,'Transfer Engine'!$C$2:$C$622,0)),"",INDEX('Compliance Database'!$E$2:$E$622,MATCH(550,'Transfer Engine'!$C$2:$C$622,0)))</f>
        <v/>
      </c>
      <c r="F559">
        <f>IF(ISNA(MATCH(550,'Transfer Engine'!$C$2:$C$622,0)),"",INDEX('Compliance Database'!$F$2:$F$622,MATCH(550,'Transfer Engine'!$C$2:$C$622,0)))</f>
        <v/>
      </c>
      <c r="G559">
        <f>IF(ISNA(MATCH(550,'Transfer Engine'!$C$2:$C$622,0)),"",INDEX('Compliance Database'!$G$2:$G$622,MATCH(550,'Transfer Engine'!$C$2:$C$622,0)))</f>
        <v/>
      </c>
      <c r="H559">
        <f>IF(ISNA(MATCH(550,'Transfer Engine'!$C$2:$C$622,0)),"",INDEX('Compliance Database'!$H$2:$H$622,MATCH(550,'Transfer Engine'!$C$2:$C$622,0)))</f>
        <v/>
      </c>
      <c r="I559" s="8">
        <f>IF(ISNA(MATCH(550,'Transfer Engine'!$C$2:$C$622,0)),"",INDEX('Compliance Database'!$I$2:$I$622,MATCH(550,'Transfer Engine'!$C$2:$C$622,0)))</f>
        <v/>
      </c>
      <c r="J559" s="8">
        <f>IF(ISNA(MATCH(550,'Transfer Engine'!$C$2:$C$622,0)),"",INDEX('Compliance Database'!$J$2:$J$622,MATCH(550,'Transfer Engine'!$C$2:$C$622,0)))</f>
        <v/>
      </c>
      <c r="K559">
        <f>IF(ISNA(MATCH(550,'Transfer Engine'!$C$2:$C$622,0)),"",INDEX('Compliance Database'!$K$2:$K$622,MATCH(550,'Transfer Engine'!$C$2:$C$622,0)))</f>
        <v/>
      </c>
      <c r="L559" s="8">
        <f>IF(ISNA(MATCH(550,'Transfer Engine'!$C$2:$C$622,0)),"",INDEX('Compliance Database'!$L$2:$L$622,MATCH(550,'Transfer Engine'!$C$2:$C$622,0)))</f>
        <v/>
      </c>
      <c r="M559" s="8">
        <f>IF(ISNA(MATCH(550,'Transfer Engine'!$C$2:$C$622,0)),"",INDEX('Compliance Database'!$M$2:$M$622,MATCH(550,'Transfer Engine'!$C$2:$C$622,0)))</f>
        <v/>
      </c>
      <c r="N559" s="8">
        <f>IF(ISNA(MATCH(550,'Transfer Engine'!$C$2:$C$622,0)),"",INDEX('Compliance Database'!$N$2:$N$622,MATCH(550,'Transfer Engine'!$C$2:$C$622,0)))</f>
        <v/>
      </c>
      <c r="O559" s="8">
        <f>IF(ISNA(MATCH(550,'Transfer Engine'!$C$2:$C$622,0)),"",INDEX('Compliance Database'!$O$2:$O$622,MATCH(550,'Transfer Engine'!$C$2:$C$622,0)))</f>
        <v/>
      </c>
    </row>
    <row r="560">
      <c r="A560">
        <f>IF(ISNA(MATCH(551,'Transfer Engine'!$C$2:$C$622,0)),"",INDEX('Compliance Database'!$A$2:$A$622,MATCH(551,'Transfer Engine'!$C$2:$C$622,0)))</f>
        <v/>
      </c>
      <c r="B560">
        <f>IF(ISNA(MATCH(551,'Transfer Engine'!$C$2:$C$622,0)),"",INDEX('Compliance Database'!$B$2:$B$622,MATCH(551,'Transfer Engine'!$C$2:$C$622,0)))</f>
        <v/>
      </c>
      <c r="C560">
        <f>IF(ISNA(MATCH(551,'Transfer Engine'!$C$2:$C$622,0)),"",INDEX('Compliance Database'!$C$2:$C$622,MATCH(551,'Transfer Engine'!$C$2:$C$622,0)))</f>
        <v/>
      </c>
      <c r="D560" s="8">
        <f>IF(ISNA(MATCH(551,'Transfer Engine'!$C$2:$C$622,0)),"",INDEX('Compliance Database'!$D$2:$D$622,MATCH(551,'Transfer Engine'!$C$2:$C$622,0)))</f>
        <v/>
      </c>
      <c r="E560">
        <f>IF(ISNA(MATCH(551,'Transfer Engine'!$C$2:$C$622,0)),"",INDEX('Compliance Database'!$E$2:$E$622,MATCH(551,'Transfer Engine'!$C$2:$C$622,0)))</f>
        <v/>
      </c>
      <c r="F560">
        <f>IF(ISNA(MATCH(551,'Transfer Engine'!$C$2:$C$622,0)),"",INDEX('Compliance Database'!$F$2:$F$622,MATCH(551,'Transfer Engine'!$C$2:$C$622,0)))</f>
        <v/>
      </c>
      <c r="G560">
        <f>IF(ISNA(MATCH(551,'Transfer Engine'!$C$2:$C$622,0)),"",INDEX('Compliance Database'!$G$2:$G$622,MATCH(551,'Transfer Engine'!$C$2:$C$622,0)))</f>
        <v/>
      </c>
      <c r="H560">
        <f>IF(ISNA(MATCH(551,'Transfer Engine'!$C$2:$C$622,0)),"",INDEX('Compliance Database'!$H$2:$H$622,MATCH(551,'Transfer Engine'!$C$2:$C$622,0)))</f>
        <v/>
      </c>
      <c r="I560" s="8">
        <f>IF(ISNA(MATCH(551,'Transfer Engine'!$C$2:$C$622,0)),"",INDEX('Compliance Database'!$I$2:$I$622,MATCH(551,'Transfer Engine'!$C$2:$C$622,0)))</f>
        <v/>
      </c>
      <c r="J560" s="8">
        <f>IF(ISNA(MATCH(551,'Transfer Engine'!$C$2:$C$622,0)),"",INDEX('Compliance Database'!$J$2:$J$622,MATCH(551,'Transfer Engine'!$C$2:$C$622,0)))</f>
        <v/>
      </c>
      <c r="K560">
        <f>IF(ISNA(MATCH(551,'Transfer Engine'!$C$2:$C$622,0)),"",INDEX('Compliance Database'!$K$2:$K$622,MATCH(551,'Transfer Engine'!$C$2:$C$622,0)))</f>
        <v/>
      </c>
      <c r="L560" s="8">
        <f>IF(ISNA(MATCH(551,'Transfer Engine'!$C$2:$C$622,0)),"",INDEX('Compliance Database'!$L$2:$L$622,MATCH(551,'Transfer Engine'!$C$2:$C$622,0)))</f>
        <v/>
      </c>
      <c r="M560" s="8">
        <f>IF(ISNA(MATCH(551,'Transfer Engine'!$C$2:$C$622,0)),"",INDEX('Compliance Database'!$M$2:$M$622,MATCH(551,'Transfer Engine'!$C$2:$C$622,0)))</f>
        <v/>
      </c>
      <c r="N560" s="8">
        <f>IF(ISNA(MATCH(551,'Transfer Engine'!$C$2:$C$622,0)),"",INDEX('Compliance Database'!$N$2:$N$622,MATCH(551,'Transfer Engine'!$C$2:$C$622,0)))</f>
        <v/>
      </c>
      <c r="O560" s="8">
        <f>IF(ISNA(MATCH(551,'Transfer Engine'!$C$2:$C$622,0)),"",INDEX('Compliance Database'!$O$2:$O$622,MATCH(551,'Transfer Engine'!$C$2:$C$622,0)))</f>
        <v/>
      </c>
    </row>
    <row r="561">
      <c r="A561">
        <f>IF(ISNA(MATCH(552,'Transfer Engine'!$C$2:$C$622,0)),"",INDEX('Compliance Database'!$A$2:$A$622,MATCH(552,'Transfer Engine'!$C$2:$C$622,0)))</f>
        <v/>
      </c>
      <c r="B561">
        <f>IF(ISNA(MATCH(552,'Transfer Engine'!$C$2:$C$622,0)),"",INDEX('Compliance Database'!$B$2:$B$622,MATCH(552,'Transfer Engine'!$C$2:$C$622,0)))</f>
        <v/>
      </c>
      <c r="C561">
        <f>IF(ISNA(MATCH(552,'Transfer Engine'!$C$2:$C$622,0)),"",INDEX('Compliance Database'!$C$2:$C$622,MATCH(552,'Transfer Engine'!$C$2:$C$622,0)))</f>
        <v/>
      </c>
      <c r="D561" s="8">
        <f>IF(ISNA(MATCH(552,'Transfer Engine'!$C$2:$C$622,0)),"",INDEX('Compliance Database'!$D$2:$D$622,MATCH(552,'Transfer Engine'!$C$2:$C$622,0)))</f>
        <v/>
      </c>
      <c r="E561">
        <f>IF(ISNA(MATCH(552,'Transfer Engine'!$C$2:$C$622,0)),"",INDEX('Compliance Database'!$E$2:$E$622,MATCH(552,'Transfer Engine'!$C$2:$C$622,0)))</f>
        <v/>
      </c>
      <c r="F561">
        <f>IF(ISNA(MATCH(552,'Transfer Engine'!$C$2:$C$622,0)),"",INDEX('Compliance Database'!$F$2:$F$622,MATCH(552,'Transfer Engine'!$C$2:$C$622,0)))</f>
        <v/>
      </c>
      <c r="G561">
        <f>IF(ISNA(MATCH(552,'Transfer Engine'!$C$2:$C$622,0)),"",INDEX('Compliance Database'!$G$2:$G$622,MATCH(552,'Transfer Engine'!$C$2:$C$622,0)))</f>
        <v/>
      </c>
      <c r="H561">
        <f>IF(ISNA(MATCH(552,'Transfer Engine'!$C$2:$C$622,0)),"",INDEX('Compliance Database'!$H$2:$H$622,MATCH(552,'Transfer Engine'!$C$2:$C$622,0)))</f>
        <v/>
      </c>
      <c r="I561" s="8">
        <f>IF(ISNA(MATCH(552,'Transfer Engine'!$C$2:$C$622,0)),"",INDEX('Compliance Database'!$I$2:$I$622,MATCH(552,'Transfer Engine'!$C$2:$C$622,0)))</f>
        <v/>
      </c>
      <c r="J561" s="8">
        <f>IF(ISNA(MATCH(552,'Transfer Engine'!$C$2:$C$622,0)),"",INDEX('Compliance Database'!$J$2:$J$622,MATCH(552,'Transfer Engine'!$C$2:$C$622,0)))</f>
        <v/>
      </c>
      <c r="K561">
        <f>IF(ISNA(MATCH(552,'Transfer Engine'!$C$2:$C$622,0)),"",INDEX('Compliance Database'!$K$2:$K$622,MATCH(552,'Transfer Engine'!$C$2:$C$622,0)))</f>
        <v/>
      </c>
      <c r="L561" s="8">
        <f>IF(ISNA(MATCH(552,'Transfer Engine'!$C$2:$C$622,0)),"",INDEX('Compliance Database'!$L$2:$L$622,MATCH(552,'Transfer Engine'!$C$2:$C$622,0)))</f>
        <v/>
      </c>
      <c r="M561" s="8">
        <f>IF(ISNA(MATCH(552,'Transfer Engine'!$C$2:$C$622,0)),"",INDEX('Compliance Database'!$M$2:$M$622,MATCH(552,'Transfer Engine'!$C$2:$C$622,0)))</f>
        <v/>
      </c>
      <c r="N561" s="8">
        <f>IF(ISNA(MATCH(552,'Transfer Engine'!$C$2:$C$622,0)),"",INDEX('Compliance Database'!$N$2:$N$622,MATCH(552,'Transfer Engine'!$C$2:$C$622,0)))</f>
        <v/>
      </c>
      <c r="O561" s="8">
        <f>IF(ISNA(MATCH(552,'Transfer Engine'!$C$2:$C$622,0)),"",INDEX('Compliance Database'!$O$2:$O$622,MATCH(552,'Transfer Engine'!$C$2:$C$622,0)))</f>
        <v/>
      </c>
    </row>
    <row r="562">
      <c r="A562">
        <f>IF(ISNA(MATCH(553,'Transfer Engine'!$C$2:$C$622,0)),"",INDEX('Compliance Database'!$A$2:$A$622,MATCH(553,'Transfer Engine'!$C$2:$C$622,0)))</f>
        <v/>
      </c>
      <c r="B562">
        <f>IF(ISNA(MATCH(553,'Transfer Engine'!$C$2:$C$622,0)),"",INDEX('Compliance Database'!$B$2:$B$622,MATCH(553,'Transfer Engine'!$C$2:$C$622,0)))</f>
        <v/>
      </c>
      <c r="C562">
        <f>IF(ISNA(MATCH(553,'Transfer Engine'!$C$2:$C$622,0)),"",INDEX('Compliance Database'!$C$2:$C$622,MATCH(553,'Transfer Engine'!$C$2:$C$622,0)))</f>
        <v/>
      </c>
      <c r="D562" s="8">
        <f>IF(ISNA(MATCH(553,'Transfer Engine'!$C$2:$C$622,0)),"",INDEX('Compliance Database'!$D$2:$D$622,MATCH(553,'Transfer Engine'!$C$2:$C$622,0)))</f>
        <v/>
      </c>
      <c r="E562">
        <f>IF(ISNA(MATCH(553,'Transfer Engine'!$C$2:$C$622,0)),"",INDEX('Compliance Database'!$E$2:$E$622,MATCH(553,'Transfer Engine'!$C$2:$C$622,0)))</f>
        <v/>
      </c>
      <c r="F562">
        <f>IF(ISNA(MATCH(553,'Transfer Engine'!$C$2:$C$622,0)),"",INDEX('Compliance Database'!$F$2:$F$622,MATCH(553,'Transfer Engine'!$C$2:$C$622,0)))</f>
        <v/>
      </c>
      <c r="G562">
        <f>IF(ISNA(MATCH(553,'Transfer Engine'!$C$2:$C$622,0)),"",INDEX('Compliance Database'!$G$2:$G$622,MATCH(553,'Transfer Engine'!$C$2:$C$622,0)))</f>
        <v/>
      </c>
      <c r="H562">
        <f>IF(ISNA(MATCH(553,'Transfer Engine'!$C$2:$C$622,0)),"",INDEX('Compliance Database'!$H$2:$H$622,MATCH(553,'Transfer Engine'!$C$2:$C$622,0)))</f>
        <v/>
      </c>
      <c r="I562" s="8">
        <f>IF(ISNA(MATCH(553,'Transfer Engine'!$C$2:$C$622,0)),"",INDEX('Compliance Database'!$I$2:$I$622,MATCH(553,'Transfer Engine'!$C$2:$C$622,0)))</f>
        <v/>
      </c>
      <c r="J562" s="8">
        <f>IF(ISNA(MATCH(553,'Transfer Engine'!$C$2:$C$622,0)),"",INDEX('Compliance Database'!$J$2:$J$622,MATCH(553,'Transfer Engine'!$C$2:$C$622,0)))</f>
        <v/>
      </c>
      <c r="K562">
        <f>IF(ISNA(MATCH(553,'Transfer Engine'!$C$2:$C$622,0)),"",INDEX('Compliance Database'!$K$2:$K$622,MATCH(553,'Transfer Engine'!$C$2:$C$622,0)))</f>
        <v/>
      </c>
      <c r="L562" s="8">
        <f>IF(ISNA(MATCH(553,'Transfer Engine'!$C$2:$C$622,0)),"",INDEX('Compliance Database'!$L$2:$L$622,MATCH(553,'Transfer Engine'!$C$2:$C$622,0)))</f>
        <v/>
      </c>
      <c r="M562" s="8">
        <f>IF(ISNA(MATCH(553,'Transfer Engine'!$C$2:$C$622,0)),"",INDEX('Compliance Database'!$M$2:$M$622,MATCH(553,'Transfer Engine'!$C$2:$C$622,0)))</f>
        <v/>
      </c>
      <c r="N562" s="8">
        <f>IF(ISNA(MATCH(553,'Transfer Engine'!$C$2:$C$622,0)),"",INDEX('Compliance Database'!$N$2:$N$622,MATCH(553,'Transfer Engine'!$C$2:$C$622,0)))</f>
        <v/>
      </c>
      <c r="O562" s="8">
        <f>IF(ISNA(MATCH(553,'Transfer Engine'!$C$2:$C$622,0)),"",INDEX('Compliance Database'!$O$2:$O$622,MATCH(553,'Transfer Engine'!$C$2:$C$622,0)))</f>
        <v/>
      </c>
    </row>
    <row r="563">
      <c r="A563">
        <f>IF(ISNA(MATCH(554,'Transfer Engine'!$C$2:$C$622,0)),"",INDEX('Compliance Database'!$A$2:$A$622,MATCH(554,'Transfer Engine'!$C$2:$C$622,0)))</f>
        <v/>
      </c>
      <c r="B563">
        <f>IF(ISNA(MATCH(554,'Transfer Engine'!$C$2:$C$622,0)),"",INDEX('Compliance Database'!$B$2:$B$622,MATCH(554,'Transfer Engine'!$C$2:$C$622,0)))</f>
        <v/>
      </c>
      <c r="C563">
        <f>IF(ISNA(MATCH(554,'Transfer Engine'!$C$2:$C$622,0)),"",INDEX('Compliance Database'!$C$2:$C$622,MATCH(554,'Transfer Engine'!$C$2:$C$622,0)))</f>
        <v/>
      </c>
      <c r="D563" s="8">
        <f>IF(ISNA(MATCH(554,'Transfer Engine'!$C$2:$C$622,0)),"",INDEX('Compliance Database'!$D$2:$D$622,MATCH(554,'Transfer Engine'!$C$2:$C$622,0)))</f>
        <v/>
      </c>
      <c r="E563">
        <f>IF(ISNA(MATCH(554,'Transfer Engine'!$C$2:$C$622,0)),"",INDEX('Compliance Database'!$E$2:$E$622,MATCH(554,'Transfer Engine'!$C$2:$C$622,0)))</f>
        <v/>
      </c>
      <c r="F563">
        <f>IF(ISNA(MATCH(554,'Transfer Engine'!$C$2:$C$622,0)),"",INDEX('Compliance Database'!$F$2:$F$622,MATCH(554,'Transfer Engine'!$C$2:$C$622,0)))</f>
        <v/>
      </c>
      <c r="G563">
        <f>IF(ISNA(MATCH(554,'Transfer Engine'!$C$2:$C$622,0)),"",INDEX('Compliance Database'!$G$2:$G$622,MATCH(554,'Transfer Engine'!$C$2:$C$622,0)))</f>
        <v/>
      </c>
      <c r="H563">
        <f>IF(ISNA(MATCH(554,'Transfer Engine'!$C$2:$C$622,0)),"",INDEX('Compliance Database'!$H$2:$H$622,MATCH(554,'Transfer Engine'!$C$2:$C$622,0)))</f>
        <v/>
      </c>
      <c r="I563" s="8">
        <f>IF(ISNA(MATCH(554,'Transfer Engine'!$C$2:$C$622,0)),"",INDEX('Compliance Database'!$I$2:$I$622,MATCH(554,'Transfer Engine'!$C$2:$C$622,0)))</f>
        <v/>
      </c>
      <c r="J563" s="8">
        <f>IF(ISNA(MATCH(554,'Transfer Engine'!$C$2:$C$622,0)),"",INDEX('Compliance Database'!$J$2:$J$622,MATCH(554,'Transfer Engine'!$C$2:$C$622,0)))</f>
        <v/>
      </c>
      <c r="K563">
        <f>IF(ISNA(MATCH(554,'Transfer Engine'!$C$2:$C$622,0)),"",INDEX('Compliance Database'!$K$2:$K$622,MATCH(554,'Transfer Engine'!$C$2:$C$622,0)))</f>
        <v/>
      </c>
      <c r="L563" s="8">
        <f>IF(ISNA(MATCH(554,'Transfer Engine'!$C$2:$C$622,0)),"",INDEX('Compliance Database'!$L$2:$L$622,MATCH(554,'Transfer Engine'!$C$2:$C$622,0)))</f>
        <v/>
      </c>
      <c r="M563" s="8">
        <f>IF(ISNA(MATCH(554,'Transfer Engine'!$C$2:$C$622,0)),"",INDEX('Compliance Database'!$M$2:$M$622,MATCH(554,'Transfer Engine'!$C$2:$C$622,0)))</f>
        <v/>
      </c>
      <c r="N563" s="8">
        <f>IF(ISNA(MATCH(554,'Transfer Engine'!$C$2:$C$622,0)),"",INDEX('Compliance Database'!$N$2:$N$622,MATCH(554,'Transfer Engine'!$C$2:$C$622,0)))</f>
        <v/>
      </c>
      <c r="O563" s="8">
        <f>IF(ISNA(MATCH(554,'Transfer Engine'!$C$2:$C$622,0)),"",INDEX('Compliance Database'!$O$2:$O$622,MATCH(554,'Transfer Engine'!$C$2:$C$622,0)))</f>
        <v/>
      </c>
    </row>
    <row r="564">
      <c r="A564">
        <f>IF(ISNA(MATCH(555,'Transfer Engine'!$C$2:$C$622,0)),"",INDEX('Compliance Database'!$A$2:$A$622,MATCH(555,'Transfer Engine'!$C$2:$C$622,0)))</f>
        <v/>
      </c>
      <c r="B564">
        <f>IF(ISNA(MATCH(555,'Transfer Engine'!$C$2:$C$622,0)),"",INDEX('Compliance Database'!$B$2:$B$622,MATCH(555,'Transfer Engine'!$C$2:$C$622,0)))</f>
        <v/>
      </c>
      <c r="C564">
        <f>IF(ISNA(MATCH(555,'Transfer Engine'!$C$2:$C$622,0)),"",INDEX('Compliance Database'!$C$2:$C$622,MATCH(555,'Transfer Engine'!$C$2:$C$622,0)))</f>
        <v/>
      </c>
      <c r="D564" s="8">
        <f>IF(ISNA(MATCH(555,'Transfer Engine'!$C$2:$C$622,0)),"",INDEX('Compliance Database'!$D$2:$D$622,MATCH(555,'Transfer Engine'!$C$2:$C$622,0)))</f>
        <v/>
      </c>
      <c r="E564">
        <f>IF(ISNA(MATCH(555,'Transfer Engine'!$C$2:$C$622,0)),"",INDEX('Compliance Database'!$E$2:$E$622,MATCH(555,'Transfer Engine'!$C$2:$C$622,0)))</f>
        <v/>
      </c>
      <c r="F564">
        <f>IF(ISNA(MATCH(555,'Transfer Engine'!$C$2:$C$622,0)),"",INDEX('Compliance Database'!$F$2:$F$622,MATCH(555,'Transfer Engine'!$C$2:$C$622,0)))</f>
        <v/>
      </c>
      <c r="G564">
        <f>IF(ISNA(MATCH(555,'Transfer Engine'!$C$2:$C$622,0)),"",INDEX('Compliance Database'!$G$2:$G$622,MATCH(555,'Transfer Engine'!$C$2:$C$622,0)))</f>
        <v/>
      </c>
      <c r="H564">
        <f>IF(ISNA(MATCH(555,'Transfer Engine'!$C$2:$C$622,0)),"",INDEX('Compliance Database'!$H$2:$H$622,MATCH(555,'Transfer Engine'!$C$2:$C$622,0)))</f>
        <v/>
      </c>
      <c r="I564" s="8">
        <f>IF(ISNA(MATCH(555,'Transfer Engine'!$C$2:$C$622,0)),"",INDEX('Compliance Database'!$I$2:$I$622,MATCH(555,'Transfer Engine'!$C$2:$C$622,0)))</f>
        <v/>
      </c>
      <c r="J564" s="8">
        <f>IF(ISNA(MATCH(555,'Transfer Engine'!$C$2:$C$622,0)),"",INDEX('Compliance Database'!$J$2:$J$622,MATCH(555,'Transfer Engine'!$C$2:$C$622,0)))</f>
        <v/>
      </c>
      <c r="K564">
        <f>IF(ISNA(MATCH(555,'Transfer Engine'!$C$2:$C$622,0)),"",INDEX('Compliance Database'!$K$2:$K$622,MATCH(555,'Transfer Engine'!$C$2:$C$622,0)))</f>
        <v/>
      </c>
      <c r="L564" s="8">
        <f>IF(ISNA(MATCH(555,'Transfer Engine'!$C$2:$C$622,0)),"",INDEX('Compliance Database'!$L$2:$L$622,MATCH(555,'Transfer Engine'!$C$2:$C$622,0)))</f>
        <v/>
      </c>
      <c r="M564" s="8">
        <f>IF(ISNA(MATCH(555,'Transfer Engine'!$C$2:$C$622,0)),"",INDEX('Compliance Database'!$M$2:$M$622,MATCH(555,'Transfer Engine'!$C$2:$C$622,0)))</f>
        <v/>
      </c>
      <c r="N564" s="8">
        <f>IF(ISNA(MATCH(555,'Transfer Engine'!$C$2:$C$622,0)),"",INDEX('Compliance Database'!$N$2:$N$622,MATCH(555,'Transfer Engine'!$C$2:$C$622,0)))</f>
        <v/>
      </c>
      <c r="O564" s="8">
        <f>IF(ISNA(MATCH(555,'Transfer Engine'!$C$2:$C$622,0)),"",INDEX('Compliance Database'!$O$2:$O$622,MATCH(555,'Transfer Engine'!$C$2:$C$622,0)))</f>
        <v/>
      </c>
    </row>
    <row r="565">
      <c r="A565">
        <f>IF(ISNA(MATCH(556,'Transfer Engine'!$C$2:$C$622,0)),"",INDEX('Compliance Database'!$A$2:$A$622,MATCH(556,'Transfer Engine'!$C$2:$C$622,0)))</f>
        <v/>
      </c>
      <c r="B565">
        <f>IF(ISNA(MATCH(556,'Transfer Engine'!$C$2:$C$622,0)),"",INDEX('Compliance Database'!$B$2:$B$622,MATCH(556,'Transfer Engine'!$C$2:$C$622,0)))</f>
        <v/>
      </c>
      <c r="C565">
        <f>IF(ISNA(MATCH(556,'Transfer Engine'!$C$2:$C$622,0)),"",INDEX('Compliance Database'!$C$2:$C$622,MATCH(556,'Transfer Engine'!$C$2:$C$622,0)))</f>
        <v/>
      </c>
      <c r="D565" s="8">
        <f>IF(ISNA(MATCH(556,'Transfer Engine'!$C$2:$C$622,0)),"",INDEX('Compliance Database'!$D$2:$D$622,MATCH(556,'Transfer Engine'!$C$2:$C$622,0)))</f>
        <v/>
      </c>
      <c r="E565">
        <f>IF(ISNA(MATCH(556,'Transfer Engine'!$C$2:$C$622,0)),"",INDEX('Compliance Database'!$E$2:$E$622,MATCH(556,'Transfer Engine'!$C$2:$C$622,0)))</f>
        <v/>
      </c>
      <c r="F565">
        <f>IF(ISNA(MATCH(556,'Transfer Engine'!$C$2:$C$622,0)),"",INDEX('Compliance Database'!$F$2:$F$622,MATCH(556,'Transfer Engine'!$C$2:$C$622,0)))</f>
        <v/>
      </c>
      <c r="G565">
        <f>IF(ISNA(MATCH(556,'Transfer Engine'!$C$2:$C$622,0)),"",INDEX('Compliance Database'!$G$2:$G$622,MATCH(556,'Transfer Engine'!$C$2:$C$622,0)))</f>
        <v/>
      </c>
      <c r="H565">
        <f>IF(ISNA(MATCH(556,'Transfer Engine'!$C$2:$C$622,0)),"",INDEX('Compliance Database'!$H$2:$H$622,MATCH(556,'Transfer Engine'!$C$2:$C$622,0)))</f>
        <v/>
      </c>
      <c r="I565" s="8">
        <f>IF(ISNA(MATCH(556,'Transfer Engine'!$C$2:$C$622,0)),"",INDEX('Compliance Database'!$I$2:$I$622,MATCH(556,'Transfer Engine'!$C$2:$C$622,0)))</f>
        <v/>
      </c>
      <c r="J565" s="8">
        <f>IF(ISNA(MATCH(556,'Transfer Engine'!$C$2:$C$622,0)),"",INDEX('Compliance Database'!$J$2:$J$622,MATCH(556,'Transfer Engine'!$C$2:$C$622,0)))</f>
        <v/>
      </c>
      <c r="K565">
        <f>IF(ISNA(MATCH(556,'Transfer Engine'!$C$2:$C$622,0)),"",INDEX('Compliance Database'!$K$2:$K$622,MATCH(556,'Transfer Engine'!$C$2:$C$622,0)))</f>
        <v/>
      </c>
      <c r="L565" s="8">
        <f>IF(ISNA(MATCH(556,'Transfer Engine'!$C$2:$C$622,0)),"",INDEX('Compliance Database'!$L$2:$L$622,MATCH(556,'Transfer Engine'!$C$2:$C$622,0)))</f>
        <v/>
      </c>
      <c r="M565" s="8">
        <f>IF(ISNA(MATCH(556,'Transfer Engine'!$C$2:$C$622,0)),"",INDEX('Compliance Database'!$M$2:$M$622,MATCH(556,'Transfer Engine'!$C$2:$C$622,0)))</f>
        <v/>
      </c>
      <c r="N565" s="8">
        <f>IF(ISNA(MATCH(556,'Transfer Engine'!$C$2:$C$622,0)),"",INDEX('Compliance Database'!$N$2:$N$622,MATCH(556,'Transfer Engine'!$C$2:$C$622,0)))</f>
        <v/>
      </c>
      <c r="O565" s="8">
        <f>IF(ISNA(MATCH(556,'Transfer Engine'!$C$2:$C$622,0)),"",INDEX('Compliance Database'!$O$2:$O$622,MATCH(556,'Transfer Engine'!$C$2:$C$622,0)))</f>
        <v/>
      </c>
    </row>
    <row r="566">
      <c r="A566">
        <f>IF(ISNA(MATCH(557,'Transfer Engine'!$C$2:$C$622,0)),"",INDEX('Compliance Database'!$A$2:$A$622,MATCH(557,'Transfer Engine'!$C$2:$C$622,0)))</f>
        <v/>
      </c>
      <c r="B566">
        <f>IF(ISNA(MATCH(557,'Transfer Engine'!$C$2:$C$622,0)),"",INDEX('Compliance Database'!$B$2:$B$622,MATCH(557,'Transfer Engine'!$C$2:$C$622,0)))</f>
        <v/>
      </c>
      <c r="C566">
        <f>IF(ISNA(MATCH(557,'Transfer Engine'!$C$2:$C$622,0)),"",INDEX('Compliance Database'!$C$2:$C$622,MATCH(557,'Transfer Engine'!$C$2:$C$622,0)))</f>
        <v/>
      </c>
      <c r="D566" s="8">
        <f>IF(ISNA(MATCH(557,'Transfer Engine'!$C$2:$C$622,0)),"",INDEX('Compliance Database'!$D$2:$D$622,MATCH(557,'Transfer Engine'!$C$2:$C$622,0)))</f>
        <v/>
      </c>
      <c r="E566">
        <f>IF(ISNA(MATCH(557,'Transfer Engine'!$C$2:$C$622,0)),"",INDEX('Compliance Database'!$E$2:$E$622,MATCH(557,'Transfer Engine'!$C$2:$C$622,0)))</f>
        <v/>
      </c>
      <c r="F566">
        <f>IF(ISNA(MATCH(557,'Transfer Engine'!$C$2:$C$622,0)),"",INDEX('Compliance Database'!$F$2:$F$622,MATCH(557,'Transfer Engine'!$C$2:$C$622,0)))</f>
        <v/>
      </c>
      <c r="G566">
        <f>IF(ISNA(MATCH(557,'Transfer Engine'!$C$2:$C$622,0)),"",INDEX('Compliance Database'!$G$2:$G$622,MATCH(557,'Transfer Engine'!$C$2:$C$622,0)))</f>
        <v/>
      </c>
      <c r="H566">
        <f>IF(ISNA(MATCH(557,'Transfer Engine'!$C$2:$C$622,0)),"",INDEX('Compliance Database'!$H$2:$H$622,MATCH(557,'Transfer Engine'!$C$2:$C$622,0)))</f>
        <v/>
      </c>
      <c r="I566" s="8">
        <f>IF(ISNA(MATCH(557,'Transfer Engine'!$C$2:$C$622,0)),"",INDEX('Compliance Database'!$I$2:$I$622,MATCH(557,'Transfer Engine'!$C$2:$C$622,0)))</f>
        <v/>
      </c>
      <c r="J566" s="8">
        <f>IF(ISNA(MATCH(557,'Transfer Engine'!$C$2:$C$622,0)),"",INDEX('Compliance Database'!$J$2:$J$622,MATCH(557,'Transfer Engine'!$C$2:$C$622,0)))</f>
        <v/>
      </c>
      <c r="K566">
        <f>IF(ISNA(MATCH(557,'Transfer Engine'!$C$2:$C$622,0)),"",INDEX('Compliance Database'!$K$2:$K$622,MATCH(557,'Transfer Engine'!$C$2:$C$622,0)))</f>
        <v/>
      </c>
      <c r="L566" s="8">
        <f>IF(ISNA(MATCH(557,'Transfer Engine'!$C$2:$C$622,0)),"",INDEX('Compliance Database'!$L$2:$L$622,MATCH(557,'Transfer Engine'!$C$2:$C$622,0)))</f>
        <v/>
      </c>
      <c r="M566" s="8">
        <f>IF(ISNA(MATCH(557,'Transfer Engine'!$C$2:$C$622,0)),"",INDEX('Compliance Database'!$M$2:$M$622,MATCH(557,'Transfer Engine'!$C$2:$C$622,0)))</f>
        <v/>
      </c>
      <c r="N566" s="8">
        <f>IF(ISNA(MATCH(557,'Transfer Engine'!$C$2:$C$622,0)),"",INDEX('Compliance Database'!$N$2:$N$622,MATCH(557,'Transfer Engine'!$C$2:$C$622,0)))</f>
        <v/>
      </c>
      <c r="O566" s="8">
        <f>IF(ISNA(MATCH(557,'Transfer Engine'!$C$2:$C$622,0)),"",INDEX('Compliance Database'!$O$2:$O$622,MATCH(557,'Transfer Engine'!$C$2:$C$622,0)))</f>
        <v/>
      </c>
    </row>
    <row r="567">
      <c r="A567">
        <f>IF(ISNA(MATCH(558,'Transfer Engine'!$C$2:$C$622,0)),"",INDEX('Compliance Database'!$A$2:$A$622,MATCH(558,'Transfer Engine'!$C$2:$C$622,0)))</f>
        <v/>
      </c>
      <c r="B567">
        <f>IF(ISNA(MATCH(558,'Transfer Engine'!$C$2:$C$622,0)),"",INDEX('Compliance Database'!$B$2:$B$622,MATCH(558,'Transfer Engine'!$C$2:$C$622,0)))</f>
        <v/>
      </c>
      <c r="C567">
        <f>IF(ISNA(MATCH(558,'Transfer Engine'!$C$2:$C$622,0)),"",INDEX('Compliance Database'!$C$2:$C$622,MATCH(558,'Transfer Engine'!$C$2:$C$622,0)))</f>
        <v/>
      </c>
      <c r="D567" s="8">
        <f>IF(ISNA(MATCH(558,'Transfer Engine'!$C$2:$C$622,0)),"",INDEX('Compliance Database'!$D$2:$D$622,MATCH(558,'Transfer Engine'!$C$2:$C$622,0)))</f>
        <v/>
      </c>
      <c r="E567">
        <f>IF(ISNA(MATCH(558,'Transfer Engine'!$C$2:$C$622,0)),"",INDEX('Compliance Database'!$E$2:$E$622,MATCH(558,'Transfer Engine'!$C$2:$C$622,0)))</f>
        <v/>
      </c>
      <c r="F567">
        <f>IF(ISNA(MATCH(558,'Transfer Engine'!$C$2:$C$622,0)),"",INDEX('Compliance Database'!$F$2:$F$622,MATCH(558,'Transfer Engine'!$C$2:$C$622,0)))</f>
        <v/>
      </c>
      <c r="G567">
        <f>IF(ISNA(MATCH(558,'Transfer Engine'!$C$2:$C$622,0)),"",INDEX('Compliance Database'!$G$2:$G$622,MATCH(558,'Transfer Engine'!$C$2:$C$622,0)))</f>
        <v/>
      </c>
      <c r="H567">
        <f>IF(ISNA(MATCH(558,'Transfer Engine'!$C$2:$C$622,0)),"",INDEX('Compliance Database'!$H$2:$H$622,MATCH(558,'Transfer Engine'!$C$2:$C$622,0)))</f>
        <v/>
      </c>
      <c r="I567" s="8">
        <f>IF(ISNA(MATCH(558,'Transfer Engine'!$C$2:$C$622,0)),"",INDEX('Compliance Database'!$I$2:$I$622,MATCH(558,'Transfer Engine'!$C$2:$C$622,0)))</f>
        <v/>
      </c>
      <c r="J567" s="8">
        <f>IF(ISNA(MATCH(558,'Transfer Engine'!$C$2:$C$622,0)),"",INDEX('Compliance Database'!$J$2:$J$622,MATCH(558,'Transfer Engine'!$C$2:$C$622,0)))</f>
        <v/>
      </c>
      <c r="K567">
        <f>IF(ISNA(MATCH(558,'Transfer Engine'!$C$2:$C$622,0)),"",INDEX('Compliance Database'!$K$2:$K$622,MATCH(558,'Transfer Engine'!$C$2:$C$622,0)))</f>
        <v/>
      </c>
      <c r="L567" s="8">
        <f>IF(ISNA(MATCH(558,'Transfer Engine'!$C$2:$C$622,0)),"",INDEX('Compliance Database'!$L$2:$L$622,MATCH(558,'Transfer Engine'!$C$2:$C$622,0)))</f>
        <v/>
      </c>
      <c r="M567" s="8">
        <f>IF(ISNA(MATCH(558,'Transfer Engine'!$C$2:$C$622,0)),"",INDEX('Compliance Database'!$M$2:$M$622,MATCH(558,'Transfer Engine'!$C$2:$C$622,0)))</f>
        <v/>
      </c>
      <c r="N567" s="8">
        <f>IF(ISNA(MATCH(558,'Transfer Engine'!$C$2:$C$622,0)),"",INDEX('Compliance Database'!$N$2:$N$622,MATCH(558,'Transfer Engine'!$C$2:$C$622,0)))</f>
        <v/>
      </c>
      <c r="O567" s="8">
        <f>IF(ISNA(MATCH(558,'Transfer Engine'!$C$2:$C$622,0)),"",INDEX('Compliance Database'!$O$2:$O$622,MATCH(558,'Transfer Engine'!$C$2:$C$622,0)))</f>
        <v/>
      </c>
    </row>
    <row r="568">
      <c r="A568">
        <f>IF(ISNA(MATCH(559,'Transfer Engine'!$C$2:$C$622,0)),"",INDEX('Compliance Database'!$A$2:$A$622,MATCH(559,'Transfer Engine'!$C$2:$C$622,0)))</f>
        <v/>
      </c>
      <c r="B568">
        <f>IF(ISNA(MATCH(559,'Transfer Engine'!$C$2:$C$622,0)),"",INDEX('Compliance Database'!$B$2:$B$622,MATCH(559,'Transfer Engine'!$C$2:$C$622,0)))</f>
        <v/>
      </c>
      <c r="C568">
        <f>IF(ISNA(MATCH(559,'Transfer Engine'!$C$2:$C$622,0)),"",INDEX('Compliance Database'!$C$2:$C$622,MATCH(559,'Transfer Engine'!$C$2:$C$622,0)))</f>
        <v/>
      </c>
      <c r="D568" s="8">
        <f>IF(ISNA(MATCH(559,'Transfer Engine'!$C$2:$C$622,0)),"",INDEX('Compliance Database'!$D$2:$D$622,MATCH(559,'Transfer Engine'!$C$2:$C$622,0)))</f>
        <v/>
      </c>
      <c r="E568">
        <f>IF(ISNA(MATCH(559,'Transfer Engine'!$C$2:$C$622,0)),"",INDEX('Compliance Database'!$E$2:$E$622,MATCH(559,'Transfer Engine'!$C$2:$C$622,0)))</f>
        <v/>
      </c>
      <c r="F568">
        <f>IF(ISNA(MATCH(559,'Transfer Engine'!$C$2:$C$622,0)),"",INDEX('Compliance Database'!$F$2:$F$622,MATCH(559,'Transfer Engine'!$C$2:$C$622,0)))</f>
        <v/>
      </c>
      <c r="G568">
        <f>IF(ISNA(MATCH(559,'Transfer Engine'!$C$2:$C$622,0)),"",INDEX('Compliance Database'!$G$2:$G$622,MATCH(559,'Transfer Engine'!$C$2:$C$622,0)))</f>
        <v/>
      </c>
      <c r="H568">
        <f>IF(ISNA(MATCH(559,'Transfer Engine'!$C$2:$C$622,0)),"",INDEX('Compliance Database'!$H$2:$H$622,MATCH(559,'Transfer Engine'!$C$2:$C$622,0)))</f>
        <v/>
      </c>
      <c r="I568" s="8">
        <f>IF(ISNA(MATCH(559,'Transfer Engine'!$C$2:$C$622,0)),"",INDEX('Compliance Database'!$I$2:$I$622,MATCH(559,'Transfer Engine'!$C$2:$C$622,0)))</f>
        <v/>
      </c>
      <c r="J568" s="8">
        <f>IF(ISNA(MATCH(559,'Transfer Engine'!$C$2:$C$622,0)),"",INDEX('Compliance Database'!$J$2:$J$622,MATCH(559,'Transfer Engine'!$C$2:$C$622,0)))</f>
        <v/>
      </c>
      <c r="K568">
        <f>IF(ISNA(MATCH(559,'Transfer Engine'!$C$2:$C$622,0)),"",INDEX('Compliance Database'!$K$2:$K$622,MATCH(559,'Transfer Engine'!$C$2:$C$622,0)))</f>
        <v/>
      </c>
      <c r="L568" s="8">
        <f>IF(ISNA(MATCH(559,'Transfer Engine'!$C$2:$C$622,0)),"",INDEX('Compliance Database'!$L$2:$L$622,MATCH(559,'Transfer Engine'!$C$2:$C$622,0)))</f>
        <v/>
      </c>
      <c r="M568" s="8">
        <f>IF(ISNA(MATCH(559,'Transfer Engine'!$C$2:$C$622,0)),"",INDEX('Compliance Database'!$M$2:$M$622,MATCH(559,'Transfer Engine'!$C$2:$C$622,0)))</f>
        <v/>
      </c>
      <c r="N568" s="8">
        <f>IF(ISNA(MATCH(559,'Transfer Engine'!$C$2:$C$622,0)),"",INDEX('Compliance Database'!$N$2:$N$622,MATCH(559,'Transfer Engine'!$C$2:$C$622,0)))</f>
        <v/>
      </c>
      <c r="O568" s="8">
        <f>IF(ISNA(MATCH(559,'Transfer Engine'!$C$2:$C$622,0)),"",INDEX('Compliance Database'!$O$2:$O$622,MATCH(559,'Transfer Engine'!$C$2:$C$622,0)))</f>
        <v/>
      </c>
    </row>
    <row r="569">
      <c r="A569">
        <f>IF(ISNA(MATCH(560,'Transfer Engine'!$C$2:$C$622,0)),"",INDEX('Compliance Database'!$A$2:$A$622,MATCH(560,'Transfer Engine'!$C$2:$C$622,0)))</f>
        <v/>
      </c>
      <c r="B569">
        <f>IF(ISNA(MATCH(560,'Transfer Engine'!$C$2:$C$622,0)),"",INDEX('Compliance Database'!$B$2:$B$622,MATCH(560,'Transfer Engine'!$C$2:$C$622,0)))</f>
        <v/>
      </c>
      <c r="C569">
        <f>IF(ISNA(MATCH(560,'Transfer Engine'!$C$2:$C$622,0)),"",INDEX('Compliance Database'!$C$2:$C$622,MATCH(560,'Transfer Engine'!$C$2:$C$622,0)))</f>
        <v/>
      </c>
      <c r="D569" s="8">
        <f>IF(ISNA(MATCH(560,'Transfer Engine'!$C$2:$C$622,0)),"",INDEX('Compliance Database'!$D$2:$D$622,MATCH(560,'Transfer Engine'!$C$2:$C$622,0)))</f>
        <v/>
      </c>
      <c r="E569">
        <f>IF(ISNA(MATCH(560,'Transfer Engine'!$C$2:$C$622,0)),"",INDEX('Compliance Database'!$E$2:$E$622,MATCH(560,'Transfer Engine'!$C$2:$C$622,0)))</f>
        <v/>
      </c>
      <c r="F569">
        <f>IF(ISNA(MATCH(560,'Transfer Engine'!$C$2:$C$622,0)),"",INDEX('Compliance Database'!$F$2:$F$622,MATCH(560,'Transfer Engine'!$C$2:$C$622,0)))</f>
        <v/>
      </c>
      <c r="G569">
        <f>IF(ISNA(MATCH(560,'Transfer Engine'!$C$2:$C$622,0)),"",INDEX('Compliance Database'!$G$2:$G$622,MATCH(560,'Transfer Engine'!$C$2:$C$622,0)))</f>
        <v/>
      </c>
      <c r="H569">
        <f>IF(ISNA(MATCH(560,'Transfer Engine'!$C$2:$C$622,0)),"",INDEX('Compliance Database'!$H$2:$H$622,MATCH(560,'Transfer Engine'!$C$2:$C$622,0)))</f>
        <v/>
      </c>
      <c r="I569" s="8">
        <f>IF(ISNA(MATCH(560,'Transfer Engine'!$C$2:$C$622,0)),"",INDEX('Compliance Database'!$I$2:$I$622,MATCH(560,'Transfer Engine'!$C$2:$C$622,0)))</f>
        <v/>
      </c>
      <c r="J569" s="8">
        <f>IF(ISNA(MATCH(560,'Transfer Engine'!$C$2:$C$622,0)),"",INDEX('Compliance Database'!$J$2:$J$622,MATCH(560,'Transfer Engine'!$C$2:$C$622,0)))</f>
        <v/>
      </c>
      <c r="K569">
        <f>IF(ISNA(MATCH(560,'Transfer Engine'!$C$2:$C$622,0)),"",INDEX('Compliance Database'!$K$2:$K$622,MATCH(560,'Transfer Engine'!$C$2:$C$622,0)))</f>
        <v/>
      </c>
      <c r="L569" s="8">
        <f>IF(ISNA(MATCH(560,'Transfer Engine'!$C$2:$C$622,0)),"",INDEX('Compliance Database'!$L$2:$L$622,MATCH(560,'Transfer Engine'!$C$2:$C$622,0)))</f>
        <v/>
      </c>
      <c r="M569" s="8">
        <f>IF(ISNA(MATCH(560,'Transfer Engine'!$C$2:$C$622,0)),"",INDEX('Compliance Database'!$M$2:$M$622,MATCH(560,'Transfer Engine'!$C$2:$C$622,0)))</f>
        <v/>
      </c>
      <c r="N569" s="8">
        <f>IF(ISNA(MATCH(560,'Transfer Engine'!$C$2:$C$622,0)),"",INDEX('Compliance Database'!$N$2:$N$622,MATCH(560,'Transfer Engine'!$C$2:$C$622,0)))</f>
        <v/>
      </c>
      <c r="O569" s="8">
        <f>IF(ISNA(MATCH(560,'Transfer Engine'!$C$2:$C$622,0)),"",INDEX('Compliance Database'!$O$2:$O$622,MATCH(560,'Transfer Engine'!$C$2:$C$622,0)))</f>
        <v/>
      </c>
    </row>
    <row r="570">
      <c r="A570">
        <f>IF(ISNA(MATCH(561,'Transfer Engine'!$C$2:$C$622,0)),"",INDEX('Compliance Database'!$A$2:$A$622,MATCH(561,'Transfer Engine'!$C$2:$C$622,0)))</f>
        <v/>
      </c>
      <c r="B570">
        <f>IF(ISNA(MATCH(561,'Transfer Engine'!$C$2:$C$622,0)),"",INDEX('Compliance Database'!$B$2:$B$622,MATCH(561,'Transfer Engine'!$C$2:$C$622,0)))</f>
        <v/>
      </c>
      <c r="C570">
        <f>IF(ISNA(MATCH(561,'Transfer Engine'!$C$2:$C$622,0)),"",INDEX('Compliance Database'!$C$2:$C$622,MATCH(561,'Transfer Engine'!$C$2:$C$622,0)))</f>
        <v/>
      </c>
      <c r="D570" s="8">
        <f>IF(ISNA(MATCH(561,'Transfer Engine'!$C$2:$C$622,0)),"",INDEX('Compliance Database'!$D$2:$D$622,MATCH(561,'Transfer Engine'!$C$2:$C$622,0)))</f>
        <v/>
      </c>
      <c r="E570">
        <f>IF(ISNA(MATCH(561,'Transfer Engine'!$C$2:$C$622,0)),"",INDEX('Compliance Database'!$E$2:$E$622,MATCH(561,'Transfer Engine'!$C$2:$C$622,0)))</f>
        <v/>
      </c>
      <c r="F570">
        <f>IF(ISNA(MATCH(561,'Transfer Engine'!$C$2:$C$622,0)),"",INDEX('Compliance Database'!$F$2:$F$622,MATCH(561,'Transfer Engine'!$C$2:$C$622,0)))</f>
        <v/>
      </c>
      <c r="G570">
        <f>IF(ISNA(MATCH(561,'Transfer Engine'!$C$2:$C$622,0)),"",INDEX('Compliance Database'!$G$2:$G$622,MATCH(561,'Transfer Engine'!$C$2:$C$622,0)))</f>
        <v/>
      </c>
      <c r="H570">
        <f>IF(ISNA(MATCH(561,'Transfer Engine'!$C$2:$C$622,0)),"",INDEX('Compliance Database'!$H$2:$H$622,MATCH(561,'Transfer Engine'!$C$2:$C$622,0)))</f>
        <v/>
      </c>
      <c r="I570" s="8">
        <f>IF(ISNA(MATCH(561,'Transfer Engine'!$C$2:$C$622,0)),"",INDEX('Compliance Database'!$I$2:$I$622,MATCH(561,'Transfer Engine'!$C$2:$C$622,0)))</f>
        <v/>
      </c>
      <c r="J570" s="8">
        <f>IF(ISNA(MATCH(561,'Transfer Engine'!$C$2:$C$622,0)),"",INDEX('Compliance Database'!$J$2:$J$622,MATCH(561,'Transfer Engine'!$C$2:$C$622,0)))</f>
        <v/>
      </c>
      <c r="K570">
        <f>IF(ISNA(MATCH(561,'Transfer Engine'!$C$2:$C$622,0)),"",INDEX('Compliance Database'!$K$2:$K$622,MATCH(561,'Transfer Engine'!$C$2:$C$622,0)))</f>
        <v/>
      </c>
      <c r="L570" s="8">
        <f>IF(ISNA(MATCH(561,'Transfer Engine'!$C$2:$C$622,0)),"",INDEX('Compliance Database'!$L$2:$L$622,MATCH(561,'Transfer Engine'!$C$2:$C$622,0)))</f>
        <v/>
      </c>
      <c r="M570" s="8">
        <f>IF(ISNA(MATCH(561,'Transfer Engine'!$C$2:$C$622,0)),"",INDEX('Compliance Database'!$M$2:$M$622,MATCH(561,'Transfer Engine'!$C$2:$C$622,0)))</f>
        <v/>
      </c>
      <c r="N570" s="8">
        <f>IF(ISNA(MATCH(561,'Transfer Engine'!$C$2:$C$622,0)),"",INDEX('Compliance Database'!$N$2:$N$622,MATCH(561,'Transfer Engine'!$C$2:$C$622,0)))</f>
        <v/>
      </c>
      <c r="O570" s="8">
        <f>IF(ISNA(MATCH(561,'Transfer Engine'!$C$2:$C$622,0)),"",INDEX('Compliance Database'!$O$2:$O$622,MATCH(561,'Transfer Engine'!$C$2:$C$622,0)))</f>
        <v/>
      </c>
    </row>
    <row r="571">
      <c r="A571">
        <f>IF(ISNA(MATCH(562,'Transfer Engine'!$C$2:$C$622,0)),"",INDEX('Compliance Database'!$A$2:$A$622,MATCH(562,'Transfer Engine'!$C$2:$C$622,0)))</f>
        <v/>
      </c>
      <c r="B571">
        <f>IF(ISNA(MATCH(562,'Transfer Engine'!$C$2:$C$622,0)),"",INDEX('Compliance Database'!$B$2:$B$622,MATCH(562,'Transfer Engine'!$C$2:$C$622,0)))</f>
        <v/>
      </c>
      <c r="C571">
        <f>IF(ISNA(MATCH(562,'Transfer Engine'!$C$2:$C$622,0)),"",INDEX('Compliance Database'!$C$2:$C$622,MATCH(562,'Transfer Engine'!$C$2:$C$622,0)))</f>
        <v/>
      </c>
      <c r="D571" s="8">
        <f>IF(ISNA(MATCH(562,'Transfer Engine'!$C$2:$C$622,0)),"",INDEX('Compliance Database'!$D$2:$D$622,MATCH(562,'Transfer Engine'!$C$2:$C$622,0)))</f>
        <v/>
      </c>
      <c r="E571">
        <f>IF(ISNA(MATCH(562,'Transfer Engine'!$C$2:$C$622,0)),"",INDEX('Compliance Database'!$E$2:$E$622,MATCH(562,'Transfer Engine'!$C$2:$C$622,0)))</f>
        <v/>
      </c>
      <c r="F571">
        <f>IF(ISNA(MATCH(562,'Transfer Engine'!$C$2:$C$622,0)),"",INDEX('Compliance Database'!$F$2:$F$622,MATCH(562,'Transfer Engine'!$C$2:$C$622,0)))</f>
        <v/>
      </c>
      <c r="G571">
        <f>IF(ISNA(MATCH(562,'Transfer Engine'!$C$2:$C$622,0)),"",INDEX('Compliance Database'!$G$2:$G$622,MATCH(562,'Transfer Engine'!$C$2:$C$622,0)))</f>
        <v/>
      </c>
      <c r="H571">
        <f>IF(ISNA(MATCH(562,'Transfer Engine'!$C$2:$C$622,0)),"",INDEX('Compliance Database'!$H$2:$H$622,MATCH(562,'Transfer Engine'!$C$2:$C$622,0)))</f>
        <v/>
      </c>
      <c r="I571" s="8">
        <f>IF(ISNA(MATCH(562,'Transfer Engine'!$C$2:$C$622,0)),"",INDEX('Compliance Database'!$I$2:$I$622,MATCH(562,'Transfer Engine'!$C$2:$C$622,0)))</f>
        <v/>
      </c>
      <c r="J571" s="8">
        <f>IF(ISNA(MATCH(562,'Transfer Engine'!$C$2:$C$622,0)),"",INDEX('Compliance Database'!$J$2:$J$622,MATCH(562,'Transfer Engine'!$C$2:$C$622,0)))</f>
        <v/>
      </c>
      <c r="K571">
        <f>IF(ISNA(MATCH(562,'Transfer Engine'!$C$2:$C$622,0)),"",INDEX('Compliance Database'!$K$2:$K$622,MATCH(562,'Transfer Engine'!$C$2:$C$622,0)))</f>
        <v/>
      </c>
      <c r="L571" s="8">
        <f>IF(ISNA(MATCH(562,'Transfer Engine'!$C$2:$C$622,0)),"",INDEX('Compliance Database'!$L$2:$L$622,MATCH(562,'Transfer Engine'!$C$2:$C$622,0)))</f>
        <v/>
      </c>
      <c r="M571" s="8">
        <f>IF(ISNA(MATCH(562,'Transfer Engine'!$C$2:$C$622,0)),"",INDEX('Compliance Database'!$M$2:$M$622,MATCH(562,'Transfer Engine'!$C$2:$C$622,0)))</f>
        <v/>
      </c>
      <c r="N571" s="8">
        <f>IF(ISNA(MATCH(562,'Transfer Engine'!$C$2:$C$622,0)),"",INDEX('Compliance Database'!$N$2:$N$622,MATCH(562,'Transfer Engine'!$C$2:$C$622,0)))</f>
        <v/>
      </c>
      <c r="O571" s="8">
        <f>IF(ISNA(MATCH(562,'Transfer Engine'!$C$2:$C$622,0)),"",INDEX('Compliance Database'!$O$2:$O$622,MATCH(562,'Transfer Engine'!$C$2:$C$622,0)))</f>
        <v/>
      </c>
    </row>
    <row r="572">
      <c r="A572">
        <f>IF(ISNA(MATCH(563,'Transfer Engine'!$C$2:$C$622,0)),"",INDEX('Compliance Database'!$A$2:$A$622,MATCH(563,'Transfer Engine'!$C$2:$C$622,0)))</f>
        <v/>
      </c>
      <c r="B572">
        <f>IF(ISNA(MATCH(563,'Transfer Engine'!$C$2:$C$622,0)),"",INDEX('Compliance Database'!$B$2:$B$622,MATCH(563,'Transfer Engine'!$C$2:$C$622,0)))</f>
        <v/>
      </c>
      <c r="C572">
        <f>IF(ISNA(MATCH(563,'Transfer Engine'!$C$2:$C$622,0)),"",INDEX('Compliance Database'!$C$2:$C$622,MATCH(563,'Transfer Engine'!$C$2:$C$622,0)))</f>
        <v/>
      </c>
      <c r="D572" s="8">
        <f>IF(ISNA(MATCH(563,'Transfer Engine'!$C$2:$C$622,0)),"",INDEX('Compliance Database'!$D$2:$D$622,MATCH(563,'Transfer Engine'!$C$2:$C$622,0)))</f>
        <v/>
      </c>
      <c r="E572">
        <f>IF(ISNA(MATCH(563,'Transfer Engine'!$C$2:$C$622,0)),"",INDEX('Compliance Database'!$E$2:$E$622,MATCH(563,'Transfer Engine'!$C$2:$C$622,0)))</f>
        <v/>
      </c>
      <c r="F572">
        <f>IF(ISNA(MATCH(563,'Transfer Engine'!$C$2:$C$622,0)),"",INDEX('Compliance Database'!$F$2:$F$622,MATCH(563,'Transfer Engine'!$C$2:$C$622,0)))</f>
        <v/>
      </c>
      <c r="G572">
        <f>IF(ISNA(MATCH(563,'Transfer Engine'!$C$2:$C$622,0)),"",INDEX('Compliance Database'!$G$2:$G$622,MATCH(563,'Transfer Engine'!$C$2:$C$622,0)))</f>
        <v/>
      </c>
      <c r="H572">
        <f>IF(ISNA(MATCH(563,'Transfer Engine'!$C$2:$C$622,0)),"",INDEX('Compliance Database'!$H$2:$H$622,MATCH(563,'Transfer Engine'!$C$2:$C$622,0)))</f>
        <v/>
      </c>
      <c r="I572" s="8">
        <f>IF(ISNA(MATCH(563,'Transfer Engine'!$C$2:$C$622,0)),"",INDEX('Compliance Database'!$I$2:$I$622,MATCH(563,'Transfer Engine'!$C$2:$C$622,0)))</f>
        <v/>
      </c>
      <c r="J572" s="8">
        <f>IF(ISNA(MATCH(563,'Transfer Engine'!$C$2:$C$622,0)),"",INDEX('Compliance Database'!$J$2:$J$622,MATCH(563,'Transfer Engine'!$C$2:$C$622,0)))</f>
        <v/>
      </c>
      <c r="K572">
        <f>IF(ISNA(MATCH(563,'Transfer Engine'!$C$2:$C$622,0)),"",INDEX('Compliance Database'!$K$2:$K$622,MATCH(563,'Transfer Engine'!$C$2:$C$622,0)))</f>
        <v/>
      </c>
      <c r="L572" s="8">
        <f>IF(ISNA(MATCH(563,'Transfer Engine'!$C$2:$C$622,0)),"",INDEX('Compliance Database'!$L$2:$L$622,MATCH(563,'Transfer Engine'!$C$2:$C$622,0)))</f>
        <v/>
      </c>
      <c r="M572" s="8">
        <f>IF(ISNA(MATCH(563,'Transfer Engine'!$C$2:$C$622,0)),"",INDEX('Compliance Database'!$M$2:$M$622,MATCH(563,'Transfer Engine'!$C$2:$C$622,0)))</f>
        <v/>
      </c>
      <c r="N572" s="8">
        <f>IF(ISNA(MATCH(563,'Transfer Engine'!$C$2:$C$622,0)),"",INDEX('Compliance Database'!$N$2:$N$622,MATCH(563,'Transfer Engine'!$C$2:$C$622,0)))</f>
        <v/>
      </c>
      <c r="O572" s="8">
        <f>IF(ISNA(MATCH(563,'Transfer Engine'!$C$2:$C$622,0)),"",INDEX('Compliance Database'!$O$2:$O$622,MATCH(563,'Transfer Engine'!$C$2:$C$622,0)))</f>
        <v/>
      </c>
    </row>
    <row r="573">
      <c r="A573">
        <f>IF(ISNA(MATCH(564,'Transfer Engine'!$C$2:$C$622,0)),"",INDEX('Compliance Database'!$A$2:$A$622,MATCH(564,'Transfer Engine'!$C$2:$C$622,0)))</f>
        <v/>
      </c>
      <c r="B573">
        <f>IF(ISNA(MATCH(564,'Transfer Engine'!$C$2:$C$622,0)),"",INDEX('Compliance Database'!$B$2:$B$622,MATCH(564,'Transfer Engine'!$C$2:$C$622,0)))</f>
        <v/>
      </c>
      <c r="C573">
        <f>IF(ISNA(MATCH(564,'Transfer Engine'!$C$2:$C$622,0)),"",INDEX('Compliance Database'!$C$2:$C$622,MATCH(564,'Transfer Engine'!$C$2:$C$622,0)))</f>
        <v/>
      </c>
      <c r="D573" s="8">
        <f>IF(ISNA(MATCH(564,'Transfer Engine'!$C$2:$C$622,0)),"",INDEX('Compliance Database'!$D$2:$D$622,MATCH(564,'Transfer Engine'!$C$2:$C$622,0)))</f>
        <v/>
      </c>
      <c r="E573">
        <f>IF(ISNA(MATCH(564,'Transfer Engine'!$C$2:$C$622,0)),"",INDEX('Compliance Database'!$E$2:$E$622,MATCH(564,'Transfer Engine'!$C$2:$C$622,0)))</f>
        <v/>
      </c>
      <c r="F573">
        <f>IF(ISNA(MATCH(564,'Transfer Engine'!$C$2:$C$622,0)),"",INDEX('Compliance Database'!$F$2:$F$622,MATCH(564,'Transfer Engine'!$C$2:$C$622,0)))</f>
        <v/>
      </c>
      <c r="G573">
        <f>IF(ISNA(MATCH(564,'Transfer Engine'!$C$2:$C$622,0)),"",INDEX('Compliance Database'!$G$2:$G$622,MATCH(564,'Transfer Engine'!$C$2:$C$622,0)))</f>
        <v/>
      </c>
      <c r="H573">
        <f>IF(ISNA(MATCH(564,'Transfer Engine'!$C$2:$C$622,0)),"",INDEX('Compliance Database'!$H$2:$H$622,MATCH(564,'Transfer Engine'!$C$2:$C$622,0)))</f>
        <v/>
      </c>
      <c r="I573" s="8">
        <f>IF(ISNA(MATCH(564,'Transfer Engine'!$C$2:$C$622,0)),"",INDEX('Compliance Database'!$I$2:$I$622,MATCH(564,'Transfer Engine'!$C$2:$C$622,0)))</f>
        <v/>
      </c>
      <c r="J573" s="8">
        <f>IF(ISNA(MATCH(564,'Transfer Engine'!$C$2:$C$622,0)),"",INDEX('Compliance Database'!$J$2:$J$622,MATCH(564,'Transfer Engine'!$C$2:$C$622,0)))</f>
        <v/>
      </c>
      <c r="K573">
        <f>IF(ISNA(MATCH(564,'Transfer Engine'!$C$2:$C$622,0)),"",INDEX('Compliance Database'!$K$2:$K$622,MATCH(564,'Transfer Engine'!$C$2:$C$622,0)))</f>
        <v/>
      </c>
      <c r="L573" s="8">
        <f>IF(ISNA(MATCH(564,'Transfer Engine'!$C$2:$C$622,0)),"",INDEX('Compliance Database'!$L$2:$L$622,MATCH(564,'Transfer Engine'!$C$2:$C$622,0)))</f>
        <v/>
      </c>
      <c r="M573" s="8">
        <f>IF(ISNA(MATCH(564,'Transfer Engine'!$C$2:$C$622,0)),"",INDEX('Compliance Database'!$M$2:$M$622,MATCH(564,'Transfer Engine'!$C$2:$C$622,0)))</f>
        <v/>
      </c>
      <c r="N573" s="8">
        <f>IF(ISNA(MATCH(564,'Transfer Engine'!$C$2:$C$622,0)),"",INDEX('Compliance Database'!$N$2:$N$622,MATCH(564,'Transfer Engine'!$C$2:$C$622,0)))</f>
        <v/>
      </c>
      <c r="O573" s="8">
        <f>IF(ISNA(MATCH(564,'Transfer Engine'!$C$2:$C$622,0)),"",INDEX('Compliance Database'!$O$2:$O$622,MATCH(564,'Transfer Engine'!$C$2:$C$622,0)))</f>
        <v/>
      </c>
    </row>
    <row r="574">
      <c r="A574">
        <f>IF(ISNA(MATCH(565,'Transfer Engine'!$C$2:$C$622,0)),"",INDEX('Compliance Database'!$A$2:$A$622,MATCH(565,'Transfer Engine'!$C$2:$C$622,0)))</f>
        <v/>
      </c>
      <c r="B574">
        <f>IF(ISNA(MATCH(565,'Transfer Engine'!$C$2:$C$622,0)),"",INDEX('Compliance Database'!$B$2:$B$622,MATCH(565,'Transfer Engine'!$C$2:$C$622,0)))</f>
        <v/>
      </c>
      <c r="C574">
        <f>IF(ISNA(MATCH(565,'Transfer Engine'!$C$2:$C$622,0)),"",INDEX('Compliance Database'!$C$2:$C$622,MATCH(565,'Transfer Engine'!$C$2:$C$622,0)))</f>
        <v/>
      </c>
      <c r="D574" s="8">
        <f>IF(ISNA(MATCH(565,'Transfer Engine'!$C$2:$C$622,0)),"",INDEX('Compliance Database'!$D$2:$D$622,MATCH(565,'Transfer Engine'!$C$2:$C$622,0)))</f>
        <v/>
      </c>
      <c r="E574">
        <f>IF(ISNA(MATCH(565,'Transfer Engine'!$C$2:$C$622,0)),"",INDEX('Compliance Database'!$E$2:$E$622,MATCH(565,'Transfer Engine'!$C$2:$C$622,0)))</f>
        <v/>
      </c>
      <c r="F574">
        <f>IF(ISNA(MATCH(565,'Transfer Engine'!$C$2:$C$622,0)),"",INDEX('Compliance Database'!$F$2:$F$622,MATCH(565,'Transfer Engine'!$C$2:$C$622,0)))</f>
        <v/>
      </c>
      <c r="G574">
        <f>IF(ISNA(MATCH(565,'Transfer Engine'!$C$2:$C$622,0)),"",INDEX('Compliance Database'!$G$2:$G$622,MATCH(565,'Transfer Engine'!$C$2:$C$622,0)))</f>
        <v/>
      </c>
      <c r="H574">
        <f>IF(ISNA(MATCH(565,'Transfer Engine'!$C$2:$C$622,0)),"",INDEX('Compliance Database'!$H$2:$H$622,MATCH(565,'Transfer Engine'!$C$2:$C$622,0)))</f>
        <v/>
      </c>
      <c r="I574" s="8">
        <f>IF(ISNA(MATCH(565,'Transfer Engine'!$C$2:$C$622,0)),"",INDEX('Compliance Database'!$I$2:$I$622,MATCH(565,'Transfer Engine'!$C$2:$C$622,0)))</f>
        <v/>
      </c>
      <c r="J574" s="8">
        <f>IF(ISNA(MATCH(565,'Transfer Engine'!$C$2:$C$622,0)),"",INDEX('Compliance Database'!$J$2:$J$622,MATCH(565,'Transfer Engine'!$C$2:$C$622,0)))</f>
        <v/>
      </c>
      <c r="K574">
        <f>IF(ISNA(MATCH(565,'Transfer Engine'!$C$2:$C$622,0)),"",INDEX('Compliance Database'!$K$2:$K$622,MATCH(565,'Transfer Engine'!$C$2:$C$622,0)))</f>
        <v/>
      </c>
      <c r="L574" s="8">
        <f>IF(ISNA(MATCH(565,'Transfer Engine'!$C$2:$C$622,0)),"",INDEX('Compliance Database'!$L$2:$L$622,MATCH(565,'Transfer Engine'!$C$2:$C$622,0)))</f>
        <v/>
      </c>
      <c r="M574" s="8">
        <f>IF(ISNA(MATCH(565,'Transfer Engine'!$C$2:$C$622,0)),"",INDEX('Compliance Database'!$M$2:$M$622,MATCH(565,'Transfer Engine'!$C$2:$C$622,0)))</f>
        <v/>
      </c>
      <c r="N574" s="8">
        <f>IF(ISNA(MATCH(565,'Transfer Engine'!$C$2:$C$622,0)),"",INDEX('Compliance Database'!$N$2:$N$622,MATCH(565,'Transfer Engine'!$C$2:$C$622,0)))</f>
        <v/>
      </c>
      <c r="O574" s="8">
        <f>IF(ISNA(MATCH(565,'Transfer Engine'!$C$2:$C$622,0)),"",INDEX('Compliance Database'!$O$2:$O$622,MATCH(565,'Transfer Engine'!$C$2:$C$622,0)))</f>
        <v/>
      </c>
    </row>
    <row r="575">
      <c r="A575">
        <f>IF(ISNA(MATCH(566,'Transfer Engine'!$C$2:$C$622,0)),"",INDEX('Compliance Database'!$A$2:$A$622,MATCH(566,'Transfer Engine'!$C$2:$C$622,0)))</f>
        <v/>
      </c>
      <c r="B575">
        <f>IF(ISNA(MATCH(566,'Transfer Engine'!$C$2:$C$622,0)),"",INDEX('Compliance Database'!$B$2:$B$622,MATCH(566,'Transfer Engine'!$C$2:$C$622,0)))</f>
        <v/>
      </c>
      <c r="C575">
        <f>IF(ISNA(MATCH(566,'Transfer Engine'!$C$2:$C$622,0)),"",INDEX('Compliance Database'!$C$2:$C$622,MATCH(566,'Transfer Engine'!$C$2:$C$622,0)))</f>
        <v/>
      </c>
      <c r="D575" s="8">
        <f>IF(ISNA(MATCH(566,'Transfer Engine'!$C$2:$C$622,0)),"",INDEX('Compliance Database'!$D$2:$D$622,MATCH(566,'Transfer Engine'!$C$2:$C$622,0)))</f>
        <v/>
      </c>
      <c r="E575">
        <f>IF(ISNA(MATCH(566,'Transfer Engine'!$C$2:$C$622,0)),"",INDEX('Compliance Database'!$E$2:$E$622,MATCH(566,'Transfer Engine'!$C$2:$C$622,0)))</f>
        <v/>
      </c>
      <c r="F575">
        <f>IF(ISNA(MATCH(566,'Transfer Engine'!$C$2:$C$622,0)),"",INDEX('Compliance Database'!$F$2:$F$622,MATCH(566,'Transfer Engine'!$C$2:$C$622,0)))</f>
        <v/>
      </c>
      <c r="G575">
        <f>IF(ISNA(MATCH(566,'Transfer Engine'!$C$2:$C$622,0)),"",INDEX('Compliance Database'!$G$2:$G$622,MATCH(566,'Transfer Engine'!$C$2:$C$622,0)))</f>
        <v/>
      </c>
      <c r="H575">
        <f>IF(ISNA(MATCH(566,'Transfer Engine'!$C$2:$C$622,0)),"",INDEX('Compliance Database'!$H$2:$H$622,MATCH(566,'Transfer Engine'!$C$2:$C$622,0)))</f>
        <v/>
      </c>
      <c r="I575" s="8">
        <f>IF(ISNA(MATCH(566,'Transfer Engine'!$C$2:$C$622,0)),"",INDEX('Compliance Database'!$I$2:$I$622,MATCH(566,'Transfer Engine'!$C$2:$C$622,0)))</f>
        <v/>
      </c>
      <c r="J575" s="8">
        <f>IF(ISNA(MATCH(566,'Transfer Engine'!$C$2:$C$622,0)),"",INDEX('Compliance Database'!$J$2:$J$622,MATCH(566,'Transfer Engine'!$C$2:$C$622,0)))</f>
        <v/>
      </c>
      <c r="K575">
        <f>IF(ISNA(MATCH(566,'Transfer Engine'!$C$2:$C$622,0)),"",INDEX('Compliance Database'!$K$2:$K$622,MATCH(566,'Transfer Engine'!$C$2:$C$622,0)))</f>
        <v/>
      </c>
      <c r="L575" s="8">
        <f>IF(ISNA(MATCH(566,'Transfer Engine'!$C$2:$C$622,0)),"",INDEX('Compliance Database'!$L$2:$L$622,MATCH(566,'Transfer Engine'!$C$2:$C$622,0)))</f>
        <v/>
      </c>
      <c r="M575" s="8">
        <f>IF(ISNA(MATCH(566,'Transfer Engine'!$C$2:$C$622,0)),"",INDEX('Compliance Database'!$M$2:$M$622,MATCH(566,'Transfer Engine'!$C$2:$C$622,0)))</f>
        <v/>
      </c>
      <c r="N575" s="8">
        <f>IF(ISNA(MATCH(566,'Transfer Engine'!$C$2:$C$622,0)),"",INDEX('Compliance Database'!$N$2:$N$622,MATCH(566,'Transfer Engine'!$C$2:$C$622,0)))</f>
        <v/>
      </c>
      <c r="O575" s="8">
        <f>IF(ISNA(MATCH(566,'Transfer Engine'!$C$2:$C$622,0)),"",INDEX('Compliance Database'!$O$2:$O$622,MATCH(566,'Transfer Engine'!$C$2:$C$622,0)))</f>
        <v/>
      </c>
    </row>
    <row r="576">
      <c r="A576">
        <f>IF(ISNA(MATCH(567,'Transfer Engine'!$C$2:$C$622,0)),"",INDEX('Compliance Database'!$A$2:$A$622,MATCH(567,'Transfer Engine'!$C$2:$C$622,0)))</f>
        <v/>
      </c>
      <c r="B576">
        <f>IF(ISNA(MATCH(567,'Transfer Engine'!$C$2:$C$622,0)),"",INDEX('Compliance Database'!$B$2:$B$622,MATCH(567,'Transfer Engine'!$C$2:$C$622,0)))</f>
        <v/>
      </c>
      <c r="C576">
        <f>IF(ISNA(MATCH(567,'Transfer Engine'!$C$2:$C$622,0)),"",INDEX('Compliance Database'!$C$2:$C$622,MATCH(567,'Transfer Engine'!$C$2:$C$622,0)))</f>
        <v/>
      </c>
      <c r="D576" s="8">
        <f>IF(ISNA(MATCH(567,'Transfer Engine'!$C$2:$C$622,0)),"",INDEX('Compliance Database'!$D$2:$D$622,MATCH(567,'Transfer Engine'!$C$2:$C$622,0)))</f>
        <v/>
      </c>
      <c r="E576">
        <f>IF(ISNA(MATCH(567,'Transfer Engine'!$C$2:$C$622,0)),"",INDEX('Compliance Database'!$E$2:$E$622,MATCH(567,'Transfer Engine'!$C$2:$C$622,0)))</f>
        <v/>
      </c>
      <c r="F576">
        <f>IF(ISNA(MATCH(567,'Transfer Engine'!$C$2:$C$622,0)),"",INDEX('Compliance Database'!$F$2:$F$622,MATCH(567,'Transfer Engine'!$C$2:$C$622,0)))</f>
        <v/>
      </c>
      <c r="G576">
        <f>IF(ISNA(MATCH(567,'Transfer Engine'!$C$2:$C$622,0)),"",INDEX('Compliance Database'!$G$2:$G$622,MATCH(567,'Transfer Engine'!$C$2:$C$622,0)))</f>
        <v/>
      </c>
      <c r="H576">
        <f>IF(ISNA(MATCH(567,'Transfer Engine'!$C$2:$C$622,0)),"",INDEX('Compliance Database'!$H$2:$H$622,MATCH(567,'Transfer Engine'!$C$2:$C$622,0)))</f>
        <v/>
      </c>
      <c r="I576" s="8">
        <f>IF(ISNA(MATCH(567,'Transfer Engine'!$C$2:$C$622,0)),"",INDEX('Compliance Database'!$I$2:$I$622,MATCH(567,'Transfer Engine'!$C$2:$C$622,0)))</f>
        <v/>
      </c>
      <c r="J576" s="8">
        <f>IF(ISNA(MATCH(567,'Transfer Engine'!$C$2:$C$622,0)),"",INDEX('Compliance Database'!$J$2:$J$622,MATCH(567,'Transfer Engine'!$C$2:$C$622,0)))</f>
        <v/>
      </c>
      <c r="K576">
        <f>IF(ISNA(MATCH(567,'Transfer Engine'!$C$2:$C$622,0)),"",INDEX('Compliance Database'!$K$2:$K$622,MATCH(567,'Transfer Engine'!$C$2:$C$622,0)))</f>
        <v/>
      </c>
      <c r="L576" s="8">
        <f>IF(ISNA(MATCH(567,'Transfer Engine'!$C$2:$C$622,0)),"",INDEX('Compliance Database'!$L$2:$L$622,MATCH(567,'Transfer Engine'!$C$2:$C$622,0)))</f>
        <v/>
      </c>
      <c r="M576" s="8">
        <f>IF(ISNA(MATCH(567,'Transfer Engine'!$C$2:$C$622,0)),"",INDEX('Compliance Database'!$M$2:$M$622,MATCH(567,'Transfer Engine'!$C$2:$C$622,0)))</f>
        <v/>
      </c>
      <c r="N576" s="8">
        <f>IF(ISNA(MATCH(567,'Transfer Engine'!$C$2:$C$622,0)),"",INDEX('Compliance Database'!$N$2:$N$622,MATCH(567,'Transfer Engine'!$C$2:$C$622,0)))</f>
        <v/>
      </c>
      <c r="O576" s="8">
        <f>IF(ISNA(MATCH(567,'Transfer Engine'!$C$2:$C$622,0)),"",INDEX('Compliance Database'!$O$2:$O$622,MATCH(567,'Transfer Engine'!$C$2:$C$622,0)))</f>
        <v/>
      </c>
    </row>
    <row r="577">
      <c r="A577">
        <f>IF(ISNA(MATCH(568,'Transfer Engine'!$C$2:$C$622,0)),"",INDEX('Compliance Database'!$A$2:$A$622,MATCH(568,'Transfer Engine'!$C$2:$C$622,0)))</f>
        <v/>
      </c>
      <c r="B577">
        <f>IF(ISNA(MATCH(568,'Transfer Engine'!$C$2:$C$622,0)),"",INDEX('Compliance Database'!$B$2:$B$622,MATCH(568,'Transfer Engine'!$C$2:$C$622,0)))</f>
        <v/>
      </c>
      <c r="C577">
        <f>IF(ISNA(MATCH(568,'Transfer Engine'!$C$2:$C$622,0)),"",INDEX('Compliance Database'!$C$2:$C$622,MATCH(568,'Transfer Engine'!$C$2:$C$622,0)))</f>
        <v/>
      </c>
      <c r="D577" s="8">
        <f>IF(ISNA(MATCH(568,'Transfer Engine'!$C$2:$C$622,0)),"",INDEX('Compliance Database'!$D$2:$D$622,MATCH(568,'Transfer Engine'!$C$2:$C$622,0)))</f>
        <v/>
      </c>
      <c r="E577">
        <f>IF(ISNA(MATCH(568,'Transfer Engine'!$C$2:$C$622,0)),"",INDEX('Compliance Database'!$E$2:$E$622,MATCH(568,'Transfer Engine'!$C$2:$C$622,0)))</f>
        <v/>
      </c>
      <c r="F577">
        <f>IF(ISNA(MATCH(568,'Transfer Engine'!$C$2:$C$622,0)),"",INDEX('Compliance Database'!$F$2:$F$622,MATCH(568,'Transfer Engine'!$C$2:$C$622,0)))</f>
        <v/>
      </c>
      <c r="G577">
        <f>IF(ISNA(MATCH(568,'Transfer Engine'!$C$2:$C$622,0)),"",INDEX('Compliance Database'!$G$2:$G$622,MATCH(568,'Transfer Engine'!$C$2:$C$622,0)))</f>
        <v/>
      </c>
      <c r="H577">
        <f>IF(ISNA(MATCH(568,'Transfer Engine'!$C$2:$C$622,0)),"",INDEX('Compliance Database'!$H$2:$H$622,MATCH(568,'Transfer Engine'!$C$2:$C$622,0)))</f>
        <v/>
      </c>
      <c r="I577" s="8">
        <f>IF(ISNA(MATCH(568,'Transfer Engine'!$C$2:$C$622,0)),"",INDEX('Compliance Database'!$I$2:$I$622,MATCH(568,'Transfer Engine'!$C$2:$C$622,0)))</f>
        <v/>
      </c>
      <c r="J577" s="8">
        <f>IF(ISNA(MATCH(568,'Transfer Engine'!$C$2:$C$622,0)),"",INDEX('Compliance Database'!$J$2:$J$622,MATCH(568,'Transfer Engine'!$C$2:$C$622,0)))</f>
        <v/>
      </c>
      <c r="K577">
        <f>IF(ISNA(MATCH(568,'Transfer Engine'!$C$2:$C$622,0)),"",INDEX('Compliance Database'!$K$2:$K$622,MATCH(568,'Transfer Engine'!$C$2:$C$622,0)))</f>
        <v/>
      </c>
      <c r="L577" s="8">
        <f>IF(ISNA(MATCH(568,'Transfer Engine'!$C$2:$C$622,0)),"",INDEX('Compliance Database'!$L$2:$L$622,MATCH(568,'Transfer Engine'!$C$2:$C$622,0)))</f>
        <v/>
      </c>
      <c r="M577" s="8">
        <f>IF(ISNA(MATCH(568,'Transfer Engine'!$C$2:$C$622,0)),"",INDEX('Compliance Database'!$M$2:$M$622,MATCH(568,'Transfer Engine'!$C$2:$C$622,0)))</f>
        <v/>
      </c>
      <c r="N577" s="8">
        <f>IF(ISNA(MATCH(568,'Transfer Engine'!$C$2:$C$622,0)),"",INDEX('Compliance Database'!$N$2:$N$622,MATCH(568,'Transfer Engine'!$C$2:$C$622,0)))</f>
        <v/>
      </c>
      <c r="O577" s="8">
        <f>IF(ISNA(MATCH(568,'Transfer Engine'!$C$2:$C$622,0)),"",INDEX('Compliance Database'!$O$2:$O$622,MATCH(568,'Transfer Engine'!$C$2:$C$622,0)))</f>
        <v/>
      </c>
    </row>
    <row r="578">
      <c r="A578">
        <f>IF(ISNA(MATCH(569,'Transfer Engine'!$C$2:$C$622,0)),"",INDEX('Compliance Database'!$A$2:$A$622,MATCH(569,'Transfer Engine'!$C$2:$C$622,0)))</f>
        <v/>
      </c>
      <c r="B578">
        <f>IF(ISNA(MATCH(569,'Transfer Engine'!$C$2:$C$622,0)),"",INDEX('Compliance Database'!$B$2:$B$622,MATCH(569,'Transfer Engine'!$C$2:$C$622,0)))</f>
        <v/>
      </c>
      <c r="C578">
        <f>IF(ISNA(MATCH(569,'Transfer Engine'!$C$2:$C$622,0)),"",INDEX('Compliance Database'!$C$2:$C$622,MATCH(569,'Transfer Engine'!$C$2:$C$622,0)))</f>
        <v/>
      </c>
      <c r="D578" s="8">
        <f>IF(ISNA(MATCH(569,'Transfer Engine'!$C$2:$C$622,0)),"",INDEX('Compliance Database'!$D$2:$D$622,MATCH(569,'Transfer Engine'!$C$2:$C$622,0)))</f>
        <v/>
      </c>
      <c r="E578">
        <f>IF(ISNA(MATCH(569,'Transfer Engine'!$C$2:$C$622,0)),"",INDEX('Compliance Database'!$E$2:$E$622,MATCH(569,'Transfer Engine'!$C$2:$C$622,0)))</f>
        <v/>
      </c>
      <c r="F578">
        <f>IF(ISNA(MATCH(569,'Transfer Engine'!$C$2:$C$622,0)),"",INDEX('Compliance Database'!$F$2:$F$622,MATCH(569,'Transfer Engine'!$C$2:$C$622,0)))</f>
        <v/>
      </c>
      <c r="G578">
        <f>IF(ISNA(MATCH(569,'Transfer Engine'!$C$2:$C$622,0)),"",INDEX('Compliance Database'!$G$2:$G$622,MATCH(569,'Transfer Engine'!$C$2:$C$622,0)))</f>
        <v/>
      </c>
      <c r="H578">
        <f>IF(ISNA(MATCH(569,'Transfer Engine'!$C$2:$C$622,0)),"",INDEX('Compliance Database'!$H$2:$H$622,MATCH(569,'Transfer Engine'!$C$2:$C$622,0)))</f>
        <v/>
      </c>
      <c r="I578" s="8">
        <f>IF(ISNA(MATCH(569,'Transfer Engine'!$C$2:$C$622,0)),"",INDEX('Compliance Database'!$I$2:$I$622,MATCH(569,'Transfer Engine'!$C$2:$C$622,0)))</f>
        <v/>
      </c>
      <c r="J578" s="8">
        <f>IF(ISNA(MATCH(569,'Transfer Engine'!$C$2:$C$622,0)),"",INDEX('Compliance Database'!$J$2:$J$622,MATCH(569,'Transfer Engine'!$C$2:$C$622,0)))</f>
        <v/>
      </c>
      <c r="K578">
        <f>IF(ISNA(MATCH(569,'Transfer Engine'!$C$2:$C$622,0)),"",INDEX('Compliance Database'!$K$2:$K$622,MATCH(569,'Transfer Engine'!$C$2:$C$622,0)))</f>
        <v/>
      </c>
      <c r="L578" s="8">
        <f>IF(ISNA(MATCH(569,'Transfer Engine'!$C$2:$C$622,0)),"",INDEX('Compliance Database'!$L$2:$L$622,MATCH(569,'Transfer Engine'!$C$2:$C$622,0)))</f>
        <v/>
      </c>
      <c r="M578" s="8">
        <f>IF(ISNA(MATCH(569,'Transfer Engine'!$C$2:$C$622,0)),"",INDEX('Compliance Database'!$M$2:$M$622,MATCH(569,'Transfer Engine'!$C$2:$C$622,0)))</f>
        <v/>
      </c>
      <c r="N578" s="8">
        <f>IF(ISNA(MATCH(569,'Transfer Engine'!$C$2:$C$622,0)),"",INDEX('Compliance Database'!$N$2:$N$622,MATCH(569,'Transfer Engine'!$C$2:$C$622,0)))</f>
        <v/>
      </c>
      <c r="O578" s="8">
        <f>IF(ISNA(MATCH(569,'Transfer Engine'!$C$2:$C$622,0)),"",INDEX('Compliance Database'!$O$2:$O$622,MATCH(569,'Transfer Engine'!$C$2:$C$622,0)))</f>
        <v/>
      </c>
    </row>
    <row r="579">
      <c r="A579">
        <f>IF(ISNA(MATCH(570,'Transfer Engine'!$C$2:$C$622,0)),"",INDEX('Compliance Database'!$A$2:$A$622,MATCH(570,'Transfer Engine'!$C$2:$C$622,0)))</f>
        <v/>
      </c>
      <c r="B579">
        <f>IF(ISNA(MATCH(570,'Transfer Engine'!$C$2:$C$622,0)),"",INDEX('Compliance Database'!$B$2:$B$622,MATCH(570,'Transfer Engine'!$C$2:$C$622,0)))</f>
        <v/>
      </c>
      <c r="C579">
        <f>IF(ISNA(MATCH(570,'Transfer Engine'!$C$2:$C$622,0)),"",INDEX('Compliance Database'!$C$2:$C$622,MATCH(570,'Transfer Engine'!$C$2:$C$622,0)))</f>
        <v/>
      </c>
      <c r="D579" s="8">
        <f>IF(ISNA(MATCH(570,'Transfer Engine'!$C$2:$C$622,0)),"",INDEX('Compliance Database'!$D$2:$D$622,MATCH(570,'Transfer Engine'!$C$2:$C$622,0)))</f>
        <v/>
      </c>
      <c r="E579">
        <f>IF(ISNA(MATCH(570,'Transfer Engine'!$C$2:$C$622,0)),"",INDEX('Compliance Database'!$E$2:$E$622,MATCH(570,'Transfer Engine'!$C$2:$C$622,0)))</f>
        <v/>
      </c>
      <c r="F579">
        <f>IF(ISNA(MATCH(570,'Transfer Engine'!$C$2:$C$622,0)),"",INDEX('Compliance Database'!$F$2:$F$622,MATCH(570,'Transfer Engine'!$C$2:$C$622,0)))</f>
        <v/>
      </c>
      <c r="G579">
        <f>IF(ISNA(MATCH(570,'Transfer Engine'!$C$2:$C$622,0)),"",INDEX('Compliance Database'!$G$2:$G$622,MATCH(570,'Transfer Engine'!$C$2:$C$622,0)))</f>
        <v/>
      </c>
      <c r="H579">
        <f>IF(ISNA(MATCH(570,'Transfer Engine'!$C$2:$C$622,0)),"",INDEX('Compliance Database'!$H$2:$H$622,MATCH(570,'Transfer Engine'!$C$2:$C$622,0)))</f>
        <v/>
      </c>
      <c r="I579" s="8">
        <f>IF(ISNA(MATCH(570,'Transfer Engine'!$C$2:$C$622,0)),"",INDEX('Compliance Database'!$I$2:$I$622,MATCH(570,'Transfer Engine'!$C$2:$C$622,0)))</f>
        <v/>
      </c>
      <c r="J579" s="8">
        <f>IF(ISNA(MATCH(570,'Transfer Engine'!$C$2:$C$622,0)),"",INDEX('Compliance Database'!$J$2:$J$622,MATCH(570,'Transfer Engine'!$C$2:$C$622,0)))</f>
        <v/>
      </c>
      <c r="K579">
        <f>IF(ISNA(MATCH(570,'Transfer Engine'!$C$2:$C$622,0)),"",INDEX('Compliance Database'!$K$2:$K$622,MATCH(570,'Transfer Engine'!$C$2:$C$622,0)))</f>
        <v/>
      </c>
      <c r="L579" s="8">
        <f>IF(ISNA(MATCH(570,'Transfer Engine'!$C$2:$C$622,0)),"",INDEX('Compliance Database'!$L$2:$L$622,MATCH(570,'Transfer Engine'!$C$2:$C$622,0)))</f>
        <v/>
      </c>
      <c r="M579" s="8">
        <f>IF(ISNA(MATCH(570,'Transfer Engine'!$C$2:$C$622,0)),"",INDEX('Compliance Database'!$M$2:$M$622,MATCH(570,'Transfer Engine'!$C$2:$C$622,0)))</f>
        <v/>
      </c>
      <c r="N579" s="8">
        <f>IF(ISNA(MATCH(570,'Transfer Engine'!$C$2:$C$622,0)),"",INDEX('Compliance Database'!$N$2:$N$622,MATCH(570,'Transfer Engine'!$C$2:$C$622,0)))</f>
        <v/>
      </c>
      <c r="O579" s="8">
        <f>IF(ISNA(MATCH(570,'Transfer Engine'!$C$2:$C$622,0)),"",INDEX('Compliance Database'!$O$2:$O$622,MATCH(570,'Transfer Engine'!$C$2:$C$622,0)))</f>
        <v/>
      </c>
    </row>
    <row r="580">
      <c r="A580">
        <f>IF(ISNA(MATCH(571,'Transfer Engine'!$C$2:$C$622,0)),"",INDEX('Compliance Database'!$A$2:$A$622,MATCH(571,'Transfer Engine'!$C$2:$C$622,0)))</f>
        <v/>
      </c>
      <c r="B580">
        <f>IF(ISNA(MATCH(571,'Transfer Engine'!$C$2:$C$622,0)),"",INDEX('Compliance Database'!$B$2:$B$622,MATCH(571,'Transfer Engine'!$C$2:$C$622,0)))</f>
        <v/>
      </c>
      <c r="C580">
        <f>IF(ISNA(MATCH(571,'Transfer Engine'!$C$2:$C$622,0)),"",INDEX('Compliance Database'!$C$2:$C$622,MATCH(571,'Transfer Engine'!$C$2:$C$622,0)))</f>
        <v/>
      </c>
      <c r="D580" s="8">
        <f>IF(ISNA(MATCH(571,'Transfer Engine'!$C$2:$C$622,0)),"",INDEX('Compliance Database'!$D$2:$D$622,MATCH(571,'Transfer Engine'!$C$2:$C$622,0)))</f>
        <v/>
      </c>
      <c r="E580">
        <f>IF(ISNA(MATCH(571,'Transfer Engine'!$C$2:$C$622,0)),"",INDEX('Compliance Database'!$E$2:$E$622,MATCH(571,'Transfer Engine'!$C$2:$C$622,0)))</f>
        <v/>
      </c>
      <c r="F580">
        <f>IF(ISNA(MATCH(571,'Transfer Engine'!$C$2:$C$622,0)),"",INDEX('Compliance Database'!$F$2:$F$622,MATCH(571,'Transfer Engine'!$C$2:$C$622,0)))</f>
        <v/>
      </c>
      <c r="G580">
        <f>IF(ISNA(MATCH(571,'Transfer Engine'!$C$2:$C$622,0)),"",INDEX('Compliance Database'!$G$2:$G$622,MATCH(571,'Transfer Engine'!$C$2:$C$622,0)))</f>
        <v/>
      </c>
      <c r="H580">
        <f>IF(ISNA(MATCH(571,'Transfer Engine'!$C$2:$C$622,0)),"",INDEX('Compliance Database'!$H$2:$H$622,MATCH(571,'Transfer Engine'!$C$2:$C$622,0)))</f>
        <v/>
      </c>
      <c r="I580" s="8">
        <f>IF(ISNA(MATCH(571,'Transfer Engine'!$C$2:$C$622,0)),"",INDEX('Compliance Database'!$I$2:$I$622,MATCH(571,'Transfer Engine'!$C$2:$C$622,0)))</f>
        <v/>
      </c>
      <c r="J580" s="8">
        <f>IF(ISNA(MATCH(571,'Transfer Engine'!$C$2:$C$622,0)),"",INDEX('Compliance Database'!$J$2:$J$622,MATCH(571,'Transfer Engine'!$C$2:$C$622,0)))</f>
        <v/>
      </c>
      <c r="K580">
        <f>IF(ISNA(MATCH(571,'Transfer Engine'!$C$2:$C$622,0)),"",INDEX('Compliance Database'!$K$2:$K$622,MATCH(571,'Transfer Engine'!$C$2:$C$622,0)))</f>
        <v/>
      </c>
      <c r="L580" s="8">
        <f>IF(ISNA(MATCH(571,'Transfer Engine'!$C$2:$C$622,0)),"",INDEX('Compliance Database'!$L$2:$L$622,MATCH(571,'Transfer Engine'!$C$2:$C$622,0)))</f>
        <v/>
      </c>
      <c r="M580" s="8">
        <f>IF(ISNA(MATCH(571,'Transfer Engine'!$C$2:$C$622,0)),"",INDEX('Compliance Database'!$M$2:$M$622,MATCH(571,'Transfer Engine'!$C$2:$C$622,0)))</f>
        <v/>
      </c>
      <c r="N580" s="8">
        <f>IF(ISNA(MATCH(571,'Transfer Engine'!$C$2:$C$622,0)),"",INDEX('Compliance Database'!$N$2:$N$622,MATCH(571,'Transfer Engine'!$C$2:$C$622,0)))</f>
        <v/>
      </c>
      <c r="O580" s="8">
        <f>IF(ISNA(MATCH(571,'Transfer Engine'!$C$2:$C$622,0)),"",INDEX('Compliance Database'!$O$2:$O$622,MATCH(571,'Transfer Engine'!$C$2:$C$622,0)))</f>
        <v/>
      </c>
    </row>
    <row r="581">
      <c r="A581">
        <f>IF(ISNA(MATCH(572,'Transfer Engine'!$C$2:$C$622,0)),"",INDEX('Compliance Database'!$A$2:$A$622,MATCH(572,'Transfer Engine'!$C$2:$C$622,0)))</f>
        <v/>
      </c>
      <c r="B581">
        <f>IF(ISNA(MATCH(572,'Transfer Engine'!$C$2:$C$622,0)),"",INDEX('Compliance Database'!$B$2:$B$622,MATCH(572,'Transfer Engine'!$C$2:$C$622,0)))</f>
        <v/>
      </c>
      <c r="C581">
        <f>IF(ISNA(MATCH(572,'Transfer Engine'!$C$2:$C$622,0)),"",INDEX('Compliance Database'!$C$2:$C$622,MATCH(572,'Transfer Engine'!$C$2:$C$622,0)))</f>
        <v/>
      </c>
      <c r="D581" s="8">
        <f>IF(ISNA(MATCH(572,'Transfer Engine'!$C$2:$C$622,0)),"",INDEX('Compliance Database'!$D$2:$D$622,MATCH(572,'Transfer Engine'!$C$2:$C$622,0)))</f>
        <v/>
      </c>
      <c r="E581">
        <f>IF(ISNA(MATCH(572,'Transfer Engine'!$C$2:$C$622,0)),"",INDEX('Compliance Database'!$E$2:$E$622,MATCH(572,'Transfer Engine'!$C$2:$C$622,0)))</f>
        <v/>
      </c>
      <c r="F581">
        <f>IF(ISNA(MATCH(572,'Transfer Engine'!$C$2:$C$622,0)),"",INDEX('Compliance Database'!$F$2:$F$622,MATCH(572,'Transfer Engine'!$C$2:$C$622,0)))</f>
        <v/>
      </c>
      <c r="G581">
        <f>IF(ISNA(MATCH(572,'Transfer Engine'!$C$2:$C$622,0)),"",INDEX('Compliance Database'!$G$2:$G$622,MATCH(572,'Transfer Engine'!$C$2:$C$622,0)))</f>
        <v/>
      </c>
      <c r="H581">
        <f>IF(ISNA(MATCH(572,'Transfer Engine'!$C$2:$C$622,0)),"",INDEX('Compliance Database'!$H$2:$H$622,MATCH(572,'Transfer Engine'!$C$2:$C$622,0)))</f>
        <v/>
      </c>
      <c r="I581" s="8">
        <f>IF(ISNA(MATCH(572,'Transfer Engine'!$C$2:$C$622,0)),"",INDEX('Compliance Database'!$I$2:$I$622,MATCH(572,'Transfer Engine'!$C$2:$C$622,0)))</f>
        <v/>
      </c>
      <c r="J581" s="8">
        <f>IF(ISNA(MATCH(572,'Transfer Engine'!$C$2:$C$622,0)),"",INDEX('Compliance Database'!$J$2:$J$622,MATCH(572,'Transfer Engine'!$C$2:$C$622,0)))</f>
        <v/>
      </c>
      <c r="K581">
        <f>IF(ISNA(MATCH(572,'Transfer Engine'!$C$2:$C$622,0)),"",INDEX('Compliance Database'!$K$2:$K$622,MATCH(572,'Transfer Engine'!$C$2:$C$622,0)))</f>
        <v/>
      </c>
      <c r="L581" s="8">
        <f>IF(ISNA(MATCH(572,'Transfer Engine'!$C$2:$C$622,0)),"",INDEX('Compliance Database'!$L$2:$L$622,MATCH(572,'Transfer Engine'!$C$2:$C$622,0)))</f>
        <v/>
      </c>
      <c r="M581" s="8">
        <f>IF(ISNA(MATCH(572,'Transfer Engine'!$C$2:$C$622,0)),"",INDEX('Compliance Database'!$M$2:$M$622,MATCH(572,'Transfer Engine'!$C$2:$C$622,0)))</f>
        <v/>
      </c>
      <c r="N581" s="8">
        <f>IF(ISNA(MATCH(572,'Transfer Engine'!$C$2:$C$622,0)),"",INDEX('Compliance Database'!$N$2:$N$622,MATCH(572,'Transfer Engine'!$C$2:$C$622,0)))</f>
        <v/>
      </c>
      <c r="O581" s="8">
        <f>IF(ISNA(MATCH(572,'Transfer Engine'!$C$2:$C$622,0)),"",INDEX('Compliance Database'!$O$2:$O$622,MATCH(572,'Transfer Engine'!$C$2:$C$622,0)))</f>
        <v/>
      </c>
    </row>
    <row r="582">
      <c r="A582">
        <f>IF(ISNA(MATCH(573,'Transfer Engine'!$C$2:$C$622,0)),"",INDEX('Compliance Database'!$A$2:$A$622,MATCH(573,'Transfer Engine'!$C$2:$C$622,0)))</f>
        <v/>
      </c>
      <c r="B582">
        <f>IF(ISNA(MATCH(573,'Transfer Engine'!$C$2:$C$622,0)),"",INDEX('Compliance Database'!$B$2:$B$622,MATCH(573,'Transfer Engine'!$C$2:$C$622,0)))</f>
        <v/>
      </c>
      <c r="C582">
        <f>IF(ISNA(MATCH(573,'Transfer Engine'!$C$2:$C$622,0)),"",INDEX('Compliance Database'!$C$2:$C$622,MATCH(573,'Transfer Engine'!$C$2:$C$622,0)))</f>
        <v/>
      </c>
      <c r="D582" s="8">
        <f>IF(ISNA(MATCH(573,'Transfer Engine'!$C$2:$C$622,0)),"",INDEX('Compliance Database'!$D$2:$D$622,MATCH(573,'Transfer Engine'!$C$2:$C$622,0)))</f>
        <v/>
      </c>
      <c r="E582">
        <f>IF(ISNA(MATCH(573,'Transfer Engine'!$C$2:$C$622,0)),"",INDEX('Compliance Database'!$E$2:$E$622,MATCH(573,'Transfer Engine'!$C$2:$C$622,0)))</f>
        <v/>
      </c>
      <c r="F582">
        <f>IF(ISNA(MATCH(573,'Transfer Engine'!$C$2:$C$622,0)),"",INDEX('Compliance Database'!$F$2:$F$622,MATCH(573,'Transfer Engine'!$C$2:$C$622,0)))</f>
        <v/>
      </c>
      <c r="G582">
        <f>IF(ISNA(MATCH(573,'Transfer Engine'!$C$2:$C$622,0)),"",INDEX('Compliance Database'!$G$2:$G$622,MATCH(573,'Transfer Engine'!$C$2:$C$622,0)))</f>
        <v/>
      </c>
      <c r="H582">
        <f>IF(ISNA(MATCH(573,'Transfer Engine'!$C$2:$C$622,0)),"",INDEX('Compliance Database'!$H$2:$H$622,MATCH(573,'Transfer Engine'!$C$2:$C$622,0)))</f>
        <v/>
      </c>
      <c r="I582" s="8">
        <f>IF(ISNA(MATCH(573,'Transfer Engine'!$C$2:$C$622,0)),"",INDEX('Compliance Database'!$I$2:$I$622,MATCH(573,'Transfer Engine'!$C$2:$C$622,0)))</f>
        <v/>
      </c>
      <c r="J582" s="8">
        <f>IF(ISNA(MATCH(573,'Transfer Engine'!$C$2:$C$622,0)),"",INDEX('Compliance Database'!$J$2:$J$622,MATCH(573,'Transfer Engine'!$C$2:$C$622,0)))</f>
        <v/>
      </c>
      <c r="K582">
        <f>IF(ISNA(MATCH(573,'Transfer Engine'!$C$2:$C$622,0)),"",INDEX('Compliance Database'!$K$2:$K$622,MATCH(573,'Transfer Engine'!$C$2:$C$622,0)))</f>
        <v/>
      </c>
      <c r="L582" s="8">
        <f>IF(ISNA(MATCH(573,'Transfer Engine'!$C$2:$C$622,0)),"",INDEX('Compliance Database'!$L$2:$L$622,MATCH(573,'Transfer Engine'!$C$2:$C$622,0)))</f>
        <v/>
      </c>
      <c r="M582" s="8">
        <f>IF(ISNA(MATCH(573,'Transfer Engine'!$C$2:$C$622,0)),"",INDEX('Compliance Database'!$M$2:$M$622,MATCH(573,'Transfer Engine'!$C$2:$C$622,0)))</f>
        <v/>
      </c>
      <c r="N582" s="8">
        <f>IF(ISNA(MATCH(573,'Transfer Engine'!$C$2:$C$622,0)),"",INDEX('Compliance Database'!$N$2:$N$622,MATCH(573,'Transfer Engine'!$C$2:$C$622,0)))</f>
        <v/>
      </c>
      <c r="O582" s="8">
        <f>IF(ISNA(MATCH(573,'Transfer Engine'!$C$2:$C$622,0)),"",INDEX('Compliance Database'!$O$2:$O$622,MATCH(573,'Transfer Engine'!$C$2:$C$622,0)))</f>
        <v/>
      </c>
    </row>
    <row r="583">
      <c r="A583">
        <f>IF(ISNA(MATCH(574,'Transfer Engine'!$C$2:$C$622,0)),"",INDEX('Compliance Database'!$A$2:$A$622,MATCH(574,'Transfer Engine'!$C$2:$C$622,0)))</f>
        <v/>
      </c>
      <c r="B583">
        <f>IF(ISNA(MATCH(574,'Transfer Engine'!$C$2:$C$622,0)),"",INDEX('Compliance Database'!$B$2:$B$622,MATCH(574,'Transfer Engine'!$C$2:$C$622,0)))</f>
        <v/>
      </c>
      <c r="C583">
        <f>IF(ISNA(MATCH(574,'Transfer Engine'!$C$2:$C$622,0)),"",INDEX('Compliance Database'!$C$2:$C$622,MATCH(574,'Transfer Engine'!$C$2:$C$622,0)))</f>
        <v/>
      </c>
      <c r="D583" s="8">
        <f>IF(ISNA(MATCH(574,'Transfer Engine'!$C$2:$C$622,0)),"",INDEX('Compliance Database'!$D$2:$D$622,MATCH(574,'Transfer Engine'!$C$2:$C$622,0)))</f>
        <v/>
      </c>
      <c r="E583">
        <f>IF(ISNA(MATCH(574,'Transfer Engine'!$C$2:$C$622,0)),"",INDEX('Compliance Database'!$E$2:$E$622,MATCH(574,'Transfer Engine'!$C$2:$C$622,0)))</f>
        <v/>
      </c>
      <c r="F583">
        <f>IF(ISNA(MATCH(574,'Transfer Engine'!$C$2:$C$622,0)),"",INDEX('Compliance Database'!$F$2:$F$622,MATCH(574,'Transfer Engine'!$C$2:$C$622,0)))</f>
        <v/>
      </c>
      <c r="G583">
        <f>IF(ISNA(MATCH(574,'Transfer Engine'!$C$2:$C$622,0)),"",INDEX('Compliance Database'!$G$2:$G$622,MATCH(574,'Transfer Engine'!$C$2:$C$622,0)))</f>
        <v/>
      </c>
      <c r="H583">
        <f>IF(ISNA(MATCH(574,'Transfer Engine'!$C$2:$C$622,0)),"",INDEX('Compliance Database'!$H$2:$H$622,MATCH(574,'Transfer Engine'!$C$2:$C$622,0)))</f>
        <v/>
      </c>
      <c r="I583" s="8">
        <f>IF(ISNA(MATCH(574,'Transfer Engine'!$C$2:$C$622,0)),"",INDEX('Compliance Database'!$I$2:$I$622,MATCH(574,'Transfer Engine'!$C$2:$C$622,0)))</f>
        <v/>
      </c>
      <c r="J583" s="8">
        <f>IF(ISNA(MATCH(574,'Transfer Engine'!$C$2:$C$622,0)),"",INDEX('Compliance Database'!$J$2:$J$622,MATCH(574,'Transfer Engine'!$C$2:$C$622,0)))</f>
        <v/>
      </c>
      <c r="K583">
        <f>IF(ISNA(MATCH(574,'Transfer Engine'!$C$2:$C$622,0)),"",INDEX('Compliance Database'!$K$2:$K$622,MATCH(574,'Transfer Engine'!$C$2:$C$622,0)))</f>
        <v/>
      </c>
      <c r="L583" s="8">
        <f>IF(ISNA(MATCH(574,'Transfer Engine'!$C$2:$C$622,0)),"",INDEX('Compliance Database'!$L$2:$L$622,MATCH(574,'Transfer Engine'!$C$2:$C$622,0)))</f>
        <v/>
      </c>
      <c r="M583" s="8">
        <f>IF(ISNA(MATCH(574,'Transfer Engine'!$C$2:$C$622,0)),"",INDEX('Compliance Database'!$M$2:$M$622,MATCH(574,'Transfer Engine'!$C$2:$C$622,0)))</f>
        <v/>
      </c>
      <c r="N583" s="8">
        <f>IF(ISNA(MATCH(574,'Transfer Engine'!$C$2:$C$622,0)),"",INDEX('Compliance Database'!$N$2:$N$622,MATCH(574,'Transfer Engine'!$C$2:$C$622,0)))</f>
        <v/>
      </c>
      <c r="O583" s="8">
        <f>IF(ISNA(MATCH(574,'Transfer Engine'!$C$2:$C$622,0)),"",INDEX('Compliance Database'!$O$2:$O$622,MATCH(574,'Transfer Engine'!$C$2:$C$622,0)))</f>
        <v/>
      </c>
    </row>
    <row r="584">
      <c r="A584">
        <f>IF(ISNA(MATCH(575,'Transfer Engine'!$C$2:$C$622,0)),"",INDEX('Compliance Database'!$A$2:$A$622,MATCH(575,'Transfer Engine'!$C$2:$C$622,0)))</f>
        <v/>
      </c>
      <c r="B584">
        <f>IF(ISNA(MATCH(575,'Transfer Engine'!$C$2:$C$622,0)),"",INDEX('Compliance Database'!$B$2:$B$622,MATCH(575,'Transfer Engine'!$C$2:$C$622,0)))</f>
        <v/>
      </c>
      <c r="C584">
        <f>IF(ISNA(MATCH(575,'Transfer Engine'!$C$2:$C$622,0)),"",INDEX('Compliance Database'!$C$2:$C$622,MATCH(575,'Transfer Engine'!$C$2:$C$622,0)))</f>
        <v/>
      </c>
      <c r="D584" s="8">
        <f>IF(ISNA(MATCH(575,'Transfer Engine'!$C$2:$C$622,0)),"",INDEX('Compliance Database'!$D$2:$D$622,MATCH(575,'Transfer Engine'!$C$2:$C$622,0)))</f>
        <v/>
      </c>
      <c r="E584">
        <f>IF(ISNA(MATCH(575,'Transfer Engine'!$C$2:$C$622,0)),"",INDEX('Compliance Database'!$E$2:$E$622,MATCH(575,'Transfer Engine'!$C$2:$C$622,0)))</f>
        <v/>
      </c>
      <c r="F584">
        <f>IF(ISNA(MATCH(575,'Transfer Engine'!$C$2:$C$622,0)),"",INDEX('Compliance Database'!$F$2:$F$622,MATCH(575,'Transfer Engine'!$C$2:$C$622,0)))</f>
        <v/>
      </c>
      <c r="G584">
        <f>IF(ISNA(MATCH(575,'Transfer Engine'!$C$2:$C$622,0)),"",INDEX('Compliance Database'!$G$2:$G$622,MATCH(575,'Transfer Engine'!$C$2:$C$622,0)))</f>
        <v/>
      </c>
      <c r="H584">
        <f>IF(ISNA(MATCH(575,'Transfer Engine'!$C$2:$C$622,0)),"",INDEX('Compliance Database'!$H$2:$H$622,MATCH(575,'Transfer Engine'!$C$2:$C$622,0)))</f>
        <v/>
      </c>
      <c r="I584" s="8">
        <f>IF(ISNA(MATCH(575,'Transfer Engine'!$C$2:$C$622,0)),"",INDEX('Compliance Database'!$I$2:$I$622,MATCH(575,'Transfer Engine'!$C$2:$C$622,0)))</f>
        <v/>
      </c>
      <c r="J584" s="8">
        <f>IF(ISNA(MATCH(575,'Transfer Engine'!$C$2:$C$622,0)),"",INDEX('Compliance Database'!$J$2:$J$622,MATCH(575,'Transfer Engine'!$C$2:$C$622,0)))</f>
        <v/>
      </c>
      <c r="K584">
        <f>IF(ISNA(MATCH(575,'Transfer Engine'!$C$2:$C$622,0)),"",INDEX('Compliance Database'!$K$2:$K$622,MATCH(575,'Transfer Engine'!$C$2:$C$622,0)))</f>
        <v/>
      </c>
      <c r="L584" s="8">
        <f>IF(ISNA(MATCH(575,'Transfer Engine'!$C$2:$C$622,0)),"",INDEX('Compliance Database'!$L$2:$L$622,MATCH(575,'Transfer Engine'!$C$2:$C$622,0)))</f>
        <v/>
      </c>
      <c r="M584" s="8">
        <f>IF(ISNA(MATCH(575,'Transfer Engine'!$C$2:$C$622,0)),"",INDEX('Compliance Database'!$M$2:$M$622,MATCH(575,'Transfer Engine'!$C$2:$C$622,0)))</f>
        <v/>
      </c>
      <c r="N584" s="8">
        <f>IF(ISNA(MATCH(575,'Transfer Engine'!$C$2:$C$622,0)),"",INDEX('Compliance Database'!$N$2:$N$622,MATCH(575,'Transfer Engine'!$C$2:$C$622,0)))</f>
        <v/>
      </c>
      <c r="O584" s="8">
        <f>IF(ISNA(MATCH(575,'Transfer Engine'!$C$2:$C$622,0)),"",INDEX('Compliance Database'!$O$2:$O$622,MATCH(575,'Transfer Engine'!$C$2:$C$622,0)))</f>
        <v/>
      </c>
    </row>
    <row r="585">
      <c r="A585">
        <f>IF(ISNA(MATCH(576,'Transfer Engine'!$C$2:$C$622,0)),"",INDEX('Compliance Database'!$A$2:$A$622,MATCH(576,'Transfer Engine'!$C$2:$C$622,0)))</f>
        <v/>
      </c>
      <c r="B585">
        <f>IF(ISNA(MATCH(576,'Transfer Engine'!$C$2:$C$622,0)),"",INDEX('Compliance Database'!$B$2:$B$622,MATCH(576,'Transfer Engine'!$C$2:$C$622,0)))</f>
        <v/>
      </c>
      <c r="C585">
        <f>IF(ISNA(MATCH(576,'Transfer Engine'!$C$2:$C$622,0)),"",INDEX('Compliance Database'!$C$2:$C$622,MATCH(576,'Transfer Engine'!$C$2:$C$622,0)))</f>
        <v/>
      </c>
      <c r="D585" s="8">
        <f>IF(ISNA(MATCH(576,'Transfer Engine'!$C$2:$C$622,0)),"",INDEX('Compliance Database'!$D$2:$D$622,MATCH(576,'Transfer Engine'!$C$2:$C$622,0)))</f>
        <v/>
      </c>
      <c r="E585">
        <f>IF(ISNA(MATCH(576,'Transfer Engine'!$C$2:$C$622,0)),"",INDEX('Compliance Database'!$E$2:$E$622,MATCH(576,'Transfer Engine'!$C$2:$C$622,0)))</f>
        <v/>
      </c>
      <c r="F585">
        <f>IF(ISNA(MATCH(576,'Transfer Engine'!$C$2:$C$622,0)),"",INDEX('Compliance Database'!$F$2:$F$622,MATCH(576,'Transfer Engine'!$C$2:$C$622,0)))</f>
        <v/>
      </c>
      <c r="G585">
        <f>IF(ISNA(MATCH(576,'Transfer Engine'!$C$2:$C$622,0)),"",INDEX('Compliance Database'!$G$2:$G$622,MATCH(576,'Transfer Engine'!$C$2:$C$622,0)))</f>
        <v/>
      </c>
      <c r="H585">
        <f>IF(ISNA(MATCH(576,'Transfer Engine'!$C$2:$C$622,0)),"",INDEX('Compliance Database'!$H$2:$H$622,MATCH(576,'Transfer Engine'!$C$2:$C$622,0)))</f>
        <v/>
      </c>
      <c r="I585" s="8">
        <f>IF(ISNA(MATCH(576,'Transfer Engine'!$C$2:$C$622,0)),"",INDEX('Compliance Database'!$I$2:$I$622,MATCH(576,'Transfer Engine'!$C$2:$C$622,0)))</f>
        <v/>
      </c>
      <c r="J585" s="8">
        <f>IF(ISNA(MATCH(576,'Transfer Engine'!$C$2:$C$622,0)),"",INDEX('Compliance Database'!$J$2:$J$622,MATCH(576,'Transfer Engine'!$C$2:$C$622,0)))</f>
        <v/>
      </c>
      <c r="K585">
        <f>IF(ISNA(MATCH(576,'Transfer Engine'!$C$2:$C$622,0)),"",INDEX('Compliance Database'!$K$2:$K$622,MATCH(576,'Transfer Engine'!$C$2:$C$622,0)))</f>
        <v/>
      </c>
      <c r="L585" s="8">
        <f>IF(ISNA(MATCH(576,'Transfer Engine'!$C$2:$C$622,0)),"",INDEX('Compliance Database'!$L$2:$L$622,MATCH(576,'Transfer Engine'!$C$2:$C$622,0)))</f>
        <v/>
      </c>
      <c r="M585" s="8">
        <f>IF(ISNA(MATCH(576,'Transfer Engine'!$C$2:$C$622,0)),"",INDEX('Compliance Database'!$M$2:$M$622,MATCH(576,'Transfer Engine'!$C$2:$C$622,0)))</f>
        <v/>
      </c>
      <c r="N585" s="8">
        <f>IF(ISNA(MATCH(576,'Transfer Engine'!$C$2:$C$622,0)),"",INDEX('Compliance Database'!$N$2:$N$622,MATCH(576,'Transfer Engine'!$C$2:$C$622,0)))</f>
        <v/>
      </c>
      <c r="O585" s="8">
        <f>IF(ISNA(MATCH(576,'Transfer Engine'!$C$2:$C$622,0)),"",INDEX('Compliance Database'!$O$2:$O$622,MATCH(576,'Transfer Engine'!$C$2:$C$622,0)))</f>
        <v/>
      </c>
    </row>
    <row r="586">
      <c r="A586">
        <f>IF(ISNA(MATCH(577,'Transfer Engine'!$C$2:$C$622,0)),"",INDEX('Compliance Database'!$A$2:$A$622,MATCH(577,'Transfer Engine'!$C$2:$C$622,0)))</f>
        <v/>
      </c>
      <c r="B586">
        <f>IF(ISNA(MATCH(577,'Transfer Engine'!$C$2:$C$622,0)),"",INDEX('Compliance Database'!$B$2:$B$622,MATCH(577,'Transfer Engine'!$C$2:$C$622,0)))</f>
        <v/>
      </c>
      <c r="C586">
        <f>IF(ISNA(MATCH(577,'Transfer Engine'!$C$2:$C$622,0)),"",INDEX('Compliance Database'!$C$2:$C$622,MATCH(577,'Transfer Engine'!$C$2:$C$622,0)))</f>
        <v/>
      </c>
      <c r="D586" s="8">
        <f>IF(ISNA(MATCH(577,'Transfer Engine'!$C$2:$C$622,0)),"",INDEX('Compliance Database'!$D$2:$D$622,MATCH(577,'Transfer Engine'!$C$2:$C$622,0)))</f>
        <v/>
      </c>
      <c r="E586">
        <f>IF(ISNA(MATCH(577,'Transfer Engine'!$C$2:$C$622,0)),"",INDEX('Compliance Database'!$E$2:$E$622,MATCH(577,'Transfer Engine'!$C$2:$C$622,0)))</f>
        <v/>
      </c>
      <c r="F586">
        <f>IF(ISNA(MATCH(577,'Transfer Engine'!$C$2:$C$622,0)),"",INDEX('Compliance Database'!$F$2:$F$622,MATCH(577,'Transfer Engine'!$C$2:$C$622,0)))</f>
        <v/>
      </c>
      <c r="G586">
        <f>IF(ISNA(MATCH(577,'Transfer Engine'!$C$2:$C$622,0)),"",INDEX('Compliance Database'!$G$2:$G$622,MATCH(577,'Transfer Engine'!$C$2:$C$622,0)))</f>
        <v/>
      </c>
      <c r="H586">
        <f>IF(ISNA(MATCH(577,'Transfer Engine'!$C$2:$C$622,0)),"",INDEX('Compliance Database'!$H$2:$H$622,MATCH(577,'Transfer Engine'!$C$2:$C$622,0)))</f>
        <v/>
      </c>
      <c r="I586" s="8">
        <f>IF(ISNA(MATCH(577,'Transfer Engine'!$C$2:$C$622,0)),"",INDEX('Compliance Database'!$I$2:$I$622,MATCH(577,'Transfer Engine'!$C$2:$C$622,0)))</f>
        <v/>
      </c>
      <c r="J586" s="8">
        <f>IF(ISNA(MATCH(577,'Transfer Engine'!$C$2:$C$622,0)),"",INDEX('Compliance Database'!$J$2:$J$622,MATCH(577,'Transfer Engine'!$C$2:$C$622,0)))</f>
        <v/>
      </c>
      <c r="K586">
        <f>IF(ISNA(MATCH(577,'Transfer Engine'!$C$2:$C$622,0)),"",INDEX('Compliance Database'!$K$2:$K$622,MATCH(577,'Transfer Engine'!$C$2:$C$622,0)))</f>
        <v/>
      </c>
      <c r="L586" s="8">
        <f>IF(ISNA(MATCH(577,'Transfer Engine'!$C$2:$C$622,0)),"",INDEX('Compliance Database'!$L$2:$L$622,MATCH(577,'Transfer Engine'!$C$2:$C$622,0)))</f>
        <v/>
      </c>
      <c r="M586" s="8">
        <f>IF(ISNA(MATCH(577,'Transfer Engine'!$C$2:$C$622,0)),"",INDEX('Compliance Database'!$M$2:$M$622,MATCH(577,'Transfer Engine'!$C$2:$C$622,0)))</f>
        <v/>
      </c>
      <c r="N586" s="8">
        <f>IF(ISNA(MATCH(577,'Transfer Engine'!$C$2:$C$622,0)),"",INDEX('Compliance Database'!$N$2:$N$622,MATCH(577,'Transfer Engine'!$C$2:$C$622,0)))</f>
        <v/>
      </c>
      <c r="O586" s="8">
        <f>IF(ISNA(MATCH(577,'Transfer Engine'!$C$2:$C$622,0)),"",INDEX('Compliance Database'!$O$2:$O$622,MATCH(577,'Transfer Engine'!$C$2:$C$622,0)))</f>
        <v/>
      </c>
    </row>
    <row r="587">
      <c r="A587">
        <f>IF(ISNA(MATCH(578,'Transfer Engine'!$C$2:$C$622,0)),"",INDEX('Compliance Database'!$A$2:$A$622,MATCH(578,'Transfer Engine'!$C$2:$C$622,0)))</f>
        <v/>
      </c>
      <c r="B587">
        <f>IF(ISNA(MATCH(578,'Transfer Engine'!$C$2:$C$622,0)),"",INDEX('Compliance Database'!$B$2:$B$622,MATCH(578,'Transfer Engine'!$C$2:$C$622,0)))</f>
        <v/>
      </c>
      <c r="C587">
        <f>IF(ISNA(MATCH(578,'Transfer Engine'!$C$2:$C$622,0)),"",INDEX('Compliance Database'!$C$2:$C$622,MATCH(578,'Transfer Engine'!$C$2:$C$622,0)))</f>
        <v/>
      </c>
      <c r="D587" s="8">
        <f>IF(ISNA(MATCH(578,'Transfer Engine'!$C$2:$C$622,0)),"",INDEX('Compliance Database'!$D$2:$D$622,MATCH(578,'Transfer Engine'!$C$2:$C$622,0)))</f>
        <v/>
      </c>
      <c r="E587">
        <f>IF(ISNA(MATCH(578,'Transfer Engine'!$C$2:$C$622,0)),"",INDEX('Compliance Database'!$E$2:$E$622,MATCH(578,'Transfer Engine'!$C$2:$C$622,0)))</f>
        <v/>
      </c>
      <c r="F587">
        <f>IF(ISNA(MATCH(578,'Transfer Engine'!$C$2:$C$622,0)),"",INDEX('Compliance Database'!$F$2:$F$622,MATCH(578,'Transfer Engine'!$C$2:$C$622,0)))</f>
        <v/>
      </c>
      <c r="G587">
        <f>IF(ISNA(MATCH(578,'Transfer Engine'!$C$2:$C$622,0)),"",INDEX('Compliance Database'!$G$2:$G$622,MATCH(578,'Transfer Engine'!$C$2:$C$622,0)))</f>
        <v/>
      </c>
      <c r="H587">
        <f>IF(ISNA(MATCH(578,'Transfer Engine'!$C$2:$C$622,0)),"",INDEX('Compliance Database'!$H$2:$H$622,MATCH(578,'Transfer Engine'!$C$2:$C$622,0)))</f>
        <v/>
      </c>
      <c r="I587" s="8">
        <f>IF(ISNA(MATCH(578,'Transfer Engine'!$C$2:$C$622,0)),"",INDEX('Compliance Database'!$I$2:$I$622,MATCH(578,'Transfer Engine'!$C$2:$C$622,0)))</f>
        <v/>
      </c>
      <c r="J587" s="8">
        <f>IF(ISNA(MATCH(578,'Transfer Engine'!$C$2:$C$622,0)),"",INDEX('Compliance Database'!$J$2:$J$622,MATCH(578,'Transfer Engine'!$C$2:$C$622,0)))</f>
        <v/>
      </c>
      <c r="K587">
        <f>IF(ISNA(MATCH(578,'Transfer Engine'!$C$2:$C$622,0)),"",INDEX('Compliance Database'!$K$2:$K$622,MATCH(578,'Transfer Engine'!$C$2:$C$622,0)))</f>
        <v/>
      </c>
      <c r="L587" s="8">
        <f>IF(ISNA(MATCH(578,'Transfer Engine'!$C$2:$C$622,0)),"",INDEX('Compliance Database'!$L$2:$L$622,MATCH(578,'Transfer Engine'!$C$2:$C$622,0)))</f>
        <v/>
      </c>
      <c r="M587" s="8">
        <f>IF(ISNA(MATCH(578,'Transfer Engine'!$C$2:$C$622,0)),"",INDEX('Compliance Database'!$M$2:$M$622,MATCH(578,'Transfer Engine'!$C$2:$C$622,0)))</f>
        <v/>
      </c>
      <c r="N587" s="8">
        <f>IF(ISNA(MATCH(578,'Transfer Engine'!$C$2:$C$622,0)),"",INDEX('Compliance Database'!$N$2:$N$622,MATCH(578,'Transfer Engine'!$C$2:$C$622,0)))</f>
        <v/>
      </c>
      <c r="O587" s="8">
        <f>IF(ISNA(MATCH(578,'Transfer Engine'!$C$2:$C$622,0)),"",INDEX('Compliance Database'!$O$2:$O$622,MATCH(578,'Transfer Engine'!$C$2:$C$622,0)))</f>
        <v/>
      </c>
    </row>
    <row r="588">
      <c r="A588">
        <f>IF(ISNA(MATCH(579,'Transfer Engine'!$C$2:$C$622,0)),"",INDEX('Compliance Database'!$A$2:$A$622,MATCH(579,'Transfer Engine'!$C$2:$C$622,0)))</f>
        <v/>
      </c>
      <c r="B588">
        <f>IF(ISNA(MATCH(579,'Transfer Engine'!$C$2:$C$622,0)),"",INDEX('Compliance Database'!$B$2:$B$622,MATCH(579,'Transfer Engine'!$C$2:$C$622,0)))</f>
        <v/>
      </c>
      <c r="C588">
        <f>IF(ISNA(MATCH(579,'Transfer Engine'!$C$2:$C$622,0)),"",INDEX('Compliance Database'!$C$2:$C$622,MATCH(579,'Transfer Engine'!$C$2:$C$622,0)))</f>
        <v/>
      </c>
      <c r="D588" s="8">
        <f>IF(ISNA(MATCH(579,'Transfer Engine'!$C$2:$C$622,0)),"",INDEX('Compliance Database'!$D$2:$D$622,MATCH(579,'Transfer Engine'!$C$2:$C$622,0)))</f>
        <v/>
      </c>
      <c r="E588">
        <f>IF(ISNA(MATCH(579,'Transfer Engine'!$C$2:$C$622,0)),"",INDEX('Compliance Database'!$E$2:$E$622,MATCH(579,'Transfer Engine'!$C$2:$C$622,0)))</f>
        <v/>
      </c>
      <c r="F588">
        <f>IF(ISNA(MATCH(579,'Transfer Engine'!$C$2:$C$622,0)),"",INDEX('Compliance Database'!$F$2:$F$622,MATCH(579,'Transfer Engine'!$C$2:$C$622,0)))</f>
        <v/>
      </c>
      <c r="G588">
        <f>IF(ISNA(MATCH(579,'Transfer Engine'!$C$2:$C$622,0)),"",INDEX('Compliance Database'!$G$2:$G$622,MATCH(579,'Transfer Engine'!$C$2:$C$622,0)))</f>
        <v/>
      </c>
      <c r="H588">
        <f>IF(ISNA(MATCH(579,'Transfer Engine'!$C$2:$C$622,0)),"",INDEX('Compliance Database'!$H$2:$H$622,MATCH(579,'Transfer Engine'!$C$2:$C$622,0)))</f>
        <v/>
      </c>
      <c r="I588" s="8">
        <f>IF(ISNA(MATCH(579,'Transfer Engine'!$C$2:$C$622,0)),"",INDEX('Compliance Database'!$I$2:$I$622,MATCH(579,'Transfer Engine'!$C$2:$C$622,0)))</f>
        <v/>
      </c>
      <c r="J588" s="8">
        <f>IF(ISNA(MATCH(579,'Transfer Engine'!$C$2:$C$622,0)),"",INDEX('Compliance Database'!$J$2:$J$622,MATCH(579,'Transfer Engine'!$C$2:$C$622,0)))</f>
        <v/>
      </c>
      <c r="K588">
        <f>IF(ISNA(MATCH(579,'Transfer Engine'!$C$2:$C$622,0)),"",INDEX('Compliance Database'!$K$2:$K$622,MATCH(579,'Transfer Engine'!$C$2:$C$622,0)))</f>
        <v/>
      </c>
      <c r="L588" s="8">
        <f>IF(ISNA(MATCH(579,'Transfer Engine'!$C$2:$C$622,0)),"",INDEX('Compliance Database'!$L$2:$L$622,MATCH(579,'Transfer Engine'!$C$2:$C$622,0)))</f>
        <v/>
      </c>
      <c r="M588" s="8">
        <f>IF(ISNA(MATCH(579,'Transfer Engine'!$C$2:$C$622,0)),"",INDEX('Compliance Database'!$M$2:$M$622,MATCH(579,'Transfer Engine'!$C$2:$C$622,0)))</f>
        <v/>
      </c>
      <c r="N588" s="8">
        <f>IF(ISNA(MATCH(579,'Transfer Engine'!$C$2:$C$622,0)),"",INDEX('Compliance Database'!$N$2:$N$622,MATCH(579,'Transfer Engine'!$C$2:$C$622,0)))</f>
        <v/>
      </c>
      <c r="O588" s="8">
        <f>IF(ISNA(MATCH(579,'Transfer Engine'!$C$2:$C$622,0)),"",INDEX('Compliance Database'!$O$2:$O$622,MATCH(579,'Transfer Engine'!$C$2:$C$622,0)))</f>
        <v/>
      </c>
    </row>
    <row r="589">
      <c r="A589">
        <f>IF(ISNA(MATCH(580,'Transfer Engine'!$C$2:$C$622,0)),"",INDEX('Compliance Database'!$A$2:$A$622,MATCH(580,'Transfer Engine'!$C$2:$C$622,0)))</f>
        <v/>
      </c>
      <c r="B589">
        <f>IF(ISNA(MATCH(580,'Transfer Engine'!$C$2:$C$622,0)),"",INDEX('Compliance Database'!$B$2:$B$622,MATCH(580,'Transfer Engine'!$C$2:$C$622,0)))</f>
        <v/>
      </c>
      <c r="C589">
        <f>IF(ISNA(MATCH(580,'Transfer Engine'!$C$2:$C$622,0)),"",INDEX('Compliance Database'!$C$2:$C$622,MATCH(580,'Transfer Engine'!$C$2:$C$622,0)))</f>
        <v/>
      </c>
      <c r="D589" s="8">
        <f>IF(ISNA(MATCH(580,'Transfer Engine'!$C$2:$C$622,0)),"",INDEX('Compliance Database'!$D$2:$D$622,MATCH(580,'Transfer Engine'!$C$2:$C$622,0)))</f>
        <v/>
      </c>
      <c r="E589">
        <f>IF(ISNA(MATCH(580,'Transfer Engine'!$C$2:$C$622,0)),"",INDEX('Compliance Database'!$E$2:$E$622,MATCH(580,'Transfer Engine'!$C$2:$C$622,0)))</f>
        <v/>
      </c>
      <c r="F589">
        <f>IF(ISNA(MATCH(580,'Transfer Engine'!$C$2:$C$622,0)),"",INDEX('Compliance Database'!$F$2:$F$622,MATCH(580,'Transfer Engine'!$C$2:$C$622,0)))</f>
        <v/>
      </c>
      <c r="G589">
        <f>IF(ISNA(MATCH(580,'Transfer Engine'!$C$2:$C$622,0)),"",INDEX('Compliance Database'!$G$2:$G$622,MATCH(580,'Transfer Engine'!$C$2:$C$622,0)))</f>
        <v/>
      </c>
      <c r="H589">
        <f>IF(ISNA(MATCH(580,'Transfer Engine'!$C$2:$C$622,0)),"",INDEX('Compliance Database'!$H$2:$H$622,MATCH(580,'Transfer Engine'!$C$2:$C$622,0)))</f>
        <v/>
      </c>
      <c r="I589" s="8">
        <f>IF(ISNA(MATCH(580,'Transfer Engine'!$C$2:$C$622,0)),"",INDEX('Compliance Database'!$I$2:$I$622,MATCH(580,'Transfer Engine'!$C$2:$C$622,0)))</f>
        <v/>
      </c>
      <c r="J589" s="8">
        <f>IF(ISNA(MATCH(580,'Transfer Engine'!$C$2:$C$622,0)),"",INDEX('Compliance Database'!$J$2:$J$622,MATCH(580,'Transfer Engine'!$C$2:$C$622,0)))</f>
        <v/>
      </c>
      <c r="K589">
        <f>IF(ISNA(MATCH(580,'Transfer Engine'!$C$2:$C$622,0)),"",INDEX('Compliance Database'!$K$2:$K$622,MATCH(580,'Transfer Engine'!$C$2:$C$622,0)))</f>
        <v/>
      </c>
      <c r="L589" s="8">
        <f>IF(ISNA(MATCH(580,'Transfer Engine'!$C$2:$C$622,0)),"",INDEX('Compliance Database'!$L$2:$L$622,MATCH(580,'Transfer Engine'!$C$2:$C$622,0)))</f>
        <v/>
      </c>
      <c r="M589" s="8">
        <f>IF(ISNA(MATCH(580,'Transfer Engine'!$C$2:$C$622,0)),"",INDEX('Compliance Database'!$M$2:$M$622,MATCH(580,'Transfer Engine'!$C$2:$C$622,0)))</f>
        <v/>
      </c>
      <c r="N589" s="8">
        <f>IF(ISNA(MATCH(580,'Transfer Engine'!$C$2:$C$622,0)),"",INDEX('Compliance Database'!$N$2:$N$622,MATCH(580,'Transfer Engine'!$C$2:$C$622,0)))</f>
        <v/>
      </c>
      <c r="O589" s="8">
        <f>IF(ISNA(MATCH(580,'Transfer Engine'!$C$2:$C$622,0)),"",INDEX('Compliance Database'!$O$2:$O$622,MATCH(580,'Transfer Engine'!$C$2:$C$622,0)))</f>
        <v/>
      </c>
    </row>
    <row r="590">
      <c r="A590">
        <f>IF(ISNA(MATCH(581,'Transfer Engine'!$C$2:$C$622,0)),"",INDEX('Compliance Database'!$A$2:$A$622,MATCH(581,'Transfer Engine'!$C$2:$C$622,0)))</f>
        <v/>
      </c>
      <c r="B590">
        <f>IF(ISNA(MATCH(581,'Transfer Engine'!$C$2:$C$622,0)),"",INDEX('Compliance Database'!$B$2:$B$622,MATCH(581,'Transfer Engine'!$C$2:$C$622,0)))</f>
        <v/>
      </c>
      <c r="C590">
        <f>IF(ISNA(MATCH(581,'Transfer Engine'!$C$2:$C$622,0)),"",INDEX('Compliance Database'!$C$2:$C$622,MATCH(581,'Transfer Engine'!$C$2:$C$622,0)))</f>
        <v/>
      </c>
      <c r="D590" s="8">
        <f>IF(ISNA(MATCH(581,'Transfer Engine'!$C$2:$C$622,0)),"",INDEX('Compliance Database'!$D$2:$D$622,MATCH(581,'Transfer Engine'!$C$2:$C$622,0)))</f>
        <v/>
      </c>
      <c r="E590">
        <f>IF(ISNA(MATCH(581,'Transfer Engine'!$C$2:$C$622,0)),"",INDEX('Compliance Database'!$E$2:$E$622,MATCH(581,'Transfer Engine'!$C$2:$C$622,0)))</f>
        <v/>
      </c>
      <c r="F590">
        <f>IF(ISNA(MATCH(581,'Transfer Engine'!$C$2:$C$622,0)),"",INDEX('Compliance Database'!$F$2:$F$622,MATCH(581,'Transfer Engine'!$C$2:$C$622,0)))</f>
        <v/>
      </c>
      <c r="G590">
        <f>IF(ISNA(MATCH(581,'Transfer Engine'!$C$2:$C$622,0)),"",INDEX('Compliance Database'!$G$2:$G$622,MATCH(581,'Transfer Engine'!$C$2:$C$622,0)))</f>
        <v/>
      </c>
      <c r="H590">
        <f>IF(ISNA(MATCH(581,'Transfer Engine'!$C$2:$C$622,0)),"",INDEX('Compliance Database'!$H$2:$H$622,MATCH(581,'Transfer Engine'!$C$2:$C$622,0)))</f>
        <v/>
      </c>
      <c r="I590" s="8">
        <f>IF(ISNA(MATCH(581,'Transfer Engine'!$C$2:$C$622,0)),"",INDEX('Compliance Database'!$I$2:$I$622,MATCH(581,'Transfer Engine'!$C$2:$C$622,0)))</f>
        <v/>
      </c>
      <c r="J590" s="8">
        <f>IF(ISNA(MATCH(581,'Transfer Engine'!$C$2:$C$622,0)),"",INDEX('Compliance Database'!$J$2:$J$622,MATCH(581,'Transfer Engine'!$C$2:$C$622,0)))</f>
        <v/>
      </c>
      <c r="K590">
        <f>IF(ISNA(MATCH(581,'Transfer Engine'!$C$2:$C$622,0)),"",INDEX('Compliance Database'!$K$2:$K$622,MATCH(581,'Transfer Engine'!$C$2:$C$622,0)))</f>
        <v/>
      </c>
      <c r="L590" s="8">
        <f>IF(ISNA(MATCH(581,'Transfer Engine'!$C$2:$C$622,0)),"",INDEX('Compliance Database'!$L$2:$L$622,MATCH(581,'Transfer Engine'!$C$2:$C$622,0)))</f>
        <v/>
      </c>
      <c r="M590" s="8">
        <f>IF(ISNA(MATCH(581,'Transfer Engine'!$C$2:$C$622,0)),"",INDEX('Compliance Database'!$M$2:$M$622,MATCH(581,'Transfer Engine'!$C$2:$C$622,0)))</f>
        <v/>
      </c>
      <c r="N590" s="8">
        <f>IF(ISNA(MATCH(581,'Transfer Engine'!$C$2:$C$622,0)),"",INDEX('Compliance Database'!$N$2:$N$622,MATCH(581,'Transfer Engine'!$C$2:$C$622,0)))</f>
        <v/>
      </c>
      <c r="O590" s="8">
        <f>IF(ISNA(MATCH(581,'Transfer Engine'!$C$2:$C$622,0)),"",INDEX('Compliance Database'!$O$2:$O$622,MATCH(581,'Transfer Engine'!$C$2:$C$622,0)))</f>
        <v/>
      </c>
    </row>
    <row r="591">
      <c r="A591">
        <f>IF(ISNA(MATCH(582,'Transfer Engine'!$C$2:$C$622,0)),"",INDEX('Compliance Database'!$A$2:$A$622,MATCH(582,'Transfer Engine'!$C$2:$C$622,0)))</f>
        <v/>
      </c>
      <c r="B591">
        <f>IF(ISNA(MATCH(582,'Transfer Engine'!$C$2:$C$622,0)),"",INDEX('Compliance Database'!$B$2:$B$622,MATCH(582,'Transfer Engine'!$C$2:$C$622,0)))</f>
        <v/>
      </c>
      <c r="C591">
        <f>IF(ISNA(MATCH(582,'Transfer Engine'!$C$2:$C$622,0)),"",INDEX('Compliance Database'!$C$2:$C$622,MATCH(582,'Transfer Engine'!$C$2:$C$622,0)))</f>
        <v/>
      </c>
      <c r="D591" s="8">
        <f>IF(ISNA(MATCH(582,'Transfer Engine'!$C$2:$C$622,0)),"",INDEX('Compliance Database'!$D$2:$D$622,MATCH(582,'Transfer Engine'!$C$2:$C$622,0)))</f>
        <v/>
      </c>
      <c r="E591">
        <f>IF(ISNA(MATCH(582,'Transfer Engine'!$C$2:$C$622,0)),"",INDEX('Compliance Database'!$E$2:$E$622,MATCH(582,'Transfer Engine'!$C$2:$C$622,0)))</f>
        <v/>
      </c>
      <c r="F591">
        <f>IF(ISNA(MATCH(582,'Transfer Engine'!$C$2:$C$622,0)),"",INDEX('Compliance Database'!$F$2:$F$622,MATCH(582,'Transfer Engine'!$C$2:$C$622,0)))</f>
        <v/>
      </c>
      <c r="G591">
        <f>IF(ISNA(MATCH(582,'Transfer Engine'!$C$2:$C$622,0)),"",INDEX('Compliance Database'!$G$2:$G$622,MATCH(582,'Transfer Engine'!$C$2:$C$622,0)))</f>
        <v/>
      </c>
      <c r="H591">
        <f>IF(ISNA(MATCH(582,'Transfer Engine'!$C$2:$C$622,0)),"",INDEX('Compliance Database'!$H$2:$H$622,MATCH(582,'Transfer Engine'!$C$2:$C$622,0)))</f>
        <v/>
      </c>
      <c r="I591" s="8">
        <f>IF(ISNA(MATCH(582,'Transfer Engine'!$C$2:$C$622,0)),"",INDEX('Compliance Database'!$I$2:$I$622,MATCH(582,'Transfer Engine'!$C$2:$C$622,0)))</f>
        <v/>
      </c>
      <c r="J591" s="8">
        <f>IF(ISNA(MATCH(582,'Transfer Engine'!$C$2:$C$622,0)),"",INDEX('Compliance Database'!$J$2:$J$622,MATCH(582,'Transfer Engine'!$C$2:$C$622,0)))</f>
        <v/>
      </c>
      <c r="K591">
        <f>IF(ISNA(MATCH(582,'Transfer Engine'!$C$2:$C$622,0)),"",INDEX('Compliance Database'!$K$2:$K$622,MATCH(582,'Transfer Engine'!$C$2:$C$622,0)))</f>
        <v/>
      </c>
      <c r="L591" s="8">
        <f>IF(ISNA(MATCH(582,'Transfer Engine'!$C$2:$C$622,0)),"",INDEX('Compliance Database'!$L$2:$L$622,MATCH(582,'Transfer Engine'!$C$2:$C$622,0)))</f>
        <v/>
      </c>
      <c r="M591" s="8">
        <f>IF(ISNA(MATCH(582,'Transfer Engine'!$C$2:$C$622,0)),"",INDEX('Compliance Database'!$M$2:$M$622,MATCH(582,'Transfer Engine'!$C$2:$C$622,0)))</f>
        <v/>
      </c>
      <c r="N591" s="8">
        <f>IF(ISNA(MATCH(582,'Transfer Engine'!$C$2:$C$622,0)),"",INDEX('Compliance Database'!$N$2:$N$622,MATCH(582,'Transfer Engine'!$C$2:$C$622,0)))</f>
        <v/>
      </c>
      <c r="O591" s="8">
        <f>IF(ISNA(MATCH(582,'Transfer Engine'!$C$2:$C$622,0)),"",INDEX('Compliance Database'!$O$2:$O$622,MATCH(582,'Transfer Engine'!$C$2:$C$622,0)))</f>
        <v/>
      </c>
    </row>
    <row r="592">
      <c r="A592">
        <f>IF(ISNA(MATCH(583,'Transfer Engine'!$C$2:$C$622,0)),"",INDEX('Compliance Database'!$A$2:$A$622,MATCH(583,'Transfer Engine'!$C$2:$C$622,0)))</f>
        <v/>
      </c>
      <c r="B592">
        <f>IF(ISNA(MATCH(583,'Transfer Engine'!$C$2:$C$622,0)),"",INDEX('Compliance Database'!$B$2:$B$622,MATCH(583,'Transfer Engine'!$C$2:$C$622,0)))</f>
        <v/>
      </c>
      <c r="C592">
        <f>IF(ISNA(MATCH(583,'Transfer Engine'!$C$2:$C$622,0)),"",INDEX('Compliance Database'!$C$2:$C$622,MATCH(583,'Transfer Engine'!$C$2:$C$622,0)))</f>
        <v/>
      </c>
      <c r="D592" s="8">
        <f>IF(ISNA(MATCH(583,'Transfer Engine'!$C$2:$C$622,0)),"",INDEX('Compliance Database'!$D$2:$D$622,MATCH(583,'Transfer Engine'!$C$2:$C$622,0)))</f>
        <v/>
      </c>
      <c r="E592">
        <f>IF(ISNA(MATCH(583,'Transfer Engine'!$C$2:$C$622,0)),"",INDEX('Compliance Database'!$E$2:$E$622,MATCH(583,'Transfer Engine'!$C$2:$C$622,0)))</f>
        <v/>
      </c>
      <c r="F592">
        <f>IF(ISNA(MATCH(583,'Transfer Engine'!$C$2:$C$622,0)),"",INDEX('Compliance Database'!$F$2:$F$622,MATCH(583,'Transfer Engine'!$C$2:$C$622,0)))</f>
        <v/>
      </c>
      <c r="G592">
        <f>IF(ISNA(MATCH(583,'Transfer Engine'!$C$2:$C$622,0)),"",INDEX('Compliance Database'!$G$2:$G$622,MATCH(583,'Transfer Engine'!$C$2:$C$622,0)))</f>
        <v/>
      </c>
      <c r="H592">
        <f>IF(ISNA(MATCH(583,'Transfer Engine'!$C$2:$C$622,0)),"",INDEX('Compliance Database'!$H$2:$H$622,MATCH(583,'Transfer Engine'!$C$2:$C$622,0)))</f>
        <v/>
      </c>
      <c r="I592" s="8">
        <f>IF(ISNA(MATCH(583,'Transfer Engine'!$C$2:$C$622,0)),"",INDEX('Compliance Database'!$I$2:$I$622,MATCH(583,'Transfer Engine'!$C$2:$C$622,0)))</f>
        <v/>
      </c>
      <c r="J592" s="8">
        <f>IF(ISNA(MATCH(583,'Transfer Engine'!$C$2:$C$622,0)),"",INDEX('Compliance Database'!$J$2:$J$622,MATCH(583,'Transfer Engine'!$C$2:$C$622,0)))</f>
        <v/>
      </c>
      <c r="K592">
        <f>IF(ISNA(MATCH(583,'Transfer Engine'!$C$2:$C$622,0)),"",INDEX('Compliance Database'!$K$2:$K$622,MATCH(583,'Transfer Engine'!$C$2:$C$622,0)))</f>
        <v/>
      </c>
      <c r="L592" s="8">
        <f>IF(ISNA(MATCH(583,'Transfer Engine'!$C$2:$C$622,0)),"",INDEX('Compliance Database'!$L$2:$L$622,MATCH(583,'Transfer Engine'!$C$2:$C$622,0)))</f>
        <v/>
      </c>
      <c r="M592" s="8">
        <f>IF(ISNA(MATCH(583,'Transfer Engine'!$C$2:$C$622,0)),"",INDEX('Compliance Database'!$M$2:$M$622,MATCH(583,'Transfer Engine'!$C$2:$C$622,0)))</f>
        <v/>
      </c>
      <c r="N592" s="8">
        <f>IF(ISNA(MATCH(583,'Transfer Engine'!$C$2:$C$622,0)),"",INDEX('Compliance Database'!$N$2:$N$622,MATCH(583,'Transfer Engine'!$C$2:$C$622,0)))</f>
        <v/>
      </c>
      <c r="O592" s="8">
        <f>IF(ISNA(MATCH(583,'Transfer Engine'!$C$2:$C$622,0)),"",INDEX('Compliance Database'!$O$2:$O$622,MATCH(583,'Transfer Engine'!$C$2:$C$622,0)))</f>
        <v/>
      </c>
    </row>
    <row r="593">
      <c r="A593">
        <f>IF(ISNA(MATCH(584,'Transfer Engine'!$C$2:$C$622,0)),"",INDEX('Compliance Database'!$A$2:$A$622,MATCH(584,'Transfer Engine'!$C$2:$C$622,0)))</f>
        <v/>
      </c>
      <c r="B593">
        <f>IF(ISNA(MATCH(584,'Transfer Engine'!$C$2:$C$622,0)),"",INDEX('Compliance Database'!$B$2:$B$622,MATCH(584,'Transfer Engine'!$C$2:$C$622,0)))</f>
        <v/>
      </c>
      <c r="C593">
        <f>IF(ISNA(MATCH(584,'Transfer Engine'!$C$2:$C$622,0)),"",INDEX('Compliance Database'!$C$2:$C$622,MATCH(584,'Transfer Engine'!$C$2:$C$622,0)))</f>
        <v/>
      </c>
      <c r="D593" s="8">
        <f>IF(ISNA(MATCH(584,'Transfer Engine'!$C$2:$C$622,0)),"",INDEX('Compliance Database'!$D$2:$D$622,MATCH(584,'Transfer Engine'!$C$2:$C$622,0)))</f>
        <v/>
      </c>
      <c r="E593">
        <f>IF(ISNA(MATCH(584,'Transfer Engine'!$C$2:$C$622,0)),"",INDEX('Compliance Database'!$E$2:$E$622,MATCH(584,'Transfer Engine'!$C$2:$C$622,0)))</f>
        <v/>
      </c>
      <c r="F593">
        <f>IF(ISNA(MATCH(584,'Transfer Engine'!$C$2:$C$622,0)),"",INDEX('Compliance Database'!$F$2:$F$622,MATCH(584,'Transfer Engine'!$C$2:$C$622,0)))</f>
        <v/>
      </c>
      <c r="G593">
        <f>IF(ISNA(MATCH(584,'Transfer Engine'!$C$2:$C$622,0)),"",INDEX('Compliance Database'!$G$2:$G$622,MATCH(584,'Transfer Engine'!$C$2:$C$622,0)))</f>
        <v/>
      </c>
      <c r="H593">
        <f>IF(ISNA(MATCH(584,'Transfer Engine'!$C$2:$C$622,0)),"",INDEX('Compliance Database'!$H$2:$H$622,MATCH(584,'Transfer Engine'!$C$2:$C$622,0)))</f>
        <v/>
      </c>
      <c r="I593" s="8">
        <f>IF(ISNA(MATCH(584,'Transfer Engine'!$C$2:$C$622,0)),"",INDEX('Compliance Database'!$I$2:$I$622,MATCH(584,'Transfer Engine'!$C$2:$C$622,0)))</f>
        <v/>
      </c>
      <c r="J593" s="8">
        <f>IF(ISNA(MATCH(584,'Transfer Engine'!$C$2:$C$622,0)),"",INDEX('Compliance Database'!$J$2:$J$622,MATCH(584,'Transfer Engine'!$C$2:$C$622,0)))</f>
        <v/>
      </c>
      <c r="K593">
        <f>IF(ISNA(MATCH(584,'Transfer Engine'!$C$2:$C$622,0)),"",INDEX('Compliance Database'!$K$2:$K$622,MATCH(584,'Transfer Engine'!$C$2:$C$622,0)))</f>
        <v/>
      </c>
      <c r="L593" s="8">
        <f>IF(ISNA(MATCH(584,'Transfer Engine'!$C$2:$C$622,0)),"",INDEX('Compliance Database'!$L$2:$L$622,MATCH(584,'Transfer Engine'!$C$2:$C$622,0)))</f>
        <v/>
      </c>
      <c r="M593" s="8">
        <f>IF(ISNA(MATCH(584,'Transfer Engine'!$C$2:$C$622,0)),"",INDEX('Compliance Database'!$M$2:$M$622,MATCH(584,'Transfer Engine'!$C$2:$C$622,0)))</f>
        <v/>
      </c>
      <c r="N593" s="8">
        <f>IF(ISNA(MATCH(584,'Transfer Engine'!$C$2:$C$622,0)),"",INDEX('Compliance Database'!$N$2:$N$622,MATCH(584,'Transfer Engine'!$C$2:$C$622,0)))</f>
        <v/>
      </c>
      <c r="O593" s="8">
        <f>IF(ISNA(MATCH(584,'Transfer Engine'!$C$2:$C$622,0)),"",INDEX('Compliance Database'!$O$2:$O$622,MATCH(584,'Transfer Engine'!$C$2:$C$622,0)))</f>
        <v/>
      </c>
    </row>
    <row r="594">
      <c r="A594">
        <f>IF(ISNA(MATCH(585,'Transfer Engine'!$C$2:$C$622,0)),"",INDEX('Compliance Database'!$A$2:$A$622,MATCH(585,'Transfer Engine'!$C$2:$C$622,0)))</f>
        <v/>
      </c>
      <c r="B594">
        <f>IF(ISNA(MATCH(585,'Transfer Engine'!$C$2:$C$622,0)),"",INDEX('Compliance Database'!$B$2:$B$622,MATCH(585,'Transfer Engine'!$C$2:$C$622,0)))</f>
        <v/>
      </c>
      <c r="C594">
        <f>IF(ISNA(MATCH(585,'Transfer Engine'!$C$2:$C$622,0)),"",INDEX('Compliance Database'!$C$2:$C$622,MATCH(585,'Transfer Engine'!$C$2:$C$622,0)))</f>
        <v/>
      </c>
      <c r="D594" s="8">
        <f>IF(ISNA(MATCH(585,'Transfer Engine'!$C$2:$C$622,0)),"",INDEX('Compliance Database'!$D$2:$D$622,MATCH(585,'Transfer Engine'!$C$2:$C$622,0)))</f>
        <v/>
      </c>
      <c r="E594">
        <f>IF(ISNA(MATCH(585,'Transfer Engine'!$C$2:$C$622,0)),"",INDEX('Compliance Database'!$E$2:$E$622,MATCH(585,'Transfer Engine'!$C$2:$C$622,0)))</f>
        <v/>
      </c>
      <c r="F594">
        <f>IF(ISNA(MATCH(585,'Transfer Engine'!$C$2:$C$622,0)),"",INDEX('Compliance Database'!$F$2:$F$622,MATCH(585,'Transfer Engine'!$C$2:$C$622,0)))</f>
        <v/>
      </c>
      <c r="G594">
        <f>IF(ISNA(MATCH(585,'Transfer Engine'!$C$2:$C$622,0)),"",INDEX('Compliance Database'!$G$2:$G$622,MATCH(585,'Transfer Engine'!$C$2:$C$622,0)))</f>
        <v/>
      </c>
      <c r="H594">
        <f>IF(ISNA(MATCH(585,'Transfer Engine'!$C$2:$C$622,0)),"",INDEX('Compliance Database'!$H$2:$H$622,MATCH(585,'Transfer Engine'!$C$2:$C$622,0)))</f>
        <v/>
      </c>
      <c r="I594" s="8">
        <f>IF(ISNA(MATCH(585,'Transfer Engine'!$C$2:$C$622,0)),"",INDEX('Compliance Database'!$I$2:$I$622,MATCH(585,'Transfer Engine'!$C$2:$C$622,0)))</f>
        <v/>
      </c>
      <c r="J594" s="8">
        <f>IF(ISNA(MATCH(585,'Transfer Engine'!$C$2:$C$622,0)),"",INDEX('Compliance Database'!$J$2:$J$622,MATCH(585,'Transfer Engine'!$C$2:$C$622,0)))</f>
        <v/>
      </c>
      <c r="K594">
        <f>IF(ISNA(MATCH(585,'Transfer Engine'!$C$2:$C$622,0)),"",INDEX('Compliance Database'!$K$2:$K$622,MATCH(585,'Transfer Engine'!$C$2:$C$622,0)))</f>
        <v/>
      </c>
      <c r="L594" s="8">
        <f>IF(ISNA(MATCH(585,'Transfer Engine'!$C$2:$C$622,0)),"",INDEX('Compliance Database'!$L$2:$L$622,MATCH(585,'Transfer Engine'!$C$2:$C$622,0)))</f>
        <v/>
      </c>
      <c r="M594" s="8">
        <f>IF(ISNA(MATCH(585,'Transfer Engine'!$C$2:$C$622,0)),"",INDEX('Compliance Database'!$M$2:$M$622,MATCH(585,'Transfer Engine'!$C$2:$C$622,0)))</f>
        <v/>
      </c>
      <c r="N594" s="8">
        <f>IF(ISNA(MATCH(585,'Transfer Engine'!$C$2:$C$622,0)),"",INDEX('Compliance Database'!$N$2:$N$622,MATCH(585,'Transfer Engine'!$C$2:$C$622,0)))</f>
        <v/>
      </c>
      <c r="O594" s="8">
        <f>IF(ISNA(MATCH(585,'Transfer Engine'!$C$2:$C$622,0)),"",INDEX('Compliance Database'!$O$2:$O$622,MATCH(585,'Transfer Engine'!$C$2:$C$622,0)))</f>
        <v/>
      </c>
    </row>
    <row r="595">
      <c r="A595">
        <f>IF(ISNA(MATCH(586,'Transfer Engine'!$C$2:$C$622,0)),"",INDEX('Compliance Database'!$A$2:$A$622,MATCH(586,'Transfer Engine'!$C$2:$C$622,0)))</f>
        <v/>
      </c>
      <c r="B595">
        <f>IF(ISNA(MATCH(586,'Transfer Engine'!$C$2:$C$622,0)),"",INDEX('Compliance Database'!$B$2:$B$622,MATCH(586,'Transfer Engine'!$C$2:$C$622,0)))</f>
        <v/>
      </c>
      <c r="C595">
        <f>IF(ISNA(MATCH(586,'Transfer Engine'!$C$2:$C$622,0)),"",INDEX('Compliance Database'!$C$2:$C$622,MATCH(586,'Transfer Engine'!$C$2:$C$622,0)))</f>
        <v/>
      </c>
      <c r="D595" s="8">
        <f>IF(ISNA(MATCH(586,'Transfer Engine'!$C$2:$C$622,0)),"",INDEX('Compliance Database'!$D$2:$D$622,MATCH(586,'Transfer Engine'!$C$2:$C$622,0)))</f>
        <v/>
      </c>
      <c r="E595">
        <f>IF(ISNA(MATCH(586,'Transfer Engine'!$C$2:$C$622,0)),"",INDEX('Compliance Database'!$E$2:$E$622,MATCH(586,'Transfer Engine'!$C$2:$C$622,0)))</f>
        <v/>
      </c>
      <c r="F595">
        <f>IF(ISNA(MATCH(586,'Transfer Engine'!$C$2:$C$622,0)),"",INDEX('Compliance Database'!$F$2:$F$622,MATCH(586,'Transfer Engine'!$C$2:$C$622,0)))</f>
        <v/>
      </c>
      <c r="G595">
        <f>IF(ISNA(MATCH(586,'Transfer Engine'!$C$2:$C$622,0)),"",INDEX('Compliance Database'!$G$2:$G$622,MATCH(586,'Transfer Engine'!$C$2:$C$622,0)))</f>
        <v/>
      </c>
      <c r="H595">
        <f>IF(ISNA(MATCH(586,'Transfer Engine'!$C$2:$C$622,0)),"",INDEX('Compliance Database'!$H$2:$H$622,MATCH(586,'Transfer Engine'!$C$2:$C$622,0)))</f>
        <v/>
      </c>
      <c r="I595" s="8">
        <f>IF(ISNA(MATCH(586,'Transfer Engine'!$C$2:$C$622,0)),"",INDEX('Compliance Database'!$I$2:$I$622,MATCH(586,'Transfer Engine'!$C$2:$C$622,0)))</f>
        <v/>
      </c>
      <c r="J595" s="8">
        <f>IF(ISNA(MATCH(586,'Transfer Engine'!$C$2:$C$622,0)),"",INDEX('Compliance Database'!$J$2:$J$622,MATCH(586,'Transfer Engine'!$C$2:$C$622,0)))</f>
        <v/>
      </c>
      <c r="K595">
        <f>IF(ISNA(MATCH(586,'Transfer Engine'!$C$2:$C$622,0)),"",INDEX('Compliance Database'!$K$2:$K$622,MATCH(586,'Transfer Engine'!$C$2:$C$622,0)))</f>
        <v/>
      </c>
      <c r="L595" s="8">
        <f>IF(ISNA(MATCH(586,'Transfer Engine'!$C$2:$C$622,0)),"",INDEX('Compliance Database'!$L$2:$L$622,MATCH(586,'Transfer Engine'!$C$2:$C$622,0)))</f>
        <v/>
      </c>
      <c r="M595" s="8">
        <f>IF(ISNA(MATCH(586,'Transfer Engine'!$C$2:$C$622,0)),"",INDEX('Compliance Database'!$M$2:$M$622,MATCH(586,'Transfer Engine'!$C$2:$C$622,0)))</f>
        <v/>
      </c>
      <c r="N595" s="8">
        <f>IF(ISNA(MATCH(586,'Transfer Engine'!$C$2:$C$622,0)),"",INDEX('Compliance Database'!$N$2:$N$622,MATCH(586,'Transfer Engine'!$C$2:$C$622,0)))</f>
        <v/>
      </c>
      <c r="O595" s="8">
        <f>IF(ISNA(MATCH(586,'Transfer Engine'!$C$2:$C$622,0)),"",INDEX('Compliance Database'!$O$2:$O$622,MATCH(586,'Transfer Engine'!$C$2:$C$622,0)))</f>
        <v/>
      </c>
    </row>
    <row r="596">
      <c r="A596">
        <f>IF(ISNA(MATCH(587,'Transfer Engine'!$C$2:$C$622,0)),"",INDEX('Compliance Database'!$A$2:$A$622,MATCH(587,'Transfer Engine'!$C$2:$C$622,0)))</f>
        <v/>
      </c>
      <c r="B596">
        <f>IF(ISNA(MATCH(587,'Transfer Engine'!$C$2:$C$622,0)),"",INDEX('Compliance Database'!$B$2:$B$622,MATCH(587,'Transfer Engine'!$C$2:$C$622,0)))</f>
        <v/>
      </c>
      <c r="C596">
        <f>IF(ISNA(MATCH(587,'Transfer Engine'!$C$2:$C$622,0)),"",INDEX('Compliance Database'!$C$2:$C$622,MATCH(587,'Transfer Engine'!$C$2:$C$622,0)))</f>
        <v/>
      </c>
      <c r="D596" s="8">
        <f>IF(ISNA(MATCH(587,'Transfer Engine'!$C$2:$C$622,0)),"",INDEX('Compliance Database'!$D$2:$D$622,MATCH(587,'Transfer Engine'!$C$2:$C$622,0)))</f>
        <v/>
      </c>
      <c r="E596">
        <f>IF(ISNA(MATCH(587,'Transfer Engine'!$C$2:$C$622,0)),"",INDEX('Compliance Database'!$E$2:$E$622,MATCH(587,'Transfer Engine'!$C$2:$C$622,0)))</f>
        <v/>
      </c>
      <c r="F596">
        <f>IF(ISNA(MATCH(587,'Transfer Engine'!$C$2:$C$622,0)),"",INDEX('Compliance Database'!$F$2:$F$622,MATCH(587,'Transfer Engine'!$C$2:$C$622,0)))</f>
        <v/>
      </c>
      <c r="G596">
        <f>IF(ISNA(MATCH(587,'Transfer Engine'!$C$2:$C$622,0)),"",INDEX('Compliance Database'!$G$2:$G$622,MATCH(587,'Transfer Engine'!$C$2:$C$622,0)))</f>
        <v/>
      </c>
      <c r="H596">
        <f>IF(ISNA(MATCH(587,'Transfer Engine'!$C$2:$C$622,0)),"",INDEX('Compliance Database'!$H$2:$H$622,MATCH(587,'Transfer Engine'!$C$2:$C$622,0)))</f>
        <v/>
      </c>
      <c r="I596" s="8">
        <f>IF(ISNA(MATCH(587,'Transfer Engine'!$C$2:$C$622,0)),"",INDEX('Compliance Database'!$I$2:$I$622,MATCH(587,'Transfer Engine'!$C$2:$C$622,0)))</f>
        <v/>
      </c>
      <c r="J596" s="8">
        <f>IF(ISNA(MATCH(587,'Transfer Engine'!$C$2:$C$622,0)),"",INDEX('Compliance Database'!$J$2:$J$622,MATCH(587,'Transfer Engine'!$C$2:$C$622,0)))</f>
        <v/>
      </c>
      <c r="K596">
        <f>IF(ISNA(MATCH(587,'Transfer Engine'!$C$2:$C$622,0)),"",INDEX('Compliance Database'!$K$2:$K$622,MATCH(587,'Transfer Engine'!$C$2:$C$622,0)))</f>
        <v/>
      </c>
      <c r="L596" s="8">
        <f>IF(ISNA(MATCH(587,'Transfer Engine'!$C$2:$C$622,0)),"",INDEX('Compliance Database'!$L$2:$L$622,MATCH(587,'Transfer Engine'!$C$2:$C$622,0)))</f>
        <v/>
      </c>
      <c r="M596" s="8">
        <f>IF(ISNA(MATCH(587,'Transfer Engine'!$C$2:$C$622,0)),"",INDEX('Compliance Database'!$M$2:$M$622,MATCH(587,'Transfer Engine'!$C$2:$C$622,0)))</f>
        <v/>
      </c>
      <c r="N596" s="8">
        <f>IF(ISNA(MATCH(587,'Transfer Engine'!$C$2:$C$622,0)),"",INDEX('Compliance Database'!$N$2:$N$622,MATCH(587,'Transfer Engine'!$C$2:$C$622,0)))</f>
        <v/>
      </c>
      <c r="O596" s="8">
        <f>IF(ISNA(MATCH(587,'Transfer Engine'!$C$2:$C$622,0)),"",INDEX('Compliance Database'!$O$2:$O$622,MATCH(587,'Transfer Engine'!$C$2:$C$622,0)))</f>
        <v/>
      </c>
    </row>
    <row r="597">
      <c r="A597">
        <f>IF(ISNA(MATCH(588,'Transfer Engine'!$C$2:$C$622,0)),"",INDEX('Compliance Database'!$A$2:$A$622,MATCH(588,'Transfer Engine'!$C$2:$C$622,0)))</f>
        <v/>
      </c>
      <c r="B597">
        <f>IF(ISNA(MATCH(588,'Transfer Engine'!$C$2:$C$622,0)),"",INDEX('Compliance Database'!$B$2:$B$622,MATCH(588,'Transfer Engine'!$C$2:$C$622,0)))</f>
        <v/>
      </c>
      <c r="C597">
        <f>IF(ISNA(MATCH(588,'Transfer Engine'!$C$2:$C$622,0)),"",INDEX('Compliance Database'!$C$2:$C$622,MATCH(588,'Transfer Engine'!$C$2:$C$622,0)))</f>
        <v/>
      </c>
      <c r="D597" s="8">
        <f>IF(ISNA(MATCH(588,'Transfer Engine'!$C$2:$C$622,0)),"",INDEX('Compliance Database'!$D$2:$D$622,MATCH(588,'Transfer Engine'!$C$2:$C$622,0)))</f>
        <v/>
      </c>
      <c r="E597">
        <f>IF(ISNA(MATCH(588,'Transfer Engine'!$C$2:$C$622,0)),"",INDEX('Compliance Database'!$E$2:$E$622,MATCH(588,'Transfer Engine'!$C$2:$C$622,0)))</f>
        <v/>
      </c>
      <c r="F597">
        <f>IF(ISNA(MATCH(588,'Transfer Engine'!$C$2:$C$622,0)),"",INDEX('Compliance Database'!$F$2:$F$622,MATCH(588,'Transfer Engine'!$C$2:$C$622,0)))</f>
        <v/>
      </c>
      <c r="G597">
        <f>IF(ISNA(MATCH(588,'Transfer Engine'!$C$2:$C$622,0)),"",INDEX('Compliance Database'!$G$2:$G$622,MATCH(588,'Transfer Engine'!$C$2:$C$622,0)))</f>
        <v/>
      </c>
      <c r="H597">
        <f>IF(ISNA(MATCH(588,'Transfer Engine'!$C$2:$C$622,0)),"",INDEX('Compliance Database'!$H$2:$H$622,MATCH(588,'Transfer Engine'!$C$2:$C$622,0)))</f>
        <v/>
      </c>
      <c r="I597" s="8">
        <f>IF(ISNA(MATCH(588,'Transfer Engine'!$C$2:$C$622,0)),"",INDEX('Compliance Database'!$I$2:$I$622,MATCH(588,'Transfer Engine'!$C$2:$C$622,0)))</f>
        <v/>
      </c>
      <c r="J597" s="8">
        <f>IF(ISNA(MATCH(588,'Transfer Engine'!$C$2:$C$622,0)),"",INDEX('Compliance Database'!$J$2:$J$622,MATCH(588,'Transfer Engine'!$C$2:$C$622,0)))</f>
        <v/>
      </c>
      <c r="K597">
        <f>IF(ISNA(MATCH(588,'Transfer Engine'!$C$2:$C$622,0)),"",INDEX('Compliance Database'!$K$2:$K$622,MATCH(588,'Transfer Engine'!$C$2:$C$622,0)))</f>
        <v/>
      </c>
      <c r="L597" s="8">
        <f>IF(ISNA(MATCH(588,'Transfer Engine'!$C$2:$C$622,0)),"",INDEX('Compliance Database'!$L$2:$L$622,MATCH(588,'Transfer Engine'!$C$2:$C$622,0)))</f>
        <v/>
      </c>
      <c r="M597" s="8">
        <f>IF(ISNA(MATCH(588,'Transfer Engine'!$C$2:$C$622,0)),"",INDEX('Compliance Database'!$M$2:$M$622,MATCH(588,'Transfer Engine'!$C$2:$C$622,0)))</f>
        <v/>
      </c>
      <c r="N597" s="8">
        <f>IF(ISNA(MATCH(588,'Transfer Engine'!$C$2:$C$622,0)),"",INDEX('Compliance Database'!$N$2:$N$622,MATCH(588,'Transfer Engine'!$C$2:$C$622,0)))</f>
        <v/>
      </c>
      <c r="O597" s="8">
        <f>IF(ISNA(MATCH(588,'Transfer Engine'!$C$2:$C$622,0)),"",INDEX('Compliance Database'!$O$2:$O$622,MATCH(588,'Transfer Engine'!$C$2:$C$622,0)))</f>
        <v/>
      </c>
    </row>
    <row r="598">
      <c r="A598">
        <f>IF(ISNA(MATCH(589,'Transfer Engine'!$C$2:$C$622,0)),"",INDEX('Compliance Database'!$A$2:$A$622,MATCH(589,'Transfer Engine'!$C$2:$C$622,0)))</f>
        <v/>
      </c>
      <c r="B598">
        <f>IF(ISNA(MATCH(589,'Transfer Engine'!$C$2:$C$622,0)),"",INDEX('Compliance Database'!$B$2:$B$622,MATCH(589,'Transfer Engine'!$C$2:$C$622,0)))</f>
        <v/>
      </c>
      <c r="C598">
        <f>IF(ISNA(MATCH(589,'Transfer Engine'!$C$2:$C$622,0)),"",INDEX('Compliance Database'!$C$2:$C$622,MATCH(589,'Transfer Engine'!$C$2:$C$622,0)))</f>
        <v/>
      </c>
      <c r="D598" s="8">
        <f>IF(ISNA(MATCH(589,'Transfer Engine'!$C$2:$C$622,0)),"",INDEX('Compliance Database'!$D$2:$D$622,MATCH(589,'Transfer Engine'!$C$2:$C$622,0)))</f>
        <v/>
      </c>
      <c r="E598">
        <f>IF(ISNA(MATCH(589,'Transfer Engine'!$C$2:$C$622,0)),"",INDEX('Compliance Database'!$E$2:$E$622,MATCH(589,'Transfer Engine'!$C$2:$C$622,0)))</f>
        <v/>
      </c>
      <c r="F598">
        <f>IF(ISNA(MATCH(589,'Transfer Engine'!$C$2:$C$622,0)),"",INDEX('Compliance Database'!$F$2:$F$622,MATCH(589,'Transfer Engine'!$C$2:$C$622,0)))</f>
        <v/>
      </c>
      <c r="G598">
        <f>IF(ISNA(MATCH(589,'Transfer Engine'!$C$2:$C$622,0)),"",INDEX('Compliance Database'!$G$2:$G$622,MATCH(589,'Transfer Engine'!$C$2:$C$622,0)))</f>
        <v/>
      </c>
      <c r="H598">
        <f>IF(ISNA(MATCH(589,'Transfer Engine'!$C$2:$C$622,0)),"",INDEX('Compliance Database'!$H$2:$H$622,MATCH(589,'Transfer Engine'!$C$2:$C$622,0)))</f>
        <v/>
      </c>
      <c r="I598" s="8">
        <f>IF(ISNA(MATCH(589,'Transfer Engine'!$C$2:$C$622,0)),"",INDEX('Compliance Database'!$I$2:$I$622,MATCH(589,'Transfer Engine'!$C$2:$C$622,0)))</f>
        <v/>
      </c>
      <c r="J598" s="8">
        <f>IF(ISNA(MATCH(589,'Transfer Engine'!$C$2:$C$622,0)),"",INDEX('Compliance Database'!$J$2:$J$622,MATCH(589,'Transfer Engine'!$C$2:$C$622,0)))</f>
        <v/>
      </c>
      <c r="K598">
        <f>IF(ISNA(MATCH(589,'Transfer Engine'!$C$2:$C$622,0)),"",INDEX('Compliance Database'!$K$2:$K$622,MATCH(589,'Transfer Engine'!$C$2:$C$622,0)))</f>
        <v/>
      </c>
      <c r="L598" s="8">
        <f>IF(ISNA(MATCH(589,'Transfer Engine'!$C$2:$C$622,0)),"",INDEX('Compliance Database'!$L$2:$L$622,MATCH(589,'Transfer Engine'!$C$2:$C$622,0)))</f>
        <v/>
      </c>
      <c r="M598" s="8">
        <f>IF(ISNA(MATCH(589,'Transfer Engine'!$C$2:$C$622,0)),"",INDEX('Compliance Database'!$M$2:$M$622,MATCH(589,'Transfer Engine'!$C$2:$C$622,0)))</f>
        <v/>
      </c>
      <c r="N598" s="8">
        <f>IF(ISNA(MATCH(589,'Transfer Engine'!$C$2:$C$622,0)),"",INDEX('Compliance Database'!$N$2:$N$622,MATCH(589,'Transfer Engine'!$C$2:$C$622,0)))</f>
        <v/>
      </c>
      <c r="O598" s="8">
        <f>IF(ISNA(MATCH(589,'Transfer Engine'!$C$2:$C$622,0)),"",INDEX('Compliance Database'!$O$2:$O$622,MATCH(589,'Transfer Engine'!$C$2:$C$622,0)))</f>
        <v/>
      </c>
    </row>
    <row r="599">
      <c r="A599">
        <f>IF(ISNA(MATCH(590,'Transfer Engine'!$C$2:$C$622,0)),"",INDEX('Compliance Database'!$A$2:$A$622,MATCH(590,'Transfer Engine'!$C$2:$C$622,0)))</f>
        <v/>
      </c>
      <c r="B599">
        <f>IF(ISNA(MATCH(590,'Transfer Engine'!$C$2:$C$622,0)),"",INDEX('Compliance Database'!$B$2:$B$622,MATCH(590,'Transfer Engine'!$C$2:$C$622,0)))</f>
        <v/>
      </c>
      <c r="C599">
        <f>IF(ISNA(MATCH(590,'Transfer Engine'!$C$2:$C$622,0)),"",INDEX('Compliance Database'!$C$2:$C$622,MATCH(590,'Transfer Engine'!$C$2:$C$622,0)))</f>
        <v/>
      </c>
      <c r="D599" s="8">
        <f>IF(ISNA(MATCH(590,'Transfer Engine'!$C$2:$C$622,0)),"",INDEX('Compliance Database'!$D$2:$D$622,MATCH(590,'Transfer Engine'!$C$2:$C$622,0)))</f>
        <v/>
      </c>
      <c r="E599">
        <f>IF(ISNA(MATCH(590,'Transfer Engine'!$C$2:$C$622,0)),"",INDEX('Compliance Database'!$E$2:$E$622,MATCH(590,'Transfer Engine'!$C$2:$C$622,0)))</f>
        <v/>
      </c>
      <c r="F599">
        <f>IF(ISNA(MATCH(590,'Transfer Engine'!$C$2:$C$622,0)),"",INDEX('Compliance Database'!$F$2:$F$622,MATCH(590,'Transfer Engine'!$C$2:$C$622,0)))</f>
        <v/>
      </c>
      <c r="G599">
        <f>IF(ISNA(MATCH(590,'Transfer Engine'!$C$2:$C$622,0)),"",INDEX('Compliance Database'!$G$2:$G$622,MATCH(590,'Transfer Engine'!$C$2:$C$622,0)))</f>
        <v/>
      </c>
      <c r="H599">
        <f>IF(ISNA(MATCH(590,'Transfer Engine'!$C$2:$C$622,0)),"",INDEX('Compliance Database'!$H$2:$H$622,MATCH(590,'Transfer Engine'!$C$2:$C$622,0)))</f>
        <v/>
      </c>
      <c r="I599" s="8">
        <f>IF(ISNA(MATCH(590,'Transfer Engine'!$C$2:$C$622,0)),"",INDEX('Compliance Database'!$I$2:$I$622,MATCH(590,'Transfer Engine'!$C$2:$C$622,0)))</f>
        <v/>
      </c>
      <c r="J599" s="8">
        <f>IF(ISNA(MATCH(590,'Transfer Engine'!$C$2:$C$622,0)),"",INDEX('Compliance Database'!$J$2:$J$622,MATCH(590,'Transfer Engine'!$C$2:$C$622,0)))</f>
        <v/>
      </c>
      <c r="K599">
        <f>IF(ISNA(MATCH(590,'Transfer Engine'!$C$2:$C$622,0)),"",INDEX('Compliance Database'!$K$2:$K$622,MATCH(590,'Transfer Engine'!$C$2:$C$622,0)))</f>
        <v/>
      </c>
      <c r="L599" s="8">
        <f>IF(ISNA(MATCH(590,'Transfer Engine'!$C$2:$C$622,0)),"",INDEX('Compliance Database'!$L$2:$L$622,MATCH(590,'Transfer Engine'!$C$2:$C$622,0)))</f>
        <v/>
      </c>
      <c r="M599" s="8">
        <f>IF(ISNA(MATCH(590,'Transfer Engine'!$C$2:$C$622,0)),"",INDEX('Compliance Database'!$M$2:$M$622,MATCH(590,'Transfer Engine'!$C$2:$C$622,0)))</f>
        <v/>
      </c>
      <c r="N599" s="8">
        <f>IF(ISNA(MATCH(590,'Transfer Engine'!$C$2:$C$622,0)),"",INDEX('Compliance Database'!$N$2:$N$622,MATCH(590,'Transfer Engine'!$C$2:$C$622,0)))</f>
        <v/>
      </c>
      <c r="O599" s="8">
        <f>IF(ISNA(MATCH(590,'Transfer Engine'!$C$2:$C$622,0)),"",INDEX('Compliance Database'!$O$2:$O$622,MATCH(590,'Transfer Engine'!$C$2:$C$622,0)))</f>
        <v/>
      </c>
    </row>
    <row r="600">
      <c r="A600">
        <f>IF(ISNA(MATCH(591,'Transfer Engine'!$C$2:$C$622,0)),"",INDEX('Compliance Database'!$A$2:$A$622,MATCH(591,'Transfer Engine'!$C$2:$C$622,0)))</f>
        <v/>
      </c>
      <c r="B600">
        <f>IF(ISNA(MATCH(591,'Transfer Engine'!$C$2:$C$622,0)),"",INDEX('Compliance Database'!$B$2:$B$622,MATCH(591,'Transfer Engine'!$C$2:$C$622,0)))</f>
        <v/>
      </c>
      <c r="C600">
        <f>IF(ISNA(MATCH(591,'Transfer Engine'!$C$2:$C$622,0)),"",INDEX('Compliance Database'!$C$2:$C$622,MATCH(591,'Transfer Engine'!$C$2:$C$622,0)))</f>
        <v/>
      </c>
      <c r="D600" s="8">
        <f>IF(ISNA(MATCH(591,'Transfer Engine'!$C$2:$C$622,0)),"",INDEX('Compliance Database'!$D$2:$D$622,MATCH(591,'Transfer Engine'!$C$2:$C$622,0)))</f>
        <v/>
      </c>
      <c r="E600">
        <f>IF(ISNA(MATCH(591,'Transfer Engine'!$C$2:$C$622,0)),"",INDEX('Compliance Database'!$E$2:$E$622,MATCH(591,'Transfer Engine'!$C$2:$C$622,0)))</f>
        <v/>
      </c>
      <c r="F600">
        <f>IF(ISNA(MATCH(591,'Transfer Engine'!$C$2:$C$622,0)),"",INDEX('Compliance Database'!$F$2:$F$622,MATCH(591,'Transfer Engine'!$C$2:$C$622,0)))</f>
        <v/>
      </c>
      <c r="G600">
        <f>IF(ISNA(MATCH(591,'Transfer Engine'!$C$2:$C$622,0)),"",INDEX('Compliance Database'!$G$2:$G$622,MATCH(591,'Transfer Engine'!$C$2:$C$622,0)))</f>
        <v/>
      </c>
      <c r="H600">
        <f>IF(ISNA(MATCH(591,'Transfer Engine'!$C$2:$C$622,0)),"",INDEX('Compliance Database'!$H$2:$H$622,MATCH(591,'Transfer Engine'!$C$2:$C$622,0)))</f>
        <v/>
      </c>
      <c r="I600" s="8">
        <f>IF(ISNA(MATCH(591,'Transfer Engine'!$C$2:$C$622,0)),"",INDEX('Compliance Database'!$I$2:$I$622,MATCH(591,'Transfer Engine'!$C$2:$C$622,0)))</f>
        <v/>
      </c>
      <c r="J600" s="8">
        <f>IF(ISNA(MATCH(591,'Transfer Engine'!$C$2:$C$622,0)),"",INDEX('Compliance Database'!$J$2:$J$622,MATCH(591,'Transfer Engine'!$C$2:$C$622,0)))</f>
        <v/>
      </c>
      <c r="K600">
        <f>IF(ISNA(MATCH(591,'Transfer Engine'!$C$2:$C$622,0)),"",INDEX('Compliance Database'!$K$2:$K$622,MATCH(591,'Transfer Engine'!$C$2:$C$622,0)))</f>
        <v/>
      </c>
      <c r="L600" s="8">
        <f>IF(ISNA(MATCH(591,'Transfer Engine'!$C$2:$C$622,0)),"",INDEX('Compliance Database'!$L$2:$L$622,MATCH(591,'Transfer Engine'!$C$2:$C$622,0)))</f>
        <v/>
      </c>
      <c r="M600" s="8">
        <f>IF(ISNA(MATCH(591,'Transfer Engine'!$C$2:$C$622,0)),"",INDEX('Compliance Database'!$M$2:$M$622,MATCH(591,'Transfer Engine'!$C$2:$C$622,0)))</f>
        <v/>
      </c>
      <c r="N600" s="8">
        <f>IF(ISNA(MATCH(591,'Transfer Engine'!$C$2:$C$622,0)),"",INDEX('Compliance Database'!$N$2:$N$622,MATCH(591,'Transfer Engine'!$C$2:$C$622,0)))</f>
        <v/>
      </c>
      <c r="O600" s="8">
        <f>IF(ISNA(MATCH(591,'Transfer Engine'!$C$2:$C$622,0)),"",INDEX('Compliance Database'!$O$2:$O$622,MATCH(591,'Transfer Engine'!$C$2:$C$622,0)))</f>
        <v/>
      </c>
    </row>
    <row r="601">
      <c r="A601">
        <f>IF(ISNA(MATCH(592,'Transfer Engine'!$C$2:$C$622,0)),"",INDEX('Compliance Database'!$A$2:$A$622,MATCH(592,'Transfer Engine'!$C$2:$C$622,0)))</f>
        <v/>
      </c>
      <c r="B601">
        <f>IF(ISNA(MATCH(592,'Transfer Engine'!$C$2:$C$622,0)),"",INDEX('Compliance Database'!$B$2:$B$622,MATCH(592,'Transfer Engine'!$C$2:$C$622,0)))</f>
        <v/>
      </c>
      <c r="C601">
        <f>IF(ISNA(MATCH(592,'Transfer Engine'!$C$2:$C$622,0)),"",INDEX('Compliance Database'!$C$2:$C$622,MATCH(592,'Transfer Engine'!$C$2:$C$622,0)))</f>
        <v/>
      </c>
      <c r="D601" s="8">
        <f>IF(ISNA(MATCH(592,'Transfer Engine'!$C$2:$C$622,0)),"",INDEX('Compliance Database'!$D$2:$D$622,MATCH(592,'Transfer Engine'!$C$2:$C$622,0)))</f>
        <v/>
      </c>
      <c r="E601">
        <f>IF(ISNA(MATCH(592,'Transfer Engine'!$C$2:$C$622,0)),"",INDEX('Compliance Database'!$E$2:$E$622,MATCH(592,'Transfer Engine'!$C$2:$C$622,0)))</f>
        <v/>
      </c>
      <c r="F601">
        <f>IF(ISNA(MATCH(592,'Transfer Engine'!$C$2:$C$622,0)),"",INDEX('Compliance Database'!$F$2:$F$622,MATCH(592,'Transfer Engine'!$C$2:$C$622,0)))</f>
        <v/>
      </c>
      <c r="G601">
        <f>IF(ISNA(MATCH(592,'Transfer Engine'!$C$2:$C$622,0)),"",INDEX('Compliance Database'!$G$2:$G$622,MATCH(592,'Transfer Engine'!$C$2:$C$622,0)))</f>
        <v/>
      </c>
      <c r="H601">
        <f>IF(ISNA(MATCH(592,'Transfer Engine'!$C$2:$C$622,0)),"",INDEX('Compliance Database'!$H$2:$H$622,MATCH(592,'Transfer Engine'!$C$2:$C$622,0)))</f>
        <v/>
      </c>
      <c r="I601" s="8">
        <f>IF(ISNA(MATCH(592,'Transfer Engine'!$C$2:$C$622,0)),"",INDEX('Compliance Database'!$I$2:$I$622,MATCH(592,'Transfer Engine'!$C$2:$C$622,0)))</f>
        <v/>
      </c>
      <c r="J601" s="8">
        <f>IF(ISNA(MATCH(592,'Transfer Engine'!$C$2:$C$622,0)),"",INDEX('Compliance Database'!$J$2:$J$622,MATCH(592,'Transfer Engine'!$C$2:$C$622,0)))</f>
        <v/>
      </c>
      <c r="K601">
        <f>IF(ISNA(MATCH(592,'Transfer Engine'!$C$2:$C$622,0)),"",INDEX('Compliance Database'!$K$2:$K$622,MATCH(592,'Transfer Engine'!$C$2:$C$622,0)))</f>
        <v/>
      </c>
      <c r="L601" s="8">
        <f>IF(ISNA(MATCH(592,'Transfer Engine'!$C$2:$C$622,0)),"",INDEX('Compliance Database'!$L$2:$L$622,MATCH(592,'Transfer Engine'!$C$2:$C$622,0)))</f>
        <v/>
      </c>
      <c r="M601" s="8">
        <f>IF(ISNA(MATCH(592,'Transfer Engine'!$C$2:$C$622,0)),"",INDEX('Compliance Database'!$M$2:$M$622,MATCH(592,'Transfer Engine'!$C$2:$C$622,0)))</f>
        <v/>
      </c>
      <c r="N601" s="8">
        <f>IF(ISNA(MATCH(592,'Transfer Engine'!$C$2:$C$622,0)),"",INDEX('Compliance Database'!$N$2:$N$622,MATCH(592,'Transfer Engine'!$C$2:$C$622,0)))</f>
        <v/>
      </c>
      <c r="O601" s="8">
        <f>IF(ISNA(MATCH(592,'Transfer Engine'!$C$2:$C$622,0)),"",INDEX('Compliance Database'!$O$2:$O$622,MATCH(592,'Transfer Engine'!$C$2:$C$622,0)))</f>
        <v/>
      </c>
    </row>
    <row r="602">
      <c r="A602">
        <f>IF(ISNA(MATCH(593,'Transfer Engine'!$C$2:$C$622,0)),"",INDEX('Compliance Database'!$A$2:$A$622,MATCH(593,'Transfer Engine'!$C$2:$C$622,0)))</f>
        <v/>
      </c>
      <c r="B602">
        <f>IF(ISNA(MATCH(593,'Transfer Engine'!$C$2:$C$622,0)),"",INDEX('Compliance Database'!$B$2:$B$622,MATCH(593,'Transfer Engine'!$C$2:$C$622,0)))</f>
        <v/>
      </c>
      <c r="C602">
        <f>IF(ISNA(MATCH(593,'Transfer Engine'!$C$2:$C$622,0)),"",INDEX('Compliance Database'!$C$2:$C$622,MATCH(593,'Transfer Engine'!$C$2:$C$622,0)))</f>
        <v/>
      </c>
      <c r="D602" s="8">
        <f>IF(ISNA(MATCH(593,'Transfer Engine'!$C$2:$C$622,0)),"",INDEX('Compliance Database'!$D$2:$D$622,MATCH(593,'Transfer Engine'!$C$2:$C$622,0)))</f>
        <v/>
      </c>
      <c r="E602">
        <f>IF(ISNA(MATCH(593,'Transfer Engine'!$C$2:$C$622,0)),"",INDEX('Compliance Database'!$E$2:$E$622,MATCH(593,'Transfer Engine'!$C$2:$C$622,0)))</f>
        <v/>
      </c>
      <c r="F602">
        <f>IF(ISNA(MATCH(593,'Transfer Engine'!$C$2:$C$622,0)),"",INDEX('Compliance Database'!$F$2:$F$622,MATCH(593,'Transfer Engine'!$C$2:$C$622,0)))</f>
        <v/>
      </c>
      <c r="G602">
        <f>IF(ISNA(MATCH(593,'Transfer Engine'!$C$2:$C$622,0)),"",INDEX('Compliance Database'!$G$2:$G$622,MATCH(593,'Transfer Engine'!$C$2:$C$622,0)))</f>
        <v/>
      </c>
      <c r="H602">
        <f>IF(ISNA(MATCH(593,'Transfer Engine'!$C$2:$C$622,0)),"",INDEX('Compliance Database'!$H$2:$H$622,MATCH(593,'Transfer Engine'!$C$2:$C$622,0)))</f>
        <v/>
      </c>
      <c r="I602" s="8">
        <f>IF(ISNA(MATCH(593,'Transfer Engine'!$C$2:$C$622,0)),"",INDEX('Compliance Database'!$I$2:$I$622,MATCH(593,'Transfer Engine'!$C$2:$C$622,0)))</f>
        <v/>
      </c>
      <c r="J602" s="8">
        <f>IF(ISNA(MATCH(593,'Transfer Engine'!$C$2:$C$622,0)),"",INDEX('Compliance Database'!$J$2:$J$622,MATCH(593,'Transfer Engine'!$C$2:$C$622,0)))</f>
        <v/>
      </c>
      <c r="K602">
        <f>IF(ISNA(MATCH(593,'Transfer Engine'!$C$2:$C$622,0)),"",INDEX('Compliance Database'!$K$2:$K$622,MATCH(593,'Transfer Engine'!$C$2:$C$622,0)))</f>
        <v/>
      </c>
      <c r="L602" s="8">
        <f>IF(ISNA(MATCH(593,'Transfer Engine'!$C$2:$C$622,0)),"",INDEX('Compliance Database'!$L$2:$L$622,MATCH(593,'Transfer Engine'!$C$2:$C$622,0)))</f>
        <v/>
      </c>
      <c r="M602" s="8">
        <f>IF(ISNA(MATCH(593,'Transfer Engine'!$C$2:$C$622,0)),"",INDEX('Compliance Database'!$M$2:$M$622,MATCH(593,'Transfer Engine'!$C$2:$C$622,0)))</f>
        <v/>
      </c>
      <c r="N602" s="8">
        <f>IF(ISNA(MATCH(593,'Transfer Engine'!$C$2:$C$622,0)),"",INDEX('Compliance Database'!$N$2:$N$622,MATCH(593,'Transfer Engine'!$C$2:$C$622,0)))</f>
        <v/>
      </c>
      <c r="O602" s="8">
        <f>IF(ISNA(MATCH(593,'Transfer Engine'!$C$2:$C$622,0)),"",INDEX('Compliance Database'!$O$2:$O$622,MATCH(593,'Transfer Engine'!$C$2:$C$622,0)))</f>
        <v/>
      </c>
    </row>
    <row r="603">
      <c r="A603">
        <f>IF(ISNA(MATCH(594,'Transfer Engine'!$C$2:$C$622,0)),"",INDEX('Compliance Database'!$A$2:$A$622,MATCH(594,'Transfer Engine'!$C$2:$C$622,0)))</f>
        <v/>
      </c>
      <c r="B603">
        <f>IF(ISNA(MATCH(594,'Transfer Engine'!$C$2:$C$622,0)),"",INDEX('Compliance Database'!$B$2:$B$622,MATCH(594,'Transfer Engine'!$C$2:$C$622,0)))</f>
        <v/>
      </c>
      <c r="C603">
        <f>IF(ISNA(MATCH(594,'Transfer Engine'!$C$2:$C$622,0)),"",INDEX('Compliance Database'!$C$2:$C$622,MATCH(594,'Transfer Engine'!$C$2:$C$622,0)))</f>
        <v/>
      </c>
      <c r="D603" s="8">
        <f>IF(ISNA(MATCH(594,'Transfer Engine'!$C$2:$C$622,0)),"",INDEX('Compliance Database'!$D$2:$D$622,MATCH(594,'Transfer Engine'!$C$2:$C$622,0)))</f>
        <v/>
      </c>
      <c r="E603">
        <f>IF(ISNA(MATCH(594,'Transfer Engine'!$C$2:$C$622,0)),"",INDEX('Compliance Database'!$E$2:$E$622,MATCH(594,'Transfer Engine'!$C$2:$C$622,0)))</f>
        <v/>
      </c>
      <c r="F603">
        <f>IF(ISNA(MATCH(594,'Transfer Engine'!$C$2:$C$622,0)),"",INDEX('Compliance Database'!$F$2:$F$622,MATCH(594,'Transfer Engine'!$C$2:$C$622,0)))</f>
        <v/>
      </c>
      <c r="G603">
        <f>IF(ISNA(MATCH(594,'Transfer Engine'!$C$2:$C$622,0)),"",INDEX('Compliance Database'!$G$2:$G$622,MATCH(594,'Transfer Engine'!$C$2:$C$622,0)))</f>
        <v/>
      </c>
      <c r="H603">
        <f>IF(ISNA(MATCH(594,'Transfer Engine'!$C$2:$C$622,0)),"",INDEX('Compliance Database'!$H$2:$H$622,MATCH(594,'Transfer Engine'!$C$2:$C$622,0)))</f>
        <v/>
      </c>
      <c r="I603" s="8">
        <f>IF(ISNA(MATCH(594,'Transfer Engine'!$C$2:$C$622,0)),"",INDEX('Compliance Database'!$I$2:$I$622,MATCH(594,'Transfer Engine'!$C$2:$C$622,0)))</f>
        <v/>
      </c>
      <c r="J603" s="8">
        <f>IF(ISNA(MATCH(594,'Transfer Engine'!$C$2:$C$622,0)),"",INDEX('Compliance Database'!$J$2:$J$622,MATCH(594,'Transfer Engine'!$C$2:$C$622,0)))</f>
        <v/>
      </c>
      <c r="K603">
        <f>IF(ISNA(MATCH(594,'Transfer Engine'!$C$2:$C$622,0)),"",INDEX('Compliance Database'!$K$2:$K$622,MATCH(594,'Transfer Engine'!$C$2:$C$622,0)))</f>
        <v/>
      </c>
      <c r="L603" s="8">
        <f>IF(ISNA(MATCH(594,'Transfer Engine'!$C$2:$C$622,0)),"",INDEX('Compliance Database'!$L$2:$L$622,MATCH(594,'Transfer Engine'!$C$2:$C$622,0)))</f>
        <v/>
      </c>
      <c r="M603" s="8">
        <f>IF(ISNA(MATCH(594,'Transfer Engine'!$C$2:$C$622,0)),"",INDEX('Compliance Database'!$M$2:$M$622,MATCH(594,'Transfer Engine'!$C$2:$C$622,0)))</f>
        <v/>
      </c>
      <c r="N603" s="8">
        <f>IF(ISNA(MATCH(594,'Transfer Engine'!$C$2:$C$622,0)),"",INDEX('Compliance Database'!$N$2:$N$622,MATCH(594,'Transfer Engine'!$C$2:$C$622,0)))</f>
        <v/>
      </c>
      <c r="O603" s="8">
        <f>IF(ISNA(MATCH(594,'Transfer Engine'!$C$2:$C$622,0)),"",INDEX('Compliance Database'!$O$2:$O$622,MATCH(594,'Transfer Engine'!$C$2:$C$622,0)))</f>
        <v/>
      </c>
    </row>
    <row r="604">
      <c r="A604">
        <f>IF(ISNA(MATCH(595,'Transfer Engine'!$C$2:$C$622,0)),"",INDEX('Compliance Database'!$A$2:$A$622,MATCH(595,'Transfer Engine'!$C$2:$C$622,0)))</f>
        <v/>
      </c>
      <c r="B604">
        <f>IF(ISNA(MATCH(595,'Transfer Engine'!$C$2:$C$622,0)),"",INDEX('Compliance Database'!$B$2:$B$622,MATCH(595,'Transfer Engine'!$C$2:$C$622,0)))</f>
        <v/>
      </c>
      <c r="C604">
        <f>IF(ISNA(MATCH(595,'Transfer Engine'!$C$2:$C$622,0)),"",INDEX('Compliance Database'!$C$2:$C$622,MATCH(595,'Transfer Engine'!$C$2:$C$622,0)))</f>
        <v/>
      </c>
      <c r="D604" s="8">
        <f>IF(ISNA(MATCH(595,'Transfer Engine'!$C$2:$C$622,0)),"",INDEX('Compliance Database'!$D$2:$D$622,MATCH(595,'Transfer Engine'!$C$2:$C$622,0)))</f>
        <v/>
      </c>
      <c r="E604">
        <f>IF(ISNA(MATCH(595,'Transfer Engine'!$C$2:$C$622,0)),"",INDEX('Compliance Database'!$E$2:$E$622,MATCH(595,'Transfer Engine'!$C$2:$C$622,0)))</f>
        <v/>
      </c>
      <c r="F604">
        <f>IF(ISNA(MATCH(595,'Transfer Engine'!$C$2:$C$622,0)),"",INDEX('Compliance Database'!$F$2:$F$622,MATCH(595,'Transfer Engine'!$C$2:$C$622,0)))</f>
        <v/>
      </c>
      <c r="G604">
        <f>IF(ISNA(MATCH(595,'Transfer Engine'!$C$2:$C$622,0)),"",INDEX('Compliance Database'!$G$2:$G$622,MATCH(595,'Transfer Engine'!$C$2:$C$622,0)))</f>
        <v/>
      </c>
      <c r="H604">
        <f>IF(ISNA(MATCH(595,'Transfer Engine'!$C$2:$C$622,0)),"",INDEX('Compliance Database'!$H$2:$H$622,MATCH(595,'Transfer Engine'!$C$2:$C$622,0)))</f>
        <v/>
      </c>
      <c r="I604" s="8">
        <f>IF(ISNA(MATCH(595,'Transfer Engine'!$C$2:$C$622,0)),"",INDEX('Compliance Database'!$I$2:$I$622,MATCH(595,'Transfer Engine'!$C$2:$C$622,0)))</f>
        <v/>
      </c>
      <c r="J604" s="8">
        <f>IF(ISNA(MATCH(595,'Transfer Engine'!$C$2:$C$622,0)),"",INDEX('Compliance Database'!$J$2:$J$622,MATCH(595,'Transfer Engine'!$C$2:$C$622,0)))</f>
        <v/>
      </c>
      <c r="K604">
        <f>IF(ISNA(MATCH(595,'Transfer Engine'!$C$2:$C$622,0)),"",INDEX('Compliance Database'!$K$2:$K$622,MATCH(595,'Transfer Engine'!$C$2:$C$622,0)))</f>
        <v/>
      </c>
      <c r="L604" s="8">
        <f>IF(ISNA(MATCH(595,'Transfer Engine'!$C$2:$C$622,0)),"",INDEX('Compliance Database'!$L$2:$L$622,MATCH(595,'Transfer Engine'!$C$2:$C$622,0)))</f>
        <v/>
      </c>
      <c r="M604" s="8">
        <f>IF(ISNA(MATCH(595,'Transfer Engine'!$C$2:$C$622,0)),"",INDEX('Compliance Database'!$M$2:$M$622,MATCH(595,'Transfer Engine'!$C$2:$C$622,0)))</f>
        <v/>
      </c>
      <c r="N604" s="8">
        <f>IF(ISNA(MATCH(595,'Transfer Engine'!$C$2:$C$622,0)),"",INDEX('Compliance Database'!$N$2:$N$622,MATCH(595,'Transfer Engine'!$C$2:$C$622,0)))</f>
        <v/>
      </c>
      <c r="O604" s="8">
        <f>IF(ISNA(MATCH(595,'Transfer Engine'!$C$2:$C$622,0)),"",INDEX('Compliance Database'!$O$2:$O$622,MATCH(595,'Transfer Engine'!$C$2:$C$622,0)))</f>
        <v/>
      </c>
    </row>
    <row r="605">
      <c r="A605">
        <f>IF(ISNA(MATCH(596,'Transfer Engine'!$C$2:$C$622,0)),"",INDEX('Compliance Database'!$A$2:$A$622,MATCH(596,'Transfer Engine'!$C$2:$C$622,0)))</f>
        <v/>
      </c>
      <c r="B605">
        <f>IF(ISNA(MATCH(596,'Transfer Engine'!$C$2:$C$622,0)),"",INDEX('Compliance Database'!$B$2:$B$622,MATCH(596,'Transfer Engine'!$C$2:$C$622,0)))</f>
        <v/>
      </c>
      <c r="C605">
        <f>IF(ISNA(MATCH(596,'Transfer Engine'!$C$2:$C$622,0)),"",INDEX('Compliance Database'!$C$2:$C$622,MATCH(596,'Transfer Engine'!$C$2:$C$622,0)))</f>
        <v/>
      </c>
      <c r="D605" s="8">
        <f>IF(ISNA(MATCH(596,'Transfer Engine'!$C$2:$C$622,0)),"",INDEX('Compliance Database'!$D$2:$D$622,MATCH(596,'Transfer Engine'!$C$2:$C$622,0)))</f>
        <v/>
      </c>
      <c r="E605">
        <f>IF(ISNA(MATCH(596,'Transfer Engine'!$C$2:$C$622,0)),"",INDEX('Compliance Database'!$E$2:$E$622,MATCH(596,'Transfer Engine'!$C$2:$C$622,0)))</f>
        <v/>
      </c>
      <c r="F605">
        <f>IF(ISNA(MATCH(596,'Transfer Engine'!$C$2:$C$622,0)),"",INDEX('Compliance Database'!$F$2:$F$622,MATCH(596,'Transfer Engine'!$C$2:$C$622,0)))</f>
        <v/>
      </c>
      <c r="G605">
        <f>IF(ISNA(MATCH(596,'Transfer Engine'!$C$2:$C$622,0)),"",INDEX('Compliance Database'!$G$2:$G$622,MATCH(596,'Transfer Engine'!$C$2:$C$622,0)))</f>
        <v/>
      </c>
      <c r="H605">
        <f>IF(ISNA(MATCH(596,'Transfer Engine'!$C$2:$C$622,0)),"",INDEX('Compliance Database'!$H$2:$H$622,MATCH(596,'Transfer Engine'!$C$2:$C$622,0)))</f>
        <v/>
      </c>
      <c r="I605" s="8">
        <f>IF(ISNA(MATCH(596,'Transfer Engine'!$C$2:$C$622,0)),"",INDEX('Compliance Database'!$I$2:$I$622,MATCH(596,'Transfer Engine'!$C$2:$C$622,0)))</f>
        <v/>
      </c>
      <c r="J605" s="8">
        <f>IF(ISNA(MATCH(596,'Transfer Engine'!$C$2:$C$622,0)),"",INDEX('Compliance Database'!$J$2:$J$622,MATCH(596,'Transfer Engine'!$C$2:$C$622,0)))</f>
        <v/>
      </c>
      <c r="K605">
        <f>IF(ISNA(MATCH(596,'Transfer Engine'!$C$2:$C$622,0)),"",INDEX('Compliance Database'!$K$2:$K$622,MATCH(596,'Transfer Engine'!$C$2:$C$622,0)))</f>
        <v/>
      </c>
      <c r="L605" s="8">
        <f>IF(ISNA(MATCH(596,'Transfer Engine'!$C$2:$C$622,0)),"",INDEX('Compliance Database'!$L$2:$L$622,MATCH(596,'Transfer Engine'!$C$2:$C$622,0)))</f>
        <v/>
      </c>
      <c r="M605" s="8">
        <f>IF(ISNA(MATCH(596,'Transfer Engine'!$C$2:$C$622,0)),"",INDEX('Compliance Database'!$M$2:$M$622,MATCH(596,'Transfer Engine'!$C$2:$C$622,0)))</f>
        <v/>
      </c>
      <c r="N605" s="8">
        <f>IF(ISNA(MATCH(596,'Transfer Engine'!$C$2:$C$622,0)),"",INDEX('Compliance Database'!$N$2:$N$622,MATCH(596,'Transfer Engine'!$C$2:$C$622,0)))</f>
        <v/>
      </c>
      <c r="O605" s="8">
        <f>IF(ISNA(MATCH(596,'Transfer Engine'!$C$2:$C$622,0)),"",INDEX('Compliance Database'!$O$2:$O$622,MATCH(596,'Transfer Engine'!$C$2:$C$622,0)))</f>
        <v/>
      </c>
    </row>
    <row r="606">
      <c r="A606">
        <f>IF(ISNA(MATCH(597,'Transfer Engine'!$C$2:$C$622,0)),"",INDEX('Compliance Database'!$A$2:$A$622,MATCH(597,'Transfer Engine'!$C$2:$C$622,0)))</f>
        <v/>
      </c>
      <c r="B606">
        <f>IF(ISNA(MATCH(597,'Transfer Engine'!$C$2:$C$622,0)),"",INDEX('Compliance Database'!$B$2:$B$622,MATCH(597,'Transfer Engine'!$C$2:$C$622,0)))</f>
        <v/>
      </c>
      <c r="C606">
        <f>IF(ISNA(MATCH(597,'Transfer Engine'!$C$2:$C$622,0)),"",INDEX('Compliance Database'!$C$2:$C$622,MATCH(597,'Transfer Engine'!$C$2:$C$622,0)))</f>
        <v/>
      </c>
      <c r="D606" s="8">
        <f>IF(ISNA(MATCH(597,'Transfer Engine'!$C$2:$C$622,0)),"",INDEX('Compliance Database'!$D$2:$D$622,MATCH(597,'Transfer Engine'!$C$2:$C$622,0)))</f>
        <v/>
      </c>
      <c r="E606">
        <f>IF(ISNA(MATCH(597,'Transfer Engine'!$C$2:$C$622,0)),"",INDEX('Compliance Database'!$E$2:$E$622,MATCH(597,'Transfer Engine'!$C$2:$C$622,0)))</f>
        <v/>
      </c>
      <c r="F606">
        <f>IF(ISNA(MATCH(597,'Transfer Engine'!$C$2:$C$622,0)),"",INDEX('Compliance Database'!$F$2:$F$622,MATCH(597,'Transfer Engine'!$C$2:$C$622,0)))</f>
        <v/>
      </c>
      <c r="G606">
        <f>IF(ISNA(MATCH(597,'Transfer Engine'!$C$2:$C$622,0)),"",INDEX('Compliance Database'!$G$2:$G$622,MATCH(597,'Transfer Engine'!$C$2:$C$622,0)))</f>
        <v/>
      </c>
      <c r="H606">
        <f>IF(ISNA(MATCH(597,'Transfer Engine'!$C$2:$C$622,0)),"",INDEX('Compliance Database'!$H$2:$H$622,MATCH(597,'Transfer Engine'!$C$2:$C$622,0)))</f>
        <v/>
      </c>
      <c r="I606" s="8">
        <f>IF(ISNA(MATCH(597,'Transfer Engine'!$C$2:$C$622,0)),"",INDEX('Compliance Database'!$I$2:$I$622,MATCH(597,'Transfer Engine'!$C$2:$C$622,0)))</f>
        <v/>
      </c>
      <c r="J606" s="8">
        <f>IF(ISNA(MATCH(597,'Transfer Engine'!$C$2:$C$622,0)),"",INDEX('Compliance Database'!$J$2:$J$622,MATCH(597,'Transfer Engine'!$C$2:$C$622,0)))</f>
        <v/>
      </c>
      <c r="K606">
        <f>IF(ISNA(MATCH(597,'Transfer Engine'!$C$2:$C$622,0)),"",INDEX('Compliance Database'!$K$2:$K$622,MATCH(597,'Transfer Engine'!$C$2:$C$622,0)))</f>
        <v/>
      </c>
      <c r="L606" s="8">
        <f>IF(ISNA(MATCH(597,'Transfer Engine'!$C$2:$C$622,0)),"",INDEX('Compliance Database'!$L$2:$L$622,MATCH(597,'Transfer Engine'!$C$2:$C$622,0)))</f>
        <v/>
      </c>
      <c r="M606" s="8">
        <f>IF(ISNA(MATCH(597,'Transfer Engine'!$C$2:$C$622,0)),"",INDEX('Compliance Database'!$M$2:$M$622,MATCH(597,'Transfer Engine'!$C$2:$C$622,0)))</f>
        <v/>
      </c>
      <c r="N606" s="8">
        <f>IF(ISNA(MATCH(597,'Transfer Engine'!$C$2:$C$622,0)),"",INDEX('Compliance Database'!$N$2:$N$622,MATCH(597,'Transfer Engine'!$C$2:$C$622,0)))</f>
        <v/>
      </c>
      <c r="O606" s="8">
        <f>IF(ISNA(MATCH(597,'Transfer Engine'!$C$2:$C$622,0)),"",INDEX('Compliance Database'!$O$2:$O$622,MATCH(597,'Transfer Engine'!$C$2:$C$622,0)))</f>
        <v/>
      </c>
    </row>
    <row r="607">
      <c r="A607">
        <f>IF(ISNA(MATCH(598,'Transfer Engine'!$C$2:$C$622,0)),"",INDEX('Compliance Database'!$A$2:$A$622,MATCH(598,'Transfer Engine'!$C$2:$C$622,0)))</f>
        <v/>
      </c>
      <c r="B607">
        <f>IF(ISNA(MATCH(598,'Transfer Engine'!$C$2:$C$622,0)),"",INDEX('Compliance Database'!$B$2:$B$622,MATCH(598,'Transfer Engine'!$C$2:$C$622,0)))</f>
        <v/>
      </c>
      <c r="C607">
        <f>IF(ISNA(MATCH(598,'Transfer Engine'!$C$2:$C$622,0)),"",INDEX('Compliance Database'!$C$2:$C$622,MATCH(598,'Transfer Engine'!$C$2:$C$622,0)))</f>
        <v/>
      </c>
      <c r="D607" s="8">
        <f>IF(ISNA(MATCH(598,'Transfer Engine'!$C$2:$C$622,0)),"",INDEX('Compliance Database'!$D$2:$D$622,MATCH(598,'Transfer Engine'!$C$2:$C$622,0)))</f>
        <v/>
      </c>
      <c r="E607">
        <f>IF(ISNA(MATCH(598,'Transfer Engine'!$C$2:$C$622,0)),"",INDEX('Compliance Database'!$E$2:$E$622,MATCH(598,'Transfer Engine'!$C$2:$C$622,0)))</f>
        <v/>
      </c>
      <c r="F607">
        <f>IF(ISNA(MATCH(598,'Transfer Engine'!$C$2:$C$622,0)),"",INDEX('Compliance Database'!$F$2:$F$622,MATCH(598,'Transfer Engine'!$C$2:$C$622,0)))</f>
        <v/>
      </c>
      <c r="G607">
        <f>IF(ISNA(MATCH(598,'Transfer Engine'!$C$2:$C$622,0)),"",INDEX('Compliance Database'!$G$2:$G$622,MATCH(598,'Transfer Engine'!$C$2:$C$622,0)))</f>
        <v/>
      </c>
      <c r="H607">
        <f>IF(ISNA(MATCH(598,'Transfer Engine'!$C$2:$C$622,0)),"",INDEX('Compliance Database'!$H$2:$H$622,MATCH(598,'Transfer Engine'!$C$2:$C$622,0)))</f>
        <v/>
      </c>
      <c r="I607" s="8">
        <f>IF(ISNA(MATCH(598,'Transfer Engine'!$C$2:$C$622,0)),"",INDEX('Compliance Database'!$I$2:$I$622,MATCH(598,'Transfer Engine'!$C$2:$C$622,0)))</f>
        <v/>
      </c>
      <c r="J607" s="8">
        <f>IF(ISNA(MATCH(598,'Transfer Engine'!$C$2:$C$622,0)),"",INDEX('Compliance Database'!$J$2:$J$622,MATCH(598,'Transfer Engine'!$C$2:$C$622,0)))</f>
        <v/>
      </c>
      <c r="K607">
        <f>IF(ISNA(MATCH(598,'Transfer Engine'!$C$2:$C$622,0)),"",INDEX('Compliance Database'!$K$2:$K$622,MATCH(598,'Transfer Engine'!$C$2:$C$622,0)))</f>
        <v/>
      </c>
      <c r="L607" s="8">
        <f>IF(ISNA(MATCH(598,'Transfer Engine'!$C$2:$C$622,0)),"",INDEX('Compliance Database'!$L$2:$L$622,MATCH(598,'Transfer Engine'!$C$2:$C$622,0)))</f>
        <v/>
      </c>
      <c r="M607" s="8">
        <f>IF(ISNA(MATCH(598,'Transfer Engine'!$C$2:$C$622,0)),"",INDEX('Compliance Database'!$M$2:$M$622,MATCH(598,'Transfer Engine'!$C$2:$C$622,0)))</f>
        <v/>
      </c>
      <c r="N607" s="8">
        <f>IF(ISNA(MATCH(598,'Transfer Engine'!$C$2:$C$622,0)),"",INDEX('Compliance Database'!$N$2:$N$622,MATCH(598,'Transfer Engine'!$C$2:$C$622,0)))</f>
        <v/>
      </c>
      <c r="O607" s="8">
        <f>IF(ISNA(MATCH(598,'Transfer Engine'!$C$2:$C$622,0)),"",INDEX('Compliance Database'!$O$2:$O$622,MATCH(598,'Transfer Engine'!$C$2:$C$622,0)))</f>
        <v/>
      </c>
    </row>
    <row r="608">
      <c r="A608">
        <f>IF(ISNA(MATCH(599,'Transfer Engine'!$C$2:$C$622,0)),"",INDEX('Compliance Database'!$A$2:$A$622,MATCH(599,'Transfer Engine'!$C$2:$C$622,0)))</f>
        <v/>
      </c>
      <c r="B608">
        <f>IF(ISNA(MATCH(599,'Transfer Engine'!$C$2:$C$622,0)),"",INDEX('Compliance Database'!$B$2:$B$622,MATCH(599,'Transfer Engine'!$C$2:$C$622,0)))</f>
        <v/>
      </c>
      <c r="C608">
        <f>IF(ISNA(MATCH(599,'Transfer Engine'!$C$2:$C$622,0)),"",INDEX('Compliance Database'!$C$2:$C$622,MATCH(599,'Transfer Engine'!$C$2:$C$622,0)))</f>
        <v/>
      </c>
      <c r="D608" s="8">
        <f>IF(ISNA(MATCH(599,'Transfer Engine'!$C$2:$C$622,0)),"",INDEX('Compliance Database'!$D$2:$D$622,MATCH(599,'Transfer Engine'!$C$2:$C$622,0)))</f>
        <v/>
      </c>
      <c r="E608">
        <f>IF(ISNA(MATCH(599,'Transfer Engine'!$C$2:$C$622,0)),"",INDEX('Compliance Database'!$E$2:$E$622,MATCH(599,'Transfer Engine'!$C$2:$C$622,0)))</f>
        <v/>
      </c>
      <c r="F608">
        <f>IF(ISNA(MATCH(599,'Transfer Engine'!$C$2:$C$622,0)),"",INDEX('Compliance Database'!$F$2:$F$622,MATCH(599,'Transfer Engine'!$C$2:$C$622,0)))</f>
        <v/>
      </c>
      <c r="G608">
        <f>IF(ISNA(MATCH(599,'Transfer Engine'!$C$2:$C$622,0)),"",INDEX('Compliance Database'!$G$2:$G$622,MATCH(599,'Transfer Engine'!$C$2:$C$622,0)))</f>
        <v/>
      </c>
      <c r="H608">
        <f>IF(ISNA(MATCH(599,'Transfer Engine'!$C$2:$C$622,0)),"",INDEX('Compliance Database'!$H$2:$H$622,MATCH(599,'Transfer Engine'!$C$2:$C$622,0)))</f>
        <v/>
      </c>
      <c r="I608" s="8">
        <f>IF(ISNA(MATCH(599,'Transfer Engine'!$C$2:$C$622,0)),"",INDEX('Compliance Database'!$I$2:$I$622,MATCH(599,'Transfer Engine'!$C$2:$C$622,0)))</f>
        <v/>
      </c>
      <c r="J608" s="8">
        <f>IF(ISNA(MATCH(599,'Transfer Engine'!$C$2:$C$622,0)),"",INDEX('Compliance Database'!$J$2:$J$622,MATCH(599,'Transfer Engine'!$C$2:$C$622,0)))</f>
        <v/>
      </c>
      <c r="K608">
        <f>IF(ISNA(MATCH(599,'Transfer Engine'!$C$2:$C$622,0)),"",INDEX('Compliance Database'!$K$2:$K$622,MATCH(599,'Transfer Engine'!$C$2:$C$622,0)))</f>
        <v/>
      </c>
      <c r="L608" s="8">
        <f>IF(ISNA(MATCH(599,'Transfer Engine'!$C$2:$C$622,0)),"",INDEX('Compliance Database'!$L$2:$L$622,MATCH(599,'Transfer Engine'!$C$2:$C$622,0)))</f>
        <v/>
      </c>
      <c r="M608" s="8">
        <f>IF(ISNA(MATCH(599,'Transfer Engine'!$C$2:$C$622,0)),"",INDEX('Compliance Database'!$M$2:$M$622,MATCH(599,'Transfer Engine'!$C$2:$C$622,0)))</f>
        <v/>
      </c>
      <c r="N608" s="8">
        <f>IF(ISNA(MATCH(599,'Transfer Engine'!$C$2:$C$622,0)),"",INDEX('Compliance Database'!$N$2:$N$622,MATCH(599,'Transfer Engine'!$C$2:$C$622,0)))</f>
        <v/>
      </c>
      <c r="O608" s="8">
        <f>IF(ISNA(MATCH(599,'Transfer Engine'!$C$2:$C$622,0)),"",INDEX('Compliance Database'!$O$2:$O$622,MATCH(599,'Transfer Engine'!$C$2:$C$622,0)))</f>
        <v/>
      </c>
    </row>
    <row r="609">
      <c r="A609">
        <f>IF(ISNA(MATCH(600,'Transfer Engine'!$C$2:$C$622,0)),"",INDEX('Compliance Database'!$A$2:$A$622,MATCH(600,'Transfer Engine'!$C$2:$C$622,0)))</f>
        <v/>
      </c>
      <c r="B609">
        <f>IF(ISNA(MATCH(600,'Transfer Engine'!$C$2:$C$622,0)),"",INDEX('Compliance Database'!$B$2:$B$622,MATCH(600,'Transfer Engine'!$C$2:$C$622,0)))</f>
        <v/>
      </c>
      <c r="C609">
        <f>IF(ISNA(MATCH(600,'Transfer Engine'!$C$2:$C$622,0)),"",INDEX('Compliance Database'!$C$2:$C$622,MATCH(600,'Transfer Engine'!$C$2:$C$622,0)))</f>
        <v/>
      </c>
      <c r="D609" s="8">
        <f>IF(ISNA(MATCH(600,'Transfer Engine'!$C$2:$C$622,0)),"",INDEX('Compliance Database'!$D$2:$D$622,MATCH(600,'Transfer Engine'!$C$2:$C$622,0)))</f>
        <v/>
      </c>
      <c r="E609">
        <f>IF(ISNA(MATCH(600,'Transfer Engine'!$C$2:$C$622,0)),"",INDEX('Compliance Database'!$E$2:$E$622,MATCH(600,'Transfer Engine'!$C$2:$C$622,0)))</f>
        <v/>
      </c>
      <c r="F609">
        <f>IF(ISNA(MATCH(600,'Transfer Engine'!$C$2:$C$622,0)),"",INDEX('Compliance Database'!$F$2:$F$622,MATCH(600,'Transfer Engine'!$C$2:$C$622,0)))</f>
        <v/>
      </c>
      <c r="G609">
        <f>IF(ISNA(MATCH(600,'Transfer Engine'!$C$2:$C$622,0)),"",INDEX('Compliance Database'!$G$2:$G$622,MATCH(600,'Transfer Engine'!$C$2:$C$622,0)))</f>
        <v/>
      </c>
      <c r="H609">
        <f>IF(ISNA(MATCH(600,'Transfer Engine'!$C$2:$C$622,0)),"",INDEX('Compliance Database'!$H$2:$H$622,MATCH(600,'Transfer Engine'!$C$2:$C$622,0)))</f>
        <v/>
      </c>
      <c r="I609" s="8">
        <f>IF(ISNA(MATCH(600,'Transfer Engine'!$C$2:$C$622,0)),"",INDEX('Compliance Database'!$I$2:$I$622,MATCH(600,'Transfer Engine'!$C$2:$C$622,0)))</f>
        <v/>
      </c>
      <c r="J609" s="8">
        <f>IF(ISNA(MATCH(600,'Transfer Engine'!$C$2:$C$622,0)),"",INDEX('Compliance Database'!$J$2:$J$622,MATCH(600,'Transfer Engine'!$C$2:$C$622,0)))</f>
        <v/>
      </c>
      <c r="K609">
        <f>IF(ISNA(MATCH(600,'Transfer Engine'!$C$2:$C$622,0)),"",INDEX('Compliance Database'!$K$2:$K$622,MATCH(600,'Transfer Engine'!$C$2:$C$622,0)))</f>
        <v/>
      </c>
      <c r="L609" s="8">
        <f>IF(ISNA(MATCH(600,'Transfer Engine'!$C$2:$C$622,0)),"",INDEX('Compliance Database'!$L$2:$L$622,MATCH(600,'Transfer Engine'!$C$2:$C$622,0)))</f>
        <v/>
      </c>
      <c r="M609" s="8">
        <f>IF(ISNA(MATCH(600,'Transfer Engine'!$C$2:$C$622,0)),"",INDEX('Compliance Database'!$M$2:$M$622,MATCH(600,'Transfer Engine'!$C$2:$C$622,0)))</f>
        <v/>
      </c>
      <c r="N609" s="8">
        <f>IF(ISNA(MATCH(600,'Transfer Engine'!$C$2:$C$622,0)),"",INDEX('Compliance Database'!$N$2:$N$622,MATCH(600,'Transfer Engine'!$C$2:$C$622,0)))</f>
        <v/>
      </c>
      <c r="O609" s="8">
        <f>IF(ISNA(MATCH(600,'Transfer Engine'!$C$2:$C$622,0)),"",INDEX('Compliance Database'!$O$2:$O$622,MATCH(600,'Transfer Engine'!$C$2:$C$622,0)))</f>
        <v/>
      </c>
    </row>
    <row r="610">
      <c r="A610">
        <f>IF(ISNA(MATCH(601,'Transfer Engine'!$C$2:$C$622,0)),"",INDEX('Compliance Database'!$A$2:$A$622,MATCH(601,'Transfer Engine'!$C$2:$C$622,0)))</f>
        <v/>
      </c>
      <c r="B610">
        <f>IF(ISNA(MATCH(601,'Transfer Engine'!$C$2:$C$622,0)),"",INDEX('Compliance Database'!$B$2:$B$622,MATCH(601,'Transfer Engine'!$C$2:$C$622,0)))</f>
        <v/>
      </c>
      <c r="C610">
        <f>IF(ISNA(MATCH(601,'Transfer Engine'!$C$2:$C$622,0)),"",INDEX('Compliance Database'!$C$2:$C$622,MATCH(601,'Transfer Engine'!$C$2:$C$622,0)))</f>
        <v/>
      </c>
      <c r="D610" s="8">
        <f>IF(ISNA(MATCH(601,'Transfer Engine'!$C$2:$C$622,0)),"",INDEX('Compliance Database'!$D$2:$D$622,MATCH(601,'Transfer Engine'!$C$2:$C$622,0)))</f>
        <v/>
      </c>
      <c r="E610">
        <f>IF(ISNA(MATCH(601,'Transfer Engine'!$C$2:$C$622,0)),"",INDEX('Compliance Database'!$E$2:$E$622,MATCH(601,'Transfer Engine'!$C$2:$C$622,0)))</f>
        <v/>
      </c>
      <c r="F610">
        <f>IF(ISNA(MATCH(601,'Transfer Engine'!$C$2:$C$622,0)),"",INDEX('Compliance Database'!$F$2:$F$622,MATCH(601,'Transfer Engine'!$C$2:$C$622,0)))</f>
        <v/>
      </c>
      <c r="G610">
        <f>IF(ISNA(MATCH(601,'Transfer Engine'!$C$2:$C$622,0)),"",INDEX('Compliance Database'!$G$2:$G$622,MATCH(601,'Transfer Engine'!$C$2:$C$622,0)))</f>
        <v/>
      </c>
      <c r="H610">
        <f>IF(ISNA(MATCH(601,'Transfer Engine'!$C$2:$C$622,0)),"",INDEX('Compliance Database'!$H$2:$H$622,MATCH(601,'Transfer Engine'!$C$2:$C$622,0)))</f>
        <v/>
      </c>
      <c r="I610" s="8">
        <f>IF(ISNA(MATCH(601,'Transfer Engine'!$C$2:$C$622,0)),"",INDEX('Compliance Database'!$I$2:$I$622,MATCH(601,'Transfer Engine'!$C$2:$C$622,0)))</f>
        <v/>
      </c>
      <c r="J610" s="8">
        <f>IF(ISNA(MATCH(601,'Transfer Engine'!$C$2:$C$622,0)),"",INDEX('Compliance Database'!$J$2:$J$622,MATCH(601,'Transfer Engine'!$C$2:$C$622,0)))</f>
        <v/>
      </c>
      <c r="K610">
        <f>IF(ISNA(MATCH(601,'Transfer Engine'!$C$2:$C$622,0)),"",INDEX('Compliance Database'!$K$2:$K$622,MATCH(601,'Transfer Engine'!$C$2:$C$622,0)))</f>
        <v/>
      </c>
      <c r="L610" s="8">
        <f>IF(ISNA(MATCH(601,'Transfer Engine'!$C$2:$C$622,0)),"",INDEX('Compliance Database'!$L$2:$L$622,MATCH(601,'Transfer Engine'!$C$2:$C$622,0)))</f>
        <v/>
      </c>
      <c r="M610" s="8">
        <f>IF(ISNA(MATCH(601,'Transfer Engine'!$C$2:$C$622,0)),"",INDEX('Compliance Database'!$M$2:$M$622,MATCH(601,'Transfer Engine'!$C$2:$C$622,0)))</f>
        <v/>
      </c>
      <c r="N610" s="8">
        <f>IF(ISNA(MATCH(601,'Transfer Engine'!$C$2:$C$622,0)),"",INDEX('Compliance Database'!$N$2:$N$622,MATCH(601,'Transfer Engine'!$C$2:$C$622,0)))</f>
        <v/>
      </c>
      <c r="O610" s="8">
        <f>IF(ISNA(MATCH(601,'Transfer Engine'!$C$2:$C$622,0)),"",INDEX('Compliance Database'!$O$2:$O$622,MATCH(601,'Transfer Engine'!$C$2:$C$622,0)))</f>
        <v/>
      </c>
    </row>
    <row r="611">
      <c r="A611">
        <f>IF(ISNA(MATCH(602,'Transfer Engine'!$C$2:$C$622,0)),"",INDEX('Compliance Database'!$A$2:$A$622,MATCH(602,'Transfer Engine'!$C$2:$C$622,0)))</f>
        <v/>
      </c>
      <c r="B611">
        <f>IF(ISNA(MATCH(602,'Transfer Engine'!$C$2:$C$622,0)),"",INDEX('Compliance Database'!$B$2:$B$622,MATCH(602,'Transfer Engine'!$C$2:$C$622,0)))</f>
        <v/>
      </c>
      <c r="C611">
        <f>IF(ISNA(MATCH(602,'Transfer Engine'!$C$2:$C$622,0)),"",INDEX('Compliance Database'!$C$2:$C$622,MATCH(602,'Transfer Engine'!$C$2:$C$622,0)))</f>
        <v/>
      </c>
      <c r="D611" s="8">
        <f>IF(ISNA(MATCH(602,'Transfer Engine'!$C$2:$C$622,0)),"",INDEX('Compliance Database'!$D$2:$D$622,MATCH(602,'Transfer Engine'!$C$2:$C$622,0)))</f>
        <v/>
      </c>
      <c r="E611">
        <f>IF(ISNA(MATCH(602,'Transfer Engine'!$C$2:$C$622,0)),"",INDEX('Compliance Database'!$E$2:$E$622,MATCH(602,'Transfer Engine'!$C$2:$C$622,0)))</f>
        <v/>
      </c>
      <c r="F611">
        <f>IF(ISNA(MATCH(602,'Transfer Engine'!$C$2:$C$622,0)),"",INDEX('Compliance Database'!$F$2:$F$622,MATCH(602,'Transfer Engine'!$C$2:$C$622,0)))</f>
        <v/>
      </c>
      <c r="G611">
        <f>IF(ISNA(MATCH(602,'Transfer Engine'!$C$2:$C$622,0)),"",INDEX('Compliance Database'!$G$2:$G$622,MATCH(602,'Transfer Engine'!$C$2:$C$622,0)))</f>
        <v/>
      </c>
      <c r="H611">
        <f>IF(ISNA(MATCH(602,'Transfer Engine'!$C$2:$C$622,0)),"",INDEX('Compliance Database'!$H$2:$H$622,MATCH(602,'Transfer Engine'!$C$2:$C$622,0)))</f>
        <v/>
      </c>
      <c r="I611" s="8">
        <f>IF(ISNA(MATCH(602,'Transfer Engine'!$C$2:$C$622,0)),"",INDEX('Compliance Database'!$I$2:$I$622,MATCH(602,'Transfer Engine'!$C$2:$C$622,0)))</f>
        <v/>
      </c>
      <c r="J611" s="8">
        <f>IF(ISNA(MATCH(602,'Transfer Engine'!$C$2:$C$622,0)),"",INDEX('Compliance Database'!$J$2:$J$622,MATCH(602,'Transfer Engine'!$C$2:$C$622,0)))</f>
        <v/>
      </c>
      <c r="K611">
        <f>IF(ISNA(MATCH(602,'Transfer Engine'!$C$2:$C$622,0)),"",INDEX('Compliance Database'!$K$2:$K$622,MATCH(602,'Transfer Engine'!$C$2:$C$622,0)))</f>
        <v/>
      </c>
      <c r="L611" s="8">
        <f>IF(ISNA(MATCH(602,'Transfer Engine'!$C$2:$C$622,0)),"",INDEX('Compliance Database'!$L$2:$L$622,MATCH(602,'Transfer Engine'!$C$2:$C$622,0)))</f>
        <v/>
      </c>
      <c r="M611" s="8">
        <f>IF(ISNA(MATCH(602,'Transfer Engine'!$C$2:$C$622,0)),"",INDEX('Compliance Database'!$M$2:$M$622,MATCH(602,'Transfer Engine'!$C$2:$C$622,0)))</f>
        <v/>
      </c>
      <c r="N611" s="8">
        <f>IF(ISNA(MATCH(602,'Transfer Engine'!$C$2:$C$622,0)),"",INDEX('Compliance Database'!$N$2:$N$622,MATCH(602,'Transfer Engine'!$C$2:$C$622,0)))</f>
        <v/>
      </c>
      <c r="O611" s="8">
        <f>IF(ISNA(MATCH(602,'Transfer Engine'!$C$2:$C$622,0)),"",INDEX('Compliance Database'!$O$2:$O$622,MATCH(602,'Transfer Engine'!$C$2:$C$622,0)))</f>
        <v/>
      </c>
    </row>
    <row r="612">
      <c r="A612">
        <f>IF(ISNA(MATCH(603,'Transfer Engine'!$C$2:$C$622,0)),"",INDEX('Compliance Database'!$A$2:$A$622,MATCH(603,'Transfer Engine'!$C$2:$C$622,0)))</f>
        <v/>
      </c>
      <c r="B612">
        <f>IF(ISNA(MATCH(603,'Transfer Engine'!$C$2:$C$622,0)),"",INDEX('Compliance Database'!$B$2:$B$622,MATCH(603,'Transfer Engine'!$C$2:$C$622,0)))</f>
        <v/>
      </c>
      <c r="C612">
        <f>IF(ISNA(MATCH(603,'Transfer Engine'!$C$2:$C$622,0)),"",INDEX('Compliance Database'!$C$2:$C$622,MATCH(603,'Transfer Engine'!$C$2:$C$622,0)))</f>
        <v/>
      </c>
      <c r="D612" s="8">
        <f>IF(ISNA(MATCH(603,'Transfer Engine'!$C$2:$C$622,0)),"",INDEX('Compliance Database'!$D$2:$D$622,MATCH(603,'Transfer Engine'!$C$2:$C$622,0)))</f>
        <v/>
      </c>
      <c r="E612">
        <f>IF(ISNA(MATCH(603,'Transfer Engine'!$C$2:$C$622,0)),"",INDEX('Compliance Database'!$E$2:$E$622,MATCH(603,'Transfer Engine'!$C$2:$C$622,0)))</f>
        <v/>
      </c>
      <c r="F612">
        <f>IF(ISNA(MATCH(603,'Transfer Engine'!$C$2:$C$622,0)),"",INDEX('Compliance Database'!$F$2:$F$622,MATCH(603,'Transfer Engine'!$C$2:$C$622,0)))</f>
        <v/>
      </c>
      <c r="G612">
        <f>IF(ISNA(MATCH(603,'Transfer Engine'!$C$2:$C$622,0)),"",INDEX('Compliance Database'!$G$2:$G$622,MATCH(603,'Transfer Engine'!$C$2:$C$622,0)))</f>
        <v/>
      </c>
      <c r="H612">
        <f>IF(ISNA(MATCH(603,'Transfer Engine'!$C$2:$C$622,0)),"",INDEX('Compliance Database'!$H$2:$H$622,MATCH(603,'Transfer Engine'!$C$2:$C$622,0)))</f>
        <v/>
      </c>
      <c r="I612" s="8">
        <f>IF(ISNA(MATCH(603,'Transfer Engine'!$C$2:$C$622,0)),"",INDEX('Compliance Database'!$I$2:$I$622,MATCH(603,'Transfer Engine'!$C$2:$C$622,0)))</f>
        <v/>
      </c>
      <c r="J612" s="8">
        <f>IF(ISNA(MATCH(603,'Transfer Engine'!$C$2:$C$622,0)),"",INDEX('Compliance Database'!$J$2:$J$622,MATCH(603,'Transfer Engine'!$C$2:$C$622,0)))</f>
        <v/>
      </c>
      <c r="K612">
        <f>IF(ISNA(MATCH(603,'Transfer Engine'!$C$2:$C$622,0)),"",INDEX('Compliance Database'!$K$2:$K$622,MATCH(603,'Transfer Engine'!$C$2:$C$622,0)))</f>
        <v/>
      </c>
      <c r="L612" s="8">
        <f>IF(ISNA(MATCH(603,'Transfer Engine'!$C$2:$C$622,0)),"",INDEX('Compliance Database'!$L$2:$L$622,MATCH(603,'Transfer Engine'!$C$2:$C$622,0)))</f>
        <v/>
      </c>
      <c r="M612" s="8">
        <f>IF(ISNA(MATCH(603,'Transfer Engine'!$C$2:$C$622,0)),"",INDEX('Compliance Database'!$M$2:$M$622,MATCH(603,'Transfer Engine'!$C$2:$C$622,0)))</f>
        <v/>
      </c>
      <c r="N612" s="8">
        <f>IF(ISNA(MATCH(603,'Transfer Engine'!$C$2:$C$622,0)),"",INDEX('Compliance Database'!$N$2:$N$622,MATCH(603,'Transfer Engine'!$C$2:$C$622,0)))</f>
        <v/>
      </c>
      <c r="O612" s="8">
        <f>IF(ISNA(MATCH(603,'Transfer Engine'!$C$2:$C$622,0)),"",INDEX('Compliance Database'!$O$2:$O$622,MATCH(603,'Transfer Engine'!$C$2:$C$622,0)))</f>
        <v/>
      </c>
    </row>
    <row r="613">
      <c r="A613">
        <f>IF(ISNA(MATCH(604,'Transfer Engine'!$C$2:$C$622,0)),"",INDEX('Compliance Database'!$A$2:$A$622,MATCH(604,'Transfer Engine'!$C$2:$C$622,0)))</f>
        <v/>
      </c>
      <c r="B613">
        <f>IF(ISNA(MATCH(604,'Transfer Engine'!$C$2:$C$622,0)),"",INDEX('Compliance Database'!$B$2:$B$622,MATCH(604,'Transfer Engine'!$C$2:$C$622,0)))</f>
        <v/>
      </c>
      <c r="C613">
        <f>IF(ISNA(MATCH(604,'Transfer Engine'!$C$2:$C$622,0)),"",INDEX('Compliance Database'!$C$2:$C$622,MATCH(604,'Transfer Engine'!$C$2:$C$622,0)))</f>
        <v/>
      </c>
      <c r="D613" s="8">
        <f>IF(ISNA(MATCH(604,'Transfer Engine'!$C$2:$C$622,0)),"",INDEX('Compliance Database'!$D$2:$D$622,MATCH(604,'Transfer Engine'!$C$2:$C$622,0)))</f>
        <v/>
      </c>
      <c r="E613">
        <f>IF(ISNA(MATCH(604,'Transfer Engine'!$C$2:$C$622,0)),"",INDEX('Compliance Database'!$E$2:$E$622,MATCH(604,'Transfer Engine'!$C$2:$C$622,0)))</f>
        <v/>
      </c>
      <c r="F613">
        <f>IF(ISNA(MATCH(604,'Transfer Engine'!$C$2:$C$622,0)),"",INDEX('Compliance Database'!$F$2:$F$622,MATCH(604,'Transfer Engine'!$C$2:$C$622,0)))</f>
        <v/>
      </c>
      <c r="G613">
        <f>IF(ISNA(MATCH(604,'Transfer Engine'!$C$2:$C$622,0)),"",INDEX('Compliance Database'!$G$2:$G$622,MATCH(604,'Transfer Engine'!$C$2:$C$622,0)))</f>
        <v/>
      </c>
      <c r="H613">
        <f>IF(ISNA(MATCH(604,'Transfer Engine'!$C$2:$C$622,0)),"",INDEX('Compliance Database'!$H$2:$H$622,MATCH(604,'Transfer Engine'!$C$2:$C$622,0)))</f>
        <v/>
      </c>
      <c r="I613" s="8">
        <f>IF(ISNA(MATCH(604,'Transfer Engine'!$C$2:$C$622,0)),"",INDEX('Compliance Database'!$I$2:$I$622,MATCH(604,'Transfer Engine'!$C$2:$C$622,0)))</f>
        <v/>
      </c>
      <c r="J613" s="8">
        <f>IF(ISNA(MATCH(604,'Transfer Engine'!$C$2:$C$622,0)),"",INDEX('Compliance Database'!$J$2:$J$622,MATCH(604,'Transfer Engine'!$C$2:$C$622,0)))</f>
        <v/>
      </c>
      <c r="K613">
        <f>IF(ISNA(MATCH(604,'Transfer Engine'!$C$2:$C$622,0)),"",INDEX('Compliance Database'!$K$2:$K$622,MATCH(604,'Transfer Engine'!$C$2:$C$622,0)))</f>
        <v/>
      </c>
      <c r="L613" s="8">
        <f>IF(ISNA(MATCH(604,'Transfer Engine'!$C$2:$C$622,0)),"",INDEX('Compliance Database'!$L$2:$L$622,MATCH(604,'Transfer Engine'!$C$2:$C$622,0)))</f>
        <v/>
      </c>
      <c r="M613" s="8">
        <f>IF(ISNA(MATCH(604,'Transfer Engine'!$C$2:$C$622,0)),"",INDEX('Compliance Database'!$M$2:$M$622,MATCH(604,'Transfer Engine'!$C$2:$C$622,0)))</f>
        <v/>
      </c>
      <c r="N613" s="8">
        <f>IF(ISNA(MATCH(604,'Transfer Engine'!$C$2:$C$622,0)),"",INDEX('Compliance Database'!$N$2:$N$622,MATCH(604,'Transfer Engine'!$C$2:$C$622,0)))</f>
        <v/>
      </c>
      <c r="O613" s="8">
        <f>IF(ISNA(MATCH(604,'Transfer Engine'!$C$2:$C$622,0)),"",INDEX('Compliance Database'!$O$2:$O$622,MATCH(604,'Transfer Engine'!$C$2:$C$622,0)))</f>
        <v/>
      </c>
    </row>
    <row r="614">
      <c r="A614">
        <f>IF(ISNA(MATCH(605,'Transfer Engine'!$C$2:$C$622,0)),"",INDEX('Compliance Database'!$A$2:$A$622,MATCH(605,'Transfer Engine'!$C$2:$C$622,0)))</f>
        <v/>
      </c>
      <c r="B614">
        <f>IF(ISNA(MATCH(605,'Transfer Engine'!$C$2:$C$622,0)),"",INDEX('Compliance Database'!$B$2:$B$622,MATCH(605,'Transfer Engine'!$C$2:$C$622,0)))</f>
        <v/>
      </c>
      <c r="C614">
        <f>IF(ISNA(MATCH(605,'Transfer Engine'!$C$2:$C$622,0)),"",INDEX('Compliance Database'!$C$2:$C$622,MATCH(605,'Transfer Engine'!$C$2:$C$622,0)))</f>
        <v/>
      </c>
      <c r="D614" s="8">
        <f>IF(ISNA(MATCH(605,'Transfer Engine'!$C$2:$C$622,0)),"",INDEX('Compliance Database'!$D$2:$D$622,MATCH(605,'Transfer Engine'!$C$2:$C$622,0)))</f>
        <v/>
      </c>
      <c r="E614">
        <f>IF(ISNA(MATCH(605,'Transfer Engine'!$C$2:$C$622,0)),"",INDEX('Compliance Database'!$E$2:$E$622,MATCH(605,'Transfer Engine'!$C$2:$C$622,0)))</f>
        <v/>
      </c>
      <c r="F614">
        <f>IF(ISNA(MATCH(605,'Transfer Engine'!$C$2:$C$622,0)),"",INDEX('Compliance Database'!$F$2:$F$622,MATCH(605,'Transfer Engine'!$C$2:$C$622,0)))</f>
        <v/>
      </c>
      <c r="G614">
        <f>IF(ISNA(MATCH(605,'Transfer Engine'!$C$2:$C$622,0)),"",INDEX('Compliance Database'!$G$2:$G$622,MATCH(605,'Transfer Engine'!$C$2:$C$622,0)))</f>
        <v/>
      </c>
      <c r="H614">
        <f>IF(ISNA(MATCH(605,'Transfer Engine'!$C$2:$C$622,0)),"",INDEX('Compliance Database'!$H$2:$H$622,MATCH(605,'Transfer Engine'!$C$2:$C$622,0)))</f>
        <v/>
      </c>
      <c r="I614" s="8">
        <f>IF(ISNA(MATCH(605,'Transfer Engine'!$C$2:$C$622,0)),"",INDEX('Compliance Database'!$I$2:$I$622,MATCH(605,'Transfer Engine'!$C$2:$C$622,0)))</f>
        <v/>
      </c>
      <c r="J614" s="8">
        <f>IF(ISNA(MATCH(605,'Transfer Engine'!$C$2:$C$622,0)),"",INDEX('Compliance Database'!$J$2:$J$622,MATCH(605,'Transfer Engine'!$C$2:$C$622,0)))</f>
        <v/>
      </c>
      <c r="K614">
        <f>IF(ISNA(MATCH(605,'Transfer Engine'!$C$2:$C$622,0)),"",INDEX('Compliance Database'!$K$2:$K$622,MATCH(605,'Transfer Engine'!$C$2:$C$622,0)))</f>
        <v/>
      </c>
      <c r="L614" s="8">
        <f>IF(ISNA(MATCH(605,'Transfer Engine'!$C$2:$C$622,0)),"",INDEX('Compliance Database'!$L$2:$L$622,MATCH(605,'Transfer Engine'!$C$2:$C$622,0)))</f>
        <v/>
      </c>
      <c r="M614" s="8">
        <f>IF(ISNA(MATCH(605,'Transfer Engine'!$C$2:$C$622,0)),"",INDEX('Compliance Database'!$M$2:$M$622,MATCH(605,'Transfer Engine'!$C$2:$C$622,0)))</f>
        <v/>
      </c>
      <c r="N614" s="8">
        <f>IF(ISNA(MATCH(605,'Transfer Engine'!$C$2:$C$622,0)),"",INDEX('Compliance Database'!$N$2:$N$622,MATCH(605,'Transfer Engine'!$C$2:$C$622,0)))</f>
        <v/>
      </c>
      <c r="O614" s="8">
        <f>IF(ISNA(MATCH(605,'Transfer Engine'!$C$2:$C$622,0)),"",INDEX('Compliance Database'!$O$2:$O$622,MATCH(605,'Transfer Engine'!$C$2:$C$622,0)))</f>
        <v/>
      </c>
    </row>
    <row r="615">
      <c r="A615">
        <f>IF(ISNA(MATCH(606,'Transfer Engine'!$C$2:$C$622,0)),"",INDEX('Compliance Database'!$A$2:$A$622,MATCH(606,'Transfer Engine'!$C$2:$C$622,0)))</f>
        <v/>
      </c>
      <c r="B615">
        <f>IF(ISNA(MATCH(606,'Transfer Engine'!$C$2:$C$622,0)),"",INDEX('Compliance Database'!$B$2:$B$622,MATCH(606,'Transfer Engine'!$C$2:$C$622,0)))</f>
        <v/>
      </c>
      <c r="C615">
        <f>IF(ISNA(MATCH(606,'Transfer Engine'!$C$2:$C$622,0)),"",INDEX('Compliance Database'!$C$2:$C$622,MATCH(606,'Transfer Engine'!$C$2:$C$622,0)))</f>
        <v/>
      </c>
      <c r="D615" s="8">
        <f>IF(ISNA(MATCH(606,'Transfer Engine'!$C$2:$C$622,0)),"",INDEX('Compliance Database'!$D$2:$D$622,MATCH(606,'Transfer Engine'!$C$2:$C$622,0)))</f>
        <v/>
      </c>
      <c r="E615">
        <f>IF(ISNA(MATCH(606,'Transfer Engine'!$C$2:$C$622,0)),"",INDEX('Compliance Database'!$E$2:$E$622,MATCH(606,'Transfer Engine'!$C$2:$C$622,0)))</f>
        <v/>
      </c>
      <c r="F615">
        <f>IF(ISNA(MATCH(606,'Transfer Engine'!$C$2:$C$622,0)),"",INDEX('Compliance Database'!$F$2:$F$622,MATCH(606,'Transfer Engine'!$C$2:$C$622,0)))</f>
        <v/>
      </c>
      <c r="G615">
        <f>IF(ISNA(MATCH(606,'Transfer Engine'!$C$2:$C$622,0)),"",INDEX('Compliance Database'!$G$2:$G$622,MATCH(606,'Transfer Engine'!$C$2:$C$622,0)))</f>
        <v/>
      </c>
      <c r="H615">
        <f>IF(ISNA(MATCH(606,'Transfer Engine'!$C$2:$C$622,0)),"",INDEX('Compliance Database'!$H$2:$H$622,MATCH(606,'Transfer Engine'!$C$2:$C$622,0)))</f>
        <v/>
      </c>
      <c r="I615" s="8">
        <f>IF(ISNA(MATCH(606,'Transfer Engine'!$C$2:$C$622,0)),"",INDEX('Compliance Database'!$I$2:$I$622,MATCH(606,'Transfer Engine'!$C$2:$C$622,0)))</f>
        <v/>
      </c>
      <c r="J615" s="8">
        <f>IF(ISNA(MATCH(606,'Transfer Engine'!$C$2:$C$622,0)),"",INDEX('Compliance Database'!$J$2:$J$622,MATCH(606,'Transfer Engine'!$C$2:$C$622,0)))</f>
        <v/>
      </c>
      <c r="K615">
        <f>IF(ISNA(MATCH(606,'Transfer Engine'!$C$2:$C$622,0)),"",INDEX('Compliance Database'!$K$2:$K$622,MATCH(606,'Transfer Engine'!$C$2:$C$622,0)))</f>
        <v/>
      </c>
      <c r="L615" s="8">
        <f>IF(ISNA(MATCH(606,'Transfer Engine'!$C$2:$C$622,0)),"",INDEX('Compliance Database'!$L$2:$L$622,MATCH(606,'Transfer Engine'!$C$2:$C$622,0)))</f>
        <v/>
      </c>
      <c r="M615" s="8">
        <f>IF(ISNA(MATCH(606,'Transfer Engine'!$C$2:$C$622,0)),"",INDEX('Compliance Database'!$M$2:$M$622,MATCH(606,'Transfer Engine'!$C$2:$C$622,0)))</f>
        <v/>
      </c>
      <c r="N615" s="8">
        <f>IF(ISNA(MATCH(606,'Transfer Engine'!$C$2:$C$622,0)),"",INDEX('Compliance Database'!$N$2:$N$622,MATCH(606,'Transfer Engine'!$C$2:$C$622,0)))</f>
        <v/>
      </c>
      <c r="O615" s="8">
        <f>IF(ISNA(MATCH(606,'Transfer Engine'!$C$2:$C$622,0)),"",INDEX('Compliance Database'!$O$2:$O$622,MATCH(606,'Transfer Engine'!$C$2:$C$622,0)))</f>
        <v/>
      </c>
    </row>
    <row r="616">
      <c r="A616">
        <f>IF(ISNA(MATCH(607,'Transfer Engine'!$C$2:$C$622,0)),"",INDEX('Compliance Database'!$A$2:$A$622,MATCH(607,'Transfer Engine'!$C$2:$C$622,0)))</f>
        <v/>
      </c>
      <c r="B616">
        <f>IF(ISNA(MATCH(607,'Transfer Engine'!$C$2:$C$622,0)),"",INDEX('Compliance Database'!$B$2:$B$622,MATCH(607,'Transfer Engine'!$C$2:$C$622,0)))</f>
        <v/>
      </c>
      <c r="C616">
        <f>IF(ISNA(MATCH(607,'Transfer Engine'!$C$2:$C$622,0)),"",INDEX('Compliance Database'!$C$2:$C$622,MATCH(607,'Transfer Engine'!$C$2:$C$622,0)))</f>
        <v/>
      </c>
      <c r="D616" s="8">
        <f>IF(ISNA(MATCH(607,'Transfer Engine'!$C$2:$C$622,0)),"",INDEX('Compliance Database'!$D$2:$D$622,MATCH(607,'Transfer Engine'!$C$2:$C$622,0)))</f>
        <v/>
      </c>
      <c r="E616">
        <f>IF(ISNA(MATCH(607,'Transfer Engine'!$C$2:$C$622,0)),"",INDEX('Compliance Database'!$E$2:$E$622,MATCH(607,'Transfer Engine'!$C$2:$C$622,0)))</f>
        <v/>
      </c>
      <c r="F616">
        <f>IF(ISNA(MATCH(607,'Transfer Engine'!$C$2:$C$622,0)),"",INDEX('Compliance Database'!$F$2:$F$622,MATCH(607,'Transfer Engine'!$C$2:$C$622,0)))</f>
        <v/>
      </c>
      <c r="G616">
        <f>IF(ISNA(MATCH(607,'Transfer Engine'!$C$2:$C$622,0)),"",INDEX('Compliance Database'!$G$2:$G$622,MATCH(607,'Transfer Engine'!$C$2:$C$622,0)))</f>
        <v/>
      </c>
      <c r="H616">
        <f>IF(ISNA(MATCH(607,'Transfer Engine'!$C$2:$C$622,0)),"",INDEX('Compliance Database'!$H$2:$H$622,MATCH(607,'Transfer Engine'!$C$2:$C$622,0)))</f>
        <v/>
      </c>
      <c r="I616" s="8">
        <f>IF(ISNA(MATCH(607,'Transfer Engine'!$C$2:$C$622,0)),"",INDEX('Compliance Database'!$I$2:$I$622,MATCH(607,'Transfer Engine'!$C$2:$C$622,0)))</f>
        <v/>
      </c>
      <c r="J616" s="8">
        <f>IF(ISNA(MATCH(607,'Transfer Engine'!$C$2:$C$622,0)),"",INDEX('Compliance Database'!$J$2:$J$622,MATCH(607,'Transfer Engine'!$C$2:$C$622,0)))</f>
        <v/>
      </c>
      <c r="K616">
        <f>IF(ISNA(MATCH(607,'Transfer Engine'!$C$2:$C$622,0)),"",INDEX('Compliance Database'!$K$2:$K$622,MATCH(607,'Transfer Engine'!$C$2:$C$622,0)))</f>
        <v/>
      </c>
      <c r="L616" s="8">
        <f>IF(ISNA(MATCH(607,'Transfer Engine'!$C$2:$C$622,0)),"",INDEX('Compliance Database'!$L$2:$L$622,MATCH(607,'Transfer Engine'!$C$2:$C$622,0)))</f>
        <v/>
      </c>
      <c r="M616" s="8">
        <f>IF(ISNA(MATCH(607,'Transfer Engine'!$C$2:$C$622,0)),"",INDEX('Compliance Database'!$M$2:$M$622,MATCH(607,'Transfer Engine'!$C$2:$C$622,0)))</f>
        <v/>
      </c>
      <c r="N616" s="8">
        <f>IF(ISNA(MATCH(607,'Transfer Engine'!$C$2:$C$622,0)),"",INDEX('Compliance Database'!$N$2:$N$622,MATCH(607,'Transfer Engine'!$C$2:$C$622,0)))</f>
        <v/>
      </c>
      <c r="O616" s="8">
        <f>IF(ISNA(MATCH(607,'Transfer Engine'!$C$2:$C$622,0)),"",INDEX('Compliance Database'!$O$2:$O$622,MATCH(607,'Transfer Engine'!$C$2:$C$622,0)))</f>
        <v/>
      </c>
    </row>
    <row r="617">
      <c r="A617">
        <f>IF(ISNA(MATCH(608,'Transfer Engine'!$C$2:$C$622,0)),"",INDEX('Compliance Database'!$A$2:$A$622,MATCH(608,'Transfer Engine'!$C$2:$C$622,0)))</f>
        <v/>
      </c>
      <c r="B617">
        <f>IF(ISNA(MATCH(608,'Transfer Engine'!$C$2:$C$622,0)),"",INDEX('Compliance Database'!$B$2:$B$622,MATCH(608,'Transfer Engine'!$C$2:$C$622,0)))</f>
        <v/>
      </c>
      <c r="C617">
        <f>IF(ISNA(MATCH(608,'Transfer Engine'!$C$2:$C$622,0)),"",INDEX('Compliance Database'!$C$2:$C$622,MATCH(608,'Transfer Engine'!$C$2:$C$622,0)))</f>
        <v/>
      </c>
      <c r="D617" s="8">
        <f>IF(ISNA(MATCH(608,'Transfer Engine'!$C$2:$C$622,0)),"",INDEX('Compliance Database'!$D$2:$D$622,MATCH(608,'Transfer Engine'!$C$2:$C$622,0)))</f>
        <v/>
      </c>
      <c r="E617">
        <f>IF(ISNA(MATCH(608,'Transfer Engine'!$C$2:$C$622,0)),"",INDEX('Compliance Database'!$E$2:$E$622,MATCH(608,'Transfer Engine'!$C$2:$C$622,0)))</f>
        <v/>
      </c>
      <c r="F617">
        <f>IF(ISNA(MATCH(608,'Transfer Engine'!$C$2:$C$622,0)),"",INDEX('Compliance Database'!$F$2:$F$622,MATCH(608,'Transfer Engine'!$C$2:$C$622,0)))</f>
        <v/>
      </c>
      <c r="G617">
        <f>IF(ISNA(MATCH(608,'Transfer Engine'!$C$2:$C$622,0)),"",INDEX('Compliance Database'!$G$2:$G$622,MATCH(608,'Transfer Engine'!$C$2:$C$622,0)))</f>
        <v/>
      </c>
      <c r="H617">
        <f>IF(ISNA(MATCH(608,'Transfer Engine'!$C$2:$C$622,0)),"",INDEX('Compliance Database'!$H$2:$H$622,MATCH(608,'Transfer Engine'!$C$2:$C$622,0)))</f>
        <v/>
      </c>
      <c r="I617" s="8">
        <f>IF(ISNA(MATCH(608,'Transfer Engine'!$C$2:$C$622,0)),"",INDEX('Compliance Database'!$I$2:$I$622,MATCH(608,'Transfer Engine'!$C$2:$C$622,0)))</f>
        <v/>
      </c>
      <c r="J617" s="8">
        <f>IF(ISNA(MATCH(608,'Transfer Engine'!$C$2:$C$622,0)),"",INDEX('Compliance Database'!$J$2:$J$622,MATCH(608,'Transfer Engine'!$C$2:$C$622,0)))</f>
        <v/>
      </c>
      <c r="K617">
        <f>IF(ISNA(MATCH(608,'Transfer Engine'!$C$2:$C$622,0)),"",INDEX('Compliance Database'!$K$2:$K$622,MATCH(608,'Transfer Engine'!$C$2:$C$622,0)))</f>
        <v/>
      </c>
      <c r="L617" s="8">
        <f>IF(ISNA(MATCH(608,'Transfer Engine'!$C$2:$C$622,0)),"",INDEX('Compliance Database'!$L$2:$L$622,MATCH(608,'Transfer Engine'!$C$2:$C$622,0)))</f>
        <v/>
      </c>
      <c r="M617" s="8">
        <f>IF(ISNA(MATCH(608,'Transfer Engine'!$C$2:$C$622,0)),"",INDEX('Compliance Database'!$M$2:$M$622,MATCH(608,'Transfer Engine'!$C$2:$C$622,0)))</f>
        <v/>
      </c>
      <c r="N617" s="8">
        <f>IF(ISNA(MATCH(608,'Transfer Engine'!$C$2:$C$622,0)),"",INDEX('Compliance Database'!$N$2:$N$622,MATCH(608,'Transfer Engine'!$C$2:$C$622,0)))</f>
        <v/>
      </c>
      <c r="O617" s="8">
        <f>IF(ISNA(MATCH(608,'Transfer Engine'!$C$2:$C$622,0)),"",INDEX('Compliance Database'!$O$2:$O$622,MATCH(608,'Transfer Engine'!$C$2:$C$622,0)))</f>
        <v/>
      </c>
    </row>
    <row r="618">
      <c r="A618">
        <f>IF(ISNA(MATCH(609,'Transfer Engine'!$C$2:$C$622,0)),"",INDEX('Compliance Database'!$A$2:$A$622,MATCH(609,'Transfer Engine'!$C$2:$C$622,0)))</f>
        <v/>
      </c>
      <c r="B618">
        <f>IF(ISNA(MATCH(609,'Transfer Engine'!$C$2:$C$622,0)),"",INDEX('Compliance Database'!$B$2:$B$622,MATCH(609,'Transfer Engine'!$C$2:$C$622,0)))</f>
        <v/>
      </c>
      <c r="C618">
        <f>IF(ISNA(MATCH(609,'Transfer Engine'!$C$2:$C$622,0)),"",INDEX('Compliance Database'!$C$2:$C$622,MATCH(609,'Transfer Engine'!$C$2:$C$622,0)))</f>
        <v/>
      </c>
      <c r="D618" s="8">
        <f>IF(ISNA(MATCH(609,'Transfer Engine'!$C$2:$C$622,0)),"",INDEX('Compliance Database'!$D$2:$D$622,MATCH(609,'Transfer Engine'!$C$2:$C$622,0)))</f>
        <v/>
      </c>
      <c r="E618">
        <f>IF(ISNA(MATCH(609,'Transfer Engine'!$C$2:$C$622,0)),"",INDEX('Compliance Database'!$E$2:$E$622,MATCH(609,'Transfer Engine'!$C$2:$C$622,0)))</f>
        <v/>
      </c>
      <c r="F618">
        <f>IF(ISNA(MATCH(609,'Transfer Engine'!$C$2:$C$622,0)),"",INDEX('Compliance Database'!$F$2:$F$622,MATCH(609,'Transfer Engine'!$C$2:$C$622,0)))</f>
        <v/>
      </c>
      <c r="G618">
        <f>IF(ISNA(MATCH(609,'Transfer Engine'!$C$2:$C$622,0)),"",INDEX('Compliance Database'!$G$2:$G$622,MATCH(609,'Transfer Engine'!$C$2:$C$622,0)))</f>
        <v/>
      </c>
      <c r="H618">
        <f>IF(ISNA(MATCH(609,'Transfer Engine'!$C$2:$C$622,0)),"",INDEX('Compliance Database'!$H$2:$H$622,MATCH(609,'Transfer Engine'!$C$2:$C$622,0)))</f>
        <v/>
      </c>
      <c r="I618" s="8">
        <f>IF(ISNA(MATCH(609,'Transfer Engine'!$C$2:$C$622,0)),"",INDEX('Compliance Database'!$I$2:$I$622,MATCH(609,'Transfer Engine'!$C$2:$C$622,0)))</f>
        <v/>
      </c>
      <c r="J618" s="8">
        <f>IF(ISNA(MATCH(609,'Transfer Engine'!$C$2:$C$622,0)),"",INDEX('Compliance Database'!$J$2:$J$622,MATCH(609,'Transfer Engine'!$C$2:$C$622,0)))</f>
        <v/>
      </c>
      <c r="K618">
        <f>IF(ISNA(MATCH(609,'Transfer Engine'!$C$2:$C$622,0)),"",INDEX('Compliance Database'!$K$2:$K$622,MATCH(609,'Transfer Engine'!$C$2:$C$622,0)))</f>
        <v/>
      </c>
      <c r="L618" s="8">
        <f>IF(ISNA(MATCH(609,'Transfer Engine'!$C$2:$C$622,0)),"",INDEX('Compliance Database'!$L$2:$L$622,MATCH(609,'Transfer Engine'!$C$2:$C$622,0)))</f>
        <v/>
      </c>
      <c r="M618" s="8">
        <f>IF(ISNA(MATCH(609,'Transfer Engine'!$C$2:$C$622,0)),"",INDEX('Compliance Database'!$M$2:$M$622,MATCH(609,'Transfer Engine'!$C$2:$C$622,0)))</f>
        <v/>
      </c>
      <c r="N618" s="8">
        <f>IF(ISNA(MATCH(609,'Transfer Engine'!$C$2:$C$622,0)),"",INDEX('Compliance Database'!$N$2:$N$622,MATCH(609,'Transfer Engine'!$C$2:$C$622,0)))</f>
        <v/>
      </c>
      <c r="O618" s="8">
        <f>IF(ISNA(MATCH(609,'Transfer Engine'!$C$2:$C$622,0)),"",INDEX('Compliance Database'!$O$2:$O$622,MATCH(609,'Transfer Engine'!$C$2:$C$622,0)))</f>
        <v/>
      </c>
    </row>
    <row r="619">
      <c r="A619">
        <f>IF(ISNA(MATCH(610,'Transfer Engine'!$C$2:$C$622,0)),"",INDEX('Compliance Database'!$A$2:$A$622,MATCH(610,'Transfer Engine'!$C$2:$C$622,0)))</f>
        <v/>
      </c>
      <c r="B619">
        <f>IF(ISNA(MATCH(610,'Transfer Engine'!$C$2:$C$622,0)),"",INDEX('Compliance Database'!$B$2:$B$622,MATCH(610,'Transfer Engine'!$C$2:$C$622,0)))</f>
        <v/>
      </c>
      <c r="C619">
        <f>IF(ISNA(MATCH(610,'Transfer Engine'!$C$2:$C$622,0)),"",INDEX('Compliance Database'!$C$2:$C$622,MATCH(610,'Transfer Engine'!$C$2:$C$622,0)))</f>
        <v/>
      </c>
      <c r="D619" s="8">
        <f>IF(ISNA(MATCH(610,'Transfer Engine'!$C$2:$C$622,0)),"",INDEX('Compliance Database'!$D$2:$D$622,MATCH(610,'Transfer Engine'!$C$2:$C$622,0)))</f>
        <v/>
      </c>
      <c r="E619">
        <f>IF(ISNA(MATCH(610,'Transfer Engine'!$C$2:$C$622,0)),"",INDEX('Compliance Database'!$E$2:$E$622,MATCH(610,'Transfer Engine'!$C$2:$C$622,0)))</f>
        <v/>
      </c>
      <c r="F619">
        <f>IF(ISNA(MATCH(610,'Transfer Engine'!$C$2:$C$622,0)),"",INDEX('Compliance Database'!$F$2:$F$622,MATCH(610,'Transfer Engine'!$C$2:$C$622,0)))</f>
        <v/>
      </c>
      <c r="G619">
        <f>IF(ISNA(MATCH(610,'Transfer Engine'!$C$2:$C$622,0)),"",INDEX('Compliance Database'!$G$2:$G$622,MATCH(610,'Transfer Engine'!$C$2:$C$622,0)))</f>
        <v/>
      </c>
      <c r="H619">
        <f>IF(ISNA(MATCH(610,'Transfer Engine'!$C$2:$C$622,0)),"",INDEX('Compliance Database'!$H$2:$H$622,MATCH(610,'Transfer Engine'!$C$2:$C$622,0)))</f>
        <v/>
      </c>
      <c r="I619" s="8">
        <f>IF(ISNA(MATCH(610,'Transfer Engine'!$C$2:$C$622,0)),"",INDEX('Compliance Database'!$I$2:$I$622,MATCH(610,'Transfer Engine'!$C$2:$C$622,0)))</f>
        <v/>
      </c>
      <c r="J619" s="8">
        <f>IF(ISNA(MATCH(610,'Transfer Engine'!$C$2:$C$622,0)),"",INDEX('Compliance Database'!$J$2:$J$622,MATCH(610,'Transfer Engine'!$C$2:$C$622,0)))</f>
        <v/>
      </c>
      <c r="K619">
        <f>IF(ISNA(MATCH(610,'Transfer Engine'!$C$2:$C$622,0)),"",INDEX('Compliance Database'!$K$2:$K$622,MATCH(610,'Transfer Engine'!$C$2:$C$622,0)))</f>
        <v/>
      </c>
      <c r="L619" s="8">
        <f>IF(ISNA(MATCH(610,'Transfer Engine'!$C$2:$C$622,0)),"",INDEX('Compliance Database'!$L$2:$L$622,MATCH(610,'Transfer Engine'!$C$2:$C$622,0)))</f>
        <v/>
      </c>
      <c r="M619" s="8">
        <f>IF(ISNA(MATCH(610,'Transfer Engine'!$C$2:$C$622,0)),"",INDEX('Compliance Database'!$M$2:$M$622,MATCH(610,'Transfer Engine'!$C$2:$C$622,0)))</f>
        <v/>
      </c>
      <c r="N619" s="8">
        <f>IF(ISNA(MATCH(610,'Transfer Engine'!$C$2:$C$622,0)),"",INDEX('Compliance Database'!$N$2:$N$622,MATCH(610,'Transfer Engine'!$C$2:$C$622,0)))</f>
        <v/>
      </c>
      <c r="O619" s="8">
        <f>IF(ISNA(MATCH(610,'Transfer Engine'!$C$2:$C$622,0)),"",INDEX('Compliance Database'!$O$2:$O$622,MATCH(610,'Transfer Engine'!$C$2:$C$622,0)))</f>
        <v/>
      </c>
    </row>
    <row r="620">
      <c r="A620">
        <f>IF(ISNA(MATCH(611,'Transfer Engine'!$C$2:$C$622,0)),"",INDEX('Compliance Database'!$A$2:$A$622,MATCH(611,'Transfer Engine'!$C$2:$C$622,0)))</f>
        <v/>
      </c>
      <c r="B620">
        <f>IF(ISNA(MATCH(611,'Transfer Engine'!$C$2:$C$622,0)),"",INDEX('Compliance Database'!$B$2:$B$622,MATCH(611,'Transfer Engine'!$C$2:$C$622,0)))</f>
        <v/>
      </c>
      <c r="C620">
        <f>IF(ISNA(MATCH(611,'Transfer Engine'!$C$2:$C$622,0)),"",INDEX('Compliance Database'!$C$2:$C$622,MATCH(611,'Transfer Engine'!$C$2:$C$622,0)))</f>
        <v/>
      </c>
      <c r="D620" s="8">
        <f>IF(ISNA(MATCH(611,'Transfer Engine'!$C$2:$C$622,0)),"",INDEX('Compliance Database'!$D$2:$D$622,MATCH(611,'Transfer Engine'!$C$2:$C$622,0)))</f>
        <v/>
      </c>
      <c r="E620">
        <f>IF(ISNA(MATCH(611,'Transfer Engine'!$C$2:$C$622,0)),"",INDEX('Compliance Database'!$E$2:$E$622,MATCH(611,'Transfer Engine'!$C$2:$C$622,0)))</f>
        <v/>
      </c>
      <c r="F620">
        <f>IF(ISNA(MATCH(611,'Transfer Engine'!$C$2:$C$622,0)),"",INDEX('Compliance Database'!$F$2:$F$622,MATCH(611,'Transfer Engine'!$C$2:$C$622,0)))</f>
        <v/>
      </c>
      <c r="G620">
        <f>IF(ISNA(MATCH(611,'Transfer Engine'!$C$2:$C$622,0)),"",INDEX('Compliance Database'!$G$2:$G$622,MATCH(611,'Transfer Engine'!$C$2:$C$622,0)))</f>
        <v/>
      </c>
      <c r="H620">
        <f>IF(ISNA(MATCH(611,'Transfer Engine'!$C$2:$C$622,0)),"",INDEX('Compliance Database'!$H$2:$H$622,MATCH(611,'Transfer Engine'!$C$2:$C$622,0)))</f>
        <v/>
      </c>
      <c r="I620" s="8">
        <f>IF(ISNA(MATCH(611,'Transfer Engine'!$C$2:$C$622,0)),"",INDEX('Compliance Database'!$I$2:$I$622,MATCH(611,'Transfer Engine'!$C$2:$C$622,0)))</f>
        <v/>
      </c>
      <c r="J620" s="8">
        <f>IF(ISNA(MATCH(611,'Transfer Engine'!$C$2:$C$622,0)),"",INDEX('Compliance Database'!$J$2:$J$622,MATCH(611,'Transfer Engine'!$C$2:$C$622,0)))</f>
        <v/>
      </c>
      <c r="K620">
        <f>IF(ISNA(MATCH(611,'Transfer Engine'!$C$2:$C$622,0)),"",INDEX('Compliance Database'!$K$2:$K$622,MATCH(611,'Transfer Engine'!$C$2:$C$622,0)))</f>
        <v/>
      </c>
      <c r="L620" s="8">
        <f>IF(ISNA(MATCH(611,'Transfer Engine'!$C$2:$C$622,0)),"",INDEX('Compliance Database'!$L$2:$L$622,MATCH(611,'Transfer Engine'!$C$2:$C$622,0)))</f>
        <v/>
      </c>
      <c r="M620" s="8">
        <f>IF(ISNA(MATCH(611,'Transfer Engine'!$C$2:$C$622,0)),"",INDEX('Compliance Database'!$M$2:$M$622,MATCH(611,'Transfer Engine'!$C$2:$C$622,0)))</f>
        <v/>
      </c>
      <c r="N620" s="8">
        <f>IF(ISNA(MATCH(611,'Transfer Engine'!$C$2:$C$622,0)),"",INDEX('Compliance Database'!$N$2:$N$622,MATCH(611,'Transfer Engine'!$C$2:$C$622,0)))</f>
        <v/>
      </c>
      <c r="O620" s="8">
        <f>IF(ISNA(MATCH(611,'Transfer Engine'!$C$2:$C$622,0)),"",INDEX('Compliance Database'!$O$2:$O$622,MATCH(611,'Transfer Engine'!$C$2:$C$622,0)))</f>
        <v/>
      </c>
    </row>
    <row r="621">
      <c r="A621">
        <f>IF(ISNA(MATCH(612,'Transfer Engine'!$C$2:$C$622,0)),"",INDEX('Compliance Database'!$A$2:$A$622,MATCH(612,'Transfer Engine'!$C$2:$C$622,0)))</f>
        <v/>
      </c>
      <c r="B621">
        <f>IF(ISNA(MATCH(612,'Transfer Engine'!$C$2:$C$622,0)),"",INDEX('Compliance Database'!$B$2:$B$622,MATCH(612,'Transfer Engine'!$C$2:$C$622,0)))</f>
        <v/>
      </c>
      <c r="C621">
        <f>IF(ISNA(MATCH(612,'Transfer Engine'!$C$2:$C$622,0)),"",INDEX('Compliance Database'!$C$2:$C$622,MATCH(612,'Transfer Engine'!$C$2:$C$622,0)))</f>
        <v/>
      </c>
      <c r="D621" s="8">
        <f>IF(ISNA(MATCH(612,'Transfer Engine'!$C$2:$C$622,0)),"",INDEX('Compliance Database'!$D$2:$D$622,MATCH(612,'Transfer Engine'!$C$2:$C$622,0)))</f>
        <v/>
      </c>
      <c r="E621">
        <f>IF(ISNA(MATCH(612,'Transfer Engine'!$C$2:$C$622,0)),"",INDEX('Compliance Database'!$E$2:$E$622,MATCH(612,'Transfer Engine'!$C$2:$C$622,0)))</f>
        <v/>
      </c>
      <c r="F621">
        <f>IF(ISNA(MATCH(612,'Transfer Engine'!$C$2:$C$622,0)),"",INDEX('Compliance Database'!$F$2:$F$622,MATCH(612,'Transfer Engine'!$C$2:$C$622,0)))</f>
        <v/>
      </c>
      <c r="G621">
        <f>IF(ISNA(MATCH(612,'Transfer Engine'!$C$2:$C$622,0)),"",INDEX('Compliance Database'!$G$2:$G$622,MATCH(612,'Transfer Engine'!$C$2:$C$622,0)))</f>
        <v/>
      </c>
      <c r="H621">
        <f>IF(ISNA(MATCH(612,'Transfer Engine'!$C$2:$C$622,0)),"",INDEX('Compliance Database'!$H$2:$H$622,MATCH(612,'Transfer Engine'!$C$2:$C$622,0)))</f>
        <v/>
      </c>
      <c r="I621" s="8">
        <f>IF(ISNA(MATCH(612,'Transfer Engine'!$C$2:$C$622,0)),"",INDEX('Compliance Database'!$I$2:$I$622,MATCH(612,'Transfer Engine'!$C$2:$C$622,0)))</f>
        <v/>
      </c>
      <c r="J621" s="8">
        <f>IF(ISNA(MATCH(612,'Transfer Engine'!$C$2:$C$622,0)),"",INDEX('Compliance Database'!$J$2:$J$622,MATCH(612,'Transfer Engine'!$C$2:$C$622,0)))</f>
        <v/>
      </c>
      <c r="K621">
        <f>IF(ISNA(MATCH(612,'Transfer Engine'!$C$2:$C$622,0)),"",INDEX('Compliance Database'!$K$2:$K$622,MATCH(612,'Transfer Engine'!$C$2:$C$622,0)))</f>
        <v/>
      </c>
      <c r="L621" s="8">
        <f>IF(ISNA(MATCH(612,'Transfer Engine'!$C$2:$C$622,0)),"",INDEX('Compliance Database'!$L$2:$L$622,MATCH(612,'Transfer Engine'!$C$2:$C$622,0)))</f>
        <v/>
      </c>
      <c r="M621" s="8">
        <f>IF(ISNA(MATCH(612,'Transfer Engine'!$C$2:$C$622,0)),"",INDEX('Compliance Database'!$M$2:$M$622,MATCH(612,'Transfer Engine'!$C$2:$C$622,0)))</f>
        <v/>
      </c>
      <c r="N621" s="8">
        <f>IF(ISNA(MATCH(612,'Transfer Engine'!$C$2:$C$622,0)),"",INDEX('Compliance Database'!$N$2:$N$622,MATCH(612,'Transfer Engine'!$C$2:$C$622,0)))</f>
        <v/>
      </c>
      <c r="O621" s="8">
        <f>IF(ISNA(MATCH(612,'Transfer Engine'!$C$2:$C$622,0)),"",INDEX('Compliance Database'!$O$2:$O$622,MATCH(612,'Transfer Engine'!$C$2:$C$622,0)))</f>
        <v/>
      </c>
    </row>
    <row r="622">
      <c r="A622">
        <f>IF(ISNA(MATCH(613,'Transfer Engine'!$C$2:$C$622,0)),"",INDEX('Compliance Database'!$A$2:$A$622,MATCH(613,'Transfer Engine'!$C$2:$C$622,0)))</f>
        <v/>
      </c>
      <c r="B622">
        <f>IF(ISNA(MATCH(613,'Transfer Engine'!$C$2:$C$622,0)),"",INDEX('Compliance Database'!$B$2:$B$622,MATCH(613,'Transfer Engine'!$C$2:$C$622,0)))</f>
        <v/>
      </c>
      <c r="C622">
        <f>IF(ISNA(MATCH(613,'Transfer Engine'!$C$2:$C$622,0)),"",INDEX('Compliance Database'!$C$2:$C$622,MATCH(613,'Transfer Engine'!$C$2:$C$622,0)))</f>
        <v/>
      </c>
      <c r="D622" s="8">
        <f>IF(ISNA(MATCH(613,'Transfer Engine'!$C$2:$C$622,0)),"",INDEX('Compliance Database'!$D$2:$D$622,MATCH(613,'Transfer Engine'!$C$2:$C$622,0)))</f>
        <v/>
      </c>
      <c r="E622">
        <f>IF(ISNA(MATCH(613,'Transfer Engine'!$C$2:$C$622,0)),"",INDEX('Compliance Database'!$E$2:$E$622,MATCH(613,'Transfer Engine'!$C$2:$C$622,0)))</f>
        <v/>
      </c>
      <c r="F622">
        <f>IF(ISNA(MATCH(613,'Transfer Engine'!$C$2:$C$622,0)),"",INDEX('Compliance Database'!$F$2:$F$622,MATCH(613,'Transfer Engine'!$C$2:$C$622,0)))</f>
        <v/>
      </c>
      <c r="G622">
        <f>IF(ISNA(MATCH(613,'Transfer Engine'!$C$2:$C$622,0)),"",INDEX('Compliance Database'!$G$2:$G$622,MATCH(613,'Transfer Engine'!$C$2:$C$622,0)))</f>
        <v/>
      </c>
      <c r="H622">
        <f>IF(ISNA(MATCH(613,'Transfer Engine'!$C$2:$C$622,0)),"",INDEX('Compliance Database'!$H$2:$H$622,MATCH(613,'Transfer Engine'!$C$2:$C$622,0)))</f>
        <v/>
      </c>
      <c r="I622" s="8">
        <f>IF(ISNA(MATCH(613,'Transfer Engine'!$C$2:$C$622,0)),"",INDEX('Compliance Database'!$I$2:$I$622,MATCH(613,'Transfer Engine'!$C$2:$C$622,0)))</f>
        <v/>
      </c>
      <c r="J622" s="8">
        <f>IF(ISNA(MATCH(613,'Transfer Engine'!$C$2:$C$622,0)),"",INDEX('Compliance Database'!$J$2:$J$622,MATCH(613,'Transfer Engine'!$C$2:$C$622,0)))</f>
        <v/>
      </c>
      <c r="K622">
        <f>IF(ISNA(MATCH(613,'Transfer Engine'!$C$2:$C$622,0)),"",INDEX('Compliance Database'!$K$2:$K$622,MATCH(613,'Transfer Engine'!$C$2:$C$622,0)))</f>
        <v/>
      </c>
      <c r="L622" s="8">
        <f>IF(ISNA(MATCH(613,'Transfer Engine'!$C$2:$C$622,0)),"",INDEX('Compliance Database'!$L$2:$L$622,MATCH(613,'Transfer Engine'!$C$2:$C$622,0)))</f>
        <v/>
      </c>
      <c r="M622" s="8">
        <f>IF(ISNA(MATCH(613,'Transfer Engine'!$C$2:$C$622,0)),"",INDEX('Compliance Database'!$M$2:$M$622,MATCH(613,'Transfer Engine'!$C$2:$C$622,0)))</f>
        <v/>
      </c>
      <c r="N622" s="8">
        <f>IF(ISNA(MATCH(613,'Transfer Engine'!$C$2:$C$622,0)),"",INDEX('Compliance Database'!$N$2:$N$622,MATCH(613,'Transfer Engine'!$C$2:$C$622,0)))</f>
        <v/>
      </c>
      <c r="O622" s="8">
        <f>IF(ISNA(MATCH(613,'Transfer Engine'!$C$2:$C$622,0)),"",INDEX('Compliance Database'!$O$2:$O$622,MATCH(613,'Transfer Engine'!$C$2:$C$622,0)))</f>
        <v/>
      </c>
    </row>
    <row r="623">
      <c r="A623">
        <f>IF(ISNA(MATCH(614,'Transfer Engine'!$C$2:$C$622,0)),"",INDEX('Compliance Database'!$A$2:$A$622,MATCH(614,'Transfer Engine'!$C$2:$C$622,0)))</f>
        <v/>
      </c>
      <c r="B623">
        <f>IF(ISNA(MATCH(614,'Transfer Engine'!$C$2:$C$622,0)),"",INDEX('Compliance Database'!$B$2:$B$622,MATCH(614,'Transfer Engine'!$C$2:$C$622,0)))</f>
        <v/>
      </c>
      <c r="C623">
        <f>IF(ISNA(MATCH(614,'Transfer Engine'!$C$2:$C$622,0)),"",INDEX('Compliance Database'!$C$2:$C$622,MATCH(614,'Transfer Engine'!$C$2:$C$622,0)))</f>
        <v/>
      </c>
      <c r="D623" s="8">
        <f>IF(ISNA(MATCH(614,'Transfer Engine'!$C$2:$C$622,0)),"",INDEX('Compliance Database'!$D$2:$D$622,MATCH(614,'Transfer Engine'!$C$2:$C$622,0)))</f>
        <v/>
      </c>
      <c r="E623">
        <f>IF(ISNA(MATCH(614,'Transfer Engine'!$C$2:$C$622,0)),"",INDEX('Compliance Database'!$E$2:$E$622,MATCH(614,'Transfer Engine'!$C$2:$C$622,0)))</f>
        <v/>
      </c>
      <c r="F623">
        <f>IF(ISNA(MATCH(614,'Transfer Engine'!$C$2:$C$622,0)),"",INDEX('Compliance Database'!$F$2:$F$622,MATCH(614,'Transfer Engine'!$C$2:$C$622,0)))</f>
        <v/>
      </c>
      <c r="G623">
        <f>IF(ISNA(MATCH(614,'Transfer Engine'!$C$2:$C$622,0)),"",INDEX('Compliance Database'!$G$2:$G$622,MATCH(614,'Transfer Engine'!$C$2:$C$622,0)))</f>
        <v/>
      </c>
      <c r="H623">
        <f>IF(ISNA(MATCH(614,'Transfer Engine'!$C$2:$C$622,0)),"",INDEX('Compliance Database'!$H$2:$H$622,MATCH(614,'Transfer Engine'!$C$2:$C$622,0)))</f>
        <v/>
      </c>
      <c r="I623" s="8">
        <f>IF(ISNA(MATCH(614,'Transfer Engine'!$C$2:$C$622,0)),"",INDEX('Compliance Database'!$I$2:$I$622,MATCH(614,'Transfer Engine'!$C$2:$C$622,0)))</f>
        <v/>
      </c>
      <c r="J623" s="8">
        <f>IF(ISNA(MATCH(614,'Transfer Engine'!$C$2:$C$622,0)),"",INDEX('Compliance Database'!$J$2:$J$622,MATCH(614,'Transfer Engine'!$C$2:$C$622,0)))</f>
        <v/>
      </c>
      <c r="K623">
        <f>IF(ISNA(MATCH(614,'Transfer Engine'!$C$2:$C$622,0)),"",INDEX('Compliance Database'!$K$2:$K$622,MATCH(614,'Transfer Engine'!$C$2:$C$622,0)))</f>
        <v/>
      </c>
      <c r="L623" s="8">
        <f>IF(ISNA(MATCH(614,'Transfer Engine'!$C$2:$C$622,0)),"",INDEX('Compliance Database'!$L$2:$L$622,MATCH(614,'Transfer Engine'!$C$2:$C$622,0)))</f>
        <v/>
      </c>
      <c r="M623" s="8">
        <f>IF(ISNA(MATCH(614,'Transfer Engine'!$C$2:$C$622,0)),"",INDEX('Compliance Database'!$M$2:$M$622,MATCH(614,'Transfer Engine'!$C$2:$C$622,0)))</f>
        <v/>
      </c>
      <c r="N623" s="8">
        <f>IF(ISNA(MATCH(614,'Transfer Engine'!$C$2:$C$622,0)),"",INDEX('Compliance Database'!$N$2:$N$622,MATCH(614,'Transfer Engine'!$C$2:$C$622,0)))</f>
        <v/>
      </c>
      <c r="O623" s="8">
        <f>IF(ISNA(MATCH(614,'Transfer Engine'!$C$2:$C$622,0)),"",INDEX('Compliance Database'!$O$2:$O$622,MATCH(614,'Transfer Engine'!$C$2:$C$622,0)))</f>
        <v/>
      </c>
    </row>
    <row r="624">
      <c r="A624">
        <f>IF(ISNA(MATCH(615,'Transfer Engine'!$C$2:$C$622,0)),"",INDEX('Compliance Database'!$A$2:$A$622,MATCH(615,'Transfer Engine'!$C$2:$C$622,0)))</f>
        <v/>
      </c>
      <c r="B624">
        <f>IF(ISNA(MATCH(615,'Transfer Engine'!$C$2:$C$622,0)),"",INDEX('Compliance Database'!$B$2:$B$622,MATCH(615,'Transfer Engine'!$C$2:$C$622,0)))</f>
        <v/>
      </c>
      <c r="C624">
        <f>IF(ISNA(MATCH(615,'Transfer Engine'!$C$2:$C$622,0)),"",INDEX('Compliance Database'!$C$2:$C$622,MATCH(615,'Transfer Engine'!$C$2:$C$622,0)))</f>
        <v/>
      </c>
      <c r="D624" s="8">
        <f>IF(ISNA(MATCH(615,'Transfer Engine'!$C$2:$C$622,0)),"",INDEX('Compliance Database'!$D$2:$D$622,MATCH(615,'Transfer Engine'!$C$2:$C$622,0)))</f>
        <v/>
      </c>
      <c r="E624">
        <f>IF(ISNA(MATCH(615,'Transfer Engine'!$C$2:$C$622,0)),"",INDEX('Compliance Database'!$E$2:$E$622,MATCH(615,'Transfer Engine'!$C$2:$C$622,0)))</f>
        <v/>
      </c>
      <c r="F624">
        <f>IF(ISNA(MATCH(615,'Transfer Engine'!$C$2:$C$622,0)),"",INDEX('Compliance Database'!$F$2:$F$622,MATCH(615,'Transfer Engine'!$C$2:$C$622,0)))</f>
        <v/>
      </c>
      <c r="G624">
        <f>IF(ISNA(MATCH(615,'Transfer Engine'!$C$2:$C$622,0)),"",INDEX('Compliance Database'!$G$2:$G$622,MATCH(615,'Transfer Engine'!$C$2:$C$622,0)))</f>
        <v/>
      </c>
      <c r="H624">
        <f>IF(ISNA(MATCH(615,'Transfer Engine'!$C$2:$C$622,0)),"",INDEX('Compliance Database'!$H$2:$H$622,MATCH(615,'Transfer Engine'!$C$2:$C$622,0)))</f>
        <v/>
      </c>
      <c r="I624" s="8">
        <f>IF(ISNA(MATCH(615,'Transfer Engine'!$C$2:$C$622,0)),"",INDEX('Compliance Database'!$I$2:$I$622,MATCH(615,'Transfer Engine'!$C$2:$C$622,0)))</f>
        <v/>
      </c>
      <c r="J624" s="8">
        <f>IF(ISNA(MATCH(615,'Transfer Engine'!$C$2:$C$622,0)),"",INDEX('Compliance Database'!$J$2:$J$622,MATCH(615,'Transfer Engine'!$C$2:$C$622,0)))</f>
        <v/>
      </c>
      <c r="K624">
        <f>IF(ISNA(MATCH(615,'Transfer Engine'!$C$2:$C$622,0)),"",INDEX('Compliance Database'!$K$2:$K$622,MATCH(615,'Transfer Engine'!$C$2:$C$622,0)))</f>
        <v/>
      </c>
      <c r="L624" s="8">
        <f>IF(ISNA(MATCH(615,'Transfer Engine'!$C$2:$C$622,0)),"",INDEX('Compliance Database'!$L$2:$L$622,MATCH(615,'Transfer Engine'!$C$2:$C$622,0)))</f>
        <v/>
      </c>
      <c r="M624" s="8">
        <f>IF(ISNA(MATCH(615,'Transfer Engine'!$C$2:$C$622,0)),"",INDEX('Compliance Database'!$M$2:$M$622,MATCH(615,'Transfer Engine'!$C$2:$C$622,0)))</f>
        <v/>
      </c>
      <c r="N624" s="8">
        <f>IF(ISNA(MATCH(615,'Transfer Engine'!$C$2:$C$622,0)),"",INDEX('Compliance Database'!$N$2:$N$622,MATCH(615,'Transfer Engine'!$C$2:$C$622,0)))</f>
        <v/>
      </c>
      <c r="O624" s="8">
        <f>IF(ISNA(MATCH(615,'Transfer Engine'!$C$2:$C$622,0)),"",INDEX('Compliance Database'!$O$2:$O$622,MATCH(615,'Transfer Engine'!$C$2:$C$622,0)))</f>
        <v/>
      </c>
    </row>
    <row r="625">
      <c r="A625">
        <f>IF(ISNA(MATCH(616,'Transfer Engine'!$C$2:$C$622,0)),"",INDEX('Compliance Database'!$A$2:$A$622,MATCH(616,'Transfer Engine'!$C$2:$C$622,0)))</f>
        <v/>
      </c>
      <c r="B625">
        <f>IF(ISNA(MATCH(616,'Transfer Engine'!$C$2:$C$622,0)),"",INDEX('Compliance Database'!$B$2:$B$622,MATCH(616,'Transfer Engine'!$C$2:$C$622,0)))</f>
        <v/>
      </c>
      <c r="C625">
        <f>IF(ISNA(MATCH(616,'Transfer Engine'!$C$2:$C$622,0)),"",INDEX('Compliance Database'!$C$2:$C$622,MATCH(616,'Transfer Engine'!$C$2:$C$622,0)))</f>
        <v/>
      </c>
      <c r="D625" s="8">
        <f>IF(ISNA(MATCH(616,'Transfer Engine'!$C$2:$C$622,0)),"",INDEX('Compliance Database'!$D$2:$D$622,MATCH(616,'Transfer Engine'!$C$2:$C$622,0)))</f>
        <v/>
      </c>
      <c r="E625">
        <f>IF(ISNA(MATCH(616,'Transfer Engine'!$C$2:$C$622,0)),"",INDEX('Compliance Database'!$E$2:$E$622,MATCH(616,'Transfer Engine'!$C$2:$C$622,0)))</f>
        <v/>
      </c>
      <c r="F625">
        <f>IF(ISNA(MATCH(616,'Transfer Engine'!$C$2:$C$622,0)),"",INDEX('Compliance Database'!$F$2:$F$622,MATCH(616,'Transfer Engine'!$C$2:$C$622,0)))</f>
        <v/>
      </c>
      <c r="G625">
        <f>IF(ISNA(MATCH(616,'Transfer Engine'!$C$2:$C$622,0)),"",INDEX('Compliance Database'!$G$2:$G$622,MATCH(616,'Transfer Engine'!$C$2:$C$622,0)))</f>
        <v/>
      </c>
      <c r="H625">
        <f>IF(ISNA(MATCH(616,'Transfer Engine'!$C$2:$C$622,0)),"",INDEX('Compliance Database'!$H$2:$H$622,MATCH(616,'Transfer Engine'!$C$2:$C$622,0)))</f>
        <v/>
      </c>
      <c r="I625" s="8">
        <f>IF(ISNA(MATCH(616,'Transfer Engine'!$C$2:$C$622,0)),"",INDEX('Compliance Database'!$I$2:$I$622,MATCH(616,'Transfer Engine'!$C$2:$C$622,0)))</f>
        <v/>
      </c>
      <c r="J625" s="8">
        <f>IF(ISNA(MATCH(616,'Transfer Engine'!$C$2:$C$622,0)),"",INDEX('Compliance Database'!$J$2:$J$622,MATCH(616,'Transfer Engine'!$C$2:$C$622,0)))</f>
        <v/>
      </c>
      <c r="K625">
        <f>IF(ISNA(MATCH(616,'Transfer Engine'!$C$2:$C$622,0)),"",INDEX('Compliance Database'!$K$2:$K$622,MATCH(616,'Transfer Engine'!$C$2:$C$622,0)))</f>
        <v/>
      </c>
      <c r="L625" s="8">
        <f>IF(ISNA(MATCH(616,'Transfer Engine'!$C$2:$C$622,0)),"",INDEX('Compliance Database'!$L$2:$L$622,MATCH(616,'Transfer Engine'!$C$2:$C$622,0)))</f>
        <v/>
      </c>
      <c r="M625" s="8">
        <f>IF(ISNA(MATCH(616,'Transfer Engine'!$C$2:$C$622,0)),"",INDEX('Compliance Database'!$M$2:$M$622,MATCH(616,'Transfer Engine'!$C$2:$C$622,0)))</f>
        <v/>
      </c>
      <c r="N625" s="8">
        <f>IF(ISNA(MATCH(616,'Transfer Engine'!$C$2:$C$622,0)),"",INDEX('Compliance Database'!$N$2:$N$622,MATCH(616,'Transfer Engine'!$C$2:$C$622,0)))</f>
        <v/>
      </c>
      <c r="O625" s="8">
        <f>IF(ISNA(MATCH(616,'Transfer Engine'!$C$2:$C$622,0)),"",INDEX('Compliance Database'!$O$2:$O$622,MATCH(616,'Transfer Engine'!$C$2:$C$622,0)))</f>
        <v/>
      </c>
    </row>
    <row r="626">
      <c r="A626">
        <f>IF(ISNA(MATCH(617,'Transfer Engine'!$C$2:$C$622,0)),"",INDEX('Compliance Database'!$A$2:$A$622,MATCH(617,'Transfer Engine'!$C$2:$C$622,0)))</f>
        <v/>
      </c>
      <c r="B626">
        <f>IF(ISNA(MATCH(617,'Transfer Engine'!$C$2:$C$622,0)),"",INDEX('Compliance Database'!$B$2:$B$622,MATCH(617,'Transfer Engine'!$C$2:$C$622,0)))</f>
        <v/>
      </c>
      <c r="C626">
        <f>IF(ISNA(MATCH(617,'Transfer Engine'!$C$2:$C$622,0)),"",INDEX('Compliance Database'!$C$2:$C$622,MATCH(617,'Transfer Engine'!$C$2:$C$622,0)))</f>
        <v/>
      </c>
      <c r="D626" s="8">
        <f>IF(ISNA(MATCH(617,'Transfer Engine'!$C$2:$C$622,0)),"",INDEX('Compliance Database'!$D$2:$D$622,MATCH(617,'Transfer Engine'!$C$2:$C$622,0)))</f>
        <v/>
      </c>
      <c r="E626">
        <f>IF(ISNA(MATCH(617,'Transfer Engine'!$C$2:$C$622,0)),"",INDEX('Compliance Database'!$E$2:$E$622,MATCH(617,'Transfer Engine'!$C$2:$C$622,0)))</f>
        <v/>
      </c>
      <c r="F626">
        <f>IF(ISNA(MATCH(617,'Transfer Engine'!$C$2:$C$622,0)),"",INDEX('Compliance Database'!$F$2:$F$622,MATCH(617,'Transfer Engine'!$C$2:$C$622,0)))</f>
        <v/>
      </c>
      <c r="G626">
        <f>IF(ISNA(MATCH(617,'Transfer Engine'!$C$2:$C$622,0)),"",INDEX('Compliance Database'!$G$2:$G$622,MATCH(617,'Transfer Engine'!$C$2:$C$622,0)))</f>
        <v/>
      </c>
      <c r="H626">
        <f>IF(ISNA(MATCH(617,'Transfer Engine'!$C$2:$C$622,0)),"",INDEX('Compliance Database'!$H$2:$H$622,MATCH(617,'Transfer Engine'!$C$2:$C$622,0)))</f>
        <v/>
      </c>
      <c r="I626" s="8">
        <f>IF(ISNA(MATCH(617,'Transfer Engine'!$C$2:$C$622,0)),"",INDEX('Compliance Database'!$I$2:$I$622,MATCH(617,'Transfer Engine'!$C$2:$C$622,0)))</f>
        <v/>
      </c>
      <c r="J626" s="8">
        <f>IF(ISNA(MATCH(617,'Transfer Engine'!$C$2:$C$622,0)),"",INDEX('Compliance Database'!$J$2:$J$622,MATCH(617,'Transfer Engine'!$C$2:$C$622,0)))</f>
        <v/>
      </c>
      <c r="K626">
        <f>IF(ISNA(MATCH(617,'Transfer Engine'!$C$2:$C$622,0)),"",INDEX('Compliance Database'!$K$2:$K$622,MATCH(617,'Transfer Engine'!$C$2:$C$622,0)))</f>
        <v/>
      </c>
      <c r="L626" s="8">
        <f>IF(ISNA(MATCH(617,'Transfer Engine'!$C$2:$C$622,0)),"",INDEX('Compliance Database'!$L$2:$L$622,MATCH(617,'Transfer Engine'!$C$2:$C$622,0)))</f>
        <v/>
      </c>
      <c r="M626" s="8">
        <f>IF(ISNA(MATCH(617,'Transfer Engine'!$C$2:$C$622,0)),"",INDEX('Compliance Database'!$M$2:$M$622,MATCH(617,'Transfer Engine'!$C$2:$C$622,0)))</f>
        <v/>
      </c>
      <c r="N626" s="8">
        <f>IF(ISNA(MATCH(617,'Transfer Engine'!$C$2:$C$622,0)),"",INDEX('Compliance Database'!$N$2:$N$622,MATCH(617,'Transfer Engine'!$C$2:$C$622,0)))</f>
        <v/>
      </c>
      <c r="O626" s="8">
        <f>IF(ISNA(MATCH(617,'Transfer Engine'!$C$2:$C$622,0)),"",INDEX('Compliance Database'!$O$2:$O$622,MATCH(617,'Transfer Engine'!$C$2:$C$622,0)))</f>
        <v/>
      </c>
    </row>
    <row r="627">
      <c r="A627">
        <f>IF(ISNA(MATCH(618,'Transfer Engine'!$C$2:$C$622,0)),"",INDEX('Compliance Database'!$A$2:$A$622,MATCH(618,'Transfer Engine'!$C$2:$C$622,0)))</f>
        <v/>
      </c>
      <c r="B627">
        <f>IF(ISNA(MATCH(618,'Transfer Engine'!$C$2:$C$622,0)),"",INDEX('Compliance Database'!$B$2:$B$622,MATCH(618,'Transfer Engine'!$C$2:$C$622,0)))</f>
        <v/>
      </c>
      <c r="C627">
        <f>IF(ISNA(MATCH(618,'Transfer Engine'!$C$2:$C$622,0)),"",INDEX('Compliance Database'!$C$2:$C$622,MATCH(618,'Transfer Engine'!$C$2:$C$622,0)))</f>
        <v/>
      </c>
      <c r="D627" s="8">
        <f>IF(ISNA(MATCH(618,'Transfer Engine'!$C$2:$C$622,0)),"",INDEX('Compliance Database'!$D$2:$D$622,MATCH(618,'Transfer Engine'!$C$2:$C$622,0)))</f>
        <v/>
      </c>
      <c r="E627">
        <f>IF(ISNA(MATCH(618,'Transfer Engine'!$C$2:$C$622,0)),"",INDEX('Compliance Database'!$E$2:$E$622,MATCH(618,'Transfer Engine'!$C$2:$C$622,0)))</f>
        <v/>
      </c>
      <c r="F627">
        <f>IF(ISNA(MATCH(618,'Transfer Engine'!$C$2:$C$622,0)),"",INDEX('Compliance Database'!$F$2:$F$622,MATCH(618,'Transfer Engine'!$C$2:$C$622,0)))</f>
        <v/>
      </c>
      <c r="G627">
        <f>IF(ISNA(MATCH(618,'Transfer Engine'!$C$2:$C$622,0)),"",INDEX('Compliance Database'!$G$2:$G$622,MATCH(618,'Transfer Engine'!$C$2:$C$622,0)))</f>
        <v/>
      </c>
      <c r="H627">
        <f>IF(ISNA(MATCH(618,'Transfer Engine'!$C$2:$C$622,0)),"",INDEX('Compliance Database'!$H$2:$H$622,MATCH(618,'Transfer Engine'!$C$2:$C$622,0)))</f>
        <v/>
      </c>
      <c r="I627" s="8">
        <f>IF(ISNA(MATCH(618,'Transfer Engine'!$C$2:$C$622,0)),"",INDEX('Compliance Database'!$I$2:$I$622,MATCH(618,'Transfer Engine'!$C$2:$C$622,0)))</f>
        <v/>
      </c>
      <c r="J627" s="8">
        <f>IF(ISNA(MATCH(618,'Transfer Engine'!$C$2:$C$622,0)),"",INDEX('Compliance Database'!$J$2:$J$622,MATCH(618,'Transfer Engine'!$C$2:$C$622,0)))</f>
        <v/>
      </c>
      <c r="K627">
        <f>IF(ISNA(MATCH(618,'Transfer Engine'!$C$2:$C$622,0)),"",INDEX('Compliance Database'!$K$2:$K$622,MATCH(618,'Transfer Engine'!$C$2:$C$622,0)))</f>
        <v/>
      </c>
      <c r="L627" s="8">
        <f>IF(ISNA(MATCH(618,'Transfer Engine'!$C$2:$C$622,0)),"",INDEX('Compliance Database'!$L$2:$L$622,MATCH(618,'Transfer Engine'!$C$2:$C$622,0)))</f>
        <v/>
      </c>
      <c r="M627" s="8">
        <f>IF(ISNA(MATCH(618,'Transfer Engine'!$C$2:$C$622,0)),"",INDEX('Compliance Database'!$M$2:$M$622,MATCH(618,'Transfer Engine'!$C$2:$C$622,0)))</f>
        <v/>
      </c>
      <c r="N627" s="8">
        <f>IF(ISNA(MATCH(618,'Transfer Engine'!$C$2:$C$622,0)),"",INDEX('Compliance Database'!$N$2:$N$622,MATCH(618,'Transfer Engine'!$C$2:$C$622,0)))</f>
        <v/>
      </c>
      <c r="O627" s="8">
        <f>IF(ISNA(MATCH(618,'Transfer Engine'!$C$2:$C$622,0)),"",INDEX('Compliance Database'!$O$2:$O$622,MATCH(618,'Transfer Engine'!$C$2:$C$622,0)))</f>
        <v/>
      </c>
    </row>
    <row r="628">
      <c r="A628">
        <f>IF(ISNA(MATCH(619,'Transfer Engine'!$C$2:$C$622,0)),"",INDEX('Compliance Database'!$A$2:$A$622,MATCH(619,'Transfer Engine'!$C$2:$C$622,0)))</f>
        <v/>
      </c>
      <c r="B628">
        <f>IF(ISNA(MATCH(619,'Transfer Engine'!$C$2:$C$622,0)),"",INDEX('Compliance Database'!$B$2:$B$622,MATCH(619,'Transfer Engine'!$C$2:$C$622,0)))</f>
        <v/>
      </c>
      <c r="C628">
        <f>IF(ISNA(MATCH(619,'Transfer Engine'!$C$2:$C$622,0)),"",INDEX('Compliance Database'!$C$2:$C$622,MATCH(619,'Transfer Engine'!$C$2:$C$622,0)))</f>
        <v/>
      </c>
      <c r="D628" s="8">
        <f>IF(ISNA(MATCH(619,'Transfer Engine'!$C$2:$C$622,0)),"",INDEX('Compliance Database'!$D$2:$D$622,MATCH(619,'Transfer Engine'!$C$2:$C$622,0)))</f>
        <v/>
      </c>
      <c r="E628">
        <f>IF(ISNA(MATCH(619,'Transfer Engine'!$C$2:$C$622,0)),"",INDEX('Compliance Database'!$E$2:$E$622,MATCH(619,'Transfer Engine'!$C$2:$C$622,0)))</f>
        <v/>
      </c>
      <c r="F628">
        <f>IF(ISNA(MATCH(619,'Transfer Engine'!$C$2:$C$622,0)),"",INDEX('Compliance Database'!$F$2:$F$622,MATCH(619,'Transfer Engine'!$C$2:$C$622,0)))</f>
        <v/>
      </c>
      <c r="G628">
        <f>IF(ISNA(MATCH(619,'Transfer Engine'!$C$2:$C$622,0)),"",INDEX('Compliance Database'!$G$2:$G$622,MATCH(619,'Transfer Engine'!$C$2:$C$622,0)))</f>
        <v/>
      </c>
      <c r="H628">
        <f>IF(ISNA(MATCH(619,'Transfer Engine'!$C$2:$C$622,0)),"",INDEX('Compliance Database'!$H$2:$H$622,MATCH(619,'Transfer Engine'!$C$2:$C$622,0)))</f>
        <v/>
      </c>
      <c r="I628" s="8">
        <f>IF(ISNA(MATCH(619,'Transfer Engine'!$C$2:$C$622,0)),"",INDEX('Compliance Database'!$I$2:$I$622,MATCH(619,'Transfer Engine'!$C$2:$C$622,0)))</f>
        <v/>
      </c>
      <c r="J628" s="8">
        <f>IF(ISNA(MATCH(619,'Transfer Engine'!$C$2:$C$622,0)),"",INDEX('Compliance Database'!$J$2:$J$622,MATCH(619,'Transfer Engine'!$C$2:$C$622,0)))</f>
        <v/>
      </c>
      <c r="K628">
        <f>IF(ISNA(MATCH(619,'Transfer Engine'!$C$2:$C$622,0)),"",INDEX('Compliance Database'!$K$2:$K$622,MATCH(619,'Transfer Engine'!$C$2:$C$622,0)))</f>
        <v/>
      </c>
      <c r="L628" s="8">
        <f>IF(ISNA(MATCH(619,'Transfer Engine'!$C$2:$C$622,0)),"",INDEX('Compliance Database'!$L$2:$L$622,MATCH(619,'Transfer Engine'!$C$2:$C$622,0)))</f>
        <v/>
      </c>
      <c r="M628" s="8">
        <f>IF(ISNA(MATCH(619,'Transfer Engine'!$C$2:$C$622,0)),"",INDEX('Compliance Database'!$M$2:$M$622,MATCH(619,'Transfer Engine'!$C$2:$C$622,0)))</f>
        <v/>
      </c>
      <c r="N628" s="8">
        <f>IF(ISNA(MATCH(619,'Transfer Engine'!$C$2:$C$622,0)),"",INDEX('Compliance Database'!$N$2:$N$622,MATCH(619,'Transfer Engine'!$C$2:$C$622,0)))</f>
        <v/>
      </c>
      <c r="O628" s="8">
        <f>IF(ISNA(MATCH(619,'Transfer Engine'!$C$2:$C$622,0)),"",INDEX('Compliance Database'!$O$2:$O$622,MATCH(619,'Transfer Engine'!$C$2:$C$622,0)))</f>
        <v/>
      </c>
    </row>
    <row r="629">
      <c r="A629">
        <f>IF(ISNA(MATCH(620,'Transfer Engine'!$C$2:$C$622,0)),"",INDEX('Compliance Database'!$A$2:$A$622,MATCH(620,'Transfer Engine'!$C$2:$C$622,0)))</f>
        <v/>
      </c>
      <c r="B629">
        <f>IF(ISNA(MATCH(620,'Transfer Engine'!$C$2:$C$622,0)),"",INDEX('Compliance Database'!$B$2:$B$622,MATCH(620,'Transfer Engine'!$C$2:$C$622,0)))</f>
        <v/>
      </c>
      <c r="C629">
        <f>IF(ISNA(MATCH(620,'Transfer Engine'!$C$2:$C$622,0)),"",INDEX('Compliance Database'!$C$2:$C$622,MATCH(620,'Transfer Engine'!$C$2:$C$622,0)))</f>
        <v/>
      </c>
      <c r="D629" s="8">
        <f>IF(ISNA(MATCH(620,'Transfer Engine'!$C$2:$C$622,0)),"",INDEX('Compliance Database'!$D$2:$D$622,MATCH(620,'Transfer Engine'!$C$2:$C$622,0)))</f>
        <v/>
      </c>
      <c r="E629">
        <f>IF(ISNA(MATCH(620,'Transfer Engine'!$C$2:$C$622,0)),"",INDEX('Compliance Database'!$E$2:$E$622,MATCH(620,'Transfer Engine'!$C$2:$C$622,0)))</f>
        <v/>
      </c>
      <c r="F629">
        <f>IF(ISNA(MATCH(620,'Transfer Engine'!$C$2:$C$622,0)),"",INDEX('Compliance Database'!$F$2:$F$622,MATCH(620,'Transfer Engine'!$C$2:$C$622,0)))</f>
        <v/>
      </c>
      <c r="G629">
        <f>IF(ISNA(MATCH(620,'Transfer Engine'!$C$2:$C$622,0)),"",INDEX('Compliance Database'!$G$2:$G$622,MATCH(620,'Transfer Engine'!$C$2:$C$622,0)))</f>
        <v/>
      </c>
      <c r="H629">
        <f>IF(ISNA(MATCH(620,'Transfer Engine'!$C$2:$C$622,0)),"",INDEX('Compliance Database'!$H$2:$H$622,MATCH(620,'Transfer Engine'!$C$2:$C$622,0)))</f>
        <v/>
      </c>
      <c r="I629" s="8">
        <f>IF(ISNA(MATCH(620,'Transfer Engine'!$C$2:$C$622,0)),"",INDEX('Compliance Database'!$I$2:$I$622,MATCH(620,'Transfer Engine'!$C$2:$C$622,0)))</f>
        <v/>
      </c>
      <c r="J629" s="8">
        <f>IF(ISNA(MATCH(620,'Transfer Engine'!$C$2:$C$622,0)),"",INDEX('Compliance Database'!$J$2:$J$622,MATCH(620,'Transfer Engine'!$C$2:$C$622,0)))</f>
        <v/>
      </c>
      <c r="K629">
        <f>IF(ISNA(MATCH(620,'Transfer Engine'!$C$2:$C$622,0)),"",INDEX('Compliance Database'!$K$2:$K$622,MATCH(620,'Transfer Engine'!$C$2:$C$622,0)))</f>
        <v/>
      </c>
      <c r="L629" s="8">
        <f>IF(ISNA(MATCH(620,'Transfer Engine'!$C$2:$C$622,0)),"",INDEX('Compliance Database'!$L$2:$L$622,MATCH(620,'Transfer Engine'!$C$2:$C$622,0)))</f>
        <v/>
      </c>
      <c r="M629" s="8">
        <f>IF(ISNA(MATCH(620,'Transfer Engine'!$C$2:$C$622,0)),"",INDEX('Compliance Database'!$M$2:$M$622,MATCH(620,'Transfer Engine'!$C$2:$C$622,0)))</f>
        <v/>
      </c>
      <c r="N629" s="8">
        <f>IF(ISNA(MATCH(620,'Transfer Engine'!$C$2:$C$622,0)),"",INDEX('Compliance Database'!$N$2:$N$622,MATCH(620,'Transfer Engine'!$C$2:$C$622,0)))</f>
        <v/>
      </c>
      <c r="O629" s="8">
        <f>IF(ISNA(MATCH(620,'Transfer Engine'!$C$2:$C$622,0)),"",INDEX('Compliance Database'!$O$2:$O$622,MATCH(620,'Transfer Engine'!$C$2:$C$622,0)))</f>
        <v/>
      </c>
    </row>
    <row r="630">
      <c r="A630">
        <f>IF(ISNA(MATCH(621,'Transfer Engine'!$C$2:$C$622,0)),"",INDEX('Compliance Database'!$A$2:$A$622,MATCH(621,'Transfer Engine'!$C$2:$C$622,0)))</f>
        <v/>
      </c>
      <c r="B630">
        <f>IF(ISNA(MATCH(621,'Transfer Engine'!$C$2:$C$622,0)),"",INDEX('Compliance Database'!$B$2:$B$622,MATCH(621,'Transfer Engine'!$C$2:$C$622,0)))</f>
        <v/>
      </c>
      <c r="C630">
        <f>IF(ISNA(MATCH(621,'Transfer Engine'!$C$2:$C$622,0)),"",INDEX('Compliance Database'!$C$2:$C$622,MATCH(621,'Transfer Engine'!$C$2:$C$622,0)))</f>
        <v/>
      </c>
      <c r="D630" s="8">
        <f>IF(ISNA(MATCH(621,'Transfer Engine'!$C$2:$C$622,0)),"",INDEX('Compliance Database'!$D$2:$D$622,MATCH(621,'Transfer Engine'!$C$2:$C$622,0)))</f>
        <v/>
      </c>
      <c r="E630">
        <f>IF(ISNA(MATCH(621,'Transfer Engine'!$C$2:$C$622,0)),"",INDEX('Compliance Database'!$E$2:$E$622,MATCH(621,'Transfer Engine'!$C$2:$C$622,0)))</f>
        <v/>
      </c>
      <c r="F630">
        <f>IF(ISNA(MATCH(621,'Transfer Engine'!$C$2:$C$622,0)),"",INDEX('Compliance Database'!$F$2:$F$622,MATCH(621,'Transfer Engine'!$C$2:$C$622,0)))</f>
        <v/>
      </c>
      <c r="G630">
        <f>IF(ISNA(MATCH(621,'Transfer Engine'!$C$2:$C$622,0)),"",INDEX('Compliance Database'!$G$2:$G$622,MATCH(621,'Transfer Engine'!$C$2:$C$622,0)))</f>
        <v/>
      </c>
      <c r="H630">
        <f>IF(ISNA(MATCH(621,'Transfer Engine'!$C$2:$C$622,0)),"",INDEX('Compliance Database'!$H$2:$H$622,MATCH(621,'Transfer Engine'!$C$2:$C$622,0)))</f>
        <v/>
      </c>
      <c r="I630" s="8">
        <f>IF(ISNA(MATCH(621,'Transfer Engine'!$C$2:$C$622,0)),"",INDEX('Compliance Database'!$I$2:$I$622,MATCH(621,'Transfer Engine'!$C$2:$C$622,0)))</f>
        <v/>
      </c>
      <c r="J630" s="8">
        <f>IF(ISNA(MATCH(621,'Transfer Engine'!$C$2:$C$622,0)),"",INDEX('Compliance Database'!$J$2:$J$622,MATCH(621,'Transfer Engine'!$C$2:$C$622,0)))</f>
        <v/>
      </c>
      <c r="K630">
        <f>IF(ISNA(MATCH(621,'Transfer Engine'!$C$2:$C$622,0)),"",INDEX('Compliance Database'!$K$2:$K$622,MATCH(621,'Transfer Engine'!$C$2:$C$622,0)))</f>
        <v/>
      </c>
      <c r="L630" s="8">
        <f>IF(ISNA(MATCH(621,'Transfer Engine'!$C$2:$C$622,0)),"",INDEX('Compliance Database'!$L$2:$L$622,MATCH(621,'Transfer Engine'!$C$2:$C$622,0)))</f>
        <v/>
      </c>
      <c r="M630" s="8">
        <f>IF(ISNA(MATCH(621,'Transfer Engine'!$C$2:$C$622,0)),"",INDEX('Compliance Database'!$M$2:$M$622,MATCH(621,'Transfer Engine'!$C$2:$C$622,0)))</f>
        <v/>
      </c>
      <c r="N630" s="8">
        <f>IF(ISNA(MATCH(621,'Transfer Engine'!$C$2:$C$622,0)),"",INDEX('Compliance Database'!$N$2:$N$622,MATCH(621,'Transfer Engine'!$C$2:$C$622,0)))</f>
        <v/>
      </c>
      <c r="O630" s="8">
        <f>IF(ISNA(MATCH(621,'Transfer Engine'!$C$2:$C$622,0)),"",INDEX('Compliance Database'!$O$2:$O$622,MATCH(621,'Transfer Engine'!$C$2:$C$622,0)))</f>
        <v/>
      </c>
    </row>
  </sheetData>
  <mergeCells count="1">
    <mergeCell ref="A1:D1"/>
  </mergeCells>
  <dataValidations count="2">
    <dataValidation sqref="B4" showDropDown="0" showInputMessage="0" showErrorMessage="0" allowBlank="1" type="list">
      <formula1>Lists!$A$3:$A$11</formula1>
    </dataValidation>
    <dataValidation sqref="B5" showDropDown="0" showInputMessage="0" showErrorMessage="0" allowBlank="1" type="list">
      <formula1>Lists!$A$3:$A$11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22"/>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2" customWidth="1" min="3" max="3"/>
    <col width="45" customWidth="1" min="4" max="4"/>
    <col width="12" customWidth="1" min="5" max="5"/>
    <col width="38" customWidth="1" min="6" max="6"/>
    <col width="21" customWidth="1" min="7" max="7"/>
    <col width="60" customWidth="1" min="8" max="8"/>
    <col width="45" customWidth="1" min="9" max="9"/>
    <col width="45" customWidth="1" min="10" max="10"/>
    <col width="60" customWidth="1" min="11" max="11"/>
    <col width="45" customWidth="1" min="12" max="12"/>
    <col width="45" customWidth="1" min="13" max="13"/>
    <col width="45" customWidth="1" min="14" max="14"/>
    <col width="45" customWidth="1" min="15" max="15"/>
  </cols>
  <sheetData>
    <row r="1">
      <c r="A1" s="9" t="inlineStr">
        <is>
          <t>Country</t>
        </is>
      </c>
      <c r="B1" s="9" t="inlineStr">
        <is>
          <t>Act</t>
        </is>
      </c>
      <c r="C1" s="9" t="inlineStr">
        <is>
          <t>Section</t>
        </is>
      </c>
      <c r="D1" s="9" t="inlineStr">
        <is>
          <t>Heading</t>
        </is>
      </c>
      <c r="E1" s="9" t="inlineStr">
        <is>
          <t>Pages</t>
        </is>
      </c>
      <c r="F1" s="9" t="inlineStr">
        <is>
          <t>Category</t>
        </is>
      </c>
      <c r="G1" s="9" t="inlineStr">
        <is>
          <t>Financial Relevance</t>
        </is>
      </c>
      <c r="H1" s="9" t="inlineStr">
        <is>
          <t>Confidence</t>
        </is>
      </c>
      <c r="I1" s="9" t="inlineStr">
        <is>
          <t>Topics</t>
        </is>
      </c>
      <c r="J1" s="9" t="inlineStr">
        <is>
          <t>Data Types</t>
        </is>
      </c>
      <c r="K1" s="9" t="inlineStr">
        <is>
          <t>Authority</t>
        </is>
      </c>
      <c r="L1" s="9" t="inlineStr">
        <is>
          <t>Summary</t>
        </is>
      </c>
      <c r="M1" s="9" t="inlineStr">
        <is>
          <t>DTIA Summary</t>
        </is>
      </c>
      <c r="N1" s="9" t="inlineStr">
        <is>
          <t>Requirements</t>
        </is>
      </c>
      <c r="O1" s="9" t="inlineStr">
        <is>
          <t>Source Quote</t>
        </is>
      </c>
    </row>
    <row r="2">
      <c r="A2" t="inlineStr">
        <is>
          <t>Australia</t>
        </is>
      </c>
      <c r="B2" t="inlineStr">
        <is>
          <t>C2004A01182 (Australia - Row 25)</t>
        </is>
      </c>
      <c r="C2" t="inlineStr">
        <is>
          <t>4</t>
        </is>
      </c>
      <c r="D2" s="8" t="inlineStr">
        <is>
          <t>Vocational Education and Training Funding Act 1992</t>
        </is>
      </c>
      <c r="E2" t="inlineStr">
        <is>
          <t>3–10</t>
        </is>
      </c>
      <c r="F2" t="inlineStr">
        <is>
          <t>Other</t>
        </is>
      </c>
      <c r="G2" t="inlineStr">
        <is>
          <t>None</t>
        </is>
      </c>
      <c r="H2" t="inlineStr">
        <is>
          <t>High</t>
        </is>
      </c>
      <c r="I2" s="8" t="inlineStr"/>
      <c r="J2" s="8" t="inlineStr"/>
      <c r="K2" t="inlineStr">
        <is>
          <t>Commonwealth Minister</t>
        </is>
      </c>
      <c r="L2" s="8" t="inlineStr">
        <is>
          <t>Section 4 of the Australian National Training Authority Amendment Act 2003 establishes the short title of the Act and outlines its commencement dates. It specifies that Sections 1 to 3 and any other provisions not covered by the commencement table commence on 14 October 2003, while Schedule 1 commences on 14 April 2004 and Schedule 2 on 1 January 2004. The Act amends and repeals provisions of the Australian National Training Authority Act 1992.</t>
        </is>
      </c>
      <c r="M2" s="8" t="inlineStr"/>
      <c r="N2" s="8" t="inlineStr">
        <is>
          <t>[Must] Each provision of this Act specified in column 1 of the table commences, or is taken to have commenced, in accordance with column 2 of the table.
[Must] The day on which this Act receives the Royal Assent is 14 October 2003.
[Must] Schedule 1 commences on a single day to be fixed by Proclamation, but no later than 14 April 2004.
[Must] Schedule 2 commences on 1 January 2004.
[Must] The Commonwealth Minister must cause a copy of the agreement and any amendment to the agreement to be laid before each House of the Parliament within 15 sitting days of that House after the agreement is made or amended.
[Must] The Commonwealth Minister must cause the Authority to publish the agreement or any amendment of the agreement on its website within 15 sitting days of either House of the Parliament after the agreement is made or amended.</t>
        </is>
      </c>
      <c r="O2" s="8" t="inlineStr">
        <is>
          <t>This Act may be cited as the Australian National Training Authority Amendment Act 2003.</t>
        </is>
      </c>
    </row>
    <row r="3">
      <c r="A3" t="inlineStr">
        <is>
          <t>Australia</t>
        </is>
      </c>
      <c r="B3" t="inlineStr">
        <is>
          <t>C2004C01271-1 (Australia - Row 7)</t>
        </is>
      </c>
      <c r="C3" t="inlineStr">
        <is>
          <t>7</t>
        </is>
      </c>
      <c r="D3" s="8" t="inlineStr">
        <is>
          <t>An Act to provide income tax deductions for</t>
        </is>
      </c>
      <c r="E3" t="inlineStr">
        <is>
          <t>3–11</t>
        </is>
      </c>
      <c r="F3" t="inlineStr">
        <is>
          <t>Other</t>
        </is>
      </c>
      <c r="G3" t="inlineStr">
        <is>
          <t>None</t>
        </is>
      </c>
      <c r="H3" t="inlineStr">
        <is>
          <t>High</t>
        </is>
      </c>
      <c r="I3" s="8" t="inlineStr"/>
      <c r="J3" s="8" t="inlineStr"/>
      <c r="K3" t="inlineStr">
        <is>
          <t>Arts Minister, Commissioner</t>
        </is>
      </c>
      <c r="L3" s="8" t="inlineStr">
        <is>
          <t>Section 7 amends the Taxation Laws to provide income tax deductions for investments in film licensed investment companies (FLICs). It inserts new Subdivision 375-H, which outlines deductions for shares in FLICs, special tax rules for FLICs, and conditions for claiming deductions. The deductions apply to shares issued during the period the FLIC's concessional capital licence is in force, which cannot be in force after 30 June 2000.</t>
        </is>
      </c>
      <c r="M3" s="8" t="inlineStr"/>
      <c r="N3" s="8" t="inlineStr">
        <is>
          <t>[Must] You can deduct money you pay for shares in a film licensed investment company (FLIC) if the shares are issued to you by the FLIC during the period the FLIC's concessional capital licence is in force.
[Must] A film licensed investment company is a company that has been granted a licence to raise concessional capital under the Film Licensed Investment Company Act 1998.
[Must] If you pay for the shares in an income year and the shares are issued in the same income year, you get the deduction for that income year.
[Must] If you pay for the shares in an income year but the shares are not issued until a later income year, you get the deduction for the later income year.
[Must Not] You lose your entitlement to the deduction if the Arts Minister decides to remove the concessional status of your shares.
[Must Not] You also lose your entitlement to the deduction if the Commissioner is satisfied that the FLIC in which you hold shares has breached a condition imposed on it under the Film Licensed Investment Company Act 1998.
[Must] If the Commissioner is satisfied of the matters set out in subsection (2), the Commissioner must, within 28 days, give written notice to the Arts Minister about the loss of entitlement that has occurred under subsection (2).
[Must Not] A FLIC cannot transfer to another company a tax loss or a net capital loss for an income year if the FLIC's concessional capital licence is in force during some or all of that income year.
[Must Not] A company cannot transfer to a FLIC a tax loss or a net capital loss for an income year if the FLIC's concessional capital licence is in force during some or all of that income year.
[Must Not] If a FLIC has spent an amount of FLIC concessional capital in respect of a film, the FLIC cannot deduct the amount under this Act.</t>
        </is>
      </c>
      <c r="O3" s="8" t="inlineStr">
        <is>
          <t>You can deduct amounts you have paid for shares issued to you by a film licensed investment company (FLIC). The deduction does not apply to shares issued after 1 July 2000.</t>
        </is>
      </c>
    </row>
    <row r="4">
      <c r="A4" t="inlineStr">
        <is>
          <t>Australia</t>
        </is>
      </c>
      <c r="B4" t="inlineStr">
        <is>
          <t>C2012C00866 (Australia - Row 12)</t>
        </is>
      </c>
      <c r="C4" t="inlineStr">
        <is>
          <t>7</t>
        </is>
      </c>
      <c r="D4" s="8" t="inlineStr">
        <is>
          <t>Schedules 4 to</t>
        </is>
      </c>
      <c r="E4" t="inlineStr">
        <is>
          <t>6–105</t>
        </is>
      </c>
      <c r="F4" t="inlineStr">
        <is>
          <t>Exemptions</t>
        </is>
      </c>
      <c r="G4" t="inlineStr">
        <is>
          <t>Medium</t>
        </is>
      </c>
      <c r="H4" t="inlineStr">
        <is>
          <t>Medium (merged from chunks)</t>
        </is>
      </c>
      <c r="I4" s="8" t="inlineStr">
        <is>
          <t>Cross-border Transfer, International Processing, Data Storage, Security, Incident Reporting, Breach Notification, Governance, Record Keeping, Data Sharing</t>
        </is>
      </c>
      <c r="J4" s="8" t="inlineStr">
        <is>
          <t>Personal Information, Financial Data, Special Personal Information</t>
        </is>
      </c>
      <c r="K4" t="inlineStr">
        <is>
          <t>Information Commissioner</t>
        </is>
      </c>
      <c r="L4" s="8" t="inlineStr">
        <is>
          <t>This section specifies that Schedules 4 to 105 of the Act come into effect immediately after the commencement of section 3 of the Australian Information Commissioner Act 2010, but if section 3 does not commence, the provisions do not take effect at all. The section also notes that the table relates only to provisions originally passed by both Houses of Parliament and assented to, excluding any amendments made after assent. The agency may charge a person for accessing information only if the person does not directly download it from a website and the charge specifically covers reproduction or incidental costs incurred by the agency. The agency must publish charge details in the same manner as the information itself. This applies to information access under the Freedom of Information Act 1982, with the Information Commissioner providing guidance on implementation. This section amends exemptions for access to documents under the Freedom of Information Act. It defines edited copies as those with exempt or irrelevant matter deleted, specifies exempt documents as those exempt under Part IV, and establishes conditions for when access to documents expires due to completed review processes.</t>
        </is>
      </c>
      <c r="M4" s="8" t="inlineStr">
        <is>
          <t>Charges for information access must be justified by specific costs and published transparently, which impacts how financial institutions handle public information requests without creating undue barriers for users. This section defines conditions under which access to documents may be withheld due to exemptions or conditional exemptions, impacting how data transfers involving government documents are assessed for public interest compliance. This section requires agencies to create edited copies of documents before disclosure, ensuring only relevant information is shared while maintaining exemp</t>
        </is>
      </c>
      <c r="N4" s="8" t="inlineStr">
        <is>
          <t>[Condition] Schedules 4 to 105 of the Act come into effect immediately after the commencement of section 3 of the Australian Information Commissioner Act 2010.
[Condition] If section 3 of the Australian Information Commissioner Act 2010 does not commence, the provisions do not take effect at all.
[Must] The agency may impose a charge on a person for accessing the information only if: (a) the person does not directly access the information by downloading it from the website (or another website); and (b) the charge is to reimburse the agency for specific reproduction costs, or other specific incidental costs, incurred in giving the person access to that particular information.
[Must] If there is a charge for accessing the information, the agency must publish details of the charge in the same way as the information is published under this section.
[Definition] edited copy has the meaning given by section 22 (access to edited copies with exempt or irrelevant matter deleted)
[Definition] a document that is exempt for the purposes of Part IV (exempt documents) (see section 31B)
[Condition] run out: all of a person's opportunities for review or appeal in relation to an access grant decision have run out when: (a) the latest time for applying for an internal review or an IC review in relation to the decision has ended, if the person has not applied for either review; or (b) if the person has applied for an internal review in relation to the decision: (i) the internal review is concluded; and (ii) the time for applying for an IC review of the decision on internal review has ended, if the person has not applied for the IC review; or (c) if the person has applied for an IC review in relation to the decision: (i) proceedings in relation to the IC review are concluded; and (ii) the time for applying to the Tribunal for a review in relation to the decision has ended, if the person has not applied for such a review; and (iii) the time for instituting an appeal to the Federal Court in relation to the IC review has ended (with no appeal instituted), or, if an appeal has been instituted, all proceedings in relation to the appeal have been concluded
[Definition] To avoid doubt, information or matter communicated in the way mentioned in paragraph 33(b) includes information or matter so communicated pursuant to any treaty or formal instrument on the reciprocal protection of classified information between the Government of the Commonwealth, or an authority of the Commonwealth, and: (a) a foreign government or an authority of a foreign government; or (b) an international organisation
[Condition] This section applies if: (a) a request is made by a person, in accordance with subsection 15(2), to an agency or Minister for access to: (i) a document of the agency; or (ii) an official document of the Minister; and (b) any charge that, under the regulations, is required to be paid before access is given has been paid
[Must] The agency or Minister must give the person access to the document in accordance with this Act, subject to this section
[Must Not] The agency or Minister is not required by this Act to give the person access to the document at a particular time if, at that time, the document is an exempt document
[Must] The agency or Minister must give the person access to the document if it is conditionally exempt at a particular time unless (in the circumstances) access to the document at that time would, on balance, be contrary to the public interest
[Must Not] Despite subsection (5), the agency or Minister is not required to give access to the document at a particular time if, at that time, the document is both: (a) a conditionally exempt document; and (b) an exempt document: (i) under Division 2 of Part IV (exemptions); or (ii) within the meaning of paragraph (b) or (c) of the definition of exempt document in subsection 4(1)
[Must] The agency or Minister must prepare the edited copy as mentioned in paragraph (1)(b)
[Must] The agency or Minister must give the applicant access to the edited copy
[Must] The agency or Minister must give the applicant notice in writing that the edited copy has been prepared
[Must] The agency or Minister must give the applicant notice in writing of the grounds for the deletions
[Must] The agency or Minister must give the applicant notice in writing if any matter deleted is exempt matter—that the matter deleted is exempt matter because of a specified provision of this Act
[Must] The agency or Minister must give written notice of the decision to both the person concerned and the applicant if access is granted.
[Must Not] Access cannot be given until all review or appeal opportunities for the person concerned have expired and the decision still stands or is confirmed.
[Condition] The decision to give access is subject to internal review, Information Commissioner review, and Tribunal review.
[Condition] Subsections (5) and (6) do not apply unless the person concerned makes submissions supporting the exemption contention.
[Must] A document is conditionally exempt if its disclosure under this Act would disclose matter (deliberative matter) in the nature of, or relating to, opinion, advice or recommendation obtained, prepared or recorded, or consultation or deliberation that has taken place, in the course of, or for the purposes of, the deliberative processes involved in the functions of an agency or Minister or of the Government of the Commonwealth.
[Must Not] Deliberative matter does not include operational information (see section 8A) or purely factual material.
[Must Not] This section does not apply to reports of scientific or technical experts expressing opinions on scientific or technical matters, reports of prescribed bodies within agencies, or records of final decisions.
[Definition] Insert: access grant decision has the meaning given by section 53B.
[Definition] Insert: access refusal decision has the meaning given by section 53A.
[Definition] Insert: action, if the action is taken by a person or agency, has the same meaning as in the Ombudsman Act 1976.
[Definition] Insert: affected third party has the meaning given by section 53C.
[Definition] Insert: authorised person has the meaning given by section 77.
[Definition] Insert: complainant has the meaning given by subsection 70(1).
[Must] If the agency or Minister does not make a decision on the request within the further time allowed
[Must] If the agency or Minister does not comply with any condition imposed under subsection (5)
[Condition] The initial decision period is deemed extended by the time allowed by the Information Commissioner under subsection (4)
[Restriction] The Information Commissioner does not have the power to allow further time under this section in relation to the decision taken to be made under subsection (2) in its operation as affected by subsection (7)
[May] The agency may apply, in writing, to the Information Commissioner for further time to deal with the application.
[May] The Information Commissioner may allow further time considered appropriate by the Information Commissioner for the agency to deal with the application.
[May] If the Information Commissioner allows further time, the Information Commissioner may impose any condition that he or she considers appropriate.
[Must] The agency must make a decision on the application within the further time allowed and comply with any condition imposed under subsection (5) to prevent the deemed affirmation from applying.
[Condition] If the agency does not make a decision within the further time allowed or does not comply with any condition imposed, the deemed affirmation applies as if the initial decision period were extended by the time allowed under subsection (4).
[Must Not] disclose, or enable a person to ascertain, the existence or identity of a confidential source of information, in relation to the enforcement or administration of the law
[Must Not] endanger the life or physical safety of any person
[Must Not] cause damage to the security, defence or international relations of the Commonwealth
[Must] The Information Commissioner must hold the hearing in public unless satisfied it is not desirable due to confidential nature of evidence or other reasons.
[Must Not] The Information Commissioner is not bound by the rules of evidence.
[May] The Information Commissioner may hold a part of the hearing in the absence of a review party if necessary to prevent disclosure of confidential information.
[Must] The parties to an IC review are the IC review applicant, the principal officer of the agency or Minister, affected third parties (if any), and parties to the proceeding.
[May] A person whose interests are affected may apply in writing to be a review party.
[May] The Information Commissioner may make a person who applies an IC review party by notice in writing.
[May] A review party may apply at any time during an IC review to request a hearing.
[Must] The Information Commissioner must notify other review parties of any hearing application.
[Must] The Information Commissioner must give all review parties a reasonable opportunity to make submissions on a hearing application.
[Must] The Information Commissioner must decide whether to hold a hearing.
[May] A review party may appear in person or be represented by another person.
[Must] The agency or Minister concerned has the onus of establishing that a decision is justified or the Information Commissioner should give a decision adverse to the applicant.
[Must] The affected third party has the onus of establishing that a refusal decision is justified or the Information Commissioner should give a decision adverse to the requester.
[Must] The agency or Minister must use their best endeavours to assist the Information Commissioner in making a decision.
[May] The Information Commissioner may require the agency or Minister to provide an adequate statement of reasons if they believe no statement was provided or it is inadequate.
[Must] The agency or Minister must provide an adequate statement of reasons within 28 days or the period specified in the notice.
[May] The Information Commissioner may allow review parties to reach agreement on terms of a decision without completing the IC review.
[May] An agency or Minister may vary an access refusal decision during an IC review if the variation would give access to a document, relieve liability to pay a charge, or require amendment of a record.
[Must] The agency or Minister must notify the Information Commissioner in writing of any variation or substitution of an access refusal decision.
[Must] The Information Commissioner must treat the IC review application as if it were for the varied or substituted decision.
[May] The Information Commissioner may refer a question of law to the Federal Court of Australia on application or initiative.
[Must Not] The Information Commissioner must not give a decision relevant to the referred question before the Federal Court makes a decision.
[Must Not] The Information Commissioner must not proceed in a manner inconsistent with the Federal Court's opinion on the question.
[Must] The Information Commissioner must send all documents related to the IC review and reference to the Federal Court.
[Must] The Federal Court must return documents to the Information Commissioner at the conclusion of the proceeding.
[Must] After an IC review, the Information Commissioner must make a written decision affirming, varying, or setting aside the IC reviewable decision.
[May] The Information Commissioner may perform the functions and exercise the powers of the person who made the IC reviewable decision.
[Must] A decision on an IC review has the same effect as the decision of the agency or Minister.
[Must] A decision on an IC review must include a statement of reasons and a statement of rights to apply for review under section 57A.
[Must Not] A decision on an IC review must not include information of the kind referred to in subsection 25(1) or exempt matter.
[Must] The Information Commissioner must give a copy of a decision on an IC review to each review party.
[Condition] A document is prima facie evidence of a decision on an IC review if: (a) the document purports to be a copy of the decision; and (b) the document purports to be certified by, or on behalf of, the Information Commissioner to be a true copy of the decision.
[Must] The Information Commissioner must publish a decision on an IC review to members of the public generally.
[Must] The Information Commissioner may, by written notice, require a person to appear before the Information Commissioner to answer questions for the purposes of an IC review.
[Must] The notice must be in writing.
[Must] The notice must state that the person must comply with the notice at a specified time that is not less than 14 days after the time at which the person is given the notice.
[Must] The notice must specify the place at which the person must comply with the notice.
[Condition] A person commits an offence if the person is subject to a requirement specified in a notice under subsection (1), engages in conduct, and the person's conduct breaches the requirement.
[Penalty] Penalty for a contravention of this subsection: 6 months imprisonment.
[May] The Information Commissioner may administer an oath or affirmation to the person and examine the person on oath or affirmation.
[Must] The oath or affirmation to be taken or made by a person for the purposes of this section is an oath or affirmation that the answers the person will give will be true.
[Condition] A person commits an offence if the person is required under this section to be examined on oath or affirmation, engages in conduct, and the person's conduct breaches that requirement.
[Must] Information or a document does not cease to be the subject of legal professional privilege merely because it is given, provided, produced or referred to for the purposes of this Part.
[Condition] This section applies if a person does any of the following in good faith for the purposes of an IC review: gives information, produces a document, answers a question.
[Must] Civil proceedings do not lie against a person because the person does any of the matters mentioned in paragraph (1)(a) to (c).
[Must] The person is not liable for a penalty under a provision of any law because the person does any of those matters.
[Must] The Federal Court of Australia may have regard to the evidence given in the IC review
[May] The Federal Court of Australia may receive further evidence
[Condition] Subsection (2) does not limit the Federal Court of Australia's power under subsection 56(6) to make an order remitting the case to be heard and decided again by the Information Commissioner
[Condition] The Administrative Appeals Tribunal Act 1975 applies to proceedings under this Part in the way set out in the following table: Modification of the Administrative Appeals Tribunal Act 1975
[Must] The agency or Minister who made the IC reviewable decision is taken to have complied with the obligation under paragraph 37(1)(a) of the Administrative Appeals Tribunal Act 1975 if the agency or Minister gives the AAT the number of copies prescribed by the regulations of the decision under section 55K in relation to which an application has been made to the Tribunal.
[Condition] Subsection (2) does not limit the powers of the Tribunal under section 38 of the Administrative Appeals Tribunal Act 1975.</t>
        </is>
      </c>
      <c r="O4" s="8" t="inlineStr">
        <is>
          <t>7. Schedules 4 to immediately after the commencement of section 3 of the Australian Information Commissioner Act 2010. However, if section 3 of the Australian Information Commissioner Act 2010 does not commence, the provision(s) do not commence at all.</t>
        </is>
      </c>
    </row>
    <row r="5">
      <c r="A5" t="inlineStr">
        <is>
          <t>Australia</t>
        </is>
      </c>
      <c r="B5" t="inlineStr">
        <is>
          <t>C2012C00866 (Australia - Row 12)</t>
        </is>
      </c>
      <c r="C5" t="inlineStr">
        <is>
          <t>1976</t>
        </is>
      </c>
      <c r="D5" s="8" t="inlineStr">
        <is>
          <t>Note:</t>
        </is>
      </c>
      <c r="E5" t="inlineStr">
        <is>
          <t>105–131</t>
        </is>
      </c>
      <c r="F5" t="inlineStr">
        <is>
          <t>Other</t>
        </is>
      </c>
      <c r="G5" t="inlineStr">
        <is>
          <t>Low</t>
        </is>
      </c>
      <c r="H5" t="inlineStr">
        <is>
          <t>Medium (merged from chunks)</t>
        </is>
      </c>
      <c r="I5" s="8" t="inlineStr">
        <is>
          <t>Cross-border Transfer, International Processing, Data Storage, Security</t>
        </is>
      </c>
      <c r="J5" s="8" t="inlineStr">
        <is>
          <t>Personal Information</t>
        </is>
      </c>
      <c r="K5" t="inlineStr">
        <is>
          <t>Information Commissioner</t>
        </is>
      </c>
      <c r="L5" s="8" t="inlineStr">
        <is>
          <t>The Information Commissioner must notify a respondent agency in writing before starting an investigation. If the Commissioner decides not to investigate or stop an investigation, they must promptly notify the complainant and respondent agency in writing, including the reasons for the decision. This section establishes procedural requirements for initiating and terminating investigations. This section provides immunity from civil liability for individuals who voluntarily provide information, produce documents, or answer questions during good faith investigations conducted by the Information Commissioner. It explicitly states that civil proceedings cannot be brought against such individuals for these actions, and they are not subject to penalties under any law for performing these tasks. The immunity applies regardless of whether the individual is legally required to act under the investigation. This section establishes conditions under which the Ombudsman may recommend amendments to records of opinions. Amendments are permitted only if the opinion was based on a factual mistake or the author was biased, unqualified, or acted improperly. Amendments are prohibited if the record is a c</t>
        </is>
      </c>
      <c r="M5" s="8" t="inlineStr">
        <is>
          <t>This section requires written notification to the respondent agency before commencing an investigation, which is relevant for DTIAs as it defines procedural safeguards for cross-border data investigations involving government agencies. This section ensures that individuals involved in good faith investigations by the Information Commissioner are protected from liability, which may indirectly affect data transfer processes by reducing legal risks during cross-border data investigations. This section does not directly impact data transfer impact assessments as it pertains to record amendments in</t>
        </is>
      </c>
      <c r="N5" s="8" t="inlineStr">
        <is>
          <t>[Must] Before beginning an investigation, the Information Commissioner must notify the respondent agency in writing.
[Must] The Information Commissioner must, as soon as practicable, notify the complainant (if any) and the respondent agency of the decision in writing.
[Must] A notice under subsection (3) must state the reasons for the Information Commissioner's decision.
[Must] Civil proceedings do not lie against a person because the person does any of the matters mentioned in paragraphs (1)(a) to (c)
[Must] The person is not liable for a penalty under a provision of any law because the person does any of those matters
[Must] The Ombudsman may recommend amendment to a record of an opinion only if satisfied the opinion was based on a mistake of fact or the author was biased, unqualified, or acted improperly in conducting factual inquiries.
[Must Not] The Ombudsman must not recommend amendment if satisfied the record is a court decision or the amendment involves determining a question the requester is entitled to have resolved internally, via the Information Commissioner, court, or tribunal.
[Must] The Ombudsman must consult the Information Commissioner about the complaint with a view to avoid inquiries being conducted into that matter by both the Information Commissioner and the Ombudsman
[May] The Ombudsman may decide not to investigate the action, or not to continue to investigate the action</t>
        </is>
      </c>
      <c r="O5" s="8" t="inlineStr">
        <is>
          <t>Notice to respondent agency before commencing investigation (1) Before beginning an investigation, the Information Commissioner must notify the respondent agency in writing.</t>
        </is>
      </c>
    </row>
    <row r="6">
      <c r="A6" t="inlineStr">
        <is>
          <t>Australia</t>
        </is>
      </c>
      <c r="B6" t="inlineStr">
        <is>
          <t>C2012C00866 (Australia - Row 12)</t>
        </is>
      </c>
      <c r="C6" t="inlineStr">
        <is>
          <t>2010</t>
        </is>
      </c>
      <c r="D6" s="8" t="inlineStr">
        <is>
          <t>ComLaw Authoritative Act C2012C00866</t>
        </is>
      </c>
      <c r="E6" t="inlineStr">
        <is>
          <t>132–135</t>
        </is>
      </c>
      <c r="F6" t="inlineStr">
        <is>
          <t>Other</t>
        </is>
      </c>
      <c r="G6" t="inlineStr">
        <is>
          <t>Medium</t>
        </is>
      </c>
      <c r="H6" t="inlineStr">
        <is>
          <t>Medium (merged from chunks)</t>
        </is>
      </c>
      <c r="I6" s="8" t="inlineStr">
        <is>
          <t>Cross-border Transfer, Third Party Processing, International Processing, Data Storage, Security, Governance, Record Keeping</t>
        </is>
      </c>
      <c r="J6" s="8" t="inlineStr">
        <is>
          <t>Personal Information</t>
        </is>
      </c>
      <c r="K6" t="inlineStr">
        <is>
          <t>Commonwealth</t>
        </is>
      </c>
      <c r="L6" s="8" t="inlineStr">
        <is>
          <t>This section amends multiple legislative instruments by replacing references to the 'Privacy Commissioner' with 'Information Commissioner' across various acts and schedules. It also repeals specific definitions and sections related to the Privacy Commissioner, substituting them with references to the Information Commissioner under the Australian Information Commissioner Act 2010. The changes apply to the Privacy Act 1988, Telecommunications Act 1997, Torres Strait Fisheries Act 1984, and other relevant legislation. This section mandates that an agency must ensure it receives a document if the document is created or possessed by a contracted service provider or subcontractor for the Commonwealth contract, the document relates to the performance of the contract (not its entry), and the agency receives a request for access to the document. The requirement applies to agencies handling Commonwealth contracts. This section outlines the process for agencies or Ministers to consult with applicants before refusing access to documents. If the consultation process concludes that a practical refusal reason still exists, the agency or Minister may refuse the request. The consultation period las</t>
        </is>
      </c>
      <c r="M6" s="8" t="inlineStr">
        <is>
          <t>This section establishes conditions under which agencies must receive documents from contracted service providers or subcontractors for Commonwealth contracts, relevant to data transfer assessments involving government contracts and third-party data handling. This section establishes a consultation process that must be followed before refusing access to documents, which impacts data transfer impact assessments by requiring agencies to evaluate practical refusal reasons and provide opportunities for request revision before finalizing access decisions. This section is irrelevant to Data Transfer</t>
        </is>
      </c>
      <c r="N6" s="8" t="inlineStr">
        <is>
          <t>[Must] Omit 'Privacy Commissioner', substitute 'Information Commissioner'
[Must] Omit 'written notice', substitute 'legislative instrument'
[Must] Repeal the subsections, substitute: When guidelines take effect
[Must] Repeal the definition of Privacy Commissioner
[Must] Repeal the definition of Commissioner, substitute: Commissioner means the Information Commissioner within the meaning of the Australian Information Commissioner Act 2010
[Must] Repeal the heading, substitute: Part IV—Functions of the Information Commissioner
[Must] Omit 'Privacy', substitute nothing
[Must] Repeal sections 96, 97 and 99
[Must] Omit 'Privacy Commissioner', substitute 'Information Commissioner in relation to matters that relate to the privacy functions (within the meaning of the Australian Information Commissioner Act 2010)'
[Must] Omit 'Privacy Commissioner' (wherever occurring), substitute 'Information Commissioner'
[Must] Insert: (1A) The function conferred on the Information Commissioner by subsection (1) is a privacy function for the purposes of the Australian Information Commissioner Act 2010
[Must] Repeal subsection 309(5) (including the note)
[Must] The agency must ensure it receives a document if: (i) the document is created by, or is in the possession of a contracted service provider for the Commonwealth contract; or (ii) a subcontractor for the Commonwealth contract; and (iii) the document relates to the performance of the Commonwealth contract (and not to the entry into that contract); and (iv) the agency receives a request for access to the document.
[Must] The agency or Minister must undertake a request consultation process
[May] If, after the request consultation process, the agency or Minister is satisfied that the practical refusal reason still exists, the agency or Minister may refuse to give access to the document in accordance with the request
[Must] The agency or Minister must give the applicant a written notice stating the intention to refuse access, the practical refusal reason, the contact person, and details of how to contact the contact person
[Condition] The consultation period is 14 days after the applicant is given the notice
[Must] The agency or Minister must take reasonable steps to assist the applicant to revise the request so that the practical refusal reason no longer exists
[May] The contact person may extend the consultation period with the applicant's agreement
[Must] The applicant must, before the end of the consultation period, withdraw the request, make a revised request, or indicate they do not wish to revise the request
[Substitution] Repeal the paragraph, substitute: (a) is: (i) an exempt document under subparagraph 33(a)(i) of the Freedom of Information Act 1982 (documents affecting national security, defence or international relations); or (ii) a conditionally exempt document under section 47C of that Act (deliberative processes) to which access would, on balance, be contrary to the public interest for the purposes of subsection 11A(5) of that Act
[Substitution] Repeal the paragraph, substitute: (a) is: (i) an exempt document under section 47 of the Freedom of Information Act 1982 (trade secrets etc.); or (ii) a conditionally exempt document under section 47G of that Act (business documents) to which access would, on balance, be contrary to the public interest for the purposes of subsection 11A(5) of that Act
[Substitution] Repeal the paragraph, substitute: (a) is: (i) an exempt document under section 47 of the Freedom of Information Act 1982 (trade secrets); or (ii) a conditionally exempt document under section 47G of that Act (business documents) to which access would, on balance, be contrary to the public interest for the purposes of subsection 11A(5) of that Act
[May] The Information Commissioner may take the step in accordance with the provision to implement the decision on or after the commencement day.
[May] The Committee may advise the Information Commissioner in accordance with the functions conferred by section 83 of the Privacy Act 1988 on or after the commencement day.
[May] An investigation for the purposes of a provision of an Act (or an instrument under an Act) that was started by the Privacy Commissioner before the commencement day may be completed by the Information Commissioner in accordance with that provision on or after the commencement day.
[Must] The person must provide the evidence, information or document to the Information Commissioner, on the same basis on which it was required to be provided to the Privacy Commissioner.
[Must] The person must attend the conference if the conference is: presided over by the Information Commissioner; held on or after the commencement day; and held in accordance with section 46 of the Privacy Act 1988.
[May] The Information Commissioner may determine the application in accordance with the provision in accordance with which the application was made on or after the commencement day.
[May] The Information Commissioner may hold the conference in accordance with section 47 of the Privacy Act 1988 on or after the commencement day.
[May] The Information Commissioner may receive the submissions on or after the commencement day.
[Must] The instrument has effect on and after the commencement day as if the reference to the Privacy Commissioner were a reference to the Information Commissioner.
[Must] The Information Commissioner must provide the report, as required, in relation to so much of the period as occurs before the commencement day.
[May] The Information Commissioner may finish doing the thing in accordance with the provision on and after the commencement day.
[May] The Information Commissioner may complete the review in accordance with section 18BI of the Privacy Act 1988 on and after the commencement day.
[May] The Information Commissioner may hold the conference in accordance with sections 76 and 77 of the Privacy Act 1988 on or after the commencement day.
[May] The Information Commissioner may make a determination in relation to those matters in accordance with section 79 of the Privacy Act 1988 on or after the commencement day.
[Must] All records or documents held, immediately before the commencement day, for the purposes of the performance of the functions, or the exercise of the powers, of the Privacy Commissioner, are, on and after the commencement day, taken to be held for the purposes of the performance of the functions, or the exercise of the powers, of the Information Commissioner.
[Must] That section applies to the person in relation to the conduct on and after the commencement day.
[Must] A delegation in force under section 99 of the Privacy Act 1988 immediately before the commencement day continues to have effect, subject to the new law, as if it were a delegation under section 25 of the new law on and after the commencement day.
[May] The Governor-General may make regulations prescribing matters required or permitted by this Schedule to be prescribed.
[May] The Governor-General may make regulations prescribing matters necessary or convenient to be prescribed for carrying out or giving effect to this Schedule.
[May] The Governor-General may make regulations prescribing matters of a transitional nature (including prescribing any saving or application provisions) relating to the amendments or repeals made by this Act.</t>
        </is>
      </c>
      <c r="O6" s="8" t="inlineStr">
        <is>
          <t>Omit 'Privacy Commissioner', substitute 'Information Commissioner'.</t>
        </is>
      </c>
    </row>
    <row r="7">
      <c r="A7" t="inlineStr">
        <is>
          <t>Australia</t>
        </is>
      </c>
      <c r="B7" t="inlineStr">
        <is>
          <t>C2012C00866 (Australia - Row 12)</t>
        </is>
      </c>
      <c r="C7" t="inlineStr">
        <is>
          <t>2010</t>
        </is>
      </c>
      <c r="D7" s="8" t="inlineStr">
        <is>
          <t>42  Subsection 135AA(4)</t>
        </is>
      </c>
      <c r="E7" t="inlineStr">
        <is>
          <t>135–176</t>
        </is>
      </c>
      <c r="F7" t="inlineStr">
        <is>
          <t>Other</t>
        </is>
      </c>
      <c r="G7" t="inlineStr">
        <is>
          <t>Medium</t>
        </is>
      </c>
      <c r="H7" t="inlineStr">
        <is>
          <t>Medium (merged from chunks)</t>
        </is>
      </c>
      <c r="I7" s="8" t="inlineStr">
        <is>
          <t>Cross-border Transfer, Third Party Processing, International Processing, Data Storage, Security, Governance, Record Keeping</t>
        </is>
      </c>
      <c r="J7" s="8" t="inlineStr">
        <is>
          <t>Personal Information</t>
        </is>
      </c>
      <c r="K7" t="inlineStr">
        <is>
          <t>Commonwealth</t>
        </is>
      </c>
      <c r="L7" s="8" t="inlineStr">
        <is>
          <t>This section amends multiple legislative instruments by replacing references to the 'Privacy Commissioner' with 'Information Commissioner' across various acts and schedules. It also repeals specific definitions and sections related to the Privacy Commissioner, substituting them with references to the Information Commissioner under the Australian Information Commissioner Act 2010. The changes apply to the Privacy Act 1988, Telecommunications Act 1997, Torres Strait Fisheries Act 1984, and other relevant legislation. This section mandates that an agency must ensure it receives a document if the document is created or possessed by a contracted service provider or subcontractor for the Commonwealth contract, the document relates to the performance of the contract (not its entry), and the agency receives a request for access to the document. The requirement applies to agencies handling Commonwealth contracts. This section outlines the process for agencies or Ministers to consult with applicants before refusing access to documents. If the consultation process concludes that a practical refusal reason still exists, the agency or Minister may refuse the request. The consultation period las</t>
        </is>
      </c>
      <c r="M7" s="8" t="inlineStr">
        <is>
          <t>This section establishes conditions under which agencies must receive documents from contracted service providers or subcontractors for Commonwealth contracts, relevant to data transfer assessments involving government contracts and third-party data handling. This section establishes a consultation process that must be followed before refusing access to documents, which impacts data transfer impact assessments by requiring agencies to evaluate practical refusal reasons and provide opportunities for request revision before finalizing access decisions. This section is irrelevant to Data Transfer</t>
        </is>
      </c>
      <c r="N7" s="8" t="inlineStr">
        <is>
          <t>[Must] Omit 'Privacy Commissioner', substitute 'Information Commissioner'
[Must] Omit 'written notice', substitute 'legislative instrument'
[Must] Repeal the subsections, substitute: When guidelines take effect
[Must] Repeal the definition of Privacy Commissioner
[Must] Repeal the definition of Commissioner, substitute: Commissioner means the Information Commissioner within the meaning of the Australian Information Commissioner Act 2010
[Must] Repeal the heading, substitute: Part IV—Functions of the Information Commissioner
[Must] Omit 'Privacy', substitute nothing
[Must] Repeal sections 96, 97 and 99
[Must] Omit 'Privacy Commissioner', substitute 'Information Commissioner in relation to matters that relate to the privacy functions (within the meaning of the Australian Information Commissioner Act 2010)'
[Must] Omit 'Privacy Commissioner' (wherever occurring), substitute 'Information Commissioner'
[Must] Insert: (1A) The function conferred on the Information Commissioner by subsection (1) is a privacy function for the purposes of the Australian Information Commissioner Act 2010
[Must] Repeal subsection 309(5) (including the note)
[Must] The agency must ensure it receives a document if: (i) the document is created by, or is in the possession of a contracted service provider for the Commonwealth contract; or (ii) a subcontractor for the Commonwealth contract; and (iii) the document relates to the performance of the Commonwealth contract (and not to the entry into that contract); and (iv) the agency receives a request for access to the document.
[Must] The agency or Minister must undertake a request consultation process
[May] If, after the request consultation process, the agency or Minister is satisfied that the practical refusal reason still exists, the agency or Minister may refuse to give access to the document in accordance with the request
[Must] The agency or Minister must give the applicant a written notice stating the intention to refuse access, the practical refusal reason, the contact person, and details of how to contact the contact person
[Condition] The consultation period is 14 days after the applicant is given the notice
[Must] The agency or Minister must take reasonable steps to assist the applicant to revise the request so that the practical refusal reason no longer exists
[May] The contact person may extend the consultation period with the applicant's agreement
[Must] The applicant must, before the end of the consultation period, withdraw the request, make a revised request, or indicate they do not wish to revise the request
[Substitution] Repeal the paragraph, substitute: (a) is: (i) an exempt document under subparagraph 33(a)(i) of the Freedom of Information Act 1982 (documents affecting national security, defence or international relations); or (ii) a conditionally exempt document under section 47C of that Act (deliberative processes) to which access would, on balance, be contrary to the public interest for the purposes of subsection 11A(5) of that Act
[Substitution] Repeal the paragraph, substitute: (a) is: (i) an exempt document under section 47 of the Freedom of Information Act 1982 (trade secrets etc.); or (ii) a conditionally exempt document under section 47G of that Act (business documents) to which access would, on balance, be contrary to the public interest for the purposes of subsection 11A(5) of that Act
[Substitution] Repeal the paragraph, substitute: (a) is: (i) an exempt document under section 47 of the Freedom of Information Act 1982 (trade secrets); or (ii) a conditionally exempt document under section 47G of that Act (business documents) to which access would, on balance, be contrary to the public interest for the purposes of subsection 11A(5) of that Act
[May] The Information Commissioner may take the step in accordance with the provision to implement the decision on or after the commencement day.
[May] The Committee may advise the Information Commissioner in accordance with the functions conferred by section 83 of the Privacy Act 1988 on or after the commencement day.
[May] An investigation for the purposes of a provision of an Act (or an instrument under an Act) that was started by the Privacy Commissioner before the commencement day may be completed by the Information Commissioner in accordance with that provision on or after the commencement day.
[Must] The person must provide the evidence, information or document to the Information Commissioner, on the same basis on which it was required to be provided to the Privacy Commissioner.
[Must] The person must attend the conference if the conference is: presided over by the Information Commissioner; held on or after the commencement day; and held in accordance with section 46 of the Privacy Act 1988.
[May] The Information Commissioner may determine the application in accordance with the provision in accordance with which the application was made on or after the commencement day.
[May] The Information Commissioner may hold the conference in accordance with section 47 of the Privacy Act 1988 on or after the commencement day.
[May] The Information Commissioner may receive the submissions on or after the commencement day.
[Must] The instrument has effect on and after the commencement day as if the reference to the Privacy Commissioner were a reference to the Information Commissioner.
[Must] The Information Commissioner must provide the report, as required, in relation to so much of the period as occurs before the commencement day.
[May] The Information Commissioner may finish doing the thing in accordance with the provision on and after the commencement day.
[May] The Information Commissioner may complete the review in accordance with section 18BI of the Privacy Act 1988 on and after the commencement day.
[May] The Information Commissioner may hold the conference in accordance with sections 76 and 77 of the Privacy Act 1988 on or after the commencement day.
[May] The Information Commissioner may make a determination in relation to those matters in accordance with section 79 of the Privacy Act 1988 on or after the commencement day.
[Must] All records or documents held, immediately before the commencement day, for the purposes of the performance of the functions, or the exercise of the powers, of the Privacy Commissioner, are, on and after the commencement day, taken to be held for the purposes of the performance of the functions, or the exercise of the powers, of the Information Commissioner.
[Must] That section applies to the person in relation to the conduct on and after the commencement day.
[Must] A delegation in force under section 99 of the Privacy Act 1988 immediately before the commencement day continues to have effect, subject to the new law, as if it were a delegation under section 25 of the new law on and after the commencement day.
[May] The Governor-General may make regulations prescribing matters required or permitted by this Schedule to be prescribed.
[May] The Governor-General may make regulations prescribing matters necessary or convenient to be prescribed for carrying out or giving effect to this Schedule.
[May] The Governor-General may make regulations prescribing matters of a transitional nature (including prescribing any saving or application provisions) relating to the amendments or repeals made by this Act.</t>
        </is>
      </c>
      <c r="O7" s="8" t="inlineStr">
        <is>
          <t>Omit 'Privacy Commissioner', substitute 'Information Commissioner'.</t>
        </is>
      </c>
    </row>
    <row r="8">
      <c r="A8" t="inlineStr">
        <is>
          <t>Australia</t>
        </is>
      </c>
      <c r="B8" t="inlineStr">
        <is>
          <t>C2026C00243VOL01 (Australia - Row 14)</t>
        </is>
      </c>
      <c r="C8" t="inlineStr">
        <is>
          <t>16</t>
        </is>
      </c>
      <c r="D8" s="8" t="inlineStr">
        <is>
          <t>50</t>
        </is>
      </c>
      <c r="E8" t="inlineStr">
        <is>
          <t>5–666</t>
        </is>
      </c>
      <c r="F8" t="inlineStr">
        <is>
          <t>Definitions</t>
        </is>
      </c>
      <c r="G8" t="inlineStr">
        <is>
          <t>Medium</t>
        </is>
      </c>
      <c r="H8" t="inlineStr">
        <is>
          <t>Partial (oversized section - only the first part was processed)</t>
        </is>
      </c>
      <c r="I8" s="8" t="inlineStr">
        <is>
          <t>Cross-border Transfer, International Processing, Data Storage, Security, Incident Reporting, Breach Notification, Governance, Record Keeping</t>
        </is>
      </c>
      <c r="J8" s="8" t="inlineStr">
        <is>
          <t>Personal Information, Special Personal Information</t>
        </is>
      </c>
      <c r="K8" t="inlineStr">
        <is>
          <t>Attorney-General</t>
        </is>
      </c>
      <c r="L8" s="8" t="inlineStr">
        <is>
          <t>This section requires the Attorney-General's consent for prosecution when alleged conduct occurs entirely within a foreign jurisdiction. It establishes a legal mechanism for obtaining consent before initiating criminal proceedings against individuals or entities engaged in activities that occur exclusively outside the domestic legal system. This section outlines specific rules for the treatment of individuals detained under the Criminal Code Act 1995, including restrictions on contact with minors, prohibitions on questioning while detained, and procedures for taking fingerprints and samples. These rules apply to persons detained in custody and are designed to ensure their rights are protected during detention. This section defines expressions used in the Criminal Code, stating that terms defined in the Code's Dictionary have specific meanings, and that definitions apply to the Code's construction unless context otherwise indicates. It also outlines the Governor-General's authority to make regulations for certain provisions of the Code, particularly those related to serious offences like terrorism, child sex offences, and trafficking. This section outlines specific defences for crim</t>
        </is>
      </c>
      <c r="M8" s="8" t="inlineStr">
        <is>
          <t>This section is irrelevant to Data Transfer Impact Assessments as it deals with criminal defences and does not address data processing, transfers, or privacy regulations. This section affects DTIAs by requiring assessment of jurisdictional conditions for cross-border offences, particularly when conduct occurs entirely outside Australia. It implies that data transfers involving foreign jurisdictions may require additional legal scrutiny under this jurisdictional framework. This section provides defences that may exempt certain cross-border transactions involving foreign public officials from be</t>
        </is>
      </c>
      <c r="N8" s="8" t="inlineStr">
        <is>
          <t>[Must] Attorney-General's consent required for prosecution if alleged conduct occurs wholly in a foreign jurisdiction
[Condition] Special contact rules for person under 18 or
[Condition] Entitlement to contact subject to prohibited contact
[Condition] Questioning of person prohibited while person is
[Condition] Taking fingerprints, recordings, samples of
[Definition] Expressions used in the Code (or in a particular provision of the Code) that are defined in the Dictionary at the end of the Code have the meanings given to them in the Dictionary.
[Definition] Definitions in the Code of expressions used in the Code apply to its construction except insofar as the context or subject matter otherwise indicates or requires.
[Must] The Governor-General may make regulations prescribing matters required or permitted by this Act to be prescribed.
[Must] The Governor-General may make regulations necessary or convenient to be prescribed for carrying out or giving effect to this Act.
[Must] A child under 10 years old is not criminally responsible for an offence.
[Must] A child aged 10 years or more but under 14 years old can only be criminally responsible for an offence if the child knows that his or her conduct is wrong.
[Must] The question whether a child knows that his or her conduct is wrong is one of fact. The burden of proving this is on the prosecution.
[Must] A person is not criminally responsible for an offence if, at the time of carrying out the conduct constituting the offence, the person was suffering from a mental impairment that had the effect that: (a) the person did not know the nature and quality of the conduct; or (b) the person did not know that the conduct was wrong; or (c) the person was unable to control the conduct.
[Must] The question whether the person was suffering from a mental impairment is one of fact.
[Must] A person is presumed not to have been suffering from such a mental impairment. The presumption is only displaced if it is proved on the balance of probabilities that the person was suffering from such a mental impairment.
[Must] The prosecution can only rely on this section if the court gives leave.
[Must] The tribunal of fact must return a special verdict that a person is not guilty of an offence because of mental impairment if and only if it is satisfied that the person is not criminally responsible for the offence only because of a mental impairment.
[Must] A person cannot rely on a mental impairment to deny voluntariness or the existence of a fault element but may rely on this section to deny criminal responsibility.
[Must] If the tribunal of fact is satisfied that a person carried out conduct as a result of a delusion caused by a mental impairment, the delusion cannot otherwise be relied on as a defence.
[Must] mental impairment includes senility, intellectual disability, mental illness, brain damage and severe personality disorder.
[Must] Intoxication is self-induced unless it came about involuntarily or as a result of fraud, sudden or extraordinary emergency, accident, reasonable mistake, duress or force.
[Must] Evidence of self-induced intoxication cannot be considered in determining whether a fault element of basic intent existed.
[Must] If negligence is a fault element for a particular physical element of an offence, in determining whether that fault element existed in relation to a person who is intoxicated, regard must be had to the standard of a reasonable person who is not intoxicated.
[Must] A person is not criminally responsible for an offence if the person's conduct constituting the offence was as a result of intoxication that was not self-induced.
[Must] A person is not criminally responsible for an offence that has a physical element for which there is a fault element other than negligence if: (a) at the time of the conduct constituting the physical element, the person is under a mistaken belief about, or is ignorant of, facts; and (b) the existence of that mistaken belief or ignorance negates any fault element applying to that physical element.
[Must] A person is not criminally responsible for an offence that has a physical element for which there is no fault element if: (a) at or before the time of the conduct constituting the physical element, the person considered whether or not facts existed, and is under a mistaken but reasonable belief about those facts; and (b) had those facts existed, the conduct would not have constituted an offence.
[Must] A person is not criminally responsible for an offence that has a physical element relating to property if: (a) at the time of the conduct constituting the offence, the person is under a mistaken belief about a proprietary or possessory right; and (b) the existence of that right would negate a fault element for any physical element of the offence.
[Must] A person is not criminally responsible for any other offence arising necessarily out of the exercise of the proprietary or possessory right that he or she mistakenly believes to exist.
[Must] A person is not criminally responsible for an offence if he or she carries out the conduct constituting the offence under duress.
[Must] A person is not criminally responsible for an offence that has a physical element to which absolute liability or strict liability applies if: (a) the physical element is brought about by another person over whom the person has no control or by a non-human act or event over which the person has no control; and (b) the person could not reasonably be expected to guard against the bringing about of that physical element.
[Must] A person carries out conduct under duress if and only if he or she reasonably believes that: (a) a threat has been made that will be carried out unless an offence is committed; (b) there is no reasonable way that the threat can be rendered ineffective; and (c) the conduct is a reasonable response to the threat.
[Must] A person is not criminally responsible for an offence if he or she carries out the conduct constituting the offence in response to circumstances of sudden or extraordinary emergency.
[Must] A person carries out conduct in self-defence if and only if he or she believes the conduct is necessary: (a) to defend himself or herself or another person; (b) to prevent or terminate the unlawful imprisonment of himself or herself or another person; (c) to protect property from unlawful appropriation, destruction, damage or interference; (d) to prevent criminal trespass to any land or premises; or (e) to remove from any land or premises a person who is committing criminal trespass; and the conduct is a reasonable response in the circumstances as he or she perceives them.
[Must] A person is not criminally responsible for an offence if the conduct constituting the offence is justified or excused by or under a law.
[Must] A person who urges the commission of an offence commits the offence of incitement.
[Must] For the person to be guilty, the person must intend that the offence incited be committed.
[May] A person may be found guilty even if committing the offence incited is impossible.
[Condition] Any defences, procedures, limitations or qualifying provisions that apply to an offence apply also to the offence of incitement in respect of that offence.
[Condition] Any special liability provisions that apply to an offence apply also to the offence of incitement in respect of that offence.
[Must Not] It is not an offence to incite the commission of an offence against section 11.1 (attempt), this section or section 11.5 (conspiracy).
[Must] Proceedings for an offence must not be commenced without the Attorney-General's written consent if: (a) section 14.1, 15.1, 15.2, 15.3 or 15.4 applies to the offence; (b) the alleged conduct occurs wholly in a foreign country; (c) at the time of the alleged offence, the person alleged to have committed the offence is neither a Commonwealth nor of a State or Territory.
[May] A person may be arrested for, charged with, or remanded in custody or released on bail in connection with an offence before the necessary consent has been given.
[Definition] A reference in this Part to a result of conduct constituting an offence is a reference to a result that is a physical element of the offence (within the meaning of subsection 4.1(1))
[Must Not] A person does not commit an offence against section 70.2 in the cases set out in the following table
[Condition] The person's conduct occurred in relation to a foreign public official covered by paragraph (l) of the definition of foreign public official in section 70.1
[Condition] Assuming that the first-mentioned person's conduct had occurred instead in relation to the other foreign public official of whom the first-mentioned foreign public official was an authorised intermediary
[Must] the associate commits an offence against section 70.2
[Must] the circumstance in subparagraph (1)(b)(ii) that the associate engages in conduct outside Australia that, if engaged in in Australia, would constitute the notional offence
[Condition] Section 12.6 applies in relation to an offence against subsection (1) of this section as if the reference in section 12.6 to an employee, agent or officer of a body corporate included any associate of the body corporate
[Condition] Subsection (1) does not apply if the first person proves that the first person had in place adequate procedures designed to prevent: (a) the commission of an offence against section 70.2 by any associate of the first person; and (b) any associate of the first person engaging in conduct outside Australia that, if engaged in in Australia, would constitute an offence against section 70.2
[Must Not] A person is not criminally responsible for an offence against section 71.8 in respect of any sexual penetration carried out in the course of a procedure in good faith for medical or hygienic purposes.
[Must Not] A person cannot be convicted of an offence under this Subdivision in respect of conduct under the law of a foreign country if they have been convicted or acquitted of that offence.
[Condition] An authorisation under subsection (1) ceases to have effect at the end of the seventh day after the day on which the plastic explosive was obtained.
[Must] A member of the Australian Federal Police is authorised to possess, import or traffic in an unmarked plastic explosive if: (a) the plastic explosive was obtained in the course of the operation outside Australia of the Australian Federal Police; and (b) the member believes on reasonable grounds that there is insufficient time to obtain an authorisation under this Subdivision because of: (i) an emergency; or (ii) any other sudden or unexpected circumstances.
[Definition] A substance includes one or more high explosives which in their pure form have a vapour pressure less than 10^-4 Pa at 25°C
[Definition] A substance includes a binder material
[Definition] A substance includes a mixture that is malleable or flexible at normal room temperature
[Definition] Responsible Minister means the AFP Minister or the Minister for Defence
[Definition] Traffic in a substance means transferring, offering for sale, inviting offers to buy, preparing for transfer, transporting, delivering, or guarding/concealing with intent to transfer
[Definition] Transfer means transfer of ownership or possession
[Definition] Unmarked plastic explosive means a plastic explosive that breaches a marking requirement
[Definition] Wrapper, in relation to a plastic explosive, means a wrapper whose inner surface contacts the plastic explosive
[Must] A person commits an offence if the person receives or assists another person who, to his or her knowledge, has committed an offence against this Subdivision (other than this subsection) with the intention of allowing him or her to escape punishment or apprehension
[Must] knowing that another person intends to commit an offence against this Subdivision (other than this subsection), does not inform a constable of it within a reasonable time or use other reasonable endeavours to prevent the commission of the offence
[Condition] a person (the enemy) is engaged in armed conflict involving the Commonwealth or the Australian Defence Force
[Condition] the enemy is declared in a Proclamation made under section 80.1AB
[Condition] the person intends that the conduct will materially assist the enemy to engage in armed conflict involving the Commonwealth or the Australian Defence Force
[Condition] the conduct materially assists the enemy to engage in armed conflict involving the Commonwealth or the Australian Defence Force
[Condition] at the time the person engages in the conduct: the person knows that the person is an Australian citizen or a resident of Australia
[Condition] the person knows that the person has voluntarily put himself or herself under the protection of the Australian Federal Police
[Condition] the person is a body corporate incorporated by or under a law of the Commonwealth or of a State or Territory
[Condition] the first person intentionally urges another person to overthrow by force or violence: (i) the Constitution; (ii) the Government of the Commonwealth, of a State or of a Territory; (iii) the lawful authority of the Government of the Commonwealth
[Condition] the first person does so intending that force or violence will occur
[Condition] the first person intentionally urges another person to interfere, by force or violence, with lawful processes for: (i) an election of a member or members of a House of the Parliament; (ii) a referendum
[Condition] the person threatens to use force or violence against a group (the targeted group)
[Condition] the targeted group is distinguished by race, religion, sex, or other characteristics
[Condition] a reasonable member of the targeted group would fear that the threat, if carried out, would threaten the peace, order and good government of the Commonwealth
[Must] The person must intentionally advocate for another person or group to use force or violence against a group (the targeted group).
[Must] The person must do so by causing damage to property.
[Must] The person must act recklessly as to whether the force or violence would threaten the peace, order, and good government of the Commonwealth.
[Must] The targeted group must be distinguished by race, religion, or national or ethnic origin.
[Definition] Each of the following is a prohibited symbol: (a) a prohibited Nazi symbol; (b) a prohibited organisation symbol.
[Definition] Each of the following is a prohibited Nazi symbol: (a) the Nazi hakenkreuz; (b) the Nazi double-sig rune; (c) something that so nearly resembles a thing to which paragraph (a) or (b) applies that it is likely to be confused with, or mistaken for, that thing.
[Definition] Each of the following is a prohibited organisation symbol: (a) a symbol that an organisation that is a terrorist organisation or prohibited hate group, or a member of such an organisation, uses to identify the organisation or any part of the organisation; (b) something that so nearly resembles a symbol to which paragraph (a) applies that it is likely to be confused with, or mistaken for, that symbol; (c) a symbol that: (i) a state sponsor of terrorism uses; or (ii) members (within the meaning of subsection 110.1(1)) of a state sponsor of terrorism use; to identify the state sponsor of terrorism or any part of the state sponsor of terrorism.
[Definition] A thing is displayed in a public place if it is capable of being seen by a member of the public who is in a public place (whether or not the thing is actually so seen by a member of the public).
[Definition] A person makes a gesture in a public place if: (a) the person makes a gesture; and (b) the gesture is capable of being seen by a member of the public who is in a public place (whether or not the gesture is actually so seen by a member of the public).
[Definition] For the purposes of this Subdivision, a person trades in goods if: (a) the person sells the goods; or (b) the person prepares the goods for supply with the intention of selling the goods or believing that another person intends to sell the goods; or (c) the person transports the goods with the intention of selling the goods or believing that another person intends to sell the goods; or (d) the person guards or conceals the goods with the intention of selling the goods or assisting another person to sell the goods; or (e) the person possesses the goods with the intention of selling the goods.
[Condition] a reasonable person who is a member of a group of persons distinguished by race, religion or nationality (a targeted group) would consider that the conduct mentioned in paragraph (1)(a) involves advocacy that: (ii) a member of the targeted group
[Condition] the conduct mentioned in paragraph (1)(a) is likely to offend, insult, humiliate or intimidate a person who is: (ii) a member of the targeted group
[Condition] Subsection (1) does not apply to a person's trading in goods if: (a) the goods that are traded contain commentary on public affairs; and (b) each prohibited organisation symbol that the goods depict or contain appears in the commentary and only appears in the commentary; and (c) in relation to commentary in which a prohibited organisation symbol appears—making the commentary is in the public interest.
[Condition] Subsection (1) does not apply to a person's trading in goods if the trading is necessary for or of assistance in: (a) enforcing a law of the Commonwealth, a State or Territory, or a foreign country; or (b) monitoring compliance with, or investigating a contravention of, a law of the Commonwealth, a State or Territory, or a foreign country; or (c) the administration of justice (whether within or outside Australia).
[Condition] Subsection (1) does not apply to a person's trading in goods if: (a) both: (i) the trading is in connection with the performance by a public official of the official's duties or functions; and (ii) the purpose of the public official performing that duty or function; or (b) both: (i) the trading is in connection with an individual assisting a public official in relation to the performance of the public official's duties or functions; and (ii) the purpose of the individual assisting the public official in relation to the performance of the public official's duties or functions.</t>
        </is>
      </c>
      <c r="O8" s="8" t="inlineStr">
        <is>
          <t>Attorney-General's consent required for prosecution if alleged conduct occurs wholly in a foreign jurisdiction</t>
        </is>
      </c>
    </row>
    <row r="9">
      <c r="A9" t="inlineStr">
        <is>
          <t>Australia</t>
        </is>
      </c>
      <c r="B9" t="inlineStr">
        <is>
          <t>Essential Eight explained (November 2023) (Australia - Row 11)</t>
        </is>
      </c>
      <c r="C9" t="inlineStr">
        <is>
          <t>p1</t>
        </is>
      </c>
      <c r="D9" s="8" t="inlineStr">
        <is>
          <t>Essential Eight explained</t>
        </is>
      </c>
      <c r="E9" t="inlineStr">
        <is>
          <t>1–2</t>
        </is>
      </c>
      <c r="F9" t="inlineStr">
        <is>
          <t>Other</t>
        </is>
      </c>
      <c r="G9" t="inlineStr">
        <is>
          <t>None</t>
        </is>
      </c>
      <c r="H9" t="inlineStr">
        <is>
          <t>High (explicit)</t>
        </is>
      </c>
      <c r="I9" s="8" t="inlineStr">
        <is>
          <t>Security, Processing</t>
        </is>
      </c>
      <c r="J9" s="8" t="inlineStr">
        <is>
          <t>Personal Information</t>
        </is>
      </c>
      <c r="K9" t="inlineStr">
        <is>
          <t>Australian Signals Directorate (ASD)</t>
        </is>
      </c>
      <c r="L9" s="8" t="inlineStr">
        <is>
          <t>The Essential Eight is a set of eight prioritised cyber security mitigation strategies developed by the Australian Signals Directorate (ASD) to protect organisations' internet-connected information technology networks from cyber threats. These strategies include patching applications and operating systems, multi-factor authentication, restricting administrative privileges, application control, restricting Microsoft Office macros, user application hardening, and regular backups. The Essential Eight maturity model provides a framework for implementing these strategies based on ASD's cyber threat intelligence and incident response experience.</t>
        </is>
      </c>
      <c r="M9" s="8" t="inlineStr"/>
      <c r="N9" s="8" t="inlineStr">
        <is>
          <t>[Must] The Essential Eight has been designed to protect organisations' internet-connected information technology networks.
[Must] The Essential Eight maturity model supports the implementation of the Essential Eight.</t>
        </is>
      </c>
      <c r="O9" s="8" t="inlineStr">
        <is>
          <t>The Essential Eight has been designed to protect organisations' internet-connected information technology networks.</t>
        </is>
      </c>
    </row>
    <row r="10">
      <c r="A10" t="inlineStr">
        <is>
          <t>Australia</t>
        </is>
      </c>
      <c r="B10" t="inlineStr">
        <is>
          <t>Essential Eight explained (November 2023) (Australia - Row 11)</t>
        </is>
      </c>
      <c r="C10" t="inlineStr">
        <is>
          <t>p2</t>
        </is>
      </c>
      <c r="D10" s="8" t="inlineStr">
        <is>
          <t>Essential Eight explained</t>
        </is>
      </c>
      <c r="E10" t="inlineStr">
        <is>
          <t>2–3</t>
        </is>
      </c>
      <c r="F10" t="inlineStr">
        <is>
          <t>Other</t>
        </is>
      </c>
      <c r="G10" t="inlineStr">
        <is>
          <t>None</t>
        </is>
      </c>
      <c r="H10" t="inlineStr">
        <is>
          <t>High (explicit)</t>
        </is>
      </c>
      <c r="I10" s="8" t="inlineStr">
        <is>
          <t>Security, Processing</t>
        </is>
      </c>
      <c r="J10" s="8" t="inlineStr">
        <is>
          <t>Personal Information</t>
        </is>
      </c>
      <c r="K10" t="inlineStr"/>
      <c r="L10" s="8" t="inlineStr">
        <is>
          <t>Organisations should conduct assessments against the Essential Eight using the Essential Eight assessment process guide. Additional information on the Essential Eight maturity model and implementation is available through the Essential Eight maturity model FAQ publication. Contact details for inquiries include a phone number (1300 CYBER1) and email (cyber.gov.au).</t>
        </is>
      </c>
      <c r="M10" s="8" t="inlineStr"/>
      <c r="N10" s="8" t="inlineStr">
        <is>
          <t>[Must] Assessments against the Essential Eight should be conducted using the Essential Eight assessment process guide.</t>
        </is>
      </c>
      <c r="O10" s="8" t="inlineStr">
        <is>
          <t>Assessments against the Essential Eight should be conducted using the Essential Eight assessment process guide.</t>
        </is>
      </c>
    </row>
    <row r="11">
      <c r="A11" t="inlineStr">
        <is>
          <t>Australia</t>
        </is>
      </c>
      <c r="B11" t="inlineStr">
        <is>
          <t>Essential Eight explained (November 2023) (Australia - Row 11)</t>
        </is>
      </c>
      <c r="C11" t="inlineStr">
        <is>
          <t>p3</t>
        </is>
      </c>
      <c r="D11" s="8" t="inlineStr">
        <is>
          <t>Disclaimer</t>
        </is>
      </c>
      <c r="E11" t="inlineStr">
        <is>
          <t>3</t>
        </is>
      </c>
      <c r="F11" t="inlineStr">
        <is>
          <t>Other</t>
        </is>
      </c>
      <c r="G11" t="inlineStr">
        <is>
          <t>None</t>
        </is>
      </c>
      <c r="H11" t="inlineStr">
        <is>
          <t>High (explicit)</t>
        </is>
      </c>
      <c r="I11" s="8" t="inlineStr">
        <is>
          <t>Security</t>
        </is>
      </c>
      <c r="J11" s="8" t="inlineStr">
        <is>
          <t>Personal Information</t>
        </is>
      </c>
      <c r="K11" t="inlineStr"/>
      <c r="L11" s="8" t="inlineStr">
        <is>
          <t>This document includes a disclaimer stating that the material is of general nature and not legal advice, and the Commonwealth accepts no responsibility for damage or loss resulting from reliance on the information. The document is provided under a Creative Commons Attribution 4.0 International licence with specific conditions for use.</t>
        </is>
      </c>
      <c r="M11" s="8" t="inlineStr"/>
      <c r="N11" s="8" t="inlineStr">
        <is>
          <t>[Must] The material in this guide is of a general nature and should not be regarded as legal advice or relied on for assistance in any particular circumstance or emergency situation.</t>
        </is>
      </c>
      <c r="O11" s="8" t="inlineStr">
        <is>
          <t>The material in this guide is of a general nature and should not be regarded as legal advice or relied on for assistance in any particular circumstance or emergency situation.</t>
        </is>
      </c>
    </row>
    <row r="12">
      <c r="A12" t="inlineStr">
        <is>
          <t>GDPR</t>
        </is>
      </c>
      <c r="B12" t="inlineStr">
        <is>
          <t>CELEX_32002L0058_EN_TXT (GDPR Row 7)</t>
        </is>
      </c>
      <c r="C12" t="inlineStr">
        <is>
          <t>1</t>
        </is>
      </c>
      <c r="D12" s="8" t="inlineStr">
        <is>
          <t>This Directive harmonises the provisions of the Member</t>
        </is>
      </c>
      <c r="E12" t="inlineStr">
        <is>
          <t>6–7</t>
        </is>
      </c>
      <c r="F12" t="inlineStr">
        <is>
          <t>Other</t>
        </is>
      </c>
      <c r="G12" t="inlineStr">
        <is>
          <t>Low</t>
        </is>
      </c>
      <c r="H12" t="inlineStr">
        <is>
          <t>High</t>
        </is>
      </c>
      <c r="I12" s="8" t="inlineStr">
        <is>
          <t>Data Residency, Data Storage, Data Sharing, Consent</t>
        </is>
      </c>
      <c r="J12" s="8" t="inlineStr"/>
      <c r="K12" t="inlineStr"/>
      <c r="L12" s="8" t="inlineStr">
        <is>
          <t>This section requires that location data other than traffic data, relating to users or subscribers, can only be processed when made anonymous or with the consent of the users or subscribers, and that the service provider must inform them of the purposes and duration of processing.</t>
        </is>
      </c>
      <c r="M12" s="8" t="inlineStr">
        <is>
          <t>This section mandates that location data other than traffic data must be anonymised or processed with user consent, which is relevant for assessing data residency and processing in cross-border contexts.</t>
        </is>
      </c>
      <c r="N12" s="8" t="inlineStr">
        <is>
          <t>[Must] 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c r="O12" s="8" t="inlineStr">
        <is>
          <t>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row>
    <row r="13">
      <c r="A13" t="inlineStr">
        <is>
          <t>GDPR</t>
        </is>
      </c>
      <c r="B13" t="inlineStr">
        <is>
          <t>CELEX_32002L0058_EN_TXT (GDPR Row 7)</t>
        </is>
      </c>
      <c r="C13" t="inlineStr">
        <is>
          <t>1</t>
        </is>
      </c>
      <c r="D13" s="8" t="inlineStr">
        <is>
          <t>This Directive shall apply to the processing of personal</t>
        </is>
      </c>
      <c r="E13" t="inlineStr">
        <is>
          <t>7</t>
        </is>
      </c>
      <c r="F13" t="inlineStr">
        <is>
          <t>Other</t>
        </is>
      </c>
      <c r="G13" t="inlineStr">
        <is>
          <t>Low</t>
        </is>
      </c>
      <c r="H13" t="inlineStr">
        <is>
          <t>High</t>
        </is>
      </c>
      <c r="I13" s="8" t="inlineStr">
        <is>
          <t>Data Residency, Data Storage, Data Sharing, Consent</t>
        </is>
      </c>
      <c r="J13" s="8" t="inlineStr"/>
      <c r="K13" t="inlineStr"/>
      <c r="L13" s="8" t="inlineStr">
        <is>
          <t>This section requires that location data other than traffic data, relating to users or subscribers, can only be processed when made anonymous or with the consent of the users or subscribers, and that the service provider must inform them of the purposes and duration of processing.</t>
        </is>
      </c>
      <c r="M13" s="8" t="inlineStr">
        <is>
          <t>This section mandates that location data other than traffic data must be anonymised or processed with user consent, which is relevant for assessing data residency and processing in cross-border contexts.</t>
        </is>
      </c>
      <c r="N13" s="8" t="inlineStr">
        <is>
          <t>[Must] 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c r="O13" s="8" t="inlineStr">
        <is>
          <t>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row>
    <row r="14">
      <c r="A14" t="inlineStr">
        <is>
          <t>GDPR</t>
        </is>
      </c>
      <c r="B14" t="inlineStr">
        <is>
          <t>CELEX_32002L0058_EN_TXT (GDPR Row 7)</t>
        </is>
      </c>
      <c r="C14" t="inlineStr">
        <is>
          <t>1</t>
        </is>
      </c>
      <c r="D14" s="8" t="inlineStr">
        <is>
          <t>Member States shall ensure the confidentiality of commu-</t>
        </is>
      </c>
      <c r="E14" t="inlineStr">
        <is>
          <t>7–8</t>
        </is>
      </c>
      <c r="F14" t="inlineStr">
        <is>
          <t>Other</t>
        </is>
      </c>
      <c r="G14" t="inlineStr">
        <is>
          <t>Low</t>
        </is>
      </c>
      <c r="H14" t="inlineStr">
        <is>
          <t>High</t>
        </is>
      </c>
      <c r="I14" s="8" t="inlineStr">
        <is>
          <t>Data Residency, Data Storage, Data Sharing, Consent</t>
        </is>
      </c>
      <c r="J14" s="8" t="inlineStr"/>
      <c r="K14" t="inlineStr"/>
      <c r="L14" s="8" t="inlineStr">
        <is>
          <t>This section requires that location data other than traffic data, relating to users or subscribers, can only be processed when made anonymous or with the consent of the users or subscribers, and that the service provider must inform them of the purposes and duration of processing.</t>
        </is>
      </c>
      <c r="M14" s="8" t="inlineStr">
        <is>
          <t>This section mandates that location data other than traffic data must be anonymised or processed with user consent, which is relevant for assessing data residency and processing in cross-border contexts.</t>
        </is>
      </c>
      <c r="N14" s="8" t="inlineStr">
        <is>
          <t>[Must] 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c r="O14" s="8" t="inlineStr">
        <is>
          <t>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row>
    <row r="15">
      <c r="A15" t="inlineStr">
        <is>
          <t>GDPR</t>
        </is>
      </c>
      <c r="B15" t="inlineStr">
        <is>
          <t>CELEX_32002L0058_EN_TXT (GDPR Row 7)</t>
        </is>
      </c>
      <c r="C15" t="inlineStr">
        <is>
          <t>1</t>
        </is>
      </c>
      <c r="D15" s="8" t="inlineStr">
        <is>
          <t>Where location data other than traffic data, relating to</t>
        </is>
      </c>
      <c r="E15" t="inlineStr">
        <is>
          <t>9</t>
        </is>
      </c>
      <c r="F15" t="inlineStr">
        <is>
          <t>Other</t>
        </is>
      </c>
      <c r="G15" t="inlineStr">
        <is>
          <t>Low</t>
        </is>
      </c>
      <c r="H15" t="inlineStr">
        <is>
          <t>High</t>
        </is>
      </c>
      <c r="I15" s="8" t="inlineStr">
        <is>
          <t>Data Residency, Data Storage, Data Sharing, Consent</t>
        </is>
      </c>
      <c r="J15" s="8" t="inlineStr"/>
      <c r="K15" t="inlineStr"/>
      <c r="L15" s="8" t="inlineStr">
        <is>
          <t>This section requires that location data other than traffic data, relating to users or subscribers, can only be processed when made anonymous or with the consent of the users or subscribers, and that the service provider must inform them of the purposes and duration of processing.</t>
        </is>
      </c>
      <c r="M15" s="8" t="inlineStr">
        <is>
          <t>This section mandates that location data other than traffic data must be anonymised or processed with user consent, which is relevant for assessing data residency and processing in cross-border contexts.</t>
        </is>
      </c>
      <c r="N15" s="8" t="inlineStr">
        <is>
          <t>[Must] 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c r="O15" s="8" t="inlineStr">
        <is>
          <t>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row>
    <row r="16">
      <c r="A16" t="inlineStr">
        <is>
          <t>GDPR</t>
        </is>
      </c>
      <c r="B16" t="inlineStr">
        <is>
          <t>CELEX_32002L0058_EN_TXT (GDPR Row 7)</t>
        </is>
      </c>
      <c r="C16" t="inlineStr">
        <is>
          <t>1</t>
        </is>
      </c>
      <c r="D16" s="8" t="inlineStr">
        <is>
          <t>Member States shall ensure that subscribers are informed,</t>
        </is>
      </c>
      <c r="E16" t="inlineStr">
        <is>
          <t>9</t>
        </is>
      </c>
      <c r="F16" t="inlineStr">
        <is>
          <t>Other</t>
        </is>
      </c>
      <c r="G16" t="inlineStr">
        <is>
          <t>Low</t>
        </is>
      </c>
      <c r="H16" t="inlineStr">
        <is>
          <t>High</t>
        </is>
      </c>
      <c r="I16" s="8" t="inlineStr">
        <is>
          <t>Data Residency, Data Storage, Data Sharing, Consent</t>
        </is>
      </c>
      <c r="J16" s="8" t="inlineStr"/>
      <c r="K16" t="inlineStr"/>
      <c r="L16" s="8" t="inlineStr">
        <is>
          <t>This section requires that location data other than traffic data, relating to users or subscribers, can only be processed when made anonymous or with the consent of the users or subscribers, and that the service provider must inform them of the purposes and duration of processing.</t>
        </is>
      </c>
      <c r="M16" s="8" t="inlineStr">
        <is>
          <t>This section mandates that location data other than traffic data must be anonymised or processed with user consent, which is relevant for assessing data residency and processing in cross-border contexts.</t>
        </is>
      </c>
      <c r="N16" s="8" t="inlineStr">
        <is>
          <t>[Must] 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c r="O16" s="8" t="inlineStr">
        <is>
          <t>Where location data other than traffic data, relating to users or subscribers of public communications networks or publicly available electronic communications services, can be processed, such data may only be processed when they are made anonymous, or with the consent of the users or subscribers to the extent and for the duration necessary for the provision of a value added service. The service provider must inform the users or subscribers, prior to obtaining their consent, of the type of location data other than traffic data which will be processed, of the purposes and duration of the processing and whether the data will be transmitted to a third party for the purpose of providing the value added service. Users or subscribers shall be given the possibility to withdraw their consent for the processing of location data other than traffic data at any time.</t>
        </is>
      </c>
    </row>
    <row r="17">
      <c r="A17" t="inlineStr">
        <is>
          <t>GDPR</t>
        </is>
      </c>
      <c r="B17" t="inlineStr">
        <is>
          <t>CELEX_32002L0058_EN_TXT (GDPR Row 7)</t>
        </is>
      </c>
      <c r="C17" t="inlineStr">
        <is>
          <t>2</t>
        </is>
      </c>
      <c r="D17" s="8" t="inlineStr">
        <is>
          <t>In case of a particular risk of a breach of the security of</t>
        </is>
      </c>
      <c r="E17" t="inlineStr">
        <is>
          <t>7</t>
        </is>
      </c>
      <c r="F17" t="inlineStr">
        <is>
          <t>Other</t>
        </is>
      </c>
      <c r="G17" t="inlineStr">
        <is>
          <t>Low</t>
        </is>
      </c>
      <c r="H17" t="inlineStr">
        <is>
          <t>High</t>
        </is>
      </c>
      <c r="I17" s="8" t="inlineStr">
        <is>
          <t>Data Residency, Data Storage, Data Sharing</t>
        </is>
      </c>
      <c r="J17" s="8" t="inlineStr"/>
      <c r="K17" t="inlineStr"/>
      <c r="L17" s="8" t="inlineStr">
        <is>
          <t>This section requires that Member States shall communicate to the Commission the text of the provisions of national law which they adopt in the field governed by this Directive and any subsequent amendments to those provisions.</t>
        </is>
      </c>
      <c r="M17" s="8" t="inlineStr">
        <is>
          <t>This section mandates that Member States communicate their national law provisions to the Commission, which is relevant for assessing compliance and data residency in cross-border contexts.</t>
        </is>
      </c>
      <c r="N17" s="8" t="inlineStr">
        <is>
          <t>[Must] Member States shall communicate to the Commission the text of the provisions of national law which they adopt in the field governed by this Directive and of any subsequent amendments to those provisions.</t>
        </is>
      </c>
      <c r="O17" s="8" t="inlineStr">
        <is>
          <t>Member States shall communicate to the Commission the text of the provisions of national law which they adopt in the field governed by this Directive and of any subsequent amendments to those provisions.</t>
        </is>
      </c>
    </row>
    <row r="18">
      <c r="A18" t="inlineStr">
        <is>
          <t>GDPR</t>
        </is>
      </c>
      <c r="B18" t="inlineStr">
        <is>
          <t>CELEX_32002L0058_EN_TXT (GDPR Row 7)</t>
        </is>
      </c>
      <c r="C18" t="inlineStr">
        <is>
          <t>2</t>
        </is>
      </c>
      <c r="D18" s="8" t="inlineStr">
        <is>
          <t>Traffic data necessary for the purposes of subscriber</t>
        </is>
      </c>
      <c r="E18" t="inlineStr">
        <is>
          <t>8</t>
        </is>
      </c>
      <c r="F18" t="inlineStr">
        <is>
          <t>Other</t>
        </is>
      </c>
      <c r="G18" t="inlineStr">
        <is>
          <t>Low</t>
        </is>
      </c>
      <c r="H18" t="inlineStr">
        <is>
          <t>High</t>
        </is>
      </c>
      <c r="I18" s="8" t="inlineStr">
        <is>
          <t>Data Residency, Data Storage, Data Sharing</t>
        </is>
      </c>
      <c r="J18" s="8" t="inlineStr"/>
      <c r="K18" t="inlineStr"/>
      <c r="L18" s="8" t="inlineStr">
        <is>
          <t>This section requires that Member States shall communicate to the Commission the text of the provisions of national law which they adopt in the field governed by this Directive and any subsequent amendments to those provisions.</t>
        </is>
      </c>
      <c r="M18" s="8" t="inlineStr">
        <is>
          <t>This section mandates that Member States communicate their national law provisions to the Commission, which is relevant for assessing compliance and data residency in cross-border contexts.</t>
        </is>
      </c>
      <c r="N18" s="8" t="inlineStr">
        <is>
          <t>[Must] Member States shall communicate to the Commission the text of the provisions of national law which they adopt in the field governed by this Directive and of any subsequent amendments to those provisions.</t>
        </is>
      </c>
      <c r="O18" s="8" t="inlineStr">
        <is>
          <t>Member States shall communicate to the Commission the text of the provisions of national law which they adopt in the field governed by this Directive and of any subsequent amendments to those provisions.</t>
        </is>
      </c>
    </row>
    <row r="19">
      <c r="A19" t="inlineStr">
        <is>
          <t>GDPR</t>
        </is>
      </c>
      <c r="B19" t="inlineStr">
        <is>
          <t>CELEX_32002L0058_EN_TXT (GDPR Row 7)</t>
        </is>
      </c>
      <c r="C19" t="inlineStr">
        <is>
          <t>2</t>
        </is>
      </c>
      <c r="D19" s="8" t="inlineStr">
        <is>
          <t>Member States shall apply national provisions in order to</t>
        </is>
      </c>
      <c r="E19" t="inlineStr">
        <is>
          <t>8</t>
        </is>
      </c>
      <c r="F19" t="inlineStr">
        <is>
          <t>Other</t>
        </is>
      </c>
      <c r="G19" t="inlineStr">
        <is>
          <t>Low</t>
        </is>
      </c>
      <c r="H19" t="inlineStr">
        <is>
          <t>High</t>
        </is>
      </c>
      <c r="I19" s="8" t="inlineStr">
        <is>
          <t>Data Residency, Data Storage, Data Sharing</t>
        </is>
      </c>
      <c r="J19" s="8" t="inlineStr"/>
      <c r="K19" t="inlineStr"/>
      <c r="L19" s="8" t="inlineStr">
        <is>
          <t>This section requires that Member States shall communicate to the Commission the text of the provisions of national law which they adopt in the field governed by this Directive and any subsequent amendments to those provisions.</t>
        </is>
      </c>
      <c r="M19" s="8" t="inlineStr">
        <is>
          <t>This section mandates that Member States communicate their national law provisions to the Commission, which is relevant for assessing compliance and data residency in cross-border contexts.</t>
        </is>
      </c>
      <c r="N19" s="8" t="inlineStr">
        <is>
          <t>[Must] Member States shall communicate to the Commission the text of the provisions of national law which they adopt in the field governed by this Directive and of any subsequent amendments to those provisions.</t>
        </is>
      </c>
      <c r="O19" s="8" t="inlineStr">
        <is>
          <t>Member States shall communicate to the Commission the text of the provisions of national law which they adopt in the field governed by this Directive and of any subsequent amendments to those provisions.</t>
        </is>
      </c>
    </row>
    <row r="20">
      <c r="A20" t="inlineStr">
        <is>
          <t>GDPR</t>
        </is>
      </c>
      <c r="B20" t="inlineStr">
        <is>
          <t>CELEX_32002L0058_EN_TXT (GDPR Row 7)</t>
        </is>
      </c>
      <c r="C20" t="inlineStr">
        <is>
          <t>2</t>
        </is>
      </c>
      <c r="D20" s="8" t="inlineStr">
        <is>
          <t>Where consent of the users or subscribers has been</t>
        </is>
      </c>
      <c r="E20" t="inlineStr">
        <is>
          <t>9</t>
        </is>
      </c>
      <c r="F20" t="inlineStr">
        <is>
          <t>Other</t>
        </is>
      </c>
      <c r="G20" t="inlineStr">
        <is>
          <t>Low</t>
        </is>
      </c>
      <c r="H20" t="inlineStr">
        <is>
          <t>High</t>
        </is>
      </c>
      <c r="I20" s="8" t="inlineStr">
        <is>
          <t>Data Residency, Data Storage, Data Sharing</t>
        </is>
      </c>
      <c r="J20" s="8" t="inlineStr"/>
      <c r="K20" t="inlineStr"/>
      <c r="L20" s="8" t="inlineStr">
        <is>
          <t>This section requires that Member States shall communicate to the Commission the text of the provisions of national law which they adopt in the field governed by this Directive and any subsequent amendments to those provisions.</t>
        </is>
      </c>
      <c r="M20" s="8" t="inlineStr">
        <is>
          <t>This section mandates that Member States communicate their national law provisions to the Commission, which is relevant for assessing compliance and data residency in cross-border contexts.</t>
        </is>
      </c>
      <c r="N20" s="8" t="inlineStr">
        <is>
          <t>[Must] Member States shall communicate to the Commission the text of the provisions of national law which they adopt in the field governed by this Directive and of any subsequent amendments to those provisions.</t>
        </is>
      </c>
      <c r="O20" s="8" t="inlineStr">
        <is>
          <t>Member States shall communicate to the Commission the text of the provisions of national law which they adopt in the field governed by this Directive and of any subsequent amendments to those provisions.</t>
        </is>
      </c>
    </row>
    <row r="21">
      <c r="A21" t="inlineStr">
        <is>
          <t>GDPR</t>
        </is>
      </c>
      <c r="B21" t="inlineStr">
        <is>
          <t>CELEX_32002L0058_EN_TXT (GDPR Row 7)</t>
        </is>
      </c>
      <c r="C21" t="inlineStr">
        <is>
          <t>2</t>
        </is>
      </c>
      <c r="D21" s="8" t="inlineStr">
        <is>
          <t>Member States shall ensure that subscribers are given the</t>
        </is>
      </c>
      <c r="E21" t="inlineStr">
        <is>
          <t>9</t>
        </is>
      </c>
      <c r="F21" t="inlineStr">
        <is>
          <t>Other</t>
        </is>
      </c>
      <c r="G21" t="inlineStr">
        <is>
          <t>Low</t>
        </is>
      </c>
      <c r="H21" t="inlineStr">
        <is>
          <t>High</t>
        </is>
      </c>
      <c r="I21" s="8" t="inlineStr">
        <is>
          <t>Data Residency, Data Storage, Data Sharing</t>
        </is>
      </c>
      <c r="J21" s="8" t="inlineStr"/>
      <c r="K21" t="inlineStr"/>
      <c r="L21" s="8" t="inlineStr">
        <is>
          <t>This section requires that Member States shall communicate to the Commission the text of the provisions of national law which they adopt in the field governed by this Directive and any subsequent amendments to those provisions.</t>
        </is>
      </c>
      <c r="M21" s="8" t="inlineStr">
        <is>
          <t>This section mandates that Member States communicate their national law provisions to the Commission, which is relevant for assessing compliance and data residency in cross-border contexts.</t>
        </is>
      </c>
      <c r="N21" s="8" t="inlineStr">
        <is>
          <t>[Must] Member States shall communicate to the Commission the text of the provisions of national law which they adopt in the field governed by this Directive and of any subsequent amendments to those provisions.</t>
        </is>
      </c>
      <c r="O21" s="8" t="inlineStr">
        <is>
          <t>Member States shall communicate to the Commission the text of the provisions of national law which they adopt in the field governed by this Directive and of any subsequent amendments to those provisions.</t>
        </is>
      </c>
    </row>
    <row r="22">
      <c r="A22" t="inlineStr">
        <is>
          <t>GDPR</t>
        </is>
      </c>
      <c r="B22" t="inlineStr">
        <is>
          <t>CELEX_32002L0058_EN_TXT (GDPR Row 7)</t>
        </is>
      </c>
      <c r="C22" t="inlineStr">
        <is>
          <t>2</t>
        </is>
      </c>
      <c r="D22" s="8" t="inlineStr">
        <is>
          <t>Where the personal data of subscribers to fixed or mobile</t>
        </is>
      </c>
      <c r="E22" t="inlineStr">
        <is>
          <t>10</t>
        </is>
      </c>
      <c r="F22" t="inlineStr">
        <is>
          <t>Other</t>
        </is>
      </c>
      <c r="G22" t="inlineStr">
        <is>
          <t>Low</t>
        </is>
      </c>
      <c r="H22" t="inlineStr">
        <is>
          <t>High</t>
        </is>
      </c>
      <c r="I22" s="8" t="inlineStr">
        <is>
          <t>Data Residency, Data Storage, Data Sharing</t>
        </is>
      </c>
      <c r="J22" s="8" t="inlineStr"/>
      <c r="K22" t="inlineStr"/>
      <c r="L22" s="8" t="inlineStr">
        <is>
          <t>This section requires that Member States shall communicate to the Commission the text of the provisions of national law which they adopt in the field governed by this Directive and any subsequent amendments to those provisions.</t>
        </is>
      </c>
      <c r="M22" s="8" t="inlineStr">
        <is>
          <t>This section mandates that Member States communicate their national law provisions to the Commission, which is relevant for assessing compliance and data residency in cross-border contexts.</t>
        </is>
      </c>
      <c r="N22" s="8" t="inlineStr">
        <is>
          <t>[Must] Member States shall communicate to the Commission the text of the provisions of national law which they adopt in the field governed by this Directive and of any subsequent amendments to those provisions.</t>
        </is>
      </c>
      <c r="O22" s="8" t="inlineStr">
        <is>
          <t>Member States shall communicate to the Commission the text of the provisions of national law which they adopt in the field governed by this Directive and of any subsequent amendments to those provisions.</t>
        </is>
      </c>
    </row>
    <row r="23">
      <c r="A23" t="inlineStr">
        <is>
          <t>GDPR</t>
        </is>
      </c>
      <c r="B23" t="inlineStr">
        <is>
          <t>CELEX_32002L0058_EN_TXT (GDPR Row 7)</t>
        </is>
      </c>
      <c r="C23" t="inlineStr">
        <is>
          <t>2</t>
        </is>
      </c>
      <c r="D23" s="8" t="inlineStr">
        <is>
          <t>Member States shall communicate to the Commission the</t>
        </is>
      </c>
      <c r="E23" t="inlineStr">
        <is>
          <t>11</t>
        </is>
      </c>
      <c r="F23" t="inlineStr">
        <is>
          <t>Other</t>
        </is>
      </c>
      <c r="G23" t="inlineStr">
        <is>
          <t>Low</t>
        </is>
      </c>
      <c r="H23" t="inlineStr">
        <is>
          <t>High</t>
        </is>
      </c>
      <c r="I23" s="8" t="inlineStr">
        <is>
          <t>Data Residency, Data Storage, Data Sharing</t>
        </is>
      </c>
      <c r="J23" s="8" t="inlineStr"/>
      <c r="K23" t="inlineStr"/>
      <c r="L23" s="8" t="inlineStr">
        <is>
          <t>This section requires that Member States shall communicate to the Commission the text of the provisions of national law which they adopt in the field governed by this Directive and any subsequent amendments to those provisions.</t>
        </is>
      </c>
      <c r="M23" s="8" t="inlineStr">
        <is>
          <t>This section mandates that Member States communicate their national law provisions to the Commission, which is relevant for assessing compliance and data residency in cross-border contexts.</t>
        </is>
      </c>
      <c r="N23" s="8" t="inlineStr">
        <is>
          <t>[Must] Member States shall communicate to the Commission the text of the provisions of national law which they adopt in the field governed by this Directive and of any subsequent amendments to those provisions.</t>
        </is>
      </c>
      <c r="O23" s="8" t="inlineStr">
        <is>
          <t>Member States shall communicate to the Commission the text of the provisions of national law which they adopt in the field governed by this Directive and of any subsequent amendments to those provisions.</t>
        </is>
      </c>
    </row>
    <row r="24">
      <c r="A24" t="inlineStr">
        <is>
          <t>GDPR</t>
        </is>
      </c>
      <c r="B24" t="inlineStr">
        <is>
          <t>CELEX_32002L0058_EN_TXT (GDPR Row 7)</t>
        </is>
      </c>
      <c r="C24" t="inlineStr">
        <is>
          <t>3</t>
        </is>
      </c>
      <c r="D24" s="8" t="inlineStr">
        <is>
          <t>This Directive shall not apply to activities which fall</t>
        </is>
      </c>
      <c r="E24" t="inlineStr">
        <is>
          <t>7</t>
        </is>
      </c>
      <c r="F24" t="inlineStr">
        <is>
          <t>Other</t>
        </is>
      </c>
      <c r="G24" t="inlineStr">
        <is>
          <t>Low</t>
        </is>
      </c>
      <c r="H24" t="inlineStr">
        <is>
          <t>High</t>
        </is>
      </c>
      <c r="I24" s="8" t="inlineStr">
        <is>
          <t>Data Residency, Data Storage, Data Sharing, Security</t>
        </is>
      </c>
      <c r="J24" s="8" t="inlineStr"/>
      <c r="K24" t="inlineStr"/>
      <c r="L24" s="8" t="inlineStr">
        <is>
          <t>This section requires that the processing of location data other than traffic data must be restricted to persons acting under the authority of providers of public communications networks and publicly available electronic communications services, and to what is necessary for the purposes of such activities.</t>
        </is>
      </c>
      <c r="M24" s="8" t="inlineStr">
        <is>
          <t>This section limits the processing of location data other than traffic data to necessary purposes and authorised persons, which is relevant for assessing data residency and processing in cross-border contexts.</t>
        </is>
      </c>
      <c r="N24" s="8" t="inlineStr">
        <is>
          <t>[Must] 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4" s="8" t="inlineStr">
        <is>
          <t>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25">
      <c r="A25" t="inlineStr">
        <is>
          <t>GDPR</t>
        </is>
      </c>
      <c r="B25" t="inlineStr">
        <is>
          <t>CELEX_32002L0058_EN_TXT (GDPR Row 7)</t>
        </is>
      </c>
      <c r="C25" t="inlineStr">
        <is>
          <t>3</t>
        </is>
      </c>
      <c r="D25" s="8" t="inlineStr">
        <is>
          <t>Member States shall ensure that the use of electronic</t>
        </is>
      </c>
      <c r="E25" t="inlineStr">
        <is>
          <t>8</t>
        </is>
      </c>
      <c r="F25" t="inlineStr">
        <is>
          <t>Other</t>
        </is>
      </c>
      <c r="G25" t="inlineStr">
        <is>
          <t>Low</t>
        </is>
      </c>
      <c r="H25" t="inlineStr">
        <is>
          <t>High</t>
        </is>
      </c>
      <c r="I25" s="8" t="inlineStr">
        <is>
          <t>Data Residency, Data Storage, Data Sharing, Security</t>
        </is>
      </c>
      <c r="J25" s="8" t="inlineStr"/>
      <c r="K25" t="inlineStr"/>
      <c r="L25" s="8" t="inlineStr">
        <is>
          <t>This section requires that the processing of location data other than traffic data must be restricted to persons acting under the authority of providers of public communications networks and publicly available electronic communications services, and to what is necessary for the purposes of such activities.</t>
        </is>
      </c>
      <c r="M25" s="8" t="inlineStr">
        <is>
          <t>This section limits the processing of location data other than traffic data to necessary purposes and authorised persons, which is relevant for assessing data residency and processing in cross-border contexts.</t>
        </is>
      </c>
      <c r="N25" s="8" t="inlineStr">
        <is>
          <t>[Must] 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5" s="8" t="inlineStr">
        <is>
          <t>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26">
      <c r="A26" t="inlineStr">
        <is>
          <t>GDPR</t>
        </is>
      </c>
      <c r="B26" t="inlineStr">
        <is>
          <t>CELEX_32002L0058_EN_TXT (GDPR Row 7)</t>
        </is>
      </c>
      <c r="C26" t="inlineStr">
        <is>
          <t>3</t>
        </is>
      </c>
      <c r="D26" s="8" t="inlineStr">
        <is>
          <t>For the purpose of marketing electronic communications</t>
        </is>
      </c>
      <c r="E26" t="inlineStr">
        <is>
          <t>8</t>
        </is>
      </c>
      <c r="F26" t="inlineStr">
        <is>
          <t>Other</t>
        </is>
      </c>
      <c r="G26" t="inlineStr">
        <is>
          <t>Low</t>
        </is>
      </c>
      <c r="H26" t="inlineStr">
        <is>
          <t>High</t>
        </is>
      </c>
      <c r="I26" s="8" t="inlineStr">
        <is>
          <t>Data Residency, Data Storage, Data Sharing, Security</t>
        </is>
      </c>
      <c r="J26" s="8" t="inlineStr"/>
      <c r="K26" t="inlineStr"/>
      <c r="L26" s="8" t="inlineStr">
        <is>
          <t>This section requires that the processing of location data other than traffic data must be restricted to persons acting under the authority of providers of public communications networks and publicly available electronic communications services, and to what is necessary for the purposes of such activities.</t>
        </is>
      </c>
      <c r="M26" s="8" t="inlineStr">
        <is>
          <t>This section limits the processing of location data other than traffic data to necessary purposes and authorised persons, which is relevant for assessing data residency and processing in cross-border contexts.</t>
        </is>
      </c>
      <c r="N26" s="8" t="inlineStr">
        <is>
          <t>[Must] 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6" s="8" t="inlineStr">
        <is>
          <t>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27">
      <c r="A27" t="inlineStr">
        <is>
          <t>GDPR</t>
        </is>
      </c>
      <c r="B27" t="inlineStr">
        <is>
          <t>CELEX_32002L0058_EN_TXT (GDPR Row 7)</t>
        </is>
      </c>
      <c r="C27" t="inlineStr">
        <is>
          <t>3</t>
        </is>
      </c>
      <c r="D27" s="8" t="inlineStr">
        <is>
          <t>Processing of location data other than traffic data in</t>
        </is>
      </c>
      <c r="E27" t="inlineStr">
        <is>
          <t>9</t>
        </is>
      </c>
      <c r="F27" t="inlineStr">
        <is>
          <t>Other</t>
        </is>
      </c>
      <c r="G27" t="inlineStr">
        <is>
          <t>Low</t>
        </is>
      </c>
      <c r="H27" t="inlineStr">
        <is>
          <t>High</t>
        </is>
      </c>
      <c r="I27" s="8" t="inlineStr">
        <is>
          <t>Data Residency, Data Storage, Data Sharing, Security</t>
        </is>
      </c>
      <c r="J27" s="8" t="inlineStr"/>
      <c r="K27" t="inlineStr"/>
      <c r="L27" s="8" t="inlineStr">
        <is>
          <t>This section requires that the processing of location data other than traffic data must be restricted to persons acting under the authority of providers of public communications networks and publicly available electronic communications services, and to what is necessary for the purposes of such activities.</t>
        </is>
      </c>
      <c r="M27" s="8" t="inlineStr">
        <is>
          <t>This section limits the processing of location data other than traffic data to necessary purposes and authorised persons, which is relevant for assessing data residency and processing in cross-border contexts.</t>
        </is>
      </c>
      <c r="N27" s="8" t="inlineStr">
        <is>
          <t>[Must] 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7" s="8" t="inlineStr">
        <is>
          <t>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28">
      <c r="A28" t="inlineStr">
        <is>
          <t>GDPR</t>
        </is>
      </c>
      <c r="B28" t="inlineStr">
        <is>
          <t>CELEX_32002L0058_EN_TXT (GDPR Row 7)</t>
        </is>
      </c>
      <c r="C28" t="inlineStr">
        <is>
          <t>3</t>
        </is>
      </c>
      <c r="D28" s="8" t="inlineStr">
        <is>
          <t>Where required, measures may be adopted to ensure that</t>
        </is>
      </c>
      <c r="E28" t="inlineStr">
        <is>
          <t>10</t>
        </is>
      </c>
      <c r="F28" t="inlineStr">
        <is>
          <t>Other</t>
        </is>
      </c>
      <c r="G28" t="inlineStr">
        <is>
          <t>Low</t>
        </is>
      </c>
      <c r="H28" t="inlineStr">
        <is>
          <t>High</t>
        </is>
      </c>
      <c r="I28" s="8" t="inlineStr">
        <is>
          <t>Data Residency, Data Storage, Data Sharing, Security</t>
        </is>
      </c>
      <c r="J28" s="8" t="inlineStr"/>
      <c r="K28" t="inlineStr"/>
      <c r="L28" s="8" t="inlineStr">
        <is>
          <t>This section requires that the processing of location data other than traffic data must be restricted to persons acting under the authority of providers of public communications networks and publicly available electronic communications services, and to what is necessary for the purposes of such activities.</t>
        </is>
      </c>
      <c r="M28" s="8" t="inlineStr">
        <is>
          <t>This section limits the processing of location data other than traffic data to necessary purposes and authorised persons, which is relevant for assessing data residency and processing in cross-border contexts.</t>
        </is>
      </c>
      <c r="N28" s="8" t="inlineStr">
        <is>
          <t>[Must] 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8" s="8" t="inlineStr">
        <is>
          <t>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29">
      <c r="A29" t="inlineStr">
        <is>
          <t>GDPR</t>
        </is>
      </c>
      <c r="B29" t="inlineStr">
        <is>
          <t>CELEX_32002L0058_EN_TXT (GDPR Row 7)</t>
        </is>
      </c>
      <c r="C29" t="inlineStr">
        <is>
          <t>3</t>
        </is>
      </c>
      <c r="D29" s="8" t="inlineStr">
        <is>
          <t>The Working Party on the Protection of Individuals with</t>
        </is>
      </c>
      <c r="E29" t="inlineStr">
        <is>
          <t>10</t>
        </is>
      </c>
      <c r="F29" t="inlineStr">
        <is>
          <t>Other</t>
        </is>
      </c>
      <c r="G29" t="inlineStr">
        <is>
          <t>Low</t>
        </is>
      </c>
      <c r="H29" t="inlineStr">
        <is>
          <t>High</t>
        </is>
      </c>
      <c r="I29" s="8" t="inlineStr">
        <is>
          <t>Data Residency, Data Storage, Data Sharing, Security</t>
        </is>
      </c>
      <c r="J29" s="8" t="inlineStr"/>
      <c r="K29" t="inlineStr"/>
      <c r="L29" s="8" t="inlineStr">
        <is>
          <t>This section requires that the processing of location data other than traffic data must be restricted to persons acting under the authority of providers of public communications networks and publicly available electronic communications services, and to what is necessary for the purposes of such activities.</t>
        </is>
      </c>
      <c r="M29" s="8" t="inlineStr">
        <is>
          <t>This section limits the processing of location data other than traffic data to necessary purposes and authorised persons, which is relevant for assessing data residency and processing in cross-border contexts.</t>
        </is>
      </c>
      <c r="N29" s="8" t="inlineStr">
        <is>
          <t>[Must] 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29" s="8" t="inlineStr">
        <is>
          <t>Processing of location data other than traffic data, in accordance with paragraphs 1 and 2,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30">
      <c r="A30" t="inlineStr">
        <is>
          <t>GDPR</t>
        </is>
      </c>
      <c r="B30" t="inlineStr">
        <is>
          <t>CELEX_32002L0058_EN_TXT (GDPR Row 7)</t>
        </is>
      </c>
      <c r="C30" t="inlineStr">
        <is>
          <t>4</t>
        </is>
      </c>
      <c r="D30" s="8" t="inlineStr">
        <is>
          <t>The service provider must inform the subscriber or user</t>
        </is>
      </c>
      <c r="E30" t="inlineStr">
        <is>
          <t>8</t>
        </is>
      </c>
      <c r="F30" t="inlineStr">
        <is>
          <t>Data Sharing</t>
        </is>
      </c>
      <c r="G30" t="inlineStr">
        <is>
          <t>Low</t>
        </is>
      </c>
      <c r="H30" t="inlineStr">
        <is>
          <t>High</t>
        </is>
      </c>
      <c r="I30" s="8" t="inlineStr">
        <is>
          <t>Data Sharing, Data Residency, Data Storage, Consent</t>
        </is>
      </c>
      <c r="J30" s="8" t="inlineStr"/>
      <c r="K30" t="inlineStr"/>
      <c r="L30" s="8" t="inlineStr">
        <is>
          <t>This section requires the service provider to inform the subscriber or user of the types of traffic data processed and the duration of such processing for the purposes mentioned in paragraphs 2 and 3, prior to obtaining consent.</t>
        </is>
      </c>
      <c r="M30" s="8" t="inlineStr">
        <is>
          <t>This section mandates that service providers must inform subscribers about the types and duration of traffic data processing, which is relevant for assessing data sharing and processing in cross-border contexts.</t>
        </is>
      </c>
      <c r="N30" s="8" t="inlineStr">
        <is>
          <t>[Must] The service provider must inform the subscriber or user of the types of traffic data which are processed and of the duration of such processing for the purposes mentioned in paragraph 2 and, prior to obtaining consent, for the purposes mentioned in paragraph 3.</t>
        </is>
      </c>
      <c r="O30" s="8" t="inlineStr">
        <is>
          <t>The service provider must inform the subscriber or user of the types of traffic data which are processed and of the duration of such processing for the purposes mentioned in paragraph 2 and, prior to obtaining consent, for the purposes mentioned in paragraph 3.</t>
        </is>
      </c>
    </row>
    <row r="31">
      <c r="A31" t="inlineStr">
        <is>
          <t>GDPR</t>
        </is>
      </c>
      <c r="B31" t="inlineStr">
        <is>
          <t>CELEX_32002L0058_EN_TXT (GDPR Row 7)</t>
        </is>
      </c>
      <c r="C31" t="inlineStr">
        <is>
          <t>5</t>
        </is>
      </c>
      <c r="D31" s="8" t="inlineStr">
        <is>
          <t>Processing of traffic data, in accordance with paragraphs</t>
        </is>
      </c>
      <c r="E31" t="inlineStr">
        <is>
          <t>8</t>
        </is>
      </c>
      <c r="F31" t="inlineStr">
        <is>
          <t>Data Sharing</t>
        </is>
      </c>
      <c r="G31" t="inlineStr">
        <is>
          <t>Low</t>
        </is>
      </c>
      <c r="H31" t="inlineStr">
        <is>
          <t>High</t>
        </is>
      </c>
      <c r="I31" s="8" t="inlineStr">
        <is>
          <t>Data Sharing, Data Residency, Data Storage, Security</t>
        </is>
      </c>
      <c r="J31" s="8" t="inlineStr"/>
      <c r="K31" t="inlineStr"/>
      <c r="L31" s="8" t="inlineStr">
        <is>
          <t>This section restricts the processing of traffic data to persons acting under the authority of providers of public communications networks and publicly available electronic communications services, and to what is necessary for the purposes of such activities.</t>
        </is>
      </c>
      <c r="M31" s="8" t="inlineStr">
        <is>
          <t>This section limits the processing of traffic data to necessary purposes and authorised persons, which is relevant for assessing data sharing and processing in cross-border contexts.</t>
        </is>
      </c>
      <c r="N31" s="8" t="inlineStr">
        <is>
          <t>[Must] Processing of traffic data, in accordance with paragraphs 1, 2, 3 and 4,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c r="O31" s="8" t="inlineStr">
        <is>
          <t>Processing of traffic data, in accordance with paragraphs 1, 2, 3 and 4, must be restricted to persons acting under the authority of providers of the public communications networks and publicly available electronic communications services handling billing or traffic management, customer enquiries, fraud detection, marketing electronic communications services or providing a value added service, and must be restricted to what is necessary for the purposes of such activities.</t>
        </is>
      </c>
    </row>
    <row r="32">
      <c r="A32" t="inlineStr">
        <is>
          <t>GDPR</t>
        </is>
      </c>
      <c r="B32" t="inlineStr">
        <is>
          <t>CELEX_32018L1673_EN_TXT (GDPR - Row 2)</t>
        </is>
      </c>
      <c r="C32" t="inlineStr">
        <is>
          <t>1</t>
        </is>
      </c>
      <c r="D32" s="8" t="inlineStr">
        <is>
          <t>This Directive establishes minimum rules concerning the definition of criminal offences and sanctions in the area of</t>
        </is>
      </c>
      <c r="E32" t="inlineStr">
        <is>
          <t>4–5</t>
        </is>
      </c>
      <c r="F32" t="inlineStr">
        <is>
          <t>Other</t>
        </is>
      </c>
      <c r="G32" t="inlineStr">
        <is>
          <t>Low</t>
        </is>
      </c>
      <c r="H32" t="inlineStr">
        <is>
          <t>High</t>
        </is>
      </c>
      <c r="I32" s="8" t="inlineStr">
        <is>
          <t>Governance, Record Keeping</t>
        </is>
      </c>
      <c r="J32" s="8" t="inlineStr"/>
      <c r="K32" t="inlineStr"/>
      <c r="L32"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2" s="8" t="inlineStr"/>
      <c r="N32"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2" s="8" t="inlineStr">
        <is>
          <t>Member States shall bring into force the laws, regulations and administrative provisions necessary to comply with this Directive by 3 December 2020.</t>
        </is>
      </c>
    </row>
    <row r="33">
      <c r="A33" t="inlineStr">
        <is>
          <t>GDPR</t>
        </is>
      </c>
      <c r="B33" t="inlineStr">
        <is>
          <t>CELEX_32018L1673_EN_TXT (GDPR - Row 2)</t>
        </is>
      </c>
      <c r="C33" t="inlineStr">
        <is>
          <t>1</t>
        </is>
      </c>
      <c r="D33" s="8" t="inlineStr">
        <is>
          <t>Member States shall take the necessary measures to ensure that the following conduct, when committed inten­</t>
        </is>
      </c>
      <c r="E33" t="inlineStr">
        <is>
          <t>6</t>
        </is>
      </c>
      <c r="F33" t="inlineStr">
        <is>
          <t>Other</t>
        </is>
      </c>
      <c r="G33" t="inlineStr">
        <is>
          <t>Low</t>
        </is>
      </c>
      <c r="H33" t="inlineStr">
        <is>
          <t>High</t>
        </is>
      </c>
      <c r="I33" s="8" t="inlineStr">
        <is>
          <t>Governance, Record Keeping</t>
        </is>
      </c>
      <c r="J33" s="8" t="inlineStr"/>
      <c r="K33" t="inlineStr"/>
      <c r="L33"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3" s="8" t="inlineStr"/>
      <c r="N33"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3" s="8" t="inlineStr">
        <is>
          <t>Member States shall bring into force the laws, regulations and administrative provisions necessary to comply with this Directive by 3 December 2020.</t>
        </is>
      </c>
    </row>
    <row r="34">
      <c r="A34" t="inlineStr">
        <is>
          <t>GDPR</t>
        </is>
      </c>
      <c r="B34" t="inlineStr">
        <is>
          <t>CELEX_32018L1673_EN_TXT (GDPR - Row 2)</t>
        </is>
      </c>
      <c r="C34" t="inlineStr">
        <is>
          <t>1</t>
        </is>
      </c>
      <c r="D34" s="8" t="inlineStr">
        <is>
          <t>Member States shall take the necessary measures to ensure that the offences referred to in Articles 3 and 4 are</t>
        </is>
      </c>
      <c r="E34" t="inlineStr">
        <is>
          <t>7</t>
        </is>
      </c>
      <c r="F34" t="inlineStr">
        <is>
          <t>Other</t>
        </is>
      </c>
      <c r="G34" t="inlineStr">
        <is>
          <t>Low</t>
        </is>
      </c>
      <c r="H34" t="inlineStr">
        <is>
          <t>High</t>
        </is>
      </c>
      <c r="I34" s="8" t="inlineStr">
        <is>
          <t>Governance, Record Keeping</t>
        </is>
      </c>
      <c r="J34" s="8" t="inlineStr"/>
      <c r="K34" t="inlineStr"/>
      <c r="L34"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4" s="8" t="inlineStr"/>
      <c r="N34"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4" s="8" t="inlineStr">
        <is>
          <t>Member States shall bring into force the laws, regulations and administrative provisions necessary to comply with this Directive by 3 December 2020.</t>
        </is>
      </c>
    </row>
    <row r="35">
      <c r="A35" t="inlineStr">
        <is>
          <t>GDPR</t>
        </is>
      </c>
      <c r="B35" t="inlineStr">
        <is>
          <t>CELEX_32018L1673_EN_TXT (GDPR - Row 2)</t>
        </is>
      </c>
      <c r="C35" t="inlineStr">
        <is>
          <t>1</t>
        </is>
      </c>
      <c r="D35" s="8" t="inlineStr">
        <is>
          <t>Member States shall take the necessary measures to ensure that, in relation to the offences referred to in Article 3(1)</t>
        </is>
      </c>
      <c r="E35" t="inlineStr">
        <is>
          <t>7</t>
        </is>
      </c>
      <c r="F35" t="inlineStr">
        <is>
          <t>Other</t>
        </is>
      </c>
      <c r="G35" t="inlineStr">
        <is>
          <t>Low</t>
        </is>
      </c>
      <c r="H35" t="inlineStr">
        <is>
          <t>High</t>
        </is>
      </c>
      <c r="I35" s="8" t="inlineStr">
        <is>
          <t>Governance, Record Keeping</t>
        </is>
      </c>
      <c r="J35" s="8" t="inlineStr"/>
      <c r="K35" t="inlineStr"/>
      <c r="L35"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5" s="8" t="inlineStr"/>
      <c r="N35"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5" s="8" t="inlineStr">
        <is>
          <t>Member States shall bring into force the laws, regulations and administrative provisions necessary to comply with this Directive by 3 December 2020.</t>
        </is>
      </c>
    </row>
    <row r="36">
      <c r="A36" t="inlineStr">
        <is>
          <t>GDPR</t>
        </is>
      </c>
      <c r="B36" t="inlineStr">
        <is>
          <t>CELEX_32018L1673_EN_TXT (GDPR - Row 2)</t>
        </is>
      </c>
      <c r="C36" t="inlineStr">
        <is>
          <t>1</t>
        </is>
      </c>
      <c r="D36" s="8" t="inlineStr">
        <is>
          <t>Member States shall take the necessary measures to ensure that legal persons can be held liable for any of the</t>
        </is>
      </c>
      <c r="E36" t="inlineStr">
        <is>
          <t>7–8</t>
        </is>
      </c>
      <c r="F36" t="inlineStr">
        <is>
          <t>Other</t>
        </is>
      </c>
      <c r="G36" t="inlineStr">
        <is>
          <t>Low</t>
        </is>
      </c>
      <c r="H36" t="inlineStr">
        <is>
          <t>High</t>
        </is>
      </c>
      <c r="I36" s="8" t="inlineStr">
        <is>
          <t>Governance, Record Keeping</t>
        </is>
      </c>
      <c r="J36" s="8" t="inlineStr"/>
      <c r="K36" t="inlineStr"/>
      <c r="L36"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6" s="8" t="inlineStr"/>
      <c r="N36"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6" s="8" t="inlineStr">
        <is>
          <t>Member States shall bring into force the laws, regulations and administrative provisions necessary to comply with this Directive by 3 December 2020.</t>
        </is>
      </c>
    </row>
    <row r="37">
      <c r="A37" t="inlineStr">
        <is>
          <t>GDPR</t>
        </is>
      </c>
      <c r="B37" t="inlineStr">
        <is>
          <t>CELEX_32018L1673_EN_TXT (GDPR - Row 2)</t>
        </is>
      </c>
      <c r="C37" t="inlineStr">
        <is>
          <t>1</t>
        </is>
      </c>
      <c r="D37" s="8" t="inlineStr">
        <is>
          <t>Each Member State shall take the necessary measures to establish its jurisdiction over the offences referred to in</t>
        </is>
      </c>
      <c r="E37" t="inlineStr">
        <is>
          <t>8</t>
        </is>
      </c>
      <c r="F37" t="inlineStr">
        <is>
          <t>Other</t>
        </is>
      </c>
      <c r="G37" t="inlineStr">
        <is>
          <t>Low</t>
        </is>
      </c>
      <c r="H37" t="inlineStr">
        <is>
          <t>High</t>
        </is>
      </c>
      <c r="I37" s="8" t="inlineStr">
        <is>
          <t>Governance, Record Keeping</t>
        </is>
      </c>
      <c r="J37" s="8" t="inlineStr"/>
      <c r="K37" t="inlineStr"/>
      <c r="L37"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7" s="8" t="inlineStr"/>
      <c r="N37"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7" s="8" t="inlineStr">
        <is>
          <t>Member States shall bring into force the laws, regulations and administrative provisions necessary to comply with this Directive by 3 December 2020.</t>
        </is>
      </c>
    </row>
    <row r="38">
      <c r="A38" t="inlineStr">
        <is>
          <t>GDPR</t>
        </is>
      </c>
      <c r="B38" t="inlineStr">
        <is>
          <t>CELEX_32018L1673_EN_TXT (GDPR - Row 2)</t>
        </is>
      </c>
      <c r="C38" t="inlineStr">
        <is>
          <t>1</t>
        </is>
      </c>
      <c r="D38" s="8" t="inlineStr">
        <is>
          <t>Member States shall bring into force the laws, regulations and administrative provisions necessary to comply with</t>
        </is>
      </c>
      <c r="E38" t="inlineStr">
        <is>
          <t>9</t>
        </is>
      </c>
      <c r="F38" t="inlineStr">
        <is>
          <t>Other</t>
        </is>
      </c>
      <c r="G38" t="inlineStr">
        <is>
          <t>Low</t>
        </is>
      </c>
      <c r="H38" t="inlineStr">
        <is>
          <t>High</t>
        </is>
      </c>
      <c r="I38" s="8" t="inlineStr">
        <is>
          <t>Governance, Record Keeping</t>
        </is>
      </c>
      <c r="J38" s="8" t="inlineStr"/>
      <c r="K38" t="inlineStr"/>
      <c r="L38" s="8" t="inlineStr">
        <is>
          <t>This section requires Member States to implement national laws, regulations, and administrative provisions to comply with the GDPR by 3 December 2020. They must inform the Commission of these measures and include a reference to the Directive in their official publications.</t>
        </is>
      </c>
      <c r="M38" s="8" t="inlineStr"/>
      <c r="N38" s="8" t="inlineStr">
        <is>
          <t>[Must] Member States shall bring into force the laws, regulations and administrative provisions necessary to comply with this Directive by 3 December 2020.
[Notification] Member States shall immediately inform the Commission thereof.
[Must] When Member States adopt those measures, they shall contain a reference to this Directive or be accompanied by such a reference on the occasion of their official publication.</t>
        </is>
      </c>
      <c r="O38" s="8" t="inlineStr">
        <is>
          <t>Member States shall bring into force the laws, regulations and administrative provisions necessary to comply with this Directive by 3 December 2020.</t>
        </is>
      </c>
    </row>
    <row r="39">
      <c r="A39" t="inlineStr">
        <is>
          <t>GDPR</t>
        </is>
      </c>
      <c r="B39" t="inlineStr">
        <is>
          <t>CELEX_32018L1673_EN_TXT (GDPR - Row 2)</t>
        </is>
      </c>
      <c r="C39" t="inlineStr">
        <is>
          <t>2</t>
        </is>
      </c>
      <c r="D39" s="8" t="inlineStr">
        <is>
          <t>This Directive does not apply to money laundering as regards property derived from criminal offences affecting the</t>
        </is>
      </c>
      <c r="E39" t="inlineStr">
        <is>
          <t>5–6</t>
        </is>
      </c>
      <c r="F39" t="inlineStr">
        <is>
          <t>Other</t>
        </is>
      </c>
      <c r="G39" t="inlineStr">
        <is>
          <t>Medium</t>
        </is>
      </c>
      <c r="H39" t="inlineStr">
        <is>
          <t>High</t>
        </is>
      </c>
      <c r="I39" s="8" t="inlineStr">
        <is>
          <t>Governance, Record Keeping</t>
        </is>
      </c>
      <c r="J39" s="8" t="inlineStr"/>
      <c r="K39" t="inlineStr"/>
      <c r="L39"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39" s="8" t="inlineStr"/>
      <c r="N39"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39" s="8" t="inlineStr">
        <is>
          <t>Member States shall communicate to the Commission the text of the main provisions of national law which they adopt in the field covered by this Directive.</t>
        </is>
      </c>
    </row>
    <row r="40">
      <c r="A40" t="inlineStr">
        <is>
          <t>GDPR</t>
        </is>
      </c>
      <c r="B40" t="inlineStr">
        <is>
          <t>CELEX_32018L1673_EN_TXT (GDPR - Row 2)</t>
        </is>
      </c>
      <c r="C40" t="inlineStr">
        <is>
          <t>2</t>
        </is>
      </c>
      <c r="D40" s="8" t="inlineStr">
        <is>
          <t>Member States may take the necessary measures to ensure that the conduct referred to in paragraph 1 is punishable</t>
        </is>
      </c>
      <c r="E40" t="inlineStr">
        <is>
          <t>6–7</t>
        </is>
      </c>
      <c r="F40" t="inlineStr">
        <is>
          <t>Other</t>
        </is>
      </c>
      <c r="G40" t="inlineStr">
        <is>
          <t>Medium</t>
        </is>
      </c>
      <c r="H40" t="inlineStr">
        <is>
          <t>High</t>
        </is>
      </c>
      <c r="I40" s="8" t="inlineStr">
        <is>
          <t>Governance, Record Keeping</t>
        </is>
      </c>
      <c r="J40" s="8" t="inlineStr"/>
      <c r="K40" t="inlineStr"/>
      <c r="L40"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40" s="8" t="inlineStr"/>
      <c r="N40"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40" s="8" t="inlineStr">
        <is>
          <t>Member States shall communicate to the Commission the text of the main provisions of national law which they adopt in the field covered by this Directive.</t>
        </is>
      </c>
    </row>
    <row r="41">
      <c r="A41" t="inlineStr">
        <is>
          <t>GDPR</t>
        </is>
      </c>
      <c r="B41" t="inlineStr">
        <is>
          <t>CELEX_32018L1673_EN_TXT (GDPR - Row 2)</t>
        </is>
      </c>
      <c r="C41" t="inlineStr">
        <is>
          <t>2</t>
        </is>
      </c>
      <c r="D41" s="8" t="inlineStr">
        <is>
          <t>Member States shall take the necessary measures to ensure that the offences referred to in Article 3(1) and (5) are</t>
        </is>
      </c>
      <c r="E41" t="inlineStr">
        <is>
          <t>7</t>
        </is>
      </c>
      <c r="F41" t="inlineStr">
        <is>
          <t>Other</t>
        </is>
      </c>
      <c r="G41" t="inlineStr">
        <is>
          <t>Medium</t>
        </is>
      </c>
      <c r="H41" t="inlineStr">
        <is>
          <t>High</t>
        </is>
      </c>
      <c r="I41" s="8" t="inlineStr">
        <is>
          <t>Governance, Record Keeping</t>
        </is>
      </c>
      <c r="J41" s="8" t="inlineStr"/>
      <c r="K41" t="inlineStr"/>
      <c r="L41"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41" s="8" t="inlineStr"/>
      <c r="N41"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41" s="8" t="inlineStr">
        <is>
          <t>Member States shall communicate to the Commission the text of the main provisions of national law which they adopt in the field covered by this Directive.</t>
        </is>
      </c>
    </row>
    <row r="42">
      <c r="A42" t="inlineStr">
        <is>
          <t>GDPR</t>
        </is>
      </c>
      <c r="B42" t="inlineStr">
        <is>
          <t>CELEX_32018L1673_EN_TXT (GDPR - Row 2)</t>
        </is>
      </c>
      <c r="C42" t="inlineStr">
        <is>
          <t>2</t>
        </is>
      </c>
      <c r="D42" s="8" t="inlineStr">
        <is>
          <t>Member States may provide that, in relation to the offences referred to in Article 3(1) and (5) and Article 4, the</t>
        </is>
      </c>
      <c r="E42" t="inlineStr">
        <is>
          <t>7</t>
        </is>
      </c>
      <c r="F42" t="inlineStr">
        <is>
          <t>Other</t>
        </is>
      </c>
      <c r="G42" t="inlineStr">
        <is>
          <t>Medium</t>
        </is>
      </c>
      <c r="H42" t="inlineStr">
        <is>
          <t>High</t>
        </is>
      </c>
      <c r="I42" s="8" t="inlineStr">
        <is>
          <t>Governance, Record Keeping</t>
        </is>
      </c>
      <c r="J42" s="8" t="inlineStr"/>
      <c r="K42" t="inlineStr"/>
      <c r="L42"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42" s="8" t="inlineStr"/>
      <c r="N42"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42" s="8" t="inlineStr">
        <is>
          <t>Member States shall communicate to the Commission the text of the main provisions of national law which they adopt in the field covered by this Directive.</t>
        </is>
      </c>
    </row>
    <row r="43">
      <c r="A43" t="inlineStr">
        <is>
          <t>GDPR</t>
        </is>
      </c>
      <c r="B43" t="inlineStr">
        <is>
          <t>CELEX_32018L1673_EN_TXT (GDPR - Row 2)</t>
        </is>
      </c>
      <c r="C43" t="inlineStr">
        <is>
          <t>2</t>
        </is>
      </c>
      <c r="D43" s="8" t="inlineStr">
        <is>
          <t>Member States shall take the necessary measures to ensure that legal persons can be held liable where the lack of</t>
        </is>
      </c>
      <c r="E43" t="inlineStr">
        <is>
          <t>8</t>
        </is>
      </c>
      <c r="F43" t="inlineStr">
        <is>
          <t>Other</t>
        </is>
      </c>
      <c r="G43" t="inlineStr">
        <is>
          <t>Medium</t>
        </is>
      </c>
      <c r="H43" t="inlineStr">
        <is>
          <t>High</t>
        </is>
      </c>
      <c r="I43" s="8" t="inlineStr">
        <is>
          <t>Governance, Record Keeping</t>
        </is>
      </c>
      <c r="J43" s="8" t="inlineStr"/>
      <c r="K43" t="inlineStr"/>
      <c r="L43"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43" s="8" t="inlineStr"/>
      <c r="N43"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43" s="8" t="inlineStr">
        <is>
          <t>Member States shall communicate to the Commission the text of the main provisions of national law which they adopt in the field covered by this Directive.</t>
        </is>
      </c>
    </row>
    <row r="44">
      <c r="A44" t="inlineStr">
        <is>
          <t>GDPR</t>
        </is>
      </c>
      <c r="B44" t="inlineStr">
        <is>
          <t>CELEX_32018L1673_EN_TXT (GDPR - Row 2)</t>
        </is>
      </c>
      <c r="C44" t="inlineStr">
        <is>
          <t>2</t>
        </is>
      </c>
      <c r="D44" s="8" t="inlineStr">
        <is>
          <t>A Member State shall inform the Commission where it decides to extend its jurisdiction to offences referred to in</t>
        </is>
      </c>
      <c r="E44" t="inlineStr">
        <is>
          <t>8</t>
        </is>
      </c>
      <c r="F44" t="inlineStr">
        <is>
          <t>Other</t>
        </is>
      </c>
      <c r="G44" t="inlineStr">
        <is>
          <t>Medium</t>
        </is>
      </c>
      <c r="H44" t="inlineStr">
        <is>
          <t>High</t>
        </is>
      </c>
      <c r="I44" s="8" t="inlineStr">
        <is>
          <t>Governance, Record Keeping</t>
        </is>
      </c>
      <c r="J44" s="8" t="inlineStr"/>
      <c r="K44" t="inlineStr"/>
      <c r="L44"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44" s="8" t="inlineStr"/>
      <c r="N44"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44" s="8" t="inlineStr">
        <is>
          <t>Member States shall communicate to the Commission the text of the main provisions of national law which they adopt in the field covered by this Directive.</t>
        </is>
      </c>
    </row>
    <row r="45">
      <c r="A45" t="inlineStr">
        <is>
          <t>GDPR</t>
        </is>
      </c>
      <c r="B45" t="inlineStr">
        <is>
          <t>CELEX_32018L1673_EN_TXT (GDPR - Row 2)</t>
        </is>
      </c>
      <c r="C45" t="inlineStr">
        <is>
          <t>2</t>
        </is>
      </c>
      <c r="D45" s="8" t="inlineStr">
        <is>
          <t>Member States shall communicate to the Commission the text of the main provisions of national law which they</t>
        </is>
      </c>
      <c r="E45" t="inlineStr">
        <is>
          <t>9</t>
        </is>
      </c>
      <c r="F45" t="inlineStr">
        <is>
          <t>Other</t>
        </is>
      </c>
      <c r="G45" t="inlineStr">
        <is>
          <t>Medium</t>
        </is>
      </c>
      <c r="H45" t="inlineStr">
        <is>
          <t>High</t>
        </is>
      </c>
      <c r="I45" s="8" t="inlineStr">
        <is>
          <t>Governance, Record Keeping</t>
        </is>
      </c>
      <c r="J45" s="8" t="inlineStr"/>
      <c r="K45" t="inlineStr"/>
      <c r="L45" s="8" t="inlineStr">
        <is>
          <t>This section mandates Member States to communicate the text of national laws adopted in the field covered by the GDPR to the Commission. The Commission must submit reports by 3 December 2022 and 3 December 2023 assessing compliance and impact on money laundering and fundamental rights.</t>
        </is>
      </c>
      <c r="M45" s="8" t="inlineStr"/>
      <c r="N45" s="8" t="inlineStr">
        <is>
          <t>[Must] Member States shall communicate to the Commission the text of the main provisions of national law which they adopt in the field covered by this Directive.
[Notification] The Commission shall, by 3 December 2022, submit a report to the European Parliament and to the Council, assessing the extent to which the Member States have taken the necessary measures to comply with this Directive.
[Notification] The Commission shall, by 3 December 2023, submit a report to the European Parliament and to the Council assessing the added value of this Directive with regard to combating money laundering as well as its impact on fundamental rights and freedoms.
[Must] The Commission shall take into account the information provided by Member States.</t>
        </is>
      </c>
      <c r="O45" s="8" t="inlineStr">
        <is>
          <t>Member States shall communicate to the Commission the text of the main provisions of national law which they adopt in the field covered by this Directive.</t>
        </is>
      </c>
    </row>
    <row r="46">
      <c r="A46" t="inlineStr">
        <is>
          <t>GDPR</t>
        </is>
      </c>
      <c r="B46" t="inlineStr">
        <is>
          <t>CELEX_32018L1673_EN_TXT (GDPR - Row 2)</t>
        </is>
      </c>
      <c r="C46" t="inlineStr">
        <is>
          <t>3</t>
        </is>
      </c>
      <c r="D46" s="8" t="inlineStr">
        <is>
          <t>Member States shall take the necessary measures to ensure that:</t>
        </is>
      </c>
      <c r="E46" t="inlineStr">
        <is>
          <t>7</t>
        </is>
      </c>
      <c r="F46" t="inlineStr">
        <is>
          <t>Other</t>
        </is>
      </c>
      <c r="G46" t="inlineStr">
        <is>
          <t>Low</t>
        </is>
      </c>
      <c r="H46" t="inlineStr">
        <is>
          <t>High</t>
        </is>
      </c>
      <c r="I46" s="8" t="inlineStr"/>
      <c r="J46" s="8" t="inlineStr"/>
      <c r="K46" t="inlineStr"/>
      <c r="L46" s="8" t="inlineStr">
        <is>
          <t>This section states that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M46" s="8" t="inlineStr"/>
      <c r="N46" s="8" t="inlineStr">
        <is>
          <t>[Must]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O46" s="8"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row>
    <row r="47">
      <c r="A47" t="inlineStr">
        <is>
          <t>GDPR</t>
        </is>
      </c>
      <c r="B47" t="inlineStr">
        <is>
          <t>CELEX_32018L1673_EN_TXT (GDPR - Row 2)</t>
        </is>
      </c>
      <c r="C47" t="inlineStr">
        <is>
          <t>3</t>
        </is>
      </c>
      <c r="D47" s="8" t="inlineStr">
        <is>
          <t>Member States shall also take the necessary measures to ensure that natural persons who have committed the</t>
        </is>
      </c>
      <c r="E47" t="inlineStr">
        <is>
          <t>7</t>
        </is>
      </c>
      <c r="F47" t="inlineStr">
        <is>
          <t>Other</t>
        </is>
      </c>
      <c r="G47" t="inlineStr">
        <is>
          <t>Low</t>
        </is>
      </c>
      <c r="H47" t="inlineStr">
        <is>
          <t>High</t>
        </is>
      </c>
      <c r="I47" s="8" t="inlineStr"/>
      <c r="J47" s="8" t="inlineStr"/>
      <c r="K47" t="inlineStr"/>
      <c r="L47" s="8" t="inlineStr">
        <is>
          <t>This section states that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M47" s="8" t="inlineStr"/>
      <c r="N47" s="8" t="inlineStr">
        <is>
          <t>[Must]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O47" s="8"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row>
    <row r="48">
      <c r="A48" t="inlineStr">
        <is>
          <t>GDPR</t>
        </is>
      </c>
      <c r="B48" t="inlineStr">
        <is>
          <t>CELEX_32018L1673_EN_TXT (GDPR - Row 2)</t>
        </is>
      </c>
      <c r="C48" t="inlineStr">
        <is>
          <t>3</t>
        </is>
      </c>
      <c r="D48" s="8" t="inlineStr">
        <is>
          <t>Liability of legal persons under paragraphs 1 and 2 of this Article shall not preclude criminal proceedings from</t>
        </is>
      </c>
      <c r="E48" t="inlineStr">
        <is>
          <t>8</t>
        </is>
      </c>
      <c r="F48" t="inlineStr">
        <is>
          <t>Other</t>
        </is>
      </c>
      <c r="G48" t="inlineStr">
        <is>
          <t>Low</t>
        </is>
      </c>
      <c r="H48" t="inlineStr">
        <is>
          <t>High</t>
        </is>
      </c>
      <c r="I48" s="8" t="inlineStr"/>
      <c r="J48" s="8" t="inlineStr"/>
      <c r="K48" t="inlineStr"/>
      <c r="L48" s="8" t="inlineStr">
        <is>
          <t>This section states that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M48" s="8" t="inlineStr"/>
      <c r="N48" s="8" t="inlineStr">
        <is>
          <t>[Must]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O48" s="8"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row>
    <row r="49">
      <c r="A49" t="inlineStr">
        <is>
          <t>GDPR</t>
        </is>
      </c>
      <c r="B49" t="inlineStr">
        <is>
          <t>CELEX_32018L1673_EN_TXT (GDPR - Row 2)</t>
        </is>
      </c>
      <c r="C49" t="inlineStr">
        <is>
          <t>3</t>
        </is>
      </c>
      <c r="D49" s="8" t="inlineStr">
        <is>
          <t>Where an offence referred to in Articles 3 and 4 falls within the jurisdiction of more than one Member State and</t>
        </is>
      </c>
      <c r="E49" t="inlineStr">
        <is>
          <t>8–9</t>
        </is>
      </c>
      <c r="F49" t="inlineStr">
        <is>
          <t>Other</t>
        </is>
      </c>
      <c r="G49" t="inlineStr">
        <is>
          <t>Low</t>
        </is>
      </c>
      <c r="H49" t="inlineStr">
        <is>
          <t>High</t>
        </is>
      </c>
      <c r="I49" s="8" t="inlineStr"/>
      <c r="J49" s="8" t="inlineStr"/>
      <c r="K49" t="inlineStr"/>
      <c r="L49" s="8" t="inlineStr">
        <is>
          <t>This section states that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M49" s="8" t="inlineStr"/>
      <c r="N49" s="8" t="inlineStr">
        <is>
          <t>[Must] 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c r="O49" s="8" t="inlineStr">
        <is>
          <t>Where an offence referred to in Articles 3 and 4 falls within the jurisdiction of more than one Member State and where any of the Member States concerned can validly prosecute on the basis of the same facts, the Member States concerned shall cooperate in order to decide which of them will prosecute the offender, with the aim of centralising proceedings in a single Member State. The matter shall, where appropriate and in accordance with Article 12 of Framework Decision 2009/948/JHA, be referred to Eurojust.</t>
        </is>
      </c>
    </row>
    <row r="50">
      <c r="A50" t="inlineStr">
        <is>
          <t>GDPR</t>
        </is>
      </c>
      <c r="B50" t="inlineStr">
        <is>
          <t>CELEX_32018L1673_EN_TXT (GDPR - Row 2)</t>
        </is>
      </c>
      <c r="C50" t="inlineStr">
        <is>
          <t>4</t>
        </is>
      </c>
      <c r="D50" s="8" t="inlineStr">
        <is>
          <t>In the case of point (c) of paragraph 3 of this Article, Member States may further require that the relevant conduct</t>
        </is>
      </c>
      <c r="E50" t="inlineStr">
        <is>
          <t>7</t>
        </is>
      </c>
      <c r="F50" t="inlineStr">
        <is>
          <t>Other</t>
        </is>
      </c>
      <c r="G50" t="inlineStr">
        <is>
          <t>Low</t>
        </is>
      </c>
      <c r="H50" t="inlineStr">
        <is>
          <t>High</t>
        </is>
      </c>
      <c r="I50" s="8" t="inlineStr"/>
      <c r="J50" s="8" t="inlineStr"/>
      <c r="K50" t="inlineStr"/>
      <c r="L50" s="8" t="inlineStr">
        <is>
          <t>This section allows Member States to require that the relevant conduct in point (c) of paragraph 3 constitutes a criminal offence under the national law of the other Member State or third country, except where the conduct constitutes one of the specified offences under Article 2.</t>
        </is>
      </c>
      <c r="M50" s="8" t="inlineStr"/>
      <c r="N50" s="8" t="inlineStr">
        <is>
          <t>[May] In the case of point (c) of paragraph 3 of this Article, Member States may further require that the relevant conduct constitutes a criminal offence under the national law of the other Member State or of the third country where that conduct was committed, except where that conduct constitutes one of the offences referred to in points (a) to (e) and (h) of point (1) of Article 2 and as defined in the applicable Union law.</t>
        </is>
      </c>
      <c r="O50" s="8" t="inlineStr">
        <is>
          <t>In the case of point (c) of paragraph 3 of this Article, Member States may further require that the relevant conduct constitutes a criminal offence under the national law of the other Member State or of the third country where that conduct was committed, except where that conduct constitutes one of the offences referred to in points (a) to (e) and (h) of point (1) of Article 2 and as defined in the applicable Union law.</t>
        </is>
      </c>
    </row>
    <row r="51">
      <c r="A51" t="inlineStr">
        <is>
          <t>GDPR</t>
        </is>
      </c>
      <c r="B51" t="inlineStr">
        <is>
          <t>CELEX_32018L1673_EN_TXT (GDPR - Row 2)</t>
        </is>
      </c>
      <c r="C51" t="inlineStr">
        <is>
          <t>5</t>
        </is>
      </c>
      <c r="D51" s="8" t="inlineStr">
        <is>
          <t>Member States shall take the necessary measures to ensure that the conduct referred to in points (a) and (b) of</t>
        </is>
      </c>
      <c r="E51" t="inlineStr">
        <is>
          <t>7</t>
        </is>
      </c>
      <c r="F51" t="inlineStr">
        <is>
          <t>Other</t>
        </is>
      </c>
      <c r="G51" t="inlineStr">
        <is>
          <t>Low</t>
        </is>
      </c>
      <c r="H51" t="inlineStr">
        <is>
          <t>High</t>
        </is>
      </c>
      <c r="I51" s="8" t="inlineStr"/>
      <c r="J51" s="8" t="inlineStr"/>
      <c r="K51" t="inlineStr"/>
      <c r="L51" s="8" t="inlineStr">
        <is>
          <t>This section requires Member States to take necessary measures to ensure that the conduct referred to in points (a) and (b) of paragraph 1 is punishable as a criminal offence when committed by persons who committed, or were involved in, the criminal activity from which the property was derived.</t>
        </is>
      </c>
      <c r="M51" s="8" t="inlineStr"/>
      <c r="N51" s="8" t="inlineStr">
        <is>
          <t>[Must] Member States shall take the necessary measures to ensure that the conduct referred to in points (a) and (b) of paragraph 1 is punishable as a criminal offence when committed by persons who committed, or were involved in, the criminal activity from which the property was derived.</t>
        </is>
      </c>
      <c r="O51" s="8" t="inlineStr">
        <is>
          <t>Member States shall take the necessary measures to ensure that the conduct referred to in points (a) and (b) of paragraph 1 is punishable as a criminal offence when committed by persons who committed, or were involved in, the criminal activity from which the property was derived.</t>
        </is>
      </c>
    </row>
    <row r="52">
      <c r="A52" t="inlineStr">
        <is>
          <t>GDPR</t>
        </is>
      </c>
      <c r="B52" t="inlineStr">
        <is>
          <t>CELEX_52023PC0360_EN_TXT (GDPR - Row 13)</t>
        </is>
      </c>
      <c r="C52" t="inlineStr">
        <is>
          <t>1</t>
        </is>
      </c>
      <c r="D52" s="8" t="inlineStr">
        <is>
          <t>CONTEXT OF THE PROPOSAL</t>
        </is>
      </c>
      <c r="E52" t="inlineStr">
        <is>
          <t>2–4</t>
        </is>
      </c>
      <c r="F52" t="inlineStr">
        <is>
          <t>Other</t>
        </is>
      </c>
      <c r="G52" t="inlineStr">
        <is>
          <t>None</t>
        </is>
      </c>
      <c r="H52" t="inlineStr">
        <is>
          <t>High (explicit)</t>
        </is>
      </c>
      <c r="I52" s="8" t="inlineStr"/>
      <c r="J52" s="8" t="inlineStr"/>
      <c r="K52" t="inlineStr"/>
      <c r="L52"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2" s="8" t="inlineStr"/>
      <c r="N52"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2"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3">
      <c r="A53" t="inlineStr">
        <is>
          <t>GDPR</t>
        </is>
      </c>
      <c r="B53" t="inlineStr">
        <is>
          <t>CELEX_52023PC0360_EN_TXT (GDPR - Row 13)</t>
        </is>
      </c>
      <c r="C53" t="inlineStr">
        <is>
          <t>1</t>
        </is>
      </c>
      <c r="D53" s="8" t="inlineStr">
        <is>
          <t>This Regulation applies to the following categories of customer data on:</t>
        </is>
      </c>
      <c r="E53" t="inlineStr">
        <is>
          <t>27–28</t>
        </is>
      </c>
      <c r="F53" t="inlineStr">
        <is>
          <t>Other</t>
        </is>
      </c>
      <c r="G53" t="inlineStr">
        <is>
          <t>None</t>
        </is>
      </c>
      <c r="H53" t="inlineStr">
        <is>
          <t>High (explicit)</t>
        </is>
      </c>
      <c r="I53" s="8" t="inlineStr"/>
      <c r="J53" s="8" t="inlineStr"/>
      <c r="K53" t="inlineStr"/>
      <c r="L53"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3" s="8" t="inlineStr"/>
      <c r="N53"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3"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4">
      <c r="A54" t="inlineStr">
        <is>
          <t>GDPR</t>
        </is>
      </c>
      <c r="B54" t="inlineStr">
        <is>
          <t>CELEX_52023PC0360_EN_TXT (GDPR - Row 13)</t>
        </is>
      </c>
      <c r="C54" t="inlineStr">
        <is>
          <t>1</t>
        </is>
      </c>
      <c r="D54" s="8" t="inlineStr">
        <is>
          <t>The data holder shall, upon request from a customer submitted by electronic means,</t>
        </is>
      </c>
      <c r="E54" t="inlineStr">
        <is>
          <t>31</t>
        </is>
      </c>
      <c r="F54" t="inlineStr">
        <is>
          <t>Other</t>
        </is>
      </c>
      <c r="G54" t="inlineStr">
        <is>
          <t>None</t>
        </is>
      </c>
      <c r="H54" t="inlineStr">
        <is>
          <t>High (explicit)</t>
        </is>
      </c>
      <c r="I54" s="8" t="inlineStr"/>
      <c r="J54" s="8" t="inlineStr"/>
      <c r="K54" t="inlineStr"/>
      <c r="L54"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4" s="8" t="inlineStr"/>
      <c r="N54"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4"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5">
      <c r="A55" t="inlineStr">
        <is>
          <t>GDPR</t>
        </is>
      </c>
      <c r="B55" t="inlineStr">
        <is>
          <t>CELEX_52023PC0360_EN_TXT (GDPR - Row 13)</t>
        </is>
      </c>
      <c r="C55" t="inlineStr">
        <is>
          <t>1</t>
        </is>
      </c>
      <c r="D55" s="8" t="inlineStr">
        <is>
          <t>A data user shall only be eligible to access customer data pursuant to Article 5(1) if</t>
        </is>
      </c>
      <c r="E55" t="inlineStr">
        <is>
          <t>32</t>
        </is>
      </c>
      <c r="F55" t="inlineStr">
        <is>
          <t>Other</t>
        </is>
      </c>
      <c r="G55" t="inlineStr">
        <is>
          <t>None</t>
        </is>
      </c>
      <c r="H55" t="inlineStr">
        <is>
          <t>High (explicit)</t>
        </is>
      </c>
      <c r="I55" s="8" t="inlineStr"/>
      <c r="J55" s="8" t="inlineStr"/>
      <c r="K55" t="inlineStr"/>
      <c r="L55"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5" s="8" t="inlineStr"/>
      <c r="N55"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5"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6">
      <c r="A56" t="inlineStr">
        <is>
          <t>GDPR</t>
        </is>
      </c>
      <c r="B56" t="inlineStr">
        <is>
          <t>CELEX_52023PC0360_EN_TXT (GDPR - Row 13)</t>
        </is>
      </c>
      <c r="C56" t="inlineStr">
        <is>
          <t>1</t>
        </is>
      </c>
      <c r="D56" s="8" t="inlineStr">
        <is>
          <t>The processing of customer data referred to in Article 2(1) of this Regulation that</t>
        </is>
      </c>
      <c r="E56" t="inlineStr">
        <is>
          <t>32</t>
        </is>
      </c>
      <c r="F56" t="inlineStr">
        <is>
          <t>Other</t>
        </is>
      </c>
      <c r="G56" t="inlineStr">
        <is>
          <t>None</t>
        </is>
      </c>
      <c r="H56" t="inlineStr">
        <is>
          <t>High (explicit)</t>
        </is>
      </c>
      <c r="I56" s="8" t="inlineStr"/>
      <c r="J56" s="8" t="inlineStr"/>
      <c r="K56" t="inlineStr"/>
      <c r="L56"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6" s="8" t="inlineStr"/>
      <c r="N56"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6"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7">
      <c r="A57" t="inlineStr">
        <is>
          <t>GDPR</t>
        </is>
      </c>
      <c r="B57" t="inlineStr">
        <is>
          <t>CELEX_52023PC0360_EN_TXT (GDPR - Row 13)</t>
        </is>
      </c>
      <c r="C57" t="inlineStr">
        <is>
          <t>1</t>
        </is>
      </c>
      <c r="D57" s="8" t="inlineStr">
        <is>
          <t>Within 18 months from the entry into force of this Regulation, data holders and data</t>
        </is>
      </c>
      <c r="E57" t="inlineStr">
        <is>
          <t>34</t>
        </is>
      </c>
      <c r="F57" t="inlineStr">
        <is>
          <t>Other</t>
        </is>
      </c>
      <c r="G57" t="inlineStr">
        <is>
          <t>None</t>
        </is>
      </c>
      <c r="H57" t="inlineStr">
        <is>
          <t>High (explicit)</t>
        </is>
      </c>
      <c r="I57" s="8" t="inlineStr"/>
      <c r="J57" s="8" t="inlineStr"/>
      <c r="K57" t="inlineStr"/>
      <c r="L57"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7" s="8" t="inlineStr"/>
      <c r="N57"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7"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8">
      <c r="A58" t="inlineStr">
        <is>
          <t>GDPR</t>
        </is>
      </c>
      <c r="B58" t="inlineStr">
        <is>
          <t>CELEX_52023PC0360_EN_TXT (GDPR - Row 13)</t>
        </is>
      </c>
      <c r="C58" t="inlineStr">
        <is>
          <t>1</t>
        </is>
      </c>
      <c r="D58" s="8" t="inlineStr">
        <is>
          <t>A financial data sharing scheme shall include the following elements:</t>
        </is>
      </c>
      <c r="E58" t="inlineStr">
        <is>
          <t>34–36</t>
        </is>
      </c>
      <c r="F58" t="inlineStr">
        <is>
          <t>Other</t>
        </is>
      </c>
      <c r="G58" t="inlineStr">
        <is>
          <t>None</t>
        </is>
      </c>
      <c r="H58" t="inlineStr">
        <is>
          <t>High (explicit)</t>
        </is>
      </c>
      <c r="I58" s="8" t="inlineStr"/>
      <c r="J58" s="8" t="inlineStr"/>
      <c r="K58" t="inlineStr"/>
      <c r="L58"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8" s="8" t="inlineStr"/>
      <c r="N58"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8"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59">
      <c r="A59" t="inlineStr">
        <is>
          <t>GDPR</t>
        </is>
      </c>
      <c r="B59" t="inlineStr">
        <is>
          <t>CELEX_52023PC0360_EN_TXT (GDPR - Row 13)</t>
        </is>
      </c>
      <c r="C59" t="inlineStr">
        <is>
          <t>1</t>
        </is>
      </c>
      <c r="D59" s="8" t="inlineStr">
        <is>
          <t>Financial information service providers that do not have an establishment in the</t>
        </is>
      </c>
      <c r="E59" t="inlineStr">
        <is>
          <t>39</t>
        </is>
      </c>
      <c r="F59" t="inlineStr">
        <is>
          <t>Other</t>
        </is>
      </c>
      <c r="G59" t="inlineStr">
        <is>
          <t>None</t>
        </is>
      </c>
      <c r="H59" t="inlineStr">
        <is>
          <t>High (explicit)</t>
        </is>
      </c>
      <c r="I59" s="8" t="inlineStr"/>
      <c r="J59" s="8" t="inlineStr"/>
      <c r="K59" t="inlineStr"/>
      <c r="L59"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59" s="8" t="inlineStr"/>
      <c r="N59"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59"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0">
      <c r="A60" t="inlineStr">
        <is>
          <t>GDPR</t>
        </is>
      </c>
      <c r="B60" t="inlineStr">
        <is>
          <t>CELEX_52023PC0360_EN_TXT (GDPR - Row 13)</t>
        </is>
      </c>
      <c r="C60" t="inlineStr">
        <is>
          <t>1</t>
        </is>
      </c>
      <c r="D60" s="8" t="inlineStr">
        <is>
          <t>The competent authority shall grant an authorisation if the information and evidence</t>
        </is>
      </c>
      <c r="E60" t="inlineStr">
        <is>
          <t>39–40</t>
        </is>
      </c>
      <c r="F60" t="inlineStr">
        <is>
          <t>Other</t>
        </is>
      </c>
      <c r="G60" t="inlineStr">
        <is>
          <t>None</t>
        </is>
      </c>
      <c r="H60" t="inlineStr">
        <is>
          <t>High (explicit)</t>
        </is>
      </c>
      <c r="I60" s="8" t="inlineStr"/>
      <c r="J60" s="8" t="inlineStr"/>
      <c r="K60" t="inlineStr"/>
      <c r="L60"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0" s="8" t="inlineStr"/>
      <c r="N60"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0"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1">
      <c r="A61" t="inlineStr">
        <is>
          <t>GDPR</t>
        </is>
      </c>
      <c r="B61" t="inlineStr">
        <is>
          <t>CELEX_52023PC0360_EN_TXT (GDPR - Row 13)</t>
        </is>
      </c>
      <c r="C61" t="inlineStr">
        <is>
          <t>1</t>
        </is>
      </c>
      <c r="D61" s="8" t="inlineStr">
        <is>
          <t>EBA shall develop, operate and maintain an electronic central register which</t>
        </is>
      </c>
      <c r="E61" t="inlineStr">
        <is>
          <t>41</t>
        </is>
      </c>
      <c r="F61" t="inlineStr">
        <is>
          <t>Other</t>
        </is>
      </c>
      <c r="G61" t="inlineStr">
        <is>
          <t>None</t>
        </is>
      </c>
      <c r="H61" t="inlineStr">
        <is>
          <t>High (explicit)</t>
        </is>
      </c>
      <c r="I61" s="8" t="inlineStr"/>
      <c r="J61" s="8" t="inlineStr"/>
      <c r="K61" t="inlineStr"/>
      <c r="L61"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1" s="8" t="inlineStr"/>
      <c r="N61"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1"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2">
      <c r="A62" t="inlineStr">
        <is>
          <t>GDPR</t>
        </is>
      </c>
      <c r="B62" t="inlineStr">
        <is>
          <t>CELEX_52023PC0360_EN_TXT (GDPR - Row 13)</t>
        </is>
      </c>
      <c r="C62" t="inlineStr">
        <is>
          <t>1</t>
        </is>
      </c>
      <c r="D62" s="8" t="inlineStr">
        <is>
          <t>Member States shall designate the competent authorities responsible for carrying out</t>
        </is>
      </c>
      <c r="E62" t="inlineStr">
        <is>
          <t>42</t>
        </is>
      </c>
      <c r="F62" t="inlineStr">
        <is>
          <t>Other</t>
        </is>
      </c>
      <c r="G62" t="inlineStr">
        <is>
          <t>None</t>
        </is>
      </c>
      <c r="H62" t="inlineStr">
        <is>
          <t>High (explicit)</t>
        </is>
      </c>
      <c r="I62" s="8" t="inlineStr"/>
      <c r="J62" s="8" t="inlineStr"/>
      <c r="K62" t="inlineStr"/>
      <c r="L62"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2" s="8" t="inlineStr"/>
      <c r="N62"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2"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3">
      <c r="A63" t="inlineStr">
        <is>
          <t>GDPR</t>
        </is>
      </c>
      <c r="B63" t="inlineStr">
        <is>
          <t>CELEX_52023PC0360_EN_TXT (GDPR - Row 13)</t>
        </is>
      </c>
      <c r="C63" t="inlineStr">
        <is>
          <t>1</t>
        </is>
      </c>
      <c r="D63" s="8" t="inlineStr">
        <is>
          <t>Competent authorities shall have all the investigatory powers necessary for the</t>
        </is>
      </c>
      <c r="E63" t="inlineStr">
        <is>
          <t>42–44</t>
        </is>
      </c>
      <c r="F63" t="inlineStr">
        <is>
          <t>Other</t>
        </is>
      </c>
      <c r="G63" t="inlineStr">
        <is>
          <t>None</t>
        </is>
      </c>
      <c r="H63" t="inlineStr">
        <is>
          <t>High (explicit)</t>
        </is>
      </c>
      <c r="I63" s="8" t="inlineStr"/>
      <c r="J63" s="8" t="inlineStr"/>
      <c r="K63" t="inlineStr"/>
      <c r="L63"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3" s="8" t="inlineStr"/>
      <c r="N63"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3"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4">
      <c r="A64" t="inlineStr">
        <is>
          <t>GDPR</t>
        </is>
      </c>
      <c r="B64" t="inlineStr">
        <is>
          <t>CELEX_52023PC0360_EN_TXT (GDPR - Row 13)</t>
        </is>
      </c>
      <c r="C64" t="inlineStr">
        <is>
          <t>1</t>
        </is>
      </c>
      <c r="D64" s="8" t="inlineStr">
        <is>
          <t>Without prejudice to Article 20, Member States may lay down rules enabling their</t>
        </is>
      </c>
      <c r="E64" t="inlineStr">
        <is>
          <t>44</t>
        </is>
      </c>
      <c r="F64" t="inlineStr">
        <is>
          <t>Other</t>
        </is>
      </c>
      <c r="G64" t="inlineStr">
        <is>
          <t>None</t>
        </is>
      </c>
      <c r="H64" t="inlineStr">
        <is>
          <t>High (explicit)</t>
        </is>
      </c>
      <c r="I64" s="8" t="inlineStr"/>
      <c r="J64" s="8" t="inlineStr"/>
      <c r="K64" t="inlineStr"/>
      <c r="L64"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4" s="8" t="inlineStr"/>
      <c r="N64"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4"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5">
      <c r="A65" t="inlineStr">
        <is>
          <t>GDPR</t>
        </is>
      </c>
      <c r="B65" t="inlineStr">
        <is>
          <t>CELEX_52023PC0360_EN_TXT (GDPR - Row 13)</t>
        </is>
      </c>
      <c r="C65" t="inlineStr">
        <is>
          <t>1</t>
        </is>
      </c>
      <c r="D65" s="8" t="inlineStr">
        <is>
          <t>Without prejudice to the supervisory and investigative powers of competent</t>
        </is>
      </c>
      <c r="E65" t="inlineStr">
        <is>
          <t>45</t>
        </is>
      </c>
      <c r="F65" t="inlineStr">
        <is>
          <t>Other</t>
        </is>
      </c>
      <c r="G65" t="inlineStr">
        <is>
          <t>None</t>
        </is>
      </c>
      <c r="H65" t="inlineStr">
        <is>
          <t>High (explicit)</t>
        </is>
      </c>
      <c r="I65" s="8" t="inlineStr"/>
      <c r="J65" s="8" t="inlineStr"/>
      <c r="K65" t="inlineStr"/>
      <c r="L65"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5" s="8" t="inlineStr"/>
      <c r="N65"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5"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6">
      <c r="A66" t="inlineStr">
        <is>
          <t>GDPR</t>
        </is>
      </c>
      <c r="B66" t="inlineStr">
        <is>
          <t>CELEX_52023PC0360_EN_TXT (GDPR - Row 13)</t>
        </is>
      </c>
      <c r="C66" t="inlineStr">
        <is>
          <t>1</t>
        </is>
      </c>
      <c r="D66" s="8" t="inlineStr">
        <is>
          <t>Competent authorities shall be entitled to impose periodic penalty payments on legal</t>
        </is>
      </c>
      <c r="E66" t="inlineStr">
        <is>
          <t>46–47</t>
        </is>
      </c>
      <c r="F66" t="inlineStr">
        <is>
          <t>Other</t>
        </is>
      </c>
      <c r="G66" t="inlineStr">
        <is>
          <t>None</t>
        </is>
      </c>
      <c r="H66" t="inlineStr">
        <is>
          <t>High (explicit)</t>
        </is>
      </c>
      <c r="I66" s="8" t="inlineStr"/>
      <c r="J66" s="8" t="inlineStr"/>
      <c r="K66" t="inlineStr"/>
      <c r="L66"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6" s="8" t="inlineStr"/>
      <c r="N66"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6"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7">
      <c r="A67" t="inlineStr">
        <is>
          <t>GDPR</t>
        </is>
      </c>
      <c r="B67" t="inlineStr">
        <is>
          <t>CELEX_52023PC0360_EN_TXT (GDPR - Row 13)</t>
        </is>
      </c>
      <c r="C67" t="inlineStr">
        <is>
          <t>1</t>
        </is>
      </c>
      <c r="D67" s="8" t="inlineStr">
        <is>
          <t>Competent authorities, when determining the type and level of administrative</t>
        </is>
      </c>
      <c r="E67" t="inlineStr">
        <is>
          <t>47–48</t>
        </is>
      </c>
      <c r="F67" t="inlineStr">
        <is>
          <t>Other</t>
        </is>
      </c>
      <c r="G67" t="inlineStr">
        <is>
          <t>None</t>
        </is>
      </c>
      <c r="H67" t="inlineStr">
        <is>
          <t>High (explicit)</t>
        </is>
      </c>
      <c r="I67" s="8" t="inlineStr"/>
      <c r="J67" s="8" t="inlineStr"/>
      <c r="K67" t="inlineStr"/>
      <c r="L67"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7" s="8" t="inlineStr"/>
      <c r="N67"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7"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8">
      <c r="A68" t="inlineStr">
        <is>
          <t>GDPR</t>
        </is>
      </c>
      <c r="B68" t="inlineStr">
        <is>
          <t>CELEX_52023PC0360_EN_TXT (GDPR - Row 13)</t>
        </is>
      </c>
      <c r="C68" t="inlineStr">
        <is>
          <t>1</t>
        </is>
      </c>
      <c r="D68" s="8" t="inlineStr">
        <is>
          <t>All persons who work or who have worked for the competent authorities, as well as</t>
        </is>
      </c>
      <c r="E68" t="inlineStr">
        <is>
          <t>48</t>
        </is>
      </c>
      <c r="F68" t="inlineStr">
        <is>
          <t>Other</t>
        </is>
      </c>
      <c r="G68" t="inlineStr">
        <is>
          <t>None</t>
        </is>
      </c>
      <c r="H68" t="inlineStr">
        <is>
          <t>High (explicit)</t>
        </is>
      </c>
      <c r="I68" s="8" t="inlineStr"/>
      <c r="J68" s="8" t="inlineStr"/>
      <c r="K68" t="inlineStr"/>
      <c r="L68"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8" s="8" t="inlineStr"/>
      <c r="N68"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8"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69">
      <c r="A69" t="inlineStr">
        <is>
          <t>GDPR</t>
        </is>
      </c>
      <c r="B69" t="inlineStr">
        <is>
          <t>CELEX_52023PC0360_EN_TXT (GDPR - Row 13)</t>
        </is>
      </c>
      <c r="C69" t="inlineStr">
        <is>
          <t>1</t>
        </is>
      </c>
      <c r="D69" s="8" t="inlineStr">
        <is>
          <t>Competent authorities shall publish on their website all decisions imposing an</t>
        </is>
      </c>
      <c r="E69" t="inlineStr">
        <is>
          <t>48</t>
        </is>
      </c>
      <c r="F69" t="inlineStr">
        <is>
          <t>Other</t>
        </is>
      </c>
      <c r="G69" t="inlineStr">
        <is>
          <t>None</t>
        </is>
      </c>
      <c r="H69" t="inlineStr">
        <is>
          <t>High (explicit)</t>
        </is>
      </c>
      <c r="I69" s="8" t="inlineStr"/>
      <c r="J69" s="8" t="inlineStr"/>
      <c r="K69" t="inlineStr"/>
      <c r="L69"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69" s="8" t="inlineStr"/>
      <c r="N69"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69"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70">
      <c r="A70" t="inlineStr">
        <is>
          <t>GDPR</t>
        </is>
      </c>
      <c r="B70" t="inlineStr">
        <is>
          <t>CELEX_52023PC0360_EN_TXT (GDPR - Row 13)</t>
        </is>
      </c>
      <c r="C70" t="inlineStr">
        <is>
          <t>1</t>
        </is>
      </c>
      <c r="D70" s="8" t="inlineStr">
        <is>
          <t>Competent authorities shall cooperate with each other and with other relevant</t>
        </is>
      </c>
      <c r="E70" t="inlineStr">
        <is>
          <t>49</t>
        </is>
      </c>
      <c r="F70" t="inlineStr">
        <is>
          <t>Other</t>
        </is>
      </c>
      <c r="G70" t="inlineStr">
        <is>
          <t>None</t>
        </is>
      </c>
      <c r="H70" t="inlineStr">
        <is>
          <t>High (explicit)</t>
        </is>
      </c>
      <c r="I70" s="8" t="inlineStr"/>
      <c r="J70" s="8" t="inlineStr"/>
      <c r="K70" t="inlineStr"/>
      <c r="L70"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70" s="8" t="inlineStr"/>
      <c r="N70"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70"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71">
      <c r="A71" t="inlineStr">
        <is>
          <t>GDPR</t>
        </is>
      </c>
      <c r="B71" t="inlineStr">
        <is>
          <t>CELEX_52023PC0360_EN_TXT (GDPR - Row 13)</t>
        </is>
      </c>
      <c r="C71" t="inlineStr">
        <is>
          <t>1</t>
        </is>
      </c>
      <c r="D71" s="8" t="inlineStr">
        <is>
          <t>Where a competent authority of a Member State considers that, in a particular matter,</t>
        </is>
      </c>
      <c r="E71" t="inlineStr">
        <is>
          <t>49–50</t>
        </is>
      </c>
      <c r="F71" t="inlineStr">
        <is>
          <t>Other</t>
        </is>
      </c>
      <c r="G71" t="inlineStr">
        <is>
          <t>None</t>
        </is>
      </c>
      <c r="H71" t="inlineStr">
        <is>
          <t>High (explicit)</t>
        </is>
      </c>
      <c r="I71" s="8" t="inlineStr"/>
      <c r="J71" s="8" t="inlineStr"/>
      <c r="K71" t="inlineStr"/>
      <c r="L71"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71" s="8" t="inlineStr"/>
      <c r="N71"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71"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72">
      <c r="A72" t="inlineStr">
        <is>
          <t>GDPR</t>
        </is>
      </c>
      <c r="B72" t="inlineStr">
        <is>
          <t>CELEX_52023PC0360_EN_TXT (GDPR - Row 13)</t>
        </is>
      </c>
      <c r="C72" t="inlineStr">
        <is>
          <t>1</t>
        </is>
      </c>
      <c r="D72" s="8" t="inlineStr">
        <is>
          <t>Financial information service providers and financial institutions shall be allowed to</t>
        </is>
      </c>
      <c r="E72" t="inlineStr">
        <is>
          <t>50</t>
        </is>
      </c>
      <c r="F72" t="inlineStr">
        <is>
          <t>Other</t>
        </is>
      </c>
      <c r="G72" t="inlineStr">
        <is>
          <t>None</t>
        </is>
      </c>
      <c r="H72" t="inlineStr">
        <is>
          <t>High (explicit)</t>
        </is>
      </c>
      <c r="I72" s="8" t="inlineStr"/>
      <c r="J72" s="8" t="inlineStr"/>
      <c r="K72" t="inlineStr"/>
      <c r="L72"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72" s="8" t="inlineStr"/>
      <c r="N72"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72"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73">
      <c r="A73" t="inlineStr">
        <is>
          <t>GDPR</t>
        </is>
      </c>
      <c r="B73" t="inlineStr">
        <is>
          <t>CELEX_52023PC0360_EN_TXT (GDPR - Row 13)</t>
        </is>
      </c>
      <c r="C73" t="inlineStr">
        <is>
          <t>1</t>
        </is>
      </c>
      <c r="D73" s="8" t="inlineStr">
        <is>
          <t>By [OP please insert the date = 4 years after the date of entry into application of this</t>
        </is>
      </c>
      <c r="E73" t="inlineStr">
        <is>
          <t>51–52</t>
        </is>
      </c>
      <c r="F73" t="inlineStr">
        <is>
          <t>Other</t>
        </is>
      </c>
      <c r="G73" t="inlineStr">
        <is>
          <t>None</t>
        </is>
      </c>
      <c r="H73" t="inlineStr">
        <is>
          <t>High (explicit)</t>
        </is>
      </c>
      <c r="I73" s="8" t="inlineStr"/>
      <c r="J73" s="8" t="inlineStr"/>
      <c r="K73" t="inlineStr"/>
      <c r="L73" s="8" t="inlineStr">
        <is>
          <t>Four years after the Regulation enters into application, the Commission must evaluate the Regulation and submit a report to the European Parliament, Council, and European Economic and Social Committee. The evaluation assesses data accessibility categories, excluded data categories, contractual practices, financial data sharing schemes, and compensation impacts.</t>
        </is>
      </c>
      <c r="M73" s="8" t="inlineStr"/>
      <c r="N73" s="8" t="inlineStr">
        <is>
          <t>[Must] 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
[Must] That evaluation shall assess, in particular: (a) other categories or sets of data to be made accessible; (b) the exclusion from the scope of certain categories of data and entities; (c) changes in contractual practices of data holders and data users and the operation of financial data sharing schemes; (d) the inclusion of other types of entities to those entities granted the right of access to data; (e) the impact of compensation on the ability of data users to participate in financial data sharing schemes and access data from data holders</t>
        </is>
      </c>
      <c r="O73" s="8" t="inlineStr">
        <is>
          <t>By [OP please insert the date = 4 years after the date of entry into application of this Regulation, the Commission shall carry out an evaluation of this Regulation and submit a report on its main findings to the European Parliament and to the Council as well as to the European Economic and Social Committee.</t>
        </is>
      </c>
    </row>
    <row r="74">
      <c r="A74" t="inlineStr">
        <is>
          <t>GDPR</t>
        </is>
      </c>
      <c r="B74" t="inlineStr">
        <is>
          <t>CELEX_52023PC0360_EN_TXT (GDPR - Row 13)</t>
        </is>
      </c>
      <c r="C74" t="inlineStr">
        <is>
          <t>2</t>
        </is>
      </c>
      <c r="D74" s="8" t="inlineStr">
        <is>
          <t>LEGAL BASIS, SUBSIDIARITY AND PROPORTIONALITY</t>
        </is>
      </c>
      <c r="E74" t="inlineStr">
        <is>
          <t>4–5</t>
        </is>
      </c>
      <c r="F74" t="inlineStr">
        <is>
          <t>Other</t>
        </is>
      </c>
      <c r="G74" t="inlineStr">
        <is>
          <t>None</t>
        </is>
      </c>
      <c r="H74" t="inlineStr">
        <is>
          <t>High (explicit)</t>
        </is>
      </c>
      <c r="I74" s="8" t="inlineStr"/>
      <c r="J74" s="8" t="inlineStr"/>
      <c r="K74" t="inlineStr"/>
      <c r="L74"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74" s="8" t="inlineStr"/>
      <c r="N74"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74"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75">
      <c r="A75" t="inlineStr">
        <is>
          <t>GDPR</t>
        </is>
      </c>
      <c r="B75" t="inlineStr">
        <is>
          <t>CELEX_52023PC0360_EN_TXT (GDPR - Row 13)</t>
        </is>
      </c>
      <c r="C75" t="inlineStr">
        <is>
          <t>2</t>
        </is>
      </c>
      <c r="D75" s="8" t="inlineStr">
        <is>
          <t>This Regulation applies to the following entities when acting as data holders or data</t>
        </is>
      </c>
      <c r="E75" t="inlineStr">
        <is>
          <t>28</t>
        </is>
      </c>
      <c r="F75" t="inlineStr">
        <is>
          <t>Other</t>
        </is>
      </c>
      <c r="G75" t="inlineStr">
        <is>
          <t>None</t>
        </is>
      </c>
      <c r="H75" t="inlineStr">
        <is>
          <t>High (explicit)</t>
        </is>
      </c>
      <c r="I75" s="8" t="inlineStr"/>
      <c r="J75" s="8" t="inlineStr"/>
      <c r="K75" t="inlineStr"/>
      <c r="L75"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75" s="8" t="inlineStr"/>
      <c r="N75"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75"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76">
      <c r="A76" t="inlineStr">
        <is>
          <t>GDPR</t>
        </is>
      </c>
      <c r="B76" t="inlineStr">
        <is>
          <t>CELEX_52023PC0360_EN_TXT (GDPR - Row 13)</t>
        </is>
      </c>
      <c r="C76" t="inlineStr">
        <is>
          <t>2</t>
        </is>
      </c>
      <c r="D76" s="8" t="inlineStr">
        <is>
          <t>A data holder may claim compensation from a data user for making customer data</t>
        </is>
      </c>
      <c r="E76" t="inlineStr">
        <is>
          <t>31</t>
        </is>
      </c>
      <c r="F76" t="inlineStr">
        <is>
          <t>Other</t>
        </is>
      </c>
      <c r="G76" t="inlineStr">
        <is>
          <t>None</t>
        </is>
      </c>
      <c r="H76" t="inlineStr">
        <is>
          <t>High (explicit)</t>
        </is>
      </c>
      <c r="I76" s="8" t="inlineStr"/>
      <c r="J76" s="8" t="inlineStr"/>
      <c r="K76" t="inlineStr"/>
      <c r="L76"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76" s="8" t="inlineStr"/>
      <c r="N76"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76"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77">
      <c r="A77" t="inlineStr">
        <is>
          <t>GDPR</t>
        </is>
      </c>
      <c r="B77" t="inlineStr">
        <is>
          <t>CELEX_52023PC0360_EN_TXT (GDPR - Row 13)</t>
        </is>
      </c>
      <c r="C77" t="inlineStr">
        <is>
          <t>2</t>
        </is>
      </c>
      <c r="D77" s="8" t="inlineStr">
        <is>
          <t>A data user shall only access customer data made available under Article 5(1) for the</t>
        </is>
      </c>
      <c r="E77" t="inlineStr">
        <is>
          <t>32</t>
        </is>
      </c>
      <c r="F77" t="inlineStr">
        <is>
          <t>Other</t>
        </is>
      </c>
      <c r="G77" t="inlineStr">
        <is>
          <t>None</t>
        </is>
      </c>
      <c r="H77" t="inlineStr">
        <is>
          <t>High (explicit)</t>
        </is>
      </c>
      <c r="I77" s="8" t="inlineStr"/>
      <c r="J77" s="8" t="inlineStr"/>
      <c r="K77" t="inlineStr"/>
      <c r="L77"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77" s="8" t="inlineStr"/>
      <c r="N77"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77"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78">
      <c r="A78" t="inlineStr">
        <is>
          <t>GDPR</t>
        </is>
      </c>
      <c r="B78" t="inlineStr">
        <is>
          <t>CELEX_52023PC0360_EN_TXT (GDPR - Row 13)</t>
        </is>
      </c>
      <c r="C78" t="inlineStr">
        <is>
          <t>2</t>
        </is>
      </c>
      <c r="D78" s="8" t="inlineStr">
        <is>
          <t>In accordance with Article 16 of Regulation (EU) No 1093/2010, the European</t>
        </is>
      </c>
      <c r="E78" t="inlineStr">
        <is>
          <t>32</t>
        </is>
      </c>
      <c r="F78" t="inlineStr">
        <is>
          <t>Other</t>
        </is>
      </c>
      <c r="G78" t="inlineStr">
        <is>
          <t>None</t>
        </is>
      </c>
      <c r="H78" t="inlineStr">
        <is>
          <t>High (explicit)</t>
        </is>
      </c>
      <c r="I78" s="8" t="inlineStr"/>
      <c r="J78" s="8" t="inlineStr"/>
      <c r="K78" t="inlineStr"/>
      <c r="L78"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78" s="8" t="inlineStr"/>
      <c r="N78"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78"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79">
      <c r="A79" t="inlineStr">
        <is>
          <t>GDPR</t>
        </is>
      </c>
      <c r="B79" t="inlineStr">
        <is>
          <t>CELEX_52023PC0360_EN_TXT (GDPR - Row 13)</t>
        </is>
      </c>
      <c r="C79" t="inlineStr">
        <is>
          <t>2</t>
        </is>
      </c>
      <c r="D79" s="8" t="inlineStr">
        <is>
          <t>A permission dashboard shall:</t>
        </is>
      </c>
      <c r="E79" t="inlineStr">
        <is>
          <t>33</t>
        </is>
      </c>
      <c r="F79" t="inlineStr">
        <is>
          <t>Other</t>
        </is>
      </c>
      <c r="G79" t="inlineStr">
        <is>
          <t>None</t>
        </is>
      </c>
      <c r="H79" t="inlineStr">
        <is>
          <t>High (explicit)</t>
        </is>
      </c>
      <c r="I79" s="8" t="inlineStr"/>
      <c r="J79" s="8" t="inlineStr"/>
      <c r="K79" t="inlineStr"/>
      <c r="L79"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79" s="8" t="inlineStr"/>
      <c r="N79"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79"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0">
      <c r="A80" t="inlineStr">
        <is>
          <t>GDPR</t>
        </is>
      </c>
      <c r="B80" t="inlineStr">
        <is>
          <t>CELEX_52023PC0360_EN_TXT (GDPR - Row 13)</t>
        </is>
      </c>
      <c r="C80" t="inlineStr">
        <is>
          <t>2</t>
        </is>
      </c>
      <c r="D80" s="8" t="inlineStr">
        <is>
          <t>Data holders and data users may become members of more than one financial data</t>
        </is>
      </c>
      <c r="E80" t="inlineStr">
        <is>
          <t>34</t>
        </is>
      </c>
      <c r="F80" t="inlineStr">
        <is>
          <t>Other</t>
        </is>
      </c>
      <c r="G80" t="inlineStr">
        <is>
          <t>None</t>
        </is>
      </c>
      <c r="H80" t="inlineStr">
        <is>
          <t>High (explicit)</t>
        </is>
      </c>
      <c r="I80" s="8" t="inlineStr"/>
      <c r="J80" s="8" t="inlineStr"/>
      <c r="K80" t="inlineStr"/>
      <c r="L80"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0" s="8" t="inlineStr"/>
      <c r="N80"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0"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1">
      <c r="A81" t="inlineStr">
        <is>
          <t>GDPR</t>
        </is>
      </c>
      <c r="B81" t="inlineStr">
        <is>
          <t>CELEX_52023PC0360_EN_TXT (GDPR - Row 13)</t>
        </is>
      </c>
      <c r="C81" t="inlineStr">
        <is>
          <t>2</t>
        </is>
      </c>
      <c r="D81" s="8" t="inlineStr">
        <is>
          <t>A financial information service provider shall submit an application for authorisation</t>
        </is>
      </c>
      <c r="E81" t="inlineStr">
        <is>
          <t>37–38</t>
        </is>
      </c>
      <c r="F81" t="inlineStr">
        <is>
          <t>Other</t>
        </is>
      </c>
      <c r="G81" t="inlineStr">
        <is>
          <t>None</t>
        </is>
      </c>
      <c r="H81" t="inlineStr">
        <is>
          <t>High (explicit)</t>
        </is>
      </c>
      <c r="I81" s="8" t="inlineStr"/>
      <c r="J81" s="8" t="inlineStr"/>
      <c r="K81" t="inlineStr"/>
      <c r="L81"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1" s="8" t="inlineStr"/>
      <c r="N81"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1"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2">
      <c r="A82" t="inlineStr">
        <is>
          <t>GDPR</t>
        </is>
      </c>
      <c r="B82" t="inlineStr">
        <is>
          <t>CELEX_52023PC0360_EN_TXT (GDPR - Row 13)</t>
        </is>
      </c>
      <c r="C82" t="inlineStr">
        <is>
          <t>2</t>
        </is>
      </c>
      <c r="D82" s="8" t="inlineStr">
        <is>
          <t>Financial information service providers shall mandate their legal representatives to</t>
        </is>
      </c>
      <c r="E82" t="inlineStr">
        <is>
          <t>39</t>
        </is>
      </c>
      <c r="F82" t="inlineStr">
        <is>
          <t>Other</t>
        </is>
      </c>
      <c r="G82" t="inlineStr">
        <is>
          <t>None</t>
        </is>
      </c>
      <c r="H82" t="inlineStr">
        <is>
          <t>High (explicit)</t>
        </is>
      </c>
      <c r="I82" s="8" t="inlineStr"/>
      <c r="J82" s="8" t="inlineStr"/>
      <c r="K82" t="inlineStr"/>
      <c r="L82"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2" s="8" t="inlineStr"/>
      <c r="N82"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2"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3">
      <c r="A83" t="inlineStr">
        <is>
          <t>GDPR</t>
        </is>
      </c>
      <c r="B83" t="inlineStr">
        <is>
          <t>CELEX_52023PC0360_EN_TXT (GDPR - Row 13)</t>
        </is>
      </c>
      <c r="C83" t="inlineStr">
        <is>
          <t>2</t>
        </is>
      </c>
      <c r="D83" s="8" t="inlineStr">
        <is>
          <t>The competent authority shall authorise a third country financial information service</t>
        </is>
      </c>
      <c r="E83" t="inlineStr">
        <is>
          <t>40</t>
        </is>
      </c>
      <c r="F83" t="inlineStr">
        <is>
          <t>Other</t>
        </is>
      </c>
      <c r="G83" t="inlineStr">
        <is>
          <t>None</t>
        </is>
      </c>
      <c r="H83" t="inlineStr">
        <is>
          <t>High (explicit)</t>
        </is>
      </c>
      <c r="I83" s="8" t="inlineStr"/>
      <c r="J83" s="8" t="inlineStr"/>
      <c r="K83" t="inlineStr"/>
      <c r="L83"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3" s="8" t="inlineStr"/>
      <c r="N83"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3"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4">
      <c r="A84" t="inlineStr">
        <is>
          <t>GDPR</t>
        </is>
      </c>
      <c r="B84" t="inlineStr">
        <is>
          <t>CELEX_52023PC0360_EN_TXT (GDPR - Row 13)</t>
        </is>
      </c>
      <c r="C84" t="inlineStr">
        <is>
          <t>2</t>
        </is>
      </c>
      <c r="D84" s="8" t="inlineStr">
        <is>
          <t>Member States shall ensure that the competent authorities designated under</t>
        </is>
      </c>
      <c r="E84" t="inlineStr">
        <is>
          <t>42</t>
        </is>
      </c>
      <c r="F84" t="inlineStr">
        <is>
          <t>Other</t>
        </is>
      </c>
      <c r="G84" t="inlineStr">
        <is>
          <t>None</t>
        </is>
      </c>
      <c r="H84" t="inlineStr">
        <is>
          <t>High (explicit)</t>
        </is>
      </c>
      <c r="I84" s="8" t="inlineStr"/>
      <c r="J84" s="8" t="inlineStr"/>
      <c r="K84" t="inlineStr"/>
      <c r="L84"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4" s="8" t="inlineStr"/>
      <c r="N84"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4"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5">
      <c r="A85" t="inlineStr">
        <is>
          <t>GDPR</t>
        </is>
      </c>
      <c r="B85" t="inlineStr">
        <is>
          <t>CELEX_52023PC0360_EN_TXT (GDPR - Row 13)</t>
        </is>
      </c>
      <c r="C85" t="inlineStr">
        <is>
          <t>2</t>
        </is>
      </c>
      <c r="D85" s="8" t="inlineStr">
        <is>
          <t>Competent authorities shall exercise their powers to investigate potential breaches of</t>
        </is>
      </c>
      <c r="E85" t="inlineStr">
        <is>
          <t>44</t>
        </is>
      </c>
      <c r="F85" t="inlineStr">
        <is>
          <t>Other</t>
        </is>
      </c>
      <c r="G85" t="inlineStr">
        <is>
          <t>None</t>
        </is>
      </c>
      <c r="H85" t="inlineStr">
        <is>
          <t>High (explicit)</t>
        </is>
      </c>
      <c r="I85" s="8" t="inlineStr"/>
      <c r="J85" s="8" t="inlineStr"/>
      <c r="K85" t="inlineStr"/>
      <c r="L85"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5" s="8" t="inlineStr"/>
      <c r="N85"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5"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6">
      <c r="A86" t="inlineStr">
        <is>
          <t>GDPR</t>
        </is>
      </c>
      <c r="B86" t="inlineStr">
        <is>
          <t>CELEX_52023PC0360_EN_TXT (GDPR - Row 13)</t>
        </is>
      </c>
      <c r="C86" t="inlineStr">
        <is>
          <t>2</t>
        </is>
      </c>
      <c r="D86" s="8" t="inlineStr">
        <is>
          <t>Member States may lay down rules enabling their competent authorities to close an</t>
        </is>
      </c>
      <c r="E86" t="inlineStr">
        <is>
          <t>44–45</t>
        </is>
      </c>
      <c r="F86" t="inlineStr">
        <is>
          <t>Other</t>
        </is>
      </c>
      <c r="G86" t="inlineStr">
        <is>
          <t>None</t>
        </is>
      </c>
      <c r="H86" t="inlineStr">
        <is>
          <t>High (explicit)</t>
        </is>
      </c>
      <c r="I86" s="8" t="inlineStr"/>
      <c r="J86" s="8" t="inlineStr"/>
      <c r="K86" t="inlineStr"/>
      <c r="L86"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6" s="8" t="inlineStr"/>
      <c r="N86"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6"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7">
      <c r="A87" t="inlineStr">
        <is>
          <t>GDPR</t>
        </is>
      </c>
      <c r="B87" t="inlineStr">
        <is>
          <t>CELEX_52023PC0360_EN_TXT (GDPR - Row 13)</t>
        </is>
      </c>
      <c r="C87" t="inlineStr">
        <is>
          <t>2</t>
        </is>
      </c>
      <c r="D87" s="8" t="inlineStr">
        <is>
          <t>Member States may decide not to lay down rules on administrative sanctions and</t>
        </is>
      </c>
      <c r="E87" t="inlineStr">
        <is>
          <t>45</t>
        </is>
      </c>
      <c r="F87" t="inlineStr">
        <is>
          <t>Other</t>
        </is>
      </c>
      <c r="G87" t="inlineStr">
        <is>
          <t>None</t>
        </is>
      </c>
      <c r="H87" t="inlineStr">
        <is>
          <t>High (explicit)</t>
        </is>
      </c>
      <c r="I87" s="8" t="inlineStr"/>
      <c r="J87" s="8" t="inlineStr"/>
      <c r="K87" t="inlineStr"/>
      <c r="L87"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7" s="8" t="inlineStr"/>
      <c r="N87"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7"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8">
      <c r="A88" t="inlineStr">
        <is>
          <t>GDPR</t>
        </is>
      </c>
      <c r="B88" t="inlineStr">
        <is>
          <t>CELEX_52023PC0360_EN_TXT (GDPR - Row 13)</t>
        </is>
      </c>
      <c r="C88" t="inlineStr">
        <is>
          <t>2</t>
        </is>
      </c>
      <c r="D88" s="8" t="inlineStr">
        <is>
          <t>Competent authorities that use settlement agreements or expedited enforcement</t>
        </is>
      </c>
      <c r="E88" t="inlineStr">
        <is>
          <t>48</t>
        </is>
      </c>
      <c r="F88" t="inlineStr">
        <is>
          <t>Other</t>
        </is>
      </c>
      <c r="G88" t="inlineStr">
        <is>
          <t>None</t>
        </is>
      </c>
      <c r="H88" t="inlineStr">
        <is>
          <t>High (explicit)</t>
        </is>
      </c>
      <c r="I88" s="8" t="inlineStr"/>
      <c r="J88" s="8" t="inlineStr"/>
      <c r="K88" t="inlineStr"/>
      <c r="L88"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8" s="8" t="inlineStr"/>
      <c r="N88"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8"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89">
      <c r="A89" t="inlineStr">
        <is>
          <t>GDPR</t>
        </is>
      </c>
      <c r="B89" t="inlineStr">
        <is>
          <t>CELEX_52023PC0360_EN_TXT (GDPR - Row 13)</t>
        </is>
      </c>
      <c r="C89" t="inlineStr">
        <is>
          <t>2</t>
        </is>
      </c>
      <c r="D89" s="8" t="inlineStr">
        <is>
          <t>The information exchanged in accordance with Article 26 shall be subject to the</t>
        </is>
      </c>
      <c r="E89" t="inlineStr">
        <is>
          <t>48</t>
        </is>
      </c>
      <c r="F89" t="inlineStr">
        <is>
          <t>Other</t>
        </is>
      </c>
      <c r="G89" t="inlineStr">
        <is>
          <t>None</t>
        </is>
      </c>
      <c r="H89" t="inlineStr">
        <is>
          <t>High (explicit)</t>
        </is>
      </c>
      <c r="I89" s="8" t="inlineStr"/>
      <c r="J89" s="8" t="inlineStr"/>
      <c r="K89" t="inlineStr"/>
      <c r="L89"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89" s="8" t="inlineStr"/>
      <c r="N89"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89"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0">
      <c r="A90" t="inlineStr">
        <is>
          <t>GDPR</t>
        </is>
      </c>
      <c r="B90" t="inlineStr">
        <is>
          <t>CELEX_52023PC0360_EN_TXT (GDPR - Row 13)</t>
        </is>
      </c>
      <c r="C90" t="inlineStr">
        <is>
          <t>2</t>
        </is>
      </c>
      <c r="D90" s="8" t="inlineStr">
        <is>
          <t>By derogation from paragraph 1, where the publication of the identity or other</t>
        </is>
      </c>
      <c r="E90" t="inlineStr">
        <is>
          <t>48–49</t>
        </is>
      </c>
      <c r="F90" t="inlineStr">
        <is>
          <t>Other</t>
        </is>
      </c>
      <c r="G90" t="inlineStr">
        <is>
          <t>None</t>
        </is>
      </c>
      <c r="H90" t="inlineStr">
        <is>
          <t>High (explicit)</t>
        </is>
      </c>
      <c r="I90" s="8" t="inlineStr"/>
      <c r="J90" s="8" t="inlineStr"/>
      <c r="K90" t="inlineStr"/>
      <c r="L90"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90" s="8" t="inlineStr"/>
      <c r="N90"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90"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1">
      <c r="A91" t="inlineStr">
        <is>
          <t>GDPR</t>
        </is>
      </c>
      <c r="B91" t="inlineStr">
        <is>
          <t>CELEX_52023PC0360_EN_TXT (GDPR - Row 13)</t>
        </is>
      </c>
      <c r="C91" t="inlineStr">
        <is>
          <t>2</t>
        </is>
      </c>
      <c r="D91" s="8" t="inlineStr">
        <is>
          <t>The exchange of information between competent authorities and the competent</t>
        </is>
      </c>
      <c r="E91" t="inlineStr">
        <is>
          <t>49</t>
        </is>
      </c>
      <c r="F91" t="inlineStr">
        <is>
          <t>Other</t>
        </is>
      </c>
      <c r="G91" t="inlineStr">
        <is>
          <t>None</t>
        </is>
      </c>
      <c r="H91" t="inlineStr">
        <is>
          <t>High (explicit)</t>
        </is>
      </c>
      <c r="I91" s="8" t="inlineStr"/>
      <c r="J91" s="8" t="inlineStr"/>
      <c r="K91" t="inlineStr"/>
      <c r="L91"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91" s="8" t="inlineStr"/>
      <c r="N91"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91"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2">
      <c r="A92" t="inlineStr">
        <is>
          <t>GDPR</t>
        </is>
      </c>
      <c r="B92" t="inlineStr">
        <is>
          <t>CELEX_52023PC0360_EN_TXT (GDPR - Row 13)</t>
        </is>
      </c>
      <c r="C92" t="inlineStr">
        <is>
          <t>2</t>
        </is>
      </c>
      <c r="D92" s="8" t="inlineStr">
        <is>
          <t>Where EBA has been requested to provide assistance pursuant to paragraph 1, it shall</t>
        </is>
      </c>
      <c r="E92" t="inlineStr">
        <is>
          <t>50</t>
        </is>
      </c>
      <c r="F92" t="inlineStr">
        <is>
          <t>Other</t>
        </is>
      </c>
      <c r="G92" t="inlineStr">
        <is>
          <t>None</t>
        </is>
      </c>
      <c r="H92" t="inlineStr">
        <is>
          <t>High (explicit)</t>
        </is>
      </c>
      <c r="I92" s="8" t="inlineStr"/>
      <c r="J92" s="8" t="inlineStr"/>
      <c r="K92" t="inlineStr"/>
      <c r="L92"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92" s="8" t="inlineStr"/>
      <c r="N92"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92"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3">
      <c r="A93" t="inlineStr">
        <is>
          <t>GDPR</t>
        </is>
      </c>
      <c r="B93" t="inlineStr">
        <is>
          <t>CELEX_52023PC0360_EN_TXT (GDPR - Row 13)</t>
        </is>
      </c>
      <c r="C93" t="inlineStr">
        <is>
          <t>2</t>
        </is>
      </c>
      <c r="D93" s="8" t="inlineStr">
        <is>
          <t>A financial information service provider wishing to have access to the data listed in</t>
        </is>
      </c>
      <c r="E93" t="inlineStr">
        <is>
          <t>50</t>
        </is>
      </c>
      <c r="F93" t="inlineStr">
        <is>
          <t>Other</t>
        </is>
      </c>
      <c r="G93" t="inlineStr">
        <is>
          <t>None</t>
        </is>
      </c>
      <c r="H93" t="inlineStr">
        <is>
          <t>High (explicit)</t>
        </is>
      </c>
      <c r="I93" s="8" t="inlineStr"/>
      <c r="J93" s="8" t="inlineStr"/>
      <c r="K93" t="inlineStr"/>
      <c r="L93"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93" s="8" t="inlineStr"/>
      <c r="N93"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93"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4">
      <c r="A94" t="inlineStr">
        <is>
          <t>GDPR</t>
        </is>
      </c>
      <c r="B94" t="inlineStr">
        <is>
          <t>CELEX_52023PC0360_EN_TXT (GDPR - Row 13)</t>
        </is>
      </c>
      <c r="C94" t="inlineStr">
        <is>
          <t>2</t>
        </is>
      </c>
      <c r="D94" s="8" t="inlineStr">
        <is>
          <t>The power to adopt the delegated act referred to in Article 11, shall be conferred on</t>
        </is>
      </c>
      <c r="E94" t="inlineStr">
        <is>
          <t>51</t>
        </is>
      </c>
      <c r="F94" t="inlineStr">
        <is>
          <t>Other</t>
        </is>
      </c>
      <c r="G94" t="inlineStr">
        <is>
          <t>None</t>
        </is>
      </c>
      <c r="H94" t="inlineStr">
        <is>
          <t>High (explicit)</t>
        </is>
      </c>
      <c r="I94" s="8" t="inlineStr"/>
      <c r="J94" s="8" t="inlineStr"/>
      <c r="K94" t="inlineStr"/>
      <c r="L94"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94" s="8" t="inlineStr"/>
      <c r="N94"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94"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5">
      <c r="A95" t="inlineStr">
        <is>
          <t>GDPR</t>
        </is>
      </c>
      <c r="B95" t="inlineStr">
        <is>
          <t>CELEX_52023PC0360_EN_TXT (GDPR - Row 13)</t>
        </is>
      </c>
      <c r="C95" t="inlineStr">
        <is>
          <t>2</t>
        </is>
      </c>
      <c r="D95" s="8" t="inlineStr">
        <is>
          <t>By [OP please insert the date = 4 years after the date of entry into force of this</t>
        </is>
      </c>
      <c r="E95" t="inlineStr">
        <is>
          <t>52–54</t>
        </is>
      </c>
      <c r="F95" t="inlineStr">
        <is>
          <t>Other</t>
        </is>
      </c>
      <c r="G95" t="inlineStr">
        <is>
          <t>None</t>
        </is>
      </c>
      <c r="H95" t="inlineStr">
        <is>
          <t>High (explicit)</t>
        </is>
      </c>
      <c r="I95" s="8" t="inlineStr"/>
      <c r="J95" s="8" t="inlineStr"/>
      <c r="K95" t="inlineStr"/>
      <c r="L95" s="8" t="inlineStr">
        <is>
          <t>Four years after the Regulation enters into force, the Commission must submit a report to the European Parliament and Council assessing access conditions for financial data for account information service providers under this Regulation and Directive (EU) 2015/2366. The report may include a legislative proposal.</t>
        </is>
      </c>
      <c r="M95" s="8" t="inlineStr"/>
      <c r="N95" s="8" t="inlineStr">
        <is>
          <t>[Must] 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
[May] The report can be accompanied, if deemed appropriate, by a legislative proposal</t>
        </is>
      </c>
      <c r="O95" s="8" t="inlineStr">
        <is>
          <t>By [OP please insert the date = 4 years after the date of entry into force of this Regulation, the Commission shall submit a report to the European Parliament and the Council assessing the conditions for access to financial data applicable to account information service providers under this Regulation and under Directive (EU) 2015/2366.</t>
        </is>
      </c>
    </row>
    <row r="96">
      <c r="A96" t="inlineStr">
        <is>
          <t>GDPR</t>
        </is>
      </c>
      <c r="B96" t="inlineStr">
        <is>
          <t>CELEX_52023PC0360_EN_TXT (GDPR - Row 13)</t>
        </is>
      </c>
      <c r="C96" t="inlineStr">
        <is>
          <t>3</t>
        </is>
      </c>
      <c r="D96" s="8" t="inlineStr">
        <is>
          <t>RESULTS</t>
        </is>
      </c>
      <c r="E96" t="inlineStr">
        <is>
          <t>5–9</t>
        </is>
      </c>
      <c r="F96" t="inlineStr">
        <is>
          <t>Other</t>
        </is>
      </c>
      <c r="G96" t="inlineStr">
        <is>
          <t>High</t>
        </is>
      </c>
      <c r="H96" t="inlineStr">
        <is>
          <t>Medium (merged from chunks)</t>
        </is>
      </c>
      <c r="I96" s="8" t="inlineStr">
        <is>
          <t>Cross-border Transfer, International Processing, Data Sharing, Financial Data</t>
        </is>
      </c>
      <c r="J96" s="8" t="inlineStr">
        <is>
          <t>Financial Data</t>
        </is>
      </c>
      <c r="K96" t="inlineStr">
        <is>
          <t>European Commission</t>
        </is>
      </c>
      <c r="L96"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96"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96"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96" s="8" t="inlineStr">
        <is>
          <t>On 10 May 2022, the European Commission launched a call for evidence on financial data access. The call for evidence closed on 2 August 2022, gathering 79 responses.</t>
        </is>
      </c>
    </row>
    <row r="97">
      <c r="A97" t="inlineStr">
        <is>
          <t>GDPR</t>
        </is>
      </c>
      <c r="B97" t="inlineStr">
        <is>
          <t>CELEX_52023PC0360_EN_TXT (GDPR - Row 13)</t>
        </is>
      </c>
      <c r="C97" t="inlineStr">
        <is>
          <t>3</t>
        </is>
      </c>
      <c r="D97" s="8" t="inlineStr">
        <is>
          <t>A customer may withdraw the permission it has granted to a data user. When</t>
        </is>
      </c>
      <c r="E97" t="inlineStr">
        <is>
          <t>32</t>
        </is>
      </c>
      <c r="F97" t="inlineStr">
        <is>
          <t>Other</t>
        </is>
      </c>
      <c r="G97" t="inlineStr">
        <is>
          <t>High</t>
        </is>
      </c>
      <c r="H97" t="inlineStr">
        <is>
          <t>Medium (merged from chunks)</t>
        </is>
      </c>
      <c r="I97" s="8" t="inlineStr">
        <is>
          <t>Cross-border Transfer, International Processing, Data Sharing, Financial Data</t>
        </is>
      </c>
      <c r="J97" s="8" t="inlineStr">
        <is>
          <t>Financial Data</t>
        </is>
      </c>
      <c r="K97" t="inlineStr">
        <is>
          <t>European Commission</t>
        </is>
      </c>
      <c r="L97"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97"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97"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97" s="8" t="inlineStr">
        <is>
          <t>On 10 May 2022, the European Commission launched a call for evidence on financial data access. The call for evidence closed on 2 August 2022, gathering 79 responses.</t>
        </is>
      </c>
    </row>
    <row r="98">
      <c r="A98" t="inlineStr">
        <is>
          <t>GDPR</t>
        </is>
      </c>
      <c r="B98" t="inlineStr">
        <is>
          <t>CELEX_52023PC0360_EN_TXT (GDPR - Row 13)</t>
        </is>
      </c>
      <c r="C98" t="inlineStr">
        <is>
          <t>3</t>
        </is>
      </c>
      <c r="D98" s="8" t="inlineStr">
        <is>
          <t>In accordance with Article 16 of Regulation (EU) No 1094/2010, the European</t>
        </is>
      </c>
      <c r="E98" t="inlineStr">
        <is>
          <t>32–33</t>
        </is>
      </c>
      <c r="F98" t="inlineStr">
        <is>
          <t>Other</t>
        </is>
      </c>
      <c r="G98" t="inlineStr">
        <is>
          <t>High</t>
        </is>
      </c>
      <c r="H98" t="inlineStr">
        <is>
          <t>Medium (merged from chunks)</t>
        </is>
      </c>
      <c r="I98" s="8" t="inlineStr">
        <is>
          <t>Cross-border Transfer, International Processing, Data Sharing, Financial Data</t>
        </is>
      </c>
      <c r="J98" s="8" t="inlineStr">
        <is>
          <t>Financial Data</t>
        </is>
      </c>
      <c r="K98" t="inlineStr">
        <is>
          <t>European Commission</t>
        </is>
      </c>
      <c r="L98"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98"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98"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98" s="8" t="inlineStr">
        <is>
          <t>On 10 May 2022, the European Commission launched a call for evidence on financial data access. The call for evidence closed on 2 August 2022, gathering 79 responses.</t>
        </is>
      </c>
    </row>
    <row r="99">
      <c r="A99" t="inlineStr">
        <is>
          <t>GDPR</t>
        </is>
      </c>
      <c r="B99" t="inlineStr">
        <is>
          <t>CELEX_52023PC0360_EN_TXT (GDPR - Row 13)</t>
        </is>
      </c>
      <c r="C99" t="inlineStr">
        <is>
          <t>3</t>
        </is>
      </c>
      <c r="D99" s="8" t="inlineStr">
        <is>
          <t>The data holder shall ensure that the permission dashboard is easy to find in its user</t>
        </is>
      </c>
      <c r="E99" t="inlineStr">
        <is>
          <t>33</t>
        </is>
      </c>
      <c r="F99" t="inlineStr">
        <is>
          <t>Other</t>
        </is>
      </c>
      <c r="G99" t="inlineStr">
        <is>
          <t>High</t>
        </is>
      </c>
      <c r="H99" t="inlineStr">
        <is>
          <t>Medium (merged from chunks)</t>
        </is>
      </c>
      <c r="I99" s="8" t="inlineStr">
        <is>
          <t>Cross-border Transfer, International Processing, Data Sharing, Financial Data</t>
        </is>
      </c>
      <c r="J99" s="8" t="inlineStr">
        <is>
          <t>Financial Data</t>
        </is>
      </c>
      <c r="K99" t="inlineStr">
        <is>
          <t>European Commission</t>
        </is>
      </c>
      <c r="L99"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99"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99"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99" s="8" t="inlineStr">
        <is>
          <t>On 10 May 2022, the European Commission launched a call for evidence on financial data access. The call for evidence closed on 2 August 2022, gathering 79 responses.</t>
        </is>
      </c>
    </row>
    <row r="100">
      <c r="A100" t="inlineStr">
        <is>
          <t>GDPR</t>
        </is>
      </c>
      <c r="B100" t="inlineStr">
        <is>
          <t>CELEX_52023PC0360_EN_TXT (GDPR - Row 13)</t>
        </is>
      </c>
      <c r="C100" t="inlineStr">
        <is>
          <t>3</t>
        </is>
      </c>
      <c r="D100" s="8" t="inlineStr">
        <is>
          <t>A data holder shall communicate to the competent authority of the Member State of</t>
        </is>
      </c>
      <c r="E100" t="inlineStr">
        <is>
          <t>36</t>
        </is>
      </c>
      <c r="F100" t="inlineStr">
        <is>
          <t>Other</t>
        </is>
      </c>
      <c r="G100" t="inlineStr">
        <is>
          <t>High</t>
        </is>
      </c>
      <c r="H100" t="inlineStr">
        <is>
          <t>Medium (merged from chunks)</t>
        </is>
      </c>
      <c r="I100" s="8" t="inlineStr">
        <is>
          <t>Cross-border Transfer, International Processing, Data Sharing, Financial Data</t>
        </is>
      </c>
      <c r="J100" s="8" t="inlineStr">
        <is>
          <t>Financial Data</t>
        </is>
      </c>
      <c r="K100" t="inlineStr">
        <is>
          <t>European Commission</t>
        </is>
      </c>
      <c r="L100"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0"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0"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0" s="8" t="inlineStr">
        <is>
          <t>On 10 May 2022, the European Commission launched a call for evidence on financial data access. The call for evidence closed on 2 August 2022, gathering 79 responses.</t>
        </is>
      </c>
    </row>
    <row r="101">
      <c r="A101" t="inlineStr">
        <is>
          <t>GDPR</t>
        </is>
      </c>
      <c r="B101" t="inlineStr">
        <is>
          <t>CELEX_52023PC0360_EN_TXT (GDPR - Row 13)</t>
        </is>
      </c>
      <c r="C101" t="inlineStr">
        <is>
          <t>3</t>
        </is>
      </c>
      <c r="D101" s="8" t="inlineStr">
        <is>
          <t>Financial information service providers shall hold a professional indemnity insurance</t>
        </is>
      </c>
      <c r="E101" t="inlineStr">
        <is>
          <t>38</t>
        </is>
      </c>
      <c r="F101" t="inlineStr">
        <is>
          <t>Other</t>
        </is>
      </c>
      <c r="G101" t="inlineStr">
        <is>
          <t>High</t>
        </is>
      </c>
      <c r="H101" t="inlineStr">
        <is>
          <t>Medium (merged from chunks)</t>
        </is>
      </c>
      <c r="I101" s="8" t="inlineStr">
        <is>
          <t>Cross-border Transfer, International Processing, Data Sharing, Financial Data</t>
        </is>
      </c>
      <c r="J101" s="8" t="inlineStr">
        <is>
          <t>Financial Data</t>
        </is>
      </c>
      <c r="K101" t="inlineStr">
        <is>
          <t>European Commission</t>
        </is>
      </c>
      <c r="L101"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1"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1"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1" s="8" t="inlineStr">
        <is>
          <t>On 10 May 2022, the European Commission launched a call for evidence on financial data access. The call for evidence closed on 2 August 2022, gathering 79 responses.</t>
        </is>
      </c>
    </row>
    <row r="102">
      <c r="A102" t="inlineStr">
        <is>
          <t>GDPR</t>
        </is>
      </c>
      <c r="B102" t="inlineStr">
        <is>
          <t>CELEX_52023PC0360_EN_TXT (GDPR - Row 13)</t>
        </is>
      </c>
      <c r="C102" t="inlineStr">
        <is>
          <t>3</t>
        </is>
      </c>
      <c r="D102" s="8" t="inlineStr">
        <is>
          <t>The designated legal representative may be held liable for non-compliance with</t>
        </is>
      </c>
      <c r="E102" t="inlineStr">
        <is>
          <t>39</t>
        </is>
      </c>
      <c r="F102" t="inlineStr">
        <is>
          <t>Other</t>
        </is>
      </c>
      <c r="G102" t="inlineStr">
        <is>
          <t>High</t>
        </is>
      </c>
      <c r="H102" t="inlineStr">
        <is>
          <t>Medium (merged from chunks)</t>
        </is>
      </c>
      <c r="I102" s="8" t="inlineStr">
        <is>
          <t>Cross-border Transfer, International Processing, Data Sharing, Financial Data</t>
        </is>
      </c>
      <c r="J102" s="8" t="inlineStr">
        <is>
          <t>Financial Data</t>
        </is>
      </c>
      <c r="K102" t="inlineStr">
        <is>
          <t>European Commission</t>
        </is>
      </c>
      <c r="L102"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2"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2"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2" s="8" t="inlineStr">
        <is>
          <t>On 10 May 2022, the European Commission launched a call for evidence on financial data access. The call for evidence closed on 2 August 2022, gathering 79 responses.</t>
        </is>
      </c>
    </row>
    <row r="103">
      <c r="A103" t="inlineStr">
        <is>
          <t>GDPR</t>
        </is>
      </c>
      <c r="B103" t="inlineStr">
        <is>
          <t>CELEX_52023PC0360_EN_TXT (GDPR - Row 13)</t>
        </is>
      </c>
      <c r="C103" t="inlineStr">
        <is>
          <t>3</t>
        </is>
      </c>
      <c r="D103" s="8" t="inlineStr">
        <is>
          <t>The competent authority shall grant an authorisation only if, taking into account the</t>
        </is>
      </c>
      <c r="E103" t="inlineStr">
        <is>
          <t>40</t>
        </is>
      </c>
      <c r="F103" t="inlineStr">
        <is>
          <t>Other</t>
        </is>
      </c>
      <c r="G103" t="inlineStr">
        <is>
          <t>High</t>
        </is>
      </c>
      <c r="H103" t="inlineStr">
        <is>
          <t>Medium (merged from chunks)</t>
        </is>
      </c>
      <c r="I103" s="8" t="inlineStr">
        <is>
          <t>Cross-border Transfer, International Processing, Data Sharing, Financial Data</t>
        </is>
      </c>
      <c r="J103" s="8" t="inlineStr">
        <is>
          <t>Financial Data</t>
        </is>
      </c>
      <c r="K103" t="inlineStr">
        <is>
          <t>European Commission</t>
        </is>
      </c>
      <c r="L103"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3"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3"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3" s="8" t="inlineStr">
        <is>
          <t>On 10 May 2022, the European Commission launched a call for evidence on financial data access. The call for evidence closed on 2 August 2022, gathering 79 responses.</t>
        </is>
      </c>
    </row>
    <row r="104">
      <c r="A104" t="inlineStr">
        <is>
          <t>GDPR</t>
        </is>
      </c>
      <c r="B104" t="inlineStr">
        <is>
          <t>CELEX_52023PC0360_EN_TXT (GDPR - Row 13)</t>
        </is>
      </c>
      <c r="C104" t="inlineStr">
        <is>
          <t>3</t>
        </is>
      </c>
      <c r="D104" s="8" t="inlineStr">
        <is>
          <t>Member States who have appointed within their jurisdiction more than one</t>
        </is>
      </c>
      <c r="E104" t="inlineStr">
        <is>
          <t>42</t>
        </is>
      </c>
      <c r="F104" t="inlineStr">
        <is>
          <t>Other</t>
        </is>
      </c>
      <c r="G104" t="inlineStr">
        <is>
          <t>High</t>
        </is>
      </c>
      <c r="H104" t="inlineStr">
        <is>
          <t>Medium (merged from chunks)</t>
        </is>
      </c>
      <c r="I104" s="8" t="inlineStr">
        <is>
          <t>Cross-border Transfer, International Processing, Data Sharing, Financial Data</t>
        </is>
      </c>
      <c r="J104" s="8" t="inlineStr">
        <is>
          <t>Financial Data</t>
        </is>
      </c>
      <c r="K104" t="inlineStr">
        <is>
          <t>European Commission</t>
        </is>
      </c>
      <c r="L104"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4"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4"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4" s="8" t="inlineStr">
        <is>
          <t>On 10 May 2022, the European Commission launched a call for evidence on financial data access. The call for evidence closed on 2 August 2022, gathering 79 responses.</t>
        </is>
      </c>
    </row>
    <row r="105">
      <c r="A105" t="inlineStr">
        <is>
          <t>GDPR</t>
        </is>
      </c>
      <c r="B105" t="inlineStr">
        <is>
          <t>CELEX_52023PC0360_EN_TXT (GDPR - Row 13)</t>
        </is>
      </c>
      <c r="C105" t="inlineStr">
        <is>
          <t>3</t>
        </is>
      </c>
      <c r="D105" s="8" t="inlineStr">
        <is>
          <t>In the exercise of their investigatory and sanctioning powers, including in cross</t>
        </is>
      </c>
      <c r="E105" t="inlineStr">
        <is>
          <t>44</t>
        </is>
      </c>
      <c r="F105" t="inlineStr">
        <is>
          <t>Other</t>
        </is>
      </c>
      <c r="G105" t="inlineStr">
        <is>
          <t>High</t>
        </is>
      </c>
      <c r="H105" t="inlineStr">
        <is>
          <t>Medium (merged from chunks)</t>
        </is>
      </c>
      <c r="I105" s="8" t="inlineStr">
        <is>
          <t>Cross-border Transfer, International Processing, Data Sharing, Financial Data</t>
        </is>
      </c>
      <c r="J105" s="8" t="inlineStr">
        <is>
          <t>Financial Data</t>
        </is>
      </c>
      <c r="K105" t="inlineStr">
        <is>
          <t>European Commission</t>
        </is>
      </c>
      <c r="L105"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5"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5"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5" s="8" t="inlineStr">
        <is>
          <t>On 10 May 2022, the European Commission launched a call for evidence on financial data access. The call for evidence closed on 2 August 2022, gathering 79 responses.</t>
        </is>
      </c>
    </row>
    <row r="106">
      <c r="A106" t="inlineStr">
        <is>
          <t>GDPR</t>
        </is>
      </c>
      <c r="B106" t="inlineStr">
        <is>
          <t>CELEX_52023PC0360_EN_TXT (GDPR - Row 13)</t>
        </is>
      </c>
      <c r="C106" t="inlineStr">
        <is>
          <t>3</t>
        </is>
      </c>
      <c r="D106" s="8" t="inlineStr">
        <is>
          <t>Where Member States lay down the rules referred to in paragraph 1, they shall notify</t>
        </is>
      </c>
      <c r="E106" t="inlineStr">
        <is>
          <t>45</t>
        </is>
      </c>
      <c r="F106" t="inlineStr">
        <is>
          <t>Other</t>
        </is>
      </c>
      <c r="G106" t="inlineStr">
        <is>
          <t>High</t>
        </is>
      </c>
      <c r="H106" t="inlineStr">
        <is>
          <t>Medium (merged from chunks)</t>
        </is>
      </c>
      <c r="I106" s="8" t="inlineStr">
        <is>
          <t>Cross-border Transfer, International Processing, Data Sharing, Financial Data</t>
        </is>
      </c>
      <c r="J106" s="8" t="inlineStr">
        <is>
          <t>Financial Data</t>
        </is>
      </c>
      <c r="K106" t="inlineStr">
        <is>
          <t>European Commission</t>
        </is>
      </c>
      <c r="L106"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6"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6"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6" s="8" t="inlineStr">
        <is>
          <t>On 10 May 2022, the European Commission launched a call for evidence on financial data access. The call for evidence closed on 2 August 2022, gathering 79 responses.</t>
        </is>
      </c>
    </row>
    <row r="107">
      <c r="A107" t="inlineStr">
        <is>
          <t>GDPR</t>
        </is>
      </c>
      <c r="B107" t="inlineStr">
        <is>
          <t>CELEX_52023PC0360_EN_TXT (GDPR - Row 13)</t>
        </is>
      </c>
      <c r="C107" t="inlineStr">
        <is>
          <t>3</t>
        </is>
      </c>
      <c r="D107" s="8" t="inlineStr">
        <is>
          <t>Member States shall, in accordance with national law, ensure that competent</t>
        </is>
      </c>
      <c r="E107" t="inlineStr">
        <is>
          <t>45–46</t>
        </is>
      </c>
      <c r="F107" t="inlineStr">
        <is>
          <t>Other</t>
        </is>
      </c>
      <c r="G107" t="inlineStr">
        <is>
          <t>High</t>
        </is>
      </c>
      <c r="H107" t="inlineStr">
        <is>
          <t>Medium (merged from chunks)</t>
        </is>
      </c>
      <c r="I107" s="8" t="inlineStr">
        <is>
          <t>Cross-border Transfer, International Processing, Data Sharing, Financial Data</t>
        </is>
      </c>
      <c r="J107" s="8" t="inlineStr">
        <is>
          <t>Financial Data</t>
        </is>
      </c>
      <c r="K107" t="inlineStr">
        <is>
          <t>European Commission</t>
        </is>
      </c>
      <c r="L107"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7"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7"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7" s="8" t="inlineStr">
        <is>
          <t>On 10 May 2022, the European Commission launched a call for evidence on financial data access. The call for evidence closed on 2 August 2022, gathering 79 responses.</t>
        </is>
      </c>
    </row>
    <row r="108">
      <c r="A108" t="inlineStr">
        <is>
          <t>GDPR</t>
        </is>
      </c>
      <c r="B108" t="inlineStr">
        <is>
          <t>CELEX_52023PC0360_EN_TXT (GDPR - Row 13)</t>
        </is>
      </c>
      <c r="C108" t="inlineStr">
        <is>
          <t>3</t>
        </is>
      </c>
      <c r="D108" s="8" t="inlineStr">
        <is>
          <t>Member States may provide for higher amounts of periodic penalty payments than</t>
        </is>
      </c>
      <c r="E108" t="inlineStr">
        <is>
          <t>47</t>
        </is>
      </c>
      <c r="F108" t="inlineStr">
        <is>
          <t>Other</t>
        </is>
      </c>
      <c r="G108" t="inlineStr">
        <is>
          <t>High</t>
        </is>
      </c>
      <c r="H108" t="inlineStr">
        <is>
          <t>Medium (merged from chunks)</t>
        </is>
      </c>
      <c r="I108" s="8" t="inlineStr">
        <is>
          <t>Cross-border Transfer, International Processing, Data Sharing, Financial Data</t>
        </is>
      </c>
      <c r="J108" s="8" t="inlineStr">
        <is>
          <t>Financial Data</t>
        </is>
      </c>
      <c r="K108" t="inlineStr">
        <is>
          <t>European Commission</t>
        </is>
      </c>
      <c r="L108"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8"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8"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8" s="8" t="inlineStr">
        <is>
          <t>On 10 May 2022, the European Commission launched a call for evidence on financial data access. The call for evidence closed on 2 August 2022, gathering 79 responses.</t>
        </is>
      </c>
    </row>
    <row r="109">
      <c r="A109" t="inlineStr">
        <is>
          <t>GDPR</t>
        </is>
      </c>
      <c r="B109" t="inlineStr">
        <is>
          <t>CELEX_52023PC0360_EN_TXT (GDPR - Row 13)</t>
        </is>
      </c>
      <c r="C109" t="inlineStr">
        <is>
          <t>3</t>
        </is>
      </c>
      <c r="D109" s="8" t="inlineStr">
        <is>
          <t>Where the decision imposing an administrative penalty or other administrative</t>
        </is>
      </c>
      <c r="E109" t="inlineStr">
        <is>
          <t>49</t>
        </is>
      </c>
      <c r="F109" t="inlineStr">
        <is>
          <t>Other</t>
        </is>
      </c>
      <c r="G109" t="inlineStr">
        <is>
          <t>High</t>
        </is>
      </c>
      <c r="H109" t="inlineStr">
        <is>
          <t>Medium (merged from chunks)</t>
        </is>
      </c>
      <c r="I109" s="8" t="inlineStr">
        <is>
          <t>Cross-border Transfer, International Processing, Data Sharing, Financial Data</t>
        </is>
      </c>
      <c r="J109" s="8" t="inlineStr">
        <is>
          <t>Financial Data</t>
        </is>
      </c>
      <c r="K109" t="inlineStr">
        <is>
          <t>European Commission</t>
        </is>
      </c>
      <c r="L109"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09"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09"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09" s="8" t="inlineStr">
        <is>
          <t>On 10 May 2022, the European Commission launched a call for evidence on financial data access. The call for evidence closed on 2 August 2022, gathering 79 responses.</t>
        </is>
      </c>
    </row>
    <row r="110">
      <c r="A110" t="inlineStr">
        <is>
          <t>GDPR</t>
        </is>
      </c>
      <c r="B110" t="inlineStr">
        <is>
          <t>CELEX_52023PC0360_EN_TXT (GDPR - Row 13)</t>
        </is>
      </c>
      <c r="C110" t="inlineStr">
        <is>
          <t>3</t>
        </is>
      </c>
      <c r="D110" s="8" t="inlineStr">
        <is>
          <t>Competent authorities exchanging information with other competent authorities</t>
        </is>
      </c>
      <c r="E110" t="inlineStr">
        <is>
          <t>49</t>
        </is>
      </c>
      <c r="F110" t="inlineStr">
        <is>
          <t>Other</t>
        </is>
      </c>
      <c r="G110" t="inlineStr">
        <is>
          <t>High</t>
        </is>
      </c>
      <c r="H110" t="inlineStr">
        <is>
          <t>Medium (merged from chunks)</t>
        </is>
      </c>
      <c r="I110" s="8" t="inlineStr">
        <is>
          <t>Cross-border Transfer, International Processing, Data Sharing, Financial Data</t>
        </is>
      </c>
      <c r="J110" s="8" t="inlineStr">
        <is>
          <t>Financial Data</t>
        </is>
      </c>
      <c r="K110" t="inlineStr">
        <is>
          <t>European Commission</t>
        </is>
      </c>
      <c r="L110"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10"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10"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10" s="8" t="inlineStr">
        <is>
          <t>On 10 May 2022, the European Commission launched a call for evidence on financial data access. The call for evidence closed on 2 August 2022, gathering 79 responses.</t>
        </is>
      </c>
    </row>
    <row r="111">
      <c r="A111" t="inlineStr">
        <is>
          <t>GDPR</t>
        </is>
      </c>
      <c r="B111" t="inlineStr">
        <is>
          <t>CELEX_52023PC0360_EN_TXT (GDPR - Row 13)</t>
        </is>
      </c>
      <c r="C111" t="inlineStr">
        <is>
          <t>3</t>
        </is>
      </c>
      <c r="D111" s="8" t="inlineStr">
        <is>
          <t>Within 1 month of receipt of all of the information referred to in paragraph 1 the</t>
        </is>
      </c>
      <c r="E111" t="inlineStr">
        <is>
          <t>50</t>
        </is>
      </c>
      <c r="F111" t="inlineStr">
        <is>
          <t>Other</t>
        </is>
      </c>
      <c r="G111" t="inlineStr">
        <is>
          <t>High</t>
        </is>
      </c>
      <c r="H111" t="inlineStr">
        <is>
          <t>Medium (merged from chunks)</t>
        </is>
      </c>
      <c r="I111" s="8" t="inlineStr">
        <is>
          <t>Cross-border Transfer, International Processing, Data Sharing, Financial Data</t>
        </is>
      </c>
      <c r="J111" s="8" t="inlineStr">
        <is>
          <t>Financial Data</t>
        </is>
      </c>
      <c r="K111" t="inlineStr">
        <is>
          <t>European Commission</t>
        </is>
      </c>
      <c r="L111"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11"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11"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11" s="8" t="inlineStr">
        <is>
          <t>On 10 May 2022, the European Commission launched a call for evidence on financial data access. The call for evidence closed on 2 August 2022, gathering 79 responses.</t>
        </is>
      </c>
    </row>
    <row r="112">
      <c r="A112" t="inlineStr">
        <is>
          <t>GDPR</t>
        </is>
      </c>
      <c r="B112" t="inlineStr">
        <is>
          <t>CELEX_52023PC0360_EN_TXT (GDPR - Row 13)</t>
        </is>
      </c>
      <c r="C112" t="inlineStr">
        <is>
          <t>3</t>
        </is>
      </c>
      <c r="D112" s="8" t="inlineStr">
        <is>
          <t>The delegation of powers referred to in Article 11, may be revoked at any time by the</t>
        </is>
      </c>
      <c r="E112" t="inlineStr">
        <is>
          <t>51</t>
        </is>
      </c>
      <c r="F112" t="inlineStr">
        <is>
          <t>Other</t>
        </is>
      </c>
      <c r="G112" t="inlineStr">
        <is>
          <t>High</t>
        </is>
      </c>
      <c r="H112" t="inlineStr">
        <is>
          <t>Medium (merged from chunks)</t>
        </is>
      </c>
      <c r="I112" s="8" t="inlineStr">
        <is>
          <t>Cross-border Transfer, International Processing, Data Sharing, Financial Data</t>
        </is>
      </c>
      <c r="J112" s="8" t="inlineStr">
        <is>
          <t>Financial Data</t>
        </is>
      </c>
      <c r="K112" t="inlineStr">
        <is>
          <t>European Commission</t>
        </is>
      </c>
      <c r="L112" s="8" t="inlineStr">
        <is>
          <t>This section details the results of ex-post evaluations, stakeholder consultations, and impact assessments related to financial data access. It outlines the European Commission's consultations with stakeholders, including responses from individuals and professionals, and the Expert Group's report on open finance. The impact assessment was reviewed by the Regulatory Scrutiny Board and led to policy options focused on enhancing customer trust, legal clarity, standardization, and data sharing mechanisms within the financial sector. This section presents macroeconomic analysis of potential benefits and costs associated with enhanced data sharing in the EU financial sector. It estimates annual benefits between EUR 4.6 billion and EUR 12.4 billion for the EU economy, including EUR 663 million to EUR 2 billion for the financial data economy. The proposal also projects one-off costs up to EUR 2.2 billion and recurring annual costs between EUR 147 million and EUR 465 million. The analysis highlights how improved data access could support sustainable development, inclusive finance, and climate-related investments while addressing challenges in SME access to financial services.</t>
        </is>
      </c>
      <c r="M112" s="8" t="inlineStr">
        <is>
          <t>This section is irrelevant to Data Transfer Impact Assessments as it describes consultation outcomes and policy options for financial data access without specifying cross-border data transfer mechanisms, third-party processing, or data transfer safeguards. This section provides economic context for potential data transfer benefits but does not establish specific transfer mechanisms or safeguards required for DTIAs. It is not directly relevant to the technical or legal requirements of a Data Transfer Impact Assessment.</t>
        </is>
      </c>
      <c r="N112" s="8" t="inlineStr">
        <is>
          <t>[Notification] The European Commission launched a call for evidence on financial data access, gathering 79 responses by 2 August 2022.
[Notification] The Commission conducted a public consultation on the review of the revised Payment Services Directive (PSD2) and financial data access, receiving responses by 2 August 2022.
[Notification] The Commission held a targeted consultation on financial data access and data sharing in the financial sector, gathering 94 responses from professional stakeholders by 5 July 2022.
[Notification] The Commission received a report on open finance from the Expert Group on the European Financial Data Space on 24 October 2022.
[Notification] The impact assessment was submitted to the Regulatory Scrutiny Board (RSB) on 3 February 2023 and approved on 3 March 2023.
[Information] The total annual benefits for the EU economy produced by enhanced access to and sharing of data in the EU financial sector ranges between EUR 4.6 billion and EUR 12.4 billion
[Information] The overall estimated cost of the proposal could be up to a range of EUR 2.2 billion to EUR 2.4 billion in one-off costs and between EUR 147 million to EUR 465 million in recurring annual costs</t>
        </is>
      </c>
      <c r="O112" s="8" t="inlineStr">
        <is>
          <t>On 10 May 2022, the European Commission launched a call for evidence on financial data access. The call for evidence closed on 2 August 2022, gathering 79 responses.</t>
        </is>
      </c>
    </row>
    <row r="113">
      <c r="A113" t="inlineStr">
        <is>
          <t>GDPR</t>
        </is>
      </c>
      <c r="B113" t="inlineStr">
        <is>
          <t>CELEX_52023PC0360_EN_TXT (GDPR - Row 13)</t>
        </is>
      </c>
      <c r="C113" t="inlineStr">
        <is>
          <t>4</t>
        </is>
      </c>
      <c r="D113" s="8" t="inlineStr">
        <is>
          <t>BUDGETARY IMPLICATIONS</t>
        </is>
      </c>
      <c r="E113" t="inlineStr">
        <is>
          <t>9–10</t>
        </is>
      </c>
      <c r="F113" t="inlineStr">
        <is>
          <t>Other</t>
        </is>
      </c>
      <c r="G113" t="inlineStr">
        <is>
          <t>None</t>
        </is>
      </c>
      <c r="H113" t="inlineStr">
        <is>
          <t>High (explicit)</t>
        </is>
      </c>
      <c r="I113" s="8" t="inlineStr"/>
      <c r="J113" s="8" t="inlineStr"/>
      <c r="K113" t="inlineStr"/>
      <c r="L113"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3" s="8" t="inlineStr"/>
      <c r="N113" s="8" t="inlineStr">
        <is>
          <t>[Must] Before adopting a delegated act, the Commission shall consult experts designated by each Member State in accordance with the principles laid down in the Interinstitutional Agreement of 13 April 2016 on Better Law-Making.</t>
        </is>
      </c>
      <c r="O113" s="8" t="inlineStr">
        <is>
          <t>Before adopting a delegated act, the Commission shall consult experts signated by each Member State in accordance with the principles laid down in the Interinstitutional Agreement of 13 April 2016 on Better Law-Making.</t>
        </is>
      </c>
    </row>
    <row r="114">
      <c r="A114" t="inlineStr">
        <is>
          <t>GDPR</t>
        </is>
      </c>
      <c r="B114" t="inlineStr">
        <is>
          <t>CELEX_52023PC0360_EN_TXT (GDPR - Row 13)</t>
        </is>
      </c>
      <c r="C114" t="inlineStr">
        <is>
          <t>4</t>
        </is>
      </c>
      <c r="D114" s="8" t="inlineStr">
        <is>
          <t>This Regulation does not affect the application of other Union legal acts regarding</t>
        </is>
      </c>
      <c r="E114" t="inlineStr">
        <is>
          <t>28–31</t>
        </is>
      </c>
      <c r="F114" t="inlineStr">
        <is>
          <t>Other</t>
        </is>
      </c>
      <c r="G114" t="inlineStr">
        <is>
          <t>None</t>
        </is>
      </c>
      <c r="H114" t="inlineStr">
        <is>
          <t>High (explicit)</t>
        </is>
      </c>
      <c r="I114" s="8" t="inlineStr"/>
      <c r="J114" s="8" t="inlineStr"/>
      <c r="K114" t="inlineStr"/>
      <c r="L114"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4" s="8" t="inlineStr"/>
      <c r="N114" s="8" t="inlineStr">
        <is>
          <t>[Must] Before adopting a delegated act, the Commission shall consult experts designated by each Member State in accordance with the principles laid down in the Interinstitutional Agreement of 13 April 2016 on Better Law-Making.</t>
        </is>
      </c>
      <c r="O114" s="8" t="inlineStr">
        <is>
          <t>Before adopting a delegated act, the Commission shall consult experts signated by each Member State in accordance with the principles laid down in the Interinstitutional Agreement of 13 April 2016 on Better Law-Making.</t>
        </is>
      </c>
    </row>
    <row r="115">
      <c r="A115" t="inlineStr">
        <is>
          <t>GDPR</t>
        </is>
      </c>
      <c r="B115" t="inlineStr">
        <is>
          <t>CELEX_52023PC0360_EN_TXT (GDPR - Row 13)</t>
        </is>
      </c>
      <c r="C115" t="inlineStr">
        <is>
          <t>4</t>
        </is>
      </c>
      <c r="D115" s="8" t="inlineStr">
        <is>
          <t>To ensure the effective management of customer data, a data user shall:</t>
        </is>
      </c>
      <c r="E115" t="inlineStr">
        <is>
          <t>32</t>
        </is>
      </c>
      <c r="F115" t="inlineStr">
        <is>
          <t>Other</t>
        </is>
      </c>
      <c r="G115" t="inlineStr">
        <is>
          <t>None</t>
        </is>
      </c>
      <c r="H115" t="inlineStr">
        <is>
          <t>High (explicit)</t>
        </is>
      </c>
      <c r="I115" s="8" t="inlineStr"/>
      <c r="J115" s="8" t="inlineStr"/>
      <c r="K115" t="inlineStr"/>
      <c r="L115"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5" s="8" t="inlineStr"/>
      <c r="N115" s="8" t="inlineStr">
        <is>
          <t>[Must] Before adopting a delegated act, the Commission shall consult experts designated by each Member State in accordance with the principles laid down in the Interinstitutional Agreement of 13 April 2016 on Better Law-Making.</t>
        </is>
      </c>
      <c r="O115" s="8" t="inlineStr">
        <is>
          <t>Before adopting a delegated act, the Commission shall consult experts signated by each Member State in accordance with the principles laid down in the Interinstitutional Agreement of 13 April 2016 on Better Law-Making.</t>
        </is>
      </c>
    </row>
    <row r="116">
      <c r="A116" t="inlineStr">
        <is>
          <t>GDPR</t>
        </is>
      </c>
      <c r="B116" t="inlineStr">
        <is>
          <t>CELEX_52023PC0360_EN_TXT (GDPR - Row 13)</t>
        </is>
      </c>
      <c r="C116" t="inlineStr">
        <is>
          <t>4</t>
        </is>
      </c>
      <c r="D116" s="8" t="inlineStr">
        <is>
          <t>When preparing the guidelines referred to in paragraphs 2 and 3 of this Article,</t>
        </is>
      </c>
      <c r="E116" t="inlineStr">
        <is>
          <t>33</t>
        </is>
      </c>
      <c r="F116" t="inlineStr">
        <is>
          <t>Other</t>
        </is>
      </c>
      <c r="G116" t="inlineStr">
        <is>
          <t>None</t>
        </is>
      </c>
      <c r="H116" t="inlineStr">
        <is>
          <t>High (explicit)</t>
        </is>
      </c>
      <c r="I116" s="8" t="inlineStr"/>
      <c r="J116" s="8" t="inlineStr"/>
      <c r="K116" t="inlineStr"/>
      <c r="L116"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6" s="8" t="inlineStr"/>
      <c r="N116" s="8" t="inlineStr">
        <is>
          <t>[Must] Before adopting a delegated act, the Commission shall consult experts designated by each Member State in accordance with the principles laid down in the Interinstitutional Agreement of 13 April 2016 on Better Law-Making.</t>
        </is>
      </c>
      <c r="O116" s="8" t="inlineStr">
        <is>
          <t>Before adopting a delegated act, the Commission shall consult experts signated by each Member State in accordance with the principles laid down in the Interinstitutional Agreement of 13 April 2016 on Better Law-Making.</t>
        </is>
      </c>
    </row>
    <row r="117">
      <c r="A117" t="inlineStr">
        <is>
          <t>GDPR</t>
        </is>
      </c>
      <c r="B117" t="inlineStr">
        <is>
          <t>CELEX_52023PC0360_EN_TXT (GDPR - Row 13)</t>
        </is>
      </c>
      <c r="C117" t="inlineStr">
        <is>
          <t>4</t>
        </is>
      </c>
      <c r="D117" s="8" t="inlineStr">
        <is>
          <t>The data holder and the data user for which permission has been granted by a</t>
        </is>
      </c>
      <c r="E117" t="inlineStr">
        <is>
          <t>33–34</t>
        </is>
      </c>
      <c r="F117" t="inlineStr">
        <is>
          <t>Other</t>
        </is>
      </c>
      <c r="G117" t="inlineStr">
        <is>
          <t>None</t>
        </is>
      </c>
      <c r="H117" t="inlineStr">
        <is>
          <t>High (explicit)</t>
        </is>
      </c>
      <c r="I117" s="8" t="inlineStr"/>
      <c r="J117" s="8" t="inlineStr"/>
      <c r="K117" t="inlineStr"/>
      <c r="L117"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7" s="8" t="inlineStr"/>
      <c r="N117" s="8" t="inlineStr">
        <is>
          <t>[Must] Before adopting a delegated act, the Commission shall consult experts designated by each Member State in accordance with the principles laid down in the Interinstitutional Agreement of 13 April 2016 on Better Law-Making.</t>
        </is>
      </c>
      <c r="O117" s="8" t="inlineStr">
        <is>
          <t>Before adopting a delegated act, the Commission shall consult experts signated by each Member State in accordance with the principles laid down in the Interinstitutional Agreement of 13 April 2016 on Better Law-Making.</t>
        </is>
      </c>
    </row>
    <row r="118">
      <c r="A118" t="inlineStr">
        <is>
          <t>GDPR</t>
        </is>
      </c>
      <c r="B118" t="inlineStr">
        <is>
          <t>CELEX_52023PC0360_EN_TXT (GDPR - Row 13)</t>
        </is>
      </c>
      <c r="C118" t="inlineStr">
        <is>
          <t>4</t>
        </is>
      </c>
      <c r="D118" s="8" t="inlineStr">
        <is>
          <t>A financial data sharing scheme set up in accordance with this Article shall be</t>
        </is>
      </c>
      <c r="E118" t="inlineStr">
        <is>
          <t>36</t>
        </is>
      </c>
      <c r="F118" t="inlineStr">
        <is>
          <t>Other</t>
        </is>
      </c>
      <c r="G118" t="inlineStr">
        <is>
          <t>None</t>
        </is>
      </c>
      <c r="H118" t="inlineStr">
        <is>
          <t>High (explicit)</t>
        </is>
      </c>
      <c r="I118" s="8" t="inlineStr"/>
      <c r="J118" s="8" t="inlineStr"/>
      <c r="K118" t="inlineStr"/>
      <c r="L118"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8" s="8" t="inlineStr"/>
      <c r="N118" s="8" t="inlineStr">
        <is>
          <t>[Must] Before adopting a delegated act, the Commission shall consult experts designated by each Member State in accordance with the principles laid down in the Interinstitutional Agreement of 13 April 2016 on Better Law-Making.</t>
        </is>
      </c>
      <c r="O118" s="8" t="inlineStr">
        <is>
          <t>Before adopting a delegated act, the Commission shall consult experts signated by each Member State in accordance with the principles laid down in the Interinstitutional Agreement of 13 April 2016 on Better Law-Making.</t>
        </is>
      </c>
    </row>
    <row r="119">
      <c r="A119" t="inlineStr">
        <is>
          <t>GDPR</t>
        </is>
      </c>
      <c r="B119" t="inlineStr">
        <is>
          <t>CELEX_52023PC0360_EN_TXT (GDPR - Row 13)</t>
        </is>
      </c>
      <c r="C119" t="inlineStr">
        <is>
          <t>4</t>
        </is>
      </c>
      <c r="D119" s="8" t="inlineStr">
        <is>
          <t>EBA in cooperation with ESMA and EIOPA shall, after consulting all relevant</t>
        </is>
      </c>
      <c r="E119" t="inlineStr">
        <is>
          <t>38–39</t>
        </is>
      </c>
      <c r="F119" t="inlineStr">
        <is>
          <t>Other</t>
        </is>
      </c>
      <c r="G119" t="inlineStr">
        <is>
          <t>None</t>
        </is>
      </c>
      <c r="H119" t="inlineStr">
        <is>
          <t>High (explicit)</t>
        </is>
      </c>
      <c r="I119" s="8" t="inlineStr"/>
      <c r="J119" s="8" t="inlineStr"/>
      <c r="K119" t="inlineStr"/>
      <c r="L119"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19" s="8" t="inlineStr"/>
      <c r="N119" s="8" t="inlineStr">
        <is>
          <t>[Must] Before adopting a delegated act, the Commission shall consult experts designated by each Member State in accordance with the principles laid down in the Interinstitutional Agreement of 13 April 2016 on Better Law-Making.</t>
        </is>
      </c>
      <c r="O119" s="8" t="inlineStr">
        <is>
          <t>Before adopting a delegated act, the Commission shall consult experts signated by each Member State in accordance with the principles laid down in the Interinstitutional Agreement of 13 April 2016 on Better Law-Making.</t>
        </is>
      </c>
    </row>
    <row r="120">
      <c r="A120" t="inlineStr">
        <is>
          <t>GDPR</t>
        </is>
      </c>
      <c r="B120" t="inlineStr">
        <is>
          <t>CELEX_52023PC0360_EN_TXT (GDPR - Row 13)</t>
        </is>
      </c>
      <c r="C120" t="inlineStr">
        <is>
          <t>4</t>
        </is>
      </c>
      <c r="D120" s="8" t="inlineStr">
        <is>
          <t>Financial information service providers shall notify the name, address, the electronic</t>
        </is>
      </c>
      <c r="E120" t="inlineStr">
        <is>
          <t>39</t>
        </is>
      </c>
      <c r="F120" t="inlineStr">
        <is>
          <t>Other</t>
        </is>
      </c>
      <c r="G120" t="inlineStr">
        <is>
          <t>None</t>
        </is>
      </c>
      <c r="H120" t="inlineStr">
        <is>
          <t>High (explicit)</t>
        </is>
      </c>
      <c r="I120" s="8" t="inlineStr"/>
      <c r="J120" s="8" t="inlineStr"/>
      <c r="K120" t="inlineStr"/>
      <c r="L120"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0" s="8" t="inlineStr"/>
      <c r="N120" s="8" t="inlineStr">
        <is>
          <t>[Must] Before adopting a delegated act, the Commission shall consult experts designated by each Member State in accordance with the principles laid down in the Interinstitutional Agreement of 13 April 2016 on Better Law-Making.</t>
        </is>
      </c>
      <c r="O120" s="8" t="inlineStr">
        <is>
          <t>Before adopting a delegated act, the Commission shall consult experts signated by each Member State in accordance with the principles laid down in the Interinstitutional Agreement of 13 April 2016 on Better Law-Making.</t>
        </is>
      </c>
    </row>
    <row r="121">
      <c r="A121" t="inlineStr">
        <is>
          <t>GDPR</t>
        </is>
      </c>
      <c r="B121" t="inlineStr">
        <is>
          <t>CELEX_52023PC0360_EN_TXT (GDPR - Row 13)</t>
        </is>
      </c>
      <c r="C121" t="inlineStr">
        <is>
          <t>4</t>
        </is>
      </c>
      <c r="D121" s="8" t="inlineStr">
        <is>
          <t>The competent authority shall grant an authorisation only if the laws, regulations or</t>
        </is>
      </c>
      <c r="E121" t="inlineStr">
        <is>
          <t>40</t>
        </is>
      </c>
      <c r="F121" t="inlineStr">
        <is>
          <t>Other</t>
        </is>
      </c>
      <c r="G121" t="inlineStr">
        <is>
          <t>None</t>
        </is>
      </c>
      <c r="H121" t="inlineStr">
        <is>
          <t>High (explicit)</t>
        </is>
      </c>
      <c r="I121" s="8" t="inlineStr"/>
      <c r="J121" s="8" t="inlineStr"/>
      <c r="K121" t="inlineStr"/>
      <c r="L121"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1" s="8" t="inlineStr"/>
      <c r="N121" s="8" t="inlineStr">
        <is>
          <t>[Must] Before adopting a delegated act, the Commission shall consult experts designated by each Member State in accordance with the principles laid down in the Interinstitutional Agreement of 13 April 2016 on Better Law-Making.</t>
        </is>
      </c>
      <c r="O121" s="8" t="inlineStr">
        <is>
          <t>Before adopting a delegated act, the Commission shall consult experts signated by each Member State in accordance with the principles laid down in the Interinstitutional Agreement of 13 April 2016 on Better Law-Making.</t>
        </is>
      </c>
    </row>
    <row r="122">
      <c r="A122" t="inlineStr">
        <is>
          <t>GDPR</t>
        </is>
      </c>
      <c r="B122" t="inlineStr">
        <is>
          <t>CELEX_52023PC0360_EN_TXT (GDPR - Row 13)</t>
        </is>
      </c>
      <c r="C122" t="inlineStr">
        <is>
          <t>4</t>
        </is>
      </c>
      <c r="D122" s="8" t="inlineStr">
        <is>
          <t>EBA shall enter in the register referred to in paragraph 1 any withdrawal of</t>
        </is>
      </c>
      <c r="E122" t="inlineStr">
        <is>
          <t>41</t>
        </is>
      </c>
      <c r="F122" t="inlineStr">
        <is>
          <t>Other</t>
        </is>
      </c>
      <c r="G122" t="inlineStr">
        <is>
          <t>None</t>
        </is>
      </c>
      <c r="H122" t="inlineStr">
        <is>
          <t>High (explicit)</t>
        </is>
      </c>
      <c r="I122" s="8" t="inlineStr"/>
      <c r="J122" s="8" t="inlineStr"/>
      <c r="K122" t="inlineStr"/>
      <c r="L122"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2" s="8" t="inlineStr"/>
      <c r="N122" s="8" t="inlineStr">
        <is>
          <t>[Must] Before adopting a delegated act, the Commission shall consult experts designated by each Member State in accordance with the principles laid down in the Interinstitutional Agreement of 13 April 2016 on Better Law-Making.</t>
        </is>
      </c>
      <c r="O122" s="8" t="inlineStr">
        <is>
          <t>Before adopting a delegated act, the Commission shall consult experts signated by each Member State in accordance with the principles laid down in the Interinstitutional Agreement of 13 April 2016 on Better Law-Making.</t>
        </is>
      </c>
    </row>
    <row r="123">
      <c r="A123" t="inlineStr">
        <is>
          <t>GDPR</t>
        </is>
      </c>
      <c r="B123" t="inlineStr">
        <is>
          <t>CELEX_52023PC0360_EN_TXT (GDPR - Row 13)</t>
        </is>
      </c>
      <c r="C123" t="inlineStr">
        <is>
          <t>4</t>
        </is>
      </c>
      <c r="D123" s="8" t="inlineStr">
        <is>
          <t>For financial institutions, compliance with this Regulation shall be ensured by the</t>
        </is>
      </c>
      <c r="E123" t="inlineStr">
        <is>
          <t>42</t>
        </is>
      </c>
      <c r="F123" t="inlineStr">
        <is>
          <t>Other</t>
        </is>
      </c>
      <c r="G123" t="inlineStr">
        <is>
          <t>None</t>
        </is>
      </c>
      <c r="H123" t="inlineStr">
        <is>
          <t>High (explicit)</t>
        </is>
      </c>
      <c r="I123" s="8" t="inlineStr"/>
      <c r="J123" s="8" t="inlineStr"/>
      <c r="K123" t="inlineStr"/>
      <c r="L123"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3" s="8" t="inlineStr"/>
      <c r="N123" s="8" t="inlineStr">
        <is>
          <t>[Must] Before adopting a delegated act, the Commission shall consult experts designated by each Member State in accordance with the principles laid down in the Interinstitutional Agreement of 13 April 2016 on Better Law-Making.</t>
        </is>
      </c>
      <c r="O123" s="8" t="inlineStr">
        <is>
          <t>Before adopting a delegated act, the Commission shall consult experts signated by each Member State in accordance with the principles laid down in the Interinstitutional Agreement of 13 April 2016 on Better Law-Making.</t>
        </is>
      </c>
    </row>
    <row r="124">
      <c r="A124" t="inlineStr">
        <is>
          <t>GDPR</t>
        </is>
      </c>
      <c r="B124" t="inlineStr">
        <is>
          <t>CELEX_52023PC0360_EN_TXT (GDPR - Row 13)</t>
        </is>
      </c>
      <c r="C124" t="inlineStr">
        <is>
          <t>4</t>
        </is>
      </c>
      <c r="D124" s="8" t="inlineStr">
        <is>
          <t>Member States shall, in accordance with national law, ensure that competent</t>
        </is>
      </c>
      <c r="E124" t="inlineStr">
        <is>
          <t>46</t>
        </is>
      </c>
      <c r="F124" t="inlineStr">
        <is>
          <t>Other</t>
        </is>
      </c>
      <c r="G124" t="inlineStr">
        <is>
          <t>None</t>
        </is>
      </c>
      <c r="H124" t="inlineStr">
        <is>
          <t>High (explicit)</t>
        </is>
      </c>
      <c r="I124" s="8" t="inlineStr"/>
      <c r="J124" s="8" t="inlineStr"/>
      <c r="K124" t="inlineStr"/>
      <c r="L124"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4" s="8" t="inlineStr"/>
      <c r="N124" s="8" t="inlineStr">
        <is>
          <t>[Must] Before adopting a delegated act, the Commission shall consult experts designated by each Member State in accordance with the principles laid down in the Interinstitutional Agreement of 13 April 2016 on Better Law-Making.</t>
        </is>
      </c>
      <c r="O124" s="8" t="inlineStr">
        <is>
          <t>Before adopting a delegated act, the Commission shall consult experts signated by each Member State in accordance with the principles laid down in the Interinstitutional Agreement of 13 April 2016 on Better Law-Making.</t>
        </is>
      </c>
    </row>
    <row r="125">
      <c r="A125" t="inlineStr">
        <is>
          <t>GDPR</t>
        </is>
      </c>
      <c r="B125" t="inlineStr">
        <is>
          <t>CELEX_52023PC0360_EN_TXT (GDPR - Row 13)</t>
        </is>
      </c>
      <c r="C125" t="inlineStr">
        <is>
          <t>4</t>
        </is>
      </c>
      <c r="D125" s="8" t="inlineStr">
        <is>
          <t>Competent authorities shall ensure that any publication made in accordance with this</t>
        </is>
      </c>
      <c r="E125" t="inlineStr">
        <is>
          <t>49</t>
        </is>
      </c>
      <c r="F125" t="inlineStr">
        <is>
          <t>Other</t>
        </is>
      </c>
      <c r="G125" t="inlineStr">
        <is>
          <t>None</t>
        </is>
      </c>
      <c r="H125" t="inlineStr">
        <is>
          <t>High (explicit)</t>
        </is>
      </c>
      <c r="I125" s="8" t="inlineStr"/>
      <c r="J125" s="8" t="inlineStr"/>
      <c r="K125" t="inlineStr"/>
      <c r="L125"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5" s="8" t="inlineStr"/>
      <c r="N125" s="8" t="inlineStr">
        <is>
          <t>[Must] Before adopting a delegated act, the Commission shall consult experts designated by each Member State in accordance with the principles laid down in the Interinstitutional Agreement of 13 April 2016 on Better Law-Making.</t>
        </is>
      </c>
      <c r="O125" s="8" t="inlineStr">
        <is>
          <t>Before adopting a delegated act, the Commission shall consult experts signated by each Member State in accordance with the principles laid down in the Interinstitutional Agreement of 13 April 2016 on Better Law-Making.</t>
        </is>
      </c>
    </row>
    <row r="126">
      <c r="A126" t="inlineStr">
        <is>
          <t>GDPR</t>
        </is>
      </c>
      <c r="B126" t="inlineStr">
        <is>
          <t>CELEX_52023PC0360_EN_TXT (GDPR - Row 13)</t>
        </is>
      </c>
      <c r="C126" t="inlineStr">
        <is>
          <t>4</t>
        </is>
      </c>
      <c r="D126" s="8" t="inlineStr">
        <is>
          <t>The competent authority shall not transmit information shared by other competent</t>
        </is>
      </c>
      <c r="E126" t="inlineStr">
        <is>
          <t>49</t>
        </is>
      </c>
      <c r="F126" t="inlineStr">
        <is>
          <t>Other</t>
        </is>
      </c>
      <c r="G126" t="inlineStr">
        <is>
          <t>None</t>
        </is>
      </c>
      <c r="H126" t="inlineStr">
        <is>
          <t>High (explicit)</t>
        </is>
      </c>
      <c r="I126" s="8" t="inlineStr"/>
      <c r="J126" s="8" t="inlineStr"/>
      <c r="K126" t="inlineStr"/>
      <c r="L126"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6" s="8" t="inlineStr"/>
      <c r="N126" s="8" t="inlineStr">
        <is>
          <t>[Must] Before adopting a delegated act, the Commission shall consult experts designated by each Member State in accordance with the principles laid down in the Interinstitutional Agreement of 13 April 2016 on Better Law-Making.</t>
        </is>
      </c>
      <c r="O126" s="8" t="inlineStr">
        <is>
          <t>Before adopting a delegated act, the Commission shall consult experts signated by each Member State in accordance with the principles laid down in the Interinstitutional Agreement of 13 April 2016 on Better Law-Making.</t>
        </is>
      </c>
    </row>
    <row r="127">
      <c r="A127" t="inlineStr">
        <is>
          <t>GDPR</t>
        </is>
      </c>
      <c r="B127" t="inlineStr">
        <is>
          <t>CELEX_52023PC0360_EN_TXT (GDPR - Row 13)</t>
        </is>
      </c>
      <c r="C127" t="inlineStr">
        <is>
          <t>4</t>
        </is>
      </c>
      <c r="D127" s="8" t="inlineStr">
        <is>
          <t>The financial information service provider shall communicate to the competent</t>
        </is>
      </c>
      <c r="E127" t="inlineStr">
        <is>
          <t>50–51</t>
        </is>
      </c>
      <c r="F127" t="inlineStr">
        <is>
          <t>Other</t>
        </is>
      </c>
      <c r="G127" t="inlineStr">
        <is>
          <t>None</t>
        </is>
      </c>
      <c r="H127" t="inlineStr">
        <is>
          <t>High (explicit)</t>
        </is>
      </c>
      <c r="I127" s="8" t="inlineStr"/>
      <c r="J127" s="8" t="inlineStr"/>
      <c r="K127" t="inlineStr"/>
      <c r="L127"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7" s="8" t="inlineStr"/>
      <c r="N127" s="8" t="inlineStr">
        <is>
          <t>[Must] Before adopting a delegated act, the Commission shall consult experts designated by each Member State in accordance with the principles laid down in the Interinstitutional Agreement of 13 April 2016 on Better Law-Making.</t>
        </is>
      </c>
      <c r="O127" s="8" t="inlineStr">
        <is>
          <t>Before adopting a delegated act, the Commission shall consult experts signated by each Member State in accordance with the principles laid down in the Interinstitutional Agreement of 13 April 2016 on Better Law-Making.</t>
        </is>
      </c>
    </row>
    <row r="128">
      <c r="A128" t="inlineStr">
        <is>
          <t>GDPR</t>
        </is>
      </c>
      <c r="B128" t="inlineStr">
        <is>
          <t>CELEX_52023PC0360_EN_TXT (GDPR - Row 13)</t>
        </is>
      </c>
      <c r="C128" t="inlineStr">
        <is>
          <t>4</t>
        </is>
      </c>
      <c r="D128" s="8" t="inlineStr">
        <is>
          <t>Before adopting a delegated act, the Commission shall consult experts signated by</t>
        </is>
      </c>
      <c r="E128" t="inlineStr">
        <is>
          <t>51</t>
        </is>
      </c>
      <c r="F128" t="inlineStr">
        <is>
          <t>Other</t>
        </is>
      </c>
      <c r="G128" t="inlineStr">
        <is>
          <t>None</t>
        </is>
      </c>
      <c r="H128" t="inlineStr">
        <is>
          <t>High (explicit)</t>
        </is>
      </c>
      <c r="I128" s="8" t="inlineStr"/>
      <c r="J128" s="8" t="inlineStr"/>
      <c r="K128" t="inlineStr"/>
      <c r="L128" s="8" t="inlineStr">
        <is>
          <t>Before adopting a delegated act, the Commission must consult experts designated by each Member State in accordance with the Interinstitutional Agreement of 13 April 2016 on Better Law-Making. This requirement ensures that Member State experts are involved in the legislative process for delegated acts.</t>
        </is>
      </c>
      <c r="M128" s="8" t="inlineStr"/>
      <c r="N128" s="8" t="inlineStr">
        <is>
          <t>[Must] Before adopting a delegated act, the Commission shall consult experts designated by each Member State in accordance with the principles laid down in the Interinstitutional Agreement of 13 April 2016 on Better Law-Making.</t>
        </is>
      </c>
      <c r="O128" s="8" t="inlineStr">
        <is>
          <t>Before adopting a delegated act, the Commission shall consult experts signated by each Member State in accordance with the principles laid down in the Interinstitutional Agreement of 13 April 2016 on Better Law-Making.</t>
        </is>
      </c>
    </row>
    <row r="129">
      <c r="A129" t="inlineStr">
        <is>
          <t>GDPR</t>
        </is>
      </c>
      <c r="B129" t="inlineStr">
        <is>
          <t>CELEX_52023PC0360_EN_TXT (GDPR - Row 13)</t>
        </is>
      </c>
      <c r="C129" t="inlineStr">
        <is>
          <t>5</t>
        </is>
      </c>
      <c r="D129" s="8" t="inlineStr">
        <is>
          <t>OTHER ELEMENTS</t>
        </is>
      </c>
      <c r="E129" t="inlineStr">
        <is>
          <t>10–27</t>
        </is>
      </c>
      <c r="F129" t="inlineStr">
        <is>
          <t>Financial Data</t>
        </is>
      </c>
      <c r="G129" t="inlineStr">
        <is>
          <t>High</t>
        </is>
      </c>
      <c r="H129" t="inlineStr">
        <is>
          <t>Medium (merged from chunks)</t>
        </is>
      </c>
      <c r="I129" s="8" t="inlineStr">
        <is>
          <t>Cross-border Transfer, International Processing, Data Sharing, Data Storage, Security, Governance, Record Keeping, Financial Data, Customer Information</t>
        </is>
      </c>
      <c r="J129" s="8" t="inlineStr">
        <is>
          <t>Financial Data, Customer Data, Personal Information</t>
        </is>
      </c>
      <c r="K129" t="inlineStr">
        <is>
          <t>European Commission</t>
        </is>
      </c>
      <c r="L129"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29"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29"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29" s="8" t="inlineStr">
        <is>
          <t>The Commission will assess the impact of this Regulation and will be tasked with reviewing it (Article 31 of the proposal).</t>
        </is>
      </c>
    </row>
    <row r="130">
      <c r="A130" t="inlineStr">
        <is>
          <t>GDPR</t>
        </is>
      </c>
      <c r="B130" t="inlineStr">
        <is>
          <t>CELEX_52023PC0360_EN_TXT (GDPR - Row 13)</t>
        </is>
      </c>
      <c r="C130" t="inlineStr">
        <is>
          <t>5</t>
        </is>
      </c>
      <c r="D130" s="8" t="inlineStr">
        <is>
          <t>The notification in accordance with paragraph 4 shall take place within 1 month of</t>
        </is>
      </c>
      <c r="E130" t="inlineStr">
        <is>
          <t>36</t>
        </is>
      </c>
      <c r="F130" t="inlineStr">
        <is>
          <t>Financial Data</t>
        </is>
      </c>
      <c r="G130" t="inlineStr">
        <is>
          <t>High</t>
        </is>
      </c>
      <c r="H130" t="inlineStr">
        <is>
          <t>Medium (merged from chunks)</t>
        </is>
      </c>
      <c r="I130" s="8" t="inlineStr">
        <is>
          <t>Cross-border Transfer, International Processing, Data Sharing, Data Storage, Security, Governance, Record Keeping, Financial Data, Customer Information</t>
        </is>
      </c>
      <c r="J130" s="8" t="inlineStr">
        <is>
          <t>Financial Data, Customer Data, Personal Information</t>
        </is>
      </c>
      <c r="K130" t="inlineStr">
        <is>
          <t>European Commission</t>
        </is>
      </c>
      <c r="L130"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30"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30"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30" s="8" t="inlineStr">
        <is>
          <t>The Commission will assess the impact of this Regulation and will be tasked with reviewing it (Article 31 of the proposal).</t>
        </is>
      </c>
    </row>
    <row r="131">
      <c r="A131" t="inlineStr">
        <is>
          <t>GDPR</t>
        </is>
      </c>
      <c r="B131" t="inlineStr">
        <is>
          <t>CELEX_52023PC0360_EN_TXT (GDPR - Row 13)</t>
        </is>
      </c>
      <c r="C131" t="inlineStr">
        <is>
          <t>5</t>
        </is>
      </c>
      <c r="D131" s="8" t="inlineStr">
        <is>
          <t>The designation of a legal representative within the Union pursuant to paragraph 1</t>
        </is>
      </c>
      <c r="E131" t="inlineStr">
        <is>
          <t>39</t>
        </is>
      </c>
      <c r="F131" t="inlineStr">
        <is>
          <t>Financial Data</t>
        </is>
      </c>
      <c r="G131" t="inlineStr">
        <is>
          <t>High</t>
        </is>
      </c>
      <c r="H131" t="inlineStr">
        <is>
          <t>Medium (merged from chunks)</t>
        </is>
      </c>
      <c r="I131" s="8" t="inlineStr">
        <is>
          <t>Cross-border Transfer, International Processing, Data Sharing, Data Storage, Security, Governance, Record Keeping, Financial Data, Customer Information</t>
        </is>
      </c>
      <c r="J131" s="8" t="inlineStr">
        <is>
          <t>Financial Data, Customer Data, Personal Information</t>
        </is>
      </c>
      <c r="K131" t="inlineStr">
        <is>
          <t>European Commission</t>
        </is>
      </c>
      <c r="L131"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31"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31"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31" s="8" t="inlineStr">
        <is>
          <t>The Commission will assess the impact of this Regulation and will be tasked with reviewing it (Article 31 of the proposal).</t>
        </is>
      </c>
    </row>
    <row r="132">
      <c r="A132" t="inlineStr">
        <is>
          <t>GDPR</t>
        </is>
      </c>
      <c r="B132" t="inlineStr">
        <is>
          <t>CELEX_52023PC0360_EN_TXT (GDPR - Row 13)</t>
        </is>
      </c>
      <c r="C132" t="inlineStr">
        <is>
          <t>5</t>
        </is>
      </c>
      <c r="D132" s="8" t="inlineStr">
        <is>
          <t>The competent authority shall grant an authorisation only if it is satisfied that any</t>
        </is>
      </c>
      <c r="E132" t="inlineStr">
        <is>
          <t>40</t>
        </is>
      </c>
      <c r="F132" t="inlineStr">
        <is>
          <t>Financial Data</t>
        </is>
      </c>
      <c r="G132" t="inlineStr">
        <is>
          <t>High</t>
        </is>
      </c>
      <c r="H132" t="inlineStr">
        <is>
          <t>Medium (merged from chunks)</t>
        </is>
      </c>
      <c r="I132" s="8" t="inlineStr">
        <is>
          <t>Cross-border Transfer, International Processing, Data Sharing, Data Storage, Security, Governance, Record Keeping, Financial Data, Customer Information</t>
        </is>
      </c>
      <c r="J132" s="8" t="inlineStr">
        <is>
          <t>Financial Data, Customer Data, Personal Information</t>
        </is>
      </c>
      <c r="K132" t="inlineStr">
        <is>
          <t>European Commission</t>
        </is>
      </c>
      <c r="L132"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32"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32"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32" s="8" t="inlineStr">
        <is>
          <t>The Commission will assess the impact of this Regulation and will be tasked with reviewing it (Article 31 of the proposal).</t>
        </is>
      </c>
    </row>
    <row r="133">
      <c r="A133" t="inlineStr">
        <is>
          <t>GDPR</t>
        </is>
      </c>
      <c r="B133" t="inlineStr">
        <is>
          <t>CELEX_52023PC0360_EN_TXT (GDPR - Row 13)</t>
        </is>
      </c>
      <c r="C133" t="inlineStr">
        <is>
          <t>5</t>
        </is>
      </c>
      <c r="D133" s="8" t="inlineStr">
        <is>
          <t>The competent authorities of Member States shall communicate without delay to</t>
        </is>
      </c>
      <c r="E133" t="inlineStr">
        <is>
          <t>41–42</t>
        </is>
      </c>
      <c r="F133" t="inlineStr">
        <is>
          <t>Financial Data</t>
        </is>
      </c>
      <c r="G133" t="inlineStr">
        <is>
          <t>High</t>
        </is>
      </c>
      <c r="H133" t="inlineStr">
        <is>
          <t>Medium (merged from chunks)</t>
        </is>
      </c>
      <c r="I133" s="8" t="inlineStr">
        <is>
          <t>Cross-border Transfer, International Processing, Data Sharing, Data Storage, Security, Governance, Record Keeping, Financial Data, Customer Information</t>
        </is>
      </c>
      <c r="J133" s="8" t="inlineStr">
        <is>
          <t>Financial Data, Customer Data, Personal Information</t>
        </is>
      </c>
      <c r="K133" t="inlineStr">
        <is>
          <t>European Commission</t>
        </is>
      </c>
      <c r="L133"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33"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33"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33" s="8" t="inlineStr">
        <is>
          <t>The Commission will assess the impact of this Regulation and will be tasked with reviewing it (Article 31 of the proposal).</t>
        </is>
      </c>
    </row>
    <row r="134">
      <c r="A134" t="inlineStr">
        <is>
          <t>GDPR</t>
        </is>
      </c>
      <c r="B134" t="inlineStr">
        <is>
          <t>CELEX_52023PC0360_EN_TXT (GDPR - Row 13)</t>
        </is>
      </c>
      <c r="C134" t="inlineStr">
        <is>
          <t>5</t>
        </is>
      </c>
      <c r="D134" s="8" t="inlineStr">
        <is>
          <t>Member States may empower competent authorities to impose other types of</t>
        </is>
      </c>
      <c r="E134" t="inlineStr">
        <is>
          <t>46</t>
        </is>
      </c>
      <c r="F134" t="inlineStr">
        <is>
          <t>Financial Data</t>
        </is>
      </c>
      <c r="G134" t="inlineStr">
        <is>
          <t>High</t>
        </is>
      </c>
      <c r="H134" t="inlineStr">
        <is>
          <t>Medium (merged from chunks)</t>
        </is>
      </c>
      <c r="I134" s="8" t="inlineStr">
        <is>
          <t>Cross-border Transfer, International Processing, Data Sharing, Data Storage, Security, Governance, Record Keeping, Financial Data, Customer Information</t>
        </is>
      </c>
      <c r="J134" s="8" t="inlineStr">
        <is>
          <t>Financial Data, Customer Data, Personal Information</t>
        </is>
      </c>
      <c r="K134" t="inlineStr">
        <is>
          <t>European Commission</t>
        </is>
      </c>
      <c r="L134"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34"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34"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34" s="8" t="inlineStr">
        <is>
          <t>The Commission will assess the impact of this Regulation and will be tasked with reviewing it (Article 31 of the proposal).</t>
        </is>
      </c>
    </row>
    <row r="135">
      <c r="A135" t="inlineStr">
        <is>
          <t>GDPR</t>
        </is>
      </c>
      <c r="B135" t="inlineStr">
        <is>
          <t>CELEX_52023PC0360_EN_TXT (GDPR - Row 13)</t>
        </is>
      </c>
      <c r="C135" t="inlineStr">
        <is>
          <t>5</t>
        </is>
      </c>
      <c r="D135" s="8" t="inlineStr">
        <is>
          <t>Where obligations under this Regulation concern the processing of personal data,</t>
        </is>
      </c>
      <c r="E135" t="inlineStr">
        <is>
          <t>49</t>
        </is>
      </c>
      <c r="F135" t="inlineStr">
        <is>
          <t>Financial Data</t>
        </is>
      </c>
      <c r="G135" t="inlineStr">
        <is>
          <t>High</t>
        </is>
      </c>
      <c r="H135" t="inlineStr">
        <is>
          <t>Medium (merged from chunks)</t>
        </is>
      </c>
      <c r="I135" s="8" t="inlineStr">
        <is>
          <t>Cross-border Transfer, International Processing, Data Sharing, Data Storage, Security, Governance, Record Keeping, Financial Data, Customer Information</t>
        </is>
      </c>
      <c r="J135" s="8" t="inlineStr">
        <is>
          <t>Financial Data, Customer Data, Personal Information</t>
        </is>
      </c>
      <c r="K135" t="inlineStr">
        <is>
          <t>European Commission</t>
        </is>
      </c>
      <c r="L135" s="8" t="inlineStr">
        <is>
          <t>This section outlines implementation plans and monitoring mechanisms to evaluate regulatory effectiveness, emphasizing the Commission's role in assessing the Regulation's impact and reviewing it per Article 31. It details the proposal's structure across nine Titles, each addressing specific aspects of financial data access, including definitions, data holder obligations, customer rights, security requirements, data sharing schemes, and governance frameworks. The section clarifies that financial data access must comply with GDPR for personal data and involves contractual frameworks for data sharing. This section outlines the need for a harmonized framework to facilitate financial data sharing across borders, addressing fragmentation in the financial sector. It emphasizes the importance of customer control over data sharing to overcome reluctance and enable innovation. The section specifies that payment account data is the primary focus, while broader customer data sharing beyond payments is limited by technical and legal barriers. Financial institutions are only legally required to share payment data, and the regulation aims to expand this to other data types to improve personalized</t>
        </is>
      </c>
      <c r="M135" s="8" t="inlineStr">
        <is>
          <t xml:space="preserve">This section provides context for financial data sharing schemes and their governance, which are critical for DTIAs involving cross-border financial data transfers. It mandates that data sharing schemes must be notified to authorities, include technical interfaces, and ensure data is only shared within the scheme, impacting how data is transferred internationally. This section highlights the need for a harmonized framework to address barriers in cross-border financial data sharing, emphasizing customer control and the scope of data that can be shared. It specifies that payment account data is </t>
        </is>
      </c>
      <c r="N135" s="8" t="inlineStr">
        <is>
          <t>[Must] The Commission will assess the impact of this Regulation and will be tasked with reviewing it (Article 31 of the proposal).
[Must] The proposal seeks to establish a framework governing access to and use of customer data in finance (financial data access ‘FIDA').
[Must] Financial data access refers to the access to and processing of business-to-business and business-to-customer (including consumer) data upon customer request across a wide range of financial services.
[Must] Title I sets the subject matter, scope and definitions. Article 1 sets out that the Regulation establishes the rules in line with which certain categories of customer data in finance may be accessed, shared, and used.
[Must] Article 2 sets the scope of the Regulation to certain exhaustively described sets of data and lists the firms to which this Regulation applies.
[Must] Article 3 sets the terms and definitions that are used for the purposes of this Regulation, including 'data holder', 'data user', 'financial information service provider' and others.
[Must] Title II introduces a legal obligation on data holders and governs the way this obligation should be exercised. Article 4 indicates that the data holder must make available to customers the data within the scope of this Regulation based on a request.
[Must] Article 5 provides the customer with the right to request that the data holder shares this data with a data user.
[Must] Where personal data is concerned, the request must comply with a valid legal basis as referred to in the General Data Protection Regulation (GDPR) that allows for the processing of personal data.
[Must] Article 6 imposes certain obligations on data users receiving data at the request of customers. There should only be access to the customer data made available under Article 5 and this data should be used only for the purposes and the conditions agreed with the customer.
[Must] The customer's personalised security credentials should not be accessible to other parties and the data should not be stored for longer than what is necessary.
[Must] The sharing of customer data in the scope of this Regulation should be based on the permission of the customer.
[Must] The legal obligation on data holders to share customer data should be triggered once the customer has requested their data to be shared with a data user.
[Must] Where the processing of personal data is involved, a data user should have a valid lawful basis for processing under Regulation (EU) 2016/679.
[Must] The processing of personal data must respect the principles of personal data protection, including lawfulness, fairness and transparency, purpose limitation and data minimisation.
[Must] A customer has the right to withdraw the permission given to a data user.
[Must] When data processing is necessary for the performance of a contract, a customer should be able to withdraw permissions according to the contractual obligations to which the data subject is party.
[Must] When personal data processing is based on consent, a data subject has the right to withdraw his or her consent at any time, as provided for in Regulation (EU) 2016/679.
[Must] Financial institutions must provide access to defined categories of data at the request of the customer when acting as data holders.
[Must] Data sharing should be based on customer permission when financial institutions act as data users.
[Must] Permission dashboards must empower customers to manage permissions in an informed and impartial manner without undue influence.
[Must] Data holders must inform data users in real-time of any withdrawal of a permission.
[Must] Data users must inform data holders in real-time of new or re-established permissions granted by customers.
[Must] Permission dashboards should include a record of withdrawn or expired permissions for up to two years.
[Must] Data holders and data users should be part of financial data sharing schemes that develop data and interface standards, joint standardised contractual frameworks, and governance rules for data sharing.
[Must] Financial data sharing schemes must comply with Union rules in the area of consumer protection and data protection, privacy, and competition.
[May] Data holders should be able to request reasonable compensation from data users for application programming interfaces.
[Must] Financial information service providers must be either legally incorporated in the Union or appoint a legal representative in the Union.
[Must] Financial information service providers should be authorised in the jurisdiction of the Member State where their main establishment is located.
[Must] Competent authorities should have powers to require data traffic records and seize relevant documents for investigations.
[Must] Member States should be required to provide for effective, proportionate and dissuasive administrative sanctions, including periodic penalty payments, and administrative measures for the infringement of provisions of this Regulation.
[Must] Member States should lay down specific rules and effective mechanisms regarding the application of periodic penalty payments.
[Must] Competent authorities should be empowered to impose periodic penalty payments on financial information service providers and on those members of their management body who are identified as responsible for an ongoing infringement or who are required to comply with an order from an investigating competent authority.
[Condition] Periodic penalty payments should not prevent competent authorities from imposing subsequent administrative sanctions for the same infringement.
[Condition] Unless otherwise provided for by Member States, periodic penalty payments should be calculated on a daily basis.
[Must Not] Member States should not be obliged to introduce such enforcement methods in their legal framework nor should competent authorities be compelled to use them if they do not deem it appropriate.
[Must] Where Member States choose to empower their competent authorities to use such enforcement methods, they should notify the Commission of such decision and of the relevant measures regulating such powers.
[Must] A financial information service provider wishing to have access to data held by a data holder in another Member State, should notify its intention to its competent authority, providing information on the type of data it wishes to access, the financial data sharing scheme of which it is a member and the Member States in which it intends to access the data.
[Must] The right to access and transfer all necessary personal data to a new pan-European Personal Pension Product provider under Regulation (EU) 2019/1238
[Must Not] The regulation does not affect the application of EU or national rules of competition of the Treaty on the Functioning of the European Union
[Must Not] This Regulation is also without prejudice to accessing, sharing and using data without making use of the data access obligations established by this Regulation on a purely contractual basis</t>
        </is>
      </c>
      <c r="O135" s="8" t="inlineStr">
        <is>
          <t>The Commission will assess the impact of this Regulation and will be tasked with reviewing it (Article 31 of the proposal).</t>
        </is>
      </c>
    </row>
    <row r="136">
      <c r="A136" t="inlineStr">
        <is>
          <t>GDPR</t>
        </is>
      </c>
      <c r="B136" t="inlineStr">
        <is>
          <t>CELEX_52023PC0360_EN_TXT (GDPR - Row 13)</t>
        </is>
      </c>
      <c r="C136" t="inlineStr">
        <is>
          <t>6</t>
        </is>
      </c>
      <c r="D136" s="8" t="inlineStr">
        <is>
          <t>Within 1 month of receipt of the notification pursuant to paragraph 4, the competent</t>
        </is>
      </c>
      <c r="E136" t="inlineStr">
        <is>
          <t>36–37</t>
        </is>
      </c>
      <c r="F136" t="inlineStr">
        <is>
          <t>Other</t>
        </is>
      </c>
      <c r="G136" t="inlineStr">
        <is>
          <t>None</t>
        </is>
      </c>
      <c r="H136" t="inlineStr">
        <is>
          <t>High (explicit)</t>
        </is>
      </c>
      <c r="I136" s="8" t="inlineStr"/>
      <c r="J136" s="8" t="inlineStr"/>
      <c r="K136" t="inlineStr"/>
      <c r="L136" s="8" t="inlineStr">
        <is>
          <t>A delegated act adopted under Article 11 enters into force only if no objections are raised by the European Parliament or Council within three months of notification, or if both institutions inform the Commission they will not object. The period may be extended by three months on either institution's initiative.</t>
        </is>
      </c>
      <c r="M136" s="8" t="inlineStr"/>
      <c r="N136" s="8" t="inlineStr">
        <is>
          <t>[Must] A delegated act adopted pursuant to Article 11 shall enter into force only if no objection has been expressed either by the European Parliament or by the Council within a period of three months of notification of that act to the European Parliament and to the Council
[Must] or if, before the expiry of that period, the European Parliament and the Council have both informed the Commission that they will not object
[Condition] That period shall be extended by three months on the initiative of the European Parliament or of the Council</t>
        </is>
      </c>
      <c r="O136" s="8" t="inlineStr">
        <is>
          <t>A delegated act adopted pursuant to Article 11,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row>
    <row r="137">
      <c r="A137" t="inlineStr">
        <is>
          <t>GDPR</t>
        </is>
      </c>
      <c r="B137" t="inlineStr">
        <is>
          <t>CELEX_52023PC0360_EN_TXT (GDPR - Row 13)</t>
        </is>
      </c>
      <c r="C137" t="inlineStr">
        <is>
          <t>6</t>
        </is>
      </c>
      <c r="D137" s="8" t="inlineStr">
        <is>
          <t>Within 3 months of receipt of an application or, if the application is incomplete, of</t>
        </is>
      </c>
      <c r="E137" t="inlineStr">
        <is>
          <t>40</t>
        </is>
      </c>
      <c r="F137" t="inlineStr">
        <is>
          <t>Other</t>
        </is>
      </c>
      <c r="G137" t="inlineStr">
        <is>
          <t>None</t>
        </is>
      </c>
      <c r="H137" t="inlineStr">
        <is>
          <t>High (explicit)</t>
        </is>
      </c>
      <c r="I137" s="8" t="inlineStr"/>
      <c r="J137" s="8" t="inlineStr"/>
      <c r="K137" t="inlineStr"/>
      <c r="L137" s="8" t="inlineStr">
        <is>
          <t>A delegated act adopted under Article 11 enters into force only if no objections are raised by the European Parliament or Council within three months of notification, or if both institutions inform the Commission they will not object. The period may be extended by three months on either institution's initiative.</t>
        </is>
      </c>
      <c r="M137" s="8" t="inlineStr"/>
      <c r="N137" s="8" t="inlineStr">
        <is>
          <t>[Must] A delegated act adopted pursuant to Article 11 shall enter into force only if no objection has been expressed either by the European Parliament or by the Council within a period of three months of notification of that act to the European Parliament and to the Council
[Must] or if, before the expiry of that period, the European Parliament and the Council have both informed the Commission that they will not object
[Condition] That period shall be extended by three months on the initiative of the European Parliament or of the Council</t>
        </is>
      </c>
      <c r="O137" s="8" t="inlineStr">
        <is>
          <t>A delegated act adopted pursuant to Article 11,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row>
    <row r="138">
      <c r="A138" t="inlineStr">
        <is>
          <t>GDPR</t>
        </is>
      </c>
      <c r="B138" t="inlineStr">
        <is>
          <t>CELEX_52023PC0360_EN_TXT (GDPR - Row 13)</t>
        </is>
      </c>
      <c r="C138" t="inlineStr">
        <is>
          <t>6</t>
        </is>
      </c>
      <c r="D138" s="8" t="inlineStr">
        <is>
          <t>A delegated act adopted pursuant to Article 11, shall enter into force only if no</t>
        </is>
      </c>
      <c r="E138" t="inlineStr">
        <is>
          <t>51</t>
        </is>
      </c>
      <c r="F138" t="inlineStr">
        <is>
          <t>Other</t>
        </is>
      </c>
      <c r="G138" t="inlineStr">
        <is>
          <t>None</t>
        </is>
      </c>
      <c r="H138" t="inlineStr">
        <is>
          <t>High (explicit)</t>
        </is>
      </c>
      <c r="I138" s="8" t="inlineStr"/>
      <c r="J138" s="8" t="inlineStr"/>
      <c r="K138" t="inlineStr"/>
      <c r="L138" s="8" t="inlineStr">
        <is>
          <t>A delegated act adopted under Article 11 enters into force only if no objections are raised by the European Parliament or Council within three months of notification, or if both institutions inform the Commission they will not object. The period may be extended by three months on either institution's initiative.</t>
        </is>
      </c>
      <c r="M138" s="8" t="inlineStr"/>
      <c r="N138" s="8" t="inlineStr">
        <is>
          <t>[Must] A delegated act adopted pursuant to Article 11 shall enter into force only if no objection has been expressed either by the European Parliament or by the Council within a period of three months of notification of that act to the European Parliament and to the Council
[Must] or if, before the expiry of that period, the European Parliament and the Council have both informed the Commission that they will not object
[Condition] That period shall be extended by three months on the initiative of the European Parliament or of the Council</t>
        </is>
      </c>
      <c r="O138" s="8" t="inlineStr">
        <is>
          <t>A delegated act adopted pursuant to Article 11, shall enter into force only if no objection has been expressed either by the European Parliament or by the Council within a period of three months of notification of that act to the European Parliament and to the Council or if, before the expiry of that period, the European Parliament and the Council have both informed the Commission that they will not object.</t>
        </is>
      </c>
    </row>
    <row r="139">
      <c r="A139" t="inlineStr">
        <is>
          <t>GDPR</t>
        </is>
      </c>
      <c r="B139" t="inlineStr">
        <is>
          <t>CELEX_52023PC0360_EN_TXT (GDPR - Row 13)</t>
        </is>
      </c>
      <c r="C139" t="inlineStr">
        <is>
          <t>7</t>
        </is>
      </c>
      <c r="D139" s="8" t="inlineStr">
        <is>
          <t>The competent authority may withdraw an authorisation issued to a financial</t>
        </is>
      </c>
      <c r="E139" t="inlineStr">
        <is>
          <t>40–41</t>
        </is>
      </c>
      <c r="F139" t="inlineStr">
        <is>
          <t>Regulator Powers</t>
        </is>
      </c>
      <c r="G139" t="inlineStr">
        <is>
          <t>High</t>
        </is>
      </c>
      <c r="H139" t="inlineStr">
        <is>
          <t>High (explicit)</t>
        </is>
      </c>
      <c r="I139" s="8" t="inlineStr">
        <is>
          <t>Cross-border Transfer, Breach Notification</t>
        </is>
      </c>
      <c r="J139" s="8" t="inlineStr">
        <is>
          <t>Financial Data</t>
        </is>
      </c>
      <c r="K139" t="inlineStr">
        <is>
          <t>Competent authority</t>
        </is>
      </c>
      <c r="L139" s="8" t="inlineStr">
        <is>
          <t>The competent authority may revoke authorization for a financial information service provider if the provider has not used the authorization within 12 months, has renounced it, ceased business for over six months, obtained authorization through false statements, no longer meets authorization conditions, fails to report major developments, or poses a consumer protection or data security risk. The authority must provide reasons for withdrawal and notify affected parties, publishing the withdrawal in anonymized form.</t>
        </is>
      </c>
      <c r="M139" s="8" t="inlineStr">
        <is>
          <t>This section establishes conditions under which authorization can be withdrawn, impacting data transfer assessments by requiring specific justifications and public disclosure for authorization revocations related to cross-border financial data processing.</t>
        </is>
      </c>
      <c r="N139" s="8" t="inlineStr">
        <is>
          <t>[Condition] The competent authority may withdraw an authorisation issued to a financial information service provider only if the provider: (a) does not make use of the authorisation within 12 months, expressly renounces the authorisation or has ceased to engage in business for more than 6 months; (b) has obtained the authorisation through false statements or any other irregular means; (c) no longer meets the conditions for granting the authorisation or fails to inform the competent authority on major developments in this respect; (d) would constitute a risk to consumer protection and the security of data.
[Notification] The competent authority shall give reasons for any withdrawal of an authorisation and shall inform those concerned accordingly.
[Publication] The competent authority shall make public the withdrawal of an authorisation, in an anonymised version.</t>
        </is>
      </c>
      <c r="O139" s="8" t="inlineStr">
        <is>
          <t>The competent authority may withdraw an authorisation issued to a financial information service provider only if the provider: (a) does not make use of the authorisation within 12 months, expressly renounces the authorisation or has ceased to engage in business for more than 6 months; (b) has obtained the authorisation through false statements or any other irregular means; (c) no longer meets the conditions for granting the authorisation or fails to inform the competent authority on major developments in this respect; (d) would constitute a risk to consumer protection and the security of data.</t>
        </is>
      </c>
    </row>
    <row r="140">
      <c r="A140" t="inlineStr">
        <is>
          <t>GDPR</t>
        </is>
      </c>
      <c r="B140" t="inlineStr">
        <is>
          <t>CELEX_52023PC0360_EN_TXT (GDPR - Row 13)</t>
        </is>
      </c>
      <c r="C140" t="inlineStr">
        <is>
          <t>11</t>
        </is>
      </c>
      <c r="D140" s="8" t="inlineStr">
        <is>
          <t>3.</t>
        </is>
      </c>
      <c r="E140" t="inlineStr">
        <is>
          <t>31–32</t>
        </is>
      </c>
      <c r="F140" t="inlineStr">
        <is>
          <t>Data Sharing</t>
        </is>
      </c>
      <c r="G140" t="inlineStr">
        <is>
          <t>High</t>
        </is>
      </c>
      <c r="H140" t="inlineStr">
        <is>
          <t>High (explicit)</t>
        </is>
      </c>
      <c r="I140" s="8" t="inlineStr">
        <is>
          <t>Data Sharing, Security</t>
        </is>
      </c>
      <c r="J140" s="8" t="inlineStr">
        <is>
          <t>Customer Data</t>
        </is>
      </c>
      <c r="K140" t="inlineStr"/>
      <c r="L140" s="8" t="inlineStr">
        <is>
          <t>When sharing customer data with a data user, the data holder must provide data in a standardized format at the same quality level as the data holder possesses, ensure secure communication with the data user, verify that data users have customer permission, provide customers with a permission dashboard to manage access, and respect trade secrets and intellectual property rights. This section outlines specific technical and procedural requirements for data sharing.</t>
        </is>
      </c>
      <c r="M140" s="8" t="inlineStr">
        <is>
          <t>This section mandates standardized data formats, secure communication, permission verification, and customer monitoring tools for data sharing, which are critical for ensuring secure cross-border data transfers and compliance with financial data sharing schemes.</t>
        </is>
      </c>
      <c r="N140" s="8" t="inlineStr">
        <is>
          <t>[Must] make customer data available to the data user in a format based on generally recognised standards and at least in the same quality available to the data holder
[Must] communicate securely with the data user by ensuring an appropriate level of security for the processing and transmission of customer data
[Must] request data users to demonstrate that they have obtained the permission of the customer to access the customer data held by the data holder
[Must] provide the customer with a permission dashboard to monitor and manage permissions in accordance with Article 8
[Must] respect the confidentiality of trade secrets and intellectual property rights when customer data is accessed in accordance with Article 5(1)</t>
        </is>
      </c>
      <c r="O140" s="8" t="inlineStr">
        <is>
          <t>When making data available pursuant to paragraph 1, the data holder shall: (a) make customer data available to the data user in a format based on generally recognised standards and at least in the same quality available to the data holder; (b) communicate securely with the data user by ensuring an appropriate level of security for the processing and transmission of customer data; (c) request data users to demonstrate that they have obtained the permission of the customer to access the customer data held by the data holder; (d) provide the customer with a permission dashboard to monitor and manage permissions in accordance with Article 8. (e) respect the confidentiality of trade secrets and intellectual property rights when customer data is accessed in accordance with Article 5(1).</t>
        </is>
      </c>
    </row>
    <row r="141">
      <c r="A141" t="inlineStr">
        <is>
          <t>GDPR</t>
        </is>
      </c>
      <c r="B141" t="inlineStr">
        <is>
          <t>Final report on amending GLs on ICT risk and security (GDPR - Row 4)</t>
        </is>
      </c>
      <c r="C141" t="inlineStr">
        <is>
          <t>1</t>
        </is>
      </c>
      <c r="D141" s="8" t="inlineStr">
        <is>
          <t>On 27 November 2019, the EBA published the Guidelines on ICT and security risk management</t>
        </is>
      </c>
      <c r="E141" t="inlineStr">
        <is>
          <t>3</t>
        </is>
      </c>
      <c r="F141" t="inlineStr">
        <is>
          <t>Other</t>
        </is>
      </c>
      <c r="G141" t="inlineStr">
        <is>
          <t>Medium</t>
        </is>
      </c>
      <c r="H141" t="inlineStr">
        <is>
          <t>High</t>
        </is>
      </c>
      <c r="I141" s="8" t="inlineStr">
        <is>
          <t>Security, Incident Reporting, Third Party Processing</t>
        </is>
      </c>
      <c r="J141" s="8" t="inlineStr"/>
      <c r="K141" t="inlineStr"/>
      <c r="L141" s="8" t="inlineStr">
        <is>
          <t>This section outlines the publication of the EBA Guidelines on ICT and security risk management on 27 November 2019, which were based on Article 74 of CRD and Article 95(3) of PSD2. These guidelines apply to credit institutions, investment firms, and payment service providers, replacing previous guidelines on security measures for operational and security risks.</t>
        </is>
      </c>
      <c r="M141" s="8" t="inlineStr"/>
      <c r="N141" s="8" t="inlineStr">
        <is>
          <t>[Must] The EBA published Guidelines on ICT and security risk management on 27 November 2019.
[Must] These Guidelines were built on Article 74 of Directive 2013/36/EU (CRD) and Article 95(3) of Directive (EU) 2015/2366 (PSD2).
[Must] The Guidelines apply to credit institutions, investment firms, and payment service providers.
[Must] The Guidelines replaced previous guidelines on security measures for operational and security risks (EBA GL/2017/17).</t>
        </is>
      </c>
      <c r="O141" s="8" t="inlineStr">
        <is>
          <t>On 27 November 2019, the EBA published the Guidelines on ICT and security risk management (EBA/GL/2019/04) which were built on the provisions of Article 74 of Directive 2013/36/EU (CRD)1 and Article 95(3) of Directive (EU) 2015/2366 (PSD2)2 .</t>
        </is>
      </c>
    </row>
    <row r="142">
      <c r="A142" t="inlineStr">
        <is>
          <t>GDPR</t>
        </is>
      </c>
      <c r="B142" t="inlineStr">
        <is>
          <t>Final report on amending GLs on ICT risk and security (GDPR - Row 4)</t>
        </is>
      </c>
      <c r="C142" t="inlineStr">
        <is>
          <t>2</t>
        </is>
      </c>
      <c r="D142" s="8" t="inlineStr">
        <is>
          <t>DORA entered into force in January 2023 and will apply from 17 January 2025 onwards. DORA in-</t>
        </is>
      </c>
      <c r="E142" t="inlineStr">
        <is>
          <t>3</t>
        </is>
      </c>
      <c r="F142" t="inlineStr">
        <is>
          <t>Other</t>
        </is>
      </c>
      <c r="G142" t="inlineStr">
        <is>
          <t>High</t>
        </is>
      </c>
      <c r="H142" t="inlineStr">
        <is>
          <t>High</t>
        </is>
      </c>
      <c r="I142" s="8" t="inlineStr"/>
      <c r="J142" s="8" t="inlineStr"/>
      <c r="K142" t="inlineStr"/>
      <c r="L142" s="8" t="inlineStr">
        <is>
          <t>This section outlines that the guidelines set the EBA view of appropriate supervisory practices within the European System of Financial Supervision and that competent authorities should incorporate them into their practices.</t>
        </is>
      </c>
      <c r="M142" s="8" t="inlineStr"/>
      <c r="N142" s="8" t="inlineStr">
        <is>
          <t>[Must] Guidelines set the EBA view of appropriate supervisory practices within the European System of Financial Supervision or of how Union law should be applied in a particular area.
[Must] Competent authorities as defined in Article 4(2) of Regulation (EU) No 1093/2010 to whom guidelines apply should comply by incorporating them into their practices as appropriate.</t>
        </is>
      </c>
      <c r="O142" s="8" t="inlineStr">
        <is>
          <t>Guidelines set the EBA view of appropriate supervisory practices within the European System of Financial Supervision or of how Union law should be applied in a particular area. Competent authorities as defined in Article 4(2) of Regulation (EU) No 1093/2010 to whom guidelines apply should comply by incorporating them into their practices as appropriate (e.g. by amending their legal framework or their supervisory processes), including where guidelines are directed primarily at institutions.</t>
        </is>
      </c>
    </row>
    <row r="143">
      <c r="A143" t="inlineStr">
        <is>
          <t>GDPR</t>
        </is>
      </c>
      <c r="B143" t="inlineStr">
        <is>
          <t>Final report on amending GLs on ICT risk and security (GDPR - Row 4)</t>
        </is>
      </c>
      <c r="C143" t="inlineStr">
        <is>
          <t>2</t>
        </is>
      </c>
      <c r="D143" s="8" t="inlineStr">
        <is>
          <t>Guidelines</t>
        </is>
      </c>
      <c r="E143" t="inlineStr">
        <is>
          <t>6–8</t>
        </is>
      </c>
      <c r="F143" t="inlineStr">
        <is>
          <t>Other</t>
        </is>
      </c>
      <c r="G143" t="inlineStr">
        <is>
          <t>High</t>
        </is>
      </c>
      <c r="H143" t="inlineStr">
        <is>
          <t>High</t>
        </is>
      </c>
      <c r="I143" s="8" t="inlineStr"/>
      <c r="J143" s="8" t="inlineStr"/>
      <c r="K143" t="inlineStr"/>
      <c r="L143" s="8" t="inlineStr">
        <is>
          <t>This section outlines that the guidelines set the EBA view of appropriate supervisory practices within the European System of Financial Supervision and that competent authorities should incorporate them into their practices.</t>
        </is>
      </c>
      <c r="M143" s="8" t="inlineStr"/>
      <c r="N143" s="8" t="inlineStr">
        <is>
          <t>[Must] Guidelines set the EBA view of appropriate supervisory practices within the European System of Financial Supervision or of how Union law should be applied in a particular area.
[Must] Competent authorities as defined in Article 4(2) of Regulation (EU) No 1093/2010 to whom guidelines apply should comply by incorporating them into their practices as appropriate.</t>
        </is>
      </c>
      <c r="O143" s="8" t="inlineStr">
        <is>
          <t>Guidelines set the EBA view of appropriate supervisory practices within the European System of Financial Supervision or of how Union law should be applied in a particular area. Competent authorities as defined in Article 4(2) of Regulation (EU) No 1093/2010 to whom guidelines apply should comply by incorporating them into their practices as appropriate (e.g. by amending their legal framework or their supervisory processes), including where guidelines are directed primarily at institutions.</t>
        </is>
      </c>
    </row>
    <row r="144">
      <c r="A144" t="inlineStr">
        <is>
          <t>GDPR</t>
        </is>
      </c>
      <c r="B144" t="inlineStr">
        <is>
          <t>Final report on amending GLs on ICT risk and security (GDPR - Row 4)</t>
        </is>
      </c>
      <c r="C144" t="inlineStr">
        <is>
          <t>2</t>
        </is>
      </c>
      <c r="D144" s="8" t="inlineStr">
        <is>
          <t>Guidelines set the EBA view of appropriate supervisory practices within the European</t>
        </is>
      </c>
      <c r="E144" t="inlineStr">
        <is>
          <t>8</t>
        </is>
      </c>
      <c r="F144" t="inlineStr">
        <is>
          <t>Other</t>
        </is>
      </c>
      <c r="G144" t="inlineStr">
        <is>
          <t>High</t>
        </is>
      </c>
      <c r="H144" t="inlineStr">
        <is>
          <t>High</t>
        </is>
      </c>
      <c r="I144" s="8" t="inlineStr"/>
      <c r="J144" s="8" t="inlineStr"/>
      <c r="K144" t="inlineStr"/>
      <c r="L144" s="8" t="inlineStr">
        <is>
          <t>This section outlines that the guidelines set the EBA view of appropriate supervisory practices within the European System of Financial Supervision and that competent authorities should incorporate them into their practices.</t>
        </is>
      </c>
      <c r="M144" s="8" t="inlineStr"/>
      <c r="N144" s="8" t="inlineStr">
        <is>
          <t>[Must] Guidelines set the EBA view of appropriate supervisory practices within the European System of Financial Supervision or of how Union law should be applied in a particular area.
[Must] Competent authorities as defined in Article 4(2) of Regulation (EU) No 1093/2010 to whom guidelines apply should comply by incorporating them into their practices as appropriate.</t>
        </is>
      </c>
      <c r="O144" s="8" t="inlineStr">
        <is>
          <t>Guidelines set the EBA view of appropriate supervisory practices within the European System of Financial Supervision or of how Union law should be applied in a particular area. Competent authorities as defined in Article 4(2) of Regulation (EU) No 1093/2010 to whom guidelines apply should comply by incorporating them into their practices as appropriate (e.g. by amending their legal framework or their supervisory processes), including where guidelines are directed primarily at institutions.</t>
        </is>
      </c>
    </row>
    <row r="145">
      <c r="A145" t="inlineStr">
        <is>
          <t>GDPR</t>
        </is>
      </c>
      <c r="B145" t="inlineStr">
        <is>
          <t>Final report on amending GLs on ICT risk and security (GDPR - Row 4)</t>
        </is>
      </c>
      <c r="C145" t="inlineStr">
        <is>
          <t>3</t>
        </is>
      </c>
      <c r="D145" s="8" t="inlineStr">
        <is>
          <t>The entities within DORA's scope of action cover some of the PSPs within the scope of PSD2, namely</t>
        </is>
      </c>
      <c r="E145" t="inlineStr">
        <is>
          <t>3</t>
        </is>
      </c>
      <c r="F145" t="inlineStr">
        <is>
          <t>Other</t>
        </is>
      </c>
      <c r="G145" t="inlineStr">
        <is>
          <t>High</t>
        </is>
      </c>
      <c r="H145" t="inlineStr">
        <is>
          <t>High</t>
        </is>
      </c>
      <c r="I145" s="8" t="inlineStr"/>
      <c r="J145" s="8" t="inlineStr"/>
      <c r="K145" t="inlineStr"/>
      <c r="L145" s="8" t="inlineStr">
        <is>
          <t>This section states that competent authorities must notify the EBA by 20.05.2025 whether they comply or intend to comply with the guidelines, or otherwise provide reasons for non-compliance. Notifications must be submitted using the form available on the EBA website.</t>
        </is>
      </c>
      <c r="M145" s="8" t="inlineStr"/>
      <c r="N145" s="8" t="inlineStr">
        <is>
          <t>[Must] Competent authorities must notify the EBA as to whether they comply or intend to comply with these guidelines, or otherwise with reasons for non-compliance, by 20.05.2025.
[Must] In the absence of any notification by this deadline, competent authorities will be considered by the EBA to be non-compliant.
[Must] Notifications should be sent by submitting the form available on the EBA website with the reference ‘EBA/GL/2025/02’.
[Must] Notifications should be submitted by persons with appropriate authority to report compliance on behalf of their competent authorities.
[Must] Any change in the status of compliance must also be reported to EBA.</t>
        </is>
      </c>
      <c r="O145" s="8" t="inlineStr">
        <is>
          <t>According to Article 16(3) of Regulation (EU) No 1093/2010, competent authorities must notify the EBA as to whether they comply or intend to comply with these guidelines, or otherwise with reasons for non-compliance, by 20.05.2025. In the absence of any notification by this deadline, competent authorities will be considered by the EBA to be non-compliant. Notifications should be sent by submitting the form available on the EBA website with the reference ‘EBA/GL/2025/02’. Notifications should be submitted by persons with appropriate authority to report compliance on behalf of their competent authorities. Any change in the status of compliance must also be reported to EBA.</t>
        </is>
      </c>
    </row>
    <row r="146">
      <c r="A146" t="inlineStr">
        <is>
          <t>GDPR</t>
        </is>
      </c>
      <c r="B146" t="inlineStr">
        <is>
          <t>Final report on amending GLs on ICT risk and security (GDPR - Row 4)</t>
        </is>
      </c>
      <c r="C146" t="inlineStr">
        <is>
          <t>3</t>
        </is>
      </c>
      <c r="D146" s="8" t="inlineStr">
        <is>
          <t>According to Article 16(3) of Regulation (EU) No 1093/2010, competent authorities</t>
        </is>
      </c>
      <c r="E146" t="inlineStr">
        <is>
          <t>8</t>
        </is>
      </c>
      <c r="F146" t="inlineStr">
        <is>
          <t>Other</t>
        </is>
      </c>
      <c r="G146" t="inlineStr">
        <is>
          <t>High</t>
        </is>
      </c>
      <c r="H146" t="inlineStr">
        <is>
          <t>High</t>
        </is>
      </c>
      <c r="I146" s="8" t="inlineStr"/>
      <c r="J146" s="8" t="inlineStr"/>
      <c r="K146" t="inlineStr"/>
      <c r="L146" s="8" t="inlineStr">
        <is>
          <t>This section states that competent authorities must notify the EBA by 20.05.2025 whether they comply or intend to comply with the guidelines, or otherwise provide reasons for non-compliance. Notifications must be submitted using the form available on the EBA website.</t>
        </is>
      </c>
      <c r="M146" s="8" t="inlineStr"/>
      <c r="N146" s="8" t="inlineStr">
        <is>
          <t>[Must] Competent authorities must notify the EBA as to whether they comply or intend to comply with these guidelines, or otherwise with reasons for non-compliance, by 20.05.2025.
[Must] In the absence of any notification by this deadline, competent authorities will be considered by the EBA to be non-compliant.
[Must] Notifications should be sent by submitting the form available on the EBA website with the reference ‘EBA/GL/2025/02’.
[Must] Notifications should be submitted by persons with appropriate authority to report compliance on behalf of their competent authorities.
[Must] Any change in the status of compliance must also be reported to EBA.</t>
        </is>
      </c>
      <c r="O146" s="8" t="inlineStr">
        <is>
          <t>According to Article 16(3) of Regulation (EU) No 1093/2010, competent authorities must notify the EBA as to whether they comply or intend to comply with these guidelines, or otherwise with reasons for non-compliance, by 20.05.2025. In the absence of any notification by this deadline, competent authorities will be considered by the EBA to be non-compliant. Notifications should be sent by submitting the form available on the EBA website with the reference ‘EBA/GL/2025/02’. Notifications should be submitted by persons with appropriate authority to report compliance on behalf of their competent authorities. Any change in the status of compliance must also be reported to EBA.</t>
        </is>
      </c>
    </row>
    <row r="147">
      <c r="A147" t="inlineStr">
        <is>
          <t>GDPR</t>
        </is>
      </c>
      <c r="B147" t="inlineStr">
        <is>
          <t>Final report on amending GLs on ICT risk and security (GDPR - Row 4)</t>
        </is>
      </c>
      <c r="C147" t="inlineStr">
        <is>
          <t>4</t>
        </is>
      </c>
      <c r="D147" s="8" t="inlineStr">
        <is>
          <t>Notifications will be published on the EBA website, in line with Article 16(3).</t>
        </is>
      </c>
      <c r="E147" t="inlineStr">
        <is>
          <t>8–9</t>
        </is>
      </c>
      <c r="F147" t="inlineStr">
        <is>
          <t>Other</t>
        </is>
      </c>
      <c r="G147" t="inlineStr">
        <is>
          <t>High</t>
        </is>
      </c>
      <c r="H147" t="inlineStr">
        <is>
          <t>High</t>
        </is>
      </c>
      <c r="I147" s="8" t="inlineStr"/>
      <c r="J147" s="8" t="inlineStr"/>
      <c r="K147" t="inlineStr"/>
      <c r="L147" s="8" t="inlineStr">
        <is>
          <t>This section states that notifications will be published on the EBA website in line with Article 16(3) of Regulation (EU) No 1093/2010.</t>
        </is>
      </c>
      <c r="M147" s="8" t="inlineStr"/>
      <c r="N147" s="8" t="inlineStr">
        <is>
          <t>[Must] Notifications will be published on the EBA website, in line with Article 16(3) of Regulation (EU) No 1093/2010.</t>
        </is>
      </c>
      <c r="O147" s="8" t="inlineStr">
        <is>
          <t>Notifications will be published on the EBA website, in line with Article 16(3).</t>
        </is>
      </c>
    </row>
    <row r="148">
      <c r="A148" t="inlineStr">
        <is>
          <t>GDPR</t>
        </is>
      </c>
      <c r="B148" t="inlineStr">
        <is>
          <t>Final report on amending GLs on ICT risk and security (GDPR - Row 4)</t>
        </is>
      </c>
      <c r="C148" t="inlineStr">
        <is>
          <t>5</t>
        </is>
      </c>
      <c r="D148" s="8" t="inlineStr">
        <is>
          <t>Article 7(4) of Directive (EU) 2022/2556, amended Article 95(1) of PSD2 by adding the following</t>
        </is>
      </c>
      <c r="E148" t="inlineStr">
        <is>
          <t>3–4</t>
        </is>
      </c>
      <c r="F148" t="inlineStr">
        <is>
          <t>Other</t>
        </is>
      </c>
      <c r="G148" t="inlineStr">
        <is>
          <t>High</t>
        </is>
      </c>
      <c r="H148" t="inlineStr">
        <is>
          <t>High</t>
        </is>
      </c>
      <c r="I148" s="8" t="inlineStr"/>
      <c r="J148" s="8" t="inlineStr"/>
      <c r="K148" t="inlineStr"/>
      <c r="L148" s="8" t="inlineStr">
        <is>
          <t>This section states that 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t>
        </is>
      </c>
      <c r="M148" s="8" t="inlineStr"/>
      <c r="N148" s="8" t="inlineStr">
        <is>
          <t>[Must] These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t>
        </is>
      </c>
      <c r="O148" s="8" t="inlineStr">
        <is>
          <t>These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2015/23662.</t>
        </is>
      </c>
    </row>
    <row r="149">
      <c r="A149" t="inlineStr">
        <is>
          <t>GDPR</t>
        </is>
      </c>
      <c r="B149" t="inlineStr">
        <is>
          <t>Final report on amending GLs on ICT risk and security (GDPR - Row 4)</t>
        </is>
      </c>
      <c r="C149" t="inlineStr">
        <is>
          <t>5</t>
        </is>
      </c>
      <c r="D149" s="8" t="inlineStr">
        <is>
          <t>These guidelines are addressed to competent authorities as defined in Article 4 point</t>
        </is>
      </c>
      <c r="E149" t="inlineStr">
        <is>
          <t>9</t>
        </is>
      </c>
      <c r="F149" t="inlineStr">
        <is>
          <t>Other</t>
        </is>
      </c>
      <c r="G149" t="inlineStr">
        <is>
          <t>High</t>
        </is>
      </c>
      <c r="H149" t="inlineStr">
        <is>
          <t>High</t>
        </is>
      </c>
      <c r="I149" s="8" t="inlineStr"/>
      <c r="J149" s="8" t="inlineStr"/>
      <c r="K149" t="inlineStr"/>
      <c r="L149" s="8" t="inlineStr">
        <is>
          <t>This section states that 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t>
        </is>
      </c>
      <c r="M149" s="8" t="inlineStr"/>
      <c r="N149" s="8" t="inlineStr">
        <is>
          <t>[Must] These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t>
        </is>
      </c>
      <c r="O149" s="8" t="inlineStr">
        <is>
          <t>These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2015/23662.</t>
        </is>
      </c>
    </row>
    <row r="150">
      <c r="A150" t="inlineStr">
        <is>
          <t>GDPR</t>
        </is>
      </c>
      <c r="B150" t="inlineStr">
        <is>
          <t>Final report on amending GLs on ICT risk and security (GDPR - Row 4)</t>
        </is>
      </c>
      <c r="C150" t="inlineStr">
        <is>
          <t>8</t>
        </is>
      </c>
      <c r="D150" s="8" t="inlineStr">
        <is>
          <t>Article 2(2)(f) of DORA, explicitly excludes from the scope of action of DORA post office giro institu-</t>
        </is>
      </c>
      <c r="E150" t="inlineStr">
        <is>
          <t>4</t>
        </is>
      </c>
      <c r="F150" t="inlineStr">
        <is>
          <t>Other</t>
        </is>
      </c>
      <c r="G150" t="inlineStr">
        <is>
          <t>High</t>
        </is>
      </c>
      <c r="H150" t="inlineStr">
        <is>
          <t>High</t>
        </is>
      </c>
      <c r="I150" s="8" t="inlineStr"/>
      <c r="J150" s="8" t="inlineStr"/>
      <c r="K150" t="inlineStr"/>
      <c r="L150" s="8" t="inlineStr">
        <is>
          <t>This section states that the subject matter of the guidelines is replaced with a focus on payment user relationship management and that the guidelines complement the risk management measures under DORA and the related RTS that payment service providers must take.</t>
        </is>
      </c>
      <c r="M150" s="8" t="inlineStr"/>
      <c r="N150" s="8" t="inlineStr">
        <is>
          <t>[Must] The subject matter as set out in paragraphs 5 and 6 is replaced with the following: 'These guidelines are based on the mandate to issue guidelines under Article 95(3) of Directive (EU) 2015/2366 and cover aspects of payment user relationship management'.
[Must] The guidelines complement the risk management measures under DORA and the related RTS that payment service providers must take.</t>
        </is>
      </c>
      <c r="O150" s="8" t="inlineStr">
        <is>
          <t>The subject matter as set out in paragraphs 5 and 6 is replaced with the following: 'These guidelines are based on the mandate to issue guidelines under Article 95(3) of Directive (EU) 2015/2366 and cover aspects of payment user relationship management'. The guidelines complement the risk management measures under DORA and the related RTS that payment service providers must take.</t>
        </is>
      </c>
    </row>
    <row r="151">
      <c r="A151" t="inlineStr">
        <is>
          <t>GDPR</t>
        </is>
      </c>
      <c r="B151" t="inlineStr">
        <is>
          <t>Final report on amending GLs on ICT risk and security (GDPR - Row 4)</t>
        </is>
      </c>
      <c r="C151" t="inlineStr">
        <is>
          <t>8</t>
        </is>
      </c>
      <c r="D151" s="8" t="inlineStr">
        <is>
          <t>The subject matter as set out in paragraphs 5 and 6 is replaced with the following:</t>
        </is>
      </c>
      <c r="E151" t="inlineStr">
        <is>
          <t>9</t>
        </is>
      </c>
      <c r="F151" t="inlineStr">
        <is>
          <t>Other</t>
        </is>
      </c>
      <c r="G151" t="inlineStr">
        <is>
          <t>High</t>
        </is>
      </c>
      <c r="H151" t="inlineStr">
        <is>
          <t>High</t>
        </is>
      </c>
      <c r="I151" s="8" t="inlineStr"/>
      <c r="J151" s="8" t="inlineStr"/>
      <c r="K151" t="inlineStr"/>
      <c r="L151" s="8" t="inlineStr">
        <is>
          <t>This section states that the subject matter of the guidelines is replaced with a focus on payment user relationship management and that the guidelines complement the risk management measures under DORA and the related RTS that payment service providers must take.</t>
        </is>
      </c>
      <c r="M151" s="8" t="inlineStr"/>
      <c r="N151" s="8" t="inlineStr">
        <is>
          <t>[Must] The subject matter as set out in paragraphs 5 and 6 is replaced with the following: 'These guidelines are based on the mandate to issue guidelines under Article 95(3) of Directive (EU) 2015/2366 and cover aspects of payment user relationship management'.
[Must] The guidelines complement the risk management measures under DORA and the related RTS that payment service providers must take.</t>
        </is>
      </c>
      <c r="O151" s="8" t="inlineStr">
        <is>
          <t>The subject matter as set out in paragraphs 5 and 6 is replaced with the following: 'These guidelines are based on the mandate to issue guidelines under Article 95(3) of Directive (EU) 2015/2366 and cover aspects of payment user relationship management'. The guidelines complement the risk management measures under DORA and the related RTS that payment service providers must take.</t>
        </is>
      </c>
    </row>
    <row r="152">
      <c r="A152" t="inlineStr">
        <is>
          <t>GDPR</t>
        </is>
      </c>
      <c r="B152" t="inlineStr">
        <is>
          <t>Final report on amending GLs on ICT risk and security (GDPR - Row 4)</t>
        </is>
      </c>
      <c r="C152" t="inlineStr">
        <is>
          <t>9</t>
        </is>
      </c>
      <c r="D152" s="8" t="inlineStr">
        <is>
          <t>The scope of application as set out in paragraphs 7 and 8 is deleted.</t>
        </is>
      </c>
      <c r="E152" t="inlineStr">
        <is>
          <t>9–10</t>
        </is>
      </c>
      <c r="F152" t="inlineStr">
        <is>
          <t>Other</t>
        </is>
      </c>
      <c r="G152" t="inlineStr">
        <is>
          <t>Unknown</t>
        </is>
      </c>
      <c r="H152" t="inlineStr">
        <is>
          <t>Low</t>
        </is>
      </c>
      <c r="I152" s="8" t="inlineStr"/>
      <c r="J152" s="8" t="inlineStr"/>
      <c r="K152" t="inlineStr"/>
      <c r="L152" s="8" t="inlineStr"/>
      <c r="M152" s="8" t="inlineStr"/>
      <c r="N152" s="8" t="inlineStr"/>
      <c r="O152" s="8" t="inlineStr"/>
    </row>
    <row r="153">
      <c r="A153" t="inlineStr">
        <is>
          <t>GDPR</t>
        </is>
      </c>
      <c r="B153" t="inlineStr">
        <is>
          <t>Final report on amending GLs on ICT risk and security (GDPR - Row 4)</t>
        </is>
      </c>
      <c r="C153" t="inlineStr">
        <is>
          <t>10</t>
        </is>
      </c>
      <c r="D153" s="8" t="inlineStr">
        <is>
          <t>In addition, National Competent Authorities have the possibility to subject PSPs that are not cov-</t>
        </is>
      </c>
      <c r="E153" t="inlineStr">
        <is>
          <t>4</t>
        </is>
      </c>
      <c r="F153" t="inlineStr">
        <is>
          <t>Other</t>
        </is>
      </c>
      <c r="G153" t="inlineStr">
        <is>
          <t>High</t>
        </is>
      </c>
      <c r="H153" t="inlineStr">
        <is>
          <t>High</t>
        </is>
      </c>
      <c r="I153" s="8" t="inlineStr"/>
      <c r="J153" s="8" t="inlineStr"/>
      <c r="K153" t="inlineStr"/>
      <c r="L153" s="8" t="inlineStr">
        <is>
          <t>This section states that 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 including those benefiting from exemptions.</t>
        </is>
      </c>
      <c r="M153" s="8" t="inlineStr"/>
      <c r="N153" s="8" t="inlineStr">
        <is>
          <t>[Must] 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 including natural or legal persons benefiting from an exemption pursuant to Article 32 or 33 of Directive (EU) 2015/2366 and legal persons exempted under Article 9 of Directive 2009/110/EC3.</t>
        </is>
      </c>
      <c r="O153" s="8" t="inlineStr">
        <is>
          <t>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 including natural or legal persons benefiting from an exemption pursuant to Article 32 or 33 of Directive (EU) 2015/2366 and legal persons exempted under Article 9 of Directive 2009/110/EC3.</t>
        </is>
      </c>
    </row>
    <row r="154">
      <c r="A154" t="inlineStr">
        <is>
          <t>GDPR</t>
        </is>
      </c>
      <c r="B154" t="inlineStr">
        <is>
          <t>Final report on amending GLs on ICT risk and security (GDPR - Row 4)</t>
        </is>
      </c>
      <c r="C154" t="inlineStr">
        <is>
          <t>10</t>
        </is>
      </c>
      <c r="D154" s="8" t="inlineStr">
        <is>
          <t>The addressees as set out in paragraph 9 are replaced by the following:</t>
        </is>
      </c>
      <c r="E154" t="inlineStr">
        <is>
          <t>10</t>
        </is>
      </c>
      <c r="F154" t="inlineStr">
        <is>
          <t>Other</t>
        </is>
      </c>
      <c r="G154" t="inlineStr">
        <is>
          <t>High</t>
        </is>
      </c>
      <c r="H154" t="inlineStr">
        <is>
          <t>High</t>
        </is>
      </c>
      <c r="I154" s="8" t="inlineStr"/>
      <c r="J154" s="8" t="inlineStr"/>
      <c r="K154" t="inlineStr"/>
      <c r="L154" s="8" t="inlineStr">
        <is>
          <t>This section states that 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 including those benefiting from exemptions.</t>
        </is>
      </c>
      <c r="M154" s="8" t="inlineStr"/>
      <c r="N154" s="8" t="inlineStr">
        <is>
          <t>[Must] 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 including natural or legal persons benefiting from an exemption pursuant to Article 32 or 33 of Directive (EU) 2015/2366 and legal persons exempted under Article 9 of Directive 2009/110/EC3.</t>
        </is>
      </c>
      <c r="O154" s="8" t="inlineStr">
        <is>
          <t>The guidelines are addressed to competent authorities as defined in Article 4 point (2)(vii) of Regulation (EU) No 1093/2010 and to financial institutions as defined in Article 4(1) of Regulation No 1093/2010, which are payment service providers as referred to in Article 1(1) of Directive (EU) 2015/2366, including natural or legal persons benefiting from an exemption pursuant to Article 32 or 33 of Directive (EU) 2015/2366 and legal persons exempted under Article 9 of Directive 2009/110/EC3.</t>
        </is>
      </c>
    </row>
    <row r="155">
      <c r="A155" t="inlineStr">
        <is>
          <t>GDPR</t>
        </is>
      </c>
      <c r="B155" t="inlineStr">
        <is>
          <t>Final report on amending GLs on ICT risk and security (GDPR - Row 4)</t>
        </is>
      </c>
      <c r="C155" t="inlineStr">
        <is>
          <t>11</t>
        </is>
      </c>
      <c r="D155" s="8" t="inlineStr">
        <is>
          <t>The separate proposal that the Commission published in June 2023 on the revision of PSD2 towards</t>
        </is>
      </c>
      <c r="E155" t="inlineStr">
        <is>
          <t>4–5</t>
        </is>
      </c>
      <c r="F155" t="inlineStr">
        <is>
          <t>Other</t>
        </is>
      </c>
      <c r="G155" t="inlineStr">
        <is>
          <t>High</t>
        </is>
      </c>
      <c r="H155" t="inlineStr">
        <is>
          <t>High</t>
        </is>
      </c>
      <c r="I155" s="8" t="inlineStr"/>
      <c r="J155" s="8" t="inlineStr"/>
      <c r="K155" t="inlineStr"/>
      <c r="L155" s="8" t="inlineStr">
        <is>
          <t>This section states that the definitions as set out in paragraph 10 are deleted.</t>
        </is>
      </c>
      <c r="M155" s="8" t="inlineStr"/>
      <c r="N155" s="8" t="inlineStr">
        <is>
          <t>[Must] The definitions as set out in paragraph 10 are deleted.</t>
        </is>
      </c>
      <c r="O155" s="8" t="inlineStr">
        <is>
          <t>The definitions as set out in paragraph 10 are deleted.</t>
        </is>
      </c>
    </row>
    <row r="156">
      <c r="A156" t="inlineStr">
        <is>
          <t>GDPR</t>
        </is>
      </c>
      <c r="B156" t="inlineStr">
        <is>
          <t>Final report on amending GLs on ICT risk and security (GDPR - Row 4)</t>
        </is>
      </c>
      <c r="C156" t="inlineStr">
        <is>
          <t>11</t>
        </is>
      </c>
      <c r="D156" s="8" t="inlineStr">
        <is>
          <t>The definitions as set out in paragraph 10 are deleted.</t>
        </is>
      </c>
      <c r="E156" t="inlineStr">
        <is>
          <t>10</t>
        </is>
      </c>
      <c r="F156" t="inlineStr">
        <is>
          <t>Other</t>
        </is>
      </c>
      <c r="G156" t="inlineStr">
        <is>
          <t>High</t>
        </is>
      </c>
      <c r="H156" t="inlineStr">
        <is>
          <t>High</t>
        </is>
      </c>
      <c r="I156" s="8" t="inlineStr"/>
      <c r="J156" s="8" t="inlineStr"/>
      <c r="K156" t="inlineStr"/>
      <c r="L156" s="8" t="inlineStr">
        <is>
          <t>This section states that the definitions as set out in paragraph 10 are deleted.</t>
        </is>
      </c>
      <c r="M156" s="8" t="inlineStr"/>
      <c r="N156" s="8" t="inlineStr">
        <is>
          <t>[Must] The definitions as set out in paragraph 10 are deleted.</t>
        </is>
      </c>
      <c r="O156" s="8" t="inlineStr">
        <is>
          <t>The definitions as set out in paragraph 10 are deleted.</t>
        </is>
      </c>
    </row>
    <row r="157">
      <c r="A157" t="inlineStr">
        <is>
          <t>GDPR</t>
        </is>
      </c>
      <c r="B157" t="inlineStr">
        <is>
          <t>Final report on amending GLs on ICT risk and security (GDPR - Row 4)</t>
        </is>
      </c>
      <c r="C157" t="inlineStr">
        <is>
          <t>12</t>
        </is>
      </c>
      <c r="D157" s="8" t="inlineStr">
        <is>
          <t>Credit institutions and investment firms as defined in point 3 of Article 4(1) of Regulation (EU) No</t>
        </is>
      </c>
      <c r="E157" t="inlineStr">
        <is>
          <t>5</t>
        </is>
      </c>
      <c r="F157" t="inlineStr">
        <is>
          <t>Other</t>
        </is>
      </c>
      <c r="G157" t="inlineStr">
        <is>
          <t>High</t>
        </is>
      </c>
      <c r="H157" t="inlineStr">
        <is>
          <t>High</t>
        </is>
      </c>
      <c r="I157" s="8" t="inlineStr"/>
      <c r="J157" s="8" t="inlineStr"/>
      <c r="K157" t="inlineStr"/>
      <c r="L157" s="8" t="inlineStr">
        <is>
          <t>This section notes that credit institutions and investment firms as defined in Regulation (EU) No 575/2013 overlap with the financial entities subject to DORA and the related RTS on RMF.</t>
        </is>
      </c>
      <c r="M157" s="8" t="inlineStr"/>
      <c r="N157" s="8" t="inlineStr">
        <is>
          <t>[Must] Credit institutions and investment firms as defined in Regulation (EU) No 575/2013 overlap with the financial entities subject to DORA and the related RTS on RMF.</t>
        </is>
      </c>
      <c r="O157" s="8" t="inlineStr">
        <is>
          <t>Credit institutions and investment firms as defined in point 3 of Article 4(1) of Regulation (EU) No 575/2013, addressees of the EBA Guidelines on ICT and security risk management overlap with the financial entities subject to DORA and the related RTS on RMF.</t>
        </is>
      </c>
    </row>
    <row r="158">
      <c r="A158" t="inlineStr">
        <is>
          <t>GDPR</t>
        </is>
      </c>
      <c r="B158" t="inlineStr">
        <is>
          <t>Final report on amending GLs on ICT risk and security (GDPR - Row 4)</t>
        </is>
      </c>
      <c r="C158" t="inlineStr">
        <is>
          <t>13</t>
        </is>
      </c>
      <c r="D158" s="8" t="inlineStr">
        <is>
          <t>The EBA carried out a gap analysis in May 2024 and arrived at the view that the majority of the gaps</t>
        </is>
      </c>
      <c r="E158" t="inlineStr">
        <is>
          <t>5</t>
        </is>
      </c>
      <c r="F158" t="inlineStr">
        <is>
          <t>Other</t>
        </is>
      </c>
      <c r="G158" t="inlineStr">
        <is>
          <t>High</t>
        </is>
      </c>
      <c r="H158" t="inlineStr">
        <is>
          <t>High</t>
        </is>
      </c>
      <c r="I158" s="8" t="inlineStr"/>
      <c r="J158" s="8" t="inlineStr"/>
      <c r="K158" t="inlineStr"/>
      <c r="L158" s="8" t="inlineStr">
        <is>
          <t>This section states that the EBA conducted a gap analysis in May 2024 and found that most gaps related to authentication methods, information security policy, and ICT operations management were not material and were covered by the new DORA framework.</t>
        </is>
      </c>
      <c r="M158" s="8" t="inlineStr"/>
      <c r="N158" s="8" t="inlineStr">
        <is>
          <t>[Must] The EBA conducted a gap analysis in May 2024 and found that most gaps related to authentication methods, information security policy, and ICT operations management were not material and were covered by the new DORA framework.</t>
        </is>
      </c>
      <c r="O158" s="8" t="inlineStr">
        <is>
          <t>The EBA carried out a gap analysis in May 2024 and arrived at the view that the majority of the gaps identified which relate to authentication methods, requirements for the information security policy and ICT operations management, were not material and holistically covered by the new DORA framework.</t>
        </is>
      </c>
    </row>
    <row r="159">
      <c r="A159" t="inlineStr">
        <is>
          <t>GDPR</t>
        </is>
      </c>
      <c r="B159" t="inlineStr">
        <is>
          <t>Final report on amending GLs on ICT risk and security (GDPR - Row 4)</t>
        </is>
      </c>
      <c r="C159" t="inlineStr">
        <is>
          <t>16</t>
        </is>
      </c>
      <c r="D159" s="8" t="inlineStr">
        <is>
          <t>The definitions included in EBA Guidelines on ICT and security risk management overlap with DORA</t>
        </is>
      </c>
      <c r="E159" t="inlineStr">
        <is>
          <t>5</t>
        </is>
      </c>
      <c r="F159" t="inlineStr">
        <is>
          <t>Other</t>
        </is>
      </c>
      <c r="G159" t="inlineStr">
        <is>
          <t>High</t>
        </is>
      </c>
      <c r="H159" t="inlineStr">
        <is>
          <t>High</t>
        </is>
      </c>
      <c r="I159" s="8" t="inlineStr">
        <is>
          <t>Security</t>
        </is>
      </c>
      <c r="J159" s="8" t="inlineStr"/>
      <c r="K159" t="inlineStr"/>
      <c r="L159" s="8" t="inlineStr">
        <is>
          <t>This section notes that the definitions included in the EBA Guidelines on ICT and security risk management overlap with DORA Article (3).</t>
        </is>
      </c>
      <c r="M159" s="8" t="inlineStr"/>
      <c r="N159" s="8" t="inlineStr">
        <is>
          <t>[Must] The definitions included in the EBA Guidelines on ICT and security risk management overlap with DORA Article (3).</t>
        </is>
      </c>
      <c r="O159" s="8" t="inlineStr">
        <is>
          <t>The definitions included in EBA Guidelines on ICT and security risk management overlap with DORA Article (3).</t>
        </is>
      </c>
    </row>
    <row r="160">
      <c r="A160" t="inlineStr">
        <is>
          <t>GDPR</t>
        </is>
      </c>
      <c r="B160" t="inlineStr">
        <is>
          <t>esma_cloud_guidelines (GDPR - Row 8)</t>
        </is>
      </c>
      <c r="C160" t="inlineStr">
        <is>
          <t>1</t>
        </is>
      </c>
      <c r="D160" s="8" t="inlineStr">
        <is>
          <t>These guidelines apply to competent authorities and to (i) alternative investment fund</t>
        </is>
      </c>
      <c r="E160" t="inlineStr">
        <is>
          <t>3</t>
        </is>
      </c>
      <c r="F160" t="inlineStr">
        <is>
          <t>Other</t>
        </is>
      </c>
      <c r="G160" t="inlineStr">
        <is>
          <t>High</t>
        </is>
      </c>
      <c r="H160" t="inlineStr">
        <is>
          <t>High</t>
        </is>
      </c>
      <c r="I160" s="8" t="inlineStr">
        <is>
          <t>Outsourcing, Cloud Services</t>
        </is>
      </c>
      <c r="J160" s="8" t="inlineStr"/>
      <c r="K160" t="inlineStr"/>
      <c r="L160" s="8" t="inlineStr">
        <is>
          <t>Section 1 identifies the entities to which these guidelines apply, including competent authorities, alternative investment fund managers, UCITS, investment companies, central counterparties, trade repositories, investment firms, credit institutions, central securities depositories, credit rating agencies, securitisation repositories, and administrators of critical benchmarks.</t>
        </is>
      </c>
      <c r="M160" s="8" t="inlineStr"/>
      <c r="N160" s="8" t="inlineStr">
        <is>
          <t>[Must] These guidelines apply to competent authorities and to (i) alternative investment fund managers (AIFMs) and depositaries of alternative investment funds (AIFs), (ii) undertakings for collective investment in transferable securities (UCITS), management companies and depositaries of UCITS, and investment companies that have not designated a management company authorised pursuant to UCITS Directive (iii) central counterparties (CCPs), including Tier 2 third-country CCPs which comply with the relevant EMIR requirements, (iv) trade repositories (TRs), (v) investment firms and credit institutions when carrying out investment services and activities, data reporting services providers and market operators of trading venues, (vi) central securities depositories (CSDs), (vii) credit rating agencies (CRAs), (viii) securitisation repositories (SRs), and (ix) administrators of critical benchmarks.</t>
        </is>
      </c>
      <c r="O160" s="8" t="inlineStr">
        <is>
          <t>These guidelines apply to competent authorities and to (i) alternative investment fund managers (AIFMs) and depositaries of alternative investment funds (AIFs), (ii) undertakings for collective investment in transferable securities (UCITS), management companies and depositaries of UCITS, and investment companies that have not designated a management company authorised pursuant to UCITS Directive (iii) central counterparties (CCPs), including Tier 2 third-country CCPs which comply with the relevant EMIR requirements, (iv) trade repositories (TRs), (v) investment firms and credit institutions when carrying out investment services and activities, data reporting services providers and market operators of trading venues, (vi) central securities depositories (CSDs), (vii) credit rating agencies (CRAs), (viii) securitisation repositories (SRs), and (ix) administrators of critical benchmarks.</t>
        </is>
      </c>
    </row>
    <row r="161">
      <c r="A161" t="inlineStr">
        <is>
          <t>GDPR</t>
        </is>
      </c>
      <c r="B161" t="inlineStr">
        <is>
          <t>esma_cloud_guidelines (GDPR - Row 8)</t>
        </is>
      </c>
      <c r="C161" t="inlineStr">
        <is>
          <t>2</t>
        </is>
      </c>
      <c r="D161" s="8" t="inlineStr">
        <is>
          <t>ESMA will also take these guidelines into account when assessing the extent to which</t>
        </is>
      </c>
      <c r="E161" t="inlineStr">
        <is>
          <t>3</t>
        </is>
      </c>
      <c r="F161" t="inlineStr">
        <is>
          <t>Other</t>
        </is>
      </c>
      <c r="G161" t="inlineStr">
        <is>
          <t>High</t>
        </is>
      </c>
      <c r="H161" t="inlineStr">
        <is>
          <t>High</t>
        </is>
      </c>
      <c r="I161" s="8" t="inlineStr">
        <is>
          <t>International Processing</t>
        </is>
      </c>
      <c r="J161" s="8" t="inlineStr"/>
      <c r="K161" t="inlineStr"/>
      <c r="L161" s="8" t="inlineStr">
        <is>
          <t>Section 2 states that ESMA will consider the compliance of Tier 2 third-country CCPs with comparable requirements in their home country when assessing whether they meet EMIR requirements.</t>
        </is>
      </c>
      <c r="M161" s="8" t="inlineStr"/>
      <c r="N161" s="8" t="inlineStr">
        <is>
          <t>[Must] ESMA will also take these guidelines into account when assessing the extent to which compliance with the relevant EMIR requirements by a Tier 2 third-country CCP is satisfied by its compliance with comparable requirements in the third country pursuant to Article 25(2b)(a) of EMIR.</t>
        </is>
      </c>
      <c r="O161" s="8" t="inlineStr">
        <is>
          <t>ESMA will also take these guidelines into account when assessing the extent to which compliance with the relevant EMIR requirements by a Tier 2 third-country CCP is satisfied by its compliance with comparable requirements in the third country pursuant to Article 25(2b)(a) of EMIR.</t>
        </is>
      </c>
    </row>
    <row r="162">
      <c r="A162" t="inlineStr">
        <is>
          <t>GDPR</t>
        </is>
      </c>
      <c r="B162" t="inlineStr">
        <is>
          <t>esma_cloud_guidelines (GDPR - Row 8)</t>
        </is>
      </c>
      <c r="C162" t="inlineStr">
        <is>
          <t>3</t>
        </is>
      </c>
      <c r="D162" s="8" t="inlineStr">
        <is>
          <t>These guidelines apply in relation to the following provisions:</t>
        </is>
      </c>
      <c r="E162" t="inlineStr">
        <is>
          <t>3–4</t>
        </is>
      </c>
      <c r="F162" t="inlineStr">
        <is>
          <t>Other</t>
        </is>
      </c>
      <c r="G162" t="inlineStr">
        <is>
          <t>High</t>
        </is>
      </c>
      <c r="H162" t="inlineStr">
        <is>
          <t>High</t>
        </is>
      </c>
      <c r="I162" s="8" t="inlineStr">
        <is>
          <t>Outsourcing, Cloud Services</t>
        </is>
      </c>
      <c r="J162" s="8" t="inlineStr"/>
      <c r="K162" t="inlineStr"/>
      <c r="L162" s="8" t="inlineStr">
        <is>
          <t>Section 3 lists the specific provisions of various regulations and directives to which these guidelines apply, including AIFMD, UCITS Directive, EMIR, SFTR, MiFID II, CSDR, CRA Regulation, SECR, Benchmarks Regulation, and others.</t>
        </is>
      </c>
      <c r="M162" s="8" t="inlineStr"/>
      <c r="N162" s="8" t="inlineStr">
        <is>
          <t>[Must] These guidelines apply in relation to the following provisions: Articles 15, 18, 20 and 21(8) of AIFMD; Articles 13, 22, 38, 39, 40, 44, 45, 57(1)(d), 57(2), 57(3), 58, 75, 76, 77, 79, 81, 82 and 98 of Commission Delegated Regulation (EU) 2013/231; Articles 12(1)(a), 13, 14(1)(c), 22, 22a, 23(2), 30 and 31 of UCITS Directive; Article 4(1) to 4(3), 4(5), 5(2), 7, 9, 23(4), 32, 38, 39 and 40 of Commission Directive 2010/43/EU; Articles 2(2)(j), 3(1), 13(2), 15, 16 and 22 of Commission Delegated Regulation (EU) No 2016/438; Articles 25, 26(1), 26(3), 26(6), 34, 35 and 78-81 of EMIR; Articles 5 and 12 of SFTR; Articles 3(1)(f), 3(2), 4, 7(2)(d) and (f), 9 and 17 of Commission Delegated Regulation (EU) No 153/2013; Articles 16 and 21 of Commission Delegated Regulation (EU) No 150/2013; Articles 16 and 21 of Commission Delegated Regulation (EU) 2019/359; Articles 16(2), 16(4), 16(5), 18(1), 19(3)(a), 47(1)(b) and (c), 48(1), 64(4), 65(5) and 66(3)1 of MiFID II; Articles 21(1) to (3), 23, 29(5), 30, 31 and 32 of Commission Delegated Regulation (EU) No 2017/565; Articles 6, 15 and 16 (6) of Commission Delegated Regulation (EU) No 2017/584; Articles 6, 7, 8 and 9 of Commission Delegated Regulation (EU) No 2017/571; Articles 22, 26, 30, 42, 44 and 45 of CSDR and Articles 33, 47, 50 (1), 57(2)(i), 66, 68, 75, 76, 78 and 80 of Commission Delegated Regulation (EU) No 2017/392; Article 9 and Annex I, Section A points 4 and 8 and Annex II point 17 of CRA Regulation and Articles 11 and 25 of the Commission Delegated Regulation (EU) No 2012/449; Article 10(2) of SECR; Articles 6(3) and 10 of the Benchmarks Regulation and Point 7 of Annex I of Commission Delegated Regulation (EU) 2018/1646.</t>
        </is>
      </c>
      <c r="O162" s="8" t="inlineStr">
        <is>
          <t>These guidelines apply in relation to the following provisions: Articles 15, 18, 20 and 21(8) of AIFMD; Articles 13, 22, 38, 39, 40, 44, 45, 57(1)(d), 57(2), 57(3), 58, 75, 76, 77, 79, 81, 82 and 98 of Commission Delegated Regulation (EU) 2013/231; Articles 12(1)(a), 13, 14(1)(c), 22, 22a, 23(2), 30 and 31 of UCITS Directive; Article 4(1) to 4(3), 4(5), 5(2), 7, 9, 23(4), 32, 38, 39 and 40 of Commission Directive 2010/43/EU; Articles 2(2)(j), 3(1), 13(2), 15, 16 and 22 of Commission Delegated Regulation (EU) No 2016/438; Articles 25, 26(1), 26(3), 26(6), 34, 35 and 78-81 of EMIR; Articles 5 and 12 of SFTR; Articles 3(1)(f), 3(2), 4, 7(2)(d) and (f), 9 and 17 of Commission Delegated Regulation (EU) No 153/2013; Articles 16 and 21 of Commission Delegated Regulation (EU) No 150/2013; Articles 16 and 21 of Commission Delegated Regulation (EU) 2019/359; Articles 16(2), 16(4), 16(5), 18(1), 19(3)(a), 47(1)(b) and (c), 48(1), 64(4), 65(5) and 66(3)1 of MiFID II; Articles 21(1) to (3), 23, 29(5), 30, 31 and 32 of Commission Delegated Regulation (EU) No 2017/565; Articles 6, 15 and 16 (6) of Commission Delegated Regulation (EU) No 2017/584; Articles 6, 7, 8 and 9 of Commission Delegated Regulation (EU) No 2017/571; Articles 22, 26, 30, 42, 44 and 45 of CSDR and Articles 33, 47, 50 (1), 57(2)(i), 66, 68, 75, 76, 78 and 80 of Commission Delegated Regulation (EU) No 2017/392; Article 9 and Annex I, Section A points 4 and 8 and Annex II point 17 of CRA Regulation and Articles 11 and 25 of the Commission Delegated Regulation (EU) No 2012/449; Article 10(2) of SECR; Articles 6(3) and 10 of the Benchmarks Regulation and Point 7 of Annex I of Commission Delegated Regulation (EU) 2018/1646.</t>
        </is>
      </c>
    </row>
    <row r="163">
      <c r="A163" t="inlineStr">
        <is>
          <t>GDPR</t>
        </is>
      </c>
      <c r="B163" t="inlineStr">
        <is>
          <t>esma_cloud_guidelines (GDPR - Row 8)</t>
        </is>
      </c>
      <c r="C163" t="inlineStr">
        <is>
          <t>4</t>
        </is>
      </c>
      <c r="D163" s="8" t="inlineStr">
        <is>
          <t>These guidelines apply from 31 July 2021 to all cloud outsourcing arrangements</t>
        </is>
      </c>
      <c r="E163" t="inlineStr">
        <is>
          <t>4–10</t>
        </is>
      </c>
      <c r="F163" t="inlineStr">
        <is>
          <t>Other</t>
        </is>
      </c>
      <c r="G163" t="inlineStr">
        <is>
          <t>High</t>
        </is>
      </c>
      <c r="H163" t="inlineStr">
        <is>
          <t>Medium (merged from chunks)</t>
        </is>
      </c>
      <c r="I163" s="8" t="inlineStr">
        <is>
          <t>Cloud Services, Outsourcing, Incident Reporting, Cross-border Transfer, International Processing</t>
        </is>
      </c>
      <c r="J163" s="8" t="inlineStr">
        <is>
          <t>Financial Data</t>
        </is>
      </c>
      <c r="K163" t="inlineStr">
        <is>
          <t>Competent Authority</t>
        </is>
      </c>
      <c r="L163" s="8" t="inlineStr">
        <is>
          <t>Section 4 of these guidelines states that they apply to all cloud outsourcing arrangements entered into, renewed, or amended on or after 31 July 2021. Firms are required to review and amend existing arrangements by 31 December 2022 to ensure compliance. If the review is not completed by this date, firms must inform their competent authority of the delay and provide details of their planned measures or exit strategy. Section 4 establishes that these guidelines apply to all cloud outsourcing arrangements from 31 July 2021. It defines the scope of entities subject to the guidelines, including investment firms, credit institutions, data reporting services providers, market operators, and others as specified in MiFID II and related regulations. The section also outlines various cloud deployment models.</t>
        </is>
      </c>
      <c r="M163" s="8" t="inlineStr">
        <is>
          <t>This section is relevant to DTIA as it outlines the timeline and obligations for firms to review and update their cloud outsourcing arrangements, which may impact data transfer and processing across borders. This section is relevant to DTIA as it defines the scope of entities subject to cloud outsourcing guidelines and outlines different cloud deployment models that may impact data transfer and processing arrangements.</t>
        </is>
      </c>
      <c r="N163" s="8" t="inlineStr">
        <is>
          <t>[Must] These guidelines apply to all cloud outsourcing arrangements entered into, renewed, or amended on or after 31 July 2021.
[Must] Firms should review and amend existing cloud outsourcing arrangements to ensure they take into account these guidelines by 31 December 2022.
[Must] If the review of cloud outsourcing arrangements of critical or important functions is not finalised by 31 December 2022, firms should inform their competent authority of this fact, including the measures planned to complete the review or the possible exit strategy.
[Must] These guidelines apply from 31 July 2021 to all cloud outsourcing arrangements.</t>
        </is>
      </c>
      <c r="O163" s="8" t="inlineStr">
        <is>
          <t>These guidelines apply from 31 July 2021 to all cloud outsourcing arrangements entered into, renewed or amended on or after this date.</t>
        </is>
      </c>
    </row>
    <row r="164">
      <c r="A164" t="inlineStr">
        <is>
          <t>GDPR</t>
        </is>
      </c>
      <c r="B164" t="inlineStr">
        <is>
          <t>esma_cloud_guidelines (GDPR - Row 8)</t>
        </is>
      </c>
      <c r="C164" t="inlineStr">
        <is>
          <t>5</t>
        </is>
      </c>
      <c r="D164" s="8" t="inlineStr">
        <is>
          <t>These guidelines are based on Article 16(1) of the ESMA Regulation. The objectives</t>
        </is>
      </c>
      <c r="E164" t="inlineStr">
        <is>
          <t>10</t>
        </is>
      </c>
      <c r="F164" t="inlineStr">
        <is>
          <t>Other</t>
        </is>
      </c>
      <c r="G164" t="inlineStr">
        <is>
          <t>High</t>
        </is>
      </c>
      <c r="H164" t="inlineStr">
        <is>
          <t>High</t>
        </is>
      </c>
      <c r="I164" s="8" t="inlineStr">
        <is>
          <t>Outsourcing, Cloud Services</t>
        </is>
      </c>
      <c r="J164" s="8" t="inlineStr"/>
      <c r="K164" t="inlineStr"/>
      <c r="L164" s="8" t="inlineStr">
        <is>
          <t>Section 5 states that these guidelines are based on Article 16(1) of the ESMA Regulation and aim to establish consistent supervisory practices within the European System of Financial Supervision (ESFS) and ensure uniform application of the requirements in Section 1.1 regarding cloud outsourcing.</t>
        </is>
      </c>
      <c r="M164" s="8" t="inlineStr"/>
      <c r="N164" s="8" t="inlineStr">
        <is>
          <t>[Must] These guidelines are based on Article 16(1) of the ESMA Regulation. The objectives of these guidelines are to establish consistent, efficient and effective supervisory practices within the European System of Financial Supervision (ESFS) and to ensure the common, uniform and consistent application of the requirements referred to in Section 1.1 under the heading ‘What?' where firms outsource to CSPs.</t>
        </is>
      </c>
      <c r="O164" s="8" t="inlineStr">
        <is>
          <t>These guidelines are based on Article 16(1) of the ESMA Regulation. The objectives of these guidelines are to establish consistent, efficient and effective supervisory practices within the European System of Financial Supervision (ESFS) and to ensure the common, uniform and consistent application of the requirements referred to in Section 1.1 under the heading ‘What?' where firms outsource to CSPs.</t>
        </is>
      </c>
    </row>
    <row r="165">
      <c r="A165" t="inlineStr">
        <is>
          <t>GDPR</t>
        </is>
      </c>
      <c r="B165" t="inlineStr">
        <is>
          <t>esma_cloud_guidelines (GDPR - Row 8)</t>
        </is>
      </c>
      <c r="C165" t="inlineStr">
        <is>
          <t>7</t>
        </is>
      </c>
      <c r="D165" s="8" t="inlineStr">
        <is>
          <t>Competent authorities to which these guidelines apply should comply by incorporating</t>
        </is>
      </c>
      <c r="E165" t="inlineStr">
        <is>
          <t>10</t>
        </is>
      </c>
      <c r="F165" t="inlineStr">
        <is>
          <t>Other</t>
        </is>
      </c>
      <c r="G165" t="inlineStr">
        <is>
          <t>High</t>
        </is>
      </c>
      <c r="H165" t="inlineStr">
        <is>
          <t>High</t>
        </is>
      </c>
      <c r="I165" s="8" t="inlineStr">
        <is>
          <t>Governance, Record Keeping</t>
        </is>
      </c>
      <c r="J165" s="8" t="inlineStr"/>
      <c r="K165" t="inlineStr"/>
      <c r="L165" s="8" t="inlineStr">
        <is>
          <t>Section 7 requires competent authorities to incorporate these guidelines into their national legal and/or supervisory frameworks, ensuring that firms comply with the guidelines through supervision.</t>
        </is>
      </c>
      <c r="M165" s="8" t="inlineStr"/>
      <c r="N165" s="8" t="inlineStr">
        <is>
          <t>[Must] Competent authorities to which these guidelines apply should comply by incorporating them into their national legal and/or supervisory frameworks as appropriate, including where particular guidelines are directed primarily at firms. In this case, competent authorities should ensure, through their supervision, that firms comply with the guidelines.</t>
        </is>
      </c>
      <c r="O165" s="8" t="inlineStr">
        <is>
          <t>Competent authorities to which these guidelines apply should comply by incorporating them into their national legal and/or supervisory frameworks as appropriate, including where particular guidelines are directed primarily at firms. In this case, competent authorities should ensure, through their supervision, that firms comply with the guidelines.</t>
        </is>
      </c>
    </row>
    <row r="166">
      <c r="A166" t="inlineStr">
        <is>
          <t>GDPR</t>
        </is>
      </c>
      <c r="B166" t="inlineStr">
        <is>
          <t>esma_cloud_guidelines (GDPR - Row 8)</t>
        </is>
      </c>
      <c r="C166" t="inlineStr">
        <is>
          <t>8</t>
        </is>
      </c>
      <c r="D166" s="8" t="inlineStr">
        <is>
          <t>Through its ongoing direct supervision, ESMA will assess the application of these</t>
        </is>
      </c>
      <c r="E166" t="inlineStr">
        <is>
          <t>10–11</t>
        </is>
      </c>
      <c r="F166" t="inlineStr">
        <is>
          <t>Other</t>
        </is>
      </c>
      <c r="G166" t="inlineStr">
        <is>
          <t>High</t>
        </is>
      </c>
      <c r="H166" t="inlineStr">
        <is>
          <t>High</t>
        </is>
      </c>
      <c r="I166" s="8" t="inlineStr">
        <is>
          <t>International Processing, Outsourcing</t>
        </is>
      </c>
      <c r="J166" s="8" t="inlineStr"/>
      <c r="K166" t="inlineStr"/>
      <c r="L166" s="8" t="inlineStr">
        <is>
          <t>Section 8 states that ESMA will assess the application of these guidelines by CRAs, TRs, SRs, Tier 2 third-country CCPs, and data reporting services providers and administrators of EU critical benchmarks from 1 January 2022.</t>
        </is>
      </c>
      <c r="M166" s="8" t="inlineStr"/>
      <c r="N166" s="8" t="inlineStr">
        <is>
          <t>[Must] Through its ongoing direct supervision, ESMA will assess the application of these guidelines by CRAs, TRs, SRs, Tier 2 third-country CCPs and, from 1 January 2022, data reporting services providers and administrators of EU critical benchmarks.</t>
        </is>
      </c>
      <c r="O166" s="8" t="inlineStr">
        <is>
          <t>Through its ongoing direct supervision, ESMA will assess the application of these guidelines by CRAs, TRs, SRs, Tier 2 third-country CCPs and, from 1 January 2022, data reporting services providers and administrators of EU critical benchmarks.</t>
        </is>
      </c>
    </row>
    <row r="167">
      <c r="A167" t="inlineStr">
        <is>
          <t>GDPR</t>
        </is>
      </c>
      <c r="B167" t="inlineStr">
        <is>
          <t>esma_cloud_guidelines (GDPR - Row 8)</t>
        </is>
      </c>
      <c r="C167" t="inlineStr">
        <is>
          <t>9</t>
        </is>
      </c>
      <c r="D167" s="8" t="inlineStr">
        <is>
          <t>Within two months of the date of publication of the guidelines on ESMA's website in all</t>
        </is>
      </c>
      <c r="E167" t="inlineStr">
        <is>
          <t>11</t>
        </is>
      </c>
      <c r="F167" t="inlineStr">
        <is>
          <t>Other</t>
        </is>
      </c>
      <c r="G167" t="inlineStr">
        <is>
          <t>High</t>
        </is>
      </c>
      <c r="H167" t="inlineStr">
        <is>
          <t>High</t>
        </is>
      </c>
      <c r="I167" s="8" t="inlineStr">
        <is>
          <t>Governance, Record Keeping</t>
        </is>
      </c>
      <c r="J167" s="8" t="inlineStr"/>
      <c r="K167" t="inlineStr"/>
      <c r="L167" s="8" t="inlineStr">
        <is>
          <t>Section 9 requires competent authorities to notify ESMA within two months of the publication of the guidelines in all EU official languages whether they comply, intend to comply, or do not intend to comply with the guidelines.</t>
        </is>
      </c>
      <c r="M167" s="8" t="inlineStr"/>
      <c r="N167" s="8" t="inlineStr">
        <is>
          <t>[Must] Within two months of the date of publication of the guidelines on ESMA's website in all EU official languages, competent authorities to which these guidelines apply must notify ESMA whether they (i) comply, (ii) do not comply, but intend to comply, or (iii) do not comply and do not intend to comply with the guidelines.</t>
        </is>
      </c>
      <c r="O167" s="8" t="inlineStr">
        <is>
          <t>Within two months of the date of publication of the guidelines on ESMA's website in all EU official languages, competent authorities to which these guidelines apply must notify ESMA whether they (i) comply, (ii) do not comply, but intend to comply, or (iii) do not comply and do not intend to comply with the guidelines.</t>
        </is>
      </c>
    </row>
    <row r="168">
      <c r="A168" t="inlineStr">
        <is>
          <t>GDPR</t>
        </is>
      </c>
      <c r="B168" t="inlineStr">
        <is>
          <t>esma_cloud_guidelines (GDPR - Row 8)</t>
        </is>
      </c>
      <c r="C168" t="inlineStr">
        <is>
          <t>10</t>
        </is>
      </c>
      <c r="D168" s="8" t="inlineStr">
        <is>
          <t>In case of non-compliance, competent authorities must also notify ESMA within two</t>
        </is>
      </c>
      <c r="E168" t="inlineStr">
        <is>
          <t>11</t>
        </is>
      </c>
      <c r="F168" t="inlineStr">
        <is>
          <t>Other</t>
        </is>
      </c>
      <c r="G168" t="inlineStr">
        <is>
          <t>High</t>
        </is>
      </c>
      <c r="H168" t="inlineStr">
        <is>
          <t>High</t>
        </is>
      </c>
      <c r="I168" s="8" t="inlineStr">
        <is>
          <t>Governance, Record Keeping</t>
        </is>
      </c>
      <c r="J168" s="8" t="inlineStr"/>
      <c r="K168" t="inlineStr"/>
      <c r="L168" s="8" t="inlineStr">
        <is>
          <t>Section 10 requires competent authorities to notify ESMA within two months of the publication of the guidelines in all EU official languages of their reasons for non-compliance.</t>
        </is>
      </c>
      <c r="M168" s="8" t="inlineStr"/>
      <c r="N168" s="8" t="inlineStr">
        <is>
          <t>[Must] In case of non-compliance, competent authorities must also notify ESMA within two months of the date of publication of the guidelines on ESMA's website in all EU official languages of their reasons for not complying with the guidelines. A template for notifications is available on ESMA's website.</t>
        </is>
      </c>
      <c r="O168" s="8" t="inlineStr">
        <is>
          <t>In case of non-compliance, competent authorities must also notify ESMA within two months of the date of publication of the guidelines on ESMA's website in all EU official languages of their reasons for not complying with the guidelines. A template for notifications is available on ESMA's website.</t>
        </is>
      </c>
    </row>
    <row r="169">
      <c r="A169" t="inlineStr">
        <is>
          <t>GDPR</t>
        </is>
      </c>
      <c r="B169" t="inlineStr">
        <is>
          <t>esma_cloud_guidelines (GDPR - Row 8)</t>
        </is>
      </c>
      <c r="C169" t="inlineStr">
        <is>
          <t>11</t>
        </is>
      </c>
      <c r="D169" s="8" t="inlineStr">
        <is>
          <t>Firms are not required to report whether they comply with these guidelines.</t>
        </is>
      </c>
      <c r="E169" t="inlineStr">
        <is>
          <t>11</t>
        </is>
      </c>
      <c r="F169" t="inlineStr">
        <is>
          <t>Other</t>
        </is>
      </c>
      <c r="G169" t="inlineStr">
        <is>
          <t>High</t>
        </is>
      </c>
      <c r="H169" t="inlineStr">
        <is>
          <t>High</t>
        </is>
      </c>
      <c r="I169" s="8" t="inlineStr">
        <is>
          <t>Governance</t>
        </is>
      </c>
      <c r="J169" s="8" t="inlineStr"/>
      <c r="K169" t="inlineStr"/>
      <c r="L169" s="8" t="inlineStr">
        <is>
          <t>Section 11 states that firms are not required to report whether they comply with these guidelines.</t>
        </is>
      </c>
      <c r="M169" s="8" t="inlineStr"/>
      <c r="N169" s="8" t="inlineStr">
        <is>
          <t>[Must Not] Firms are not required to report whether they comply with these guidelines.</t>
        </is>
      </c>
      <c r="O169" s="8" t="inlineStr">
        <is>
          <t>Firms are not required to report whether they comply with these guidelines.</t>
        </is>
      </c>
    </row>
    <row r="170">
      <c r="A170" t="inlineStr">
        <is>
          <t>GDPR</t>
        </is>
      </c>
      <c r="B170" t="inlineStr">
        <is>
          <t>esma_cloud_guidelines (GDPR - Row 8)</t>
        </is>
      </c>
      <c r="C170" t="inlineStr">
        <is>
          <t>12</t>
        </is>
      </c>
      <c r="D170" s="8" t="inlineStr">
        <is>
          <t>A firm should have a defined and up-to-date cloud outsourcing strategy that is</t>
        </is>
      </c>
      <c r="E170" t="inlineStr">
        <is>
          <t>11</t>
        </is>
      </c>
      <c r="F170" t="inlineStr">
        <is>
          <t>Cloud Services</t>
        </is>
      </c>
      <c r="G170" t="inlineStr">
        <is>
          <t>High</t>
        </is>
      </c>
      <c r="H170" t="inlineStr">
        <is>
          <t>High</t>
        </is>
      </c>
      <c r="I170" s="8" t="inlineStr">
        <is>
          <t>Cloud Services, Security</t>
        </is>
      </c>
      <c r="J170" s="8" t="inlineStr"/>
      <c r="K170" t="inlineStr"/>
      <c r="L170" s="8" t="inlineStr">
        <is>
          <t>Section 12 requires firms to have a defined and up-to-date cloud outsourcing strategy that is consistent with their internal policies and processes, including information security and operational risk management.</t>
        </is>
      </c>
      <c r="M170" s="8" t="inlineStr">
        <is>
          <t>This section mandates firms to have a cloud outsourcing strategy that aligns with internal policies and includes information security and operational risk management, which is relevant for assessing data transfer and storage risks.</t>
        </is>
      </c>
      <c r="N170" s="8" t="inlineStr">
        <is>
          <t>[Must] A firm should have a defined and up-to-date cloud outsourcing strategy that is consistent with the firm's relevant strategies and internal policies and processes, including in relation to information and communication technology, information security, and operational risk management.</t>
        </is>
      </c>
      <c r="O170" s="8" t="inlineStr">
        <is>
          <t>A firm should have a defined and up-to-date cloud outsourcing strategy that is consistent with the firm's relevant strategies and internal policies and processes, including in relation to information and communication technology, information security, and operational risk management.</t>
        </is>
      </c>
    </row>
    <row r="171">
      <c r="A171" t="inlineStr">
        <is>
          <t>GDPR</t>
        </is>
      </c>
      <c r="B171" t="inlineStr">
        <is>
          <t>esma_cloud_guidelines (GDPR - Row 8)</t>
        </is>
      </c>
      <c r="C171" t="inlineStr">
        <is>
          <t>13</t>
        </is>
      </c>
      <c r="D171" s="8" t="inlineStr">
        <is>
          <t>A firm should:</t>
        </is>
      </c>
      <c r="E171" t="inlineStr">
        <is>
          <t>11–12</t>
        </is>
      </c>
      <c r="F171" t="inlineStr">
        <is>
          <t>Cloud Services</t>
        </is>
      </c>
      <c r="G171" t="inlineStr">
        <is>
          <t>High</t>
        </is>
      </c>
      <c r="H171" t="inlineStr">
        <is>
          <t>High</t>
        </is>
      </c>
      <c r="I171" s="8" t="inlineStr">
        <is>
          <t>Cloud Services, Governance</t>
        </is>
      </c>
      <c r="J171" s="8" t="inlineStr"/>
      <c r="K171" t="inlineStr"/>
      <c r="L171" s="8" t="inlineStr">
        <is>
          <t>Section 13 requires firms to assign responsibilities for cloud outsourcing documentation, management, and control, allocate resources for compliance, and establish an oversight function for managing cloud outsourcing risks.</t>
        </is>
      </c>
      <c r="M171" s="8" t="inlineStr">
        <is>
          <t>This section mandates firms to assign responsibilities, allocate resources, and establish oversight functions for managing cloud outsourcing risks, which is relevant for assessing data transfer and storage risks.</t>
        </is>
      </c>
      <c r="N171" s="8" t="inlineStr">
        <is>
          <t>[Must] A firm should clearly assign the responsibilities for the documentation, management and control of cloud outsourcing arrangements within its organisation;
[Must] A firm should allocate sufficient resources to ensure compliance with these guidelines and all of the legal requirements applicable to its cloud outsourcing arrangements;
[Must] A firm should establish a cloud outsourcing oversight function or designate senior staff members who are directly accountable to the management body and responsible for managing and overseeing the risks of cloud outsourcing arrangements.</t>
        </is>
      </c>
      <c r="O171" s="8" t="inlineStr">
        <is>
          <t>A firm should clearly assign the responsibilities for the documentation, management and control of cloud outsourcing arrangements within its organisation; A firm should allocate sufficient resources to ensure compliance with these guidelines and all of the legal requirements applicable to its cloud outsourcing arrangements; A firm should establish a cloud outsourcing oversight function or designate senior staff members who are directly accountable to the management body and responsible for managing and overseeing the risks of cloud outsourcing arrangements.</t>
        </is>
      </c>
    </row>
    <row r="172">
      <c r="A172" t="inlineStr">
        <is>
          <t>GDPR</t>
        </is>
      </c>
      <c r="B172" t="inlineStr">
        <is>
          <t>esma_cloud_guidelines (GDPR - Row 8)</t>
        </is>
      </c>
      <c r="C172" t="inlineStr">
        <is>
          <t>14</t>
        </is>
      </c>
      <c r="D172" s="8" t="inlineStr">
        <is>
          <t>A firm should monitor the performance of activities, the security measures and the</t>
        </is>
      </c>
      <c r="E172" t="inlineStr">
        <is>
          <t>12</t>
        </is>
      </c>
      <c r="F172" t="inlineStr">
        <is>
          <t>Cloud Services</t>
        </is>
      </c>
      <c r="G172" t="inlineStr">
        <is>
          <t>High</t>
        </is>
      </c>
      <c r="H172" t="inlineStr">
        <is>
          <t>High</t>
        </is>
      </c>
      <c r="I172" s="8" t="inlineStr">
        <is>
          <t>Cloud Services, Security</t>
        </is>
      </c>
      <c r="J172" s="8" t="inlineStr"/>
      <c r="K172" t="inlineStr"/>
      <c r="L172" s="8" t="inlineStr">
        <is>
          <t>Section 14 requires firms to monitor the performance, security measures, and adherence to service levels by their CSPs, with a risk-based focus on critical or important functions.</t>
        </is>
      </c>
      <c r="M172" s="8" t="inlineStr">
        <is>
          <t>This section mandates firms to monitor CSP performance, security, and service levels, with a focus on critical functions, which is relevant for assessing data transfer and storage risks.</t>
        </is>
      </c>
      <c r="N172" s="8" t="inlineStr">
        <is>
          <t>[Must] A firm should monitor the performance of activities, the security measures and the adherence to agreed service levels by its CSPs. This monitoring should be risk-based, with a primary focus on the critical or important functions that have been outsourced.</t>
        </is>
      </c>
      <c r="O172" s="8" t="inlineStr">
        <is>
          <t>A firm should monitor the performance of activities, the security measures and the adherence to agreed service levels by its CSPs. This monitoring should be risk-based, with a primary focus on the critical or important functions that have been outsourced.</t>
        </is>
      </c>
    </row>
    <row r="173">
      <c r="A173" t="inlineStr">
        <is>
          <t>GDPR</t>
        </is>
      </c>
      <c r="B173" t="inlineStr">
        <is>
          <t>esma_cloud_guidelines (GDPR - Row 8)</t>
        </is>
      </c>
      <c r="C173" t="inlineStr">
        <is>
          <t>15</t>
        </is>
      </c>
      <c r="D173" s="8" t="inlineStr">
        <is>
          <t>A firm should reassess whether its cloud outsourcing arrangements concern a critical</t>
        </is>
      </c>
      <c r="E173" t="inlineStr">
        <is>
          <t>12</t>
        </is>
      </c>
      <c r="F173" t="inlineStr">
        <is>
          <t>Cloud Services</t>
        </is>
      </c>
      <c r="G173" t="inlineStr">
        <is>
          <t>High</t>
        </is>
      </c>
      <c r="H173" t="inlineStr">
        <is>
          <t>High</t>
        </is>
      </c>
      <c r="I173" s="8" t="inlineStr">
        <is>
          <t>Cloud Services</t>
        </is>
      </c>
      <c r="J173" s="8" t="inlineStr"/>
      <c r="K173" t="inlineStr"/>
      <c r="L173" s="8" t="inlineStr">
        <is>
          <t>Section 15 requires firms to periodically reassess whether their cloud outsourcing arrangements concern critical or important functions, especially when there is a material change in risk, nature, or scale.</t>
        </is>
      </c>
      <c r="M173" s="8" t="inlineStr">
        <is>
          <t>This section mandates firms to reassess cloud outsourcing arrangements for critical functions when there is a material change, which is relevant for assessing data transfer and storage risks.</t>
        </is>
      </c>
      <c r="N173" s="8" t="inlineStr">
        <is>
          <t>[Must] A firm should reassess whether its cloud outsourcing arrangements concern a critical or important function periodically and whenever the risk, nature or scale of an outsourced function has materially changed.</t>
        </is>
      </c>
      <c r="O173" s="8" t="inlineStr">
        <is>
          <t>A firm should reassess whether its cloud outsourcing arrangements concern a critical or important function periodically and whenever the risk, nature or scale of an outsourced function has materially changed.</t>
        </is>
      </c>
    </row>
    <row r="174">
      <c r="A174" t="inlineStr">
        <is>
          <t>GDPR</t>
        </is>
      </c>
      <c r="B174" t="inlineStr">
        <is>
          <t>esma_cloud_guidelines (GDPR - Row 8)</t>
        </is>
      </c>
      <c r="C174" t="inlineStr">
        <is>
          <t>16</t>
        </is>
      </c>
      <c r="D174" s="8" t="inlineStr">
        <is>
          <t>A firm should maintain an updated register of information on all its cloud outsourcing</t>
        </is>
      </c>
      <c r="E174" t="inlineStr">
        <is>
          <t>12</t>
        </is>
      </c>
      <c r="F174" t="inlineStr">
        <is>
          <t>Cloud Services</t>
        </is>
      </c>
      <c r="G174" t="inlineStr">
        <is>
          <t>High</t>
        </is>
      </c>
      <c r="H174" t="inlineStr">
        <is>
          <t>High</t>
        </is>
      </c>
      <c r="I174" s="8" t="inlineStr">
        <is>
          <t>Cloud Services, Record Keeping</t>
        </is>
      </c>
      <c r="J174" s="8" t="inlineStr"/>
      <c r="K174" t="inlineStr"/>
      <c r="L174" s="8" t="inlineStr">
        <is>
          <t>Section 16 requires firms to maintain an updated register of cloud outsourcing arrangements, distinguishing between critical and non-critical functions, and to maintain records of terminated arrangements for an appropriate period.</t>
        </is>
      </c>
      <c r="M174" s="8" t="inlineStr">
        <is>
          <t>This section mandates firms to maintain an updated register of cloud outsourcing arrangements, distinguishing between critical and non-critical functions, which is relevant for assessing data transfer and storage risks.</t>
        </is>
      </c>
      <c r="N174" s="8" t="inlineStr">
        <is>
          <t>[Must] A firm should maintain an updated register of information on all its cloud outsourcing arrangements, distinguishing between the outsourcing of critical or important functions and other outsourcing arrangements.
[Must] Taking into account national law, a firm should also maintain a record of terminated cloud outsourcing arrangements for an appropriate time period.</t>
        </is>
      </c>
      <c r="O174" s="8" t="inlineStr">
        <is>
          <t>A firm should maintain an updated register of information on all its cloud outsourcing arrangements, distinguishing between the outsourcing of critical or important functions and other outsourcing arrangements. Taking into account national law, a firm should also maintain a record of terminated cloud outsourcing arrangements for an appropriate time period.</t>
        </is>
      </c>
    </row>
    <row r="175">
      <c r="A175" t="inlineStr">
        <is>
          <t>GDPR</t>
        </is>
      </c>
      <c r="B175" t="inlineStr">
        <is>
          <t>esma_cloud_guidelines (GDPR - Row 8)</t>
        </is>
      </c>
      <c r="C175" t="inlineStr">
        <is>
          <t>17</t>
        </is>
      </c>
      <c r="D175" s="8" t="inlineStr">
        <is>
          <t>For the cloud outsourcing arrangements concerning critical or important functions, the</t>
        </is>
      </c>
      <c r="E175" t="inlineStr">
        <is>
          <t>12–13</t>
        </is>
      </c>
      <c r="F175" t="inlineStr">
        <is>
          <t>Cloud Services</t>
        </is>
      </c>
      <c r="G175" t="inlineStr">
        <is>
          <t>High</t>
        </is>
      </c>
      <c r="H175" t="inlineStr">
        <is>
          <t>High</t>
        </is>
      </c>
      <c r="I175" s="8" t="inlineStr">
        <is>
          <t>Cloud Services, Record Keeping, Data Storage</t>
        </is>
      </c>
      <c r="J175" s="8" t="inlineStr"/>
      <c r="K175" t="inlineStr"/>
      <c r="L175" s="8" t="inlineStr">
        <is>
          <t>Section 17 requires firms to include specific information in the register for cloud outsourcing arrangements concerning critical or important functions, including details about the CSP, data storage locations, and risk assessments.</t>
        </is>
      </c>
      <c r="M175" s="8" t="inlineStr">
        <is>
          <t>This section mandates firms to include detailed information in the register for critical cloud outsourcing arrangements, which is relevant for assessing data transfer and storage risks.</t>
        </is>
      </c>
      <c r="N175" s="8" t="inlineStr">
        <is>
          <t>[Must] For the cloud outsourcing arrangements concerning critical or important functions, the register should include at least the following information for each cloud outsourcing arrangement: a reference number; the start date and, as applicable, the next contract renewal date, the end date and/or notice periods for the CSP and for the firm; a brief description of the outsourced function, including the data that is outsourced and whether this data includes personal data; a category assigned by the firm that reflects the nature of the outsourced function; whether the outsourced function supports business operations that are time-critical; the name and the brand name (if any) of the CSP, its country of registration, its corporate registration number, its legal entity identifier (where available), its registered address, its relevant contact details and the name of its parent company (if any); the governing law of the cloud outsourcing arrangement and, if any, the choice of jurisdiction; the type of cloud services and deployment models and the specific nature of the data to be held and the locations (namely regions or countries) where such data may be stored; the date of the most recent assessment of the criticality or importance of the outsourced function and the date of the next planned assessment; the date of the most recent risk assessment/audit of the CSP together with a brief summary of the main results, and the date of the next planned risk assessment/audit; the individual or decision-making body in the firm that approved the cloud outsourcing arrangement; where applicable, the names of any sub-outsourcer to which a critical or important function (or material parts thereof) is sub-outsourced, including the countries where the sub-outsourcers are registered, where the sub-outsourced service will be performed, and the locations (namely regions or countries) where the data will be stored; the estimated annual budget cost of the cloud outsourcing arrangement.</t>
        </is>
      </c>
      <c r="O175" s="8" t="inlineStr">
        <is>
          <t>For the cloud outsourcing arrangements concerning critical or important functions, the register should include at least the following information for each cloud outsourcing arrangement: a reference number; the start date and, as applicable, the next contract renewal date, the end date and/or notice periods for the CSP and for the firm; a brief description of the outsourced function, including the data that is outsourced and whether this data includes personal data; a category assigned by the firm that reflects the nature of the outsourced function; whether the outs, outsourced function supports business operations that are time-critical; the name and the brand name (if any) of the CSP, its country of registration, its corporate registration number, its legal entity identifier (where available), its registered address, its relevant contact details and the name of its parent company (if any); the governing law of the cloud outsourcing arrangement and, if any, the choice of jurisdiction; the type of cloud services and deployment models and the specific nature of the data to be held and the locations (namely regions or countries) where such data may be stored; the date of the most recent assessment of the criticality or importance of the outsourced function and the date of the next planned assessment; the date of the most recent risk assessment/audit of the CSP together with a brief summary of the main results, and the date of the next planned risk assessment/audit; the individual or decision-making body in the firm that approved the cloud outsourcing arrangement; where applicable, the names of any sub-outsourcer to which a critical or important function (or material parts thereof) is sub-outsourced, including the countries where the sub-outsourcers are registered, where the sub-outsourced service will be performed, and the locations (namely regions or countries) where the data will be stored; the estimated annual budget cost of the cloud outsourcing arrangement.</t>
        </is>
      </c>
    </row>
    <row r="176">
      <c r="A176" t="inlineStr">
        <is>
          <t>GDPR</t>
        </is>
      </c>
      <c r="B176" t="inlineStr">
        <is>
          <t>esma_cloud_guidelines (GDPR - Row 8)</t>
        </is>
      </c>
      <c r="C176" t="inlineStr">
        <is>
          <t>18</t>
        </is>
      </c>
      <c r="D176" s="8" t="inlineStr">
        <is>
          <t>For the cloud outsourcing arrangements concerning non-critical or non-important</t>
        </is>
      </c>
      <c r="E176" t="inlineStr">
        <is>
          <t>13</t>
        </is>
      </c>
      <c r="F176" t="inlineStr">
        <is>
          <t>Cloud Services</t>
        </is>
      </c>
      <c r="G176" t="inlineStr">
        <is>
          <t>High</t>
        </is>
      </c>
      <c r="H176" t="inlineStr">
        <is>
          <t>High</t>
        </is>
      </c>
      <c r="I176" s="8" t="inlineStr">
        <is>
          <t>Cloud Services, Record Keeping</t>
        </is>
      </c>
      <c r="J176" s="8" t="inlineStr"/>
      <c r="K176" t="inlineStr"/>
      <c r="L176" s="8" t="inlineStr">
        <is>
          <t>Section 18 requires firms to define the information to be included in the register for non-critical or non-important functions based on the nature, scale, and complexity of the risks involved.</t>
        </is>
      </c>
      <c r="M176" s="8" t="inlineStr">
        <is>
          <t>This section mandates firms to define the information to be included in the register for non-critical cloud outsourcing arrangements, which is relevant for assessing data transfer and storage risks.</t>
        </is>
      </c>
      <c r="N176" s="8" t="inlineStr">
        <is>
          <t>[Must] For the cloud outsourcing arrangements concerning non-critical or non-important functions, a firm should define the information to be included in the register based on the nature, scale and complexity of the risks inherent to the outsourced function.</t>
        </is>
      </c>
      <c r="O176" s="8" t="inlineStr">
        <is>
          <t>For the cloud outsourcing arrangements concerning non-critical or non-important functions, a firm should define the information to be included in the register based on the nature, scale and complexity of the risks inherent to the outsourced function.</t>
        </is>
      </c>
    </row>
    <row r="177">
      <c r="A177" t="inlineStr">
        <is>
          <t>GDPR</t>
        </is>
      </c>
      <c r="B177" t="inlineStr">
        <is>
          <t>esma_cloud_guidelines (GDPR - Row 8)</t>
        </is>
      </c>
      <c r="C177" t="inlineStr">
        <is>
          <t>19</t>
        </is>
      </c>
      <c r="D177" s="8" t="inlineStr">
        <is>
          <t>Before entering into any cloud outsourcing arrangement, a firm should:</t>
        </is>
      </c>
      <c r="E177" t="inlineStr">
        <is>
          <t>13</t>
        </is>
      </c>
      <c r="F177" t="inlineStr">
        <is>
          <t>Cloud Services</t>
        </is>
      </c>
      <c r="G177" t="inlineStr">
        <is>
          <t>High</t>
        </is>
      </c>
      <c r="H177" t="inlineStr">
        <is>
          <t>High</t>
        </is>
      </c>
      <c r="I177" s="8" t="inlineStr">
        <is>
          <t>Cloud Services</t>
        </is>
      </c>
      <c r="J177" s="8" t="inlineStr"/>
      <c r="K177" t="inlineStr"/>
      <c r="L177" s="8" t="inlineStr">
        <is>
          <t>Section 19 requires firms to assess whether a cloud outsourcing arrangement concerns a critical or important function, identify and assess risks, undertake due diligence on the CSP, and identify and assess conflicts of interest.</t>
        </is>
      </c>
      <c r="M177" s="8" t="inlineStr">
        <is>
          <t>This section mandates firms to assess the criticality of cloud outsourcing arrangements, identify risks, and conduct due diligence on CSPs, which is relevant for assessing data transfer and storage risks.</t>
        </is>
      </c>
      <c r="N177" s="8" t="inlineStr">
        <is>
          <t>[Must] Before entering into any cloud outsourcing arrangement, a firm should: assess if the cloud outsourcing arrangement concerns a critical or important function; identify and assess all relevant risks of the cloud outsourcing arrangement; undertake appropriate due diligence on the prospective CSP; identify and assess any conflict of interest that the outsourcing may cause.</t>
        </is>
      </c>
      <c r="O177" s="8" t="inlineStr">
        <is>
          <t>Before entering into any cloud outsourcing arrangement, a firm should: assess if the cloud outsourcing arrangement concerns a critical or important function; identify and assess all relevant risks of the cloud outsourcing arrangement; undertake appropriate due diligence on the prospective CSP; identify and assess any conflict of interest that the outsourcing may cause.</t>
        </is>
      </c>
    </row>
    <row r="178">
      <c r="A178" t="inlineStr">
        <is>
          <t>GDPR</t>
        </is>
      </c>
      <c r="B178" t="inlineStr">
        <is>
          <t>esma_cloud_guidelines (GDPR - Row 8)</t>
        </is>
      </c>
      <c r="C178" t="inlineStr">
        <is>
          <t>20</t>
        </is>
      </c>
      <c r="D178" s="8" t="inlineStr">
        <is>
          <t>The pre-outsourcing analysis and due diligence on the prospective CSP should be</t>
        </is>
      </c>
      <c r="E178" t="inlineStr">
        <is>
          <t>13</t>
        </is>
      </c>
      <c r="F178" t="inlineStr">
        <is>
          <t>Cloud Services</t>
        </is>
      </c>
      <c r="G178" t="inlineStr">
        <is>
          <t>High</t>
        </is>
      </c>
      <c r="H178" t="inlineStr">
        <is>
          <t>High</t>
        </is>
      </c>
      <c r="I178" s="8" t="inlineStr">
        <is>
          <t>Cloud Services</t>
        </is>
      </c>
      <c r="J178" s="8" t="inlineStr"/>
      <c r="K178" t="inlineStr"/>
      <c r="L178" s="8" t="inlineStr">
        <is>
          <t>Section 20 requires firms to conduct pre-outsourcing analysis and due diligence on the prospective CSP, proportionate to the nature, scale, and complexity of the function and the risks involved.</t>
        </is>
      </c>
      <c r="M178" s="8" t="inlineStr">
        <is>
          <t>This section mandates firms to conduct proportionate pre-outsourcing analysis and due diligence on CSPs, which is relevant for assessing data transfer and storage risks.</t>
        </is>
      </c>
      <c r="N178" s="8" t="inlineStr">
        <is>
          <t>[Must] The pre-outsourcing analysis and due diligence on the prospective CSP should be proportionate to the nature, scale and complexity of the function that the firm intends to outsource and the risks inherent to this function. It should include at least an assessment of the potential impact of the cloud outsourcing arrangement on the firm's operational, legal, compliance, and reputational risks.</t>
        </is>
      </c>
      <c r="O178" s="8" t="inlineStr">
        <is>
          <t>The pre-outsourcing analysis and due diligence on the prospective CSP should be proportionate to the nature, scale and complexity of the function that the firm intends to outsource and the risks inherent to this function. It should include at least an assessment of the potential impact of the cloud outsourcing arrangement on the firm's operational, legal, compliance, and reputational risks.</t>
        </is>
      </c>
    </row>
    <row r="179">
      <c r="A179" t="inlineStr">
        <is>
          <t>GDPR</t>
        </is>
      </c>
      <c r="B179" t="inlineStr">
        <is>
          <t>esma_cloud_guidelines (GDPR - Row 8)</t>
        </is>
      </c>
      <c r="C179" t="inlineStr">
        <is>
          <t>21</t>
        </is>
      </c>
      <c r="D179" s="8" t="inlineStr">
        <is>
          <t>In case the cloud outsourcing arrangement concerns critical or important functions, a</t>
        </is>
      </c>
      <c r="E179" t="inlineStr">
        <is>
          <t>13–14</t>
        </is>
      </c>
      <c r="F179" t="inlineStr">
        <is>
          <t>Cloud Services</t>
        </is>
      </c>
      <c r="G179" t="inlineStr">
        <is>
          <t>High</t>
        </is>
      </c>
      <c r="H179" t="inlineStr">
        <is>
          <t>High</t>
        </is>
      </c>
      <c r="I179" s="8" t="inlineStr">
        <is>
          <t>Cloud Services, Security</t>
        </is>
      </c>
      <c r="J179" s="8" t="inlineStr"/>
      <c r="K179" t="inlineStr"/>
      <c r="L179" s="8" t="inlineStr">
        <is>
          <t>Section 21 requires firms to assess all relevant risks of cloud outsourcing arrangements, including information security, business continuity, legal compliance, reputational risks, and possible oversight limitations, when outsourcing critical or important functions.</t>
        </is>
      </c>
      <c r="M179" s="8" t="inlineStr">
        <is>
          <t>This section mandates firms to assess a wide range of risks associated with cloud outsourcing of critical functions, which is relevant for assessing data transfer and storage risks.</t>
        </is>
      </c>
      <c r="N179" s="8" t="inlineStr">
        <is>
          <t>[Must] In case the cloud outsourcing arrangement concerns critical or important functions, a firm should also: assess all relevant risks that may arise as a result of the cloud outsourcing arrangement, including risks in relation to information and communication technology, information security, business continuity, legal and compliance, reputational risks, operational risks, and possible oversight limitations for the firm, arising from: the selected cloud service and the proposed deployment models; the migration and/or the implementation processes; the sensitivity of the function and the related data which are under consideration to be outsourced and the security measures which would need to be taken; the interoperability of the systems and applications of the firm and the CSP, namely their capacity to exchange information and mutually use the information that has been exchanged; the portability of the data of the firm, namely the capacity to easily transfer the firm's data from one CSP to another or back to the firm; the political stability, the security situation and the legal system (including the law enforcement provisions in place, the insolvency law provisions that would apply in case of the CSP's bankruptcy, the laws on data protection in force and whether the conditions for transfer of personal data to a third country under the GDPR are met) of the countries (within or outside the EU) where the outsourced functions would be provided and where the outsourced data would be stored; in case of sub-outsourcing, the additional risks that may arise if the sub-outsourcer is located in a third country or a different country from the CSP and, in case of a sub-outsourcing chain, any additional risk which may arise, including in relation to the absence of a direct contract between the firm and the sub-outsourcer performing the outsourced function; possible concentration within the firm (including, where applicable, at the level of its group,) caused by multiple cloud outsourcing arrangements with the same CSP as well as possible concentration within the EU financial sector, caused by multiple firms making use of the same CSP or a small group of CSPs. When assessing the concentration risk, the firm should take into account all its cloud outsourcing arrangements (and, where applicable, the cloud outsourcing arrangements at the level of its group) with that CSP;
[Must] take into account the expected benefits and costs of the cloud outsourcing arrangement, including weighing any significant risks which may be reduced or better managed against any significant risks which may arise as a result of the cloud outsourcing arrangement.</t>
        </is>
      </c>
      <c r="O179" s="8" t="inlineStr">
        <is>
          <t>In case the cloud outsourcing arrangement concerns critical or important functions, a firm should also: assess all relevant risks that may arise as a result of the cloud outsourcing arrangement, including risks in relation to information and communication technology, information security, business continuity, legal and compliance, reputational risks, operational risks, and possible oversight limitations for the firm, arising from: the selected cloud service and the proposed deployment models; the migration and/or the implementation processes; the sensitivity of the function and the related data which are under consideration to be outsourced and the security measures which would need to be taken; the interoperability of the systems and applications of the firm and the CSP, namely their capacity to exchange information and mutually use the information that has been exchanged; the portability of the data of the firm, namely the capacity to easily transfer the firm's data from one CSP to another or back to the firm; the political stability, the security situation and the legal system (including the law enforcement provisions in place, the insolvency law provisions that would apply in case of the CSP's bankruptcy, the laws on data protection in force and whether the conditions for transfer of personal data to a third country under the GDPR are met) of the countries (within or outside the EU) where the outsourced functions would be provided and where the outsourced data would be stored; in case of sub-outsourcing, the additional risks that may arise if the sub-outsourcer is located in a third country or a different country from the CSP and, in case of a sub-outsourcing chain, any additional risk which may arise, including in relation to the absence of a direct contract between the firm and the sub-outsourcer performing the outsourced function; possible concentration within the firm (including, where applicable, at the level of its group,) caused by multiple cloud outsourcing arrangements with the same CSP as well as possible concentration within the EU financial sector, caused by multiple firms making use of the same CSP or a small group of CSPs. When assessing the concentration risk, the firm should take into account all its cloud outsourcing arrangements (and, where applicable, the cloud outsourcing arrangements at the level of its group) with that CSP; take into account the expected benefits and costs of the cloud outsourcing arrangement, including weighing any significant risks which may be reduced or better managed against any significant risks which may arise as a result of the cloud outsourcing arrangement.</t>
        </is>
      </c>
    </row>
    <row r="180">
      <c r="A180" t="inlineStr">
        <is>
          <t>GDPR</t>
        </is>
      </c>
      <c r="B180" t="inlineStr">
        <is>
          <t>esma_cloud_guidelines (GDPR - Row 8)</t>
        </is>
      </c>
      <c r="C180" t="inlineStr">
        <is>
          <t>22</t>
        </is>
      </c>
      <c r="D180" s="8" t="inlineStr">
        <is>
          <t>In case of outsourcing of critical or important functions, the due diligence should include</t>
        </is>
      </c>
      <c r="E180" t="inlineStr">
        <is>
          <t>14</t>
        </is>
      </c>
      <c r="F180" t="inlineStr">
        <is>
          <t>Cloud Services</t>
        </is>
      </c>
      <c r="G180" t="inlineStr">
        <is>
          <t>High</t>
        </is>
      </c>
      <c r="H180" t="inlineStr">
        <is>
          <t>High</t>
        </is>
      </c>
      <c r="I180" s="8" t="inlineStr">
        <is>
          <t>Cloud Services, Security</t>
        </is>
      </c>
      <c r="J180" s="8" t="inlineStr"/>
      <c r="K180" t="inlineStr"/>
      <c r="L180" s="8" t="inlineStr">
        <is>
          <t>Section 22 requires firms to evaluate the suitability of the CSP, including its business reputation, skills, resources, organisational structure, and relevant authorisations or registrations.</t>
        </is>
      </c>
      <c r="M180" s="8" t="inlineStr">
        <is>
          <t>This section mandates firms to evaluate the suitability of CSPs, including their business reputation, skills, and authorisations, which is relevant for assessing data transfer and storage risks.</t>
        </is>
      </c>
      <c r="N180" s="8" t="inlineStr">
        <is>
          <t>[Must] In case of outsourcing of critical or important functions, the due diligence should include an evaluation of the suitability of the CSP. When assessing the suitability of the CSP, a firm should ensure that the CSP has the business reputation, the skills, the resources (including human, IT and financial), the organisational structure and, if applicable, the relevant authorisation(s) or registration(s) to perform the critical or important function in a reliable and professional manner and to meet its obligations over the duration of the cloud outsourcing arrangement.</t>
        </is>
      </c>
      <c r="O180" s="8" t="inlineStr">
        <is>
          <t>In case of outsourcing of critical or important functions, the due diligence should include an evaluation of the suitability of the CSP. When assessing the suitability of the CSP, a firm should ensure that the CSP has the business reputation, the skills, the resources (including human, IT and financial), the organisational structure and, if applicable, the relevant authorisation(s) or registration(s) to perform the critical or important function in a reliable and professional manner and to meet its obligations over the duration of the cloud outsourcing arrangement.</t>
        </is>
      </c>
    </row>
    <row r="181">
      <c r="A181" t="inlineStr">
        <is>
          <t>GDPR</t>
        </is>
      </c>
      <c r="B181" t="inlineStr">
        <is>
          <t>esma_cloud_guidelines (GDPR - Row 8)</t>
        </is>
      </c>
      <c r="C181" t="inlineStr">
        <is>
          <t>23</t>
        </is>
      </c>
      <c r="D181" s="8" t="inlineStr">
        <is>
          <t>Where appropriate and in order to support the due diligence performed, a firm may also</t>
        </is>
      </c>
      <c r="E181" t="inlineStr">
        <is>
          <t>14</t>
        </is>
      </c>
      <c r="F181" t="inlineStr">
        <is>
          <t>Cloud Services</t>
        </is>
      </c>
      <c r="G181" t="inlineStr">
        <is>
          <t>High</t>
        </is>
      </c>
      <c r="H181" t="inlineStr">
        <is>
          <t>High</t>
        </is>
      </c>
      <c r="I181" s="8" t="inlineStr">
        <is>
          <t>Cloud Services</t>
        </is>
      </c>
      <c r="J181" s="8" t="inlineStr"/>
      <c r="K181" t="inlineStr"/>
      <c r="L181" s="8" t="inlineStr">
        <is>
          <t>Section 23 allows firms to use certifications based on international standards and external or internal audit reports to support due diligence on CSPs.</t>
        </is>
      </c>
      <c r="M181" s="8" t="inlineStr">
        <is>
          <t>This section allows firms to use certifications and audit reports to support due diligence on CSPs, which is relevant for assessing data transfer and storage risks.</t>
        </is>
      </c>
      <c r="N181" s="8" t="inlineStr">
        <is>
          <t>[May] Where appropriate and in order to support the due diligence performed, a firm may also use certifications based on international standards and external or internal audit reports.</t>
        </is>
      </c>
      <c r="O181" s="8" t="inlineStr">
        <is>
          <t>Where appropriate and in order to support the due diligence performed, a firm may also use certifications based on international standards and external or internal audit reports.</t>
        </is>
      </c>
    </row>
    <row r="182">
      <c r="A182" t="inlineStr">
        <is>
          <t>GDPR</t>
        </is>
      </c>
      <c r="B182" t="inlineStr">
        <is>
          <t>esma_cloud_guidelines (GDPR - Row 8)</t>
        </is>
      </c>
      <c r="C182" t="inlineStr">
        <is>
          <t>24</t>
        </is>
      </c>
      <c r="D182" s="8" t="inlineStr">
        <is>
          <t>If a firm becomes aware of significant deficiencies and/or significant changes to the</t>
        </is>
      </c>
      <c r="E182" t="inlineStr">
        <is>
          <t>14</t>
        </is>
      </c>
      <c r="F182" t="inlineStr">
        <is>
          <t>Other</t>
        </is>
      </c>
      <c r="G182" t="inlineStr">
        <is>
          <t>Medium</t>
        </is>
      </c>
      <c r="H182" t="inlineStr">
        <is>
          <t>High</t>
        </is>
      </c>
      <c r="I182" s="8" t="inlineStr">
        <is>
          <t>Outsourcing, Third Party Processing, Cloud Services, Data Storage, Data Residency, Security, Access Control, Incident Reporting, Breach Notification</t>
        </is>
      </c>
      <c r="J182" s="8" t="inlineStr"/>
      <c r="K182" t="inlineStr"/>
      <c r="L182" s="8" t="inlineStr">
        <is>
          <t>This section requires firms to promptly review or re-perform due diligence on a CSP if there are significant deficiencies or changes to the services provided or the CSP's situation. It emphasizes the need for ongoing assessment of the CSP's reliability and performance.</t>
        </is>
      </c>
      <c r="M182" s="8" t="inlineStr">
        <is>
          <t>This section is relevant to DTIA as it mandates continuous review of CSPs, ensuring that data transfer and processing arrangements remain compliant with evolving risks and conditions.</t>
        </is>
      </c>
      <c r="N182" s="8" t="inlineStr">
        <is>
          <t>[Must] Firms must promptly review or re-perform due diligence on a CSP if there are significant deficiencies or changes to the services provided or the CSP's situation.</t>
        </is>
      </c>
      <c r="O182" s="8" t="inlineStr">
        <is>
          <t>24. If a firm becomes aware of significant deficiencies and/or significant changes to the services provided or to the situation of the CSP, the pre-outsourcing analysis and due diligence on the CSP should be promptly reviewed or where needed re-performed.</t>
        </is>
      </c>
    </row>
    <row r="183">
      <c r="A183" t="inlineStr">
        <is>
          <t>GDPR</t>
        </is>
      </c>
      <c r="B183" t="inlineStr">
        <is>
          <t>esma_cloud_guidelines (GDPR - Row 8)</t>
        </is>
      </c>
      <c r="C183" t="inlineStr">
        <is>
          <t>25</t>
        </is>
      </c>
      <c r="D183" s="8" t="inlineStr">
        <is>
          <t>In case a firm enters into a new arrangement or renews an existing arrangement with</t>
        </is>
      </c>
      <c r="E183" t="inlineStr">
        <is>
          <t>14–15</t>
        </is>
      </c>
      <c r="F183" t="inlineStr">
        <is>
          <t>Other</t>
        </is>
      </c>
      <c r="G183" t="inlineStr">
        <is>
          <t>Medium</t>
        </is>
      </c>
      <c r="H183" t="inlineStr">
        <is>
          <t>High</t>
        </is>
      </c>
      <c r="I183" s="8" t="inlineStr">
        <is>
          <t>Outsourcing, Third Party Processing, Cloud Services, Data Storage, Data Residency, Security, Access Control, Incident Reporting, Breach Notification</t>
        </is>
      </c>
      <c r="J183" s="8" t="inlineStr"/>
      <c r="K183" t="inlineStr"/>
      <c r="L183" s="8" t="inlineStr">
        <is>
          <t>This section requires firms to assess, on a risk-based approach, whether a new due diligence is needed when entering into a new arrangement or renewing an existing one with a CSP that has already been assessed.</t>
        </is>
      </c>
      <c r="M183" s="8" t="inlineStr">
        <is>
          <t>This section is relevant to DTIA as it mandates a risk-based assessment of CSPs, ensuring that data transfer and processing arrangements are continuously evaluated for compliance and risk.</t>
        </is>
      </c>
      <c r="N183" s="8" t="inlineStr">
        <is>
          <t>[Must] Firms must assess, on a risk-based approach, whether a new due diligence is needed when entering into a new arrangement or renewing an existing one with a CSP that has already been assessed.</t>
        </is>
      </c>
      <c r="O183" s="8" t="inlineStr">
        <is>
          <t>25. In case a firm enters into a new arrangement or renews an existing arrangement with a CSP that has already been assessed, it should determine, on a risk-based approach, whether a new due diligence is needed.</t>
        </is>
      </c>
    </row>
    <row r="184">
      <c r="A184" t="inlineStr">
        <is>
          <t>GDPR</t>
        </is>
      </c>
      <c r="B184" t="inlineStr">
        <is>
          <t>esma_cloud_guidelines (GDPR - Row 8)</t>
        </is>
      </c>
      <c r="C184" t="inlineStr">
        <is>
          <t>28</t>
        </is>
      </c>
      <c r="D184" s="8" t="inlineStr">
        <is>
          <t>In case of outsourcing of critical or important functions, the written agreement should</t>
        </is>
      </c>
      <c r="E184" t="inlineStr">
        <is>
          <t>15–16</t>
        </is>
      </c>
      <c r="F184" t="inlineStr">
        <is>
          <t>Other</t>
        </is>
      </c>
      <c r="G184" t="inlineStr">
        <is>
          <t>High</t>
        </is>
      </c>
      <c r="H184" t="inlineStr">
        <is>
          <t>High</t>
        </is>
      </c>
      <c r="I184" s="8" t="inlineStr">
        <is>
          <t>Outsourcing, Third Party Processing, Cloud Services, Data Storage, Data Residency, Security, Access Control, Incident Reporting, Breach Notification, Governance, Record Keeping</t>
        </is>
      </c>
      <c r="J184" s="8" t="inlineStr">
        <is>
          <t>Personal Information, Customer Data, Employee Data, Financial Data</t>
        </is>
      </c>
      <c r="K184" t="inlineStr"/>
      <c r="L184" s="8" t="inlineStr">
        <is>
          <t>This section outlines the minimum contractual requirements for cloud outsourcing agreements, including clear descriptions of outsourced functions, data locations, security provisions, monitoring rights, service levels, incident reporting, and access rights.</t>
        </is>
      </c>
      <c r="M184" s="8" t="inlineStr">
        <is>
          <t>This section is highly relevant to DTIA as it mandates detailed contractual safeguards for cross-border data transfers and processing, including data location, security, and access rights.</t>
        </is>
      </c>
      <c r="N184" s="8" t="inlineStr">
        <is>
          <t>[Must] Written agreements must include a clear description of the outsourced function.
[Must] Written agreements must specify the start and end dates of the agreement and notice periods for both the firm and CSP.
[Must] Written agreements must include the governing law and choice of jurisdiction.
[Must] Written agreements must outline the financial obligations of both the firm and CSP.
[Must] Written agreements must specify whether sub-outsourcing is permitted and the conditions for it.
[Must] Written agreements must specify the locations where the outsourced function will be provided and where data will be processed and stored, including a requirement to notify the firm of any changes.
[Must] Written agreements must include provisions regarding information security and protection of personal data.
[Must] Written agreements must allow the firm to monitor the CSP's performance regularly.
[Must] Written agreements must include agreed service levels with quantitative and qualitative performance targets.
[Must] Written agreements must include reporting obligations of the CSP to the firm and relevant security functions.
[Must] Written agreements must include provisions regarding the management of incidents by the CSP, including the obligation to report incidents without undue delay.
[Must] Written agreements must specify whether the CSP should take mandatory insurance against certain risks and the level of insurance cover requested.
[Must] Written agreements must require the CSP to implement and test business continuity and disaster recovery plans.
[Must] Written agreements must grant the firm, its competent authorities, and appointed persons access and audit rights to monitor the CSP's performance and compliance.
[Must] Written agreements must ensure that data processed or stored by the CSP can be accessed, recovered, and returned to the firm as needed.</t>
        </is>
      </c>
      <c r="O184" s="8" t="inlineStr">
        <is>
          <t>28. In case of outsourcing of critical or important functions, the written agreement should include at least: a) a clear description of the outsourced function; b) the start date and end date, where applicable, of the agreement and the notice periods for the CSP and for the firm; c) the governing law of the agreement and, if any, the choice of jurisdiction; d) the firm's and the CSP's financial obligations; e) whether sub-outsourcing is permitted, and, if so, under which conditions, having regard to Guideline 7; f) the location(s) (namely regions or countries) where the outsourced function will be provided and where data will be processed and stored, and the conditions to be met, including a requirement to notify the firm if the CSP proposes to change the location(s); g) provisions regarding information security and protection of personal data, having regard to Guideline 4; h) the right for the firm to monitor the CSP's performance under the cloud outsourcing arrangement on a regular basis, having regard to Guideline 6; i) the agreed service levels, which should include, quantitative and qualitative performance targets in order to allow for timely monitoring so that appropriate corrective actions can be taken without undue delay if agreed service levels are not met; j) the reporting obligations of the CSP to the firm and, as appropriate, the obligations to submit reports relevant for the firm's security function and key functions, such as reports prepared by the internal audit function of the CSP; k) provisions regarding the management of incidents by the CSP, including the obligation for the CSP to report to the firm without undue delay incidents that have affected the operation of the firm's contracted service; l) whether the CSP should take mandatory insurance against certain risks and, if applicable, the level of insurance cover requested; m) the requirements for the CSP to implement and test business continuity and disaster recovery plans; n) the requirement for the CSP to grant the firm, its competent authorities and any other person appointed by the firm or the competent authorities the right to access and to inspect the relevant information, premises, systems and devices of the CSP to the extent necessary to monitor the CSP's performance under the cloud outsourcing arrangement and its compliance with the applicable regulatory and contractual requirements, having regard to Guideline 6; o) provisions to ensure that the data that the CSP processes or stores on behalf of the firm can be accessed, recovered and returned to the firm as needed, having regard to Guideline 5.</t>
        </is>
      </c>
    </row>
    <row r="185">
      <c r="A185" t="inlineStr">
        <is>
          <t>GDPR</t>
        </is>
      </c>
      <c r="B185" t="inlineStr">
        <is>
          <t>esma_cloud_guidelines (GDPR - Row 8)</t>
        </is>
      </c>
      <c r="C185" t="inlineStr">
        <is>
          <t>29</t>
        </is>
      </c>
      <c r="D185" s="8" t="inlineStr">
        <is>
          <t>A firm should set information security requirements in its internal policies and</t>
        </is>
      </c>
      <c r="E185" t="inlineStr">
        <is>
          <t>16</t>
        </is>
      </c>
      <c r="F185" t="inlineStr">
        <is>
          <t>Security</t>
        </is>
      </c>
      <c r="G185" t="inlineStr">
        <is>
          <t>High</t>
        </is>
      </c>
      <c r="H185" t="inlineStr">
        <is>
          <t>High</t>
        </is>
      </c>
      <c r="I185" s="8" t="inlineStr">
        <is>
          <t>Security, Access Control, Data Storage, Data Residency, Incident Reporting, Breach Notification, Governance, Record Keeping</t>
        </is>
      </c>
      <c r="J185" s="8" t="inlineStr">
        <is>
          <t>Personal Information, Customer Data, Employee Data, Financial Data</t>
        </is>
      </c>
      <c r="K185" t="inlineStr"/>
      <c r="L185" s="8" t="inlineStr">
        <is>
          <t>This section requires firms to set and monitor information security requirements in internal policies and cloud outsourcing agreements, ensuring the protection of confidential, personal, and sensitive data in proportion to the function's nature, scale, and complexity.</t>
        </is>
      </c>
      <c r="M185" s="8" t="inlineStr">
        <is>
          <t>This section is relevant to DTIA as it mandates the implementation of information security requirements to protect data processed or stored by CSPs, ensuring compliance with data protection standards.</t>
        </is>
      </c>
      <c r="N185" s="8" t="inlineStr">
        <is>
          <t>[Must] Firms must set information security requirements in internal policies and cloud outsourcing agreements and monitor compliance on an ongoing basis.
[Must] Firms must ensure that these requirements are proportionate to the nature, scale, and complexity of the outsourced function and the inherent risks.</t>
        </is>
      </c>
      <c r="O185" s="8" t="inlineStr">
        <is>
          <t>29. A firm should set information security requirements in its internal policies and procedures and within the cloud outsourcing written agreement and monitor compliance with these requirements on an ongoing basis, including to protect confidential, personal or otherwise sensitive data. These requirements should be proportionate to the nature, scale and complexity of the function that the firm outsources to the CSP and the risks inherent to this function.</t>
        </is>
      </c>
    </row>
    <row r="186">
      <c r="A186" t="inlineStr">
        <is>
          <t>GDPR</t>
        </is>
      </c>
      <c r="B186" t="inlineStr">
        <is>
          <t>esma_cloud_guidelines (GDPR - Row 8)</t>
        </is>
      </c>
      <c r="C186" t="inlineStr">
        <is>
          <t>30</t>
        </is>
      </c>
      <c r="D186" s="8" t="inlineStr">
        <is>
          <t>For that purpose, in case of outsourcing of critical or important functions, and without</t>
        </is>
      </c>
      <c r="E186" t="inlineStr">
        <is>
          <t>16–17</t>
        </is>
      </c>
      <c r="F186" t="inlineStr">
        <is>
          <t>Other</t>
        </is>
      </c>
      <c r="G186" t="inlineStr">
        <is>
          <t>High</t>
        </is>
      </c>
      <c r="H186" t="inlineStr">
        <is>
          <t>High</t>
        </is>
      </c>
      <c r="I186" s="8" t="inlineStr">
        <is>
          <t>Outsourcing, Third Party Processing, Cloud Services, Data Storage, Data Residency, Security, Access Control, Incident Reporting, Breach Notification, Governance, Record Keeping</t>
        </is>
      </c>
      <c r="J186" s="8" t="inlineStr">
        <is>
          <t>Personal Information, Customer Data, Employee Data, Financial Data</t>
        </is>
      </c>
      <c r="K186" t="inlineStr"/>
      <c r="L186" s="8" t="inlineStr">
        <is>
          <t>This section requires firms to apply a risk-based approach to information security when outsourcing critical or important functions, ensuring clear roles, strong authentication, encryption, network security, API security, business continuity, data location, and compliance with information security standards.</t>
        </is>
      </c>
      <c r="M186" s="8" t="inlineStr">
        <is>
          <t>This section is highly relevant to DTIA as it mandates detailed information security requirements for cross-border data transfers and processing, including encryption, access controls, and compliance with international standards.</t>
        </is>
      </c>
      <c r="N186" s="8" t="inlineStr">
        <is>
          <t>[Must] Firms must ensure a clear allocation of information security roles and responsibilities between the firm and CSP, including threat detection, incident management, and patch management.
[Must] Firms must ensure strong authentication mechanisms and access controls to prevent unauthorized access to data and cloud resources.
[Must] Firms must ensure relevant encryption technologies are used for data in transit, memory, at rest, and backups, with appropriate key management solutions.
[Must] Firms must consider appropriate levels of network availability, segregation, and processing environments to ensure security.
[Must] Firms must consider mechanisms for secure API integration to prevent unauthorized disclosure, modification, or destruction of data.
[Must] Firms must ensure effective business continuity and disaster recovery controls, including geographically spread hosting options and data replication.
[Must] Firms must adopt a risk-based approach to data storage and processing locations.
[Must] Firms must verify that the CSP complies with internationally recognized information security standards and has implemented appropriate controls.</t>
        </is>
      </c>
      <c r="O186" s="8" t="inlineStr">
        <is>
          <t>30. For that purpose, in case of outsourcing of critical or important functions, and without prejudice to the applicable requirements under GDPR, a firm, applying a risk-based approach, should at least: a) information security organisation: ensure that there is a clear allocation of information security roles and responsibilities between the firm and the CSP, including in relation to threat detection, incident management and patch management, and ensure that the CSP is effectively able to fulfil its roles and responsibilities; b) identity and access management: ensure that strong authentication mechanisms (for example multi-factor authentication) and access controls are in place with a view to prevent unauthorised access to the firm's data and back-end cloud resources; c) encryption and key management: ensure that relevant encryption technologies are used, where necessary, for data in transit, data in memory, data at rest and data back-ups, in combination with appropriate key management solutions to limit the risk of non-authorised access to the encryption keys; in particular, the firm should consider state-of-the-art technology and processes when selecting its key management solution; d) operations and network security: consider appropriate levels of network availability, network segregation (for example tenant isolation in the shared environment of the cloud, operational separation as regards the web, application logic, operating system, network, Data Base Management System (DBMS) and storage layers) and processing environments (for example test, User Acceptance Testing, development, production); e) application programming interfaces (API): consider mechanisms for the integration of the cloud services with the systems of the firm to ensure security of APIs (for example establishing and maintaining information security policies and procedures for APIs across multiple system interfaces, jurisdictions, and business functions to prevent unauthorised disclosure, modification or destruction of data); f) business continuity and disaster recovery: ensure that effective business continuity and disaster recovery controls are in place (for example by setting minimum capacity requirements, selecting hosting options that are geographically spread, with the capability to switch from one to the other, or requesting and reviewing documentation showing the transport route of the firm's data among the CSP's systems, as well as considering the possibility to replicate machine images to an independent storage location, which is sufficiently isolated from the network or taken offline); g) data location: adopt a risk-based approach to data storage and data processing location(s) (namely regions or countries); h) compliance &amp; monitoring: verify that the CSP complies with internationally recognised information security standards and has implemented appropriate information security controls (for example by requesting the CSP to provide evidence that it conducts relevant information security reviews and by performing regular assessments and tests on the CSP's information security arrangements).</t>
        </is>
      </c>
    </row>
    <row r="187">
      <c r="A187" t="inlineStr">
        <is>
          <t>GDPR</t>
        </is>
      </c>
      <c r="B187" t="inlineStr">
        <is>
          <t>esma_cloud_guidelines (GDPR - Row 8)</t>
        </is>
      </c>
      <c r="C187" t="inlineStr">
        <is>
          <t>31</t>
        </is>
      </c>
      <c r="D187" s="8" t="inlineStr">
        <is>
          <t>In case of outsourcing of critical or important functions, a firm should ensure that it is</t>
        </is>
      </c>
      <c r="E187" t="inlineStr">
        <is>
          <t>17</t>
        </is>
      </c>
      <c r="F187" t="inlineStr">
        <is>
          <t>Other</t>
        </is>
      </c>
      <c r="G187" t="inlineStr">
        <is>
          <t>High</t>
        </is>
      </c>
      <c r="H187" t="inlineStr">
        <is>
          <t>High</t>
        </is>
      </c>
      <c r="I187" s="8" t="inlineStr">
        <is>
          <t>Outsourcing, Third Party Processing, Cloud Services, Data Storage, Data Residency, Security, Access Control, Incident Reporting, Breach Notification, Governance, Record Keeping</t>
        </is>
      </c>
      <c r="J187" s="8" t="inlineStr">
        <is>
          <t>Personal Information, Customer Data, Employee Data, Financial Data</t>
        </is>
      </c>
      <c r="K187" t="inlineStr"/>
      <c r="L187" s="8" t="inlineStr">
        <is>
          <t>This section requires firms to ensure they can exit cloud outsourcing arrangements without undue disruption to business activities, services, or compliance, and without compromising data confidentiality, integrity, or availability. It mandates the development of comprehensive exit plans and transition strategies.</t>
        </is>
      </c>
      <c r="M187" s="8" t="inlineStr">
        <is>
          <t>This section is relevant to DTIA as it mandates the development of exit strategies to ensure data can be recovered and transferred without disruption, ensuring compliance with data protection standards.</t>
        </is>
      </c>
      <c r="N187" s="8" t="inlineStr">
        <is>
          <t>[Must] Firms must ensure they can exit cloud outsourcing arrangements without undue disruption to business activities, services, or compliance, and without compromising data confidentiality, integrity, or availability.
[Must] Firms must develop comprehensive, documented, and tested exit plans that are updated as needed.
[Must] Firms must identify alternative solutions and develop transition plans to remove the outsourced function and data from the CSP and transfer them to an alternative CSP or back to the firm.
[Must] Firms must ensure the cloud outsourcing agreement includes an obligation for the CSP to support the orderly transfer of the outsourced function and related data to another CSP or directly to the firm.
[Must] Firms must ensure the CSP agrees to securely delete data from its systems and any sub-outsourcer's systems.</t>
        </is>
      </c>
      <c r="O187" s="8" t="inlineStr">
        <is>
          <t>31. In case of outsourcing of critical or important functions, a firm should ensure that it is able to exit the cloud outsourcing arrangement without undue disruption to its business activities and services to its clients, and without any detriment to its compliance with its obligations under the applicable legislation, as well as the confidentiality, integrity and availability of its data. For that purpose, a firm should: a) develop exit plans that are comprehensive, documented and sufficiently tested. These plans should be updated as needed, including in case of changes in the outsourced function; b) identify alternative solutions and develop transition plans to remove the outsourced function and data from the CSP and, where applicable, any sub-outsourcer, and transfer them to the alternative CSP indicated by the firm or directly back to the firm. These solutions should be defined with regard to the challenges that may arise from the location of the data, taking the necessary measures to ensure business continuity during the transition phase; c) ensure that the cloud outsourcing written agreement includes an obligation for the CSP to support the orderly transfer of the outsourced function, and the related processing of data, from the CSP and any sub-outsourcer to another CSP indicated by the firm or directly to the firm in case the firm activates the exit strategy. The obligation to support the orderly transfer of the outsourced function, and the related treatment of data, should include where relevant the secure deletion of the data from the systems of the CSP and any sub-outsourcer.</t>
        </is>
      </c>
    </row>
    <row r="188">
      <c r="A188" t="inlineStr">
        <is>
          <t>GDPR</t>
        </is>
      </c>
      <c r="B188" t="inlineStr">
        <is>
          <t>esma_cloud_guidelines (GDPR - Row 8)</t>
        </is>
      </c>
      <c r="C188" t="inlineStr">
        <is>
          <t>32</t>
        </is>
      </c>
      <c r="D188" s="8" t="inlineStr">
        <is>
          <t>When developing the exit plans and solutions referred to in points (a) and (b) above</t>
        </is>
      </c>
      <c r="E188" t="inlineStr">
        <is>
          <t>17–18</t>
        </is>
      </c>
      <c r="F188" t="inlineStr">
        <is>
          <t>Other</t>
        </is>
      </c>
      <c r="G188" t="inlineStr">
        <is>
          <t>High</t>
        </is>
      </c>
      <c r="H188" t="inlineStr">
        <is>
          <t>High</t>
        </is>
      </c>
      <c r="I188" s="8" t="inlineStr">
        <is>
          <t>Outsourcing, Third Party Processing, Cloud Services, Data Storage, Data Residency, Security, Access Control, Incident Reporting, Breach Notification, Governance, Record Keeping</t>
        </is>
      </c>
      <c r="J188" s="8" t="inlineStr">
        <is>
          <t>Personal Information, Customer Data, Employee Data, Financial Data</t>
        </is>
      </c>
      <c r="K188" t="inlineStr"/>
      <c r="L188" s="8" t="inlineStr">
        <is>
          <t>This section requires firms to consider various factors when developing exit strategies, including defining objectives, trigger events, conducting business impact analyses, assigning roles, testing the strategy, and defining success criteria.</t>
        </is>
      </c>
      <c r="M188" s="8" t="inlineStr">
        <is>
          <t>This section is relevant to DTIA as it mandates the development of comprehensive exit strategies, including testing and defining success criteria, to ensure data can be recovered and transferred without disruption.</t>
        </is>
      </c>
      <c r="N188" s="8" t="inlineStr">
        <is>
          <t>[Must] Firms must define the objectives of the exit strategy.
[Must] Firms must define trigger events that could activate the exit strategy, including termination of the arrangement or failure of the CSP's business activity.
[Must] Firms must perform a business impact analysis to identify resources required to implement the exit strategy.
Firms must assign roles and responsibilities to manage the exit strategy.
[Must] Firms must test the appropriateness of the exit strategy using a risk-based approach, including analyzing potential costs, impact, resources, and timing implications.
[Must] Firms must define success criteria for the transition.</t>
        </is>
      </c>
      <c r="O188" s="8" t="inlineStr">
        <is>
          <t>32. When developing the exit plans and solutions referred to in points (a) and (b) above (‘exit strategy'), the firm should consider the following: a) define the objectives of the exit strategy; b) define the trigger events that could activate the exit strategy. These should include at least the termination of the cloud outsourcing arrangement at the initiative of the firm or the CSP and the failure or other serious discontinuation of the business activity of the CSP; c) perform a business impact analysis that is commensurate to the function outsourced to identify what human and other resources would be required to implement the exit strategy; d) assign roles and responsibilities to manage the exit strategy; e) test the appropriateness of the exit strategy, using a risk-based approach, (for example, by carrying out an analysis of the potential costs, impact, resources and timing implications of transferring an outsourced service to an alternative provider); f) define success criteria of the transition.</t>
        </is>
      </c>
    </row>
    <row r="189">
      <c r="A189" t="inlineStr">
        <is>
          <t>GDPR</t>
        </is>
      </c>
      <c r="B189" t="inlineStr">
        <is>
          <t>esma_cloud_guidelines (GDPR - Row 8)</t>
        </is>
      </c>
      <c r="C189" t="inlineStr">
        <is>
          <t>33</t>
        </is>
      </c>
      <c r="D189" s="8" t="inlineStr">
        <is>
          <t>A firm should include indicators of the trigger events of the exit strategy in its ongoing</t>
        </is>
      </c>
      <c r="E189" t="inlineStr">
        <is>
          <t>18</t>
        </is>
      </c>
      <c r="F189" t="inlineStr">
        <is>
          <t>Other</t>
        </is>
      </c>
      <c r="G189" t="inlineStr">
        <is>
          <t>High</t>
        </is>
      </c>
      <c r="H189" t="inlineStr">
        <is>
          <t>High</t>
        </is>
      </c>
      <c r="I189" s="8" t="inlineStr">
        <is>
          <t>Outsourcing, Third Party Processing, Cloud Services, Data Storage, Data Residency, Security, Access Control, Incident Reporting, Breach Notification, Governance, Record Keeping</t>
        </is>
      </c>
      <c r="J189" s="8" t="inlineStr">
        <is>
          <t>Personal Information, Customer Data, Employee Data, Financial Data</t>
        </is>
      </c>
      <c r="K189" t="inlineStr"/>
      <c r="L189" s="8" t="inlineStr">
        <is>
          <t>This section requires firms to include indicators of trigger events for the exit strategy in their ongoing monitoring and oversight of the CSP's services under the cloud outsourcing arrangement.</t>
        </is>
      </c>
      <c r="M189" s="8" t="inlineStr">
        <is>
          <t>This section is relevant to DTIA as it mandates the inclusion of trigger event indicators in ongoing monitoring, ensuring that firms can respond promptly to changes in CSP performance or compliance.</t>
        </is>
      </c>
      <c r="N189" s="8" t="inlineStr">
        <is>
          <t>[Must] Firms must include indicators of trigger events of the exit strategy in their ongoing monitoring and oversight of the CSP's services under the cloud outsourcing arrangement.</t>
        </is>
      </c>
      <c r="O189" s="8" t="inlineStr">
        <is>
          <t>33. A firm should include indicators of the trigger events of the exit strategy in its ongoing monitoring and oversight of the services provided by the CSP under the cloud outsourcing arrangement.</t>
        </is>
      </c>
    </row>
    <row r="190">
      <c r="A190" t="inlineStr">
        <is>
          <t>GDPR</t>
        </is>
      </c>
      <c r="B190" t="inlineStr">
        <is>
          <t>esma_cloud_guidelines (GDPR - Row 8)</t>
        </is>
      </c>
      <c r="C190" t="inlineStr">
        <is>
          <t>34</t>
        </is>
      </c>
      <c r="D190" s="8" t="inlineStr">
        <is>
          <t>A firm should ensure that the cloud outsourcing written agreement does not limit the</t>
        </is>
      </c>
      <c r="E190" t="inlineStr">
        <is>
          <t>18</t>
        </is>
      </c>
      <c r="F190" t="inlineStr">
        <is>
          <t>Other</t>
        </is>
      </c>
      <c r="G190" t="inlineStr">
        <is>
          <t>High</t>
        </is>
      </c>
      <c r="H190" t="inlineStr">
        <is>
          <t>High</t>
        </is>
      </c>
      <c r="I190" s="8" t="inlineStr">
        <is>
          <t>Outsourcing, Third Party Processing, Cloud Services, Data Storage, Data Residency, Security, Access Control, Incident Reporting, Breach Notification, Governance, Record Keeping</t>
        </is>
      </c>
      <c r="J190" s="8" t="inlineStr">
        <is>
          <t>Personal Information, Customer Data, Employee Data, Financial Data</t>
        </is>
      </c>
      <c r="K190" t="inlineStr"/>
      <c r="L190" s="8" t="inlineStr">
        <is>
          <t>This section requires firms to ensure that the cloud outsourcing agreement does not limit their or the competent authority's ability to exercise access and audit rights and oversight options on the CSP.</t>
        </is>
      </c>
      <c r="M190" s="8" t="inlineStr">
        <is>
          <t>This section is relevant to DTIA as it mandates that access and audit rights are not restricted in cloud outsourcing agreements, ensuring transparency and compliance with data protection standards.</t>
        </is>
      </c>
      <c r="N190" s="8" t="inlineStr">
        <is>
          <t>[Must] Firms must ensure that the cloud outsourcing agreement does not limit their or the competent authority's ability to exercise access and audit rights and oversight options on the CSP.</t>
        </is>
      </c>
      <c r="O190" s="8" t="inlineStr">
        <is>
          <t>34. A firm should ensure that the cloud outsourcing written agreement does not limit the firm's and competent authority's effective exercise of the access and audit rights and oversight options on the CSP.</t>
        </is>
      </c>
    </row>
    <row r="191">
      <c r="A191" t="inlineStr">
        <is>
          <t>GDPR</t>
        </is>
      </c>
      <c r="B191" t="inlineStr">
        <is>
          <t>esma_cloud_guidelines (GDPR - Row 8)</t>
        </is>
      </c>
      <c r="C191" t="inlineStr">
        <is>
          <t>35</t>
        </is>
      </c>
      <c r="D191" s="8" t="inlineStr">
        <is>
          <t>A firm should ensure that the exercise of the access and audit rights (for example, the</t>
        </is>
      </c>
      <c r="E191" t="inlineStr">
        <is>
          <t>18</t>
        </is>
      </c>
      <c r="F191" t="inlineStr">
        <is>
          <t>Other</t>
        </is>
      </c>
      <c r="G191" t="inlineStr">
        <is>
          <t>High</t>
        </is>
      </c>
      <c r="H191" t="inlineStr">
        <is>
          <t>High</t>
        </is>
      </c>
      <c r="I191" s="8" t="inlineStr">
        <is>
          <t>Outsourcing, Third Party Processing, Cloud Services, Data Storage, Data Residency, Security, Access Control, Incident Reporting, Breach Notification, Governance, Record Keeping</t>
        </is>
      </c>
      <c r="J191" s="8" t="inlineStr">
        <is>
          <t>Personal Information, Customer Data, Employee Data, Financial Data</t>
        </is>
      </c>
      <c r="K191" t="inlineStr"/>
      <c r="L191" s="8" t="inlineStr">
        <is>
          <t>This section requires firms to ensure that the exercise of access and audit rights takes into account whether the outsourcing relates to a critical or important function and the nature and extent of the risks and impact of the cloud outsourcing arrangement.</t>
        </is>
      </c>
      <c r="M191" s="8" t="inlineStr">
        <is>
          <t>This section is relevant to DTIA as it mandates that access and audit rights are exercised with consideration to the criticality of the function and the associated risks, ensuring compliance with data protection standards.</t>
        </is>
      </c>
      <c r="N191" s="8" t="inlineStr">
        <is>
          <t>[Must] Firms must ensure that the exercise of access and audit rights takes into account whether the outsourcing relates to a critical or important function and the nature and extent of the risks and impact of the cloud outsourcing arrangement.</t>
        </is>
      </c>
      <c r="O191" s="8" t="inlineStr">
        <is>
          <t>35. A firm should ensure that the exercise of the access and audit rights (for example, the audit frequency and the areas and services to be audited) takes into consideration whether the outsourcing is related to a critical or important function, as well as the nature and extent of the risks and impact arising from the cloud outsourcing arrangement on the firm.</t>
        </is>
      </c>
    </row>
    <row r="192">
      <c r="A192" t="inlineStr">
        <is>
          <t>GDPR</t>
        </is>
      </c>
      <c r="B192" t="inlineStr">
        <is>
          <t>esma_cloud_guidelines (GDPR - Row 8)</t>
        </is>
      </c>
      <c r="C192" t="inlineStr">
        <is>
          <t>36</t>
        </is>
      </c>
      <c r="D192" s="8" t="inlineStr">
        <is>
          <t>In case the exercise of the access or audit rights, or the use of certain audit techniques</t>
        </is>
      </c>
      <c r="E192" t="inlineStr">
        <is>
          <t>18</t>
        </is>
      </c>
      <c r="F192" t="inlineStr">
        <is>
          <t>Other</t>
        </is>
      </c>
      <c r="G192" t="inlineStr">
        <is>
          <t>High</t>
        </is>
      </c>
      <c r="H192" t="inlineStr">
        <is>
          <t>High</t>
        </is>
      </c>
      <c r="I192" s="8" t="inlineStr">
        <is>
          <t>Outsourcing, Third Party Processing, Cloud Services, Data Storage, Data Residency, Security, Access Control, Incident Reporting, Breach Notification, Governance, Record Keeping</t>
        </is>
      </c>
      <c r="J192" s="8" t="inlineStr">
        <is>
          <t>Personal Information, Customer Data, Employee Data, Financial Data</t>
        </is>
      </c>
      <c r="K192" t="inlineStr"/>
      <c r="L192" s="8" t="inlineStr">
        <is>
          <t>This section requires CSPs to provide a clear rationale for any risk created by the exercise of access or audit rights or the use of certain audit techniques and to agree on alternative ways to achieve similar results.</t>
        </is>
      </c>
      <c r="M192" s="8" t="inlineStr">
        <is>
          <t>This section is relevant to DTIA as it mandates that CSPs provide rationale for risks created by audit activities and agree on alternative methods to ensure compliance without compromising service levels or data integrity.</t>
        </is>
      </c>
      <c r="N192" s="8" t="inlineStr">
        <is>
          <t>[Must] CSPs must provide a clear rationale to the firm as to why the exercise of access or audit rights or the use of certain audit techniques would create a risk.
[Must] CSPs must agree with the firm on alternative ways to achieve a similar result, such as the inclusion of specific controls to be tested in a specific report/certification produced by the CSP.</t>
        </is>
      </c>
      <c r="O192" s="8" t="inlineStr">
        <is>
          <t>36. In case the exercise of the access or audit rights, or the use of certain audit techniques create a risk for the environment of the CSP and/or another CSP's client (for example by impacting service levels, confidentiality, integrity and availability of data), the CSP should provide a clear rationale to the firm as to why this would create a risk and the CSP should agree with the firm on alternative ways to achieve a similar result (for example, the inclusion of specific controls to be tested in a specific report/certification produced by the CSP).</t>
        </is>
      </c>
    </row>
    <row r="193">
      <c r="A193" t="inlineStr">
        <is>
          <t>GDPR</t>
        </is>
      </c>
      <c r="B193" t="inlineStr">
        <is>
          <t>esma_cloud_guidelines (GDPR - Row 8)</t>
        </is>
      </c>
      <c r="C193" t="inlineStr">
        <is>
          <t>37</t>
        </is>
      </c>
      <c r="D193" s="8" t="inlineStr">
        <is>
          <t>Without prejudice to their final responsibility regarding cloud outsourcing arrangements,</t>
        </is>
      </c>
      <c r="E193" t="inlineStr">
        <is>
          <t>18–19</t>
        </is>
      </c>
      <c r="F193" t="inlineStr">
        <is>
          <t>Other</t>
        </is>
      </c>
      <c r="G193" t="inlineStr">
        <is>
          <t>High</t>
        </is>
      </c>
      <c r="H193" t="inlineStr">
        <is>
          <t>High</t>
        </is>
      </c>
      <c r="I193" s="8" t="inlineStr">
        <is>
          <t>Outsourcing, Third Party Processing, Cloud Services, Data Storage, Data Residency, Security, Access Control, Incident Reporting, Breach Notification, Governance, Record Keeping</t>
        </is>
      </c>
      <c r="J193" s="8" t="inlineStr">
        <is>
          <t>Personal Information, Customer Data, Employee Data, Financial Data</t>
        </is>
      </c>
      <c r="K193" t="inlineStr"/>
      <c r="L193" s="8" t="inlineStr">
        <is>
          <t>This section allows firms to use third-party certifications and pooled audits to reduce the organisational burden on CSPs and their clients, provided they are used efficiently and effectively.</t>
        </is>
      </c>
      <c r="M193" s="8" t="inlineStr">
        <is>
          <t>This section is relevant to DTIA as it allows the use of third-party certifications and pooled audits to reduce the organisational burden on CSPs and their clients, ensuring compliance with data protection standards.</t>
        </is>
      </c>
      <c r="N193" s="8" t="inlineStr">
        <is>
          <t>[May] Firms may use third-party certifications and external or internal audit reports made available by the CSP.
[May] Firms may use pooled audits performed jointly with other clients of the same CSP or by a third-party auditor appointed by multiple clients of the same CSP.</t>
        </is>
      </c>
      <c r="O193" s="8" t="inlineStr">
        <is>
          <t>37. Without prejudice to their final responsibility regarding cloud outsourcing arrangements, in order to use audit resources more efficiently and decrease the organisational burden on the CSP and its clients, firms may use: a) third-party certifications and external or internal audit reports made available by the CSP; b) pooled audits performed jointly with other clients of the same CSP or pooled audits performed by a third-party auditor appointed by multiple clients of the same CSP.</t>
        </is>
      </c>
    </row>
    <row r="194">
      <c r="A194" t="inlineStr">
        <is>
          <t>GDPR</t>
        </is>
      </c>
      <c r="B194" t="inlineStr">
        <is>
          <t>esma_cloud_guidelines (GDPR - Row 8)</t>
        </is>
      </c>
      <c r="C194" t="inlineStr">
        <is>
          <t>38</t>
        </is>
      </c>
      <c r="D194" s="8" t="inlineStr">
        <is>
          <t>In case of outsourcing of critical or important functions, a firm should assess whether</t>
        </is>
      </c>
      <c r="E194" t="inlineStr">
        <is>
          <t>19</t>
        </is>
      </c>
      <c r="F194" t="inlineStr">
        <is>
          <t>Other</t>
        </is>
      </c>
      <c r="G194" t="inlineStr">
        <is>
          <t>High</t>
        </is>
      </c>
      <c r="H194" t="inlineStr">
        <is>
          <t>High</t>
        </is>
      </c>
      <c r="I194" s="8" t="inlineStr">
        <is>
          <t>Outsourcing, Third Party Processing, Cloud Services, Data Storage, Data Residency, Security, Access Control, Incident Reporting, Breach Notification, Governance, Record Keeping</t>
        </is>
      </c>
      <c r="J194" s="8" t="inlineStr">
        <is>
          <t>Personal Information, Customer Data, Employee Data, Financial Data</t>
        </is>
      </c>
      <c r="K194" t="inlineStr"/>
      <c r="L194" s="8" t="inlineStr">
        <is>
          <t>This section requires firms to assess whether third-party certifications and audit reports are adequate and sufficient to comply with their obligations under the applicable legislation and not solely rely on them over time.</t>
        </is>
      </c>
      <c r="M194" s="8" t="inlineStr">
        <is>
          <t>This section is relevant to DTIA as it mandates that firms assess the adequacy of third-party certifications and audit reports to ensure compliance with data protection standards and not solely rely on them over time.</t>
        </is>
      </c>
      <c r="N194" s="8" t="inlineStr">
        <is>
          <t>[Must] Firms must assess whether third-party certifications and external or internal audit reports are adequate and sufficient to comply with their obligations under the applicable legislation.
[Must] Firms must aim at not solely relying on these certifications and reports over time.</t>
        </is>
      </c>
      <c r="O194" s="8" t="inlineStr">
        <is>
          <t>38. In case of outsourcing of critical or important functions, a firm should assess whether the third-party certifications and external or internal audit reports referred to in paragraph 37(a) are adequate and sufficient to comply with its obligations under the applicable legislation and should aim at not solely relying on these certifications and reports over time.</t>
        </is>
      </c>
    </row>
    <row r="195">
      <c r="A195" t="inlineStr">
        <is>
          <t>GDPR</t>
        </is>
      </c>
      <c r="B195" t="inlineStr">
        <is>
          <t>esma_cloud_guidelines (GDPR - Row 8)</t>
        </is>
      </c>
      <c r="C195" t="inlineStr">
        <is>
          <t>39</t>
        </is>
      </c>
      <c r="D195" s="8" t="inlineStr">
        <is>
          <t>In case of outsourcing of critical or important functions, a firm should make use of the</t>
        </is>
      </c>
      <c r="E195" t="inlineStr">
        <is>
          <t>19</t>
        </is>
      </c>
      <c r="F195" t="inlineStr">
        <is>
          <t>Other</t>
        </is>
      </c>
      <c r="G195" t="inlineStr">
        <is>
          <t>High</t>
        </is>
      </c>
      <c r="H195" t="inlineStr">
        <is>
          <t>High</t>
        </is>
      </c>
      <c r="I195" s="8" t="inlineStr">
        <is>
          <t>Outsourcing, Third Party Processing, Cloud Services, Data Storage, Data Residency, Security, Access Control, Incident Reporting, Breach Notification, Governance, Record Keeping</t>
        </is>
      </c>
      <c r="J195" s="8" t="inlineStr">
        <is>
          <t>Personal Information, Customer Data, Employee Data, Financial Data</t>
        </is>
      </c>
      <c r="K195" t="inlineStr"/>
      <c r="L195" s="8" t="inlineStr">
        <is>
          <t>This section requires firms to use third-party certifications and audit reports only if they meet specific criteria, including coverage of key systems, regular assessment of content, future coverage of key systems, satisfaction with the certifying or auditing party, adherence to appropriate standards, and contractual rights to expand the scope of certifications or audit reports.</t>
        </is>
      </c>
      <c r="M195" s="8" t="inlineStr">
        <is>
          <t>This section is relevant to DTIA as it mandates that firms use third-party certifications and audit reports only if they meet specific criteria, ensuring compliance with data protection standards and the adequacy of audit and certification processes.</t>
        </is>
      </c>
      <c r="N195" s="8" t="inlineStr">
        <is>
          <t>[Must] Firms must use third-party certifications and external or internal audit reports only if they are satisfied that the scope covers the CSP's key systems, key controls, and compliance with relevant legislation.
[Must] Firms must thoroughly assess the content of the certifications or audit reports on a regular basis and verify that they are not obsolete.
[Must] Firms must ensure that the CSP's key systems and controls are covered in future versions of the certifications or audit reports.
[Must] Firms must be satisfied with the certifying or auditing party's qualifications, expertise, re-performance/verification of the evidence, and rotation of the certifying or auditing company.
[Must] Firms must be satisfied that the certifications are issued and that the audits are performed according to appropriate standards and include a test of the effectiveness of the key controls in place.
[Must] Firms must have the contractual right to request the expansion of the scope of the certifications or audit reports to other relevant systems and controls of the CSP.
[Must] Firms must retain the contractual right to perform individual on-site audits at their discretion with regard to the outsourced function.</t>
        </is>
      </c>
      <c r="O195" s="8" t="inlineStr">
        <is>
          <t>39. In case of outsourcing of critical or important functions, a firm should make use of the third-party certifications and external or internal audit reports referred to in paragraph 37(a) only if it: a) is satisfied that the scope of the certifications or the audit reports covers the CSP's key systems (for example processes, applications, infrastructure, data centres), the key controls identified by the firm and the compliance with the relevant applicable legislation; b) thoroughly assesses the content of the certifications or audit reports on a regular basis and verify that the certifications or reports are not obsolete; c) ensures that the CSP's key systems and controls are covered in future versions of the certifications or audit reports; d) is satisfied with the certifying or auditing party (for example with regard to its qualifications, expertise, re-performance/verification of the evidence in the underlying audit file as well as rotation of the certifying or auditing company); e) is satisfied that the certifications are issued and that the audits are performed according to appropriate standards and include a test of the effectiveness of the key controls in place; f) has the contractual right to request the expansion of the scope of the certifications or audit reports to other relevant systems and controls of the CSP; the number and frequency of such requests for scope modification should be reasonable and legitimate from a risk management perspective; g) retains the contractual right to perform individual on-site audits at its discretion with regard to the outsourced function.</t>
        </is>
      </c>
    </row>
    <row r="196">
      <c r="A196" t="inlineStr">
        <is>
          <t>GDPR</t>
        </is>
      </c>
      <c r="B196" t="inlineStr">
        <is>
          <t>esma_cloud_guidelines (GDPR - Row 8)</t>
        </is>
      </c>
      <c r="C196" t="inlineStr">
        <is>
          <t>40</t>
        </is>
      </c>
      <c r="D196" s="8" t="inlineStr">
        <is>
          <t>A firm should ensure that, before an on-site visit, including by a third party appointed</t>
        </is>
      </c>
      <c r="E196" t="inlineStr">
        <is>
          <t>19</t>
        </is>
      </c>
      <c r="F196" t="inlineStr">
        <is>
          <t>Other</t>
        </is>
      </c>
      <c r="G196" t="inlineStr">
        <is>
          <t>High</t>
        </is>
      </c>
      <c r="H196" t="inlineStr">
        <is>
          <t>High</t>
        </is>
      </c>
      <c r="I196" s="8" t="inlineStr">
        <is>
          <t>Outsourcing, Third Party Processing, Cloud Services, Data Storage, Data Residency, Security, Access Control, Incident Reporting, Breach Notification, Governance, Record Keeping</t>
        </is>
      </c>
      <c r="J196" s="8" t="inlineStr">
        <is>
          <t>Personal Information, Customer Data, Employee Data, Financial Data</t>
        </is>
      </c>
      <c r="K196" t="inlineStr"/>
      <c r="L196" s="8" t="inlineStr">
        <is>
          <t>This section requires firms to provide prior notice to the CSP before an on-site visit, including by a third party, unless an emergency or crisis situation makes it impractical.</t>
        </is>
      </c>
      <c r="M196" s="8" t="inlineStr">
        <is>
          <t>This section is relevant to DTIA as it mandates that firms provide prior notice to CSPs before on-site visits, ensuring transparency and compliance with data protection standards.</t>
        </is>
      </c>
      <c r="N196" s="8" t="inlineStr">
        <is>
          <t>[Must] Firms must ensure that prior notice is provided to the CSP before an on-site visit, including by a third party, unless an emergency or crisis situation makes it impractical.
[Must] Such notice should include the location, purpose of the visit, and the personnel participating in the visit.</t>
        </is>
      </c>
      <c r="O196" s="8" t="inlineStr">
        <is>
          <t>40. A firm should ensure that, before an on-site visit, including by a third party appointed by the firm (for example an auditor), prior notice within a reasonable time period is provided to the CSP, unless an early prior notification is not possible due to an emergency or crisis situation or would lead to a situation where the audit would no longer be effective. Such notice should include the location, purpose of the visit and the personnel that will participate to the visit.</t>
        </is>
      </c>
    </row>
    <row r="197">
      <c r="A197" t="inlineStr">
        <is>
          <t>GDPR</t>
        </is>
      </c>
      <c r="B197" t="inlineStr">
        <is>
          <t>esma_cloud_guidelines (GDPR - Row 8)</t>
        </is>
      </c>
      <c r="C197" t="inlineStr">
        <is>
          <t>41</t>
        </is>
      </c>
      <c r="D197" s="8" t="inlineStr">
        <is>
          <t>Considering that cloud services present a high level of technical complexity and raise</t>
        </is>
      </c>
      <c r="E197" t="inlineStr">
        <is>
          <t>19–20</t>
        </is>
      </c>
      <c r="F197" t="inlineStr">
        <is>
          <t>Other</t>
        </is>
      </c>
      <c r="G197" t="inlineStr">
        <is>
          <t>High</t>
        </is>
      </c>
      <c r="H197" t="inlineStr">
        <is>
          <t>High</t>
        </is>
      </c>
      <c r="I197" s="8" t="inlineStr">
        <is>
          <t>Outsourcing, Third Party Processing, Cloud Services, Data Storage, Data Residency, Security, Access Control, Incident Reporting, Breach Notification, Governance, Record Keeping</t>
        </is>
      </c>
      <c r="J197" s="8" t="inlineStr">
        <is>
          <t>Personal Information, Customer Data, Employee Data, Financial Data</t>
        </is>
      </c>
      <c r="K197" t="inlineStr"/>
      <c r="L197" s="8" t="inlineStr">
        <is>
          <t>This section requires firms to ensure that their internal auditors and staff reviewing certifications or audit reports have the right skills and knowledge to properly assess cloud services and perform effective audits.</t>
        </is>
      </c>
      <c r="M197" s="8" t="inlineStr">
        <is>
          <t>This section is relevant to DTIA as it mandates that firms ensure their auditors and staff have the necessary skills and knowledge to assess cloud services and audit processes, ensuring compliance with data protection standards.</t>
        </is>
      </c>
      <c r="N197" s="8" t="inlineStr">
        <is>
          <t>[Must] Firms must ensure that internal auditors and staff reviewing certifications or audit reports have the right skills and knowledge to properly assess cloud services and perform effective audits.</t>
        </is>
      </c>
      <c r="O197" s="8" t="inlineStr">
        <is>
          <t>41. Considering that cloud services present a high level of technical complexity and raise specific jurisdictional challenges, the staff performing the audit – being the internal auditors of the firm or auditors acting on its behalf – should have the right skills and knowledge to properly assess the relevant cloud services and perform effective and relevant audit. This should also apply to the firms' staff reviewing the certifications or audit reports provided by the CSP.</t>
        </is>
      </c>
    </row>
    <row r="198">
      <c r="A198" t="inlineStr">
        <is>
          <t>GDPR</t>
        </is>
      </c>
      <c r="B198" t="inlineStr">
        <is>
          <t>esma_cloud_guidelines (GDPR - Row 8)</t>
        </is>
      </c>
      <c r="C198" t="inlineStr">
        <is>
          <t>42</t>
        </is>
      </c>
      <c r="D198" s="8" t="inlineStr">
        <is>
          <t>If sub-outsourcing of critical or important functions (or material parts thereof) is</t>
        </is>
      </c>
      <c r="E198" t="inlineStr">
        <is>
          <t>20</t>
        </is>
      </c>
      <c r="F198" t="inlineStr">
        <is>
          <t>Other</t>
        </is>
      </c>
      <c r="G198" t="inlineStr">
        <is>
          <t>High</t>
        </is>
      </c>
      <c r="H198" t="inlineStr">
        <is>
          <t>High</t>
        </is>
      </c>
      <c r="I198" s="8" t="inlineStr">
        <is>
          <t>Outsourcing, Third Party Processing, Cloud Services, Data Storage, Data Residency, Security, Access Control, Incident Reporting, Breach Notification, Governance, Record Keeping</t>
        </is>
      </c>
      <c r="J198" s="8" t="inlineStr">
        <is>
          <t>Personal Information, Customer Data, Employee Data, Financial Data</t>
        </is>
      </c>
      <c r="K198" t="inlineStr"/>
      <c r="L198" s="8" t="inlineStr">
        <is>
          <t>This section requires cloud outsourcing agreements to specify conditions for sub-outsourcing, including the CSP's accountability, notification obligations, and the firm's right to object or approve sub-outsourcing.</t>
        </is>
      </c>
      <c r="M198" s="8" t="inlineStr">
        <is>
          <t>This section is relevant to DTIA as it mandates that sub-outsourcing is subject to specific conditions, including notification, accountability, and approval rights, ensuring compliance with data protection standards.</t>
        </is>
      </c>
      <c r="N198" s="8" t="inlineStr">
        <is>
          <t>[Must] Cloud outsourcing agreements must specify any part or aspect of the outsourced function that are excluded from potential sub-outsourcing.
[Must] Cloud outsourcing agreements must indicate the conditions to be complied with in case of sub-outsourcing.
[Must] Cloud outsourcing agreements must specify that the CSP remains accountable and is obliged to oversee those services that it has sub-outsourced to ensure all contractual obligations are met.
[Must] Cloud outsourcing agreements must include an obligation for the CSP to notify the firm of any intended sub-outsourcing or material changes thereof, particularly where it might affect the CSP's ability to meet its obligations.
[Must] Cloud outsourcing agreements must allow the firm to object to the intended sub-outsourcing or material changes thereof or require explicit approval before they come into effect.
[Must] Cloud outsourcing agreements must allow the firm to terminate the arrangement if it objects to the proposed sub-outsourcing or material changes and if the CSP proceeds without notification or seriously infringes the conditions.</t>
        </is>
      </c>
      <c r="O198" s="8" t="inlineStr">
        <is>
          <t>42. If sub-outsourcing of critical or important functions (or material parts thereof) is permitted, the cloud outsourcing written agreement between the firm and the CSP should: a) specify any part or aspect of the outsourced function that are excluded from potential sub-outsourcing; b) indicate the conditions to be complied with in case of sub-outsourcing; c) specify that the CSP remains accountable and is obliged to oversee those services that it has sub-outsourced to ensure that all contractual obligations between the CSP and the firm are continuously met; d) include an obligation for the CSP to notify the firm of any intended sub-outsourcing, or material changes thereof, in particular where that might affect the ability of the CSP to meet its obligations under the cloud outsourcing arrangement with the firm. The notification period set in the written agreement should allow the firm sufficient time at least to carry out a risk assessment of the proposed sub-outsourcing or material changes thereof and to object to or explicitly approve them, as indicated in point (e) below; e) ensure that the firm has the right to object to the intended sub-outsourcing, or material changes thereof, or that explicit approval is required before the proposed sub-outsourcing or material changes come into effect; f) ensure that the firm has the contractual right to terminate the cloud outsourcing arrangement with the CSP in case it objects to the proposed sub-outsourcing or material changes thereof and in case of undue sub-outsourcing (for example where the CSP proceeds with the sub-outsourcing without notifying the firm or it seriously infringes the conditions of the sub-outsourcing specified in the outsourcing agreement).</t>
        </is>
      </c>
    </row>
    <row r="199">
      <c r="A199" t="inlineStr">
        <is>
          <t>GDPR</t>
        </is>
      </c>
      <c r="B199" t="inlineStr">
        <is>
          <t>esma_cloud_guidelines (GDPR - Row 8)</t>
        </is>
      </c>
      <c r="C199" t="inlineStr">
        <is>
          <t>44</t>
        </is>
      </c>
      <c r="D199" s="8" t="inlineStr">
        <is>
          <t>The firm should notify in writing its competent authority in a timely manner of planned</t>
        </is>
      </c>
      <c r="E199" t="inlineStr">
        <is>
          <t>20</t>
        </is>
      </c>
      <c r="F199" t="inlineStr">
        <is>
          <t>Other</t>
        </is>
      </c>
      <c r="G199" t="inlineStr">
        <is>
          <t>High</t>
        </is>
      </c>
      <c r="H199" t="inlineStr">
        <is>
          <t>High</t>
        </is>
      </c>
      <c r="I199" s="8" t="inlineStr">
        <is>
          <t>Outsourcing, Third Party Processing, Cloud Services, Data Storage, Data Residency, Security, Access Control, Incident Reporting, Breach Notification, Governance, Record Keeping</t>
        </is>
      </c>
      <c r="J199" s="8" t="inlineStr">
        <is>
          <t>Personal Information, Customer Data, Employee Data, Financial Data</t>
        </is>
      </c>
      <c r="K199" t="inlineStr"/>
      <c r="L199" s="8" t="inlineStr">
        <is>
          <t>This section requires firms to notify their competent authority in writing in a timely manner of planned cloud outsourcing arrangements that concern critical or important functions, or functions that were previously non-critical but have become critical or important.</t>
        </is>
      </c>
      <c r="M199" s="8" t="inlineStr">
        <is>
          <t>This section is relevant to DTIA as it mandates that firms notify competent authorities of planned cloud outsourcing arrangements involving critical or important functions, ensuring transparency and compliance with data protection standards.</t>
        </is>
      </c>
      <c r="N199" s="8" t="inlineStr">
        <is>
          <t>[Must] Firms must notify their competent authority in writing in a timely manner of planned cloud outsourcing arrangements that concern critical or important functions.
[Must] Firms must also notify their competent authority in writing in a timely manner of cloud outsourcing arrangements that concern functions previously classified as non-critical or non-important but have become critical or important.</t>
        </is>
      </c>
      <c r="O199" s="8" t="inlineStr">
        <is>
          <t>44. The firm should notify in writing its competent authority in a timely manner of planned cloud outsourcing arrangements that concern a critical or important function. The firm should also notify in a timely manner and in writing its competent authority of those cloud outsourcing arrangements that concern a function that was previously classified as non-critical or non-important and then became critical or important.</t>
        </is>
      </c>
    </row>
    <row r="200">
      <c r="A200" t="inlineStr">
        <is>
          <t>GDPR</t>
        </is>
      </c>
      <c r="B200" t="inlineStr">
        <is>
          <t>esma_cloud_guidelines (GDPR - Row 8)</t>
        </is>
      </c>
      <c r="C200" t="inlineStr">
        <is>
          <t>45</t>
        </is>
      </c>
      <c r="D200" s="8" t="inlineStr">
        <is>
          <t>The firm's written notification should include, taking into account the principle of</t>
        </is>
      </c>
      <c r="E200" t="inlineStr">
        <is>
          <t>20–21</t>
        </is>
      </c>
      <c r="F200" t="inlineStr">
        <is>
          <t>Cloud Services</t>
        </is>
      </c>
      <c r="G200" t="inlineStr">
        <is>
          <t>High</t>
        </is>
      </c>
      <c r="H200" t="inlineStr">
        <is>
          <t>High</t>
        </is>
      </c>
      <c r="I200" s="8" t="inlineStr">
        <is>
          <t>Cloud Services, Outsourcing, Data Storage, Incident Reporting</t>
        </is>
      </c>
      <c r="J200" s="8" t="inlineStr">
        <is>
          <t>Financial Data</t>
        </is>
      </c>
      <c r="K200" t="inlineStr">
        <is>
          <t>Competent authorities</t>
        </is>
      </c>
      <c r="L200" s="8" t="inlineStr">
        <is>
          <t>Section 45 requires firms to provide detailed written notifications when outsourcing cloud services. The notification must include specific information about the outsourcing agreement, the CSP, the data stored, and the risk assessments conducted. This ensures transparency and allows regulators to assess the risks involved.</t>
        </is>
      </c>
      <c r="M200" s="8" t="inlineStr">
        <is>
          <t>Section 45 is critical for DTIAs as it mandates detailed documentation of cloud outsourcing arrangements, including data storage locations and risk assessments, which are essential for evaluating cross-border data transfers and compliance with GDPR requirements.</t>
        </is>
      </c>
      <c r="N200" s="8" t="inlineStr">
        <is>
          <t>[Must] The firm's written notification should include, taking into account the principle of proportionality, at least the following information: the start date of the cloud outsourcing agreement and, as applicable, the next contract renewal date, the end date and/or notice periods for the CSP and for the firm.
[Must] A brief description of the outsourced function.
[Must] A brief summary of the reasons why the outsourced function is considered critical or important.
[Must] The name and the brand name (if any) of the CSP, its country of registration, its corporate registration number, its legal entity identifier (where available), its registered address, its relevant contact details, and the name of its parent company (if any).
[Must] The governing law of the cloud outsourcing agreement and, if any, the choice of jurisdiction.
[Must] The cloud deployment models and the specific nature of the data to be held by the CSP and the locations (namely regions or countries) where such data will be stored.
[Must] The date of the most recent assessment of the criticality or importance of the outsourced function.
[Must] The date of the most recent risk assessment or audit of the CSP together with a brief summary of the main results, and the date of the next planned risk assessment or audit.
[Must] The individual or decision-making body in the firm that approved the cloud outsourcing arrangement.
[Must] Where applicable, the names of any sub-outsourcer to which material parts of a critical or important function are sub-outsourced, including the country or region where the sub-outsourcers are registered, where the sub-outsourced service will be performed, and where the data will be stored.</t>
        </is>
      </c>
      <c r="O200" s="8" t="inlineStr">
        <is>
          <t>The firm's written notification should include, taking into account the principle of proportionality, at least the following information: the start date of the cloud outsourcing agreement and, as applicable, the next contract renewal date, the end date and/or notice periods for the CSP and for the firm;</t>
        </is>
      </c>
    </row>
    <row r="201">
      <c r="A201" t="inlineStr">
        <is>
          <t>GDPR</t>
        </is>
      </c>
      <c r="B201" t="inlineStr">
        <is>
          <t>esma_cloud_guidelines (GDPR - Row 8)</t>
        </is>
      </c>
      <c r="C201" t="inlineStr">
        <is>
          <t>46</t>
        </is>
      </c>
      <c r="D201" s="8" t="inlineStr">
        <is>
          <t>Competent authorities should assess the risks arising from firms' cloud outsourcing</t>
        </is>
      </c>
      <c r="E201" t="inlineStr">
        <is>
          <t>21</t>
        </is>
      </c>
      <c r="F201" t="inlineStr">
        <is>
          <t>Cloud Services</t>
        </is>
      </c>
      <c r="G201" t="inlineStr">
        <is>
          <t>High</t>
        </is>
      </c>
      <c r="H201" t="inlineStr">
        <is>
          <t>High</t>
        </is>
      </c>
      <c r="I201" s="8" t="inlineStr">
        <is>
          <t>Cloud Services</t>
        </is>
      </c>
      <c r="J201" s="8" t="inlineStr"/>
      <c r="K201" t="inlineStr">
        <is>
          <t>Competent authorities</t>
        </is>
      </c>
      <c r="L201" s="8" t="inlineStr">
        <is>
          <t>Section 46 mandates that competent authorities assess the risks associated with firms' cloud outsourcing arrangements, particularly those involving the outsourcing of critical or important functions. This ensures that regulatory oversight is maintained and potential risks are identified.</t>
        </is>
      </c>
      <c r="M201" s="8" t="inlineStr">
        <is>
          <t>Section 46 is relevant to DTIAs as it requires competent authorities to evaluate the risks of cloud outsourcing, especially for critical functions, which impacts the assessment of cross-border data transfers and regulatory compliance.</t>
        </is>
      </c>
      <c r="N201" s="8" t="inlineStr">
        <is>
          <t>[Must] Competent authorities should assess the risks arising from firms' cloud outsourcing arrangements as part of their supervisory process. In particular, this assessment should focus on the arrangements that relate to the outsourcing of critical or important functions.</t>
        </is>
      </c>
      <c r="O201" s="8" t="inlineStr">
        <is>
          <t>Competent authorities should assess the risks arising from firms' cloud outsourcing arrangements as part of their supervisory process.</t>
        </is>
      </c>
    </row>
    <row r="202">
      <c r="A202" t="inlineStr">
        <is>
          <t>GDPR</t>
        </is>
      </c>
      <c r="B202" t="inlineStr">
        <is>
          <t>esma_cloud_guidelines (GDPR - Row 8)</t>
        </is>
      </c>
      <c r="C202" t="inlineStr">
        <is>
          <t>47</t>
        </is>
      </c>
      <c r="D202" s="8" t="inlineStr">
        <is>
          <t>Competent authorities should be satisfied that they are able to perform effective</t>
        </is>
      </c>
      <c r="E202" t="inlineStr">
        <is>
          <t>21</t>
        </is>
      </c>
      <c r="F202" t="inlineStr">
        <is>
          <t>Cloud Services</t>
        </is>
      </c>
      <c r="G202" t="inlineStr">
        <is>
          <t>High</t>
        </is>
      </c>
      <c r="H202" t="inlineStr">
        <is>
          <t>High</t>
        </is>
      </c>
      <c r="I202" s="8" t="inlineStr">
        <is>
          <t>Cloud Services, Data Residency</t>
        </is>
      </c>
      <c r="J202" s="8" t="inlineStr"/>
      <c r="K202" t="inlineStr">
        <is>
          <t>Competent authorities</t>
        </is>
      </c>
      <c r="L202" s="8" t="inlineStr">
        <is>
          <t>Section 47 requires competent authorities to ensure they can perform effective supervision, especially when firms outsource critical or important functions outside the EU. This ensures that regulatory oversight remains robust and that potential risks are managed.</t>
        </is>
      </c>
      <c r="M202" s="8" t="inlineStr">
        <is>
          <t>Section 47 is relevant to DTIAs as it emphasizes the need for competent authorities to maintain effective supervision of cloud outsourcing, particularly when functions are outsourced outside the EU, which affects cross-border data transfer compliance.</t>
        </is>
      </c>
      <c r="N202" s="8" t="inlineStr">
        <is>
          <t>[Must] Competent authorities should be satisfied that they are able to perform effective supervision, in particular when firms outsource critical or important functions that are performed outside the EU.</t>
        </is>
      </c>
      <c r="O202" s="8" t="inlineStr">
        <is>
          <t>Competent authorities should be satisfied that they are able to perform effective supervision, in particular when firms outsource critical or important functions that are performed outside the EU.</t>
        </is>
      </c>
    </row>
    <row r="203">
      <c r="A203" t="inlineStr">
        <is>
          <t>GDPR</t>
        </is>
      </c>
      <c r="B203" t="inlineStr">
        <is>
          <t>esma_cloud_guidelines (GDPR - Row 8)</t>
        </is>
      </c>
      <c r="C203" t="inlineStr">
        <is>
          <t>48</t>
        </is>
      </c>
      <c r="D203" s="8" t="inlineStr">
        <is>
          <t>Competent authorities should assess on a risk-based approach whether firms:</t>
        </is>
      </c>
      <c r="E203" t="inlineStr">
        <is>
          <t>21</t>
        </is>
      </c>
      <c r="F203" t="inlineStr">
        <is>
          <t>Cloud Services</t>
        </is>
      </c>
      <c r="G203" t="inlineStr">
        <is>
          <t>High</t>
        </is>
      </c>
      <c r="H203" t="inlineStr">
        <is>
          <t>High</t>
        </is>
      </c>
      <c r="I203" s="8" t="inlineStr">
        <is>
          <t>Cloud Services, Governance</t>
        </is>
      </c>
      <c r="J203" s="8" t="inlineStr"/>
      <c r="K203" t="inlineStr">
        <is>
          <t>Competent authorities</t>
        </is>
      </c>
      <c r="L203" s="8" t="inlineStr">
        <is>
          <t>Section 48 requires competent authorities to assess whether firms have appropriate governance, resources, and processes in place to manage cloud outsourcing arrangements. This includes identifying and managing all relevant risks.</t>
        </is>
      </c>
      <c r="M203" s="8" t="inlineStr">
        <is>
          <t>Section 48 is relevant to DTIAs as it mandates that competent authorities evaluate firms' governance and risk management practices for cloud outsourcing, which is essential for assessing the security and compliance of cross-border data transfers.</t>
        </is>
      </c>
      <c r="N203" s="8" t="inlineStr">
        <is>
          <t>[Must] Competent authorities should assess on a risk-based approach whether firms: have in place the relevant governance, resources and operational processes to appropriately and effectively enter into, implement, and oversee cloud outsourcing arrangements.
[Must] Competent authorities should assess on a risk-based approach whether firms: identify and manage all relevant risks related to cloud outsourcing.</t>
        </is>
      </c>
      <c r="O203" s="8" t="inlineStr">
        <is>
          <t>Competent authorities should assess on a risk-based approach whether firms: have in place the relevant governance, resources and operational processes to appropriately and effectively enter into, implement, and oversee cloud outsourcing arrangements;</t>
        </is>
      </c>
    </row>
    <row r="204">
      <c r="A204" t="inlineStr">
        <is>
          <t>GDPR</t>
        </is>
      </c>
      <c r="B204" t="inlineStr">
        <is>
          <t>esma_cloud_guidelines (GDPR - Row 8)</t>
        </is>
      </c>
      <c r="C204" t="inlineStr">
        <is>
          <t>49</t>
        </is>
      </c>
      <c r="D204" s="8" t="inlineStr">
        <is>
          <t>Where concentration risks are identified, competent authorities should monitor the</t>
        </is>
      </c>
      <c r="E204" t="inlineStr">
        <is>
          <t>21</t>
        </is>
      </c>
      <c r="F204" t="inlineStr">
        <is>
          <t>Cloud Services</t>
        </is>
      </c>
      <c r="G204" t="inlineStr">
        <is>
          <t>High</t>
        </is>
      </c>
      <c r="H204" t="inlineStr">
        <is>
          <t>High</t>
        </is>
      </c>
      <c r="I204" s="8" t="inlineStr">
        <is>
          <t>Cloud Services</t>
        </is>
      </c>
      <c r="J204" s="8" t="inlineStr"/>
      <c r="K204" t="inlineStr">
        <is>
          <t>Competent authorities</t>
        </is>
      </c>
      <c r="L204" s="8" t="inlineStr">
        <is>
          <t>Section 49 requires competent authorities to monitor and evaluate concentration risks associated with cloud outsourcing, particularly their potential impact on other firms and the stability of the financial market.</t>
        </is>
      </c>
      <c r="M204" s="8" t="inlineStr">
        <is>
          <t>Section 49 is relevant to DTIAs as it mandates monitoring of concentration risks in cloud outsourcing, which affects the assessment of cross-border data transfers and the stability of financial systems.</t>
        </is>
      </c>
      <c r="N204" s="8" t="inlineStr">
        <is>
          <t>[Must] Where concentration risks are identified, competent authorities should monitor the development of such risks and evaluate both their potential impact on other firms they supervise and the stability of the financial market.</t>
        </is>
      </c>
      <c r="O204" s="8" t="inlineStr">
        <is>
          <t>Where concentration risks are identified, competent authorities should monitor the development of such risks and evaluate both their potential impact on other firms they supervise and the stability of the financial market.</t>
        </is>
      </c>
    </row>
    <row r="205">
      <c r="A205" t="inlineStr">
        <is>
          <t>India</t>
        </is>
      </c>
      <c r="B205" t="inlineStr">
        <is>
          <t>Guidelines on Information and Cyber Security (India - Row 8)</t>
        </is>
      </c>
      <c r="C205" t="inlineStr">
        <is>
          <t>1</t>
        </is>
      </c>
      <c r="D205" s="8" t="inlineStr">
        <is>
          <t>Reference is drawn to Point no. 3 on "Applicability" of Guidelines on Information and</t>
        </is>
      </c>
      <c r="E205" t="inlineStr">
        <is>
          <t>1</t>
        </is>
      </c>
      <c r="F205" t="inlineStr">
        <is>
          <t>Other</t>
        </is>
      </c>
      <c r="G205" t="inlineStr">
        <is>
          <t>Medium</t>
        </is>
      </c>
      <c r="H205" t="inlineStr">
        <is>
          <t>High (explicit)</t>
        </is>
      </c>
      <c r="I205" s="8" t="inlineStr"/>
      <c r="J205" s="8" t="inlineStr"/>
      <c r="K205" t="inlineStr">
        <is>
          <t>IRDAI</t>
        </is>
      </c>
      <c r="L205" s="8" t="inlineStr">
        <is>
          <t>This section references Point 3 on 'Applicability' of the Guidelines on Information and Cyber Security for Insurers, stating that the guidelines apply to all insurers regulated by the Insurance Regulatory and Development Authority of India (IRDAI).</t>
        </is>
      </c>
      <c r="M205" s="8" t="inlineStr"/>
      <c r="N205" s="8" t="inlineStr">
        <is>
          <t>[Must] this guidelines document is applicable to all insurers regulated by Insurance Regulatory and Development Authority of India (IRDAI)</t>
        </is>
      </c>
      <c r="O205" s="8" t="inlineStr">
        <is>
          <t>1. Reference is drawn to Point no. 3 on "Applicability" of Guidelines on Information and Cyber Security for Insurers dated 07.04.2017 read as "this guidelines document is applicable to all insurers regulated by Insurance Regulatory and Development Authority of India (IRDAI)."</t>
        </is>
      </c>
    </row>
    <row r="206">
      <c r="A206" t="inlineStr">
        <is>
          <t>India</t>
        </is>
      </c>
      <c r="B206" t="inlineStr">
        <is>
          <t>Guidelines on Information and Cyber Security (India - Row 8)</t>
        </is>
      </c>
      <c r="C206" t="inlineStr">
        <is>
          <t>2</t>
        </is>
      </c>
      <c r="D206" s="8" t="inlineStr">
        <is>
          <t>It has been decided by the Authority to extend the applicability of said guidelines to all</t>
        </is>
      </c>
      <c r="E206" t="inlineStr">
        <is>
          <t>1</t>
        </is>
      </c>
      <c r="F206" t="inlineStr">
        <is>
          <t>Other</t>
        </is>
      </c>
      <c r="G206" t="inlineStr">
        <is>
          <t>Medium</t>
        </is>
      </c>
      <c r="H206" t="inlineStr">
        <is>
          <t>High (explicit)</t>
        </is>
      </c>
      <c r="I206" s="8" t="inlineStr"/>
      <c r="J206" s="8" t="inlineStr"/>
      <c r="K206" t="inlineStr">
        <is>
          <t>IRDAI</t>
        </is>
      </c>
      <c r="L206" s="8" t="inlineStr">
        <is>
          <t>This section states that the Authority has decided to extend the applicability of the guidelines to all Insurance Intermediaries with immediate effect.</t>
        </is>
      </c>
      <c r="M206" s="8" t="inlineStr"/>
      <c r="N206" s="8" t="inlineStr">
        <is>
          <t>[Must] It has been decided by the Authority to extend the applicability of said guidelines to all Insurance Intermediaries with immediate effect.</t>
        </is>
      </c>
      <c r="O206" s="8" t="inlineStr">
        <is>
          <t>2. It has been decided by the Authority to extend the applicability of said guidelines to all Insurance Intermediaries with immediate effect.</t>
        </is>
      </c>
    </row>
    <row r="207">
      <c r="A207" t="inlineStr">
        <is>
          <t>India</t>
        </is>
      </c>
      <c r="B207" t="inlineStr">
        <is>
          <t>NT75589AC4A988D446CA94182886F6D8EADD (India - Row 13) PROVISIONALLY</t>
        </is>
      </c>
      <c r="C207" t="inlineStr">
        <is>
          <t>3</t>
        </is>
      </c>
      <c r="D207" s="8" t="inlineStr">
        <is>
          <t>All other instructions in this regard shall remain unchanged.</t>
        </is>
      </c>
      <c r="E207" t="inlineStr">
        <is>
          <t>1–2</t>
        </is>
      </c>
      <c r="F207" t="inlineStr">
        <is>
          <t>Other</t>
        </is>
      </c>
      <c r="G207" t="inlineStr">
        <is>
          <t>None</t>
        </is>
      </c>
      <c r="H207" t="inlineStr">
        <is>
          <t>High (explicit)</t>
        </is>
      </c>
      <c r="I207" s="8" t="inlineStr"/>
      <c r="J207" s="8" t="inlineStr"/>
      <c r="K207" t="inlineStr">
        <is>
          <t>Reserve Bank of India</t>
        </is>
      </c>
      <c r="L207" s="8" t="inlineStr">
        <is>
          <t>This section states that all other instructions related to the matter remain unchanged. It serves as a procedural instruction to maintain consistency with existing directives without introducing new amendments. The instruction applies to the Reserve Bank of India's regulatory framework for deposit interest rates.</t>
        </is>
      </c>
      <c r="M207" s="8" t="inlineStr"/>
      <c r="N207" s="8" t="inlineStr">
        <is>
          <t>[Must] All other instructions in this regard shall remain unchanged.</t>
        </is>
      </c>
      <c r="O207" s="8" t="inlineStr">
        <is>
          <t>All other instructions in this regard shall remain unchanged.</t>
        </is>
      </c>
    </row>
    <row r="208">
      <c r="A208" t="inlineStr">
        <is>
          <t>India</t>
        </is>
      </c>
      <c r="B208" t="inlineStr">
        <is>
          <t>RBI Master Direction on Information Technology Framework for NBFC Sector (2017) (India - Row 15)</t>
        </is>
      </c>
      <c r="C208" t="inlineStr">
        <is>
          <t>2</t>
        </is>
      </c>
      <c r="D208" s="8" t="inlineStr">
        <is>
          <t>As you are aware, the Income Declaration Scheme, 2016 (the Scheme)   has</t>
        </is>
      </c>
      <c r="E208" t="inlineStr">
        <is>
          <t>1</t>
        </is>
      </c>
      <c r="F208" t="inlineStr">
        <is>
          <t>Other</t>
        </is>
      </c>
      <c r="G208" t="inlineStr">
        <is>
          <t>Low</t>
        </is>
      </c>
      <c r="H208" t="inlineStr">
        <is>
          <t>High (explicit)</t>
        </is>
      </c>
      <c r="I208" s="8" t="inlineStr"/>
      <c r="J208" s="8" t="inlineStr"/>
      <c r="K208" t="inlineStr"/>
      <c r="L208" s="8" t="inlineStr">
        <is>
          <t>This section acknowledges the implementation of the Income Declaration Scheme, 2016 starting June 1, 2016, and notes that some declarants may wish to pay tax dues in cash. It highlights that banks are hesitant to accept large cash deposits for government accounts under this scheme.</t>
        </is>
      </c>
      <c r="M208" s="8" t="inlineStr"/>
      <c r="N208" s="8" t="inlineStr">
        <is>
          <t>[Information] As you are aware, the Income Declaration Scheme, 2016 (the Scheme) has come into effect from June 1, 2016
[Information] some declarants may like to pay their tax dues in cash</t>
        </is>
      </c>
      <c r="O208" s="8" t="inlineStr">
        <is>
          <t>2. As you are aware, the Income Declaration Scheme, 2016 (the Scheme) has come into effect from June 1, 2016 and some declarants may like to pay their tax dues in cash.</t>
        </is>
      </c>
    </row>
    <row r="209">
      <c r="A209" t="inlineStr">
        <is>
          <t>India</t>
        </is>
      </c>
      <c r="B209" t="inlineStr">
        <is>
          <t>RBI Master Direction on Information Technology Framework for NBFC Sector (2017) (India - Row 15)</t>
        </is>
      </c>
      <c r="C209" t="inlineStr">
        <is>
          <t>3</t>
        </is>
      </c>
      <c r="D209" s="8" t="inlineStr">
        <is>
          <t>We advise that banks must invariably accept cash, irrespective of amount, over</t>
        </is>
      </c>
      <c r="E209" t="inlineStr">
        <is>
          <t>1–2</t>
        </is>
      </c>
      <c r="F209" t="inlineStr">
        <is>
          <t>Other</t>
        </is>
      </c>
      <c r="G209" t="inlineStr">
        <is>
          <t>High</t>
        </is>
      </c>
      <c r="H209" t="inlineStr">
        <is>
          <t>High (explicit)</t>
        </is>
      </c>
      <c r="I209" s="8" t="inlineStr">
        <is>
          <t>Customer Information, KYC, AML</t>
        </is>
      </c>
      <c r="J209" s="8" t="inlineStr"/>
      <c r="K209" t="inlineStr">
        <is>
          <t>RBI</t>
        </is>
      </c>
      <c r="L209" s="8" t="inlineStr">
        <is>
          <t>Banks must accept cash deposits of any amount from declarants at counters, including those under the Income Declaration Scheme via challan ITNS-286. Banks must also comply with Know Your Customer (KYC) requirements for all customers and walk-in customers as per the Master Direction on KYC.</t>
        </is>
      </c>
      <c r="M209" s="8" t="inlineStr"/>
      <c r="N209" s="8" t="inlineStr">
        <is>
          <t>[Must] banks must invariably accept cash, irrespective of amount, over the counters from all declarants who desire to deposit cash at the counters
[Condition] including deposits under the above Scheme through challan ITNS-286
[Must] banks shall comply with the Know Your Customer requirements for customers and walk-in customers as contained in Master Direction – Know Your Customer Withdrawn Direction, 2016</t>
        </is>
      </c>
      <c r="O209" s="8" t="inlineStr">
        <is>
          <t>3. We advise that banks must invariably accept cash, irrespective of amount, over the counters from all declarants who desire to deposit cash at the counters, including deposits under the above Scheme through challan ITNS-286.</t>
        </is>
      </c>
    </row>
    <row r="210">
      <c r="A210" t="inlineStr">
        <is>
          <t>India</t>
        </is>
      </c>
      <c r="B210" t="inlineStr">
        <is>
          <t>RBI Payment Data Localisation Requirement (India - Row 17)</t>
        </is>
      </c>
      <c r="C210" t="inlineStr">
        <is>
          <t>2</t>
        </is>
      </c>
      <c r="D210" s="8" t="inlineStr">
        <is>
          <t>It is observed that not all system providers store the payments data in India. In order to ensure</t>
        </is>
      </c>
      <c r="E210" t="inlineStr">
        <is>
          <t>1</t>
        </is>
      </c>
      <c r="F210" t="inlineStr">
        <is>
          <t>Data Storage</t>
        </is>
      </c>
      <c r="G210" t="inlineStr">
        <is>
          <t>High</t>
        </is>
      </c>
      <c r="H210" t="inlineStr">
        <is>
          <t>High (explicit)</t>
        </is>
      </c>
      <c r="I210" s="8" t="inlineStr">
        <is>
          <t>Data Storage, Cross-border Transfer</t>
        </is>
      </c>
      <c r="J210" s="8" t="inlineStr"/>
      <c r="K210" t="inlineStr">
        <is>
          <t>Reserve Bank of India</t>
        </is>
      </c>
      <c r="L210" s="8" t="inlineStr">
        <is>
          <t>This section mandates that all system providers in India must store their entire payment system data within the country, including end-to-end transaction details. Foreign leg data may be stored abroad if necessary. System providers must comply within six months and report compliance by October 15, 2018, while submitting a System Audit Report certified by CERT-IN auditors by December 31, 2018.</t>
        </is>
      </c>
      <c r="M210" s="8" t="inlineStr">
        <is>
          <t>Requires payment data to be stored exclusively in India (with limited exceptions for foreign transactions), necessitating data localization for DTIA assessments to ensure compliance with Indian data residency requirements.</t>
        </is>
      </c>
      <c r="N210" s="8" t="inlineStr">
        <is>
          <t>[Must] All system providers shall ensure that the entire data relating to payment systems operated by them are stored in a system only in India.
[Must] The data should include the full end-to-end transaction details / information collected / carried / processed as part of the message / payment instruction.
[May] For the foreign leg of the transaction, if any, the data can also be stored in the foreign country, if required.
[Must] System providers shall ensure compliance of (i) above within a period of six months and report compliance of the same to the Reserve Bank latest by October 15, 2018.
[Must] System providers shall submit the System Audit Report (SAR) on completion of the requirement at (i) above.
[Must] The audit should be conducted by CERT-IN empaneled auditors certifying completion of activity at (i) above.
[Must] The SAR duly approved by the Board of the system providers should be submitted to the Reserve Bank not later than December 31, 2018.</t>
        </is>
      </c>
      <c r="O210" s="8" t="inlineStr">
        <is>
          <t>2. It is observed that not all system providers store the payments data in India. In order to ensure better monitoring, it is important to have unfettered supervisory access to data stored with these system providers as also with their service providers / intermediaries/ third party vendors and other entities in the payment ecosystem.</t>
        </is>
      </c>
    </row>
    <row r="211">
      <c r="A211" t="inlineStr">
        <is>
          <t>India</t>
        </is>
      </c>
      <c r="B211" t="inlineStr">
        <is>
          <t>RBI Payment Data Localisation Requirement (India - Row 17)</t>
        </is>
      </c>
      <c r="C211" t="inlineStr">
        <is>
          <t>2018</t>
        </is>
      </c>
      <c r="D211" s="8" t="inlineStr">
        <is>
          <t>3. The directive is issued under Section 10(2) read with Section 18 of Payment and Settlement</t>
        </is>
      </c>
      <c r="E211" t="inlineStr">
        <is>
          <t>1</t>
        </is>
      </c>
      <c r="F211" t="inlineStr">
        <is>
          <t>Other</t>
        </is>
      </c>
      <c r="G211" t="inlineStr">
        <is>
          <t>None</t>
        </is>
      </c>
      <c r="H211" t="inlineStr">
        <is>
          <t>High (explicit)</t>
        </is>
      </c>
      <c r="I211" s="8" t="inlineStr"/>
      <c r="J211" s="8" t="inlineStr"/>
      <c r="K211" t="inlineStr"/>
      <c r="L211" s="8" t="inlineStr">
        <is>
          <t>This section states that the directive is issued under Section 10(2) read with Section 18 of the Payment and Settlement Systems Act 2007 (Act 51 of 2007).</t>
        </is>
      </c>
      <c r="M211" s="8" t="inlineStr"/>
      <c r="N211" s="8" t="inlineStr">
        <is>
          <t>[Authorisation] The directive is issued under Section 10(2) read with Section 18 of Payment and Settlement Systems Act 2007, (Act 51 of 2007).</t>
        </is>
      </c>
      <c r="O211" s="8" t="inlineStr">
        <is>
          <t>3. The directive is issued under Section 10(2) read with Section 18 of Payment and Settlement Systems Act 2007, (Act 51 of 2007).</t>
        </is>
      </c>
    </row>
    <row r="212">
      <c r="A212" t="inlineStr">
        <is>
          <t>India</t>
        </is>
      </c>
      <c r="B212" t="inlineStr">
        <is>
          <t>guidelines-on-cyber-security-and-cyber-resilience-for-regulated-entities-in-ifscs-1-10032025064412 (India - Row 5)</t>
        </is>
      </c>
      <c r="C212" t="inlineStr">
        <is>
          <t>1</t>
        </is>
      </c>
      <c r="D212" s="8" t="inlineStr">
        <is>
          <t>As the IFSC continues to evolve as a global ϐinancial hub, the sophistication of cyber</t>
        </is>
      </c>
      <c r="E212" t="inlineStr">
        <is>
          <t>1–2</t>
        </is>
      </c>
      <c r="F212" t="inlineStr">
        <is>
          <t>Governance</t>
        </is>
      </c>
      <c r="G212" t="inlineStr">
        <is>
          <t>High</t>
        </is>
      </c>
      <c r="H212" t="inlineStr">
        <is>
          <t>High (explicit)</t>
        </is>
      </c>
      <c r="I212" s="8" t="inlineStr"/>
      <c r="J212" s="8" t="inlineStr">
        <is>
          <t>Financial Data</t>
        </is>
      </c>
      <c r="K212" t="inlineStr">
        <is>
          <t>IFSCA</t>
        </is>
      </c>
      <c r="L212" s="8" t="inlineStr">
        <is>
          <t>This section establishes that financial entities operating in the GIFT IFSC must maintain robust cybersecurity to protect against threats targeting financial transactions, data breaches, and critical infrastructure disruptions. It emphasizes that cybersecurity is foundational for the stability and credibility of financial services in the jurisdiction and outlines that the International Financial Services Centres Authority (IFSCA) will set expectations for regulated entities (REs), which include any entity licensed, recognized, registered, or authorized by IFSCA. Implementation must follow proportionality based on operational scale, activity nature, ecosystem interconnectedness, and cyber risks.</t>
        </is>
      </c>
      <c r="M212" s="8" t="inlineStr">
        <is>
          <t>This section sets the foundational cybersecurity expectations for financial entities in the IFSC, requiring robust measures to protect against cross-border threats and ensure resilience, which directly impacts data transfer and processing security in international financial operations.</t>
        </is>
      </c>
      <c r="N212" s="8" t="inlineStr">
        <is>
          <t>[Must] The REs shall include any entity which is licensed, recognised, registered or authorised by IFSCA.
[Condition] The implementation of these Guidelines shall be undertaken in accordance with the principle of proportionality, after taking into due consideration the scale and complexity of operations, the nature of the activity the entity is engaged in, its interconnectedness with the financial ecosystem and the corresponding cyber risks the entity is exposed to.</t>
        </is>
      </c>
      <c r="O212" s="8" t="inlineStr">
        <is>
          <t>As the IFSC continues to evolve as a global financial hub, the sophistication of cyber threats targeting financial entities is also expected to grow. In such an international jurisdiction, where institutions cater to a diverse global client base, maintaining robust cyber security becomes fundamental.</t>
        </is>
      </c>
    </row>
    <row r="213">
      <c r="A213" t="inlineStr">
        <is>
          <t>India</t>
        </is>
      </c>
      <c r="B213" t="inlineStr">
        <is>
          <t>guidelines-on-cyber-security-and-cyber-resilience-for-regulated-entities-in-ifscs-1-10032025064412 (India - Row 5)</t>
        </is>
      </c>
      <c r="C213" t="inlineStr">
        <is>
          <t>2</t>
        </is>
      </c>
      <c r="D213" s="8" t="inlineStr">
        <is>
          <t>The key components of the Guidelines are categorized into:</t>
        </is>
      </c>
      <c r="E213" t="inlineStr">
        <is>
          <t>2</t>
        </is>
      </c>
      <c r="F213" t="inlineStr">
        <is>
          <t>Governance</t>
        </is>
      </c>
      <c r="G213" t="inlineStr">
        <is>
          <t>Medium</t>
        </is>
      </c>
      <c r="H213" t="inlineStr">
        <is>
          <t>High (explicit)</t>
        </is>
      </c>
      <c r="I213" s="8" t="inlineStr">
        <is>
          <t>Governance</t>
        </is>
      </c>
      <c r="J213" s="8" t="inlineStr"/>
      <c r="K213" t="inlineStr"/>
      <c r="L213" s="8" t="inlineStr">
        <is>
          <t>This section categorizes the key components of the Guidelines into five areas: Governance, Cyber Security and Cyber Resilience Framework, Third Party Risk Management, Communication &amp; Awareness, and Audit. It specifies that the Governance component involves establishing oversight mechanisms for cyber risk management.</t>
        </is>
      </c>
      <c r="M213" s="8" t="inlineStr"/>
      <c r="N213" s="8" t="inlineStr">
        <is>
          <t>[Must] The key components of the Guidelines are categorized into: Governance, Cyber security and cyber resilience framework, Third party risk management, Communication &amp; awareness, Audit.</t>
        </is>
      </c>
      <c r="O213" s="8" t="inlineStr">
        <is>
          <t>The key components of the Guidelines are categorized into: Governance, Cyber security and cyber resilience framework, Third party risk management, Communication &amp; awareness, Audit.</t>
        </is>
      </c>
    </row>
    <row r="214">
      <c r="A214" t="inlineStr">
        <is>
          <t>India</t>
        </is>
      </c>
      <c r="B214" t="inlineStr">
        <is>
          <t>guidelines-on-cyber-security-and-cyber-resilience-for-regulated-entities-in-ifscs-1-10032025064412 (India - Row 5)</t>
        </is>
      </c>
      <c r="C214" t="inlineStr">
        <is>
          <t>3</t>
        </is>
      </c>
      <c r="D214" s="8" t="inlineStr">
        <is>
          <t>The REs shall have adequate governance mechanisms, with a clear set of roles and</t>
        </is>
      </c>
      <c r="E214" t="inlineStr">
        <is>
          <t>2</t>
        </is>
      </c>
      <c r="F214" t="inlineStr">
        <is>
          <t>Governance</t>
        </is>
      </c>
      <c r="G214" t="inlineStr">
        <is>
          <t>High</t>
        </is>
      </c>
      <c r="H214" t="inlineStr">
        <is>
          <t>High (explicit)</t>
        </is>
      </c>
      <c r="I214" s="8" t="inlineStr">
        <is>
          <t>Governance</t>
        </is>
      </c>
      <c r="J214" s="8" t="inlineStr"/>
      <c r="K214" t="inlineStr">
        <is>
          <t>IFSCA</t>
        </is>
      </c>
      <c r="L214" s="8" t="inlineStr">
        <is>
          <t>This section mandates that regulated entities (REs) must have adequate governance mechanisms with clear roles and responsibilities for cyber risk management. The Oversight Body, which may include the Governing Board, senior management personnel such as the Managing Director, Chief Executive Officer, Chief Information Security Officer, Chief Technology Officer, and designated committees, collectively manages cyber risk within the entity.</t>
        </is>
      </c>
      <c r="M214" s="8" t="inlineStr"/>
      <c r="N214" s="8" t="inlineStr">
        <is>
          <t>[Must] The REs shall have adequate governance mechanisms, with a clear set of roles and responsibilities to manage cyber risk.
[Must] The set of stakeholders involved in the governance of an RE's cyber risk management mechanism shall collectively be referred to as the 'Oversight Body' of the RE and may include one or more of the following: Governing Board, Senior management personnel which include the Managing Director (MD), Chief Executive Officer (CEO), Chief Information Security Officer (CISO), Chief Technology Officer (CTO), Principal of officer, Compliance of officer, or Committee(s) involving/ designated by any of the above for the purpose of technology or cyber risk management of the RE.</t>
        </is>
      </c>
      <c r="O214" s="8" t="inlineStr">
        <is>
          <t>The REs shall have adequate governance mechanisms, with a clear set of roles and responsibilities to manage cyber risk.</t>
        </is>
      </c>
    </row>
    <row r="215">
      <c r="A215" t="inlineStr">
        <is>
          <t>India</t>
        </is>
      </c>
      <c r="B215" t="inlineStr">
        <is>
          <t>guidelines-on-cyber-security-and-cyber-resilience-for-regulated-entities-in-ifscs-1-10032025064412 (India - Row 5)</t>
        </is>
      </c>
      <c r="C215" t="inlineStr">
        <is>
          <t>4</t>
        </is>
      </c>
      <c r="D215" s="8" t="inlineStr">
        <is>
          <t>The REs shall ensure that their Governing Board and the senior management possesses</t>
        </is>
      </c>
      <c r="E215" t="inlineStr">
        <is>
          <t>2–3</t>
        </is>
      </c>
      <c r="F215" t="inlineStr">
        <is>
          <t>Governance</t>
        </is>
      </c>
      <c r="G215" t="inlineStr">
        <is>
          <t>High</t>
        </is>
      </c>
      <c r="H215" t="inlineStr">
        <is>
          <t>High (explicit)</t>
        </is>
      </c>
      <c r="I215" s="8" t="inlineStr">
        <is>
          <t>Governance</t>
        </is>
      </c>
      <c r="J215" s="8" t="inlineStr"/>
      <c r="K215" t="inlineStr">
        <is>
          <t>IFSCA</t>
        </is>
      </c>
      <c r="L215" s="8" t="inlineStr">
        <is>
          <t>This section requires that the Governing Board and senior management of regulated entities (REs) must possess sufficient expertise and knowledge to effectively understand and manage cyber risk. It mandates that they set the tone at the highest levels and cultivate a strong culture of cyber risk management and awareness across all levels of staff within the entity.</t>
        </is>
      </c>
      <c r="M215" s="8" t="inlineStr"/>
      <c r="N215" s="8" t="inlineStr">
        <is>
          <t>[Must] The REs shall ensure that their Governing Board and the senior management possesses sufficient expertise and knowledge to effectively understand and manage cyber risk.
[Must] The Governing Board and senior management shall set the tone at the highest levels and cultivate a strong culture of cyber risk management and awareness at all levels of staff within the entity.</t>
        </is>
      </c>
      <c r="O215" s="8" t="inlineStr">
        <is>
          <t>The REs shall ensure that their Governing Board and the senior management possesses sufficient expertise and knowledge to effectively understand and manage cyber risk.</t>
        </is>
      </c>
    </row>
    <row r="216">
      <c r="A216" t="inlineStr">
        <is>
          <t>India</t>
        </is>
      </c>
      <c r="B216" t="inlineStr">
        <is>
          <t>guidelines-on-cyber-security-and-cyber-resilience-for-regulated-entities-in-ifscs-1-10032025064412 (India - Row 5)</t>
        </is>
      </c>
      <c r="C216" t="inlineStr">
        <is>
          <t>5</t>
        </is>
      </c>
      <c r="D216" s="8" t="inlineStr">
        <is>
          <t>The REs shall appoint a CISO or alternatively, designate a senior employee/</t>
        </is>
      </c>
      <c r="E216" t="inlineStr">
        <is>
          <t>3</t>
        </is>
      </c>
      <c r="F216" t="inlineStr">
        <is>
          <t>Governance</t>
        </is>
      </c>
      <c r="G216" t="inlineStr">
        <is>
          <t>High</t>
        </is>
      </c>
      <c r="H216" t="inlineStr">
        <is>
          <t>High (explicit)</t>
        </is>
      </c>
      <c r="I216" s="8" t="inlineStr">
        <is>
          <t>Governance</t>
        </is>
      </c>
      <c r="J216" s="8" t="inlineStr"/>
      <c r="K216" t="inlineStr">
        <is>
          <t>IFSCA</t>
        </is>
      </c>
      <c r="L216" s="8" t="inlineStr">
        <is>
          <t>This section mandates that regulated entities (REs) must appoint a Chief Information Security Officer (CISO) or designate a senior employee/management personnel to assess, identify and reduce cyber security risks, respond to incidents, establish appropriate standards and controls, and direct the establishment and implementation of processes and procedures as approved by the Oversight Body of the RE.</t>
        </is>
      </c>
      <c r="M216" s="8" t="inlineStr"/>
      <c r="N216" s="8" t="inlineStr">
        <is>
          <t>[Must] The REs shall appoint a CISO or alternatively, designate a senior employee/ management personnel to assess, identify and reduce cyber security risks, respond to incidents, establish appropriate standards and controls, and direct the establishment and implementation of processes and procedures as approved by the Oversight Body of the RE.</t>
        </is>
      </c>
      <c r="O216" s="8" t="inlineStr">
        <is>
          <t>The REs shall appoint a CISO or alternatively, designate a senior employee/ management personnel to assess, identify and reduce cyber security risks, respond to incidents, establish appropriate standards and controls, and direct the establishment and implementation of processes and procedures as approved by the Oversight Body of the RE.</t>
        </is>
      </c>
    </row>
    <row r="217">
      <c r="A217" t="inlineStr">
        <is>
          <t>India</t>
        </is>
      </c>
      <c r="B217" t="inlineStr">
        <is>
          <t>guidelines-on-cyber-security-and-cyber-resilience-for-regulated-entities-in-ifscs-1-10032025064412 (India - Row 5)</t>
        </is>
      </c>
      <c r="C217" t="inlineStr">
        <is>
          <t>6</t>
        </is>
      </c>
      <c r="D217" s="8" t="inlineStr">
        <is>
          <t>The CISO or senior employee/ management personnel so designated shall henceforth</t>
        </is>
      </c>
      <c r="E217" t="inlineStr">
        <is>
          <t>3</t>
        </is>
      </c>
      <c r="F217" t="inlineStr">
        <is>
          <t>Governance</t>
        </is>
      </c>
      <c r="G217" t="inlineStr">
        <is>
          <t>High</t>
        </is>
      </c>
      <c r="H217" t="inlineStr">
        <is>
          <t>High (explicit)</t>
        </is>
      </c>
      <c r="I217" s="8" t="inlineStr">
        <is>
          <t>Governance</t>
        </is>
      </c>
      <c r="J217" s="8" t="inlineStr"/>
      <c r="K217" t="inlineStr">
        <is>
          <t>IFSCA</t>
        </is>
      </c>
      <c r="L217" s="8" t="inlineStr">
        <is>
          <t>This section designates the CISO or senior employee/management personnel appointed under Section 5 as the 'Designated Officer' for the purpose of overseeing cyber risk management activities within the regulated entity.</t>
        </is>
      </c>
      <c r="M217" s="8" t="inlineStr"/>
      <c r="N217" s="8" t="inlineStr">
        <is>
          <t>[Must] The CISO or senior employee/ management personnel so designated shall henceforth be referred to as the 'Designated Officer'.</t>
        </is>
      </c>
      <c r="O217" s="8" t="inlineStr">
        <is>
          <t>The CISO or senior employee/ management personnel so designated shall henceforth be referred to as the 'Designated Officer'.</t>
        </is>
      </c>
    </row>
    <row r="218">
      <c r="A218" t="inlineStr">
        <is>
          <t>India</t>
        </is>
      </c>
      <c r="B218" t="inlineStr">
        <is>
          <t>guidelines-on-cyber-security-and-cyber-resilience-for-regulated-entities-in-ifscs-1-10032025064412 (India - Row 5)</t>
        </is>
      </c>
      <c r="C218" t="inlineStr">
        <is>
          <t>7</t>
        </is>
      </c>
      <c r="D218" s="8" t="inlineStr">
        <is>
          <t>The REs shall formulate the Cyber Security and Cyber Resilience Framework to</t>
        </is>
      </c>
      <c r="E218" t="inlineStr">
        <is>
          <t>3–4</t>
        </is>
      </c>
      <c r="F218" t="inlineStr">
        <is>
          <t>Other</t>
        </is>
      </c>
      <c r="G218" t="inlineStr">
        <is>
          <t>High</t>
        </is>
      </c>
      <c r="H218" t="inlineStr">
        <is>
          <t>High (explicit)</t>
        </is>
      </c>
      <c r="I218" s="8" t="inlineStr">
        <is>
          <t>Cross-border Transfer, Third Party Processing, Incident Reporting, Breach Notification</t>
        </is>
      </c>
      <c r="J218" s="8" t="inlineStr">
        <is>
          <t>Personal Information</t>
        </is>
      </c>
      <c r="K218" t="inlineStr">
        <is>
          <t>IFSCA</t>
        </is>
      </c>
      <c r="L218" s="8" t="inlineStr">
        <is>
          <t>Regulated entities (REs) must create a Cyber Security and Cyber Resilience Framework to ensure confidentiality, integrity, and availability of their IT assets. This framework must include objectives for anticipating and recovering from cyber-attacks, comprehensive threat assessments covering third-party risks, defined cyber risk appetite, detailed people/process/technology requirements for risk management, clear roles during incidents, and periodic reviews to maintain relevance.</t>
        </is>
      </c>
      <c r="M218" s="8" t="inlineStr">
        <is>
          <t>This section mandates a comprehensive framework for managing cyber risks across borders, requiring REs to address third-party vulnerabilities and incident response protocols critical for cross-border data transfers.</t>
        </is>
      </c>
      <c r="N218" s="8" t="inlineStr">
        <is>
          <t>[Must] The REs shall formulate the Cyber Security and Cyber Resilience Framework to maintain the Confidentiality, Integrity and Availability of their IT assets.
[Must] The said framework, inter alia, shall aim to maintain and promote the RE's ability to anticipate, withstand, contain, and recover from cyber-attacks.
[Must] The said framework, inter alia, shall take an integrated and comprehensive view of the potential cyber threats, including third party risks that the RE faces.
[Must] The said framework, inter alia, shall define the RE's cyber risk appetite and cyber resilience objectives.
[Must] The said framework, inter alia, shall outline the RE's people, process and technology requirements for managing cyber risks.
[Must] The said framework, inter alia, shall establish the roles and responsibilities of the Oversight Body, the Designated Officer, the employees and other stakeholders, including clear communication lines to be adhered to, during a cyber incident.
[Must] The said framework, inter alia, shall be reviewed and updated periodically to ensure that the framework stays relevant.</t>
        </is>
      </c>
      <c r="O218" s="8" t="inlineStr">
        <is>
          <t>7. The REs shall formulate the Cyber Security and Cyber Resilience Framework to maintain the Confidentiality, Integrity and Availability of their IT assets.</t>
        </is>
      </c>
    </row>
    <row r="219">
      <c r="A219" t="inlineStr">
        <is>
          <t>India</t>
        </is>
      </c>
      <c r="B219" t="inlineStr">
        <is>
          <t>guidelines-on-cyber-security-and-cyber-resilience-for-regulated-entities-in-ifscs-1-10032025064412 (India - Row 5)</t>
        </is>
      </c>
      <c r="C219" t="inlineStr">
        <is>
          <t>9</t>
        </is>
      </c>
      <c r="D219" s="8" t="inlineStr">
        <is>
          <t>The REs shall formulate an Information Security (IS) Policy as part of their cyber</t>
        </is>
      </c>
      <c r="E219" t="inlineStr">
        <is>
          <t>4–6</t>
        </is>
      </c>
      <c r="F219" t="inlineStr">
        <is>
          <t>Other</t>
        </is>
      </c>
      <c r="G219" t="inlineStr">
        <is>
          <t>High</t>
        </is>
      </c>
      <c r="H219" t="inlineStr">
        <is>
          <t>High (explicit)</t>
        </is>
      </c>
      <c r="I219" s="8" t="inlineStr">
        <is>
          <t>Data Storage, Access Control, Incident Reporting, Breach Notification</t>
        </is>
      </c>
      <c r="J219" s="8" t="inlineStr">
        <is>
          <t>Personal Information</t>
        </is>
      </c>
      <c r="K219" t="inlineStr">
        <is>
          <t>IFSCA</t>
        </is>
      </c>
      <c r="L219" s="8" t="inlineStr">
        <is>
          <t>Regulated entities must develop an Information Security (IS) Policy as part of their cyber security framework. This policy requires maintaining detailed IT asset inventories, conducting risk assessments to classify assets by business criticality and sensitivity, identifying critical business functions, implementing security controls aligned with international standards like NIST and ISO 27000, enforcing access controls based on least privilege and segregation of duties, ensuring physical security, conducting annual vulnerability assessments, establishing recovery policies, and defining incident management procedures including reporting obligations.</t>
        </is>
      </c>
      <c r="M219" s="8" t="inlineStr">
        <is>
          <t>This section establishes foundational security controls critical for data transfers, including asset classification, access controls, and incident response protocols that impact cross-border data handling.</t>
        </is>
      </c>
      <c r="N219" s="8" t="inlineStr">
        <is>
          <t>[Must] The REs shall maintain a detailed inventory of IT assets, including both logical (data, software) and physical (hardware) components, including system configurations, their interconnections with internal and external systems, with distinct and clear identification of the assets.
[Must] The REs shall carry out a risk assessment of those assets and classify the assets based on their business criticality, sensitivity of data they hold, and potential impact on other systems if compromised.
[Must] The REs shall identify and classify their business functions and supporting processes based on their criticality to overall operations and potential impact on performance.
[Must] The REs shall implement appropriate security controls, aligned with international best practices and cyber security and cyber resilience standards like NIST, ISO 27000, etc, to minimize the likelihood and impact of cyber-attacks on critical business functions, IT assets, and data.
[Must] The REs shall manage access rights to IT assets and their supporting systems on a ‘need-to-know' basis, following the principle of ‘least privilege' and principle of ‘segregation of duties'.
[Must] The REs shall enforce authentication methods that are sufficiently robust to adequately and effectively ensure that access control policies and procedures are complied with.
[Must] The REs need to ensure adequate physical security of their IT assets, using measures such as secure location of critical data, restricted access to data centers, server rooms etc.
[Must] The REs shall conduct Vulnerability Assessment and Penetration Testing (VAPT) to detect vulnerabilities in the IT environment for all critical systems, infrastructure components and other IT systems. The VAPT shall be conducted at least once a year.
[Must] The REs shall have recovery policies and procedures to maximise their ability to provide services on an ongoing basis and to limit losses in the event of severe business disruption.
[Must] The IS Policy of the REs shall clearly define the term 'cyber incident'. The REs shall develop and implement processes for preventing, detecting, analysing and responding to cyber incidents.
[Must] REs shall also establish mechanisms to fulfill the disclosure and reporting requirements, as specified by IFSCA, during and after a cyber incident.
[Must] The REs shall ensure that audit trail exists for IT assets, such that it satisfies the entity's business continuity and recovery needs, regulatory and legal obligations, facilitates audit and serves as forensic evidence when required, and assists in dispute resolution.</t>
        </is>
      </c>
      <c r="O219" s="8" t="inlineStr">
        <is>
          <t>9. The REs shall formulate an Information Security (IS) Policy as part of their cyber security and cyber resilience framework with the following basic principles.</t>
        </is>
      </c>
    </row>
    <row r="220">
      <c r="A220" t="inlineStr">
        <is>
          <t>India</t>
        </is>
      </c>
      <c r="B220" t="inlineStr">
        <is>
          <t>guidelines-on-cyber-security-and-cyber-resilience-for-regulated-entities-in-ifscs-1-10032025064412 (India - Row 5)</t>
        </is>
      </c>
      <c r="C220" t="inlineStr">
        <is>
          <t>10</t>
        </is>
      </c>
      <c r="D220" s="8" t="inlineStr">
        <is>
          <t>The REs shall adopt a collaborative security approach with their third-party</t>
        </is>
      </c>
      <c r="E220" t="inlineStr">
        <is>
          <t>6</t>
        </is>
      </c>
      <c r="F220" t="inlineStr">
        <is>
          <t>Third Party Processing</t>
        </is>
      </c>
      <c r="G220" t="inlineStr">
        <is>
          <t>High</t>
        </is>
      </c>
      <c r="H220" t="inlineStr">
        <is>
          <t>High (explicit)</t>
        </is>
      </c>
      <c r="I220" s="8" t="inlineStr">
        <is>
          <t>Third Party Processing, Incident Reporting, Breach Notification</t>
        </is>
      </c>
      <c r="J220" s="8" t="inlineStr">
        <is>
          <t>Personal Information</t>
        </is>
      </c>
      <c r="K220" t="inlineStr">
        <is>
          <t>IFSCA</t>
        </is>
      </c>
      <c r="L220" s="8" t="inlineStr">
        <is>
          <t>Regulated entities must collaborate with third-party vendors by clearly outlining shared expectations for data security, incident reporting, and adherence to relevant security standards to mitigate third-party cyber risks.</t>
        </is>
      </c>
      <c r="M220" s="8" t="inlineStr">
        <is>
          <t>This section requires explicit communication protocols with third parties for data security and incident reporting, directly impacting cross-border data transfer safeguards.</t>
        </is>
      </c>
      <c r="N220" s="8" t="inlineStr">
        <is>
          <t>[Must] The REs shall adopt a collaborative security approach with their third-party vendors/external partners, by clearly outlining shared expectations for data security, incident reporting and adherence to relevant security standards.</t>
        </is>
      </c>
      <c r="O220" s="8" t="inlineStr">
        <is>
          <t>10. The REs shall adopt a collaborative security approach with their third-party vendors/external partners, by clearly outlining shared expectations for data security, incident reporting and adherence to relevant security standards.</t>
        </is>
      </c>
    </row>
    <row r="221">
      <c r="A221" t="inlineStr">
        <is>
          <t>India</t>
        </is>
      </c>
      <c r="B221" t="inlineStr">
        <is>
          <t>guidelines-on-cyber-security-and-cyber-resilience-for-regulated-entities-in-ifscs-1-10032025064412 (India - Row 5)</t>
        </is>
      </c>
      <c r="C221" t="inlineStr">
        <is>
          <t>11</t>
        </is>
      </c>
      <c r="D221" s="8" t="inlineStr">
        <is>
          <t>The REs shall adopt a risk-based approach for periodic review of third-party</t>
        </is>
      </c>
      <c r="E221" t="inlineStr">
        <is>
          <t>6–7</t>
        </is>
      </c>
      <c r="F221" t="inlineStr">
        <is>
          <t>Third Party Processing</t>
        </is>
      </c>
      <c r="G221" t="inlineStr">
        <is>
          <t>High</t>
        </is>
      </c>
      <c r="H221" t="inlineStr">
        <is>
          <t>High (explicit)</t>
        </is>
      </c>
      <c r="I221" s="8" t="inlineStr">
        <is>
          <t>Third Party Processing</t>
        </is>
      </c>
      <c r="J221" s="8" t="inlineStr">
        <is>
          <t>Personal Information</t>
        </is>
      </c>
      <c r="K221" t="inlineStr">
        <is>
          <t>IFSCA</t>
        </is>
      </c>
      <c r="L221" s="8" t="inlineStr">
        <is>
          <t>Regulated entities must conduct risk-based periodic reviews of third-party vendors, identifying critical dependencies and performing vulnerability assessments every six months for core operations, with flexible review frequencies for other third parties.</t>
        </is>
      </c>
      <c r="M221" s="8" t="inlineStr">
        <is>
          <t>This section mandates regular third-party risk assessments critical for ensuring the security of data transferred via third parties, especially for cross-border contexts.</t>
        </is>
      </c>
      <c r="N221" s="8" t="inlineStr">
        <is>
          <t>[Must] The REs shall identify the third-party service providers which it is dependent on for its core operations or to whom it has granted access to its critical systems.
[Must] For all such third-party service providers, the REs shall carry out an assessment for detecting vulnerabilities or compliance gaps through audit, review or feedback every six months.
[May] For other third-parties, the REs shall have the flexibility to determine the appropriate frequency for periodic review.</t>
        </is>
      </c>
      <c r="O221" s="8" t="inlineStr">
        <is>
          <t>11. The REs shall adopt a risk-based approach for periodic review of third-party vendors/external partners.</t>
        </is>
      </c>
    </row>
    <row r="222">
      <c r="A222" t="inlineStr">
        <is>
          <t>India</t>
        </is>
      </c>
      <c r="B222" t="inlineStr">
        <is>
          <t>guidelines-on-cyber-security-and-cyber-resilience-for-regulated-entities-in-ifscs-1-10032025064412 (India - Row 5)</t>
        </is>
      </c>
      <c r="C222" t="inlineStr">
        <is>
          <t>12</t>
        </is>
      </c>
      <c r="D222" s="8" t="inlineStr">
        <is>
          <t>The REs should establish clear communication channels and escalation procedures</t>
        </is>
      </c>
      <c r="E222" t="inlineStr">
        <is>
          <t>7</t>
        </is>
      </c>
      <c r="F222" t="inlineStr">
        <is>
          <t>Incident Reporting</t>
        </is>
      </c>
      <c r="G222" t="inlineStr">
        <is>
          <t>High</t>
        </is>
      </c>
      <c r="H222" t="inlineStr">
        <is>
          <t>High (explicit)</t>
        </is>
      </c>
      <c r="I222" s="8" t="inlineStr">
        <is>
          <t>Incident Reporting, Breach Notification</t>
        </is>
      </c>
      <c r="J222" s="8" t="inlineStr">
        <is>
          <t>Personal Information</t>
        </is>
      </c>
      <c r="K222" t="inlineStr">
        <is>
          <t>IFSCA</t>
        </is>
      </c>
      <c r="L222" s="8" t="inlineStr">
        <is>
          <t>Regulated entities must establish clear communication channels and escalation procedures for promptly addressing risks or non-compliance with partners, ensuring timely resolution of issues.</t>
        </is>
      </c>
      <c r="M222" s="8" t="inlineStr">
        <is>
          <t>This section ensures effective communication protocols for third-party incidents, which is critical for timely breach notifications and cross-border data transfer compliance.</t>
        </is>
      </c>
      <c r="N222" s="8" t="inlineStr">
        <is>
          <t>[Should] The REs should establish clear communication channels and escalation procedures for addressing any identified risks or non-compliance with partners, promptly and effectively.</t>
        </is>
      </c>
      <c r="O222" s="8" t="inlineStr">
        <is>
          <t>12. The REs should establish clear communication channels and escalation procedures for addressing any identified risks or non-compliance with partners, promptly and effectively.</t>
        </is>
      </c>
    </row>
    <row r="223">
      <c r="A223" t="inlineStr">
        <is>
          <t>India</t>
        </is>
      </c>
      <c r="B223" t="inlineStr">
        <is>
          <t>guidelines-on-cyber-security-and-cyber-resilience-for-regulated-entities-in-ifscs-1-10032025064412 (India - Row 5)</t>
        </is>
      </c>
      <c r="C223" t="inlineStr">
        <is>
          <t>13</t>
        </is>
      </c>
      <c r="D223" s="8" t="inlineStr">
        <is>
          <t>The ultimate responsibility to mitigate the cyber risks arising from the third parties</t>
        </is>
      </c>
      <c r="E223" t="inlineStr">
        <is>
          <t>7</t>
        </is>
      </c>
      <c r="F223" t="inlineStr">
        <is>
          <t>Third Party Processing</t>
        </is>
      </c>
      <c r="G223" t="inlineStr">
        <is>
          <t>High</t>
        </is>
      </c>
      <c r="H223" t="inlineStr">
        <is>
          <t>High (explicit)</t>
        </is>
      </c>
      <c r="I223" s="8" t="inlineStr">
        <is>
          <t>Third Party Processing, Breach Notification</t>
        </is>
      </c>
      <c r="J223" s="8" t="inlineStr">
        <is>
          <t>Personal Information</t>
        </is>
      </c>
      <c r="K223" t="inlineStr">
        <is>
          <t>IFSCA</t>
        </is>
      </c>
      <c r="L223" s="8" t="inlineStr">
        <is>
          <t>Regulated entities bear ultimate responsibility for mitigating cyber risks arising from third parties, ensuring accountability for third-party security incidents.</t>
        </is>
      </c>
      <c r="M223" s="8" t="inlineStr">
        <is>
          <t>This section clarifies that regulated entities are ultimately liable for third-party cyber risks, which is critical for cross-border data transfer impact assessments involving third parties.</t>
        </is>
      </c>
      <c r="N223" s="8" t="inlineStr">
        <is>
          <t>[Must] The ultimate responsibility to mitigate the cyber risks arising from the third parties shall be on the REs.</t>
        </is>
      </c>
      <c r="O223" s="8" t="inlineStr">
        <is>
          <t>13. The ultimate responsibility to mitigate the cyber risks arising from the third parties shall be on the REs.</t>
        </is>
      </c>
    </row>
    <row r="224">
      <c r="A224" t="inlineStr">
        <is>
          <t>India</t>
        </is>
      </c>
      <c r="B224" t="inlineStr">
        <is>
          <t>guidelines-on-cyber-security-and-cyber-resilience-for-regulated-entities-in-ifscs-1-10032025064412 (India - Row 5)</t>
        </is>
      </c>
      <c r="C224" t="inlineStr">
        <is>
          <t>14</t>
        </is>
      </c>
      <c r="D224" s="8" t="inlineStr">
        <is>
          <t>The REs shall provide regular training to its employees on topics pertaining to cyber</t>
        </is>
      </c>
      <c r="E224" t="inlineStr">
        <is>
          <t>7</t>
        </is>
      </c>
      <c r="F224" t="inlineStr">
        <is>
          <t>Other</t>
        </is>
      </c>
      <c r="G224" t="inlineStr">
        <is>
          <t>Medium</t>
        </is>
      </c>
      <c r="H224" t="inlineStr">
        <is>
          <t>High (explicit)</t>
        </is>
      </c>
      <c r="I224" s="8" t="inlineStr"/>
      <c r="J224" s="8" t="inlineStr"/>
      <c r="K224" t="inlineStr">
        <is>
          <t>IFSCA</t>
        </is>
      </c>
      <c r="L224" s="8" t="inlineStr">
        <is>
          <t>Regulated entities must conduct regular cybersecurity training for employees covering phishing awareness, social engineering, password hygiene, and incident reporting procedures. This training is mandatory to ensure staff can identify and respond to cyber threats effectively. The training must be ongoing and address specific technical and behavioral aspects of cybersecurity.</t>
        </is>
      </c>
      <c r="M224" s="8" t="inlineStr">
        <is>
          <t>This section requires regular employee training on cybersecurity, which is critical for DTIA as it ensures staff are equipped to handle incidents and reduce vulnerabilities during data transfers or processing activities.</t>
        </is>
      </c>
      <c r="N224" s="8" t="inlineStr">
        <is>
          <t>[Must] The REs shall provide regular training to its employees on topics pertaining to cyber security, including but not limited to, phishing awareness, social engineering, password hygiene and incident reporting procedures.</t>
        </is>
      </c>
      <c r="O224" s="8" t="inlineStr">
        <is>
          <t>14. The REs shall provide regular training to its employees on topics pertaining to cyber security, including but not limited to, phishing awareness, social engineering, password hygiene and incident reporting procedures.</t>
        </is>
      </c>
    </row>
    <row r="225">
      <c r="A225" t="inlineStr">
        <is>
          <t>India</t>
        </is>
      </c>
      <c r="B225" t="inlineStr">
        <is>
          <t>guidelines-on-cyber-security-and-cyber-resilience-for-regulated-entities-in-ifscs-1-10032025064412 (India - Row 5)</t>
        </is>
      </c>
      <c r="C225" t="inlineStr">
        <is>
          <t>15</t>
        </is>
      </c>
      <c r="D225" s="8" t="inlineStr">
        <is>
          <t>The REs shall establish clear and accessible channels for employees to report</t>
        </is>
      </c>
      <c r="E225" t="inlineStr">
        <is>
          <t>7</t>
        </is>
      </c>
      <c r="F225" t="inlineStr">
        <is>
          <t>Other</t>
        </is>
      </c>
      <c r="G225" t="inlineStr">
        <is>
          <t>Medium</t>
        </is>
      </c>
      <c r="H225" t="inlineStr">
        <is>
          <t>High (explicit)</t>
        </is>
      </c>
      <c r="I225" s="8" t="inlineStr"/>
      <c r="J225" s="8" t="inlineStr"/>
      <c r="K225" t="inlineStr">
        <is>
          <t>IFSCA</t>
        </is>
      </c>
      <c r="L225" s="8" t="inlineStr">
        <is>
          <t>Regulated entities must establish clear and accessible channels for employees to report suspicious activity, vulnerabilities, and potential cyber incidents. This ensures timely identification and mitigation of security risks within the organization. Employees can report issues directly to the entity without barriers.</t>
        </is>
      </c>
      <c r="M225" s="8" t="inlineStr">
        <is>
          <t>This section mandates internal reporting channels for cyber incidents, which is essential for DTIA as it ensures rapid response to breaches and timely data handling during cross-border transfers.</t>
        </is>
      </c>
      <c r="N225" s="8" t="inlineStr">
        <is>
          <t>[Must] The REs shall establish clear and accessible channels for employees to report suspicious activity, vulnerabilities, and potential cyber incidents.</t>
        </is>
      </c>
      <c r="O225" s="8" t="inlineStr">
        <is>
          <t>15. The REs shall establish clear and accessible channels for employees to report suspicious activity, vulnerabilities, and potential cyber incidents.</t>
        </is>
      </c>
    </row>
    <row r="226">
      <c r="A226" t="inlineStr">
        <is>
          <t>India</t>
        </is>
      </c>
      <c r="B226" t="inlineStr">
        <is>
          <t>guidelines-on-cyber-security-and-cyber-resilience-for-regulated-entities-in-ifscs-1-10032025064412 (India - Row 5)</t>
        </is>
      </c>
      <c r="C226" t="inlineStr">
        <is>
          <t>16</t>
        </is>
      </c>
      <c r="D226" s="8" t="inlineStr">
        <is>
          <t>The aim of the audit is to provide an independent assurance of the effectiveness of</t>
        </is>
      </c>
      <c r="E226" t="inlineStr">
        <is>
          <t>7–8</t>
        </is>
      </c>
      <c r="F226" t="inlineStr">
        <is>
          <t>Other</t>
        </is>
      </c>
      <c r="G226" t="inlineStr">
        <is>
          <t>High</t>
        </is>
      </c>
      <c r="H226" t="inlineStr">
        <is>
          <t>High (explicit)</t>
        </is>
      </c>
      <c r="I226" s="8" t="inlineStr">
        <is>
          <t>Security</t>
        </is>
      </c>
      <c r="J226" s="8" t="inlineStr"/>
      <c r="K226" t="inlineStr">
        <is>
          <t>IFSCA</t>
        </is>
      </c>
      <c r="L226" s="8" t="inlineStr">
        <is>
          <t>Regulated entities must undergo periodic cybersecurity audits by a certified auditor to ensure their security measures are effective. The auditor must be certified by CERT-In or possess specific cybersecurity credentials, and the audit must assess alignment with the entity's cyber risks. The audit report must be submitted to the Governing Board and senior management.</t>
        </is>
      </c>
      <c r="M226" s="8" t="inlineStr">
        <is>
          <t>This section requires independent cybersecurity audits, which are critical for DTIA as they validate the effectiveness of security controls before data transfers or processing across borders.</t>
        </is>
      </c>
      <c r="N226" s="8" t="inlineStr">
        <is>
          <t>[Must] The aim of the audit is to provide an independent assurance of the effectiveness of RE's measures to its Governing Board and the senior management.
[Must] The governance, systems and processes established by the REs for managing their cyber risks shall be audited on a periodic basis by either of the following: a. a CERT-In empanelled auditor, b. an independent auditor possessing the following certifications: i. Certified Information Security Auditor (CISA) or ii. Certified Information Security Manager (CISM) or iii. GIAC Systems and Network Auditor (GSNA) or iv. Certified Information Systems Security Professional (CISSP) or c. an auditor having prior experience in conducting cybersecurity audit of entities with similar business activity as that of the RE
[Must] The auditor shall also certify if the security controls implemented by the entity are aligned with the risks faced by the RE.</t>
        </is>
      </c>
      <c r="O226" s="8" t="inlineStr">
        <is>
          <t>16. The aim of the audit is to provide an independent assurance of the effectiveness of RE's measures to its Governing Board and the senior management. Towards this effect, the governance, systems and processes established by the REs for managing their cyber risks shall be audited on a periodic basis by either of the following: a. a CERT-In empanelled auditor, b. an independent auditor possessing the following certifications: i. Certified Information Security Auditor (CISA) or ii. Certified Information Security Manager (CISM) or iii. GIAC Systems and Network Auditor (GSNA) or iv. Certified Information Systems Security Professional (CISSP) or c. an auditor having prior experience in conducting cybersecurity audit of entities with similar business activity as that of the RE</t>
        </is>
      </c>
    </row>
    <row r="227">
      <c r="A227" t="inlineStr">
        <is>
          <t>India</t>
        </is>
      </c>
      <c r="B227" t="inlineStr">
        <is>
          <t>guidelines-on-cyber-security-and-cyber-resilience-for-regulated-entities-in-ifscs-1-10032025064412 (India - Row 5)</t>
        </is>
      </c>
      <c r="C227" t="inlineStr">
        <is>
          <t>17</t>
        </is>
      </c>
      <c r="D227" s="8" t="inlineStr">
        <is>
          <t>The auditor engaged by an RE shall not have any conϐlict of interest with the RE. The</t>
        </is>
      </c>
      <c r="E227" t="inlineStr">
        <is>
          <t>8</t>
        </is>
      </c>
      <c r="F227" t="inlineStr">
        <is>
          <t>Other</t>
        </is>
      </c>
      <c r="G227" t="inlineStr">
        <is>
          <t>High</t>
        </is>
      </c>
      <c r="H227" t="inlineStr">
        <is>
          <t>High (explicit)</t>
        </is>
      </c>
      <c r="I227" s="8" t="inlineStr"/>
      <c r="J227" s="8" t="inlineStr"/>
      <c r="K227" t="inlineStr">
        <is>
          <t>IFSCA</t>
        </is>
      </c>
      <c r="L227" s="8" t="inlineStr">
        <is>
          <t>Regulated entities must ensure auditors have no conflict of interest and submit annual audit reports to IFSCA within 90 days of the financial year-end. The audit frequency may be higher than annual based on the entity's cyber risk profile and system criticality. This ensures timely oversight and accountability for cybersecurity measures.</t>
        </is>
      </c>
      <c r="M227" s="8" t="inlineStr">
        <is>
          <t>This section mandates annual audit reporting to IFSCA, which is vital for DTIA as it ensures regulatory oversight of security controls before data transfers or processing across borders.</t>
        </is>
      </c>
      <c r="N227" s="8" t="inlineStr">
        <is>
          <t>[Must] The auditor engaged by an RE shall not have any conflict of interest with the RE.
[Must] The audit shall be conducted annually and a report in this regard shall be submitted to IFSCA by the REs within 90 days from the end of the financial year.
[Must] The REs shall submit the audit report to the corresponding IFSCA Department/ Division in charge of the supervision of the RE.</t>
        </is>
      </c>
      <c r="O227" s="8" t="inlineStr">
        <is>
          <t>17. The auditor engaged by an RE shall not have any conflict of interest with the RE. The audit shall be conducted annually and a report in this regard shall be submitted to IFSCA by the REs within 90 days from the end of the financial year.</t>
        </is>
      </c>
    </row>
    <row r="228">
      <c r="A228" t="inlineStr">
        <is>
          <t>India</t>
        </is>
      </c>
      <c r="B228" t="inlineStr">
        <is>
          <t>guidelines-on-cyber-security-and-cyber-resilience-for-regulated-entities-in-ifscs-1-10032025064412 (India - Row 5)</t>
        </is>
      </c>
      <c r="C228" t="inlineStr">
        <is>
          <t>18</t>
        </is>
      </c>
      <c r="D228" s="8" t="inlineStr">
        <is>
          <t>In case the RE is registered with IFSCA as a Broker Dealer/Bullion Trading Member,</t>
        </is>
      </c>
      <c r="E228" t="inlineStr">
        <is>
          <t>8</t>
        </is>
      </c>
      <c r="F228" t="inlineStr">
        <is>
          <t>Other</t>
        </is>
      </c>
      <c r="G228" t="inlineStr">
        <is>
          <t>High</t>
        </is>
      </c>
      <c r="H228" t="inlineStr">
        <is>
          <t>High (explicit)</t>
        </is>
      </c>
      <c r="I228" s="8" t="inlineStr"/>
      <c r="J228" s="8" t="inlineStr"/>
      <c r="K228" t="inlineStr">
        <is>
          <t>IFSCA</t>
        </is>
      </c>
      <c r="L228" s="8" t="inlineStr">
        <is>
          <t>Broker Dealers, Bullion Trading Members, Clearing Members, and Depository Participants may submit their cybersecurity audit reports to IFSCA within 7 days of submitting to a Market Infrastructure Institution or Bullion Exchange. This streamlines reporting for entities with specific regulatory obligations.</t>
        </is>
      </c>
      <c r="M228" s="8" t="inlineStr">
        <is>
          <t>This section allows for streamlined reporting of cybersecurity audits for specific financial entities, which is relevant for DTIA as it ensures timely oversight of security controls for cross-border data transfers.</t>
        </is>
      </c>
      <c r="N228" s="8" t="inlineStr">
        <is>
          <t>[May] In case the RE is registered with IFSCA as a Broker Dealer/Bullion Trading Member, Clearing Member/Bullion Clearing Member or as a Depository Participant, and is required to submit cyber security audit report to a recognised Market Infrastructure Institution/Bullion Exchange, such REs may submit the same audit report to IFSCA within 7 days of submission of the audit report to the Market Infrastructure Institution/Bullion Exchange.</t>
        </is>
      </c>
      <c r="O228" s="8" t="inlineStr">
        <is>
          <t>18. In case the RE is registered with IFSCA as a Broker Dealer/Bullion Trading Member, Clearing Member/Bullion Clearing Member or as a Depository Participant, and is required to submit cyber security audit report to a recognised Market Infrastructure Institution/Bullion Exchange, such REs may submit the same audit report to IFSCA within 7 days of submission of the audit report to the Market Infrastructure Institution/Bullion Exchange.</t>
        </is>
      </c>
    </row>
    <row r="229">
      <c r="A229" t="inlineStr">
        <is>
          <t>India</t>
        </is>
      </c>
      <c r="B229" t="inlineStr">
        <is>
          <t>guidelines-on-cyber-security-and-cyber-resilience-for-regulated-entities-in-ifscs-1-10032025064412 (India - Row 5)</t>
        </is>
      </c>
      <c r="C229" t="inlineStr">
        <is>
          <t>19</t>
        </is>
      </c>
      <c r="D229" s="8" t="inlineStr">
        <is>
          <t>In case of occurrence of any cyber incident, the REs are required to report the</t>
        </is>
      </c>
      <c r="E229" t="inlineStr">
        <is>
          <t>8</t>
        </is>
      </c>
      <c r="F229" t="inlineStr">
        <is>
          <t>Incident Reporting</t>
        </is>
      </c>
      <c r="G229" t="inlineStr">
        <is>
          <t>High</t>
        </is>
      </c>
      <c r="H229" t="inlineStr">
        <is>
          <t>High (explicit)</t>
        </is>
      </c>
      <c r="I229" s="8" t="inlineStr">
        <is>
          <t>Incident Reporting, Breach Notification</t>
        </is>
      </c>
      <c r="J229" s="8" t="inlineStr"/>
      <c r="K229" t="inlineStr">
        <is>
          <t>IFSCA</t>
        </is>
      </c>
      <c r="L229" s="8" t="inlineStr">
        <is>
          <t>Regulated entities must report cyber incidents to IFSCA within six hours of detection, including details of the incident. This ensures rapid response to breaches and timely regulatory oversight. The report must be sent to the Authority on cyber-incidents@ifsca.gov.in with a copy to CISO, IFSCA.</t>
        </is>
      </c>
      <c r="M229" s="8" t="inlineStr">
        <is>
          <t>This section requires immediate incident reporting to IFSCA, which is critical for DTIA as it ensures timely notification of breaches affecting data transfers or processing across borders.</t>
        </is>
      </c>
      <c r="N229" s="8" t="inlineStr">
        <is>
          <t>[Must] In case of occurrence of any cyber incident, the REs are required to report the particulars of the incident to the Authority on cyber-incidents@ifsca.gov.in with a copy to CISO, IFSCA, not later than six (6) hours from the detection of the incident.</t>
        </is>
      </c>
      <c r="O229" s="8" t="inlineStr">
        <is>
          <t>19. In case of occurrence of any cyber incident, the REs are required to report the particulars of the incident to the Authority on cyber-incidents@ifsca.gov.in with a copy to CISO, IFSCA, not later than six (6) hours from the detection of the incident.</t>
        </is>
      </c>
    </row>
    <row r="230">
      <c r="A230" t="inlineStr">
        <is>
          <t>India</t>
        </is>
      </c>
      <c r="B230" t="inlineStr">
        <is>
          <t>guidelines-on-cyber-security-and-cyber-resilience-for-regulated-entities-in-ifscs-1-10032025064412 (India - Row 5)</t>
        </is>
      </c>
      <c r="C230" t="inlineStr">
        <is>
          <t>20</t>
        </is>
      </c>
      <c r="D230" s="8" t="inlineStr">
        <is>
          <t>Additionally, the REs shall submit the interim report within 3 days followed by a</t>
        </is>
      </c>
      <c r="E230" t="inlineStr">
        <is>
          <t>8–9</t>
        </is>
      </c>
      <c r="F230" t="inlineStr">
        <is>
          <t>Incident Reporting</t>
        </is>
      </c>
      <c r="G230" t="inlineStr">
        <is>
          <t>High</t>
        </is>
      </c>
      <c r="H230" t="inlineStr">
        <is>
          <t>High (explicit)</t>
        </is>
      </c>
      <c r="I230" s="8" t="inlineStr">
        <is>
          <t>Incident Reporting, Breach Notification</t>
        </is>
      </c>
      <c r="J230" s="8" t="inlineStr">
        <is>
          <t>Personal Information</t>
        </is>
      </c>
      <c r="K230" t="inlineStr">
        <is>
          <t>IFSCA</t>
        </is>
      </c>
      <c r="L230" s="8" t="inlineStr">
        <is>
          <t>Regulated entities (REs) must submit an interim report within 3 days of an incident and a detailed root cause analysis report within 30 days. REs must implement mitigation measures for the incident within 7 days. These obligations apply to all REs operating in International Financial Services Centres (IFSCs) under the guidelines.</t>
        </is>
      </c>
      <c r="M230" s="8" t="inlineStr">
        <is>
          <t>This section mandates timely incident reporting and root cause analysis, requiring REs to document and address incidents within strict timeframes. These requirements impact data transfer impact assessments by necessitating clear incident response protocols and documentation for cross-border data handling.</t>
        </is>
      </c>
      <c r="N230" s="8" t="inlineStr">
        <is>
          <t>[Must] REs shall submit the interim report within 3 days
[Must] REs shall submit a detailed root cause analysis report within 30 days
[Must] REs shall take mitigation measures for the incident within 7 days</t>
        </is>
      </c>
      <c r="O230" s="8" t="inlineStr">
        <is>
          <t>20. Additionally, the REs shall submit the interim report within 3 days followed by a detailed root cause analysis report within 30 days. The REs shall take mitigation measures for the same within 7 days.</t>
        </is>
      </c>
    </row>
    <row r="231">
      <c r="A231" t="inlineStr">
        <is>
          <t>India</t>
        </is>
      </c>
      <c r="B231" t="inlineStr">
        <is>
          <t>guidelines-on-cyber-security-and-cyber-resilience-for-regulated-entities-in-ifscs-1-10032025064412 (India - Row 5)</t>
        </is>
      </c>
      <c r="C231" t="inlineStr">
        <is>
          <t>21</t>
        </is>
      </c>
      <c r="D231" s="8" t="inlineStr">
        <is>
          <t>The following categories of REs are exempted from the requirements mentioned in</t>
        </is>
      </c>
      <c r="E231" t="inlineStr">
        <is>
          <t>9</t>
        </is>
      </c>
      <c r="F231" t="inlineStr">
        <is>
          <t>Exemptions</t>
        </is>
      </c>
      <c r="G231" t="inlineStr">
        <is>
          <t>High</t>
        </is>
      </c>
      <c r="H231" t="inlineStr">
        <is>
          <t>High (explicit)</t>
        </is>
      </c>
      <c r="I231" s="8" t="inlineStr"/>
      <c r="J231" s="8" t="inlineStr">
        <is>
          <t>Personal Information</t>
        </is>
      </c>
      <c r="K231" t="inlineStr">
        <is>
          <t>IFSCA</t>
        </is>
      </c>
      <c r="L231" s="8" t="inlineStr">
        <is>
          <t>Certain regulated entities (REs) are exempt from the guidelines' requirements: those operating as branches of regulated Indian or foreign entities, providing services to group entities only (e.g., Global In-House Centres), having fewer than 10 employees, and foreign universities established in IFSCs. These exemptions apply to REs operating within International Financial Services Centres (IFSCs).</t>
        </is>
      </c>
      <c r="M231" s="8" t="inlineStr">
        <is>
          <t>This section identifies specific REs exempt from the guidelines, which may affect data transfer impact assessments by reducing compliance burdens for certain entities but requiring careful assessment of exemption conditions.</t>
        </is>
      </c>
      <c r="N231" s="8" t="inlineStr">
        <is>
          <t>[Exemption] REs operating in the form of a branch of a regulated Indian or foreign entity
[Exemption] REs providing services to their group entities only e.g. Global In-House Centres (GICs)
[Exemption] REs which have less than 10 employees
[Exemption] Foreign universities set up in IFSCs</t>
        </is>
      </c>
      <c r="O231" s="8" t="inlineStr">
        <is>
          <t>21. The following categories of REs are exempted from the requirements mentioned in these Guidelines: a. The REs operating in the form of a branch of a regulated Indian or foreign entity. b. The REs providing services to their group entities only e.g. Global In-House Centres (GICs). c. The REs which have less than 10 employees. d. Foreign universities set up in IFSCs.</t>
        </is>
      </c>
    </row>
    <row r="232">
      <c r="A232" t="inlineStr">
        <is>
          <t>India</t>
        </is>
      </c>
      <c r="B232" t="inlineStr">
        <is>
          <t>guidelines-on-cyber-security-and-cyber-resilience-for-regulated-entities-in-ifscs-1-10032025064412 (India - Row 5)</t>
        </is>
      </c>
      <c r="C232" t="inlineStr">
        <is>
          <t>22</t>
        </is>
      </c>
      <c r="D232" s="8" t="inlineStr">
        <is>
          <t>The exemptions to the REs provided vide para 21, are subject to fulϐilment of the</t>
        </is>
      </c>
      <c r="E232" t="inlineStr">
        <is>
          <t>9–10</t>
        </is>
      </c>
      <c r="F232" t="inlineStr">
        <is>
          <t>Exemptions</t>
        </is>
      </c>
      <c r="G232" t="inlineStr">
        <is>
          <t>High</t>
        </is>
      </c>
      <c r="H232" t="inlineStr">
        <is>
          <t>High (explicit)</t>
        </is>
      </c>
      <c r="I232" s="8" t="inlineStr">
        <is>
          <t>Governance, Record Keeping</t>
        </is>
      </c>
      <c r="J232" s="8" t="inlineStr">
        <is>
          <t>Personal Information</t>
        </is>
      </c>
      <c r="K232" t="inlineStr">
        <is>
          <t>IFSCA</t>
        </is>
      </c>
      <c r="L232" s="8" t="inlineStr">
        <is>
          <t>Exemptions granted under Section 21 are conditional on REs adopting the parent entity's Cyber Security and Cyber Resilience framework, designating the parent entity's CISO as the Designated Officer, ensuring the parent entity is regulated by a financial-sector regulator, and submitting certification of compliance within 90 days of the financial year-end. These exemptions are valid for three years from the guidelines' issuance date.</t>
        </is>
      </c>
      <c r="M232" s="8" t="inlineStr">
        <is>
          <t>This section outlines conditions for maintaining exemptions, including framework adoption, regulatory oversight, and periodic compliance certifications, which are critical for data transfer impact assessments involving exempted entities.</t>
        </is>
      </c>
      <c r="N232" s="8" t="inlineStr">
        <is>
          <t>[Must] REs shall adopt the Cyber Security and Cyber Resilience framework and IS Policy of its parent entity
[Must] The CISO of the parent entity shall act as the Designated Officer for the REs in IFSC
[Must] The parent entity of REs, in India or overseas, shall be regulated by a financial-sector regulator in its home jurisdiction
[Must] The parent entity's cyber security and cyber resilience framework shall include REs in IFSC within its scope
[Must] The Designated Officer of the RE shall certify that all necessary systems/processes have been put in place within 90 days of the end of each financial year
[Must] The undertaking shall be submitted to the respective Department/Division of IFSCA responsible for supervision of the RE
[Condition] Exemptions are valid for a period of three years from the date of issuance of these guidelines</t>
        </is>
      </c>
      <c r="O232" s="8" t="inlineStr">
        <is>
          <t>22. The exemptions to the REs provided vide para 21, are subject to fulϐilment of the following conditions: a. REs shall adopt the Cyber Security and Cyber Resilience framework and IS Policy of its parent entity. b. The CISO of the parent entity shall act as the Designated Officer for the REs in IFSC. c. The parent entity of REs, in India or overseas, shall be regulated by a financial-sector regulator in its home jurisdiction and cyber security and cyber resilience framework of the parent entity shall include within its scope, the REs in IFSC.</t>
        </is>
      </c>
    </row>
    <row r="233">
      <c r="A233" t="inlineStr">
        <is>
          <t>Kenya</t>
        </is>
      </c>
      <c r="B233" t="inlineStr">
        <is>
          <t>Capital Markets Act</t>
        </is>
      </c>
      <c r="C233" t="inlineStr">
        <is>
          <t>2</t>
        </is>
      </c>
      <c r="D233" s="8" t="inlineStr">
        <is>
          <t>Interpretation</t>
        </is>
      </c>
      <c r="E233" t="inlineStr">
        <is>
          <t>7–14</t>
        </is>
      </c>
      <c r="F233" t="inlineStr">
        <is>
          <t>Definitions</t>
        </is>
      </c>
      <c r="G233" t="inlineStr">
        <is>
          <t>High</t>
        </is>
      </c>
      <c r="H233" t="inlineStr">
        <is>
          <t>Medium (merged from chunks)</t>
        </is>
      </c>
      <c r="I233" s="8" t="inlineStr">
        <is>
          <t>Financial Data, Customer Information, Employee Information, Special Personal Information, KYC, AML</t>
        </is>
      </c>
      <c r="J233" s="8" t="inlineStr">
        <is>
          <t>Personal Information, Financial Data, Customer Data, Employee Data</t>
        </is>
      </c>
      <c r="K233" t="inlineStr">
        <is>
          <t>Capital Markets Authority</t>
        </is>
      </c>
      <c r="L233" s="8" t="inlineStr">
        <is>
          <t>This section defines key terms used throughout the Capital Markets Act. It specifies that 'agent' refers to a person appointed in writing by a licensed person to perform functions on their behalf, excluding derivatives markets. 'Authorised securities dealer' denotes a person authorized to deal in securities in specific market segments. 'Authority' refers to the Capital Markets Authority established by section 5. 'Beneficial owner' identifies the ultimate owner or controller of a legal person or arrangement. 'Capital market instrument' covers long-term financial instruments traded for investment purposes. The section also defines 'collective investment scheme', 'commodity', 'commodity contract', 'commodity market', 'company', 'Compensation Fund', 'credit rating agency', 'dealer', 'dealing in securities', 'derivatives exchange', 'derivatives dealer', 'derivatives market', 'director', 'exchange-traded derivative contracts', 'expert', 'financial instrument', 'fund manager', 'futures broker', 'futures member', 'incorporation documents', 'information memorandum', 'insider', 'investment adviser', 'investment bank', 'investment company', 'key personnel', 'licensed person', and 'mutual fund</t>
        </is>
      </c>
      <c r="M233" s="8" t="inlineStr">
        <is>
          <t>These definitions establish the scope of data subjects and entities that may be subject to data transfer restrictions under the Act, particularly for financial data involving licensed persons and sophisticated investors.</t>
        </is>
      </c>
      <c r="N233" s="8" t="inlineStr">
        <is>
          <t>[Condition] In this Act, unless the context otherwise requires—
[Definition] key personnel means a person who manages or controls the activities of a licensed or a regulated person and includes—(a) the chief executive officer, chief financial officer, chief compliance officer, secretary to the Board, chief internal auditor, or any manager of licensed persons; and (b) any person who holds a position or discharges responsibilities of any person referred to in paragraph (a)
[Definition] licensed person means a person or body corporate who has been issued with a licence or approved by the Authority
[Definition] securities means—(a) shares in the share capital of a company; (b) any instrument creating or acknowledging indebtedness which is issued or proposed to be issued; (c) loan stock, bonds and other instruments creating or acknowledging indebtedness by or on behalf of the Government, Central Bank, or public authority; (d) rights, options, or interests, whether described as units or otherwise, in, or in respect of such shares, debt securities and Government and public securities; (e) any right, whether conferred by warrant or otherwise, to subscribe for shares or debt securities; (f) any option to acquire or dispose of any other security; (g) futures in respect of securities or other assets or property; (h) securities and collective investment scheme products structured in conformity with Islamic principles for investments; (i) units in a collective investment scheme, including shares in an investment company, or other similar entities whether established in Kenya or not
[Definition] sophisticated investor means—(a) a person who is licensed under this Act; (b) an authorized scheme or a collective investment scheme; (c) a bank, a subsidiary of a bank, insurance company, co-operative society, statutory fund, pension or retirement fund; or (d) an individual, company, partnership, association or a trustee on behalf of a trust which, either alone or with any associates on a joint account subscribes for securities with an issue price as the Authority may prescribe from time to time</t>
        </is>
      </c>
      <c r="O233" s="8" t="inlineStr">
        <is>
          <t>Capital Markets Act (Cap. 485A) Kenya</t>
        </is>
      </c>
    </row>
    <row r="234">
      <c r="A234" t="inlineStr">
        <is>
          <t>Kenya</t>
        </is>
      </c>
      <c r="B234" t="inlineStr">
        <is>
          <t>Capital Markets Act</t>
        </is>
      </c>
      <c r="C234" t="inlineStr">
        <is>
          <t>4</t>
        </is>
      </c>
      <c r="D234" s="8" t="inlineStr">
        <is>
          <t>Definition of "interest in securities"</t>
        </is>
      </c>
      <c r="E234" t="inlineStr">
        <is>
          <t>14–16</t>
        </is>
      </c>
      <c r="F234" t="inlineStr">
        <is>
          <t>Definitions</t>
        </is>
      </c>
      <c r="G234" t="inlineStr">
        <is>
          <t>Low</t>
        </is>
      </c>
      <c r="H234" t="inlineStr">
        <is>
          <t>High (explicit)</t>
        </is>
      </c>
      <c r="I234" s="8" t="inlineStr"/>
      <c r="J234" s="8" t="inlineStr">
        <is>
          <t>Financial Data</t>
        </is>
      </c>
      <c r="K234" t="inlineStr"/>
      <c r="L234" s="8" t="inlineStr">
        <is>
          <t>This section defines 'interest in securities' as a legal concept where a person is deemed to have an interest in securities under specific circumstances, such as holding securities in trust, being a controlling shareholder, having contractual rights to purchase securities, or being entitled to exercise rights attached to securities. It also specifies exceptions where such an interest is disregarded, including bare trusteeship, lending of money, prescribed offices, and certain remote interests.</t>
        </is>
      </c>
      <c r="M234" s="8" t="inlineStr"/>
      <c r="N234" s="8" t="inlineStr">
        <is>
          <t>[Definition] Where any property held in trust consists of or includes securities in which a person knows, or has reasonable grounds for believing, that he or she has an interest, he or she shall be deemed to have an interest in those securities.
[Definition] A person shall be deemed to have an interest in a security where a body corporate has an interest in a security and— (a) the body corporate is, or its directors are, accustomed or under an obligation, whether formal or informal, to act in accordance with directions, instructions or wishes of that person in relation to that security; (b) that person has a controlling interest in the body corporate; or (c) that person is, or the associates of that person or that person and his associates are, entitled to exercise or control the exercise of not less than fifteen per cent of the votes attached to the voting shares in the body corporate.
[Definition] A person shall be deemed to have an interest in a security in any one or more of the following circumstances— (a) where he or she has entered into a contract to purchase a security; (b) where he or she has a right, otherwise than by reason of having an interest under a trust, to have a security transferred to himself or to his order, whether the right is exercisable presently or in the future and whether on the fulfillment of a condition or not; (c) where he or she has the right to acquire a security, or an interest in a security, under an option, whether on the fulfillment of a condition or not; or (d) where he or she is entitled, otherwise than by reason of his having been appointed a proxy or representative to vote at a meeting of members of a body corporate or of a class of its members, to exercise or control the exercise of a right attached to a security, not being a security of which he or she is the registered holder.
[Definition] A person shall be deemed to have an interest in a security if that security is held jointly with another person.
[Definition] For the purpose of determining whether a person has an interest in a security, it is immaterial that the interest cannot be related to a particular security.
[Definition] There shall be disregarded— (a) an interest in a security if the interest is that of a person who holds the security as bare trustee; (b) an interest in a security of a person whose ordinary business includes the lending of money if he or she holds the interest only by way of security for the purposes of a transaction entered into in the ordinary course of business in connection with the lending of money; (c) an interest of a person in a security being an interest held by him or her by reason of his holding a prescribed office; and (d) a prescribed interest in a security being an interest of such person, or of the persons included in such class of persons as is prescribed.
[Definition] An interest in a security shall not be disregarded by reason only of— (a) its remoteness; (b) the manner in which it arose; or (c) the fact that the exercise of a right conferred by the interest is, or is capable of being made, subject to restraint or restriction.</t>
        </is>
      </c>
      <c r="O234" s="8" t="inlineStr">
        <is>
          <t>Definition of "interest in securities"</t>
        </is>
      </c>
    </row>
    <row r="235">
      <c r="A235" t="inlineStr">
        <is>
          <t>Kenya</t>
        </is>
      </c>
      <c r="B235" t="inlineStr">
        <is>
          <t>Capital Markets Act</t>
        </is>
      </c>
      <c r="C235" t="inlineStr">
        <is>
          <t>5</t>
        </is>
      </c>
      <c r="D235" s="8" t="inlineStr">
        <is>
          <t>Establishment and membership of the Authority</t>
        </is>
      </c>
      <c r="E235" t="inlineStr">
        <is>
          <t>16–17</t>
        </is>
      </c>
      <c r="F235" t="inlineStr">
        <is>
          <t>Other</t>
        </is>
      </c>
      <c r="G235" t="inlineStr">
        <is>
          <t>High</t>
        </is>
      </c>
      <c r="H235" t="inlineStr">
        <is>
          <t>High (explicit)</t>
        </is>
      </c>
      <c r="I235" s="8" t="inlineStr">
        <is>
          <t>Governance, Record Keeping</t>
        </is>
      </c>
      <c r="J235" s="8" t="inlineStr">
        <is>
          <t>Financial Data</t>
        </is>
      </c>
      <c r="K235" t="inlineStr">
        <is>
          <t>Cabinet Secretary</t>
        </is>
      </c>
      <c r="L235" s="8" t="inlineStr">
        <is>
          <t>This section establishes the Capital Markets Authority as a body corporate with perpetual succession and a common seal. It outlines the composition of the Authority, including the Chairperson appointed by the President on the Cabinet Secretary's recommendation, six other members appointed by the Cabinet Secretary, and specific roles such as the Principal Secretary to the National Treasury, the Governor of the Central Bank of Kenya, the Attorney-General, and the chief executive of the Authority. It also details the term of office, re-appointment eligibility, and conditions for resignation or removal.</t>
        </is>
      </c>
      <c r="M235" s="8" t="inlineStr"/>
      <c r="N235" s="8" t="inlineStr">
        <is>
          <t>[Establishment] There is hereby established an authority to be known as the Capital Markets Authority.
[Establishment] The Authority shall be a body corporate with perpetual succession and a common seal and shall be capable in its corporate name of— (a) suing and being sued; (b) taking, purchasing or otherwise acquiring, holding, charging and disposing of both movable and immovable property; (c) borrowing and lending money; (d) entering into contracts; and (e) doing or performing all such other things or acts necessary for the proper performance of its functions under this Act which may lawfully be done by a body corporate.
[Establishment] The Authority shall consist of— (a) a Chairperson to be appointed by the President on the recommendation of the Cabinet Secretary; (b) six other members appointed by the Cabinet Secretary; (c) the Principal Secretary to the National Treasury or a person deputed by him or her in writing for the purposes of this Act; (d) the Governor of the Central Bank of Kenya or a person deputed by him or her in writing for the purposes of this Act; (e) the Attorney-General or a person deputed by him or her in writing for the purposes of this Act; (f) the chief executive of the Authority.
[Establishment] The Chairperson and every member appointed under paragraph (b) of subsection (3) shall be appointed from amongst persons who have experience and expertise in legal, financial, banking, accounting, economics or insurance matters.
[Establishment] The Chairperson and every member appointed under paragraph (b) of subsection (3) shall hold office for a period of three years and shall be eligible for re-appointment for a further term of three years.
[Establishment] The members of the Authority shall be appointed at different times so that the respective expiry dates of their terms of office shall fall at different times.
[Establishment] Any member appointed under subsection (3)(b) shall cease to hold office if— (a) he or she delivers to the Cabinet Secretary a written resignation of his appointment; (b) on the advice of the Authority, the Cabinet Secretary removes him or her from office on the grounds that he or she is incapacitated by mental or physical illness or is otherwise unable or unfit to discharge the functions of a member or is unable to continue as a member; (c) he or she has been absent from three consecutive meetings of the Authority without leave or good cause; (d) he or she is adjudged bankrupt or enters into a composition scheme or arrangement with his creditors; (e) he or she is sentenced by a court to imprisonment for a term of six months or more; or (f) he or she is convicted of an offence involving dishonesty, fraud or moral turpitude.
[Establishment] In the event of vacation of office by any member appointed under subsection (3)(b) the Cabinet Secretary may appoint another person to hold office for the unexpired period of the term of office of the member in whose place he or she is appointed.
[Establishment] If any member of the Authority appointed under paragraph (b) of subsection (3) is temporarily unable to perform his duties, the Cabinet Secretary may appoint another person to act in his place during the period of his absence.
[Establishment] The members of the Authority shall be paid such remuneration and allowances out of the general fund of the Authority as may be determined by the Cabinet Secretary.</t>
        </is>
      </c>
      <c r="O235" s="8" t="inlineStr">
        <is>
          <t>Establishment and membership of the Authority</t>
        </is>
      </c>
    </row>
    <row r="236">
      <c r="A236" t="inlineStr">
        <is>
          <t>Kenya</t>
        </is>
      </c>
      <c r="B236" t="inlineStr">
        <is>
          <t>Capital Markets Act</t>
        </is>
      </c>
      <c r="C236" t="inlineStr">
        <is>
          <t>6</t>
        </is>
      </c>
      <c r="D236" s="8" t="inlineStr">
        <is>
          <t>Meetings and procedures of the Authority</t>
        </is>
      </c>
      <c r="E236" t="inlineStr">
        <is>
          <t>17</t>
        </is>
      </c>
      <c r="F236" t="inlineStr">
        <is>
          <t>Governance</t>
        </is>
      </c>
      <c r="G236" t="inlineStr">
        <is>
          <t>Medium</t>
        </is>
      </c>
      <c r="H236" t="inlineStr">
        <is>
          <t>High (explicit)</t>
        </is>
      </c>
      <c r="I236" s="8" t="inlineStr">
        <is>
          <t>Governance</t>
        </is>
      </c>
      <c r="J236" s="8" t="inlineStr"/>
      <c r="K236" t="inlineStr">
        <is>
          <t>Cabinet Secretary</t>
        </is>
      </c>
      <c r="L236" s="8" t="inlineStr">
        <is>
          <t>The Authority's Board must meet at least six times annually with no more than two months between meetings. A quorum of six members, including the chief executive, is required for business decisions. The Chairperson presides at meetings but can be elected by members if absent. Decisions require a majority vote, with the Chairperson having a casting vote in case of equality. Temporary Chairperson appointments can be made during absence, and members with conflicts of interest must disclose their interests and recuse themselves from decisions unless the majority deems their expertise necessary.</t>
        </is>
      </c>
      <c r="M236" s="8" t="inlineStr">
        <is>
          <t>This section establishes governance procedures for the Authority, ensuring regular board meetings and quorum requirements that may impact internal oversight mechanisms for data handling activities. The conflict of interest rules could affect data processing decisions involving internal stakeholders.</t>
        </is>
      </c>
      <c r="N236" s="8" t="inlineStr">
        <is>
          <t>[Must] The Board shall meet not less than six times in every financial year and not more than two months shall elapse between the date of one meeting and the date of the next meeting.
[Must] The quorum for the conduct of the business of the Board shall be six members including the chief executive.
[Must] The Chairperson shall preside at every meeting of the Board at which he or she is present but in his absence, the members present shall elect one of their number who shall, with respect to that meeting and the business transacted thereat, have all the powers of the Chairperson.
[Must] All questions for decisions at any meeting of the Authority shall be decided by the vote of the majority of the members present and in case of an equality of votes the Chairperson shall have a casting vote.
[Must] If the Chairperson of the Authority, by reason of extended illness or absence is temporarily unable to perform the duties of his office, the President, on the recommendation of the Cabinet Secretary, shall appoint another member of the Authority to act in his place during the period of absence.
[May] The Chairperson may at any time resign by a letter addressed to the President and the resignation shall take effect upon being accepted by the President.
[Must] Any member who has a direct or indirect interest in any decision that is to be taken on any specific non-rule making matter by the Authority, shall disclose the nature of such interest at the meeting of the Authority where such decision is being taken and the disclosure shall be recorded in the minutes of the meeting, and if either the member or majority of the members of the Authority believe that such member's interest in the matter is such as to influence his judgment, he or she shall not participate in the deliberation or the decision of the Authority on such matter.
[May] Provided, that if a majority of the members in attendance at a meeting where such matter is considered determine that the experience or expertise of the interested member is necessary for the deliberation on the matter, they may permit such member to participate as they deem appropriate.</t>
        </is>
      </c>
      <c r="O236" s="8" t="inlineStr">
        <is>
          <t>Meetings and procedures of the Authority (1) The Board shall meet not less than six times in every financial year and not more than two months shall elapse between the date of one meeting and the date of the next meeting.</t>
        </is>
      </c>
    </row>
    <row r="237">
      <c r="A237" t="inlineStr">
        <is>
          <t>Kenya</t>
        </is>
      </c>
      <c r="B237" t="inlineStr">
        <is>
          <t>Capital Markets Act</t>
        </is>
      </c>
      <c r="C237" t="inlineStr">
        <is>
          <t>8</t>
        </is>
      </c>
      <c r="D237" s="8" t="inlineStr">
        <is>
          <t>Appointment of chief executive of the Authority</t>
        </is>
      </c>
      <c r="E237" t="inlineStr">
        <is>
          <t>18</t>
        </is>
      </c>
      <c r="F237" t="inlineStr">
        <is>
          <t>Governance</t>
        </is>
      </c>
      <c r="G237" t="inlineStr">
        <is>
          <t>High</t>
        </is>
      </c>
      <c r="H237" t="inlineStr">
        <is>
          <t>High (explicit)</t>
        </is>
      </c>
      <c r="I237" s="8" t="inlineStr">
        <is>
          <t>Governance</t>
        </is>
      </c>
      <c r="J237" s="8" t="inlineStr"/>
      <c r="K237" t="inlineStr">
        <is>
          <t>Cabinet Secretary</t>
        </is>
      </c>
      <c r="L237" s="8" t="inlineStr">
        <is>
          <t>The Chief Executive of the Authority is appointed by the Cabinet Secretary with specific qualifications: at least ten years of senior management experience in law, finance, accounting, economics, banking, or insurance, and expertise in money or capital markets. The Chief Executive serves a four-year term with eligibility for reappointment for a further four years, but no more than two terms. The Chief Executive operates under the Authority's direction and is responsible for managing the Authority's affairs and functions.</t>
        </is>
      </c>
      <c r="M237" s="8" t="inlineStr">
        <is>
          <t>This section outlines the appointment and term of the Chief Executive, which may indirectly affect data governance structures within the Authority but does not directly address data transfer or processing requirements.</t>
        </is>
      </c>
      <c r="N237" s="8" t="inlineStr">
        <is>
          <t>[Must] There shall be a Chief Executive of the Authority who shall be appointed by the Cabinet Secretary and who shall, subject to this section, hold office on such terms and conditions of service as may be specified in the instrument of appointment, or otherwise from time to time.
[Must] No person shall be qualified for appointment under this section unless such person— (a) has at least ten years' experience at a senior management level in matters relating to law, finance, accounting, economics, banking or insurance; and (b) has expertise in matters relating to money or capital markets or finance.
[Must] The Cabinet Secretary, in consultation with the Board, shall appoint a person qualified in terms of this section as the chief executive.
[Must] The chief executive shall hold office for a period of four years but shall be eligible for reappointment for a further term of four years: Provided that no person shall serve as the chief executive for more than two terms.
[Must] The chief executive shall, subject to the general direction and control of the Authority, be charged with the direction of the affairs and transactions of the Authority, the exercise, discharge and performance of its objectives, functions and duties, and the administration and control of the servants of the Authority.</t>
        </is>
      </c>
      <c r="O237" s="8" t="inlineStr">
        <is>
          <t>Appointment of chief executive of the Authority (1) There shall be a Chief Executive of the Authority who shall be appointed by the Cabinet Secretary</t>
        </is>
      </c>
    </row>
    <row r="238">
      <c r="A238" t="inlineStr">
        <is>
          <t>Kenya</t>
        </is>
      </c>
      <c r="B238" t="inlineStr">
        <is>
          <t>Capital Markets Act</t>
        </is>
      </c>
      <c r="C238" t="inlineStr">
        <is>
          <t>11</t>
        </is>
      </c>
      <c r="D238" s="8" t="inlineStr">
        <is>
          <t>Objectives of the Authority</t>
        </is>
      </c>
      <c r="E238" t="inlineStr">
        <is>
          <t>19–21</t>
        </is>
      </c>
      <c r="F238" t="inlineStr">
        <is>
          <t>Other</t>
        </is>
      </c>
      <c r="G238" t="inlineStr">
        <is>
          <t>High</t>
        </is>
      </c>
      <c r="H238" t="inlineStr">
        <is>
          <t>High (explicit)</t>
        </is>
      </c>
      <c r="I238" s="8" t="inlineStr"/>
      <c r="J238" s="8" t="inlineStr">
        <is>
          <t>Personal Information</t>
        </is>
      </c>
      <c r="K238" t="inlineStr">
        <is>
          <t>Authority</t>
        </is>
      </c>
      <c r="L238" s="8" t="inlineStr">
        <is>
          <t>The Authority aims to develop capital markets, facilitate securities and derivatives markets, ensure orderly trading, protect investor interests, establish compensation funds for broker failures, and promote electronic commerce for capital markets. It has broad powers to advise the government, implement policies, employ staff, impose sanctions, grant licenses, regulate markets, and conduct inspections. The Authority also ensures personal data processing complies with the Data Protection Act (Cap. 411C).</t>
        </is>
      </c>
      <c r="M238" s="8" t="inlineStr">
        <is>
          <t>This section defines the Authority's objectives and powers, including specific obligations to ensure personal data processing aligns with the Data Protection Act (Cap. 411C), which directly impacts data handling practices within the capital markets sector.</t>
        </is>
      </c>
      <c r="N238" s="8" t="inlineStr">
        <is>
          <t>[Must] The principal objectives of the Authority shall be— (a) the development of all aspects of the capital markets with particular emphasis on the removal of impediments to, and the creation of incentives for longer term investments in, productive enterprises; (b) to facilitate the existence of a nationwide system of securities commodities market and derivatives market and brokerage services so as to enable wider participation of the general public in the securities commodities market and derivatives market; (c) the creation, maintenance and regulation of a market in which securities can be issued and traded in an orderly, fair and efficient manner, through the implementation of a system in which the market participants are self-regulatory to the maximum practicable extent; (d) the protection of investor interests; (e) the facilitation of a compensation fund to protect investors from financial loss arising from the failure of a licensed broker or dealer to meet his contractual obligations; and (f) the development of a framework to facilitate the use of electronic commerce for the development of capital markets in Kenya.
[Must] A reference to electronic commerce shall be construed as a reference to the use of information technology to effect linkages among functions provided by licensed persons or other market participants and describes technology platforms that allow— (a) the transfer and dissemination of market information to a wider number of users within and between networks; (b) the offer, distribution or delivery in electronic form of securities or services ordinarily provided by licensed persons; and (c) the execution of securities transactions without the need for parties to the transaction to be physically present at the same location.
[Must] For the purpose of carrying out its objectives, the Authority may exercise, perform or discharge all or any of the following powers, duties and functions— (a) advise the Cabinet Secretary on all aspects of the development and operation of capital markets; (b) implement policies and programmes of the Government with respect to the capital markets; (c) employ such officers and servants as may be necessary for the proper discharge of the functions of the Authority; (cc) impose sanctions for breach of the provisions of this Act or the regulations made thereunder, or for non-compliance with the Authority's requirements or directions, and such sanctions may include— (i) levying of financial penalties, proportional to the gravity or severity of the breach, as may be prescribed; (ii) ordering a person to remedy or mitigate the effect of the breach, make restitution or pay compensation to any person aggrieved by the breach; (iii) publishing findings of malfeasance by any person; (iv) suspending or cancelling the listing of any securities or exchange-traded derivatives contracts, or the trading of any securities or exchange-traded derivatives contracts, for the protection of investors; (d) to issue guidelines and notices on all matters within the jurisdiction of the Authority under this Act; (e) to grant a licence to any person to operate as a stockbroker, derivatives broker, dealer or investment adviser, fund manager, investment bank, central depository or authorised securities dealer, and ensure the proper conduct of that business; (f) to grant approval to any person to operate as a securities exchange, commodity exchange, derivatives exchange, credit rating agency, registered venture capital company or to operate in any other capacity which directly contributes to the attainment of the objectives of this Act and to ensure the proper conduct of that business; (fa) regulate spot commodity markets; (ff) recognize any person duly licensed by a prescribed foreign authority to carry on any licensed activity in Kenya which requires a license or an approval under this Act; (g) register, approve and regulate collective investment schemes; (ga) license, approve and regulate private equity and venture capital companies that have access to public funds; (h) inquire, either on its own motion or at the request of any other person, into the affairs of any person which the Authority has approved or to which it has granted a licence and any public company the securities of which are publicly offered or traded on an approved securities exchange or on an over the counter market; (i) give directions to any person which the Authority has approved or to which it has granted a licence and any public company the securities of which are publicly offered or traded on an approved securities exchange or on an over the counter market; (j) conduct inspection of the activities, books and records of any persons approved or licensed by the Authority; (k) deleted by , s. 46(b); (l) deleted by , s. 46(b); (m) appoint an auditor to carry out a specific audit of the financial operations of any collective investment scheme or public company the securities of which are publicly offered or traded on an approved securities exchange or on an over the counter market, if such action is deemed to be in the interest of the investors, at the expense of such collective investment scheme or company; (n) grant compensation to any investor who suffers pecuniary loss resulting from the failure of a licensed broker or dealer to meet his contractual obligations; (o) have recourse against any person whose act or omission has resulted in a payment from the Compensation Fund; (p) act as an appellate body in respect of appeals against any self regulatory organization securities or exchange-traded derivatives contracts exchange, derivatives exchange or central depository in actions by parties aggrieved thereby; (q) co-operate or enter into agreements for mutual co-operation with other regulatory authorities for the development and regulation of cross-border activities in capital markets; (r) regulate and oversee the issue and subsequent trading, both in primary and secondary markets, of capital market instruments; (s) regulate the use of electronic commerce for dealing in securities or offer services ordinarily carried out by a licensed person; (t) trace any assets, including bank accounts, of any person who, upon investigation by the Authority, is found to have engaged in any fraudulent dealings in an issuer and its securities or insider trading; (u) in writing, order caveats to be placed against the title to such assets or prohibit any such person from operating any such bank accounts as may be directed by the Authority, pending determination of any charges instituted against that person; (v) prescribe notices or guidelines on corporate governance of a company whose securities have been issued to the public or a section of the public; (va) ensure processing of personal data in the operations of capital markets is in accordance with principles set out under the Data Protection Act (Cap. 411C); (w) do all such other acts as may be incidental or conducive to the attainment of the objectives of the Authority or the exercise of its powers under this Act.</t>
        </is>
      </c>
      <c r="O238" s="8" t="inlineStr">
        <is>
          <t>Objectives of the Authority (1) The principal objectives of the Authority shall be— (a) the development of all aspects of the capital markets with particular emphasis on the removal of impediments to, and the creation of incentives for longer term investments in, productive enterprises; (b) to facilitate the existence of a nationwide system of securities commodities market and derivatives market and brokerage services so as to enable wider participation of the general public in the securities commodities market and derivatives market; (c) the creation, maintenance and regulation of a market in which securities can be issued and traded in an orderly, fair and efficient manner, through the implementation of a system in which the market participants are self-regulatory to the maximum practicable extent; (d) the protection of investor interests; (e) the facilitation of a compensation fund to protect investors from financial loss arising from the failure of a licensed broker or dealer to meet his contractual obligations; and (f) the development of a framework to facilitate the use of electronic commerce for the development of capital markets in Kenya.</t>
        </is>
      </c>
    </row>
    <row r="239">
      <c r="A239" t="inlineStr">
        <is>
          <t>Kenya</t>
        </is>
      </c>
      <c r="B239" t="inlineStr">
        <is>
          <t>Capital Markets Act</t>
        </is>
      </c>
      <c r="C239" t="inlineStr">
        <is>
          <t>12</t>
        </is>
      </c>
      <c r="D239" s="8" t="inlineStr">
        <is>
          <t>Power of the Cabinet Secretary to issue rules and regulations ......................................................................................... 15</t>
        </is>
      </c>
      <c r="E239" t="inlineStr">
        <is>
          <t>3</t>
        </is>
      </c>
      <c r="F239" t="inlineStr">
        <is>
          <t>Other</t>
        </is>
      </c>
      <c r="G239" t="inlineStr">
        <is>
          <t>High</t>
        </is>
      </c>
      <c r="H239" t="inlineStr">
        <is>
          <t>High (explicit)</t>
        </is>
      </c>
      <c r="I239" s="8" t="inlineStr">
        <is>
          <t>Financial Data</t>
        </is>
      </c>
      <c r="J239" s="8" t="inlineStr">
        <is>
          <t>Financial Data</t>
        </is>
      </c>
      <c r="K239" t="inlineStr">
        <is>
          <t>Cabinet Secretary</t>
        </is>
      </c>
      <c r="L239" s="8" t="inlineStr">
        <is>
          <t>The Cabinet Secretary has authority to create rules and regulations covering securities listing, disclosures by market participants, record-keeping requirements, capital market operations, foreign investor participation, investment schemes, venture capital, credit rating agencies, securities trading, clearing, settlement, forex activities, fund managers, and financial penalties. These rules must align with promoting an efficient securities market and be publicly exposed for 30 days for stakeholder feedback.</t>
        </is>
      </c>
      <c r="M239" s="8" t="inlineStr">
        <is>
          <t>Rules and regulations must be consistent with market efficiency objectives and undergo public consultation before implementation, which impacts how financial data is governed across borders through the Authority's regulatory framework.</t>
        </is>
      </c>
      <c r="N239" s="8" t="inlineStr">
        <is>
          <t>[Must] The Cabinet Secretary shall formulate such rules and regulations as may be required to regulate listing and de-listing of securities on a securities exchange
[Must] The Cabinet Secretary shall formulate such rules and regulations as may be required to regulate disclosures about securities transactions by stockbrokers, derivatives brokers and dealers
[Must] The Cabinet Secretary shall formulate such rules and regulations as may be required to regulate the keeping and proper maintenance of books, records, accounts and audits by all persons approved or licensed by the Authority
[Must] All rules and regulations formulated under subsection (1) shall take into account and be consistent with the objective of promoting and maintaining an effective and efficient securities market
[Must] All rules and regulations formulated under subsection (1) shall be exposed for comment by stakeholders and the general public for a period of thirty days through notification in at least two daily newspapers of national circulation and the electronic media</t>
        </is>
      </c>
      <c r="O239" s="8" t="inlineStr">
        <is>
          <t>The Cabinet Secretary shall formulate such rules and regulations as may be required to regulate— (a) listing and de-listing of securities on a securities exchange; (b) disclosures about securities transactions by— (i) stockbrokers, derivatives brokers and dealers; (ii) persons who acquire or dispose of securities or exchange-traded derivatives contracts; (iii) a securities exchange;</t>
        </is>
      </c>
    </row>
    <row r="240">
      <c r="A240" t="inlineStr">
        <is>
          <t>Kenya</t>
        </is>
      </c>
      <c r="B240" t="inlineStr">
        <is>
          <t>Capital Markets Act</t>
        </is>
      </c>
      <c r="C240" t="inlineStr">
        <is>
          <t>12</t>
        </is>
      </c>
      <c r="D240" s="8" t="inlineStr">
        <is>
          <t>Power of the Cabinet Secretary to issue rules and regulations</t>
        </is>
      </c>
      <c r="E240" t="inlineStr">
        <is>
          <t>21–24</t>
        </is>
      </c>
      <c r="F240" t="inlineStr">
        <is>
          <t>Other</t>
        </is>
      </c>
      <c r="G240" t="inlineStr">
        <is>
          <t>High</t>
        </is>
      </c>
      <c r="H240" t="inlineStr">
        <is>
          <t>High (explicit)</t>
        </is>
      </c>
      <c r="I240" s="8" t="inlineStr">
        <is>
          <t>Financial Data</t>
        </is>
      </c>
      <c r="J240" s="8" t="inlineStr">
        <is>
          <t>Financial Data</t>
        </is>
      </c>
      <c r="K240" t="inlineStr">
        <is>
          <t>Cabinet Secretary</t>
        </is>
      </c>
      <c r="L240" s="8" t="inlineStr">
        <is>
          <t>The Cabinet Secretary has authority to create rules and regulations covering securities listing, disclosures by market participants, record-keeping requirements, capital market operations, foreign investor participation, investment schemes, venture capital, credit rating agencies, securities trading, clearing, settlement, forex activities, fund managers, and financial penalties. These rules must align with promoting an efficient securities market and be publicly exposed for 30 days for stakeholder feedback.</t>
        </is>
      </c>
      <c r="M240" s="8" t="inlineStr">
        <is>
          <t>Rules and regulations must be consistent with market efficiency objectives and undergo public consultation before implementation, which impacts how financial data is governed across borders through the Authority's regulatory framework.</t>
        </is>
      </c>
      <c r="N240" s="8" t="inlineStr">
        <is>
          <t>[Must] The Cabinet Secretary shall formulate such rules and regulations as may be required to regulate listing and de-listing of securities on a securities exchange
[Must] The Cabinet Secretary shall formulate such rules and regulations as may be required to regulate disclosures about securities transactions by stockbrokers, derivatives brokers and dealers
[Must] The Cabinet Secretary shall formulate such rules and regulations as may be required to regulate the keeping and proper maintenance of books, records, accounts and audits by all persons approved or licensed by the Authority
[Must] All rules and regulations formulated under subsection (1) shall take into account and be consistent with the objective of promoting and maintaining an effective and efficient securities market
[Must] All rules and regulations formulated under subsection (1) shall be exposed for comment by stakeholders and the general public for a period of thirty days through notification in at least two daily newspapers of national circulation and the electronic media</t>
        </is>
      </c>
      <c r="O240" s="8" t="inlineStr">
        <is>
          <t>The Cabinet Secretary shall formulate such rules and regulations as may be required to regulate— (a) listing and de-listing of securities on a securities exchange; (b) disclosures about securities transactions by— (i) stockbrokers, derivatives brokers and dealers; (ii) persons who acquire or dispose of securities or exchange-traded derivatives contracts; (iii) a securities exchange;</t>
        </is>
      </c>
    </row>
    <row r="241">
      <c r="A241" t="inlineStr">
        <is>
          <t>Kenya</t>
        </is>
      </c>
      <c r="B241" t="inlineStr">
        <is>
          <t>Capital Markets Act</t>
        </is>
      </c>
      <c r="C241" t="inlineStr">
        <is>
          <t>13</t>
        </is>
      </c>
      <c r="D241" s="8" t="inlineStr">
        <is>
          <t>Furnishing of information to the Authority .............................................................................................................................. 18</t>
        </is>
      </c>
      <c r="E241" t="inlineStr">
        <is>
          <t>3</t>
        </is>
      </c>
      <c r="F241" t="inlineStr">
        <is>
          <t>Other</t>
        </is>
      </c>
      <c r="G241" t="inlineStr">
        <is>
          <t>High</t>
        </is>
      </c>
      <c r="H241" t="inlineStr">
        <is>
          <t>High (explicit)</t>
        </is>
      </c>
      <c r="I241" s="8" t="inlineStr">
        <is>
          <t>Data Sharing, Financial Data</t>
        </is>
      </c>
      <c r="J241" s="8" t="inlineStr">
        <is>
          <t>Financial Data</t>
        </is>
      </c>
      <c r="K241" t="inlineStr">
        <is>
          <t>Authority</t>
        </is>
      </c>
      <c r="L241" s="8" t="inlineStr">
        <is>
          <t>The Authority may require persons to provide information in writing within a specified period. The Authority may not disclose information obtained unless required by court law, except when assisting foreign regulatory bodies under specific conditions involving public interest or regulatory functions.</t>
        </is>
      </c>
      <c r="M241" s="8" t="inlineStr">
        <is>
          <t>Information sharing with foreign regulators requires demonstrating public interest or regulatory function, which affects cross-border data transfers.</t>
        </is>
      </c>
      <c r="N241" s="8" t="inlineStr">
        <is>
          <t>[Must] The Authority or any person officially authorized in that behalf by the Authority may, by notice in writing, require any person to furnish to the Authority or to the authorized person, within such period as is specified in the notice, all such returns or information as specified in such notice
[Must Not] The Authority or any member thereof, or any officer or servant of the Authority, shall not disclose to any person or use any return or information acquired under subsection (1) except for the purpose of achieving the objectives of the Authority unless required to do so by a court of law
[May] The Authority may, where it receives a request from a regulatory body, whether established within or outside Kenya, for assistance in investigating a person specified by the regulatory body who has contravened or is contravening any legal or regulatory requirements
[Must] A regulatory body which requests for assistance under subsection (3) shall demonstrate that it is desirable or expedient that the assistance requested should be provided in the interest of the public
[Must] A regulatory body which requests for assistance under subsection (3) shall demonstrate that the assistance shall assist the regulatory body in the discharge and performance of its functions
[Must] The Authority shall, in deciding whether the requirement under subsection (5) is satisfied in a particular case, take into account whether the regulatory body shall pay the Authority any of the costs and expenses incurred in providing the assistance
[Must] The Authority shall, in deciding whether the requirement under subsection (5) is satisfied in a particular case, take into account whether the regulatory body shall be able and willing to provide reciprocal assistance within its jurisdiction in response to a similar request for assistance from Kenya</t>
        </is>
      </c>
      <c r="O241" s="8" t="inlineStr">
        <is>
          <t>The Authority or any person officially authorized in that behalf by the Authority may, by notice in writing, require any person to furnish to the Authority or to the authorized person, within such period as is specified in the notice, all such returns or information as specified in such notice.</t>
        </is>
      </c>
    </row>
    <row r="242">
      <c r="A242" t="inlineStr">
        <is>
          <t>Kenya</t>
        </is>
      </c>
      <c r="B242" t="inlineStr">
        <is>
          <t>Capital Markets Act</t>
        </is>
      </c>
      <c r="C242" t="inlineStr">
        <is>
          <t>13</t>
        </is>
      </c>
      <c r="D242" s="8" t="inlineStr">
        <is>
          <t>Furnishing of information to the Authority</t>
        </is>
      </c>
      <c r="E242" t="inlineStr">
        <is>
          <t>24–26</t>
        </is>
      </c>
      <c r="F242" t="inlineStr">
        <is>
          <t>Other</t>
        </is>
      </c>
      <c r="G242" t="inlineStr">
        <is>
          <t>High</t>
        </is>
      </c>
      <c r="H242" t="inlineStr">
        <is>
          <t>High (explicit)</t>
        </is>
      </c>
      <c r="I242" s="8" t="inlineStr">
        <is>
          <t>Data Sharing, Financial Data</t>
        </is>
      </c>
      <c r="J242" s="8" t="inlineStr">
        <is>
          <t>Financial Data</t>
        </is>
      </c>
      <c r="K242" t="inlineStr">
        <is>
          <t>Authority</t>
        </is>
      </c>
      <c r="L242" s="8" t="inlineStr">
        <is>
          <t>The Authority may require persons to provide information in writing within a specified period. The Authority may not disclose information obtained unless required by court law, except when assisting foreign regulatory bodies under specific conditions involving public interest or regulatory functions.</t>
        </is>
      </c>
      <c r="M242" s="8" t="inlineStr">
        <is>
          <t>Information sharing with foreign regulators requires demonstrating public interest or regulatory function, which affects cross-border data transfers.</t>
        </is>
      </c>
      <c r="N242" s="8" t="inlineStr">
        <is>
          <t>[Must] The Authority or any person officially authorized in that behalf by the Authority may, by notice in writing, require any person to furnish to the Authority or to the authorized person, within such period as is specified in the notice, all such returns or information as specified in such notice
[Must Not] The Authority or any member thereof, or any officer or servant of the Authority, shall not disclose to any person or use any return or information acquired under subsection (1) except for the purpose of achieving the objectives of the Authority unless required to do so by a court of law
[May] The Authority may, where it receives a request from a regulatory body, whether established within or outside Kenya, for assistance in investigating a person specified by the regulatory body who has contravened or is contravening any legal or regulatory requirements
[Must] A regulatory body which requests for assistance under subsection (3) shall demonstrate that it is desirable or expedient that the assistance requested should be provided in the interest of the public
[Must] A regulatory body which requests for assistance under subsection (3) shall demonstrate that the assistance shall assist the regulatory body in the discharge and performance of its functions
[Must] The Authority shall, in deciding whether the requirement under subsection (5) is satisfied in a particular case, take into account whether the regulatory body shall pay the Authority any of the costs and expenses incurred in providing the assistance
[Must] The Authority shall, in deciding whether the requirement under subsection (5) is satisfied in a particular case, take into account whether the regulatory body shall be able and willing to provide reciprocal assistance within its jurisdiction in response to a similar request for assistance from Kenya</t>
        </is>
      </c>
      <c r="O242" s="8" t="inlineStr">
        <is>
          <t>The Authority or any person officially authorized in that behalf by the Authority may, by notice in writing, require any person to furnish to the Authority or to the authorized person, within such period as is specified in the notice, all such returns or information as specified in such notice.</t>
        </is>
      </c>
    </row>
    <row r="243">
      <c r="A243" t="inlineStr">
        <is>
          <t>Kenya</t>
        </is>
      </c>
      <c r="B243" t="inlineStr">
        <is>
          <t>Capital Markets Act</t>
        </is>
      </c>
      <c r="C243" t="inlineStr">
        <is>
          <t>16</t>
        </is>
      </c>
      <c r="D243" s="8" t="inlineStr">
        <is>
          <t>Financial year of Authority</t>
        </is>
      </c>
      <c r="E243" t="inlineStr">
        <is>
          <t>26–27</t>
        </is>
      </c>
      <c r="F243" t="inlineStr">
        <is>
          <t>Other</t>
        </is>
      </c>
      <c r="G243" t="inlineStr">
        <is>
          <t>Low</t>
        </is>
      </c>
      <c r="H243" t="inlineStr">
        <is>
          <t>High (explicit)</t>
        </is>
      </c>
      <c r="I243" s="8" t="inlineStr">
        <is>
          <t>Financial Data</t>
        </is>
      </c>
      <c r="J243" s="8" t="inlineStr">
        <is>
          <t>Financial Data</t>
        </is>
      </c>
      <c r="K243" t="inlineStr"/>
      <c r="L243" s="8" t="inlineStr">
        <is>
          <t>The Authority's financial year runs from July 1 to June 30 of the following year, defining the fiscal period for financial reporting and accountability.</t>
        </is>
      </c>
      <c r="M243" s="8" t="inlineStr">
        <is>
          <t>The Authority's fiscal year structure impacts financial data retention and reporting timelines.</t>
        </is>
      </c>
      <c r="N243" s="8" t="inlineStr">
        <is>
          <t>[Must] The financial year of the Authority shall be the period of twelve months commencing on the first day of July in each year</t>
        </is>
      </c>
      <c r="O243" s="8" t="inlineStr">
        <is>
          <t>The financial year of the Authority shall be the period of twelve months commencing on the first day of July in each year.</t>
        </is>
      </c>
    </row>
    <row r="244">
      <c r="A244" t="inlineStr">
        <is>
          <t>Kenya</t>
        </is>
      </c>
      <c r="B244" t="inlineStr">
        <is>
          <t>Capital Markets Act</t>
        </is>
      </c>
      <c r="C244" t="inlineStr">
        <is>
          <t>17</t>
        </is>
      </c>
      <c r="D244" s="8" t="inlineStr">
        <is>
          <t>Accounts</t>
        </is>
      </c>
      <c r="E244" t="inlineStr">
        <is>
          <t>27</t>
        </is>
      </c>
      <c r="F244" t="inlineStr">
        <is>
          <t>Data Storage</t>
        </is>
      </c>
      <c r="G244" t="inlineStr">
        <is>
          <t>High</t>
        </is>
      </c>
      <c r="H244" t="inlineStr">
        <is>
          <t>High (explicit)</t>
        </is>
      </c>
      <c r="I244" s="8" t="inlineStr">
        <is>
          <t>Data Storage</t>
        </is>
      </c>
      <c r="J244" s="8" t="inlineStr">
        <is>
          <t>Financial Data</t>
        </is>
      </c>
      <c r="K244" t="inlineStr">
        <is>
          <t>Capital Markets Authority</t>
        </is>
      </c>
      <c r="L244" s="8" t="inlineStr">
        <is>
          <t>The Authority is required to maintain proper books of accounts detailing its income, expenditures, assets, liabilities, and all other transactions. This obligation ensures transparent financial record-keeping for the Authority's operations and accountability in financial management.</t>
        </is>
      </c>
      <c r="M244" s="8" t="inlineStr"/>
      <c r="N244" s="8" t="inlineStr">
        <is>
          <t>[Must] The Authority shall cause proper books of accounts to be kept of its income and expenditures, assets and liabilities and all other transactions of the Authority.</t>
        </is>
      </c>
      <c r="O244" s="8" t="inlineStr">
        <is>
          <t>The Authority shall cause proper books of accounts to be kept of its income and expenditures, assets and liabilities and all other transactions of the Authority.</t>
        </is>
      </c>
    </row>
    <row r="245">
      <c r="A245" t="inlineStr">
        <is>
          <t>Kenya</t>
        </is>
      </c>
      <c r="B245" t="inlineStr">
        <is>
          <t>Capital Markets Act</t>
        </is>
      </c>
      <c r="C245" t="inlineStr">
        <is>
          <t>18</t>
        </is>
      </c>
      <c r="D245" s="8" t="inlineStr">
        <is>
          <t>Establishment of the Investor Compensation Fund ............................................................................................................... 21</t>
        </is>
      </c>
      <c r="E245" t="inlineStr">
        <is>
          <t>3–4</t>
        </is>
      </c>
      <c r="F245" t="inlineStr">
        <is>
          <t>Other</t>
        </is>
      </c>
      <c r="G245" t="inlineStr">
        <is>
          <t>High</t>
        </is>
      </c>
      <c r="H245" t="inlineStr">
        <is>
          <t>Medium (merged from chunks)</t>
        </is>
      </c>
      <c r="I245" s="8" t="inlineStr">
        <is>
          <t>Financial Data</t>
        </is>
      </c>
      <c r="J245" s="8" t="inlineStr">
        <is>
          <t>Financial Data</t>
        </is>
      </c>
      <c r="K245" t="inlineStr">
        <is>
          <t>Authority</t>
        </is>
      </c>
      <c r="L245" s="8" t="inlineStr">
        <is>
          <t>This section establishes the Investor Compensation Fund to compensate investors who suffer pecuniary loss due to licensed stockbrokers or dealers failing to meet contractual obligations. The Fund is funded through contributions from licensed persons, fines, penalties, interest, recovered sums, and approved external sources. The Authority may reward individuals who provide timely information leading to Fund recoveries, with rewards capped at five million shillings. Offenders who collude or provide false information face fines up to five million shillings or imprisonment for five years. This section establishes the Investor Compensation Fund, requiring auditors to prepare and audit financial statements in accordance with regulatory standards. It mandates auditors to report specific adverse changes, potential contraventions of the Act, financial crimes, or serious irregularities to the Authority. The section explicitly states that such reports do not constitute auditor breaches of duty.</t>
        </is>
      </c>
      <c r="M245" s="8" t="inlineStr">
        <is>
          <t>This section creates a financial safeguard mechanism for investor compensation but does not directly address data transfer or processing requirements. It is irrelevant to Data Transfer Impact Assessments as it focuses on financial compensation mechanisms rather than data flows. This section is irrelevant to Data Transfer Impact Assessments as it pertains to investor compensation funds and auditor reporting obligations unrelated to data transfers, international processing, or cross-border data flows.</t>
        </is>
      </c>
      <c r="N245" s="8" t="inlineStr">
        <is>
          <t>[Must] There shall be established a Fund to be known as the Investor Compensation Fund for the purposes of granting compensation to investors who suffer pecuniary loss resulting from the failure of a licensed stockbroker or dealer to meet his contractual obligations.
[Must] The Compensation Fund shall consist of—(a) such moneys as are required to be paid into the Compensation Fund by licensed persons; (b) such sums of money as are paid under this Act as fines or penalties or under section 34 as ill-gotten gains where those harmed are not specifically identifiable; (c) such sums of money as accrue from interest and profits from investing Compensation Fund moneys; (d) such sums of money recovered by or on behalf of the Authority from entities whose failure to meet their obligations to investors result in payments from the Compensation Fund; (e) interest deemed to accrue on the proceeds of a public issue or offer for sale of shares of a company listed or to be listed on an approved securities exchange, between the closing date and the date of dispatch of refund cheques, or, where there is no refund, the date of dispatch of share certificates or crediting of securities accounts, to be determined at the rate prescribed by the Authority; (f) such sums of money as are received for purposes of the Compensation Fund from any other source approved by the Cabinet Secretary.
[May] The Authority may reward any person who provides new and timely information leading to the recovery of sums of money referred to in subsection (2): Provided that—(a) this provision shall not apply to any officer of the Authority; (b) the reward payable under this subsection shall be three per cent of the amount recovered subject to a maximum of five million shillings; and (c) the reward referred to in paragraph (a) shall be paid before the recovered sums of money are transferred to the Fund.
[Must Not] A person who—(a) colludes with an officer of the Authority for the purpose of collecting the reward under subsection (2A); (b) while working at the Authority aids another person to get and provide information under subsection (2A); (c) provides false information under subsection (2A), commits an offence and shall on conviction be liable to a fine not exceeding five million shillings or to imprisonment for a term not exceeding five years.
[Must] financial statements prepared and audited in accordance with the accounts and audit requirements for regulated persons
[: Must] such other requirements as may be specified by the Authority
[Must] An auditor who, in the course of his audit, has reason to believe that there is or has been an adverse change in the risks inherent in the business of a self-regulatory organization with the potential to jeopardize the ability of the self-regulatory organization to continue as a going concern
[Must] An auditor who, in the course of his audit, has reason to believe that the self-regulatory organization may be in contravention of any provisions of this Act, or directions issued by the Authority
[Must] An auditor who, in the course of his audit, has reason to believe that a financial crime has been or is likely to be committed
[Must] An auditor who, in the course of his audit, has reason to believe that serious irregularities have occurred
[Must] shall report the matter, in writing, to the Authority</t>
        </is>
      </c>
      <c r="O245" s="8" t="inlineStr">
        <is>
          <t>18. Establishment of the Investor Compensation Fund (1) There shall be established a Fund to be known as the Investor Compensation Fund for the purposes of granting compensation to investors who suffer pecuniary loss resulting from the failure of a licensed stockbroker or dealer to meet his contractual obligations.</t>
        </is>
      </c>
    </row>
    <row r="246">
      <c r="A246" t="inlineStr">
        <is>
          <t>Kenya</t>
        </is>
      </c>
      <c r="B246" t="inlineStr">
        <is>
          <t>Capital Markets Act</t>
        </is>
      </c>
      <c r="C246" t="inlineStr">
        <is>
          <t>18</t>
        </is>
      </c>
      <c r="D246" s="8" t="inlineStr">
        <is>
          <t>Establishment of the Investor Compensation Fund</t>
        </is>
      </c>
      <c r="E246" t="inlineStr">
        <is>
          <t>27–31</t>
        </is>
      </c>
      <c r="F246" t="inlineStr">
        <is>
          <t>Other</t>
        </is>
      </c>
      <c r="G246" t="inlineStr">
        <is>
          <t>High</t>
        </is>
      </c>
      <c r="H246" t="inlineStr">
        <is>
          <t>Medium (merged from chunks)</t>
        </is>
      </c>
      <c r="I246" s="8" t="inlineStr">
        <is>
          <t>Financial Data</t>
        </is>
      </c>
      <c r="J246" s="8" t="inlineStr">
        <is>
          <t>Financial Data</t>
        </is>
      </c>
      <c r="K246" t="inlineStr">
        <is>
          <t>Authority</t>
        </is>
      </c>
      <c r="L246" s="8" t="inlineStr">
        <is>
          <t>This section establishes the Investor Compensation Fund to compensate investors who suffer pecuniary loss due to licensed stockbrokers or dealers failing to meet contractual obligations. The Fund is funded through contributions from licensed persons, fines, penalties, interest, recovered sums, and approved external sources. The Authority may reward individuals who provide timely information leading to Fund recoveries, with rewards capped at five million shillings. Offenders who collude or provide false information face fines up to five million shillings or imprisonment for five years. This section establishes the Investor Compensation Fund, requiring auditors to prepare and audit financial statements in accordance with regulatory standards. It mandates auditors to report specific adverse changes, potential contraventions of the Act, financial crimes, or serious irregularities to the Authority. The section explicitly states that such reports do not constitute auditor breaches of duty.</t>
        </is>
      </c>
      <c r="M246" s="8" t="inlineStr">
        <is>
          <t>This section creates a financial safeguard mechanism for investor compensation but does not directly address data transfer or processing requirements. It is irrelevant to Data Transfer Impact Assessments as it focuses on financial compensation mechanisms rather than data flows. This section is irrelevant to Data Transfer Impact Assessments as it pertains to investor compensation funds and auditor reporting obligations unrelated to data transfers, international processing, or cross-border data flows.</t>
        </is>
      </c>
      <c r="N246" s="8" t="inlineStr">
        <is>
          <t>[Must] There shall be established a Fund to be known as the Investor Compensation Fund for the purposes of granting compensation to investors who suffer pecuniary loss resulting from the failure of a licensed stockbroker or dealer to meet his contractual obligations.
[Must] The Compensation Fund shall consist of—(a) such moneys as are required to be paid into the Compensation Fund by licensed persons; (b) such sums of money as are paid under this Act as fines or penalties or under section 34 as ill-gotten gains where those harmed are not specifically identifiable; (c) such sums of money as accrue from interest and profits from investing Compensation Fund moneys; (d) such sums of money recovered by or on behalf of the Authority from entities whose failure to meet their obligations to investors result in payments from the Compensation Fund; (e) interest deemed to accrue on the proceeds of a public issue or offer for sale of shares of a company listed or to be listed on an approved securities exchange, between the closing date and the date of dispatch of refund cheques, or, where there is no refund, the date of dispatch of share certificates or crediting of securities accounts, to be determined at the rate prescribed by the Authority; (f) such sums of money as are received for purposes of the Compensation Fund from any other source approved by the Cabinet Secretary.
[May] The Authority may reward any person who provides new and timely information leading to the recovery of sums of money referred to in subsection (2): Provided that—(a) this provision shall not apply to any officer of the Authority; (b) the reward payable under this subsection shall be three per cent of the amount recovered subject to a maximum of five million shillings; and (c) the reward referred to in paragraph (a) shall be paid before the recovered sums of money are transferred to the Fund.
[Must Not] A person who—(a) colludes with an officer of the Authority for the purpose of collecting the reward under subsection (2A); (b) while working at the Authority aids another person to get and provide information under subsection (2A); (c) provides false information under subsection (2A), commits an offence and shall on conviction be liable to a fine not exceeding five million shillings or to imprisonment for a term not exceeding five years.
[Must] financial statements prepared and audited in accordance with the accounts and audit requirements for regulated persons
[: Must] such other requirements as may be specified by the Authority
[Must] An auditor who, in the course of his audit, has reason to believe that there is or has been an adverse change in the risks inherent in the business of a self-regulatory organization with the potential to jeopardize the ability of the self-regulatory organization to continue as a going concern
[Must] An auditor who, in the course of his audit, has reason to believe that the self-regulatory organization may be in contravention of any provisions of this Act, or directions issued by the Authority
[Must] An auditor who, in the course of his audit, has reason to believe that a financial crime has been or is likely to be committed
[Must] An auditor who, in the course of his audit, has reason to believe that serious irregularities have occurred
[Must] shall report the matter, in writing, to the Authority</t>
        </is>
      </c>
      <c r="O246" s="8" t="inlineStr">
        <is>
          <t>18. Establishment of the Investor Compensation Fund (1) There shall be established a Fund to be known as the Investor Compensation Fund for the purposes of granting compensation to investors who suffer pecuniary loss resulting from the failure of a licensed stockbroker or dealer to meet his contractual obligations.</t>
        </is>
      </c>
    </row>
    <row r="247">
      <c r="A247" t="inlineStr">
        <is>
          <t>Kenya</t>
        </is>
      </c>
      <c r="B247" t="inlineStr">
        <is>
          <t>Capital Markets Act</t>
        </is>
      </c>
      <c r="C247" t="inlineStr">
        <is>
          <t>20</t>
        </is>
      </c>
      <c r="D247" s="8" t="inlineStr">
        <is>
          <t>Application for securities exchange, commodities exchange approval</t>
        </is>
      </c>
      <c r="E247" t="inlineStr">
        <is>
          <t>32</t>
        </is>
      </c>
      <c r="F247" t="inlineStr">
        <is>
          <t>Data Storage</t>
        </is>
      </c>
      <c r="G247" t="inlineStr">
        <is>
          <t>High</t>
        </is>
      </c>
      <c r="H247" t="inlineStr">
        <is>
          <t>High (explicit)</t>
        </is>
      </c>
      <c r="I247" s="8" t="inlineStr">
        <is>
          <t>Data Storage, Financial Data, KYC, AML</t>
        </is>
      </c>
      <c r="J247" s="8" t="inlineStr">
        <is>
          <t>Financial Data</t>
        </is>
      </c>
      <c r="K247" t="inlineStr">
        <is>
          <t>Capital Markets Authority</t>
        </is>
      </c>
      <c r="L247" s="8" t="inlineStr">
        <is>
          <t>Applications for securities or commodities exchange approvals must be submitted to the Authority with prescribed fees and forms. The Authority may approve exchanges if they meet specific criteria, including being a limited liability company, having a properly constituted board, and adopting compliant rules. Approved exchanges must pay annual fees and comply with Authority requirements.</t>
        </is>
      </c>
      <c r="M247" s="8" t="inlineStr"/>
      <c r="N247" s="8" t="inlineStr">
        <is>
          <t>[Must] An application for securities exchange, commodities exchange or derivatives exchange approval shall be made to the Authority in the form and manner prescribed by the Authority and shall be accompanied by the prescribed fee.
[Must] The Authority may, by notice in writing, approve a person as a securities exchange, commodities exchange or derivatives exchange if it is satisfied that the applicant is a limited liability company whose liability is limited by shares, or as may be prescribed by the Authority.
[Must] The Authority may, by notice in writing, approve a person as a securities exchange, commodities exchange or derivatives exchange if it is satisfied that the applicant's board of directors is constituted in a manner prescribed by the Authority.
[Must] The Authority may, by notice in writing, approve a person as a securities exchange, commodities exchange or derivatives exchange if it is satisfied that the applicant has made and adopted rules in compliance with the Act and any Regulations made thereunder.
[Must] All fees to be charged by a securities exchange, commodities exchange or a derivatives exchange shall be subject to prior approval by the Authority notwithstanding the constitution of such securities exchange.
[Must] An approved securities exchange, commodities exchange or a derivatives exchange shall comply with all requirements of the Authority and pay an annual fee to the Authority at such rate as the Authority may prescribe.
[Must] The Authority may require an applicant for a licence as a securities exchange, commodities exchange or a derivatives exchange to lodge an application to be recognized as a self regulatory organization as a condition for obtaining and maintaining its licence.</t>
        </is>
      </c>
      <c r="O247" s="8" t="inlineStr">
        <is>
          <t>An application for securities exchange, commodities exchange or derivatives exchange approval shall be made to the Authority in the form and manner prescribed by the Authority and shall be accompanied by the prescribed fee.</t>
        </is>
      </c>
    </row>
    <row r="248">
      <c r="A248" t="inlineStr">
        <is>
          <t>Kenya</t>
        </is>
      </c>
      <c r="B248" t="inlineStr">
        <is>
          <t>Capital Markets Act</t>
        </is>
      </c>
      <c r="C248" t="inlineStr">
        <is>
          <t>21</t>
        </is>
      </c>
      <c r="D248" s="8" t="inlineStr">
        <is>
          <t>Changes in securities exchange, commodities exchange rules</t>
        </is>
      </c>
      <c r="E248" t="inlineStr">
        <is>
          <t>32–33</t>
        </is>
      </c>
      <c r="F248" t="inlineStr">
        <is>
          <t>Data Storage</t>
        </is>
      </c>
      <c r="G248" t="inlineStr">
        <is>
          <t>High</t>
        </is>
      </c>
      <c r="H248" t="inlineStr">
        <is>
          <t>High (explicit)</t>
        </is>
      </c>
      <c r="I248" s="8" t="inlineStr">
        <is>
          <t>Data Storage, Financial Data, KYC, AML</t>
        </is>
      </c>
      <c r="J248" s="8" t="inlineStr">
        <is>
          <t>Financial Data</t>
        </is>
      </c>
      <c r="K248" t="inlineStr">
        <is>
          <t>Capital Markets Authority</t>
        </is>
      </c>
      <c r="L248" s="8" t="inlineStr">
        <is>
          <t>Approved exchanges must seek prior Authority approval before amending their rules. The Authority reviews proposed rule changes within 30 days, providing reasons for disallowance if applicable. Certain rule changes may take effect immediately if designated as policy, fee adjustments, or administrative matters. Exchanges must inform the Authority of any changes to previously submitted information.</t>
        </is>
      </c>
      <c r="M248" s="8" t="inlineStr"/>
      <c r="N248" s="8" t="inlineStr">
        <is>
          <t>[Must] The rules of an approved securities exchange, commodities exchange or a derivatives exchange, in so far as they have been approved by the Authority, shall not be amended, varied or rescinded without the prior approval of the Authority.
[Must] Where the board of directors of an approved securities exchange, commodities exchange or a derivatives exchange wishes to amend its rules, it shall forward the amendments to the Authority for approval.
[Must] The Authority shall, after hearing from the securities exchange, commodities exchange or a derivatives exchange, and within thirty days of receipt of a notice under subsection (2) give written notice to the securities exchange, commodities exchange or a derivatives exchange stating whether such amendments to the rules are allowed or disallowed and in the event of the rules being disallowed, the Authority shall give reasons for such disallowance.
[May] Notwithstanding the provisions of paragraph (2), a proposed rule change may take effect upon filing with the Authority if designated by the exchanges as a stated policy, practice or interpretation with respect to the meaning, administration or enforcement of an existing rule.
[May] Notwithstanding the provisions of paragraph (2), a proposed rule change may take effect upon filing with the Authority if designated by the exchanges as a proposal establishing or changing a fee or other charge.
[May] Notwithstanding the provisions of paragraph (2), a proposed rule change may take effect upon filing with the Authority if designated by the exchanges as a proposal dealing solely with the administration of the exchange or other matters which the Authority may specify.
[Must] Where an approved securities exchange, commodities exchange or a derivatives exchange proposes to alter any particulars already furnished or undergoes or intends to undergo a change from its state specified in the application for approval it shall inform the Authority and obtain its prior consent before such alteration or change is effected.</t>
        </is>
      </c>
      <c r="O248" s="8" t="inlineStr">
        <is>
          <t>The rules of an approved securities exchange, commodities exchange or a derivatives exchange, in so far as they have been approved by the Authority, shall not be amended, varied or rescinded without the prior approval of the Authority.</t>
        </is>
      </c>
    </row>
    <row r="249">
      <c r="A249" t="inlineStr">
        <is>
          <t>Kenya</t>
        </is>
      </c>
      <c r="B249" t="inlineStr">
        <is>
          <t>Capital Markets Act</t>
        </is>
      </c>
      <c r="C249" t="inlineStr">
        <is>
          <t>22</t>
        </is>
      </c>
      <c r="D249" s="8" t="inlineStr">
        <is>
          <t>Disciplinary action by securities exchange ............................................................................................................................... 27</t>
        </is>
      </c>
      <c r="E249" t="inlineStr">
        <is>
          <t>4</t>
        </is>
      </c>
      <c r="F249" t="inlineStr">
        <is>
          <t>Regulator Powers</t>
        </is>
      </c>
      <c r="G249" t="inlineStr">
        <is>
          <t>High</t>
        </is>
      </c>
      <c r="H249" t="inlineStr">
        <is>
          <t>High (explicit)</t>
        </is>
      </c>
      <c r="I249" s="8" t="inlineStr"/>
      <c r="J249" s="8" t="inlineStr">
        <is>
          <t>Financial Data</t>
        </is>
      </c>
      <c r="K249" t="inlineStr">
        <is>
          <t>Authority</t>
        </is>
      </c>
      <c r="L249" s="8" t="inlineStr">
        <is>
          <t>A securities exchange or derivatives exchange must notify the Authority within seven days when taking disciplinary action against a trading participant or listed company. The Authority may review such actions, affirm or set aside decisions after providing opportunities for hearing. The Authority can also suspend or expel individuals directly if an exchange fails to act, following similar hearing procedures.</t>
        </is>
      </c>
      <c r="M249" s="8" t="inlineStr">
        <is>
          <t>This section requires exchanges to report disciplinary actions to the regulator, enabling oversight of cross-border compliance. The regulator's power to review and override exchange decisions ensures accountability in disciplinary processes, which impacts data transfer assessments involving exchange participants.</t>
        </is>
      </c>
      <c r="N249" s="8" t="inlineStr">
        <is>
          <t>[Must] A securities exchange or derivatives exchange must notify the Authority within seven days when taking disciplinary action against a trading participant or listed company.
[May] The Authority may review disciplinary actions taken by exchanges and affirm or set aside decisions after providing opportunities for hearing.
[May] The Authority can suspend or expel individuals directly if an exchange fails to act, following similar hearing procedures.</t>
        </is>
      </c>
      <c r="O249" s="8" t="inlineStr">
        <is>
          <t>Where a securities exchange or a derivatives exchange reprimands, fines, suspends or expels, or otherwise takes disciplinary action against a trading participant or a listed company, it shall within seven days give notice to the Authority in writing, giving particulars including the name of the person, the reason for and nature of the action taken.</t>
        </is>
      </c>
    </row>
    <row r="250">
      <c r="A250" t="inlineStr">
        <is>
          <t>Kenya</t>
        </is>
      </c>
      <c r="B250" t="inlineStr">
        <is>
          <t>Capital Markets Act</t>
        </is>
      </c>
      <c r="C250" t="inlineStr">
        <is>
          <t>22</t>
        </is>
      </c>
      <c r="D250" s="8" t="inlineStr">
        <is>
          <t>Disciplinary action by securities exchange</t>
        </is>
      </c>
      <c r="E250" t="inlineStr">
        <is>
          <t>33–37</t>
        </is>
      </c>
      <c r="F250" t="inlineStr">
        <is>
          <t>Regulator Powers</t>
        </is>
      </c>
      <c r="G250" t="inlineStr">
        <is>
          <t>High</t>
        </is>
      </c>
      <c r="H250" t="inlineStr">
        <is>
          <t>High (explicit)</t>
        </is>
      </c>
      <c r="I250" s="8" t="inlineStr"/>
      <c r="J250" s="8" t="inlineStr">
        <is>
          <t>Financial Data</t>
        </is>
      </c>
      <c r="K250" t="inlineStr">
        <is>
          <t>Authority</t>
        </is>
      </c>
      <c r="L250" s="8" t="inlineStr">
        <is>
          <t>A securities exchange or derivatives exchange must notify the Authority within seven days when taking disciplinary action against a trading participant or listed company. The Authority may review such actions, affirm or set aside decisions after providing opportunities for hearing. The Authority can also suspend or expel individuals directly if an exchange fails to act, following similar hearing procedures.</t>
        </is>
      </c>
      <c r="M250" s="8" t="inlineStr">
        <is>
          <t>This section requires exchanges to report disciplinary actions to the regulator, enabling oversight of cross-border compliance. The regulator's power to review and override exchange decisions ensures accountability in disciplinary processes, which impacts data transfer assessments involving exchange participants.</t>
        </is>
      </c>
      <c r="N250" s="8" t="inlineStr">
        <is>
          <t>[Must] A securities exchange or derivatives exchange must notify the Authority within seven days when taking disciplinary action against a trading participant or listed company.
[May] The Authority may review disciplinary actions taken by exchanges and affirm or set aside decisions after providing opportunities for hearing.
[May] The Authority can suspend or expel individuals directly if an exchange fails to act, following similar hearing procedures.</t>
        </is>
      </c>
      <c r="O250" s="8" t="inlineStr">
        <is>
          <t>Where a securities exchange or a derivatives exchange reprimands, fines, suspends or expels, or otherwise takes disciplinary action against a trading participant or a listed company, it shall within seven days give notice to the Authority in writing, giving particulars including the name of the person, the reason for and nature of the action taken.</t>
        </is>
      </c>
    </row>
    <row r="251">
      <c r="A251" t="inlineStr">
        <is>
          <t>Kenya</t>
        </is>
      </c>
      <c r="B251" t="inlineStr">
        <is>
          <t>Capital Markets Act</t>
        </is>
      </c>
      <c r="C251" t="inlineStr">
        <is>
          <t>23</t>
        </is>
      </c>
      <c r="D251" s="8" t="inlineStr">
        <is>
          <t>Licences required</t>
        </is>
      </c>
      <c r="E251" t="inlineStr">
        <is>
          <t>37</t>
        </is>
      </c>
      <c r="F251" t="inlineStr">
        <is>
          <t>Regulator Powers</t>
        </is>
      </c>
      <c r="G251" t="inlineStr">
        <is>
          <t>High</t>
        </is>
      </c>
      <c r="H251" t="inlineStr">
        <is>
          <t>High (explicit)</t>
        </is>
      </c>
      <c r="I251" s="8" t="inlineStr"/>
      <c r="J251" s="8" t="inlineStr">
        <is>
          <t>Financial Data</t>
        </is>
      </c>
      <c r="K251" t="inlineStr">
        <is>
          <t>Authority</t>
        </is>
      </c>
      <c r="L251" s="8" t="inlineStr">
        <is>
          <t>Businesses must hold valid licenses from the Authority to operate as stockbrokers, dealers, investment advisors, or other financial entities. Exchanges and other entities must be approved by the Authority, and license holders must meet financial and other requirements.</t>
        </is>
      </c>
      <c r="M251" s="8" t="inlineStr">
        <is>
          <t>This section establishes licensing requirements for financial entities, which impacts data transfer assessments by ensuring regulated entities handle data under defined oversight frameworks.</t>
        </is>
      </c>
      <c r="N251" s="8" t="inlineStr">
        <is>
          <t>[Must Not] No person may operate as a stockbroker, derivatives broker, or other financial entity without a valid license from the Authority.
[Must] Exchanges and other entities must be approved by the Authority.
[Must] License holders must meet minimum financial and other requirements.</t>
        </is>
      </c>
      <c r="O251" s="8" t="inlineStr">
        <is>
          <t>No person shall carry on business as a stockbroker, derivatives broker, REIT manager, trustee, dealer, investment adviser, fund manager, investment bank, central depository, authorised securities dealer, authorized depository, online forex broker, commodity dealer, commodity broker or hold himself out as carrying on such a business unless he or she holds a valid licence issued under this Act or under the authority of this Act.</t>
        </is>
      </c>
    </row>
    <row r="252">
      <c r="A252" t="inlineStr">
        <is>
          <t>Kenya</t>
        </is>
      </c>
      <c r="B252" t="inlineStr">
        <is>
          <t>Capital Markets Act</t>
        </is>
      </c>
      <c r="C252" t="inlineStr">
        <is>
          <t>24</t>
        </is>
      </c>
      <c r="D252" s="8" t="inlineStr">
        <is>
          <t>Application for licence</t>
        </is>
      </c>
      <c r="E252" t="inlineStr">
        <is>
          <t>37–39</t>
        </is>
      </c>
      <c r="F252" t="inlineStr">
        <is>
          <t>Regulator Powers</t>
        </is>
      </c>
      <c r="G252" t="inlineStr">
        <is>
          <t>High</t>
        </is>
      </c>
      <c r="H252" t="inlineStr">
        <is>
          <t>High (explicit)</t>
        </is>
      </c>
      <c r="I252" s="8" t="inlineStr"/>
      <c r="J252" s="8" t="inlineStr">
        <is>
          <t>Financial Data</t>
        </is>
      </c>
      <c r="K252" t="inlineStr">
        <is>
          <t>Authority</t>
        </is>
      </c>
      <c r="L252" s="8" t="inlineStr">
        <is>
          <t>Applications for licenses must be submitted to the Authority with prescribed forms and fees. The Authority may require additional information, assess financial requirements, impose conditions, and provide opportunities for hearing before granting licenses.</t>
        </is>
      </c>
      <c r="M252" s="8" t="inlineStr">
        <is>
          <t>This section outlines the licensing process, which impacts data transfer assessments by ensuring that entities handling data are properly licensed and compliant with regulatory requirements.</t>
        </is>
      </c>
      <c r="N252" s="8" t="inlineStr">
        <is>
          <t>[Must] Applications for licenses must be submitted to the Authority with prescribed forms and fees.
[May] The Authority may require additional information from applicants.
[Must] License holders must meet minimum financial and other requirements.
[May] The Authority may impose conditions or restrictions on licenses.
[Must] The Authority must provide an opportunity for hearing before granting licenses.</t>
        </is>
      </c>
      <c r="O252" s="8" t="inlineStr">
        <is>
          <t>An application for a licence or for the renewal of a licence shall be made to the Authority in the prescribed form and shall be accompanied by the prescribed fee and in the case of an application for the renewal of a licence, may be made within three months but not later than one month prior to the expiry of the licence.</t>
        </is>
      </c>
    </row>
    <row r="253">
      <c r="A253" t="inlineStr">
        <is>
          <t>Kenya</t>
        </is>
      </c>
      <c r="B253" t="inlineStr">
        <is>
          <t>Capital Markets Act</t>
        </is>
      </c>
      <c r="C253" t="inlineStr">
        <is>
          <t>25</t>
        </is>
      </c>
      <c r="D253" s="8" t="inlineStr">
        <is>
          <t>[Repealed by , s. 18.]</t>
        </is>
      </c>
      <c r="E253" t="inlineStr">
        <is>
          <t>39–40</t>
        </is>
      </c>
      <c r="F253" t="inlineStr">
        <is>
          <t>Regulator Powers</t>
        </is>
      </c>
      <c r="G253" t="inlineStr">
        <is>
          <t>High</t>
        </is>
      </c>
      <c r="H253" t="inlineStr">
        <is>
          <t>High (explicit)</t>
        </is>
      </c>
      <c r="I253" s="8" t="inlineStr"/>
      <c r="J253" s="8" t="inlineStr">
        <is>
          <t>Financial Data</t>
        </is>
      </c>
      <c r="K253" t="inlineStr">
        <is>
          <t>Authority</t>
        </is>
      </c>
      <c r="L253" s="8" t="inlineStr">
        <is>
          <t>The Authority may impose sanctions including public reprimands, trading suspensions, license revocations, financial penalties, and restitution orders for breaches of the Act. Penalties are calculated based on the benefit accrued from breaches.</t>
        </is>
      </c>
      <c r="M253" s="8" t="inlineStr">
        <is>
          <t>This section details regulatory sanctions for breaches, which impacts data transfer assessments by imposing financial and operational consequences for non-compliance with data handling practices.</t>
        </is>
      </c>
      <c r="N253" s="8" t="inlineStr">
        <is>
          <t>[May] The Authority may impose public reprimands, trading suspensions, license revocations, financial penalties, and restitution orders for breaches of the Act.
[May] Financial penalties for breaches may be up to ten million shillings for licensed persons.
[May] Restitution orders may be imposed for losses to aggrieved persons, with quantified and proven losses.</t>
        </is>
      </c>
      <c r="O253" s="8" t="inlineStr">
        <is>
          <t>Without prejudice to any other provision of this Act, the Authority may impose the following sanctions or levy financial penalties in accordance with this Act, for the breach of any provisions of this Act, the regulations, rules, guidelines, notices or directions made thereunder, or the rules of procedure of a securities, commodities or derivatives exchange, by a licensed or approved person, issuer, employee or a director of a licensed or approved person or employee director of a issuer as provided under section 11(3)(cc)</t>
        </is>
      </c>
    </row>
    <row r="254">
      <c r="A254" t="inlineStr">
        <is>
          <t>Kenya</t>
        </is>
      </c>
      <c r="B254" t="inlineStr">
        <is>
          <t>Capital Markets Act</t>
        </is>
      </c>
      <c r="C254" t="inlineStr">
        <is>
          <t>26</t>
        </is>
      </c>
      <c r="D254" s="8" t="inlineStr">
        <is>
          <t>Suspension or revocation of a licence</t>
        </is>
      </c>
      <c r="E254" t="inlineStr">
        <is>
          <t>40–42</t>
        </is>
      </c>
      <c r="F254" t="inlineStr">
        <is>
          <t>Other</t>
        </is>
      </c>
      <c r="G254" t="inlineStr">
        <is>
          <t>High</t>
        </is>
      </c>
      <c r="H254" t="inlineStr">
        <is>
          <t>High (explicit)</t>
        </is>
      </c>
      <c r="I254" s="8" t="inlineStr"/>
      <c r="J254" s="8" t="inlineStr">
        <is>
          <t>Financial Data</t>
        </is>
      </c>
      <c r="K254" t="inlineStr">
        <is>
          <t>Capital Markets Authority</t>
        </is>
      </c>
      <c r="L254" s="8" t="inlineStr">
        <is>
          <t>The Authority may suspend or revoke a license for a licensed person who goes into liquidation, engages in unauthorized activities, has a receiver appointed, ceases business without approval, has directors not performing duties honestly, fails to comply with license conditions, fails to follow directions, fails to provide information, provides false information, or is no longer fit to hold a license. Suspension cannot exceed three months and may be extended once. Revocation occurs if annual fees are unpaid within thirty days after suspension. The Authority must publish suspended or revoked licenses in the Gazette and provide an opportunity to be heard.</t>
        </is>
      </c>
      <c r="M254" s="8" t="inlineStr">
        <is>
          <t>This section outlines conditions under which a license can be suspended or revoked, impacting data handling by licensed entities. It requires the Authority to publish actions and provide hearing opportunities, which may affect data transfer compliance if licenses are revoked.</t>
        </is>
      </c>
      <c r="N254" s="8" t="inlineStr">
        <is>
          <t>[Must] The Authority may suspend or revoke a license for a licensed person who goes into liquidation or has an order issued for winding up
[Must] The Authority may suspend or revoke a license for a licensed person who carries out activities outside the scope of licensed or approved activities
[Must] The Authority may suspend or revoke a license for a licensed person who has a receiver or manager appointed on all or substantial part of the company's property
[Must] The Authority may suspend or revoke a license for a licensed person who ceases business without approval after thirty days
[Must] The Authority may suspend or revoke a license for a licensed person whose directors or key employees have not performed duties honestly and fairly
[Must] The Authority may suspend or revoke a license for a licensed person who has contravened license conditions
[Must] The Authority may suspend or revoke a license for a licensed person who fails to comply with Authority directions
[Must] The Authority may suspend or revoke a license for a licensed person who fails to provide required information
[Must] The Authority may suspend or revoke a license for a licensed person who provides false or misleading information
[Must] The Authority may suspend or revoke a license for a licensed person who is no longer fit to hold a license
[Must] The Authority may suspend or revoke a license for a licensed person who breaches other provisions of the Act
[Condition] Suspension of a license shall not exceed three months and may be extended for a further period not exceeding three months
[Must] The Authority shall lift suspension or revoke license at expiry of suspension period
[Must] Failure to pay annual fee results in license suspension
[Must] If suspension occurs and fee not paid within thirty days, license is revoked
[Must] The Authority may revoke or suspend a license at request of licensed person
[Must] The Authority shall publish suspended or revoked licenses in the Gazette
[Must] The Authority shall provide opportunity to be heard before taking action under sections 25 and 26</t>
        </is>
      </c>
      <c r="O254" s="8" t="inlineStr">
        <is>
          <t>The Authority may suspend or revoke a license for such period or until the occurrence of such event as the Authority may specify, if a licensed person—(a) goes into liquidation or an order is issued for the winding up of the licensed person; (b) carries out any activity outside the scope of the licensed or approved activities; (c) has a receiver or a manager appointed on all or a substantial part of the property of the company; (d) ceases to carry on the licensed business for a period of more than thirty days unless it has obtained the approval of the Authority to do so; (e) any of its directors or key employees has not, in the opinion of the Authority, performed their duties honestly and fairly; (f) has contravened or failed to comply with any condition applicable in respect of the licence; (g) fails to comply with a direction of the Authority; (h) fails to provide the Authority with such information as it may require; (i) provides false or misleading information; (j) for any other reason, is no longer fit and proper person to hold a license; or (k) is in breach of any other provision under this Act.</t>
        </is>
      </c>
    </row>
    <row r="255">
      <c r="A255" t="inlineStr">
        <is>
          <t>Kenya</t>
        </is>
      </c>
      <c r="B255" t="inlineStr">
        <is>
          <t>Capital Markets Act</t>
        </is>
      </c>
      <c r="C255" t="inlineStr">
        <is>
          <t>28</t>
        </is>
      </c>
      <c r="D255" s="8" t="inlineStr">
        <is>
          <t>Obligation to report changes</t>
        </is>
      </c>
      <c r="E255" t="inlineStr">
        <is>
          <t>42</t>
        </is>
      </c>
      <c r="F255" t="inlineStr">
        <is>
          <t>Other</t>
        </is>
      </c>
      <c r="G255" t="inlineStr">
        <is>
          <t>High</t>
        </is>
      </c>
      <c r="H255" t="inlineStr">
        <is>
          <t>High (explicit)</t>
        </is>
      </c>
      <c r="I255" s="8" t="inlineStr"/>
      <c r="J255" s="8" t="inlineStr">
        <is>
          <t>Financial Data</t>
        </is>
      </c>
      <c r="K255" t="inlineStr">
        <is>
          <t>Capital Markets Authority</t>
        </is>
      </c>
      <c r="L255" s="8" t="inlineStr">
        <is>
          <t>A licensed person must report to the Authority within fourteen days if they cease business or if there is a change in particulars required to be entered in the register of license holders.</t>
        </is>
      </c>
      <c r="M255" s="8" t="inlineStr">
        <is>
          <t>This section requires timely reporting of business cessation or changes to license holder details, which may impact data transfer compliance if the licensed entity's data handling practices change.</t>
        </is>
      </c>
      <c r="N255" s="8" t="inlineStr">
        <is>
          <t>[Must] A licensed person must report to the Authority within fourteen days if they cease business
[Must] A licensed person must report to the Authority within fourteen days if there is a change in particulars required to be entered in the register of license holders</t>
        </is>
      </c>
      <c r="O255" s="8" t="inlineStr">
        <is>
          <t>Where—(a) the holder of a licence ceases to carry on the business to which the licence relates; or (b) a change occurs in any particulars which are required by section 27 to be entered in a register of licence holders with respect to the holder of a licence, the holder of the licence shall within fourteen days of the occurrence of the event concerned, give to the Authority, particulars of such event.</t>
        </is>
      </c>
    </row>
    <row r="256">
      <c r="A256" t="inlineStr">
        <is>
          <t>Kenya</t>
        </is>
      </c>
      <c r="B256" t="inlineStr">
        <is>
          <t>Capital Markets Act</t>
        </is>
      </c>
      <c r="C256" t="inlineStr">
        <is>
          <t>29</t>
        </is>
      </c>
      <c r="D256" s="8" t="inlineStr">
        <is>
          <t>Licensing requirements</t>
        </is>
      </c>
      <c r="E256" t="inlineStr">
        <is>
          <t>42–44</t>
        </is>
      </c>
      <c r="F256" t="inlineStr">
        <is>
          <t>Other</t>
        </is>
      </c>
      <c r="G256" t="inlineStr">
        <is>
          <t>High</t>
        </is>
      </c>
      <c r="H256" t="inlineStr">
        <is>
          <t>High (explicit)</t>
        </is>
      </c>
      <c r="I256" s="8" t="inlineStr"/>
      <c r="J256" s="8" t="inlineStr">
        <is>
          <t>Financial Data</t>
        </is>
      </c>
      <c r="K256" t="inlineStr">
        <is>
          <t>Capital Markets Authority</t>
        </is>
      </c>
      <c r="L256" s="8" t="inlineStr">
        <is>
          <t>Before granting a license, the Authority must verify that the applicant is a legally constituted entity, has qualified directors, meets administrative capacity requirements, and for specific licenses (stockbrokers, dealers, derivatives brokers) has security deposits, operates solely for clients, or meets other conditions. The Authority also ensures that no person controls more than 33.3% of a company's shares or voting rights, and that key personnel do not hold excessive control.</t>
        </is>
      </c>
      <c r="M256" s="8" t="inlineStr">
        <is>
          <t>This section establishes licensing requirements that affect data handling by financial entities, including verification of entity structure, director qualifications, and restrictions on shareholding and control, which may impact data transfer compliance.</t>
        </is>
      </c>
      <c r="N256" s="8" t="inlineStr">
        <is>
          <t>[Must] The Authority must verify that the applicant is a legally constituted entity or a collective investment scheme
[Must] The Authority must verify that at least one director, chief executive officer, or person directing the business has satisfied minimum qualification requirements
[Must] For stockbrokers, dealers, or other persons, the applicant company must have lodged security or equivalent bank guarantee with the securities exchange or Authority
[Must] The applicant company must have necessary administrative capacity to carry on business
[Must] For stockbroker licenses, the applicant must carry on business solely on behalf of clients
[Must] For dealer licenses, the applicant must carry on business solely on their own behalf
[Must] For derivatives broker licenses, the applicant may carry on business either on behalf of clients or on their own behalf, or both
[Must] A securities exchange or derivatives exchange may admit an applicant if they fulfill all requirements imposed by the Authority and relevant exchange, and pay an admission fee
[Must] A securities broker, derivatives broker, or dealer whose license is revoked under section 26 shall cease to be a trading participant of the securities exchange
[Must] No individual or corporate person may control or be beneficially entitled to more than 33.3% of issued share capital or voting rights in a company
[Must] No individual or corporate person may appoint more than one-third of the members of the Board of directors
[Must] No individual or corporate person may receive more than 33.3% of aggregate dividends and interest on shareholders loans
[Condition] The provisions of subsection (4) do not apply to corporate entities licensed by banking, insurance, pensions or securities regulators in Kenya
[Condition] The provisions of subsection (4) do not apply where ownership structure is diverse and no person holds or controls more than 25% of shares, votes, directorship appointments, dividends or interest on shareholder loans
[Must] No person who exercises control or is beneficially entitled to more than 25% of listed share capital or voting rights may be appointed as key personnel</t>
        </is>
      </c>
      <c r="O256" s="8" t="inlineStr">
        <is>
          <t>Before granting any licence or approval, the Authority in respect of a business that requires to be licensed or approved shall satisfy itself—(a) that the applicant is such legal entity as may be prescribed in the Regulations as the Authority may prescribe or is duly constituted as a collective investment scheme; (b) that at least one the director, chief executive officer or such other person who directs, conducts, manages or supervises the business of the applicant has satisfied such minimum qualification requirements as may be prescribed; (c) in the case of a stockbroker, dealer or other person prescribed by the Authority that the applicant company has lodged security in such sum as may be determined by the Authority or an equivalent bank guarantee or bond with the securities exchange in which it is a trading participant or with the Authority or other person approved by the Authority as the case may be; (d) that the applicant company has the necessary administrative capacity to carry on business for which the licence is required; (e) in the case of an application for a stockbroker's licence, that the applicant shall carry on business solely on behalf of clients; (f) in the case of an application for a dealer's licence, that the applicant shall carry on business solely on the applicant's own behalf; (gg) in the case of an application for a derivatives broker licences, that the applicant may carry on business either on behalf of clients or on the applicant's own behalf, or both; (h) deleted by , s. 7.</t>
        </is>
      </c>
    </row>
    <row r="257">
      <c r="A257" t="inlineStr">
        <is>
          <t>Kenya</t>
        </is>
      </c>
      <c r="B257" t="inlineStr">
        <is>
          <t>Capital Markets Act</t>
        </is>
      </c>
      <c r="C257" t="inlineStr">
        <is>
          <t>30</t>
        </is>
      </c>
      <c r="D257" s="8" t="inlineStr">
        <is>
          <t>Procedure for collective investment schemes .......................................................................................................................... 38</t>
        </is>
      </c>
      <c r="E257" t="inlineStr">
        <is>
          <t>4–5</t>
        </is>
      </c>
      <c r="F257" t="inlineStr">
        <is>
          <t>Other</t>
        </is>
      </c>
      <c r="G257" t="inlineStr">
        <is>
          <t>High</t>
        </is>
      </c>
      <c r="H257" t="inlineStr">
        <is>
          <t>Medium (merged from chunks)</t>
        </is>
      </c>
      <c r="I257" s="8" t="inlineStr">
        <is>
          <t>Cross-border Transfer, International Processing, Data Storage,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J257" s="8" t="inlineStr">
        <is>
          <t>Financial Data, Customer Data</t>
        </is>
      </c>
      <c r="K257" t="inlineStr">
        <is>
          <t>Authority</t>
        </is>
      </c>
      <c r="L257" s="8" t="inlineStr">
        <is>
          <t>[extraction failed: model output unparseable] This section outlines the procedural requirements for collective investment schemes involving asset-backed securities. It specifies that assets must be legally originated, sold, transferred, or assigned, and comply with the Act. The section details the origination of assets into securitisation trusts, the requirement for true sales according to Kenyan law, and the legal nature of transfers to avoid equitable treatment. It also mandates that failures to achieve true sales do not invalidate securities offerings or adversely affect investor rights. This section outlines the procedural requirements for collective investment schemes involving restricted offers, including the authority's power to apply court procedures for unfair prejudice and require records in cases of restricted offers. It specifies that these procedures mirror those for listed asset-backed securities.</t>
        </is>
      </c>
      <c r="M257" s="8" t="inlineStr">
        <is>
          <t>This section establishes conditions for asset-backed securities transactions to ensure legal transfers and true sales, which are critical for DTIA assessments to verify compliance with cross-border transfer mechanisms and trust structures in securitisation.</t>
        </is>
      </c>
      <c r="N257" s="8" t="inlineStr">
        <is>
          <t>[Must] Assets must be capable of being legally originated, sold, transferred or assigned
[Must] Assets must comply with any requirements imposed under this Act
[Must] All securitisation transactions shall involve either direct origination of assets into the securitisation trust or sale, transfer or assignment of assets to the trustee in a true sale according to Kenyan law
[Must] The sale, transfer or assignment must be a legal and not an equitable sale
[Must] Failure to achieve a true sale shall not invalidate the sale, transfer or assignment, the issue or offer of asset backed securities, or adversely affect investor rights
[Condition] The powers of the Authority to make an application to court in case of unfair prejudice under section 33C; or require production of records and documents under section 33D shall apply to restricted offers in the same manner as if the asset backed securities had been listed.</t>
        </is>
      </c>
      <c r="O257" s="8" t="inlineStr">
        <is>
          <t>a third party at the time at which an issue or offer of asset backed securities is made; be capable of being legally originated, sold, transferred or assigned; and comply with any requirements imposed under this Act.</t>
        </is>
      </c>
    </row>
    <row r="258">
      <c r="A258" t="inlineStr">
        <is>
          <t>Kenya</t>
        </is>
      </c>
      <c r="B258" t="inlineStr">
        <is>
          <t>Capital Markets Act</t>
        </is>
      </c>
      <c r="C258" t="inlineStr">
        <is>
          <t>30</t>
        </is>
      </c>
      <c r="D258" s="8" t="inlineStr">
        <is>
          <t>Procedure for collective investment schemes</t>
        </is>
      </c>
      <c r="E258" t="inlineStr">
        <is>
          <t>44–59</t>
        </is>
      </c>
      <c r="F258" t="inlineStr">
        <is>
          <t>Other</t>
        </is>
      </c>
      <c r="G258" t="inlineStr">
        <is>
          <t>High</t>
        </is>
      </c>
      <c r="H258" t="inlineStr">
        <is>
          <t>Medium (merged from chunks)</t>
        </is>
      </c>
      <c r="I258" s="8" t="inlineStr">
        <is>
          <t>Cross-border Transfer, International Processing, Data Storage,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J258" s="8" t="inlineStr">
        <is>
          <t>Financial Data, Customer Data</t>
        </is>
      </c>
      <c r="K258" t="inlineStr">
        <is>
          <t>Authority</t>
        </is>
      </c>
      <c r="L258" s="8" t="inlineStr">
        <is>
          <t>[extraction failed: model output unparseable] This section outlines the procedural requirements for collective investment schemes involving asset-backed securities. It specifies that assets must be legally originated, sold, transferred, or assigned, and comply with the Act. The section details the origination of assets into securitisation trusts, the requirement for true sales according to Kenyan law, and the legal nature of transfers to avoid equitable treatment. It also mandates that failures to achieve true sales do not invalidate securities offerings or adversely affect investor rights. This section outlines the procedural requirements for collective investment schemes involving restricted offers, including the authority's power to apply court procedures for unfair prejudice and require records in cases of restricted offers. It specifies that these procedures mirror those for listed asset-backed securities.</t>
        </is>
      </c>
      <c r="M258" s="8" t="inlineStr">
        <is>
          <t>This section establishes conditions for asset-backed securities transactions to ensure legal transfers and true sales, which are critical for DTIA assessments to verify compliance with cross-border transfer mechanisms and trust structures in securitisation.</t>
        </is>
      </c>
      <c r="N258" s="8" t="inlineStr">
        <is>
          <t>[Must] Assets must be capable of being legally originated, sold, transferred or assigned
[Must] Assets must comply with any requirements imposed under this Act
[Must] All securitisation transactions shall involve either direct origination of assets into the securitisation trust or sale, transfer or assignment of assets to the trustee in a true sale according to Kenyan law
[Must] The sale, transfer or assignment must be a legal and not an equitable sale
[Must] Failure to achieve a true sale shall not invalidate the sale, transfer or assignment, the issue or offer of asset backed securities, or adversely affect investor rights
[Condition] The powers of the Authority to make an application to court in case of unfair prejudice under section 33C; or require production of records and documents under section 33D shall apply to restricted offers in the same manner as if the asset backed securities had been listed.</t>
        </is>
      </c>
      <c r="O258" s="8" t="inlineStr">
        <is>
          <t>a third party at the time at which an issue or offer of asset backed securities is made; be capable of being legally originated, sold, transferred or assigned; and comply with any requirements imposed under this Act.</t>
        </is>
      </c>
    </row>
    <row r="259">
      <c r="A259" t="inlineStr">
        <is>
          <t>Kenya</t>
        </is>
      </c>
      <c r="B259" t="inlineStr">
        <is>
          <t>Capital Markets Act</t>
        </is>
      </c>
      <c r="C259" t="inlineStr">
        <is>
          <t>31</t>
        </is>
      </c>
      <c r="D259" s="8" t="inlineStr">
        <is>
          <t>Transactions in securities</t>
        </is>
      </c>
      <c r="E259" t="inlineStr">
        <is>
          <t>59</t>
        </is>
      </c>
      <c r="F259" t="inlineStr">
        <is>
          <t>Other</t>
        </is>
      </c>
      <c r="G259" t="inlineStr">
        <is>
          <t>High</t>
        </is>
      </c>
      <c r="H259" t="inlineStr">
        <is>
          <t>High (explicit)</t>
        </is>
      </c>
      <c r="I259" s="8" t="inlineStr">
        <is>
          <t>Cross-border Transfer, Financial Data</t>
        </is>
      </c>
      <c r="J259" s="8" t="inlineStr">
        <is>
          <t>Financial Data</t>
        </is>
      </c>
      <c r="K259" t="inlineStr">
        <is>
          <t>Capital Markets Authority</t>
        </is>
      </c>
      <c r="L259" s="8" t="inlineStr">
        <is>
          <t>Licensed persons, brokers, and dealers may not transfer listed securities outside the securities exchange without Authority approval and payment of a fee. The Authority may authorize transfers for private transactions, over-the-counter trades, or in the interest of shareholders. No licensed person may trade in securities contrary to Authority rules, effect transactions in margin accounts contrary to Authority requirements, lend securities without customer consent, or engage in manipulative deception or fraud.</t>
        </is>
      </c>
      <c r="M259" s="8" t="inlineStr">
        <is>
          <t>This section restricts securities transfers and transactions, requiring Authority approval for cross-border or external transfers, which directly impacts data transfer compliance for financial entities handling securities data.</t>
        </is>
      </c>
      <c r="N259" s="8" t="inlineStr">
        <is>
          <t>[Must Not] No licensed person, broker or dealer shall transfer listed securities outside the securities exchange without Authority approval and payment of a prescribed fee
[May] The Authority may authorize transfer of listed security outside the securities exchange for private transactions, over-the-counter trades, or in the interest of shareholders
[Must Not] No licensed person, broker or dealer shall trade in listed securities in contravention of Authority-prescribed rules on clearance, settlement, payment, transfer or delivery
No licensed person, broker or dealer shall effect transactions in margin accounts contrary to Authority requirements
[Must Not] No licensed person, broker or dealer shall lend or arrange for lending securities without customer's written consent
[Must Not] No licensed person, broker or dealer shall borrow or arrange to borrow securities as collateral without customer's written consent
[Must Not] No licensed person, broker or dealer shall effect transactions in, or induce purchase or sale of listed securities by means of manipulative deception or fraudulent devices
[Must Not] No person holding shares in a public company listed on an approved securities exchange shall sell or transfer shares except in compliance with exchange trading procedures
[Must Not] No person shall employ devices, schemes or artifices to defraud, engage in acts that operate as fraud or deceit, make untrue statements of material facts, or omit material facts necessary to avoid misleading statements</t>
        </is>
      </c>
      <c r="O259" s="8" t="inlineStr">
        <is>
          <t>No licensed person, broker or dealer shall transfer listed securities outside the securities exchange in which he or she is a trading participant except as provided for by the Authority in rules or as authorised by the Authority on a case by case basis, and on payment of a prescribed fee.</t>
        </is>
      </c>
    </row>
    <row r="260">
      <c r="A260" t="inlineStr">
        <is>
          <t>Kenya</t>
        </is>
      </c>
      <c r="B260" t="inlineStr">
        <is>
          <t>Capital Markets Act</t>
        </is>
      </c>
      <c r="C260" t="inlineStr">
        <is>
          <t>32</t>
        </is>
      </c>
      <c r="D260" s="8" t="inlineStr">
        <is>
          <t>Register of interest in securities ................................................................................................................................................... 53</t>
        </is>
      </c>
      <c r="E260" t="inlineStr">
        <is>
          <t>5–6</t>
        </is>
      </c>
      <c r="F260" t="inlineStr">
        <is>
          <t>Other</t>
        </is>
      </c>
      <c r="G260" t="inlineStr">
        <is>
          <t>High</t>
        </is>
      </c>
      <c r="H260" t="inlineStr">
        <is>
          <t>Medium (merged from chunks)</t>
        </is>
      </c>
      <c r="I260" s="8" t="inlineStr">
        <is>
          <t>Record Keeping, Incident Reporting</t>
        </is>
      </c>
      <c r="J260" s="8" t="inlineStr">
        <is>
          <t>Personal Information</t>
        </is>
      </c>
      <c r="K260" t="inlineStr">
        <is>
          <t>Capital Markets Authority</t>
        </is>
      </c>
      <c r="L260" s="8" t="inlineStr">
        <is>
          <t>[extraction failed: model output unparseable] This section imposes penalties for unauthorized gains or losses from securities transactions. A licensed entity that engages in such activities faces a fine up to ten million shillings and must pay twice the amount of the gain or loss avoided. The penalty applies to entities that contravene the Act's provisions regarding securities transactions. This section mandates that the Authority may issue directions requiring companies or persons to produce specific records and documents related to misconduct, inadequate information disclosure, or other specified matters. It outlines the Authority's power to authorize individuals to compel production of records, and specifies that banks are limited to making copies or extracts of documents. The section also establishes that contravening these requirements constitutes an offence.</t>
        </is>
      </c>
      <c r="M260" s="8" t="inlineStr">
        <is>
          <t>This section impacts DTIAs by requiring detailed record production for investigations into misconduct or information gaps, with specific limitations on bank records. It may necessitate data sharing with regulators for compliance checks.</t>
        </is>
      </c>
      <c r="N260" s="8" t="inlineStr">
        <is>
          <t>[Must] A fine not exceeding ten million shillings and payment of twice the amount of the gain made or loss avoided
[Must] The Authority may issue directions requiring a company or person to produce records and documents related to misconduct, inadequate information disclosure, or other specified matters
[Must] The Authority may authorize a person to require a company or other person to produce records and documents specified by the authorized person
[Must] The Authority or authorized person may require a person in possession of records to produce them to the Authority or authorized person
[Must] The power to require records or documents includes taking copies or extracts, demanding explanations from officers or employees, or requiring explanations for failure to produce records
[Condition] For banks, the power is limited to making copies or extracts of documents
[Must] Contravening this section constitutes an offence</t>
        </is>
      </c>
      <c r="O260" s="8" t="inlineStr">
        <is>
          <t>company, to a fine not exceeding ten million shillings and payment of twice the amount of the gain made or loss avoided.</t>
        </is>
      </c>
    </row>
    <row r="261">
      <c r="A261" t="inlineStr">
        <is>
          <t>Kenya</t>
        </is>
      </c>
      <c r="B261" t="inlineStr">
        <is>
          <t>Capital Markets Act</t>
        </is>
      </c>
      <c r="C261" t="inlineStr">
        <is>
          <t>32</t>
        </is>
      </c>
      <c r="D261" s="8" t="inlineStr">
        <is>
          <t>Register of interest in securities</t>
        </is>
      </c>
      <c r="E261" t="inlineStr">
        <is>
          <t>59–68</t>
        </is>
      </c>
      <c r="F261" t="inlineStr">
        <is>
          <t>Other</t>
        </is>
      </c>
      <c r="G261" t="inlineStr">
        <is>
          <t>High</t>
        </is>
      </c>
      <c r="H261" t="inlineStr">
        <is>
          <t>Medium (merged from chunks)</t>
        </is>
      </c>
      <c r="I261" s="8" t="inlineStr">
        <is>
          <t>Record Keeping, Incident Reporting</t>
        </is>
      </c>
      <c r="J261" s="8" t="inlineStr">
        <is>
          <t>Personal Information</t>
        </is>
      </c>
      <c r="K261" t="inlineStr">
        <is>
          <t>Capital Markets Authority</t>
        </is>
      </c>
      <c r="L261" s="8" t="inlineStr">
        <is>
          <t>[extraction failed: model output unparseable] This section imposes penalties for unauthorized gains or losses from securities transactions. A licensed entity that engages in such activities faces a fine up to ten million shillings and must pay twice the amount of the gain or loss avoided. The penalty applies to entities that contravene the Act's provisions regarding securities transactions. This section mandates that the Authority may issue directions requiring companies or persons to produce specific records and documents related to misconduct, inadequate information disclosure, or other specified matters. It outlines the Authority's power to authorize individuals to compel production of records, and specifies that banks are limited to making copies or extracts of documents. The section also establishes that contravening these requirements constitutes an offence.</t>
        </is>
      </c>
      <c r="M261" s="8" t="inlineStr">
        <is>
          <t>This section impacts DTIAs by requiring detailed record production for investigations into misconduct or information gaps, with specific limitations on bank records. It may necessitate data sharing with regulators for compliance checks.</t>
        </is>
      </c>
      <c r="N261" s="8" t="inlineStr">
        <is>
          <t>[Must] A fine not exceeding ten million shillings and payment of twice the amount of the gain made or loss avoided
[Must] The Authority may issue directions requiring a company or person to produce records and documents related to misconduct, inadequate information disclosure, or other specified matters
[Must] The Authority may authorize a person to require a company or other person to produce records and documents specified by the authorized person
[Must] The Authority or authorized person may require a person in possession of records to produce them to the Authority or authorized person
[Must] The power to require records or documents includes taking copies or extracts, demanding explanations from officers or employees, or requiring explanations for failure to produce records
[Condition] For banks, the power is limited to making copies or extracts of documents
[Must] Contravening this section constitutes an offence</t>
        </is>
      </c>
      <c r="O261" s="8" t="inlineStr">
        <is>
          <t>company, to a fine not exceeding ten million shillings and payment of twice the amount of the gain made or loss avoided.</t>
        </is>
      </c>
    </row>
    <row r="262">
      <c r="A262" t="inlineStr">
        <is>
          <t>Kenya</t>
        </is>
      </c>
      <c r="B262" t="inlineStr">
        <is>
          <t>Capital Markets Act</t>
        </is>
      </c>
      <c r="C262" t="inlineStr">
        <is>
          <t>34</t>
        </is>
      </c>
      <c r="D262" s="8" t="inlineStr">
        <is>
          <t>Other offences</t>
        </is>
      </c>
      <c r="E262" t="inlineStr">
        <is>
          <t>68–70</t>
        </is>
      </c>
      <c r="F262" t="inlineStr">
        <is>
          <t>Other</t>
        </is>
      </c>
      <c r="G262" t="inlineStr">
        <is>
          <t>High</t>
        </is>
      </c>
      <c r="H262" t="inlineStr">
        <is>
          <t>High (explicit)</t>
        </is>
      </c>
      <c r="I262" s="8" t="inlineStr">
        <is>
          <t>Financial Data</t>
        </is>
      </c>
      <c r="J262" s="8" t="inlineStr">
        <is>
          <t>Financial Data</t>
        </is>
      </c>
      <c r="K262" t="inlineStr">
        <is>
          <t>Capital Markets Authority</t>
        </is>
      </c>
      <c r="L262" s="8" t="inlineStr">
        <is>
          <t>Committing an offence under this Act includes contravening provisions of the Act, furnishing false information, or wilfully obstructing Authority members. Offences may be punished with fines and imprisonment, with penalties recoverable as civil debts. Compensation may be ordered for losses caused by the offence, and the Authority may compound offences with payment of a portion of the maximum fine.</t>
        </is>
      </c>
      <c r="M262" s="8" t="inlineStr">
        <is>
          <t>This section defines offences related to financial misconduct, including false information and obstruction of Authority, which may impact data transfer compliance if licensed entities provide inaccurate data.</t>
        </is>
      </c>
      <c r="N262" s="8" t="inlineStr">
        <is>
          <t>[Must Not] Any person who contravenes provisions of this Act or any requirement imposed under this Act or rules/regulations made thereunder commits an offence
[Must Not] Any person who furnishes or publishes information that is untrue or incorrect or misleading because of material omissions commits an offence
[Must Not] Any person who wilfully obstructs Authority members in the performance of duties under this Act commits an offence
[May] On first offence, an individual may be fined up to five million shillings or imprisoned for up to two years and pay two times the gain made or loss avoided
[May] On subsequent offence, an individual may be fined up to ten million shillings or imprisoned for up to five years and pay three times the gain made or loss avoided
[May] On first offence, a company may be fined up to ten million shillings and pay two times the gain made or loss avoided
[May] On subsequent offence, a company may be fined up to thirty million shillings and pay three times the gain made or loss avoided
[Must] Financial penalties imposed under this section shall be recoverable summarily by the Authority as civil debts
[May] The court may order compensation to a person who suffers loss by reason of the offence
[Must] Compensation orders may be in addition to or in substitution of other penalties
[Must] The amount of restitution or compensation is the loss sustained, profits accrued, or illegal gains received or loss averted
[May] The Authority may compound an offence with payment of up to two-thirds of the maximum fine</t>
        </is>
      </c>
      <c r="O262" s="8" t="inlineStr">
        <is>
          <t>Any person who—(a) contravenes any provision of this Act or any requirement imposed under the provision of this Act or any rule or regulation made thereunder; (b) furnishes or publishes for the purpose of this Act or in connection with an issuer whose securities are listed or quoted to be listed on a securities exchange, or issued or to be issued to the public or a collective investment scheme, any information or any returns the contents of which are to his knowledge untrue or incorrect or misleading because of material omissions; or (c) wilfully obstructs any member of the Authority or an officer or servant of the Authority in the performance of his duties under the provisions of that Act, shall be guilty of an offence.</t>
        </is>
      </c>
    </row>
    <row r="263">
      <c r="A263" t="inlineStr">
        <is>
          <t>Kenya</t>
        </is>
      </c>
      <c r="B263" t="inlineStr">
        <is>
          <t>Capital Markets Act</t>
        </is>
      </c>
      <c r="C263" t="inlineStr">
        <is>
          <t>35</t>
        </is>
      </c>
      <c r="D263" s="8" t="inlineStr">
        <is>
          <t>Appeals from action by Authority</t>
        </is>
      </c>
      <c r="E263" t="inlineStr">
        <is>
          <t>70–73</t>
        </is>
      </c>
      <c r="F263" t="inlineStr">
        <is>
          <t>Other</t>
        </is>
      </c>
      <c r="G263" t="inlineStr">
        <is>
          <t>High</t>
        </is>
      </c>
      <c r="H263" t="inlineStr">
        <is>
          <t>High (explicit)</t>
        </is>
      </c>
      <c r="I263" s="8" t="inlineStr"/>
      <c r="J263" s="8" t="inlineStr"/>
      <c r="K263" t="inlineStr">
        <is>
          <t>Capital Markets Tribunal</t>
        </is>
      </c>
      <c r="L263" s="8" t="inlineStr">
        <is>
          <t>Any person aggrieved by a direction or decision from the Authority regarding licence refusal, limitations, suspension, revocation, public offer approval, securities listing, trading suspension, or compensation refusal may appeal to the Capital Markets Tribunal within fifteen days. The Tribunal may require the Authority or Investor Compensation Fund Board to show cause, affirm or set aside decisions after hearing, and must issue awards within ninety days. The Tribunal has powers similar to the High Court for evidence and proceedings.</t>
        </is>
      </c>
      <c r="M263" s="8" t="inlineStr">
        <is>
          <t>This section establishes an appeals mechanism for financial entities affected by Authority decisions, but does not directly impact data transfers or international data flows. It is irrelevant to Data Transfer Impact Assessments.</t>
        </is>
      </c>
      <c r="N263" s="8" t="inlineStr">
        <is>
          <t>[Must] Any person aggrieved by any direction given by the Authority to such person or by a decision of the Authority or by the Investor Compensation Fund Board—refusing to grant a licence; imposing limitations or restrictions on a licence; suspending or revoking a licence; refusing to approve a public offer of securities; refusing to admit a security to the official list of a securities exchange; suspending trading of a security on a securities exchange; or requiring the removal of a security from the official list of a securities exchange—may appeal to the Capital Markets Tribunal against such directions, refusal, limitations or restrictions, cancellations, suspension or removal, as the case may be, within fifteen days from the date on which the decision was communicated to such person.
[May] The Capital Markets Tribunal may require the Authority or the Investor Compensation Fund Board to show cause for its action or decision, and may affirm or, after affording the Authority or the Board an opportunity to be heard, set aside such action or decision.
[Must] The Tribunal shall hear and determine an appeal within ninety days from the date of filing of the appeal.</t>
        </is>
      </c>
      <c r="O263" s="8" t="inlineStr">
        <is>
          <t>Any person aggrieved by any direction given by the Authority to such person or by a decision of the Authority or by the Investor Compensation Fund Board—refusing to grant a licence; imposing limitations or restrictions on a licence; suspending or revoking a licence; refusing to approve a public offer of securities; refusing to admit a security to the official list of a securities exchange; suspending trading of a security on a securities exchange; or requiring the removal of a security from the official list of a securities exchange—may appeal to the Capital Markets Tribunal against such directions, refusal, limitations or restrictions, cancellations, suspension or removal, as the case may be, within fifteen days from the date on which the decision was communicated to such person.</t>
        </is>
      </c>
    </row>
    <row r="264">
      <c r="A264" t="inlineStr">
        <is>
          <t>Kenya</t>
        </is>
      </c>
      <c r="B264" t="inlineStr">
        <is>
          <t>Capital Markets Act</t>
        </is>
      </c>
      <c r="C264" t="inlineStr">
        <is>
          <t>36</t>
        </is>
      </c>
      <c r="D264" s="8" t="inlineStr">
        <is>
          <t>Directions and submission of reports</t>
        </is>
      </c>
      <c r="E264" t="inlineStr">
        <is>
          <t>73–74</t>
        </is>
      </c>
      <c r="F264" t="inlineStr">
        <is>
          <t>Other</t>
        </is>
      </c>
      <c r="G264" t="inlineStr">
        <is>
          <t>High</t>
        </is>
      </c>
      <c r="H264" t="inlineStr">
        <is>
          <t>High (explicit)</t>
        </is>
      </c>
      <c r="I264" s="8" t="inlineStr"/>
      <c r="J264" s="8" t="inlineStr"/>
      <c r="K264" t="inlineStr">
        <is>
          <t>Cabinet Secretary</t>
        </is>
      </c>
      <c r="L264" s="8" t="inlineStr">
        <is>
          <t>The Cabinet Secretary may direct the Authority to provide returns, accounts, and information on its work. The Authority must submit annual operational reports and audited accounts to the Cabinet Secretary within six months of the financial year-end, which are then tabled in Parliament within three months.</t>
        </is>
      </c>
      <c r="M264" s="8" t="inlineStr">
        <is>
          <t>This section governs reporting obligations for financial entities but does not directly impact data transfers or international data flows. It is irrelevant to Data Transfer Impact Assessments.</t>
        </is>
      </c>
      <c r="N264" s="8" t="inlineStr">
        <is>
          <t>[Must] The Cabinet Secretary may, from time to time, direct the Authority to furnish in such form as he or she may require, returns, accounts and any other information with respect to the work of the Authority and the Authority shall comply with such direction.
[Must] The Authority shall, within six months after the close of each financial year, submit to the Cabinet Secretary a report of its operations and activities throughout the year together with audited accounts in such form and detail as the Cabinet Secretary shall, from time to time, determine.
[Must] The Cabinet Secretary shall table the report submitted under subsection (3) before above to Parliament within three months of its submission.</t>
        </is>
      </c>
      <c r="O264" s="8" t="inlineStr">
        <is>
          <t>The Authority shall, within six months after the close of each financial year, submit to the Cabinet Secretary a report of its operations and activities throughout the year together with audited accounts in such form and detail as the Cabinet Secretary shall, from time to time, determine.</t>
        </is>
      </c>
    </row>
    <row r="265">
      <c r="A265" t="inlineStr">
        <is>
          <t>Kenya</t>
        </is>
      </c>
      <c r="B265" t="inlineStr">
        <is>
          <t>Capital Markets Act</t>
        </is>
      </c>
      <c r="C265" t="inlineStr">
        <is>
          <t>39</t>
        </is>
      </c>
      <c r="D265" s="8" t="inlineStr">
        <is>
          <t>Exemption from Cap. 446 ................................................................................................................................................................ 68</t>
        </is>
      </c>
      <c r="E265" t="inlineStr">
        <is>
          <t>6–7</t>
        </is>
      </c>
      <c r="F265" t="inlineStr">
        <is>
          <t>Exemptions</t>
        </is>
      </c>
      <c r="G265" t="inlineStr">
        <is>
          <t>None</t>
        </is>
      </c>
      <c r="H265" t="inlineStr">
        <is>
          <t>High (explicit)</t>
        </is>
      </c>
      <c r="I265" s="8" t="inlineStr"/>
      <c r="J265" s="8" t="inlineStr"/>
      <c r="K265" t="inlineStr"/>
      <c r="L265" s="8" t="inlineStr">
        <is>
          <t>This section exempts certain entities from the application of Cap. 446, which is likely a reference to another act or regulation. It specifies that specific exemptions are granted under the Capital Markets Act (Cap. 485A) to avoid overlapping or conflicting provisions. The exemption applies to entities that would otherwise be subject to Cap. 446, but the exact scope and conditions of the exemption are not detailed in this section.</t>
        </is>
      </c>
      <c r="M265" s="8" t="inlineStr"/>
      <c r="N265" s="8" t="inlineStr">
        <is>
          <t>[Exemption] Exemption from Cap. 446</t>
        </is>
      </c>
      <c r="O265" s="8" t="inlineStr">
        <is>
          <t>Exemption from Cap. 446</t>
        </is>
      </c>
    </row>
    <row r="266">
      <c r="A266" t="inlineStr">
        <is>
          <t>Kenya</t>
        </is>
      </c>
      <c r="B266" t="inlineStr">
        <is>
          <t>GUIDANCE-NOTE-ON-CYBERSECURITY-FOR-THE-BANKING-SECTOR</t>
        </is>
      </c>
      <c r="C266" t="inlineStr">
        <is>
          <t>2</t>
        </is>
      </c>
      <c r="D266" s="8" t="inlineStr">
        <is>
          <t>PART II Statement of Policy</t>
        </is>
      </c>
      <c r="E266" t="inlineStr">
        <is>
          <t>2</t>
        </is>
      </c>
      <c r="F266" t="inlineStr">
        <is>
          <t>Other</t>
        </is>
      </c>
      <c r="G266" t="inlineStr">
        <is>
          <t>Medium</t>
        </is>
      </c>
      <c r="H266" t="inlineStr">
        <is>
          <t>High (explicit)</t>
        </is>
      </c>
      <c r="I266" s="8" t="inlineStr">
        <is>
          <t>Governance</t>
        </is>
      </c>
      <c r="J266" s="8" t="inlineStr"/>
      <c r="K266" t="inlineStr"/>
      <c r="L266" s="8" t="inlineStr">
        <is>
          <t>This section lists the subsections of Part II, which outlines the policy framework for cybersecurity in the banking sector. It specifies the purpose, scope, responsibility allocation, and examples of cyber risk sources that the banking sector must address to ensure robust cybersecurity practices.</t>
        </is>
      </c>
      <c r="M266" s="8" t="inlineStr"/>
      <c r="N266" s="8" t="inlineStr">
        <is>
          <t>[Definition] 2.1 Purpose
[Definition] 2.2 Scope
[Definition] 2.3 Responsibility
[Definition] 2.4 Examples of Sources of Cyber Risk</t>
        </is>
      </c>
      <c r="O266" s="8" t="inlineStr">
        <is>
          <t>PART II Statement of Policy
2.1 Purpose
2.2 Scope
2.3 Responsibility
2.4 Examples of Sources of Cyber Risk</t>
        </is>
      </c>
    </row>
    <row r="267">
      <c r="A267" t="inlineStr">
        <is>
          <t>Kenya</t>
        </is>
      </c>
      <c r="B267" t="inlineStr">
        <is>
          <t>GUIDANCE-NOTE-ON-CYBERSECURITY-FOR-THE-BANKING-SECTOR</t>
        </is>
      </c>
      <c r="C267" t="inlineStr">
        <is>
          <t>3</t>
        </is>
      </c>
      <c r="D267" s="8" t="inlineStr">
        <is>
          <t>PART III Specific Requirements</t>
        </is>
      </c>
      <c r="E267" t="inlineStr">
        <is>
          <t>2–14</t>
        </is>
      </c>
      <c r="F267" t="inlineStr">
        <is>
          <t>Security</t>
        </is>
      </c>
      <c r="G267" t="inlineStr">
        <is>
          <t>High</t>
        </is>
      </c>
      <c r="H267" t="inlineStr">
        <is>
          <t>Medium (merged from chunks)</t>
        </is>
      </c>
      <c r="I267" s="8" t="inlineStr">
        <is>
          <t>Governance, Security, Incident Reporting, Breach Notification, Third Party Processing</t>
        </is>
      </c>
      <c r="J267" s="8" t="inlineStr">
        <is>
          <t>Financial Data, Customer Data, Employee Data</t>
        </is>
      </c>
      <c r="K267" t="inlineStr">
        <is>
          <t>Central Bank of Kenya (CBK)</t>
        </is>
      </c>
      <c r="L267" s="8" t="inlineStr">
        <is>
          <t>This section mandates that banking institutions' boards must actively oversee cyber risk management by ensuring ethical governance, strategic alignment, adequate budgeting, and regular reviews of cybersecurity frameworks. Senior management must implement these strategies, identify critical assets, establish incident response procedures, and maintain continuous monitoring to mitigate cyber threats while aligning with business continuity requirements. This section mandates banking institutions in Kenya to implement robust cybersecurity measures, including strong authentication protocols, skilled staff with enhanced background checks, regular cyber risk assessments, incident response planning, and quarterly reporting to the board on cybersecurity posture. It requires the establishment of a Chief Information Security Officer (CISO) with specific responsibilities such as overseeing cybersecurity programs, maintaining asset inventories, conducting risk assessments, and ensuring timely incident response. Institutions must also collaborate with security agencies to share cyber threat intelligence and maintain comprehensive incident response frameworks. Financial institutions must implement</t>
        </is>
      </c>
      <c r="M267" s="8" t="inlineStr">
        <is>
          <t>This section establishes foundational governance obligations for cybersecurity that directly impact data transfer assessments by requiring institutions to maintain robust oversight mechanisms, risk ownership structures, and continuous monitoring of cyber threats before transferring or processing data across borders. This section directly impacts Data Transfer Impact Assessments by requiring institutions to establish robust cybersecurity frameworks that protect customer data during transfers and processing, including incident response planning and third-party risk management for data handling a</t>
        </is>
      </c>
      <c r="N267" s="8" t="inlineStr">
        <is>
          <t>[Must] Board of Directors must oversee cultivation of ethical governance culture and security risk awareness
[Must] Board must engage management in establishing cybersecurity vision, risk appetite, and strategic direction
[Must] Board must allocate adequate cybersecurity budget based on institution structure
[Must] Board must review management's determination of cybersecurity preparedness alignment with cyber risks
[Must] Board must establish or review cybersecurity risk ownership and management accountability
[Must] Board must approve and continuously review cybersecurity strategy, governance charter, policy, and framework
[Must] Board must ensure cybersecurity policy applies to all operating entities including subsidiaries and geographic regions
[Must] Board must review implementation of cybersecurity framework at least once every 12 months
[Must] Board must incorporate cybersecurity as standard agenda in meetings
[Must] Board must review results of management's ongoing monitoring of cyber threats
[Must] Board must ensure cybersecurity policy includes monitoring metrics and trend analysis
[Must] Oversee deployment of strong authentication measures to protect customer data, transactions and systems
[Must] Ensure provision of sufficient number of skilled staff for cybersecurity management with enhanced background and competency checks
[Must] Ensure timely and regular reporting to the board on cyber risk status
[Must] Establish a cybersecurity benchmarking framework with Board's endorsement
[Must] Incorporate cybersecurity as a standard agenda in Senior Management meetings
[Must] Document cybersecurity incident response plan addressing roles, incident detection, reporting, and escalation strategies
[Must] Create a post-incident analysis framework for corrective actions
[Must] Oversee evaluation and management of risks introduced by third-party service providers with attestation/assurance reports from independent auditors
[Must] CISO must oversee and implement cybersecurity program and enforce cybersecurity policy
[Must] CISO must ensure current enterprise-wide knowledge base of users, devices, applications and their relationships
[Must] CISO must ensure information systems meet institutional needs and comply with business strategies and risk policies
[Must] CISO must design cybersecurity controls considering internal and external users
[Must] CISO must organize professional cyber-related trainings for staff
[Must] CISO must ensure regular and comprehensive cyber risk assessments
[Must] CISO must ensure processes for timely monitoring of IT systems to detect cybersecurity events
[Must] CISO must report to CEO quarterly on confidentiality, integrity, availability of information systems, policy exceptions, program effectiveness, and material cybersecurity events
[Must] CISO must ensure timely updates to incident response mechanism and Business Continuity Plan based on cyber threat intelligence
[Must] CISO must incorporate scenario analysis for material cyber-attacks and control gaps
[Must] CISO must ensure frequent data backups of critical IT systems to separate storage locations
[Must] CISO must ensure clear roles and responsibilities for cyber risk management in emergencies
[Must] CISO must continuously test disaster recovery and Business Continuity Plans
[Must] Institutions must engage external consultants with cybersecurity expertise for annual independent cyber threat tests
[Must] Institutions must incorporate qualified ICT auditors within Internal Audit team
[Must] Internal ICT auditors must continuously review and report on cyber risks and controls
[Must] Internal ICT auditors must assess design and effectiveness of cybersecurity framework
[Must] Internal ICT auditors must conduct regular independent threat and vulnerability assessments
[Must] Internal ICT auditors must report to the board on assessment findings
[Must] Internal ICT auditors must conduct comprehensive penetration tests
[Must] Risk management function must assess cybersecurity risks against institutional risk appetite
[Must] Risk management function must monitor current and emerging cybersecurity risks and regulatory changes
[Must] Risk management function must collaborate with system administrators to ensure appropriate control design
[Must] Risk management function must maintain comprehensive cyber risk registers
[Must] Risk management function must ensure implementation of cyber risk management strategy
[Must] Risk management function must safeguard confidentiality, integrity and availability of information
[Must] Risk management function must establish and maintain IT asset inventory by business criticality
[Must] Risk management function must quantify potential impact of residual cyber risks
[Must] Risk management function must report all enterprise risks consistently to the board
[Must] Risk management function must conduct red team exercises
[Must] External auditors must ensure IT audit scope includes understanding of IT infrastructure and operations
[Must] External auditors must understand extent of automated controls affecting financial reporting
[Must] External auditors must conduct independent threat and vulnerability assessments
[Must] External auditors must review approved cybersecurity strategy and policy
[Must] External auditors must conduct comprehensive penetration tests
[Must] External auditors must report annually to the board and CBK on assessment findings
[Must] Institutions must have adequate governance of outsourcing agreements including due diligence on service providers
[Must] Institutions must consider outsourcing agreements as critical infrastructure for regulation and protection
[Must] Institutions must select vendors based on compliance and risk assessments
[Must] Institutions must ensure computing resources are secured including registrations, licensing, compliance and verification
[Must] Institutions must ensure outsourcing contracts require service providers to comply with legal and regulatory frameworks
[Must] Institutions must understand inherent risks from each third party
[Must] Institutions must perform analytics on outsourcing portfolio to identify relative risks
[Must] Institutions must work collaboratively with third parties to mitigate risks
[Must] Institutions must monitor contracted third parties for changes in business and cyber posture
[Must] Institutions must develop exit management strategies and contingency plans
[Must] Institutions should implement IT security awareness training programmes to provide information on good IT security practices, common threat types and the institution's policies and procedures.
[Must] The training should be provided to all employees including senior management and the board.
[Must] A formalized plan should be put in place to provide ongoing technical training to cybersecurity specialists within the institution.
[Must] Cybersecurity awareness and information should be provided to the institution's customers, clients, suppliers, partners, outsourced service providers and other third parties who have links to the bank's IT infrastructure.</t>
        </is>
      </c>
      <c r="O267" s="8" t="inlineStr">
        <is>
          <t>Board of Directors must oversee cultivation and promotion of an ethical governance, management culture and awareness. Setting 'the right tone from the top' is a crucial element in fostering a robust cyber risk management culture.</t>
        </is>
      </c>
    </row>
    <row r="268">
      <c r="A268" t="inlineStr">
        <is>
          <t>Kenya</t>
        </is>
      </c>
      <c r="B268" t="inlineStr">
        <is>
          <t>GuidelinesonCybersecurityforPSPs (Kenya - Row19)</t>
        </is>
      </c>
      <c r="C268" t="inlineStr">
        <is>
          <t>2</t>
        </is>
      </c>
      <c r="D268" s="8" t="inlineStr">
        <is>
          <t>PART II STATEMENT OF POLICY</t>
        </is>
      </c>
      <c r="E268" t="inlineStr">
        <is>
          <t>2</t>
        </is>
      </c>
      <c r="F268" t="inlineStr">
        <is>
          <t>Other</t>
        </is>
      </c>
      <c r="G268" t="inlineStr">
        <is>
          <t>None</t>
        </is>
      </c>
      <c r="H268" t="inlineStr">
        <is>
          <t>High (explicit)</t>
        </is>
      </c>
      <c r="I268" s="8" t="inlineStr">
        <is>
          <t>Governance, Incident Reporting, Breach Notification</t>
        </is>
      </c>
      <c r="J268" s="8" t="inlineStr"/>
      <c r="K268" t="inlineStr"/>
      <c r="L268" s="8" t="inlineStr">
        <is>
          <t>This section outlines the policy framework for Payment Service Providers (PSPs) in Kenya, specifying the purpose, scope, sources of cyber risk, responsibilities, and the cybersecurity program. It establishes the foundational principles that guide the implementation of cybersecurity measures across PSPs, ensuring alignment with national cybersecurity objectives and regulatory expectations.</t>
        </is>
      </c>
      <c r="M268" s="8" t="inlineStr"/>
      <c r="N268" s="8" t="inlineStr">
        <is>
          <t>[Other] Part II Statement of Policy</t>
        </is>
      </c>
      <c r="O268" s="8" t="inlineStr">
        <is>
          <t>PART II STATEMENT OF POLICY 2.1 Purpose 2.2 Scope 2.3 Sources of Cyber Risk 2.4 Responsibility 2.5 Cybersecurity Program</t>
        </is>
      </c>
    </row>
    <row r="269">
      <c r="A269" t="inlineStr">
        <is>
          <t>Kenya</t>
        </is>
      </c>
      <c r="B269" t="inlineStr">
        <is>
          <t>GuidelinesonCybersecurityforPSPs (Kenya - Row19)</t>
        </is>
      </c>
      <c r="C269" t="inlineStr">
        <is>
          <t>3</t>
        </is>
      </c>
      <c r="D269" s="8" t="inlineStr">
        <is>
          <t>PART III SPECIFIC REQUIREMENTS</t>
        </is>
      </c>
      <c r="E269" t="inlineStr">
        <is>
          <t>2</t>
        </is>
      </c>
      <c r="F269" t="inlineStr">
        <is>
          <t>Governance</t>
        </is>
      </c>
      <c r="G269" t="inlineStr">
        <is>
          <t>High</t>
        </is>
      </c>
      <c r="H269" t="inlineStr">
        <is>
          <t>High (explicit)</t>
        </is>
      </c>
      <c r="I269" s="8" t="inlineStr">
        <is>
          <t>Governance, Incident Reporting, Breach Notification, Outsourcing, Cloud Services</t>
        </is>
      </c>
      <c r="J269" s="8" t="inlineStr"/>
      <c r="K269" t="inlineStr">
        <is>
          <t>CBK</t>
        </is>
      </c>
      <c r="L269" s="8" t="inlineStr">
        <is>
          <t>This section details specific governance requirements for Payment Service Providers, including board responsibilities, senior management roles, the Chief Information Systems Officer, cybersecurity strategy development, risk management protocols, incident response, vulnerability assessments, outsourcing contracts, and regular independent assessments. It mandates structured oversight and accountability mechanisms to ensure robust cybersecurity practices within PSPs.</t>
        </is>
      </c>
      <c r="M269" s="8" t="inlineStr"/>
      <c r="N269" s="8" t="inlineStr">
        <is>
          <t>[Must] 3.1 Governance of Payment Service Providers
[Must] 3.1.1 Board of Directors
[Must] 3.1.2 Senior Management
[Must] 3.1.3 Chief Information Systems Officer
[Must] 3.1.4 Cybersecurity Strategy, Frameworks and Policies
[Must] 3.2 Risk Management
[Must] 3.2.1 Risk Assessment
[Must] 3.2.2 General Risk Management Requirements for Payment Service Providers
[Must] 3.2.3 Dependency Risk Management
[Must] 3.2.4 Incident Response and Cyber Resilience
[Must] 3.2.5 Vulnerability Assessments and Penetration Testing
[Must] 3.3 Additional Requirements for Systemically Important Payment Systems and System-wide Important Payment Systems
[Must] 3.4 Outsourcing
[Must] 3.4.1 Outsourcing Contracts
[Must] 3.4.2 Notification to CBK
[Must] 3.5 Regular Independent Assessment and Testing
[Must] 3.5.1 Role of Risk Management Function
[Must] 3.5.2 Role of Internal Audit function
[Must] 3.5.3 Role of External Audit function
[Must] 3.6 Training and Awareness</t>
        </is>
      </c>
      <c r="O269" s="8" t="inlineStr">
        <is>
          <t>PART III SPECIFIC REQUIREMENTS 3.1 Governance of Payment Service Providers 3.1.1 Board of Directors 3.1.2 Senior Management 3.1.3 Chief Information Systems Officer 3.1.4 Cybersecurity Strategy, Frameworks and Policies 3.2 Risk Management 3.2.1 Risk Assessment 3.2.2 General Risk Management Requirements for Payment Service Providers 3.2.3 Dependency Risk Management 3.2.4 Incident Response and Cyber Resilience 3.2.5 Vulnerability Assessments and Penetration Testing 3.3 Additional Requirements for Systemically Important Payment Systems and System-wide Important Payment Systems 3.4 Outsourcing 3.4.1 Outsourcing Contracts 3.4.2 Notification to CBK 3.5 Regular Independent Assessment and Testing 3.5.1 Role of Risk Management Function 3.5.2 Role of Internal Audit function 3.5.3 Role of External Audit function 3.6 Training and Awareness</t>
        </is>
      </c>
    </row>
    <row r="270">
      <c r="A270" t="inlineStr">
        <is>
          <t>Kenya</t>
        </is>
      </c>
      <c r="B270" t="inlineStr">
        <is>
          <t>GuidelinesonCybersecurityforPSPs (Kenya - Row19)</t>
        </is>
      </c>
      <c r="C270" t="inlineStr">
        <is>
          <t>4</t>
        </is>
      </c>
      <c r="D270" s="8" t="inlineStr"/>
      <c r="E270" t="inlineStr">
        <is>
          <t>2–24</t>
        </is>
      </c>
      <c r="F270" t="inlineStr">
        <is>
          <t>Security</t>
        </is>
      </c>
      <c r="G270" t="inlineStr">
        <is>
          <t>High</t>
        </is>
      </c>
      <c r="H270" t="inlineStr">
        <is>
          <t>Medium (merged from chunks)</t>
        </is>
      </c>
      <c r="I270" s="8" t="inlineStr">
        <is>
          <t>Security, Access Control, Incident Reporting, Breach Notification</t>
        </is>
      </c>
      <c r="J270" s="8" t="inlineStr">
        <is>
          <t>Personal Information, Financial Data, Customer Data, Employee Data, Health Data, Children's Data, Biometric Data, Special Personal Information</t>
        </is>
      </c>
      <c r="K270" t="inlineStr">
        <is>
          <t>Central Bank of Kenya (CBK)</t>
        </is>
      </c>
      <c r="L270" s="8" t="inlineStr">
        <is>
          <t>This section defines key terms used throughout the Guidelines on Cybersecurity for Payment Service Providers (PSPs) in Kenya. It specifies what constitutes Business Continuity, Business Continuity Management, Critical Information Infrastructure (CII), Cybersecurity Incidents, Critical Assets, Cyber Assets, Critical Cyber Assets, Cybercrime, Cybersecurity, Cyber risk, Cyberspace, Data, Designated Payment Instruments, Designated Payment Systems, Endpoints, Endpoint Hardware, External Dependency Management Strategy (EDMS), Internal Dependency Management Strategy (IDMS), IT Infrastructure, Operators, Participants, Payment Service Providers (PSPs), Retail Payment Systems, Social Engineering, Systemically Important Payment Systems (SIPS), System-Wide Important Payment Systems (SWIPS), and Third Party Service Providers. These definitions establish the foundational terminology for cybersecurity compliance in Kenya's payment systems. This section identifies specific sources of cybercrime activities for payment service providers (PSPs), including unauthorized account access, phishing attacks, interconnected institutional vulnerabilities, internal system risks, and poor authentication control</t>
        </is>
      </c>
      <c r="M270" s="8" t="inlineStr">
        <is>
          <t>This section highlights critical cybersecurity risks that must be assessed during Data Transfer Impact Assessments, particularly regarding unauthorized access, phishing vulnerabilities, and internal system weaknesses that could compromise data security across borders. It requires PSPs to implement strong authentication controls and incident response mechanisms to mitigate cross-border data transfer risks. This section directly impacts DTIAs by requiring PSPs to validate disaster recovery capabilities and ensure business continuity through tested plans, which are critical for maintaining data a</t>
        </is>
      </c>
      <c r="N270" s="8" t="inlineStr">
        <is>
          <t>[Definition] ‘Business Continuity' is a state of continued and uninterrupted operation of business.
[Definition] ‘Business Continuity Management' is a holistic business approach that includes policies, standards, frameworks and procedures for ensuring that specific operations can be maintained or recovered in a timely manner in the event of disruption.
[Definition] ‘Business Continuity Plan' is a comprehensive, documented plan of action that sets out procedures and establishes the processes and systems necessary to continue or restore the operation of an organization in the event of a disruption.
[Definition] ‘CISO' is an acronym referring to the Chief Information Security Officer.
[Definition] ‘Critical Information Infrastructure (CII)' refers to interconnected information systems and networks, the disruption of which would have serious impact on the economic well-being of customers, or on the effective functioning of payment service providers and the economy.
[Definition] ‘Cybersecurity Incident' is a cyber event that: i. jeopardizes the cyber security of an information system or the information the system processes, stores or transmits; or ii. violates the security policies, security procedures or acceptable use policies, iii. whether resulting from malicious activity or not.
[Definition] ‘Critical Asset' means facilities, systems, and equipment which, if destroyed, degraded, or otherwise rendered unavailable, would affect the reliability or operability of an institution.
[Definition] ‘Cyber Asset' means programmable electronic devices and communication networks including Hardware, Software and Data.
[Definition] ‘Critical Cyber Asset' means programmable electronic devices and communication networks including Hardware, Software and Data that are essential to the reliable operations of critical assets.
[Definition] ‘Cybercrime' refers to a harmful activity executed through computers, Information Technology (IT) systems and/or the internet using a computer device as the tool to commit the offence, and targeting the computers, IT infrastructure or internet presence of another person or entity.
[Definition] ‘Cybersecurity' means preservation of confidentiality, integrity and availability of information and/or information systems through the cyber medium.
[Definition] ‘Cyber risk' is the combination of the probability of cyber incidents occurring and their impact.
[Definition] ‘Cyberspace' is a global domain within the information environment consisting of the independent network of information systems infrastructures including the internet, telecommunications networks, computer systems, and embedded processors and controllers.
[Definition] ‘Data' means any representation of facts, information or concepts in a form suitable for processing in a computer system, including a program suitable to cause a computer system to perform a function.
[Definition] ‘Designated Payment Instrument' means any payment instrument that is of widespread use as a means of making payment and may affect the payment systems of Kenya and it is thus designated to protect the interest of the public or in the interest of the integrity of the payment instrument.
[Definition] ‘Designated Payment System' means any system that poses systemic risk or that is designated to protect the interest of the public or the interest of the integrity of the payment system.
[Definition] ‘Endpoint' means a point in place and time at which payment instruction information is exchanged between two parties in the ecosystem, such as between a messaging network and a participant in the network, a payment system and a participant in the system or a payment system and a messaging network.
[Definition] ‘Endpoint Hardware' may include mobile devices, laptop or desktop personal computers (PCs) and other equipment such as servers and network devices that may or may not be controlled directly by the operator of a payment system or messaging network.
[Definition] ‘External Dependency Management Strategy (EDMS)' is the strategy which provides for the protection and sustainment of the PSP's services and assets that are dependent on the actions of external actors e.g. technology vendors, suppliers, shared public infrastructure, and other external services that supports the PSP.
[Definition] ‘Internal Dependency Management Strategy (IDMS) is the strategy which ensures that the PSP is able to identify and deal with cyber risks associated with its internal business environment e.g. workforce, data, technology, facilities etc. upon which the PSP depends to deliver services to its customers.
[Definition] ‘IT Infrastructure' refers to the hardware, software, network resources and services required for the existence, operation and management of an enterprise IT environment.
[Definition] ‘Operator' means a person, other than a designated payment system operator, authorized in terms of section 8 (2) (c) of the National Payment Systems Act, 2011 to provide services to any two or more persons in respect of payment instructions.
[Definition] ‘Participant' means a bank or institution approved by Central Bank of Kenya to participate in the Kenya wholesale payment system.
[Definition] ‘Payment Service Provider (PSP)' as defined in the National Payment Systems Act, 2011 means: i) A person, company or organization acting as provider in relation to sending, receiving, storing or processing of payments or the provision of other services in relation to payment services through any electronic system; ii) A person, company or organization which owns, possesses, operates, manages or controls a public switched network for the provision of payment services; or iii) Any other person, company or organization that processes or stores data on behalf of such payment service providers or users of such payment services.
[Definition] ‘Retail Payment Systems' means a funds transfer system that typically handles a large volume of relatively low-value payments in such forms as cheques, credit transfers, direct debits and card payment transactions.
[Definition] ‘Social Engineering' is a general term for trying to deceive people into revealing information or performing certain actions.
[Definition] ‘Systemically Important Payment System (SIPS)' means a funds transfer system that typically handles large-value and high-priority payments. These are typically Wholesale or Large Value Payment System (LVPS). A failure of these systems could potentially endanger the operation of the whole economy.
[Definition] ‘System-Wide Important Payment Systems (SWIPS)' means retail payment systems which are of importance to the economy as a whole due to the high volumes, low values of transactions they process, but which are unlikely to generate or transmit financial shocks if they fail.
[Definition] ‘Third Party Service Provider' means a person/entity that (i) is not an affiliate of the PSP, (ii) provides services to the PSP, and (iii) maintains, processes or otherwise is permitted access to confidential information through its provision of services to the PSP.
[Must] Unauthorized access to privileged accounts could control the entire system by hiding criminal acts through modifying or deleting log files or disabling detection mechanisms.
[Must] People-related attacks like phishing, malware introduced through social engineering can gain privileged access to critical systems.
[Must] Interconnectedness of institutions could lead to compromise in entry points through service providers.
[Must] Internal IT systems can be a source of cyber risk, such as data replication arrangements transferring malware or corrupted data to backup systems.
[Must] Poor authentication controls to protect customer data, transactions and systems.
[Must] Ensure the roles and responsibilities of managing cyber risks, including in emergency or crisis decision-making, are clearly defined, documented and communicated to relevant staff.
[Must] Put in place BCP and disaster recovery test plans to ensure that the PSP can continue to function and meet its regulatory obligations in the event of an unforeseen attack through cyber-crime.
[Must] Assessing the overall effectiveness of the PSP's cybersecurity program.
[Must] Periodically reporting on the organization's cybersecurity posture to senior management, board and audit committee.
[Must] Establish processes for secure offline storage of critical records, including financial records of the PSP using defined data standards to allow for restoration of the records after a disruption.
[Must] Conduct testing that addresses a disruptive, destructive, corruptive or any other cyber event that could affect the ability to service customers and avoid incurring significant downtime that would affect the business operations of customers.
[Must] The cybersecurity program for each PSP shall include monitoring and testing, developed in accordance with the PSP's Risk Assessment, designed to assess the effectiveness of the PSP's cybersecurity program.
[Must] In the absence of effective continuous monitoring, PSPs shall conduct quarterly vulnerability scans of all critical cyber assets.
[Must] PSPs shall conduct annual Penetration Testing of the PSP that cover, at a minimum, the critical cyber assets as determined each given year based on the Risk Assessment.
[Must] PSPs shall conduct bi-annual vulnerability assessments, including systematic scans or reviews of Information Systems to identify publicly known cybersecurity vulnerabilities.
[Must] PSPs must review their cybersecurity strategy, policy, and framework annually based on each PSP's threat and vulnerability assessment.
[Must] PSPs must submit Cybersecurity Policy, Strategies and Frameworks to CBK by December 31, 2019.
[Exemption] Commercial banks licensed under the Banking Act are exempt and follow the Guidance Note on Cybersecurity (August 2017).
[Must] PSPs must notify CBK within 24 hours and SWIPS/SIPS within 2 hours of any cybersecurity incident with significant impact on services, reputation, or financial condition.
[Must] PSPs must submit a comprehensive report on incidents within 24 hours of notification.
[Must] PSPs must provide quarterly reports on cybersecurity incidents to CBK by the 10th day after the end of each quarter.</t>
        </is>
      </c>
      <c r="O270" s="8" t="inlineStr">
        <is>
          <t>1.4 Definitions – The acronyms and some of terms used in this Guideline are defined below: 1.4.1 ‘Business Continuity' is a state of continued and uninterrupted operation of business.</t>
        </is>
      </c>
    </row>
    <row r="271">
      <c r="A271" t="inlineStr">
        <is>
          <t>Kenya</t>
        </is>
      </c>
      <c r="B271" t="inlineStr">
        <is>
          <t>THE-DATA-PROTECTION-COMPLAINTS-HANDLING-AND-ENFORCEMENT (Kenya - Row 15)</t>
        </is>
      </c>
      <c r="C271" t="inlineStr">
        <is>
          <t>1</t>
        </is>
      </c>
      <c r="D271" s="8" t="inlineStr">
        <is>
          <t>These Regulations may be cited as the Data Protection</t>
        </is>
      </c>
      <c r="E271" t="inlineStr">
        <is>
          <t>3</t>
        </is>
      </c>
      <c r="F271" t="inlineStr">
        <is>
          <t>Other</t>
        </is>
      </c>
      <c r="G271" t="inlineStr">
        <is>
          <t>None</t>
        </is>
      </c>
      <c r="H271" t="inlineStr">
        <is>
          <t>High (explicit)</t>
        </is>
      </c>
      <c r="I271" s="8" t="inlineStr"/>
      <c r="J271" s="8" t="inlineStr"/>
      <c r="K271" t="inlineStr"/>
      <c r="L271" s="8" t="inlineStr">
        <is>
          <t>This section establishes the citation for the Data Protection (Complaints Handling Procedure and Enforcement) Regulations, 2021, allowing it to be referred to as the Regulations in subsequent legal contexts.</t>
        </is>
      </c>
      <c r="M271" s="8" t="inlineStr"/>
      <c r="N271" s="8" t="inlineStr">
        <is>
          <t>[Must] These Regulations may be cited as the Data Protection (Complaints Handling Procedure and Enforcement) Regulations, 2021.</t>
        </is>
      </c>
      <c r="O271" s="8" t="inlineStr">
        <is>
          <t>These Regulations may be cited as the Data Protection (Complaints Handling Procedure and Enforcement) Regulations, 2021.</t>
        </is>
      </c>
    </row>
    <row r="272">
      <c r="A272" t="inlineStr">
        <is>
          <t>Kenya</t>
        </is>
      </c>
      <c r="B272" t="inlineStr">
        <is>
          <t>THE-DATA-PROTECTION-COMPLAINTS-HANDLING-AND-ENFORCEMENT (Kenya - Row 15)</t>
        </is>
      </c>
      <c r="C272" t="inlineStr">
        <is>
          <t>2</t>
        </is>
      </c>
      <c r="D272" s="8" t="inlineStr">
        <is>
          <t>In these Regulations, unless the context otherwise requires</t>
        </is>
      </c>
      <c r="E272" t="inlineStr">
        <is>
          <t>3</t>
        </is>
      </c>
      <c r="F272" t="inlineStr">
        <is>
          <t>Definitions</t>
        </is>
      </c>
      <c r="G272" t="inlineStr">
        <is>
          <t>None</t>
        </is>
      </c>
      <c r="H272" t="inlineStr">
        <is>
          <t>High (explicit)</t>
        </is>
      </c>
      <c r="I272" s="8" t="inlineStr"/>
      <c r="J272" s="8" t="inlineStr"/>
      <c r="K272" t="inlineStr"/>
      <c r="L272" s="8" t="inlineStr">
        <is>
          <t>This section defines key terms used in the Regulations, including 'data subject', 'complainant', 'Data Protection Commissioner', and other relevant entities, to ensure clarity in complaint handling procedures.</t>
        </is>
      </c>
      <c r="M272" s="8" t="inlineStr"/>
      <c r="N272" s="8" t="inlineStr">
        <is>
          <t>[Definition] means a data subject or a person who has lodged a complaint pursuant to regulation 4
[Definition] means the person appointed under section 6 of the Act
[Definition] means the office of the Data Protection Commissioner
[Definition] Commissioner under regulation 16
[Definition] Commissioner under regulation 20
[Definition] lodged
[Definition] writing, directing a person to appear before the Office</t>
        </is>
      </c>
      <c r="O272" s="8" t="inlineStr">
        <is>
          <t>In these Regulations, unless the context otherwise requires means a data subject or a person who has lodged a complaint pursuant to regulation 4; means the person appointed under section 6 of the Act; means the office of the Data Protection Commissioner; Commissioner under regulation 16; Commissioner under regulation 20; lodged; and writing, directing a person to appear before the Office.</t>
        </is>
      </c>
    </row>
    <row r="273">
      <c r="A273" t="inlineStr">
        <is>
          <t>Kenya</t>
        </is>
      </c>
      <c r="B273" t="inlineStr">
        <is>
          <t>THE-DATA-PROTECTION-COMPLAINTS-HANDLING-AND-ENFORCEMENT (Kenya - Row 15)</t>
        </is>
      </c>
      <c r="C273" t="inlineStr">
        <is>
          <t>3</t>
        </is>
      </c>
      <c r="D273" s="8" t="inlineStr">
        <is>
          <t>The object and purpose of these Regulations is to</t>
        </is>
      </c>
      <c r="E273" t="inlineStr">
        <is>
          <t>3–4</t>
        </is>
      </c>
      <c r="F273" t="inlineStr">
        <is>
          <t>Other</t>
        </is>
      </c>
      <c r="G273" t="inlineStr">
        <is>
          <t>None</t>
        </is>
      </c>
      <c r="H273" t="inlineStr">
        <is>
          <t>High (explicit)</t>
        </is>
      </c>
      <c r="I273" s="8" t="inlineStr"/>
      <c r="J273" s="8" t="inlineStr"/>
      <c r="K273" t="inlineStr"/>
      <c r="L273" s="8" t="inlineStr">
        <is>
          <t>This section outlines the objectives of the Regulations, including facilitating fair complaint resolution, issuing enforcement notices, penalty notices, establishing complaint hearing procedures, and resolving complaints through alternative dispute mechanisms as specified in the Act.</t>
        </is>
      </c>
      <c r="M273" s="8" t="inlineStr"/>
      <c r="N273" s="8" t="inlineStr">
        <is>
          <t>[Must] facilitate a fair, impartial, just, expeditious, proportionate and affordable determination of complaints lodged with the Data Commissioner in accordance with the Act and these Regulations, without undue regard to technicalities of procedure
[Must] provide for issuance of enforcement notices as contemplated under section 58 of the Act
[Must] provide for issuance of penalty notices as contemplated under section 62 of the Act
[Must] provide for the procedure for hearing and determining of complaints
[Must] provide for the resolution of complaints lodged with the Data Commissioner by means of alternative dispute resolution mechanisms as specified under section 9(1)(c) of the Act</t>
        </is>
      </c>
      <c r="O273" s="8" t="inlineStr">
        <is>
          <t>The object and purpose of these Regulations is to facilitate a fair, impartial, just, expeditious, proportionate and affordable determination of complaints lodged with the Data Commissioner in accordance with the Act and these Regulations, without undue regard to technicalities of procedure; provide for issuance of enforcement notices as contemplated under section 58 of the Act; provide for issuance of penalty notices as contemplated under section 62 of the Act; provide for the procedure for hearing and determining of complaints; and provide for the resolution of complaints lodged with the Data Commissioner by means of alternative dispute resolution mechanisms as specified under section 9(1)(c) of the Act.</t>
        </is>
      </c>
    </row>
    <row r="274">
      <c r="A274" t="inlineStr">
        <is>
          <t>Kenya</t>
        </is>
      </c>
      <c r="B274" t="inlineStr">
        <is>
          <t>THE-DATA-PROTECTION-COMPLAINTS-HANDLING-AND-ENFORCEMENT (Kenya - Row 15)</t>
        </is>
      </c>
      <c r="C274" t="inlineStr">
        <is>
          <t>4</t>
        </is>
      </c>
      <c r="D274" s="8" t="inlineStr">
        <is>
          <t>(1) Pursuant to section 56 of the Act, a data subject or any</t>
        </is>
      </c>
      <c r="E274" t="inlineStr">
        <is>
          <t>4</t>
        </is>
      </c>
      <c r="F274" t="inlineStr">
        <is>
          <t>Other</t>
        </is>
      </c>
      <c r="G274" t="inlineStr">
        <is>
          <t>None</t>
        </is>
      </c>
      <c r="H274" t="inlineStr">
        <is>
          <t>High (explicit)</t>
        </is>
      </c>
      <c r="I274" s="8" t="inlineStr"/>
      <c r="J274" s="8" t="inlineStr"/>
      <c r="K274" t="inlineStr"/>
      <c r="L274" s="8" t="inlineStr">
        <is>
          <t>This section details the procedures for lodging complaints with the Data Commissioner, including acceptable methods (oral, electronic, or other means), the requirement to be free of charge, and the seven-day acknowledgment period for complaint receipt.</t>
        </is>
      </c>
      <c r="M274" s="8" t="inlineStr"/>
      <c r="N274" s="8" t="inlineStr">
        <is>
          <t>[Must] Pursuant to section 56 of the Act, a data subject or any person aggrieved on any matter under the Act may lodge a complaint with the Data Commissioner
[Must] A complaint lodged under sub-regulation (1) may be lodged in Form DPC 1 set out in the Schedule
[Must] A complaint may be lodged orally, subject to section 56(3) of the Act
[Must] A complaint may be lodged through electronic means, including email, web posting, complaint management information system
[Must] A complaint may be lodged by the complainant in person
[Must] A complaint may be lodged by a person acting on behalf of the complainant
[Must] A complaint may be lodged by any other person authorized by law to act on behalf of a data subject
[Must] A complaint may be lodged anonymously
[Must] The Data Commissioner shall acknowledge receipt of the complaint within seven days of receipt of the complaint
[Must] The complaint shall be lodged free of charge</t>
        </is>
      </c>
      <c r="O274" s="8" t="inlineStr">
        <is>
          <t>Pursuant to section 56 of the Act, a data subject or any person aggrieved on any matter under the Act may lodge a complaint with the Data Commissioner. A complaint lodged under sub-regulation (1) may be lodged in Form DPC 1 set out in the Schedule (a) orally, subject to section 56(3) of the Act; (b) through electronic means, including email, web posting, complaint management information system; or (c) by any other appropriate means.</t>
        </is>
      </c>
    </row>
    <row r="275">
      <c r="A275" t="inlineStr">
        <is>
          <t>Kenya</t>
        </is>
      </c>
      <c r="B275" t="inlineStr">
        <is>
          <t>THE-DATA-PROTECTION-COMPLAINTS-HANDLING-AND-ENFORCEMENT (Kenya - Row 15)</t>
        </is>
      </c>
      <c r="C275" t="inlineStr">
        <is>
          <t>5</t>
        </is>
      </c>
      <c r="D275" s="8" t="inlineStr">
        <is>
          <t>(1) The Data Commissioner shall keep and maintain an up to</t>
        </is>
      </c>
      <c r="E275" t="inlineStr">
        <is>
          <t>4</t>
        </is>
      </c>
      <c r="F275" t="inlineStr">
        <is>
          <t>Other</t>
        </is>
      </c>
      <c r="G275" t="inlineStr">
        <is>
          <t>None</t>
        </is>
      </c>
      <c r="H275" t="inlineStr">
        <is>
          <t>High (explicit)</t>
        </is>
      </c>
      <c r="I275" s="8" t="inlineStr"/>
      <c r="J275" s="8" t="inlineStr"/>
      <c r="K275" t="inlineStr"/>
      <c r="L275" s="8" t="inlineStr">
        <is>
          <t>This section mandates the Data Commissioner to maintain an up-to-date Register of Complaints, record complainant details, and protect the complainant's identity upon request.</t>
        </is>
      </c>
      <c r="M275" s="8" t="inlineStr"/>
      <c r="N275" s="8" t="inlineStr">
        <is>
          <t>[Must] The Data Commissioner shall keep and maintain an up to date Register of Complaints
[Must] An entry into the register of complaints shall state the particulars of the complainant and the complaint filed with the Data Commissioner
[Must] The Data Commissioner shall protect the identity of the complainant where the request to protect the identity is sought by the complainant</t>
        </is>
      </c>
      <c r="O275" s="8" t="inlineStr">
        <is>
          <t>The Data Commissioner shall keep and maintain an up to date Register of Complaints. An entry into the register of complaints shall state the particulars of the complainant and the complaint filed with the Data Commissioner. The Data Commissioner shall protect the identity of the complainant where the request to protect the identity is sought by the complainant.</t>
        </is>
      </c>
    </row>
    <row r="276">
      <c r="A276" t="inlineStr">
        <is>
          <t>Kenya</t>
        </is>
      </c>
      <c r="B276" t="inlineStr">
        <is>
          <t>THE-DATA-PROTECTION-COMPLAINTS-HANDLING-AND-ENFORCEMENT (Kenya - Row 15)</t>
        </is>
      </c>
      <c r="C276" t="inlineStr">
        <is>
          <t>6</t>
        </is>
      </c>
      <c r="D276" s="8" t="inlineStr">
        <is>
          <t>(1) The Data Commissioner shall undertake a preliminary</t>
        </is>
      </c>
      <c r="E276" t="inlineStr">
        <is>
          <t>4–5</t>
        </is>
      </c>
      <c r="F276" t="inlineStr">
        <is>
          <t>Other</t>
        </is>
      </c>
      <c r="G276" t="inlineStr">
        <is>
          <t>None</t>
        </is>
      </c>
      <c r="H276" t="inlineStr">
        <is>
          <t>High (explicit)</t>
        </is>
      </c>
      <c r="I276" s="8" t="inlineStr"/>
      <c r="J276" s="8" t="inlineStr"/>
      <c r="K276" t="inlineStr"/>
      <c r="L276" s="8" t="inlineStr">
        <is>
          <t>This section outlines the preliminary review process for complaints, including admission, referral, or decline of complaints, and the procedures for conducting inquiries, investigations, and alternative dispute resolution mechanisms.</t>
        </is>
      </c>
      <c r="M276" s="8" t="inlineStr"/>
      <c r="N276" s="8" t="inlineStr">
        <is>
          <t>[Must] The Data Commissioner shall undertake a preliminary review of a complaint, upon receipt of the complaint by the Office
[May] The Data Commissioner may, upon undertaking a preliminary review of the complaint, admit the complaint
[May] The Data Commissioner may, upon undertaking a preliminary review of the complaint, advise the complainant in writing that the matter is not within the mandate of the Data Commissioner
[May] The Data Commissioner may, upon undertaking a preliminary review of the complaint, advise the complainant that the matter lies for determination by another body or institution and refer the complainant to that body or institution
[May] Despite sub-regulation (2), the Data Commissioner may decline to admit a complaint where the complaint does not raise any issue under the Act
[May] Upon admission of a complaint, the Data Commissioner may conduct an inquiry into the complaint
[May] Upon admission of a complaint, the Data Commissioner may conduct investigations
[May] Upon admission of a complaint, the Data Commissioner may facilitate mediation, conciliation or negotiation in accordance with the Act and these Regulations
[May] Upon admission of a complaint, the Data Commissioner may use any other mechanisms to resolve the complaint
[May] Where a complaint is declined for admission under sub-regulation (3), the complaint may be re-admitted within six months from the date of decline, where the complaint raises new issues for determination under the Act</t>
        </is>
      </c>
      <c r="O276" s="8" t="inlineStr">
        <is>
          <t>The Data Commissioner shall undertake a preliminary review of a complaint, upon receipt of the complaint by the Office. The Data Commissioner may, upon undertaking a preliminary review of the complaint, admit the complaint; where applicable, advise the complainant in writing that the matter is not within the mandate of the Data Commissioner; or advise the complainant that the matter lies for determination by another body or institution and refer the complainant to that body or institution.</t>
        </is>
      </c>
    </row>
    <row r="277">
      <c r="A277" t="inlineStr">
        <is>
          <t>Kenya</t>
        </is>
      </c>
      <c r="B277" t="inlineStr">
        <is>
          <t>THE-DATA-PROTECTION-COMPLAINTS-HANDLING-AND-ENFORCEMENT (Kenya - Row 15)</t>
        </is>
      </c>
      <c r="C277" t="inlineStr">
        <is>
          <t>7</t>
        </is>
      </c>
      <c r="D277" s="8" t="inlineStr">
        <is>
          <t>(1) The Data Commissioner may discontinue an existing</t>
        </is>
      </c>
      <c r="E277" t="inlineStr">
        <is>
          <t>5</t>
        </is>
      </c>
      <c r="F277" t="inlineStr">
        <is>
          <t>Other</t>
        </is>
      </c>
      <c r="G277" t="inlineStr">
        <is>
          <t>Low</t>
        </is>
      </c>
      <c r="H277" t="inlineStr">
        <is>
          <t>High (explicit)</t>
        </is>
      </c>
      <c r="I277" s="8" t="inlineStr"/>
      <c r="J277" s="8" t="inlineStr"/>
      <c r="K277" t="inlineStr">
        <is>
          <t>Data Commissioner</t>
        </is>
      </c>
      <c r="L277" s="8" t="inlineStr">
        <is>
          <t>The Data Commissioner can terminate a complaint in Form DPC 2 if the complaint lacks merit or the complainant fails to communicate without justifiable cause. The Commissioner must provide written reasons for termination within fourteen days and notify both parties. A complainant may refile the complaint after providing grounds for reinstatement.</t>
        </is>
      </c>
      <c r="M277" s="8" t="inlineStr">
        <is>
          <t>This section outlines procedures for terminating complaints, which may impact DTIA by requiring clear termination grounds and re-institution mechanisms for complaints.</t>
        </is>
      </c>
      <c r="N277" s="8" t="inlineStr">
        <is>
          <t>[Must] The Data Commissioner may discontinue an existing complaint in Form DPC 2 where a complaint does not merit further consideration
[Must] The Data Commissioner may discontinue an existing complaint in Form DPC 2 where a complainant refuses, fails or neglects to communicate without justifiable cause
[Must] The Data Commissioner shall provide the reasons for discontinuation on any of the grounds specified under sub-regulation (1) (a) or (b) and shall, in writing, notify the complainant and respondent within fourteen days from the date the decision to discontinue a complaint is made
[May] A complainant may, where a complaint has been discontinued pursuant to these Regulations, re-institute a complaint upon providing grounds for the restitution to the Data Commissioner</t>
        </is>
      </c>
      <c r="O277" s="8" t="inlineStr">
        <is>
          <t>7. (1) The Data Commissioner may discontinue an existing complaint in Form DPC 2 set out in the Schedule, where (a) a complaint does not merit further consideration; or (b) a complainant refuses, fails or neglects to communicate without justifiable cause.</t>
        </is>
      </c>
    </row>
    <row r="278">
      <c r="A278" t="inlineStr">
        <is>
          <t>Kenya</t>
        </is>
      </c>
      <c r="B278" t="inlineStr">
        <is>
          <t>THE-DATA-PROTECTION-COMPLAINTS-HANDLING-AND-ENFORCEMENT (Kenya - Row 15)</t>
        </is>
      </c>
      <c r="C278" t="inlineStr">
        <is>
          <t>8</t>
        </is>
      </c>
      <c r="D278" s="8" t="inlineStr">
        <is>
          <t>(1) A complaint may be withdrawn at any stage during its</t>
        </is>
      </c>
      <c r="E278" t="inlineStr">
        <is>
          <t>5</t>
        </is>
      </c>
      <c r="F278" t="inlineStr">
        <is>
          <t>Other</t>
        </is>
      </c>
      <c r="G278" t="inlineStr">
        <is>
          <t>Low</t>
        </is>
      </c>
      <c r="H278" t="inlineStr">
        <is>
          <t>High (explicit)</t>
        </is>
      </c>
      <c r="I278" s="8" t="inlineStr"/>
      <c r="J278" s="8" t="inlineStr"/>
      <c r="K278" t="inlineStr"/>
      <c r="L278" s="8" t="inlineStr">
        <is>
          <t>Complaints can be withdrawn at any stage before a determination is made. Complainants must submit a withdrawal request in Form DPC 2, and withdrawn complaints can be re-lodged within six months. The Office processes re-lodged complaints according to the same procedures.</t>
        </is>
      </c>
      <c r="M278" s="8" t="inlineStr">
        <is>
          <t>This section allows for complaint withdrawal and re-lodging, which may affect DTIA by introducing time-bound re-lodging and procedural continuity.</t>
        </is>
      </c>
      <c r="N278" s="8" t="inlineStr">
        <is>
          <t>[May] A complaint may be withdrawn at any stage during its consideration but before a determination is made
[May] A complainant may, at any time during the consideration of a complaint lodged pursuant to regulation 4 and before its determination, withdraw the complaint
[Must] An application for a withdrawal under sub-regulation (1) shall be in Form DPC 2 set out in the Schedule
[May] A withdrawn complaint under sub-regulation (1) may be re-lodged, within six months from the date of withdrawal of such complaint</t>
        </is>
      </c>
      <c r="O278" s="8" t="inlineStr">
        <is>
          <t>8. (1) A complaint may be withdrawn at any stage during its consideration but before a determination is made.</t>
        </is>
      </c>
    </row>
    <row r="279">
      <c r="A279" t="inlineStr">
        <is>
          <t>Kenya</t>
        </is>
      </c>
      <c r="B279" t="inlineStr">
        <is>
          <t>THE-DATA-PROTECTION-COMPLAINTS-HANDLING-AND-ENFORCEMENT (Kenya - Row 15)</t>
        </is>
      </c>
      <c r="C279" t="inlineStr">
        <is>
          <t>9</t>
        </is>
      </c>
      <c r="D279" s="8" t="inlineStr">
        <is>
          <t>(1) Where two or more complaints are lodged in which similar</t>
        </is>
      </c>
      <c r="E279" t="inlineStr">
        <is>
          <t>5–6</t>
        </is>
      </c>
      <c r="F279" t="inlineStr">
        <is>
          <t>Other</t>
        </is>
      </c>
      <c r="G279" t="inlineStr">
        <is>
          <t>Low</t>
        </is>
      </c>
      <c r="H279" t="inlineStr">
        <is>
          <t>High (explicit)</t>
        </is>
      </c>
      <c r="I279" s="8" t="inlineStr"/>
      <c r="J279" s="8" t="inlineStr"/>
      <c r="K279" t="inlineStr">
        <is>
          <t>Data Commissioner</t>
        </is>
      </c>
      <c r="L279" s="8" t="inlineStr">
        <is>
          <t>The Data Commissioner may consolidate similar complaints with complainant consent or treat one as a test complaint to resolve others pending its outcome. Consolidated complaints are treated as single complaints, and test complaints apply to stayed complaints.</t>
        </is>
      </c>
      <c r="M279" s="8" t="inlineStr">
        <is>
          <t>This section addresses joint complaint handling, which may impact DTIA by allowing for consolidated processing of similar complaints across jurisdictions.</t>
        </is>
      </c>
      <c r="N279" s="8" t="inlineStr">
        <is>
          <t>[May] Where two or more complaints are lodged in which similar issues are raised against a respondent, the Data Commissioner may, with the consent of the complainants, consolidate the complaints and make a determination
[May] Where two or more complaints are lodged in which similar issues are raised against a respondent, the Data Commissioner may, with the consent of the complainants, treat one complaint as a test complaint and stay further action on the other complaints pending resolution of the test complaint
[Must] The Data Commissioner shall, with necessary modifications, apply the decision of a test complaint to all the complaints stayed under sub-regulation (1)(b)
[Must] Where complaints are consolidated in accordance with this regulation, the complaint shall be treated as a single complaint and shall be determined in accordance with the provisions of these Regulations</t>
        </is>
      </c>
      <c r="O279" s="8" t="inlineStr">
        <is>
          <t>9. (1) Where two or more complaints are lodged in which similar issues are raised against a respondent, the Data Commissioner may, with the consent of the complainants (a) consolidate the complaints and make a determination; or (b) treat one complaint as a test complaint and stay further action on the other complaints pending resolution of the test complaint.</t>
        </is>
      </c>
    </row>
    <row r="280">
      <c r="A280" t="inlineStr">
        <is>
          <t>Kenya</t>
        </is>
      </c>
      <c r="B280" t="inlineStr">
        <is>
          <t>THE-DATA-PROTECTION-COMPLAINTS-HANDLING-AND-ENFORCEMENT (Kenya - Row 15)</t>
        </is>
      </c>
      <c r="C280" t="inlineStr">
        <is>
          <t>10</t>
        </is>
      </c>
      <c r="D280" s="8" t="inlineStr">
        <is>
          <t>(1) Proceedings before the Office shall be conducted in</t>
        </is>
      </c>
      <c r="E280" t="inlineStr">
        <is>
          <t>6</t>
        </is>
      </c>
      <c r="F280" t="inlineStr">
        <is>
          <t>Other</t>
        </is>
      </c>
      <c r="G280" t="inlineStr">
        <is>
          <t>Low</t>
        </is>
      </c>
      <c r="H280" t="inlineStr">
        <is>
          <t>High (explicit)</t>
        </is>
      </c>
      <c r="I280" s="8" t="inlineStr"/>
      <c r="J280" s="8" t="inlineStr"/>
      <c r="K280" t="inlineStr"/>
      <c r="L280" s="8" t="inlineStr">
        <is>
          <t>Proceedings before the Office must be conducted in Kiswahili, English, or Kenyan Sign Language. The Office may provide interpreters for parties who cannot communicate in the language of proceedings.</t>
        </is>
      </c>
      <c r="M280" s="8" t="inlineStr">
        <is>
          <t>This section ensures language accessibility for proceedings, which may impact DTIA by requiring language accommodations for complaints involving different linguistic groups.</t>
        </is>
      </c>
      <c r="N280" s="8" t="inlineStr">
        <is>
          <t>[Must] Proceedings before the Office shall be conducted in Kiswahili, English or Kenyan Sign Language
[May] The Office may ensure that a party who cannot speak, hear or understand the language of proceedings receives the services of an interpreter provided for by the Office</t>
        </is>
      </c>
      <c r="O280" s="8" t="inlineStr">
        <is>
          <t>10. (1) Proceedings before the Office shall be conducted in Kiswahili, English or Kenyan Sign Language.</t>
        </is>
      </c>
    </row>
    <row r="281">
      <c r="A281" t="inlineStr">
        <is>
          <t>Kenya</t>
        </is>
      </c>
      <c r="B281" t="inlineStr">
        <is>
          <t>THE-DATA-PROTECTION-COMPLAINTS-HANDLING-AND-ENFORCEMENT (Kenya - Row 15)</t>
        </is>
      </c>
      <c r="C281" t="inlineStr">
        <is>
          <t>11</t>
        </is>
      </c>
      <c r="D281" s="8" t="inlineStr">
        <is>
          <t>(1) Upon admission of a complaint, the Data Commissioner</t>
        </is>
      </c>
      <c r="E281" t="inlineStr">
        <is>
          <t>6</t>
        </is>
      </c>
      <c r="F281" t="inlineStr">
        <is>
          <t>Other</t>
        </is>
      </c>
      <c r="G281" t="inlineStr">
        <is>
          <t>Low</t>
        </is>
      </c>
      <c r="H281" t="inlineStr">
        <is>
          <t>High (explicit)</t>
        </is>
      </c>
      <c r="I281" s="8" t="inlineStr"/>
      <c r="J281" s="8" t="inlineStr"/>
      <c r="K281" t="inlineStr">
        <is>
          <t>Data Commissioner</t>
        </is>
      </c>
      <c r="L281" s="8" t="inlineStr">
        <is>
          <t>Upon complaint admission, the Data Commissioner must notify the respondent in Form DPC 3, requiring them to respond within twenty-one days by making representations, reviewing the complaint, or providing a response. If the respondent fails to act, the Commissioner proceeds with determination.</t>
        </is>
      </c>
      <c r="M281" s="8" t="inlineStr">
        <is>
          <t>This section details notification procedures for complaints, which may impact DTIA by requiring timely respondent engagement and alternative dispute resolution options.</t>
        </is>
      </c>
      <c r="N281" s="8" t="inlineStr">
        <is>
          <t>[Must] Upon admission of a complaint, the Data Commissioner shall notify the respondent of the complaint lodged against him, in Form DPC 3 set out in the Schedule and shall require the respondent to within twenty-one days (a) make representations and provide any relevant material or evidence in support of its representations; (b) review the complaint with a view of summarily resolving the complaint to the satisfaction of the complainant; or (c) provide a response with the required information
[Must] Where a respondent does not take any action as contemplated under sub-regulation (1), the Data Commissioner shall proceed to determine the complaint in accordance with the Act and these Regulations
[Must] The notice referred to under sub-regulation (1) shall specify options available to resolve a complaint including determining the complaint through alternative dispute resolution mechanisms specified in the Act and these Regulations</t>
        </is>
      </c>
      <c r="O281" s="8" t="inlineStr">
        <is>
          <t>11. (1) Upon admission of a complaint, the Data Commissioner shall notify the respondent of the complaint lodged against him, in Form DPC 3 set out in the Schedule and shall require the respondent to within twenty-one days (a) make representations and provide any relevant material or evidence in support of its representations; (b) review the complaint with a view of summarily resolving the complaint to the satisfaction of the complainant; or (c) provide a response with the required information.</t>
        </is>
      </c>
    </row>
    <row r="282">
      <c r="A282" t="inlineStr">
        <is>
          <t>Kenya</t>
        </is>
      </c>
      <c r="B282" t="inlineStr">
        <is>
          <t>THE-DATA-PROTECTION-COMPLAINTS-HANDLING-AND-ENFORCEMENT (Kenya - Row 15)</t>
        </is>
      </c>
      <c r="C282" t="inlineStr">
        <is>
          <t>12</t>
        </is>
      </c>
      <c r="D282" s="8" t="inlineStr">
        <is>
          <t>(1) Where it appears to the Data Commissioner, or by</t>
        </is>
      </c>
      <c r="E282" t="inlineStr">
        <is>
          <t>6–7</t>
        </is>
      </c>
      <c r="F282" t="inlineStr">
        <is>
          <t>Other</t>
        </is>
      </c>
      <c r="G282" t="inlineStr">
        <is>
          <t>Low</t>
        </is>
      </c>
      <c r="H282" t="inlineStr">
        <is>
          <t>High (explicit)</t>
        </is>
      </c>
      <c r="I282" s="8" t="inlineStr"/>
      <c r="J282" s="8" t="inlineStr"/>
      <c r="K282" t="inlineStr"/>
      <c r="L282" s="8" t="inlineStr">
        <is>
          <t>The Data Commissioner may order a person to be a party to a complaint if necessary, and parties with sufficient interest may apply to be enjoined before hearing. Applications must include specific details about the parties, their addresses, grounds, supporting documents, and requested relief.</t>
        </is>
      </c>
      <c r="M282" s="8" t="inlineStr">
        <is>
          <t>This section addresses joinder of parties, which may impact DTIA by allowing for additional parties to be included in complaint proceedings.</t>
        </is>
      </c>
      <c r="N282" s="8" t="inlineStr">
        <is>
          <t>[May] Where it appears to the Data Commissioner, or by an application by either the complainant or the respondent, that it is necessary that a person becomes a party to a complaint, the Data Commissioner may order that person to be enjoined as a party
[May] A person who has sufficient interest in the outcome of a complaint may apply to the Office for leave to be enjoined in the proceedings prior to the hearing of the complaint
[Must] An application under sub-regulation (1) shall include (a) the names of the parties to which that application relates; (b) the name and address for service of the person wishing to be enjoined; (c) the grounds the applicant relies on to be enjoined; (d) a copy of any relevant document in support of the application; and (e) the relief sought</t>
        </is>
      </c>
      <c r="O282" s="8" t="inlineStr">
        <is>
          <t>12. (1) Where it appears to the Data Commissioner, or by an application by either the complainant or the respondent, that it is necessary that a person becomes a party to a complaint, the Data Commissioner may order that person to be enjoined as a party.</t>
        </is>
      </c>
    </row>
    <row r="283">
      <c r="A283" t="inlineStr">
        <is>
          <t>Kenya</t>
        </is>
      </c>
      <c r="B283" t="inlineStr">
        <is>
          <t>THE-DATA-PROTECTION-COMPLAINTS-HANDLING-AND-ENFORCEMENT (Kenya - Row 15)</t>
        </is>
      </c>
      <c r="C283" t="inlineStr">
        <is>
          <t>13</t>
        </is>
      </c>
      <c r="D283" s="8" t="inlineStr">
        <is>
          <t>(1) In investigating a complaint, the Data Commissioner</t>
        </is>
      </c>
      <c r="E283" t="inlineStr">
        <is>
          <t>7</t>
        </is>
      </c>
      <c r="F283" t="inlineStr">
        <is>
          <t>Other</t>
        </is>
      </c>
      <c r="G283" t="inlineStr">
        <is>
          <t>None</t>
        </is>
      </c>
      <c r="H283" t="inlineStr">
        <is>
          <t>High (explicit)</t>
        </is>
      </c>
      <c r="I283" s="8" t="inlineStr"/>
      <c r="J283" s="8" t="inlineStr"/>
      <c r="K283" t="inlineStr">
        <is>
          <t>Data Commissioner</t>
        </is>
      </c>
      <c r="L283" s="8" t="inlineStr">
        <is>
          <t>The Data Commissioner may issue summons, examine individuals, administer oaths, require documents, and conduct searches with warrants during complaint investigations, guided by the Fair Administrative Action Act. These powers apply to persons involved in data protection complaints and are subject to court warrants for searches.</t>
        </is>
      </c>
      <c r="M283" s="8" t="inlineStr"/>
      <c r="N283" s="8" t="inlineStr">
        <is>
          <t>[Must] issue summons in Form DPC 4 set out in the Schedule requiring the attendance of any person at a specified date, time and place for examination
[Must] examine any person in relation to a complaint
[Must] administer an oath or affirmation on any person during the proceedings
[Must] require any person to produce any document or information from a person or institution
[Must] on obtaining warrants from the court, enter into any establishment or premises and conduct a search and may seize any material relevant to the investigation</t>
        </is>
      </c>
      <c r="O283" s="8" t="inlineStr">
        <is>
          <t>13. (1) In investigating a complaint, the Data Commissioner may, subject to section 57 of the Act (a) issue summons in Form DPC 4 set out in the Schedule requiring the attendance of any person at a specified date, time and place for examination; (b) examine any person in relation to a complaint; (c) administer an oath or affirmation on any person during the proceedings; (d) require any person to produce any document or information from a person or institution; and (e) on obtaining warrants from the court, enter into any establishment or premises and conduct a search and may seize any material relevant to the investigation.</t>
        </is>
      </c>
    </row>
    <row r="284">
      <c r="A284" t="inlineStr">
        <is>
          <t>Kenya</t>
        </is>
      </c>
      <c r="B284" t="inlineStr">
        <is>
          <t>THE-DATA-PROTECTION-COMPLAINTS-HANDLING-AND-ENFORCEMENT (Kenya - Row 15)</t>
        </is>
      </c>
      <c r="C284" t="inlineStr">
        <is>
          <t>14</t>
        </is>
      </c>
      <c r="D284" s="8" t="inlineStr">
        <is>
          <t>(1) The Data Commissioner shall, upon the conclusion of the</t>
        </is>
      </c>
      <c r="E284" t="inlineStr">
        <is>
          <t>7–8</t>
        </is>
      </c>
      <c r="F284" t="inlineStr">
        <is>
          <t>Other</t>
        </is>
      </c>
      <c r="G284" t="inlineStr">
        <is>
          <t>None</t>
        </is>
      </c>
      <c r="H284" t="inlineStr">
        <is>
          <t>High (explicit)</t>
        </is>
      </c>
      <c r="I284" s="8" t="inlineStr"/>
      <c r="J284" s="8" t="inlineStr"/>
      <c r="K284" t="inlineStr">
        <is>
          <t>Data Commissioner</t>
        </is>
      </c>
      <c r="L284" s="8" t="inlineStr">
        <is>
          <t>The Data Commissioner must issue written determinations based on investigation findings, detailing complaint nature, facts, decisions, remedies, and other relevant matters. Remedies include enforcement notices, penalties, dismissal, prosecution recommendations, or compensation orders. These determinations are binding and enforceable as court orders.</t>
        </is>
      </c>
      <c r="M284" s="8" t="inlineStr"/>
      <c r="N284" s="8" t="inlineStr">
        <is>
          <t>[Must] make a determination based on the findings of the investigations
[Must] a determination under sub-regulation (1) shall be in writing and shall state the nature of the complaint
[Must] a determination under sub-regulation (1) shall be in writing and shall state a summary of the relevant facts and evidence adduced
[Must] a determination under sub-regulation (1) shall be in writing and shall state the decision and the reasons for the decision
[Must] a determination under sub-regulation (1) shall be in writing and shall state the remedy to which the complainant is entitled
[May] the remedies contemplated under sub-regulation (2) (d) may include issuance of an enforcement notice to the respondent in accordance with the Act and these Regulations
[May] the remedies contemplated under sub-regulation (2) (d) may include issuance of a penalty notice imposing an administrative fine
[May] the remedies contemplated under sub-regulation (2) (d) may include dismissal of the complaint where it lacks merit
[May] the remedies contemplated under sub-regulation (2) (d) may include recommendation for prosecution
[May] the remedies contemplated under sub-regulation (2) (d) may include an order for compensation to the data subject by the respondent
[Must] the Data Commissioner shall within seven days from the date of such determination, communicate the decision under sub-regulation (3) to the parties, in writing
[Must] the decision of the Data Commissioner made under these Regulations shall be binding on the parties
[Must] the decision of the Data Commissioner made under these Regulations shall be enforced as an order of the Court</t>
        </is>
      </c>
      <c r="O284" s="8" t="inlineStr">
        <is>
          <t>14. (1) The Data Commissioner shall, upon the conclusion of the investigations, make a determination based on the findings of the investigations. (2) A determination under sub-regulation (1) shall be in writing and shall state (a) the nature of the complaint; (b) a summary of the relevant facts and evidence adduced; (c) the decision and the reasons for the decision; (d) the remedy to which the complainant is entitled; and (e) any other relevant matter.</t>
        </is>
      </c>
    </row>
    <row r="285">
      <c r="A285" t="inlineStr">
        <is>
          <t>Kenya</t>
        </is>
      </c>
      <c r="B285" t="inlineStr">
        <is>
          <t>THE-DATA-PROTECTION-COMPLAINTS-HANDLING-AND-ENFORCEMENT (Kenya - Row 15)</t>
        </is>
      </c>
      <c r="C285" t="inlineStr">
        <is>
          <t>15</t>
        </is>
      </c>
      <c r="D285" s="8" t="inlineStr">
        <is>
          <t>(1) Where the complaint is to be determined through</t>
        </is>
      </c>
      <c r="E285" t="inlineStr">
        <is>
          <t>8</t>
        </is>
      </c>
      <c r="F285" t="inlineStr">
        <is>
          <t>Other</t>
        </is>
      </c>
      <c r="G285" t="inlineStr">
        <is>
          <t>None</t>
        </is>
      </c>
      <c r="H285" t="inlineStr">
        <is>
          <t>High (explicit)</t>
        </is>
      </c>
      <c r="I285" s="8" t="inlineStr"/>
      <c r="J285" s="8" t="inlineStr"/>
      <c r="K285" t="inlineStr">
        <is>
          <t>Data Commissioner</t>
        </is>
      </c>
      <c r="L285" s="8" t="inlineStr">
        <is>
          <t>Complaints may be resolved through negotiation, mediation, or conciliation, with the Data Commissioner facilitating the process and applying appropriate procedures. Parties must sign a formal agreement, which is deemed a binding determination. Withdrawal from proceedings is permitted within seven days, and parties must act in good faith to resolve disputes amicably.</t>
        </is>
      </c>
      <c r="M285" s="8" t="inlineStr"/>
      <c r="N285" s="8" t="inlineStr">
        <is>
          <t>[Must] Where the complaint is to be determined through negotiation, mediation or conciliation, the provisions of these Regulations shall apply
[May] The Data Commissioner may in consultation with the parties facilitate the process
[May] During the negotiations, mediation or conciliation, the Data Commissioner may apply such procedures as may, in the interest of the parties, deem appropriate in the circumstances
[Must] At the conclusion of the negotiations, mediation or conciliation process, the parties shall sign a negotiation, mediation or conciliation agreement in the manner specified in Form DPC 5 set out in the Schedule
[Must] A negotiation, mediation or conciliation agreement entered into under this regulation shall be deemed to be a determination of the Data Commissioner, and shall be enforceable as such
[May] A party to dispute who is subject to a negotiation, mediation or conciliation may withdraw from the proceedings at any stage and shall notify the Data Commissioner and other parties of such withdrawal within seven days from the date of making such a decision
[Must] Parties to a dispute shall take all reasonable measures to amicably determine a dispute and act in good faith</t>
        </is>
      </c>
      <c r="O285" s="8" t="inlineStr">
        <is>
          <t>15. (1) Where the complaint is to be determined through negotiation, mediation or conciliation, the provisions of these Regulations shall apply. (2) Where parties to a complaint agree to negotiation, mediation or conciliation, the Data Commissioner may in consultation with the parties facilitate the process. (3) During the negotiations, mediation or conciliation, the Data Commissioner may apply such procedures as may, in the interest of the parties, deem appropriate in the circumstances. (4) At the conclusion of the negotiations, mediation or conciliation process, the parties shall sign a negotiation, mediation or conciliation agreement in the manner specified in Form DPC 5 set out in the Schedule. (5) A negotiation, mediation or conciliation agreement entered into under this regulation shall be deemed to be a determination of the Data Commissioner, and shall be enforceable as such. (6) Despite this regulation, a party to dispute who is subject to a negotiation, mediation or conciliation may withdraw from the proceedings at any stage and shall notify the Data Commissioner and other parties of such withdrawal within seven days from the date of making such a decision. (7) Parties to a dispute shall take all reasonable measures to amicably determine a dispute and act in good faith. (8) Where the complaint is not determined through negotiation, mediation or conciliation, the Data Commissioner shall proceed to determine the complaint as provided for in the Act and these Regulations.</t>
        </is>
      </c>
    </row>
    <row r="286">
      <c r="A286" t="inlineStr">
        <is>
          <t>Kenya</t>
        </is>
      </c>
      <c r="B286" t="inlineStr">
        <is>
          <t>THE-DATA-PROTECTION-COMPLAINTS-HANDLING-AND-ENFORCEMENT (Kenya - Row 15)</t>
        </is>
      </c>
      <c r="C286" t="inlineStr">
        <is>
          <t>16</t>
        </is>
      </c>
      <c r="D286" s="8" t="inlineStr">
        <is>
          <t>(1) The Data Commissioner may pursuant these Regulations</t>
        </is>
      </c>
      <c r="E286" t="inlineStr">
        <is>
          <t>8–9</t>
        </is>
      </c>
      <c r="F286" t="inlineStr">
        <is>
          <t>Other</t>
        </is>
      </c>
      <c r="G286" t="inlineStr">
        <is>
          <t>None</t>
        </is>
      </c>
      <c r="H286" t="inlineStr">
        <is>
          <t>High (explicit)</t>
        </is>
      </c>
      <c r="I286" s="8" t="inlineStr"/>
      <c r="J286" s="8" t="inlineStr"/>
      <c r="K286" t="inlineStr">
        <is>
          <t>Data Commissioner</t>
        </is>
      </c>
      <c r="L286" s="8" t="inlineStr">
        <is>
          <t>The Data Commissioner may issue enforcement notices under the Act or regulations, specifying consequences for non-compliance, including potential penalty notices. These notices are a formal mechanism for addressing data protection violations.</t>
        </is>
      </c>
      <c r="M286" s="8" t="inlineStr"/>
      <c r="N286" s="8" t="inlineStr">
        <is>
          <t>[May] The Data Commissioner may pursuant these Regulations or section 58 of the Act issue an enforcement notice
[Must] An enforcement notice shall specify the consequences of failure to comply with the notice including issuance of a penalty notice as provided under section 62 (1) of the Act</t>
        </is>
      </c>
      <c r="O286" s="8" t="inlineStr">
        <is>
          <t>16. (1) The Data Commissioner may pursuant these Regulations or section 58 of the Act issue an enforcement notice. (2) An enforcement notice shall specify the consequences of failure to comply with the notice including issuance of a penalty notice as provided under section 62 (1) of the Act.</t>
        </is>
      </c>
    </row>
    <row r="287">
      <c r="A287" t="inlineStr">
        <is>
          <t>Kenya</t>
        </is>
      </c>
      <c r="B287" t="inlineStr">
        <is>
          <t>THE-DATA-PROTECTION-COMPLAINTS-HANDLING-AND-ENFORCEMENT (Kenya - Row 15)</t>
        </is>
      </c>
      <c r="C287" t="inlineStr">
        <is>
          <t>17</t>
        </is>
      </c>
      <c r="D287" s="8" t="inlineStr">
        <is>
          <t>(1) An enforcement notice shall be deemed to have been</t>
        </is>
      </c>
      <c r="E287" t="inlineStr">
        <is>
          <t>9</t>
        </is>
      </c>
      <c r="F287" t="inlineStr">
        <is>
          <t>Other</t>
        </is>
      </c>
      <c r="G287" t="inlineStr">
        <is>
          <t>None</t>
        </is>
      </c>
      <c r="H287" t="inlineStr">
        <is>
          <t>High (explicit)</t>
        </is>
      </c>
      <c r="I287" s="8" t="inlineStr"/>
      <c r="J287" s="8" t="inlineStr"/>
      <c r="K287" t="inlineStr">
        <is>
          <t>Data Commissioner</t>
        </is>
      </c>
      <c r="L287" s="8" t="inlineStr">
        <is>
          <t>An enforcement notice is deemed duly served electronically if sent to the recipient's electronic address or physically delivered to their registered office. The notice takes effect from the date of service, establishing the timeline for compliance.</t>
        </is>
      </c>
      <c r="M287" s="8" t="inlineStr"/>
      <c r="N287" s="8" t="inlineStr">
        <is>
          <t>[Must] An enforcement notice shall be deemed to have been duly served on the concerned person where (a) an electronic copy of enforcement notice is sent to the concerned person
[Must] An enforcement notice shall be deemed to have been duly served on the concerned person where (b) the enforcement notice is posted or physically delivered to the registered offices of the concerned person, in the absence of an electronic address
[Must] The enforcement notice shall take effect from the date of service specified under sub-regulation (1)</t>
        </is>
      </c>
      <c r="O287" s="8" t="inlineStr">
        <is>
          <t>17. (1) An enforcement notice shall be deemed to have been duly served on the concerned person where (a) an electronic copy of enforcement notice is sent to the concerned person; (b) the enforcement notice is posted or physically delivered to the registered offices of the concerned person, in the absence of an electronic address. (2) The enforcement notice shall take effect from the date of service specified under sub-regulation (1).</t>
        </is>
      </c>
    </row>
    <row r="288">
      <c r="A288" t="inlineStr">
        <is>
          <t>Kenya</t>
        </is>
      </c>
      <c r="B288" t="inlineStr">
        <is>
          <t>THE-DATA-PROTECTION-COMPLAINTS-HANDLING-AND-ENFORCEMENT (Kenya - Row 15)</t>
        </is>
      </c>
      <c r="C288" t="inlineStr">
        <is>
          <t>18</t>
        </is>
      </c>
      <c r="D288" s="8" t="inlineStr">
        <is>
          <t>(1) A person to whom an enforcement notice is given may</t>
        </is>
      </c>
      <c r="E288" t="inlineStr">
        <is>
          <t>9</t>
        </is>
      </c>
      <c r="F288" t="inlineStr">
        <is>
          <t>Other</t>
        </is>
      </c>
      <c r="G288" t="inlineStr">
        <is>
          <t>None</t>
        </is>
      </c>
      <c r="H288" t="inlineStr">
        <is>
          <t>High (explicit)</t>
        </is>
      </c>
      <c r="I288" s="8" t="inlineStr"/>
      <c r="J288" s="8" t="inlineStr"/>
      <c r="K288" t="inlineStr">
        <is>
          <t>Data Commissioner</t>
        </is>
      </c>
      <c r="L288" s="8" t="inlineStr">
        <is>
          <t>A person receiving an enforcement notice may apply for a review within the specified period, citing changed circumstances or the need to comply with fewer provisions of the notice. The review process allows for reconsideration of the enforcement notice before its final implementation.</t>
        </is>
      </c>
      <c r="M288" s="8" t="inlineStr"/>
      <c r="N288" s="8" t="inlineStr">
        <is>
          <t>[May] A person to whom an enforcement notice is given may apply in Form DPC 6 set out in the Schedule to the Data Commissioner for a review of the enforcement notice
[Must] An application under sub-regulation (1) may be made before the end of the period specified in the enforcement notice
[May] An application under sub-regulation (1) may be made on the ground that (i) a change of circumstances or new facts have arisen; or (ii) one or more of the provisions of that notice need not be complied with in order to remedy the failure identified in the notice</t>
        </is>
      </c>
      <c r="O288" s="8" t="inlineStr">
        <is>
          <t>18. (1) A person to whom an enforcement notice is given may apply in Form DPC 6 set out in the Schedule to the Data Commissioner for a review of the enforcement notice. (2) An application under sub-regulation (1) may be made (a) before the end of the period specified in the enforcement notice; and (b) on the ground that (i) a change of circumstances or new facts have arisen; or (ii) one or more of the provisions of that notice need not be complied with in order to remedy the failure identified in the notice.</t>
        </is>
      </c>
    </row>
    <row r="289">
      <c r="A289" t="inlineStr">
        <is>
          <t>Kenya</t>
        </is>
      </c>
      <c r="B289" t="inlineStr">
        <is>
          <t>THE-DATA-PROTECTION-COMPLAINTS-HANDLING-AND-ENFORCEMENT (Kenya - Row 15)</t>
        </is>
      </c>
      <c r="C289" t="inlineStr">
        <is>
          <t>19</t>
        </is>
      </c>
      <c r="D289" s="8" t="inlineStr">
        <is>
          <t>Subject to sections 58 (2) (d) and 64 of the Act, a person</t>
        </is>
      </c>
      <c r="E289" t="inlineStr">
        <is>
          <t>9</t>
        </is>
      </c>
      <c r="F289" t="inlineStr">
        <is>
          <t>Other</t>
        </is>
      </c>
      <c r="G289" t="inlineStr">
        <is>
          <t>Low</t>
        </is>
      </c>
      <c r="H289" t="inlineStr">
        <is>
          <t>High (explicit)</t>
        </is>
      </c>
      <c r="I289" s="8" t="inlineStr"/>
      <c r="J289" s="8" t="inlineStr"/>
      <c r="K289" t="inlineStr">
        <is>
          <t>High Court</t>
        </is>
      </c>
      <c r="L289" s="8" t="inlineStr">
        <is>
          <t>A person may appeal to the High Court within thirty days of receiving an enforcement notice against a decision arising from its enforcement, subject to sections 58(2)(d) and 64 of the Act. This appeal right applies to individuals or entities subject to enforcement notices under the Data Protection Act.</t>
        </is>
      </c>
      <c r="M289" s="8" t="inlineStr">
        <is>
          <t>This section provides a time-bound appeal mechanism for decisions made under enforcement notices, which is relevant for DTIAs as it establishes a legal pathway to challenge cross-border data transfer decisions if they are part of the enforcement context.</t>
        </is>
      </c>
      <c r="N289" s="8" t="inlineStr">
        <is>
          <t>[May] may before the lapse of thirty days from the date of service of the enforcement notice, appeal to the High Court against a decision arising out of the enforcement of the notice</t>
        </is>
      </c>
      <c r="O289" s="8" t="inlineStr">
        <is>
          <t>Subject to sections 58 (2) (d) and 64 of the Act, a person may before the lapse of thirty days from the date of service of the enforcement notice, appeal to the High Court against a decision arising out of the enforcement of the notice.</t>
        </is>
      </c>
    </row>
    <row r="290">
      <c r="A290" t="inlineStr">
        <is>
          <t>Kenya</t>
        </is>
      </c>
      <c r="B290" t="inlineStr">
        <is>
          <t>THE-DATA-PROTECTION-COMPLAINTS-HANDLING-AND-ENFORCEMENT (Kenya - Row 15)</t>
        </is>
      </c>
      <c r="C290" t="inlineStr">
        <is>
          <t>20</t>
        </is>
      </c>
      <c r="D290" s="8" t="inlineStr">
        <is>
          <t>(1) The Data Commissioner shall, where any of the</t>
        </is>
      </c>
      <c r="E290" t="inlineStr">
        <is>
          <t>9–10</t>
        </is>
      </c>
      <c r="F290" t="inlineStr">
        <is>
          <t>Other</t>
        </is>
      </c>
      <c r="G290" t="inlineStr">
        <is>
          <t>High</t>
        </is>
      </c>
      <c r="H290" t="inlineStr">
        <is>
          <t>High (explicit)</t>
        </is>
      </c>
      <c r="I290" s="8" t="inlineStr"/>
      <c r="J290" s="8" t="inlineStr">
        <is>
          <t>Personal Information</t>
        </is>
      </c>
      <c r="K290" t="inlineStr">
        <is>
          <t>Data Commissioner</t>
        </is>
      </c>
      <c r="L290" s="8" t="inlineStr">
        <is>
          <t>The Data Commissioner must issue penalty notices for breaches identified in enforcement notices, specifying the person's details, reasons for penalty, penalty amount, payment details, and appeal rights. Penalties must consider individual circumstances and may impose daily fines up to KES 10,000 per breach until rectification.</t>
        </is>
      </c>
      <c r="M290" s="8" t="inlineStr">
        <is>
          <t>This section mandates penalty notices for data breaches, including daily fines for non-compliance, which impacts DTIAs by requiring financial safeguards for cross-border data transfers where breaches occur.</t>
        </is>
      </c>
      <c r="N290" s="8" t="inlineStr">
        <is>
          <t>[Must] The Data Commissioner shall, where any of the circumstances specified under section 62 of the Act and these Regulations arises, issue a penalty notice for each breach identified in the enforcement notice
[Must] A penalty notice shall contain (a) the name and address of the concerned person, (b) the reasons why the Data Commissioner proposes to impose the penalty and the amount thereof, (c) an administrative fine imposed as contemplated under section 63 of the Act, (d) details of how the penalty is to be paid, and (e) details of the rights of appeal under section 64 of the Act
[Must] The administrative fine levied under sub-regulation (2)(c) shall consider each individual case and have due regard to factors or reasons outlined under section 62 (2) of the Act
[May] A penalty notice may impose a daily fine of not more than ten thousand shillings for each breach identified until the breach is rectified</t>
        </is>
      </c>
      <c r="O290" s="8" t="inlineStr">
        <is>
          <t>The Data Commissioner shall, where any of the circumstances specified under section 62 of the Act and these Regulations arises, issue a penalty notice for each breach identified in the enforcement notice.</t>
        </is>
      </c>
    </row>
    <row r="291">
      <c r="A291" t="inlineStr">
        <is>
          <t>Kenya</t>
        </is>
      </c>
      <c r="B291" t="inlineStr">
        <is>
          <t>THE-DATA-PROTECTION-COMPLAINTS-HANDLING-AND-ENFORCEMENT (Kenya - Row 15)</t>
        </is>
      </c>
      <c r="C291" t="inlineStr">
        <is>
          <t>21</t>
        </is>
      </c>
      <c r="D291" s="8" t="inlineStr">
        <is>
          <t>The Data Commissioner shall enforce or take action to</t>
        </is>
      </c>
      <c r="E291" t="inlineStr">
        <is>
          <t>10–16</t>
        </is>
      </c>
      <c r="F291" t="inlineStr">
        <is>
          <t>Other</t>
        </is>
      </c>
      <c r="G291" t="inlineStr">
        <is>
          <t>High</t>
        </is>
      </c>
      <c r="H291" t="inlineStr">
        <is>
          <t>High (explicit)</t>
        </is>
      </c>
      <c r="I291" s="8" t="inlineStr"/>
      <c r="J291" s="8" t="inlineStr">
        <is>
          <t>Personal Information</t>
        </is>
      </c>
      <c r="K291" t="inlineStr">
        <is>
          <t>Data Commissioner</t>
        </is>
      </c>
      <c r="L291" s="8" t="inlineStr">
        <is>
          <t>The Data Commissioner may enforce penalties by recovering amounts upon the expiration of the payment period, final appeal determination, or lapse of the appeal period. This ensures penalties are enforced within the legal timeframe after a penalty notice is issued.</t>
        </is>
      </c>
      <c r="M291" s="8" t="inlineStr">
        <is>
          <t>This section outlines enforcement mechanisms for penalties, which is relevant for DTIAs as it ensures accountability for cross-border data transfer violations through time-bound recovery processes.</t>
        </is>
      </c>
      <c r="N291" s="8" t="inlineStr">
        <is>
          <t>[Must] The Data Commissioner shall enforce or take action to recover a penalty (a) upon the lapse of the period specified in the penalty notice for payment of the penalty; (b) on the final determination of any appeal against the penalty notice; or (c) on the lapse of the period given to appeal against the penalty</t>
        </is>
      </c>
      <c r="O291" s="8" t="inlineStr">
        <is>
          <t>The Data Commissioner shall enforce or take action to recover a penalty upon the lapse of the period specified in the penalty notice for payment of the penalty; on the final determination of any appeal against the penalty notice; or on the lapse of the period given to appeal against the penalty.</t>
        </is>
      </c>
    </row>
    <row r="292">
      <c r="A292" t="inlineStr">
        <is>
          <t>Kenya</t>
        </is>
      </c>
      <c r="B292" t="inlineStr">
        <is>
          <t>THE-DATA-PROTECTION-REGISTRATION-OF-DATA-CONTROLLERS-AND-DATA-PROCESSORS-REGULATIONS-2021 (Kenya = row17)</t>
        </is>
      </c>
      <c r="C292" t="inlineStr">
        <is>
          <t>1</t>
        </is>
      </c>
      <c r="D292" s="8" t="inlineStr">
        <is>
          <t>(1) These Regulations may be cited as the Data Protection</t>
        </is>
      </c>
      <c r="E292" t="inlineStr">
        <is>
          <t>2</t>
        </is>
      </c>
      <c r="F292" t="inlineStr">
        <is>
          <t>Definitions</t>
        </is>
      </c>
      <c r="G292" t="inlineStr">
        <is>
          <t>None</t>
        </is>
      </c>
      <c r="H292" t="inlineStr">
        <is>
          <t>High (explicit)</t>
        </is>
      </c>
      <c r="I292" s="8" t="inlineStr"/>
      <c r="J292" s="8" t="inlineStr"/>
      <c r="K292" t="inlineStr"/>
      <c r="L292" s="8" t="inlineStr">
        <is>
          <t>This section establishes the title of the Regulations as the Data Protection (Registration of Data Controllers and Data Processors) Regulations, 2021. It provides the formal citation for the legislative instrument without imposing any operational requirements.</t>
        </is>
      </c>
      <c r="M292" s="8" t="inlineStr"/>
      <c r="N292" s="8" t="inlineStr">
        <is>
          <t>[Definition] These Regulations may be cited as the Data Protection (Registration of Data Controllers and Data Processors) Regulations, 2021</t>
        </is>
      </c>
      <c r="O292" s="8" t="inlineStr">
        <is>
          <t>These Regulations may be cited as the Data Protection (Registration of Data Controllers and Data Processors) Regulations, 2021</t>
        </is>
      </c>
    </row>
    <row r="293">
      <c r="A293" t="inlineStr">
        <is>
          <t>Kenya</t>
        </is>
      </c>
      <c r="B293" t="inlineStr">
        <is>
          <t>THE-DATA-PROTECTION-REGISTRATION-OF-DATA-CONTROLLERS-AND-DATA-PROCESSORS-REGULATIONS-2021 (Kenya = row17)</t>
        </is>
      </c>
      <c r="C293" t="inlineStr">
        <is>
          <t>2</t>
        </is>
      </c>
      <c r="D293" s="8" t="inlineStr">
        <is>
          <t>In these Regulations, unless the context otherwise requires</t>
        </is>
      </c>
      <c r="E293" t="inlineStr">
        <is>
          <t>2</t>
        </is>
      </c>
      <c r="F293" t="inlineStr">
        <is>
          <t>Definitions</t>
        </is>
      </c>
      <c r="G293" t="inlineStr">
        <is>
          <t>None</t>
        </is>
      </c>
      <c r="H293" t="inlineStr">
        <is>
          <t>High (explicit)</t>
        </is>
      </c>
      <c r="I293" s="8" t="inlineStr">
        <is>
          <t>Data Storage</t>
        </is>
      </c>
      <c r="J293" s="8" t="inlineStr">
        <is>
          <t>Personal Information</t>
        </is>
      </c>
      <c r="K293" t="inlineStr"/>
      <c r="L293" s="8" t="inlineStr">
        <is>
          <t>This section defines 'establishment' as the legal instruments or structures that create a body, including statutes, charters, registration certificates, trust deeds, and governing administrative frameworks. It clarifies the scope of entities that can be registered under the Regulations.</t>
        </is>
      </c>
      <c r="M293" s="8" t="inlineStr"/>
      <c r="N293" s="8" t="inlineStr">
        <is>
          <t>[Definition] establishment means the person appointed under section 6 of the Act
[Definition] establishment (a) a Statute, Charter or statutory instrument in which a body is established
[Definition] establishment (b) registration certificate
[Definition] establishment (c) trust deeds in which a trust has been established
[Definition] establishment (d) other instruments by which a body is established including its governing and administrative structure</t>
        </is>
      </c>
      <c r="O293" s="8" t="inlineStr">
        <is>
          <t>establishment means the person appointed under section 6 of the Act; (a) a Statute, Charter or statutory instrument in which a body is established; (b) registration certificate; (c) trust deeds in which a trust has been established; and (d) other instruments by which a body is established including its governing and administrative structure.</t>
        </is>
      </c>
    </row>
    <row r="294">
      <c r="A294" t="inlineStr">
        <is>
          <t>Kenya</t>
        </is>
      </c>
      <c r="B294" t="inlineStr">
        <is>
          <t>THE-DATA-PROTECTION-REGISTRATION-OF-DATA-CONTROLLERS-AND-DATA-PROCESSORS-REGULATIONS-2021 (Kenya = row17)</t>
        </is>
      </c>
      <c r="C294" t="inlineStr">
        <is>
          <t>3</t>
        </is>
      </c>
      <c r="D294" s="8" t="inlineStr">
        <is>
          <t>(1) These Regulations provide for the procedure for</t>
        </is>
      </c>
      <c r="E294" t="inlineStr">
        <is>
          <t>2</t>
        </is>
      </c>
      <c r="F294" t="inlineStr">
        <is>
          <t>Definitions</t>
        </is>
      </c>
      <c r="G294" t="inlineStr">
        <is>
          <t>None</t>
        </is>
      </c>
      <c r="H294" t="inlineStr">
        <is>
          <t>High (explicit)</t>
        </is>
      </c>
      <c r="I294" s="8" t="inlineStr"/>
      <c r="J294" s="8" t="inlineStr"/>
      <c r="K294" t="inlineStr"/>
      <c r="L294" s="8" t="inlineStr">
        <is>
          <t>This section specifies that the Regulations govern the registration procedure for data controllers and data processors as outlined in section 18 of the Act, excluding civil registration entities covered by the Data Protection (Civil Registration) Regulations.</t>
        </is>
      </c>
      <c r="M294" s="8" t="inlineStr"/>
      <c r="N294" s="8" t="inlineStr">
        <is>
          <t>[Definition] These Regulations provide for the procedure for registration of data controllers and data processors as provided under section 18 of the Act
[Definition] These Regulations shall not apply to civil registration entities specified under the Data Protection (Civil Registration) Regulations</t>
        </is>
      </c>
      <c r="O294" s="8" t="inlineStr">
        <is>
          <t>These Regulations provide for the procedure for registration of data controllers and data processors as provided under section 18 of the Act. These Regulations shall not apply to civil registration entities specified under the Data Protection (Civil Registration) Regulations,</t>
        </is>
      </c>
    </row>
    <row r="295">
      <c r="A295" t="inlineStr">
        <is>
          <t>Kenya</t>
        </is>
      </c>
      <c r="B295" t="inlineStr">
        <is>
          <t>THE-DATA-PROTECTION-REGISTRATION-OF-DATA-CONTROLLERS-AND-DATA-PROCESSORS-REGULATIONS-2021 (Kenya = row17)</t>
        </is>
      </c>
      <c r="C295" t="inlineStr">
        <is>
          <t>4</t>
        </is>
      </c>
      <c r="D295" s="8" t="inlineStr">
        <is>
          <t>(1) Subject to regulation 13 (1), every data controller and data</t>
        </is>
      </c>
      <c r="E295" t="inlineStr">
        <is>
          <t>2–3</t>
        </is>
      </c>
      <c r="F295" t="inlineStr">
        <is>
          <t>Other</t>
        </is>
      </c>
      <c r="G295" t="inlineStr">
        <is>
          <t>Medium</t>
        </is>
      </c>
      <c r="H295" t="inlineStr">
        <is>
          <t>High (explicit)</t>
        </is>
      </c>
      <c r="I295" s="8" t="inlineStr"/>
      <c r="J295" s="8" t="inlineStr">
        <is>
          <t>Personal Information</t>
        </is>
      </c>
      <c r="K295" t="inlineStr"/>
      <c r="L295" s="8" t="inlineStr">
        <is>
          <t>This section mandates that all data controllers and processors must register under the Regulations, with specific criteria for determining whether a person is a data controller or processor. It allows data controllers to apply for dual registration and clarifies that processors acting outside instructions become controllers for that activity.</t>
        </is>
      </c>
      <c r="M295" s="8" t="inlineStr">
        <is>
          <t>This section establishes registration requirements for data controllers and processors, which are critical for DTIA as it defines the legal framework for identifying and classifying data handling entities before cross-border transfers.</t>
        </is>
      </c>
      <c r="N295" s="8" t="inlineStr">
        <is>
          <t>[Must] Subject to regulation 13 (1), every data controller and data processor shall be required to register in accordance with the provisions of the Act and these Regulations
[Definition] For purposes of registration, a person shall register as a data controller, where the person determines the purpose and means for processing personal data
[Definition] For purposes of registration, a person shall register as a data processor, where the person processes personal data on behalf of the data controller but excludes employees of the data controller and has (i) a contractual relationship with the data controller; and (ii) no decision making power on the purpose and means of processing personal data
[Must] Despite sub-regulation (2) (a), a data controller may apply for registration as both a data controller and a data processor with regards to any processing operations and shall be required to pay the requisite fees applicable for both a data controller and a data processor thereto
[Definition] Despite sub-regulation (2) (b), where a data processor processes personal data other than as instructed by the data controller, the data processor shall be considered to be a data controller in respect of that processing activity, for purposes of assessing liability</t>
        </is>
      </c>
      <c r="O295" s="8" t="inlineStr">
        <is>
          <t>Subject to regulation 13 (1), every data controller and data processor shall be required to register in accordance with the provisions of the Act and these Regulations. For purposes of registration, a person shall register as a data controller, where the person determines the purpose and means for processing personal data; or a data processor, where the person processes personal data on behalf of the data controller but excludes employees of the data controller and has (i) a contractual relationship with the data controller; and (ii) no decision making power on the purpose and means of processing personal data.</t>
        </is>
      </c>
    </row>
    <row r="296">
      <c r="A296" t="inlineStr">
        <is>
          <t>Kenya</t>
        </is>
      </c>
      <c r="B296" t="inlineStr">
        <is>
          <t>THE-DATA-PROTECTION-REGISTRATION-OF-DATA-CONTROLLERS-AND-DATA-PROCESSORS-REGULATIONS-2021 (Kenya = row17)</t>
        </is>
      </c>
      <c r="C296" t="inlineStr">
        <is>
          <t>5</t>
        </is>
      </c>
      <c r="D296" s="8" t="inlineStr">
        <is>
          <t>(1) An application for registration of a data controller or data</t>
        </is>
      </c>
      <c r="E296" t="inlineStr">
        <is>
          <t>3</t>
        </is>
      </c>
      <c r="F296" t="inlineStr">
        <is>
          <t>Other</t>
        </is>
      </c>
      <c r="G296" t="inlineStr">
        <is>
          <t>Medium</t>
        </is>
      </c>
      <c r="H296" t="inlineStr">
        <is>
          <t>High (explicit)</t>
        </is>
      </c>
      <c r="I296" s="8" t="inlineStr"/>
      <c r="J296" s="8" t="inlineStr">
        <is>
          <t>Personal Information</t>
        </is>
      </c>
      <c r="K296" t="inlineStr"/>
      <c r="L296" s="8" t="inlineStr">
        <is>
          <t>This section outlines the application requirements for registration, including specific forms, fees, and documentation such as establishment documents, personal data descriptions, and processing purposes.</t>
        </is>
      </c>
      <c r="M296" s="8" t="inlineStr">
        <is>
          <t>This section details the documentation required for registration, which is essential for DTIA as it ensures that data handlers have properly documented their data processing activities before cross-border transfers.</t>
        </is>
      </c>
      <c r="N296" s="8" t="inlineStr">
        <is>
          <t>[Must] An application for registration of a data controller or data processor shall be in Form DPR1 set out in the First Schedule
[Must] An application for registration of a data controller or data processor shall be accompanied by the registration fees specified in the Second Schedule
[Must] An application for registration under sub-regulation (1) shall be accompanied by a copy of the establishment documents
[Must] An application for registration under sub-regulation (1) shall be accompanied by particulars of the data controllers or data processors including name and contact details
[Must] An application for registration under sub-regulation (1) shall be accompanied by a description of the purpose for which personal data is processed
[Must] An application for registration under sub-regulation (1) shall be accompanied by a description of categories of personal data being processed</t>
        </is>
      </c>
      <c r="O296" s="8" t="inlineStr">
        <is>
          <t>An application for registration of a data controller or data processor shall be in Form DPR1 set out in the First Schedule; and be accompanied by the registration fees specified in the Second Schedule.</t>
        </is>
      </c>
    </row>
    <row r="297">
      <c r="A297" t="inlineStr">
        <is>
          <t>Kenya</t>
        </is>
      </c>
      <c r="B297" t="inlineStr">
        <is>
          <t>THE-DATA-PROTECTION-REGISTRATION-OF-DATA-CONTROLLERS-AND-DATA-PROCESSORS-REGULATIONS-2021 (Kenya = row17)</t>
        </is>
      </c>
      <c r="C297" t="inlineStr">
        <is>
          <t>6</t>
        </is>
      </c>
      <c r="D297" s="8" t="inlineStr">
        <is>
          <t>(1) A state department or county department shall register and</t>
        </is>
      </c>
      <c r="E297" t="inlineStr">
        <is>
          <t>3–4</t>
        </is>
      </c>
      <c r="F297" t="inlineStr">
        <is>
          <t>Other</t>
        </is>
      </c>
      <c r="G297" t="inlineStr">
        <is>
          <t>High</t>
        </is>
      </c>
      <c r="H297" t="inlineStr">
        <is>
          <t>High (explicit)</t>
        </is>
      </c>
      <c r="I297" s="8" t="inlineStr"/>
      <c r="J297" s="8" t="inlineStr">
        <is>
          <t>Personal Information</t>
        </is>
      </c>
      <c r="K297" t="inlineStr"/>
      <c r="L297" s="8" t="inlineStr">
        <is>
          <t>This section specifies that state and county government departments must register and pay fees on behalf of public entities that meet certain criteria, including being funded from the Consolidated Fund and providing public services.</t>
        </is>
      </c>
      <c r="M297" s="8" t="inlineStr">
        <is>
          <t>This section addresses registration obligations for public entities, which may impact DTIA if public entities handle data that requires cross-border transfers.</t>
        </is>
      </c>
      <c r="N297" s="8" t="inlineStr">
        <is>
          <t>[Must] A state department or county department shall register and pay the fees on behalf of their respective entities
[Definition] The entities referred to under sub-regulation (1) shall be the public entities at national or county government which operates within a state department or county department
[Definition] The entities referred to under sub-regulation (1) shall be the public entities at national or county government which is wholly funded from the Consolidated Fund
[Definition] The entities referred to under sub-regulation (1) shall be the public entities at national or county government which provides a public service
[Must] The fees paid by the state department or county department under sub-regulation (1) shall cater for the specified entities registered under the concerned state department or county department
[Must] Despite this regulation, a State Corporation or a County Corporation shall be required to register as a data controller or a data processor in respect of their processing activity, in the manner specified under these Regulations</t>
        </is>
      </c>
      <c r="O297" s="8" t="inlineStr">
        <is>
          <t>A state department or county department shall register and pay the fees on behalf of their respective entities. The entities referred to under sub-regulation (1) shall be the public entities at national or county government which operates within a state department or county department; is wholly funded from the Consolidated Fund; and provides a public service.</t>
        </is>
      </c>
    </row>
    <row r="298">
      <c r="A298" t="inlineStr">
        <is>
          <t>Kenya</t>
        </is>
      </c>
      <c r="B298" t="inlineStr">
        <is>
          <t>THE-DATA-PROTECTION-REGISTRATION-OF-DATA-CONTROLLERS-AND-DATA-PROCESSORS-REGULATIONS-2021 (Kenya = row17)</t>
        </is>
      </c>
      <c r="C298" t="inlineStr">
        <is>
          <t>8</t>
        </is>
      </c>
      <c r="D298" s="8" t="inlineStr">
        <is>
          <t>Where the Data Commissioner is satisfied that the applicant</t>
        </is>
      </c>
      <c r="E298" t="inlineStr">
        <is>
          <t>4</t>
        </is>
      </c>
      <c r="F298" t="inlineStr">
        <is>
          <t>Other</t>
        </is>
      </c>
      <c r="G298" t="inlineStr">
        <is>
          <t>None</t>
        </is>
      </c>
      <c r="H298" t="inlineStr">
        <is>
          <t>High (explicit)</t>
        </is>
      </c>
      <c r="I298" s="8" t="inlineStr"/>
      <c r="J298" s="8" t="inlineStr"/>
      <c r="K298" t="inlineStr">
        <is>
          <t>Data Commissioner</t>
        </is>
      </c>
      <c r="L298" s="8" t="inlineStr">
        <is>
          <t>The Data Commissioner must issue a certificate of registration for the duration specified under regulation 9 and enter the applicant's particulars in the register within fourteen days if satisfied with the application's compliance. This applies to data controllers and data processors seeking registration under the Data Protection Regulations.</t>
        </is>
      </c>
      <c r="M298" s="8" t="inlineStr"/>
      <c r="N298" s="8" t="inlineStr">
        <is>
          <t>[Must] Where the Data Commissioner is satisfied that the applicant fulfills the requirements for registration under these Regulations, the Data Commissioner shall, within fourteen days issue the applicant with a certificate of registration for the duration specified under regulation 9
[Must] The Data Commissioner shall, within fourteen days enter the particulars of the successful applicant in the register</t>
        </is>
      </c>
      <c r="O298" s="8" t="inlineStr">
        <is>
          <t>8. Where the Data Commissioner is satisfied that the applicant fulfills the requirements for registration under these Regulations, the Data Commissioner shall, within fourteen days (a) issue the applicant with a certificate of registration for the duration specified under regulation 9; and (b) enter the particulars of the successful applicant in the register.</t>
        </is>
      </c>
    </row>
    <row r="299">
      <c r="A299" t="inlineStr">
        <is>
          <t>Kenya</t>
        </is>
      </c>
      <c r="B299" t="inlineStr">
        <is>
          <t>THE-DATA-PROTECTION-REGISTRATION-OF-DATA-CONTROLLERS-AND-DATA-PROCESSORS-REGULATIONS-2021 (Kenya = row17)</t>
        </is>
      </c>
      <c r="C299" t="inlineStr">
        <is>
          <t>9</t>
        </is>
      </c>
      <c r="D299" s="8" t="inlineStr">
        <is>
          <t>A certificate of registration issued under regulation 8 (a) shall</t>
        </is>
      </c>
      <c r="E299" t="inlineStr">
        <is>
          <t>4</t>
        </is>
      </c>
      <c r="F299" t="inlineStr">
        <is>
          <t>Other</t>
        </is>
      </c>
      <c r="G299" t="inlineStr">
        <is>
          <t>None</t>
        </is>
      </c>
      <c r="H299" t="inlineStr">
        <is>
          <t>High (explicit)</t>
        </is>
      </c>
      <c r="I299" s="8" t="inlineStr"/>
      <c r="J299" s="8" t="inlineStr"/>
      <c r="K299" t="inlineStr"/>
      <c r="L299" s="8" t="inlineStr">
        <is>
          <t>A certificate of registration issued under regulation 8(a) remains valid for twenty-four months from the date of issuance. This duration applies to data controllers and data processors who have been registered under the Data Protection Regulations.</t>
        </is>
      </c>
      <c r="M299" s="8" t="inlineStr"/>
      <c r="N299" s="8" t="inlineStr">
        <is>
          <t>[Must] A certificate of registration issued under regulation 8 (a) shall be valid for a period of twenty-four months from the date of issuance</t>
        </is>
      </c>
      <c r="O299" s="8" t="inlineStr">
        <is>
          <t>9. A certificate of registration issued under regulation 8 (a) shall be valid for a period of twenty-four months from the date of issuance.</t>
        </is>
      </c>
    </row>
    <row r="300">
      <c r="A300" t="inlineStr">
        <is>
          <t>Kenya</t>
        </is>
      </c>
      <c r="B300" t="inlineStr">
        <is>
          <t>THE-DATA-PROTECTION-REGISTRATION-OF-DATA-CONTROLLERS-AND-DATA-PROCESSORS-REGULATIONS-2021 (Kenya = row17)</t>
        </is>
      </c>
      <c r="C300" t="inlineStr">
        <is>
          <t>10</t>
        </is>
      </c>
      <c r="D300" s="8" t="inlineStr">
        <is>
          <t>(1) Where the Data Commissioner declines to approve an</t>
        </is>
      </c>
      <c r="E300" t="inlineStr">
        <is>
          <t>4</t>
        </is>
      </c>
      <c r="F300" t="inlineStr">
        <is>
          <t>Other</t>
        </is>
      </c>
      <c r="G300" t="inlineStr">
        <is>
          <t>None</t>
        </is>
      </c>
      <c r="H300" t="inlineStr">
        <is>
          <t>High (explicit)</t>
        </is>
      </c>
      <c r="I300" s="8" t="inlineStr"/>
      <c r="J300" s="8" t="inlineStr"/>
      <c r="K300" t="inlineStr">
        <is>
          <t>Data Commissioner</t>
        </is>
      </c>
      <c r="L300" s="8" t="inlineStr">
        <is>
          <t>The Data Commissioner must notify applicants in writing of refusal within twenty-one days and provide reasons for declining registration applications. Refusal can occur if application particulars are insufficient, privacy safeguards are inadequate, or the entity violates other regulations. Applicants may reapply after complying with refusal requirements.</t>
        </is>
      </c>
      <c r="M300" s="8" t="inlineStr"/>
      <c r="N300" s="8" t="inlineStr">
        <is>
          <t>[Must] Where the Data Commissioner declines to approve an application for registration, the Data Commissioner shall within twenty-one days from the date of such decision notify, in writing, the applicant of the refusal
[Must] Where the Data Commissioner declines to approve an application for registration, the Data Commissioner shall within twenty-one days from the date of such decision provide reasons for such refusal
[May] The Data Commissioner may decline to grant an application for registration, where the particulars provided for inclusion in an entry in the register are insufficient
[May] The Data Commissioner may decline to grant an application for registration, where appropriate safeguards for the protection of the privacy of the data subject have not been provided by the data controller or a data processor
[May] The Data Commissioner may decline to grant an application for registration, where the data controller or data processor is in violation of any provisions of the Act and these Regulations
[May] A data controller or data processor whose application for registration has been declined under these Regulations may make a fresh application upon complying with the requirements specified in the refusal notice</t>
        </is>
      </c>
      <c r="O300" s="8" t="inlineStr">
        <is>
          <t>10. (1) Where the Data Commissioner declines to approve an application for registration, the Data Commissioner shall within twenty-one days from the date of such decision (a) notify, in writing, the applicant of the refusal; and (b) provide reasons for such refusal.</t>
        </is>
      </c>
    </row>
    <row r="301">
      <c r="A301" t="inlineStr">
        <is>
          <t>Kenya</t>
        </is>
      </c>
      <c r="B301" t="inlineStr">
        <is>
          <t>THE-DATA-PROTECTION-REGISTRATION-OF-DATA-CONTROLLERS-AND-DATA-PROCESSORS-REGULATIONS-2021 (Kenya = row17)</t>
        </is>
      </c>
      <c r="C301" t="inlineStr">
        <is>
          <t>11</t>
        </is>
      </c>
      <c r="D301" s="8" t="inlineStr">
        <is>
          <t>(1) Pursuant to section 20 of the Act, a registered data</t>
        </is>
      </c>
      <c r="E301" t="inlineStr">
        <is>
          <t>4–5</t>
        </is>
      </c>
      <c r="F301" t="inlineStr">
        <is>
          <t>Other</t>
        </is>
      </c>
      <c r="G301" t="inlineStr">
        <is>
          <t>None</t>
        </is>
      </c>
      <c r="H301" t="inlineStr">
        <is>
          <t>High (explicit)</t>
        </is>
      </c>
      <c r="I301" s="8" t="inlineStr"/>
      <c r="J301" s="8" t="inlineStr"/>
      <c r="K301" t="inlineStr">
        <is>
          <t>Data Commissioner</t>
        </is>
      </c>
      <c r="L301" s="8" t="inlineStr">
        <is>
          <t>Registered data controllers or processors must apply for renewal of registration after their certificate expires. Renewal applications require Form PR 2 and a renewal fee. The Data Commissioner may require verification if the renewal pertains to distinct purposes or data categories.</t>
        </is>
      </c>
      <c r="M301" s="8" t="inlineStr"/>
      <c r="N301" s="8" t="inlineStr">
        <is>
          <t>[Must] Pursuant to section 20 of the Act, a registered data controller or data processor shall apply for a renewal of registration as a data controller or data processor, after the expiry of the certificate of registration
[Must] An application for renewal of a certificate of registration shall be made in Form PR 2 set out in the First Schedule
[Must] An application for renewal of a certificate of registration shall be accompanied by the appropriate renewal fee specified in the Second Schedule
[Must] The Data Commissioner shall, upon receipt of the application, and where satisfied that the applicant complies with the requirements for registration, renew the certificate of registration
[Must] Despite sub-regulation (2), where renewal is for a distinct purpose or categories of data other than that for which the data controller or data processor had been registered for, the Data Commissioner shall undertake a verification process in the manner provided under regulation 7</t>
        </is>
      </c>
      <c r="O301" s="8" t="inlineStr">
        <is>
          <t>11. (1) Pursuant to section 20 of the Act, a registered data controller or data processor shall apply for a renewal of registration as a data controller or data processor, after the expiry of the certificate of registration.</t>
        </is>
      </c>
    </row>
    <row r="302">
      <c r="A302" t="inlineStr">
        <is>
          <t>Kenya</t>
        </is>
      </c>
      <c r="B302" t="inlineStr">
        <is>
          <t>THE-DATA-PROTECTION-REGISTRATION-OF-DATA-CONTROLLERS-AND-DATA-PROCESSORS-REGULATIONS-2021 (Kenya = row17)</t>
        </is>
      </c>
      <c r="C302" t="inlineStr">
        <is>
          <t>12</t>
        </is>
      </c>
      <c r="D302" s="8" t="inlineStr">
        <is>
          <t>(1) Where the Data Commissioner declines to renew an</t>
        </is>
      </c>
      <c r="E302" t="inlineStr">
        <is>
          <t>5</t>
        </is>
      </c>
      <c r="F302" t="inlineStr">
        <is>
          <t>Other</t>
        </is>
      </c>
      <c r="G302" t="inlineStr">
        <is>
          <t>Low</t>
        </is>
      </c>
      <c r="H302" t="inlineStr">
        <is>
          <t>High (explicit)</t>
        </is>
      </c>
      <c r="I302" s="8" t="inlineStr">
        <is>
          <t>Special Personal Information</t>
        </is>
      </c>
      <c r="J302" s="8" t="inlineStr">
        <is>
          <t>Special Personal Information</t>
        </is>
      </c>
      <c r="K302" t="inlineStr"/>
      <c r="L302" s="8" t="inlineStr">
        <is>
          <t>This section specifies that businesses processing genetic data must register with the Data Commissioner under the Data Protection Regulations, establishing a regulatory threshold for genetic data processing activities.</t>
        </is>
      </c>
      <c r="M302" s="8" t="inlineStr">
        <is>
          <t>This section identifies genetic data as a category requiring specific registration, which is relevant for DTIA as it affects how genetic data is handled across borders and with third parties.</t>
        </is>
      </c>
      <c r="N302" s="8" t="inlineStr">
        <is>
          <t>[Must] Businesses that process genetic data must register with the Data Commissioner</t>
        </is>
      </c>
      <c r="O302" s="8" t="inlineStr">
        <is>
          <t>12. Businesses that process genetic data.</t>
        </is>
      </c>
    </row>
    <row r="303">
      <c r="A303" t="inlineStr">
        <is>
          <t>Kenya</t>
        </is>
      </c>
      <c r="B303" t="inlineStr">
        <is>
          <t>THE-DATA-PROTECTION-REGISTRATION-OF-DATA-CONTROLLERS-AND-DATA-PROCESSORS-REGULATIONS-2021 (Kenya = row17)</t>
        </is>
      </c>
      <c r="C303" t="inlineStr">
        <is>
          <t>12</t>
        </is>
      </c>
      <c r="D303" s="8" t="inlineStr">
        <is>
          <t>Businesses that process genetic data.</t>
        </is>
      </c>
      <c r="E303" t="inlineStr">
        <is>
          <t>13</t>
        </is>
      </c>
      <c r="F303" t="inlineStr">
        <is>
          <t>Other</t>
        </is>
      </c>
      <c r="G303" t="inlineStr">
        <is>
          <t>Low</t>
        </is>
      </c>
      <c r="H303" t="inlineStr">
        <is>
          <t>High (explicit)</t>
        </is>
      </c>
      <c r="I303" s="8" t="inlineStr">
        <is>
          <t>Special Personal Information</t>
        </is>
      </c>
      <c r="J303" s="8" t="inlineStr">
        <is>
          <t>Special Personal Information</t>
        </is>
      </c>
      <c r="K303" t="inlineStr"/>
      <c r="L303" s="8" t="inlineStr">
        <is>
          <t>This section specifies that businesses processing genetic data must register with the Data Commissioner under the Data Protection Regulations, establishing a regulatory threshold for genetic data processing activities.</t>
        </is>
      </c>
      <c r="M303" s="8" t="inlineStr">
        <is>
          <t>This section identifies genetic data as a category requiring specific registration, which is relevant for DTIA as it affects how genetic data is handled across borders and with third parties.</t>
        </is>
      </c>
      <c r="N303" s="8" t="inlineStr">
        <is>
          <t>[Must] Businesses that process genetic data must register with the Data Commissioner</t>
        </is>
      </c>
      <c r="O303" s="8" t="inlineStr">
        <is>
          <t>12. Businesses that process genetic data.</t>
        </is>
      </c>
    </row>
    <row r="304">
      <c r="A304" t="inlineStr">
        <is>
          <t>Kenya</t>
        </is>
      </c>
      <c r="B304" t="inlineStr">
        <is>
          <t>THE-DATA-PROTECTION-REGISTRATION-OF-DATA-CONTROLLERS-AND-DATA-PROCESSORS-REGULATIONS-2021 (Kenya = row17)</t>
        </is>
      </c>
      <c r="C304" t="inlineStr">
        <is>
          <t>13</t>
        </is>
      </c>
      <c r="D304" s="8" t="inlineStr">
        <is>
          <t>(1) For purposes of this regulation</t>
        </is>
      </c>
      <c r="E304" t="inlineStr">
        <is>
          <t>5–6</t>
        </is>
      </c>
      <c r="F304" t="inlineStr">
        <is>
          <t>Exemptions</t>
        </is>
      </c>
      <c r="G304" t="inlineStr">
        <is>
          <t>None</t>
        </is>
      </c>
      <c r="H304" t="inlineStr">
        <is>
          <t>High (explicit)</t>
        </is>
      </c>
      <c r="I304" s="8" t="inlineStr"/>
      <c r="J304" s="8" t="inlineStr"/>
      <c r="K304" t="inlineStr"/>
      <c r="L304" s="8" t="inlineStr">
        <is>
          <t>Entities with annual turnover below five million shillings and fewer than ten employees are exempt from mandatory registration. However, this exemption does not apply to entities processing personal data for purposes specified in the Third Schedule, and they must still comply with Part IV and Part VI of the Act.</t>
        </is>
      </c>
      <c r="M304" s="8" t="inlineStr"/>
      <c r="N304" s="8" t="inlineStr">
        <is>
          <t>[May] A data controller or data processor is exempt from mandatory registration under these Regulations where the data controller or data processor has an annual turnover of below five million shillings or annual revenue of below five million shillings
[May] A data controller or data processor is exempt from mandatory registration under these Regulations where the data controller or data processor has less than ten employees
[Must] Despite the provisions of sub-regulation (2), the data controller and data processor exempt under sub-regulation (2) shall be required to comply with the provisions of the Part IV and Part VI of the Act
[Must] The exemption provided under sub-regulation (1) shall not apply to a data controller or data processor whose annual turnover is below five million shillings and processes personal data for the purposes specified under the Third Schedule</t>
        </is>
      </c>
      <c r="O304" s="8" t="inlineStr">
        <is>
          <t>13. (2) A data controller or data processor is exempt from mandatory registration under these Regulations where the data controller or data processor (a) has an annual turnover of below five million shillings or annual revenue of below five million shillings; and (b) has less than ten employees.</t>
        </is>
      </c>
    </row>
    <row r="305">
      <c r="A305" t="inlineStr">
        <is>
          <t>Kenya</t>
        </is>
      </c>
      <c r="B305" t="inlineStr">
        <is>
          <t>THE-DATA-PROTECTION-REGISTRATION-OF-DATA-CONTROLLERS-AND-DATA-PROCESSORS-REGULATIONS-2021 (Kenya = row17)</t>
        </is>
      </c>
      <c r="C305" t="inlineStr">
        <is>
          <t>14</t>
        </is>
      </c>
      <c r="D305" s="8" t="inlineStr">
        <is>
          <t>(1) Subject to section 21 of the Act, the Data Commissioner</t>
        </is>
      </c>
      <c r="E305" t="inlineStr">
        <is>
          <t>6</t>
        </is>
      </c>
      <c r="F305" t="inlineStr">
        <is>
          <t>Other</t>
        </is>
      </c>
      <c r="G305" t="inlineStr">
        <is>
          <t>Medium</t>
        </is>
      </c>
      <c r="H305" t="inlineStr">
        <is>
          <t>High (explicit)</t>
        </is>
      </c>
      <c r="I305" s="8" t="inlineStr">
        <is>
          <t>Data Storage</t>
        </is>
      </c>
      <c r="J305" s="8" t="inlineStr">
        <is>
          <t>Personal Information</t>
        </is>
      </c>
      <c r="K305" t="inlineStr">
        <is>
          <t>Data Commissioner</t>
        </is>
      </c>
      <c r="L305" s="8" t="inlineStr">
        <is>
          <t>The Data Commissioner must maintain an up-to-date register containing registered data controllers and processors, their categories of personal data processed, business addresses, data protection officers (where applicable), and other relevant particulars. This register is updated within 14 days of any changes to registration details and published on the official website every 30 days.</t>
        </is>
      </c>
      <c r="M305" s="8" t="inlineStr">
        <is>
          <t>This section establishes a mandatory registration system that requires data controllers and processors to disclose their data processing activities to the Data Commissioner, creating a foundational record for assessing data flows and ensuring transparency in data handling practices.</t>
        </is>
      </c>
      <c r="N305" s="8" t="inlineStr">
        <is>
          <t>[Must] The Data Commissioner shall keep and maintain an up to date register which shall contain the names and particulars of registered data controllers and data processors
[Must] The Data Commissioner shall keep and maintain an up to date register which shall contain categories of personal data being processed by the data controllers and data processors
[Must] The Data Commissioner shall keep and maintain an up to date register which shall contain the address of the principal places of business of the data controllers and data processors
[Must] The Data Commissioner shall keep and maintain an up to date register which shall contain where applicable, details of data protection officers
[Must] The Data Commissioner shall keep and maintain an up to date register which shall contain any other relevant particular
[Must] The Office shall, once every thirty days, publish on the official website a list of registered data controllers or data processors</t>
        </is>
      </c>
      <c r="O305" s="8" t="inlineStr">
        <is>
          <t>14. (1) Subject to section 21 of the Act, the Data Commissioner shall keep and maintain an up to date register which shall contain (a) the names and particulars of registered data controllers and data processors; (b) categories of personal data being processed by the data controllers and data processors; (c) the address of the principal places of business of the data controllers and data processors; (d) where applicable, details of data protection officers; and (e) any other relevant particular.</t>
        </is>
      </c>
    </row>
    <row r="306">
      <c r="A306" t="inlineStr">
        <is>
          <t>Kenya</t>
        </is>
      </c>
      <c r="B306" t="inlineStr">
        <is>
          <t>THE-DATA-PROTECTION-REGISTRATION-OF-DATA-CONTROLLERS-AND-DATA-PROCESSORS-REGULATIONS-2021 (Kenya = row17)</t>
        </is>
      </c>
      <c r="C306" t="inlineStr">
        <is>
          <t>15</t>
        </is>
      </c>
      <c r="D306" s="8" t="inlineStr">
        <is>
          <t>(1) Subject to section 19(2) of the Act, a data controller or</t>
        </is>
      </c>
      <c r="E306" t="inlineStr">
        <is>
          <t>6</t>
        </is>
      </c>
      <c r="F306" t="inlineStr">
        <is>
          <t>Other</t>
        </is>
      </c>
      <c r="G306" t="inlineStr">
        <is>
          <t>Medium</t>
        </is>
      </c>
      <c r="H306" t="inlineStr">
        <is>
          <t>High (explicit)</t>
        </is>
      </c>
      <c r="I306" s="8" t="inlineStr"/>
      <c r="J306" s="8" t="inlineStr">
        <is>
          <t>Personal Information</t>
        </is>
      </c>
      <c r="K306" t="inlineStr">
        <is>
          <t>Data Commissioner</t>
        </is>
      </c>
      <c r="L306" s="8" t="inlineStr">
        <is>
          <t>Data controllers and processors must notify the Data Commissioner in writing within 14 days of any changes to their registration particulars. The Data Commissioner may request additional documents or proof before updating the register, and failure to comply constitutes an offence punishable under section 73 of the Act.</t>
        </is>
      </c>
      <c r="M306" s="8" t="inlineStr">
        <is>
          <t>This section mandates timely updates to the registration register, ensuring the Data Commissioner maintains accurate records of data processing activities, which is critical for DTIA compliance as it requires ongoing verification of data flows.</t>
        </is>
      </c>
      <c r="N306" s="8" t="inlineStr">
        <is>
          <t>[Must] A data controller or data processor shall, within fourteen days of the occurrence of any changes in the particulars of a data controller or a data processor, notify the Data Commissioner in writing
[Must] The Data Commissioner shall, on receiving the notification make the necessary changes on the register, where necessary
[Condition] The Data Commissioner may prior to making any change on the register, request for any necessary documents or proof thereof
[Must Not] A data controller or data processor who contravenes this regulation commits an offence and shall, on conviction, be liable to the penalty specified under section 73 of the Act</t>
        </is>
      </c>
      <c r="O306" s="8" t="inlineStr">
        <is>
          <t>15. (1) Subject to section 19(2) of the Act, a data controller or data processor shall, within fourteen days of the occurrence of any changes in the particulars of a data controller or a data processor, notify the Data Commissioner in writing.</t>
        </is>
      </c>
    </row>
    <row r="307">
      <c r="A307" t="inlineStr">
        <is>
          <t>Kenya</t>
        </is>
      </c>
      <c r="B307" t="inlineStr">
        <is>
          <t>THE-DATA-PROTECTION-REGISTRATION-OF-DATA-CONTROLLERS-AND-DATA-PROCESSORS-REGULATIONS-2021 (Kenya = row17)</t>
        </is>
      </c>
      <c r="C307" t="inlineStr">
        <is>
          <t>16</t>
        </is>
      </c>
      <c r="D307" s="8" t="inlineStr">
        <is>
          <t>(1) Subject to section 22 of the Act, the Data Commissioner</t>
        </is>
      </c>
      <c r="E307" t="inlineStr">
        <is>
          <t>6</t>
        </is>
      </c>
      <c r="F307" t="inlineStr">
        <is>
          <t>Other</t>
        </is>
      </c>
      <c r="G307" t="inlineStr">
        <is>
          <t>Medium</t>
        </is>
      </c>
      <c r="H307" t="inlineStr">
        <is>
          <t>High (explicit)</t>
        </is>
      </c>
      <c r="I307" s="8" t="inlineStr"/>
      <c r="J307" s="8" t="inlineStr">
        <is>
          <t>Personal Information</t>
        </is>
      </c>
      <c r="K307" t="inlineStr">
        <is>
          <t>Data Commissioner</t>
        </is>
      </c>
      <c r="L307" s="8" t="inlineStr">
        <is>
          <t>The Data Commissioner may cancel or vary a certificate of registration if a data controller or processor provides false information, willfully or negligently fails to comply with the Act and Regulations, or applies for cancellation/variation. The process must follow the Fair Administrative Actions Act, 2015.</t>
        </is>
      </c>
      <c r="M307" s="8" t="inlineStr">
        <is>
          <t>This section provides the mechanism for revoking registration when data processing activities are non-compliant, which is essential for DTIA to ensure that only legitimate data flows are maintained.</t>
        </is>
      </c>
      <c r="N307" s="8" t="inlineStr">
        <is>
          <t>[May] The Data Commissioner may cancel a certificate of registration or vary the conditions for registration, where (a) the data controller or data processor applies for cancellation or variation
[May] The Data Commissioner may cancel a certificate of registration or vary the conditions for registration, where (b) the Data Commissioner establishes that the data controller or data processor provided false or misleading information in relation to any registration particulars
[May] The Data Commissioner may cancel a certificate of registration or vary the conditions for registration, where (c) the data controller or data processor willfully or negligently, fails to comply with provisions of the Act and any Regulations made thereunder
[Must] The Data Commissioner shall, before cancelling or varying the conditions of registration, be guided by the provisions of the Fair Administrative Actions Act, 2015</t>
        </is>
      </c>
      <c r="O307" s="8" t="inlineStr">
        <is>
          <t>16. (1) Subject to section 22 of the Act, the Data Commissioner may cancel a certificate of registration or vary the conditions for registration, where (a) the data controller or data processor applies for cancellation or variation; (b) the Data Commissioner establishes that the data controller or data processor provided false or misleading information in relation to any registration particulars; or (c) the data controller or data processor willfully or negligently, fails to comply with provisions of the Act and any Regulations made thereunder.</t>
        </is>
      </c>
    </row>
    <row r="308">
      <c r="A308" t="inlineStr">
        <is>
          <t>Kenya</t>
        </is>
      </c>
      <c r="B308" t="inlineStr">
        <is>
          <t>THE-DATA-PROTECTION-REGISTRATION-OF-DATA-CONTROLLERS-AND-DATA-PROCESSORS-REGULATIONS-2021 (Kenya = row17)</t>
        </is>
      </c>
      <c r="C308" t="inlineStr">
        <is>
          <t>18</t>
        </is>
      </c>
      <c r="D308" s="8" t="inlineStr">
        <is>
          <t>A data controller or a data processor who</t>
        </is>
      </c>
      <c r="E308" t="inlineStr">
        <is>
          <t>6–13</t>
        </is>
      </c>
      <c r="F308" t="inlineStr">
        <is>
          <t>Other</t>
        </is>
      </c>
      <c r="G308" t="inlineStr">
        <is>
          <t>Medium</t>
        </is>
      </c>
      <c r="H308" t="inlineStr">
        <is>
          <t>High (explicit)</t>
        </is>
      </c>
      <c r="I308" s="8" t="inlineStr"/>
      <c r="J308" s="8" t="inlineStr">
        <is>
          <t>Personal Information</t>
        </is>
      </c>
      <c r="K308" t="inlineStr">
        <is>
          <t>Data Commissioner</t>
        </is>
      </c>
      <c r="L308" s="8" t="inlineStr">
        <is>
          <t>Data controllers and processors who fail to register, provide false information, or fail to renew their certificate of registration after expiry commit an offence under section 73 of the Act and face penalties for non-compliance.</t>
        </is>
      </c>
      <c r="M308" s="8" t="inlineStr">
        <is>
          <t>This section defines specific offences related to registration compliance, which are critical for DTIA as they establish the consequences of non-compliance with registration requirements for data processing activities.</t>
        </is>
      </c>
      <c r="N308" s="8" t="inlineStr">
        <is>
          <t>[Must Not] A data controller or a data processor who processes personal data without registering in accordance with these Regulations commits an offence
[Must Not] A data controller or a data processor who provides false or misleading information for the purpose of registration commits an offence
[Must Not] A data controller or a data processor who fails to renew a certificate of registration and continues to process personal data after the expiry of the certificate commits an offence
[Must] A data controller or a data processor who commits an offence shall, upon conviction, be liable to penalty specified under section 73 of the Act</t>
        </is>
      </c>
      <c r="O308" s="8" t="inlineStr">
        <is>
          <t>18. A data controller or a data processor who (a) processes personal data without registering in accordance with these Regulations; (b) provides false or misleading information for the purpose of registration; or (c) fails to renew a certificate of registration and continues to process personal data after the expiry of the certificate, commits an offence and shall, upon conviction, be liable to penalty specified under section 73 of the Act.</t>
        </is>
      </c>
    </row>
    <row r="309">
      <c r="A309" t="inlineStr">
        <is>
          <t>Mauritius</t>
        </is>
      </c>
      <c r="B309" t="inlineStr">
        <is>
          <t>Mauritius_Emerging_Technologies_Council_Act_2021 (Mauritius - Row 24)</t>
        </is>
      </c>
      <c r="C309" t="inlineStr">
        <is>
          <t>2</t>
        </is>
      </c>
      <c r="D309" s="8" t="inlineStr">
        <is>
          <t>Interpretation</t>
        </is>
      </c>
      <c r="E309" t="inlineStr">
        <is>
          <t>2–3</t>
        </is>
      </c>
      <c r="F309" t="inlineStr">
        <is>
          <t>Definitions</t>
        </is>
      </c>
      <c r="G309" t="inlineStr">
        <is>
          <t>None</t>
        </is>
      </c>
      <c r="H309" t="inlineStr">
        <is>
          <t>High (explicit)</t>
        </is>
      </c>
      <c r="I309" s="8" t="inlineStr"/>
      <c r="J309" s="8" t="inlineStr">
        <is>
          <t>Special Personal Information</t>
        </is>
      </c>
      <c r="K309" t="inlineStr"/>
      <c r="L309" s="8" t="inlineStr">
        <is>
          <t>This section defines key terms used throughout the Act, including 'Chairperson', 'Council', 'Executive Director', 'Intellectual property', 'member', 'Minister', 'Ministry', and 'research and development'. Each term is explicitly specified with precise meanings relevant to the Mauritius Emerging Technologies Council's operations.</t>
        </is>
      </c>
      <c r="M309" s="8" t="inlineStr"/>
      <c r="N309" s="8" t="inlineStr">
        <is>
          <t>[Definition] Chairperson means the Chairperson of the Council
[Definition] Council means the Mauritius Emerging Technologies Council established under section 3
[Definition] Executive Director means the Executive Director of the Council, appointed under section 10
[Definition] Intellectual property includes any knowledge, know-how, technique, technology, design or trade secret, invented, developed or acquired as a result of research and development and innovation activities
[Definition] member means a member of the Council
[Definition] Minister means the Minister to whom responsibility for the subject of information technology is assigned
[Definition] Ministry means the Ministry responsible for the subject of information technology
[Definition] research and development means systematic, investigative and experimental activities which involve emerging technologies and are carried out, wholly or partly, within Mauritius for the purpose of creating new or improved materials, products, devices, processes or services</t>
        </is>
      </c>
      <c r="O309" s="8" t="inlineStr">
        <is>
          <t>Interpretation In this Act – "Chairperson" means the Chairperson of the Council; "Council" means the Mauritius Emerging Technologies Council established under section 3; "Executive Director" means the Executive Director of the Council, appointed under section 10; "Intellectual property" includes any knowledge, know-how, technique, technology, design or trade secret, invented, developed or acquired as a result of research and development and innovation activities; "member" – (a) means a member of the Council; and (b) includes the Chairperson; "Minister" means the Minister to whom responsibility for the subject of information technology is assigned; "Ministry" means the Ministry responsible for the subject of information technology; "research and development" means systematic, investigative and experimental activities which involve emerging technologies and are carried out, wholly or partly, within Mauritius for the purpose of creating new or improved materials, products, devices, processes or services.</t>
        </is>
      </c>
    </row>
    <row r="310">
      <c r="A310" t="inlineStr">
        <is>
          <t>Mauritius</t>
        </is>
      </c>
      <c r="B310" t="inlineStr">
        <is>
          <t>Mauritius_Emerging_Technologies_Council_Act_2021 (Mauritius - Row 24)</t>
        </is>
      </c>
      <c r="C310" t="inlineStr">
        <is>
          <t>7</t>
        </is>
      </c>
      <c r="D310" s="8" t="inlineStr">
        <is>
          <t>The Council</t>
        </is>
      </c>
      <c r="E310" t="inlineStr">
        <is>
          <t>5–6</t>
        </is>
      </c>
      <c r="F310" t="inlineStr">
        <is>
          <t>Governance</t>
        </is>
      </c>
      <c r="G310" t="inlineStr">
        <is>
          <t>None</t>
        </is>
      </c>
      <c r="H310" t="inlineStr">
        <is>
          <t>High (explicit)</t>
        </is>
      </c>
      <c r="I310" s="8" t="inlineStr">
        <is>
          <t>Governance, Record Keeping</t>
        </is>
      </c>
      <c r="J310" s="8" t="inlineStr">
        <is>
          <t>Special Personal Information</t>
        </is>
      </c>
      <c r="K310" t="inlineStr"/>
      <c r="L310" s="8" t="inlineStr">
        <is>
          <t>This section outlines the composition of the Council, specifying that it must include a Chairperson appointed by the Minister, representatives from the Ministry, the Ministry of Finance, the Ministry of Industrial Development, the Attorney-General's Office, the Economic Development Board, the private sector, and four technology experts. It also details disqualifications for members, term lengths, resignation procedures, and the requirement for members to be paid by the Minister.</t>
        </is>
      </c>
      <c r="M310" s="8" t="inlineStr"/>
      <c r="N310" s="8" t="inlineStr">
        <is>
          <t>[Must] The Council shall consist of – (a) a Chairperson, to be appointed by the Minister; (b) a representative of the Ministry; (c) a representative of the Ministry responsible for the subject of finance; (d) a representative of the Ministry responsible for the subject of industrial development; (e) a representative of the Attorney-General's Office; (f) a representative of the Economic Development Board; (g) a representative from the private sector; and (h) 4 technology experts, to be appointed by the Minister
[Must Not] No person shall be qualified to be a member where he is – (a) a member of the Assembly; (b) a member of a local authority; or (c) otherwise actively engaged in politics
[Condition] Subject to subsection (4), a member, other than an ex officio member, shall hold office for a period of 3 years and may be eligible for reappointment
[Condition] A member, other than an ex officio member, shall cease to hold office – (a) on the completion of his term of office; (b) on his resignation; (c) where he becomes a member of the Assembly or a local authority, or otherwise actively engages in politics; or (d) where, without sufficient cause, he fails to attend 3 consecutive meetings of the Council
[Must] Every member shall be paid such fees or allowances as the Minister may determine
[Must] The names of the members of the Council shall be published in the Gazette
[May] The Council may co-opt any person who may be of assistance in relation to any matter before it and the co-opted member shall – (a) not have the right to vote at any meeting of the Council; and (b) be paid such fees or allowances as the Council may determine
[Must Not] A member shall not engage in any activity which may undermine the reputation or the integrity of the Council</t>
        </is>
      </c>
      <c r="O310" s="8" t="inlineStr">
        <is>
          <t>The Council shall consist of – (a) a Chairperson, to be appointed by the Minister; (b) a representative of the Ministry; (c) a representative of the Ministry responsible for the subject of finance; (d) a representative of the Ministry responsible for the subject of industrial development; (e) a representative of the Attorney-General's Office; (f) a representative of the Economic Development Board; (g) a representative from the private sector; and (h) 4 technology experts, to be appointed by the Minister.</t>
        </is>
      </c>
    </row>
    <row r="311">
      <c r="A311" t="inlineStr">
        <is>
          <t>Mauritius</t>
        </is>
      </c>
      <c r="B311" t="inlineStr">
        <is>
          <t>Mauritius_Emerging_Technologies_Council_Act_2021 (Mauritius - Row 24)</t>
        </is>
      </c>
      <c r="C311" t="inlineStr">
        <is>
          <t>13</t>
        </is>
      </c>
      <c r="D311" s="8" t="inlineStr">
        <is>
          <t>Disclosure of interest</t>
        </is>
      </c>
      <c r="E311" t="inlineStr">
        <is>
          <t>9</t>
        </is>
      </c>
      <c r="F311" t="inlineStr">
        <is>
          <t>Governance</t>
        </is>
      </c>
      <c r="G311" t="inlineStr">
        <is>
          <t>None</t>
        </is>
      </c>
      <c r="H311" t="inlineStr">
        <is>
          <t>High (explicit)</t>
        </is>
      </c>
      <c r="I311" s="8" t="inlineStr">
        <is>
          <t>Governance, Record Keeping</t>
        </is>
      </c>
      <c r="J311" s="8" t="inlineStr">
        <is>
          <t>Special Personal Information</t>
        </is>
      </c>
      <c r="K311" t="inlineStr"/>
      <c r="L311" s="8" t="inlineStr">
        <is>
          <t>This section requires members of the Council or their relatives to disclose any pecuniary or material interest in matters before the Council or its committees, and prohibits them from participating in deliberations on those matters. Disclosures must be recorded in the meeting minutes.</t>
        </is>
      </c>
      <c r="M311" s="8" t="inlineStr"/>
      <c r="N311" s="8" t="inlineStr">
        <is>
          <t>[Must] Where any member, or any person related to the member by blood or marriage, has any pecuniary or other material interest in, or in relation to, any matter before the Council or a committee, that member shall – (a) disclose the nature of the interest before or at the meeting convened to discuss the matter; and (b) not take part in any deliberations relating to that matter
[Must] A disclosure of interest made under subsection (1) shall be recorded in the minutes of proceedings of the meeting of the Council or committee, as the case may be</t>
        </is>
      </c>
      <c r="O311" s="8" t="inlineStr">
        <is>
          <t>Where any member, or any person related to the member by blood or marriage, has any pecuniary or other material interest in, or in relation to, any matter before the Council or a committee, that member shall – (a) disclose the nature of the interest before or at the meeting convened to discuss the matter; and (b) not take part in any deliberations relating to that matter.</t>
        </is>
      </c>
    </row>
    <row r="312">
      <c r="A312" t="inlineStr">
        <is>
          <t>Mauritius</t>
        </is>
      </c>
      <c r="B312" t="inlineStr">
        <is>
          <t>Mauritius_Emerging_Technologies_Council_Act_2021 (Mauritius - Row 24)</t>
        </is>
      </c>
      <c r="C312" t="inlineStr">
        <is>
          <t>16</t>
        </is>
      </c>
      <c r="D312" s="8" t="inlineStr">
        <is>
          <t>General Fund</t>
        </is>
      </c>
      <c r="E312" t="inlineStr">
        <is>
          <t>9–10</t>
        </is>
      </c>
      <c r="F312" t="inlineStr">
        <is>
          <t>Governance</t>
        </is>
      </c>
      <c r="G312" t="inlineStr">
        <is>
          <t>None</t>
        </is>
      </c>
      <c r="H312" t="inlineStr">
        <is>
          <t>High (explicit)</t>
        </is>
      </c>
      <c r="I312" s="8" t="inlineStr">
        <is>
          <t>Governance, Record Keeping</t>
        </is>
      </c>
      <c r="J312" s="8" t="inlineStr">
        <is>
          <t>Special Personal Information</t>
        </is>
      </c>
      <c r="K312" t="inlineStr"/>
      <c r="L312" s="8" t="inlineStr">
        <is>
          <t>This section establishes a General Fund for the Council, which receives funds from the Consolidated Fund, loans, other lawful accruals, and other sources, and from which all required payments are made. It specifies that the Council must publish its annual report within six months of the financial year-end.</t>
        </is>
      </c>
      <c r="M312" s="8" t="inlineStr"/>
      <c r="N312" s="8" t="inlineStr">
        <is>
          <t>[Must] The Council shall set up a General Fund – (a) into which shall be paid – (i) any amount allocated out of the Consolidated Fund; (ii) any loan granted or other sum which may lawfully accrue to the Council; and (iii) any sum received by the Council from any other source; and (b) out of which all payments required to be made by it shall be effected</t>
        </is>
      </c>
      <c r="O312" s="8" t="inlineStr">
        <is>
          <t>The Council shall set up a General Fund – (a) into which shall be paid – (i) any amount allocated out of the Consolidated Fund; (ii) any loan granted or other sum which may lawfully accrue to the Council; and (iii) any sum received by the Council from any other source; and (b) out of which all payments required to be made by it shall be effected.</t>
        </is>
      </c>
    </row>
    <row r="313">
      <c r="A313" t="inlineStr">
        <is>
          <t>Mauritius</t>
        </is>
      </c>
      <c r="B313" t="inlineStr">
        <is>
          <t>Mauritius_Emerging_Technologies_Council_Act_2021 (Mauritius - Row 24)</t>
        </is>
      </c>
      <c r="C313" t="inlineStr">
        <is>
          <t>21</t>
        </is>
      </c>
      <c r="D313" s="8" t="inlineStr">
        <is>
          <t>Annual report</t>
        </is>
      </c>
      <c r="E313" t="inlineStr">
        <is>
          <t>10–11</t>
        </is>
      </c>
      <c r="F313" t="inlineStr">
        <is>
          <t>Governance</t>
        </is>
      </c>
      <c r="G313" t="inlineStr">
        <is>
          <t>None</t>
        </is>
      </c>
      <c r="H313" t="inlineStr">
        <is>
          <t>High (explicit)</t>
        </is>
      </c>
      <c r="I313" s="8" t="inlineStr">
        <is>
          <t>Governance, Record Keeping</t>
        </is>
      </c>
      <c r="J313" s="8" t="inlineStr">
        <is>
          <t>Special Personal Information</t>
        </is>
      </c>
      <c r="K313" t="inlineStr"/>
      <c r="L313" s="8" t="inlineStr">
        <is>
          <t>This section mandates that the Council publish an annual report within six months of the financial year-end, including audited accounts. It also specifies that the first financial year starts from the Act's commencement date to June 30 of the following year, and that the Statutory Bodies (Accounts and Audit) Act does not apply to the first financial year.</t>
        </is>
      </c>
      <c r="M313" s="8" t="inlineStr"/>
      <c r="N313" s="8" t="inlineStr">
        <is>
          <t>[Must] The Council shall, not later than 6 months after the close of every financial year, cause to be published a report on the activities of the Council, including its audited accounts, in respect of that financial year
[Condition] For the purposes of the Statutory Bodies (Accounts and Audit) Act, the period extending from the commencement of this Act to 30 June of the following year shall be deemed to be the first financial year of the Council
[Condition] Section 7 (1) of the Statutory Bodies (Accounts and Audit) Act shall not apply to the first financial year of the Council
[Must] The auditor to be appointed under section 5 (1) of the Statutory Bodies (Accounts and Audit) Act shall be the Director of Audit
[Must] The Council shall forward a copy of the report referred to in subsection (1) to the Minister
[Must] The Council shall furnish to the Minister such information with respect to its activities, in such manner and at such time, as he may specify
[Must] The Minister shall, at the earliest available opportunity, lay a copy of the annual report and audited accounts of the Council before the Assembly</t>
        </is>
      </c>
      <c r="O313" s="8" t="inlineStr">
        <is>
          <t>The Council shall, not later than 6 months after the close of every financial year, cause to be published a report on the activities of the Council, including its audited accounts, in respect of that financial year.</t>
        </is>
      </c>
    </row>
    <row r="314">
      <c r="A314" t="inlineStr">
        <is>
          <t>Mauritius</t>
        </is>
      </c>
      <c r="B314" t="inlineStr">
        <is>
          <t>National-Identity-Card-Act-Consolidated- (Mauritius - Row 23)</t>
        </is>
      </c>
      <c r="C314" t="inlineStr">
        <is>
          <t>2</t>
        </is>
      </c>
      <c r="D314" s="8" t="inlineStr">
        <is>
          <t>Interpretation</t>
        </is>
      </c>
      <c r="E314" t="inlineStr">
        <is>
          <t>1</t>
        </is>
      </c>
      <c r="F314" t="inlineStr">
        <is>
          <t>Definitions</t>
        </is>
      </c>
      <c r="G314" t="inlineStr">
        <is>
          <t>None</t>
        </is>
      </c>
      <c r="H314" t="inlineStr">
        <is>
          <t>High (explicit)</t>
        </is>
      </c>
      <c r="I314" s="8" t="inlineStr"/>
      <c r="J314" s="8" t="inlineStr">
        <is>
          <t>Biometric Data</t>
        </is>
      </c>
      <c r="K314" t="inlineStr"/>
      <c r="L314" s="8" t="inlineStr">
        <is>
          <t>This section defines key terms used throughout the National Identity Card Act, including biometric information, digital wallet, identity card, Minister, Mobile ID, MNIC System, NIC number, register, Registrar, and Unit. These definitions establish the scope and meaning of critical concepts for the implementation of the identity card system and related processes.</t>
        </is>
      </c>
      <c r="M314" s="8" t="inlineStr"/>
      <c r="N314" s="8" t="inlineStr">
        <is>
          <t>[Definition] biometric information
[Definition] digital wallet
[Definition] identity card
[Definition] Minister
[Definition] Mobile ID
[Definition] MNIC System
[Definition] NIC number
[Definition] register
[Definition] Registrar
[Definition] Unit</t>
        </is>
      </c>
      <c r="O314" s="8" t="inlineStr">
        <is>
          <t>2. Interpretation In this Act— "biometric information", in relation to an individual, means data about his external characteristics, including his fingerprints; "digital wallet" means a digital application issued by the National Identity Card Unit to store such digital documents as may be prescribed; "identity card" means a card issued under section 5(1); "Minister" means the Minister to whom responsiblity for the subject of civil status is assigned; "Mobile ID" means the digital identity document which the holder of an identity card may register under section 5(2B) and which is stored in the digital wallet; "MNIC System" means the hardware, software and infrastructure for the registration, personalisation, issuance and post-issuance of the identity card and Mobile ID; "NIC number" has the same meaning as in the Civil Status Act; "register" means the register kept under section 3; "Registrar" means the Registrar of Civil Status; "Unit" means the National Identity Card Unit referred to in section 2A.</t>
        </is>
      </c>
    </row>
    <row r="315">
      <c r="A315" t="inlineStr">
        <is>
          <t>Mauritius</t>
        </is>
      </c>
      <c r="B315" t="inlineStr">
        <is>
          <t>National-Identity-Card-Act-Consolidated- (Mauritius - Row 23)</t>
        </is>
      </c>
      <c r="C315" t="inlineStr">
        <is>
          <t>2</t>
        </is>
      </c>
      <c r="D315" s="8" t="inlineStr">
        <is>
          <t>Interpretation</t>
        </is>
      </c>
      <c r="E315" t="inlineStr">
        <is>
          <t>1–3</t>
        </is>
      </c>
      <c r="F315" t="inlineStr">
        <is>
          <t>Definitions</t>
        </is>
      </c>
      <c r="G315" t="inlineStr">
        <is>
          <t>None</t>
        </is>
      </c>
      <c r="H315" t="inlineStr">
        <is>
          <t>High (explicit)</t>
        </is>
      </c>
      <c r="I315" s="8" t="inlineStr"/>
      <c r="J315" s="8" t="inlineStr">
        <is>
          <t>Biometric Data</t>
        </is>
      </c>
      <c r="K315" t="inlineStr"/>
      <c r="L315" s="8" t="inlineStr">
        <is>
          <t>This section defines key terms used throughout the National Identity Card Act, including biometric information, digital wallet, identity card, Minister, Mobile ID, MNIC System, NIC number, register, Registrar, and Unit. These definitions establish the scope and meaning of critical concepts for the implementation of the identity card system and related processes.</t>
        </is>
      </c>
      <c r="M315" s="8" t="inlineStr"/>
      <c r="N315" s="8" t="inlineStr">
        <is>
          <t>[Definition] biometric information
[Definition] digital wallet
[Definition] identity card
[Definition] Minister
[Definition] Mobile ID
[Definition] MNIC System
[Definition] NIC number
[Definition] register
[Definition] Registrar
[Definition] Unit</t>
        </is>
      </c>
      <c r="O315" s="8" t="inlineStr">
        <is>
          <t>2. Interpretation In this Act— "biometric information", in relation to an individual, means data about his external characteristics, including his fingerprints; "digital wallet" means a digital application issued by the National Identity Card Unit to store such digital documents as may be prescribed; "identity card" means a card issued under section 5(1); "Minister" means the Minister to whom responsiblity for the subject of civil status is assigned; "Mobile ID" means the digital identity document which the holder of an identity card may register under section 5(2B) and which is stored in the digital wallet; "MNIC System" means the hardware, software and infrastructure for the registration, personalisation, issuance and post-issuance of the identity card and Mobile ID; "NIC number" has the same meaning as in the Civil Status Act; "register" means the register kept under section 3; "Registrar" means the Registrar of Civil Status; "Unit" means the National Identity Card Unit referred to in section 2A.</t>
        </is>
      </c>
    </row>
    <row r="316">
      <c r="A316" t="inlineStr">
        <is>
          <t>Mauritius</t>
        </is>
      </c>
      <c r="B316" t="inlineStr">
        <is>
          <t>National-Identity-Card-Act-Consolidated- (Mauritius - Row 23)</t>
        </is>
      </c>
      <c r="C316" t="inlineStr">
        <is>
          <t>4</t>
        </is>
      </c>
      <c r="D316" s="8" t="inlineStr">
        <is>
          <t>Duty to be registered</t>
        </is>
      </c>
      <c r="E316" t="inlineStr">
        <is>
          <t>3–4</t>
        </is>
      </c>
      <c r="F316" t="inlineStr">
        <is>
          <t>Data Collection</t>
        </is>
      </c>
      <c r="G316" t="inlineStr">
        <is>
          <t>None</t>
        </is>
      </c>
      <c r="H316" t="inlineStr">
        <is>
          <t>High (explicit)</t>
        </is>
      </c>
      <c r="I316" s="8" t="inlineStr"/>
      <c r="J316" s="8" t="inlineStr">
        <is>
          <t>Biometric Data, Personal Information</t>
        </is>
      </c>
      <c r="K316" t="inlineStr"/>
      <c r="L316" s="8" t="inlineStr">
        <is>
          <t>This section mandates that citizens of Mauritius must apply for an identity card within six months of turning 18, with exceptions for non-residents or those with serious illnesses. Applicants must provide birth certificates, other documents, and biometric information, with medical certifications allowing exemptions for those unable to provide biometrics due to permanent disabilities.</t>
        </is>
      </c>
      <c r="M316" s="8" t="inlineStr"/>
      <c r="N316" s="8" t="inlineStr">
        <is>
          <t>[Must] Every person who is a citizen of Mauritius shall, within 6 months of attaining the age of 18 and on such form as may be prescribed, apply for an identity card at any office designated by the Head of the Unit.
[Must] Where a person is not a resident of Mauritius or is unable to comply with paragraph (a) on account of serious illness, as certified by a medical practitioner in the public service, or on any other compelling and reasonable ground, he may apply for an identity card in such manner and within such period of attaining the age of 18 as the Head of the Unit may determine.
[Must] Every person who applies for an identity card shall produce his birth certificate or his certificate of registration or naturalisation as a citizen of Mauritius, as the case may be.
[Must] Every person who applies for an identity card shall produce such other documents as the Head of the Unit may require.
[Must] Every person who applies for an identity card shall allow his fingerprints, and other biometric information about himself, to be taken and recorded.
[Must] Every person who applies for an identity card shall allow himself to be photographed, for the purpose of the identity card.
[Must Not] Subsection (2)(c) shall not apply to a person who is certified by a medical practitioner in the public service to be unable to provide his biometric information by reason of any permanent infirmity or permanent disability.</t>
        </is>
      </c>
      <c r="O316" s="8" t="inlineStr">
        <is>
          <t>4. Duty to be registered (1) (a) Subject to paragraph (b), every person who is a citizen of Mauritius shall, within 6 months of attaining the age of 18 and on such form as may be prescribed, apply for an identity card at any office designated by the Head of the Unit. (b) Where a person – (i) is not a resident of Mauritius; or (ii) is unable to comply with paragraph (a) on account of serious illness, as certified by a medical practitioner in the public service, or on any other compelling and reasonable ground, he may apply for an identity card in such manner and within such period of attaining the age of 18 as the Head of the Unit may determine. (2) Every person who applies for an identity card shall — (a) produce his birth certificate or his certificate of registration or naturalisation as a citizen of Mauritius, as the case may be; (b) produce such other documents as the Head of the Unit may require; (c) allow his fingerprints, and other biornetric information about himself, to be taken and recorded; and (d) allow himself to be photographed, for the purpose of the identity card.</t>
        </is>
      </c>
    </row>
    <row r="317">
      <c r="A317" t="inlineStr">
        <is>
          <t>Mauritius</t>
        </is>
      </c>
      <c r="B317" t="inlineStr">
        <is>
          <t>National-Identity-Card-Act-Consolidated- (Mauritius - Row 23)</t>
        </is>
      </c>
      <c r="C317" t="inlineStr">
        <is>
          <t>6</t>
        </is>
      </c>
      <c r="D317" s="8" t="inlineStr">
        <is>
          <t>Change of residence</t>
        </is>
      </c>
      <c r="E317" t="inlineStr">
        <is>
          <t>5–6</t>
        </is>
      </c>
      <c r="F317" t="inlineStr">
        <is>
          <t>Data Storage</t>
        </is>
      </c>
      <c r="G317" t="inlineStr">
        <is>
          <t>None</t>
        </is>
      </c>
      <c r="H317" t="inlineStr">
        <is>
          <t>High (explicit)</t>
        </is>
      </c>
      <c r="I317" s="8" t="inlineStr">
        <is>
          <t>Data Storage</t>
        </is>
      </c>
      <c r="J317" s="8" t="inlineStr">
        <is>
          <t>Personal Information</t>
        </is>
      </c>
      <c r="K317" t="inlineStr"/>
      <c r="L317" s="8" t="inlineStr">
        <is>
          <t>This section requires individuals who have obtained an identity card to notify the National Identity Card Unit within 28 days of changing their residence. The notification must be submitted in a prescribed form, ensuring timely updates to the identity card system.</t>
        </is>
      </c>
      <c r="M317" s="8" t="inlineStr"/>
      <c r="N317" s="8" t="inlineStr">
        <is>
          <t>[Must] Where any person issued with an identity card changes his residence, he shall, within 28 days of the occurrence, notify the change at any office designated by the Head of the Unit or in such manner as may be prescribed.
[Must] Any change of residence reported under subsection (1) shall be in such form as may be prescribed.</t>
        </is>
      </c>
      <c r="O317" s="8" t="inlineStr">
        <is>
          <t>6. Change of residence (1) Where any person issued with an identity card changes his residence, he shall, within 28 days of the occurrence, notify the change at any office designated by the Head of the Unit or in such manner as may be prescribed.</t>
        </is>
      </c>
    </row>
    <row r="318">
      <c r="A318" t="inlineStr">
        <is>
          <t>Mauritius</t>
        </is>
      </c>
      <c r="B318" t="inlineStr">
        <is>
          <t>National-Identity-Card-Act-Consolidated- (Mauritius - Row 23)</t>
        </is>
      </c>
      <c r="C318" t="inlineStr">
        <is>
          <t>11</t>
        </is>
      </c>
      <c r="D318" s="8" t="inlineStr">
        <is>
          <t>Designation of office</t>
        </is>
      </c>
      <c r="E318" t="inlineStr">
        <is>
          <t>1</t>
        </is>
      </c>
      <c r="F318" t="inlineStr">
        <is>
          <t>Definitions</t>
        </is>
      </c>
      <c r="G318" t="inlineStr">
        <is>
          <t>None</t>
        </is>
      </c>
      <c r="H318" t="inlineStr">
        <is>
          <t>High (explicit)</t>
        </is>
      </c>
      <c r="I318" s="8" t="inlineStr"/>
      <c r="J318" s="8" t="inlineStr">
        <is>
          <t>Personal Information</t>
        </is>
      </c>
      <c r="K318" t="inlineStr"/>
      <c r="L318" s="8" t="inlineStr">
        <is>
          <t>This section states that data collection and processing under the Act must comply with the Data Protection Act, establishing the legal framework for handling personal information. It ensures that all data activities are subject to privacy protections.</t>
        </is>
      </c>
      <c r="M318" s="8" t="inlineStr"/>
      <c r="N318" s="8" t="inlineStr">
        <is>
          <t>[Must] The collection and processing of personal data, including biometric information, under this Act shall be subject to the provisions of the Data Protection Act.</t>
        </is>
      </c>
      <c r="O318" s="8" t="inlineStr">
        <is>
          <t>12. Collection and processing of data to be subject to Data Protection Act The collection and processing of personal data, including biometric information, under this Act shall be subject to the provisions of the Data Protection Act.</t>
        </is>
      </c>
    </row>
    <row r="319">
      <c r="A319" t="inlineStr">
        <is>
          <t>Mauritius</t>
        </is>
      </c>
      <c r="B319" t="inlineStr">
        <is>
          <t>National-Identity-Card-Act-Consolidated- (Mauritius - Row 23)</t>
        </is>
      </c>
      <c r="C319" t="inlineStr">
        <is>
          <t>12</t>
        </is>
      </c>
      <c r="D319" s="8" t="inlineStr">
        <is>
          <t>Collection and processing of data to be subject to Data Protection Act</t>
        </is>
      </c>
      <c r="E319" t="inlineStr">
        <is>
          <t>9</t>
        </is>
      </c>
      <c r="F319" t="inlineStr">
        <is>
          <t>Data Collection</t>
        </is>
      </c>
      <c r="G319" t="inlineStr">
        <is>
          <t>None</t>
        </is>
      </c>
      <c r="H319" t="inlineStr">
        <is>
          <t>High (explicit)</t>
        </is>
      </c>
      <c r="I319" s="8" t="inlineStr"/>
      <c r="J319" s="8" t="inlineStr">
        <is>
          <t>Biometric Data, Personal Information</t>
        </is>
      </c>
      <c r="K319" t="inlineStr"/>
      <c r="L319" s="8" t="inlineStr">
        <is>
          <t>This section explicitly states that all personal data, including biometric information, collected and processed under the National Identity Card Act must comply with the Data Protection Act, ensuring that data handling adheres to privacy regulations.</t>
        </is>
      </c>
      <c r="M319" s="8" t="inlineStr"/>
      <c r="N319" s="8" t="inlineStr">
        <is>
          <t>[Must] The collection and processing of personal data, including biometric information, under this Act shall be subject to the provisions of the Data Protection Act.</t>
        </is>
      </c>
      <c r="O319" s="8" t="inlineStr">
        <is>
          <t>12. Collection and processing of data to be subject to Data Protection Act The collection and processing of personal data, including biometric information, under this Act shall be subject to the provisions of the Data Protection Act.</t>
        </is>
      </c>
    </row>
    <row r="320">
      <c r="A320" t="inlineStr">
        <is>
          <t>Mauritius</t>
        </is>
      </c>
      <c r="B320" t="inlineStr">
        <is>
          <t>code-of-business-conduct_final (Mauritius - Row 14)</t>
        </is>
      </c>
      <c r="C320" t="inlineStr">
        <is>
          <t>1</t>
        </is>
      </c>
      <c r="D320" s="8" t="inlineStr">
        <is>
          <t>SCOPE OF THE CODE</t>
        </is>
      </c>
      <c r="E320" t="inlineStr">
        <is>
          <t>2</t>
        </is>
      </c>
      <c r="F320" t="inlineStr">
        <is>
          <t>Other</t>
        </is>
      </c>
      <c r="G320" t="inlineStr">
        <is>
          <t>High</t>
        </is>
      </c>
      <c r="H320" t="inlineStr">
        <is>
          <t>High (explicit)</t>
        </is>
      </c>
      <c r="I320" s="8" t="inlineStr"/>
      <c r="J320" s="8" t="inlineStr"/>
      <c r="K320" t="inlineStr">
        <is>
          <t>Financial Services Commission (FSC)</t>
        </is>
      </c>
      <c r="L320" s="8" t="inlineStr">
        <is>
          <t>The Code of Business Conduct is part of the Fair Market Conduct Programme implemented by the Financial Services Commission (FSC). It establishes 9 Guiding Principles that define licensees' obligations for sound business conduct in the financial services sector. The Code aims to ensure sound conduct, build consumer confidence, maintain Mauritius' reputation as an international financial centre, and ensure fair treatment of consumers and the public. Licensees must adopt appropriate processes to meet these obligations based on their business model.</t>
        </is>
      </c>
      <c r="M320" s="8" t="inlineStr"/>
      <c r="N320" s="8" t="inlineStr">
        <is>
          <t>[Must] The Code of Business Conduct (the "Code") is part of the Fair Market Conduct Programme which the Financial Services Commission (the "Commission") is implementing.
[Must] The Code has 9 Guiding Principles, which set out in general terms a licensee's obligations to ensure the sound conduct of business.
[Must] The objectives of the Code are to: ensure sound conduct of business in the financial services sector; instil confidence in the financial services sector; establish standards in order to preserve and maintain the good repute of Mauritius as an international financial centre; and ensure fair treatment of consumers of financial services and the public in general.
[Must] Some of the Guiding Principles are already embedded in existing legislative provisions or market practices. The onus is on the licensee to adopt appropriate processes and procedures, in line with their business model, to meet their obligations under the Guiding Principles.</t>
        </is>
      </c>
      <c r="O320" s="8" t="inlineStr">
        <is>
          <t>The Code of Business Conduct (the "Code") is part of the Fair Market Conduct Programme which the Financial Services Commission (the "Commission") is implementing.</t>
        </is>
      </c>
    </row>
    <row r="321">
      <c r="A321" t="inlineStr">
        <is>
          <t>Mauritius</t>
        </is>
      </c>
      <c r="B321" t="inlineStr">
        <is>
          <t>code-of-business-conduct_final (Mauritius - Row 14)</t>
        </is>
      </c>
      <c r="C321" t="inlineStr">
        <is>
          <t>3</t>
        </is>
      </c>
      <c r="D321" s="8" t="inlineStr">
        <is>
          <t>EFFECTIVE DATE</t>
        </is>
      </c>
      <c r="E321" t="inlineStr">
        <is>
          <t>2–3</t>
        </is>
      </c>
      <c r="F321" t="inlineStr">
        <is>
          <t>Other</t>
        </is>
      </c>
      <c r="G321" t="inlineStr">
        <is>
          <t>High</t>
        </is>
      </c>
      <c r="H321" t="inlineStr">
        <is>
          <t>High (explicit)</t>
        </is>
      </c>
      <c r="I321" s="8" t="inlineStr"/>
      <c r="J321" s="8" t="inlineStr"/>
      <c r="K321" t="inlineStr"/>
      <c r="L321" s="8" t="inlineStr">
        <is>
          <t>The Code of Business Conduct comes into effect on 01 January 2016. This section establishes the effective date for implementation of the Code, which is a key milestone for financial institutions operating in Mauritius under the Financial Services Commission's regulatory framework.</t>
        </is>
      </c>
      <c r="M321" s="8" t="inlineStr"/>
      <c r="N321" s="8" t="inlineStr">
        <is>
          <t>[Must] The Code shall come into effect on 01 January 2016.</t>
        </is>
      </c>
      <c r="O321" s="8" t="inlineStr">
        <is>
          <t>The Code shall come into effect on 01 January 2016.</t>
        </is>
      </c>
    </row>
    <row r="322">
      <c r="A322" t="inlineStr">
        <is>
          <t>Mauritius</t>
        </is>
      </c>
      <c r="B322" t="inlineStr">
        <is>
          <t>code-of-business-conduct_final (Mauritius - Row 14)</t>
        </is>
      </c>
      <c r="C322" t="inlineStr">
        <is>
          <t>4</t>
        </is>
      </c>
      <c r="D322" s="8" t="inlineStr">
        <is>
          <t>explanatory notes have been included.</t>
        </is>
      </c>
      <c r="E322" t="inlineStr">
        <is>
          <t>3–5</t>
        </is>
      </c>
      <c r="F322" t="inlineStr">
        <is>
          <t>Other</t>
        </is>
      </c>
      <c r="G322" t="inlineStr">
        <is>
          <t>High</t>
        </is>
      </c>
      <c r="H322" t="inlineStr">
        <is>
          <t>High (explicit)</t>
        </is>
      </c>
      <c r="I322" s="8" t="inlineStr"/>
      <c r="J322" s="8" t="inlineStr"/>
      <c r="K322" t="inlineStr">
        <is>
          <t>Financial Services Commission (FSC)</t>
        </is>
      </c>
      <c r="L322" s="8" t="inlineStr">
        <is>
          <t>This section details 9 Guiding Principles for financial licensees in Mauritius, including requirements for skill and care in customer interactions, business integrity, conflict of interest management, customer communication, asset protection, compliance with regulations, financial resource adequacy, internal affairs management, and cooperative relations with the Financial Services Commission. Each principle includes specific obligations and explanatory notes on implementation.</t>
        </is>
      </c>
      <c r="M322" s="8" t="inlineStr"/>
      <c r="N322" s="8" t="inlineStr">
        <is>
          <t>[Must] Licensees must act with due skill, care and diligence towards their customers and other stakeholders.
[Must] Licensees must have in place appropriate safeguards against occurrences of behaviour that constitute a lack of due skill, care and diligence amounting to culpable negligence. These safeguards include appropriate staff training.
[Must] Licensees must apply the "fit and proper" test for their officers and persons acting on their behalf.
[Must] Licensees must observe high standards of honesty, integrity and fairness and ensure that all business transactions are carried out and recorded fairly and accurately.
[Must] This principle includes any obligation to avoid misleading and deceptive acts or representations.
[Must] Licensees must avoid situations of conflict of interests, and in case a conflict arises, licensees are required to ensure the fair treatment of all their customers.
[Must] This principle recognises that conflict of interests may be managed and that proper management to ensure fair treatment of customers may require disclosure, internal rules of confidentiality, or other appropriate methods or combinations of methods.
[Must] Licensees must seek the necessary information about their customers' individual circumstances and financial objectives.
[Must] Licensees must ensure that customers are provided with accurate, timely and comprehensible information that would enable them to make informed decisions.
[Must] This principle includes any obligation of the licensees: to know their customers and to fulfil any suitability requirements; to acquire and to provide information, including information about risks, required by the customer to make informed investment decisions; to provide timely and accurate reports to the customer about business undertaken with the customer.
[Must] Licensees must ensure that, in cases where they have control over their clients' assets, these are, at all times, properly segregated and identifiable. This includes ensuring that client's money is properly segregated.
[Must] Licensees must segregate the clients' assets which they hold from their own. The aim is to ensure that client's assets are protected from risk of loss and that they can be easily identified in case of insolvency of the licensee or the client.
[Must] Licensees must observe high standards of market conduct and must comply with all regulatory requirements applicable to the conduct of its business activities so as to promote the best interests of customers and the integrity of the market.
[Must] Licensees must ensure compliance with all applicable laws, including, but not limited to the relevant Acts, regulations, rules and guidelines issued thereunder.
[Must] Licensees must ensure that they maintain, at all times, adequate financial resources to meet their financial obligations and that they implement appropriate risk management policies in their business.
[Must] Licensees must manage their business in a responsible and sustainable manner while ensuring that adequate controls are maintained. They must also ensure that, at all times, proper systems and procedures are in place in respect of operations, record keeping, human resources, training, compliance as well as such other matters as the Commission may deem necessary.
[Must] Licensees must deal with the Commission in a co-operative manner and must comply with their disclosure obligations in a prompt manner.</t>
        </is>
      </c>
      <c r="O322" s="8" t="inlineStr">
        <is>
          <t>Licensees must act with due skill, care and diligence towards their customers and other stakeholders.</t>
        </is>
      </c>
    </row>
    <row r="323">
      <c r="A323" t="inlineStr">
        <is>
          <t>Mauritius</t>
        </is>
      </c>
      <c r="B323" t="inlineStr">
        <is>
          <t>code-of-business-conduct_final (Mauritius - Row 14)</t>
        </is>
      </c>
      <c r="C323" t="inlineStr">
        <is>
          <t>5</t>
        </is>
      </c>
      <c r="D323" s="8" t="inlineStr">
        <is>
          <t>COMPLIANCE WITH THE CODE</t>
        </is>
      </c>
      <c r="E323" t="inlineStr">
        <is>
          <t>5–6</t>
        </is>
      </c>
      <c r="F323" t="inlineStr">
        <is>
          <t>Other</t>
        </is>
      </c>
      <c r="G323" t="inlineStr">
        <is>
          <t>High</t>
        </is>
      </c>
      <c r="H323" t="inlineStr">
        <is>
          <t>High (explicit)</t>
        </is>
      </c>
      <c r="I323" s="8" t="inlineStr"/>
      <c r="J323" s="8" t="inlineStr"/>
      <c r="K323" t="inlineStr">
        <is>
          <t>Financial Services Commission (FSC)</t>
        </is>
      </c>
      <c r="L323" s="8" t="inlineStr">
        <is>
          <t>All financial licensees in Mauritius must comply with the Code of Business Conduct. The Board and other officers are responsible for setting the tone and guiding business practices to ensure employees and third parties contribute to sound business conduct. Licensees must maintain records of compliance arrangements for Commission inspection and face regulatory actions for non-compliance.</t>
        </is>
      </c>
      <c r="M323" s="8" t="inlineStr"/>
      <c r="N323" s="8" t="inlineStr">
        <is>
          <t>[Must] All licensees must comply with the Code.
[Must] The Board and other officers of licensees are responsible for setting the tone and guiding business practices in the organisation so that all employees of the licensees and other persons acting on the behalf of the licensees can contribute to sound business conduct.
[Must] Licensees must keep appropriate records of any arrangements made to comply with the Code. These records must be available for inspection by the Commission, at any time, upon request.
[Must] Non-compliance with the Code will expose the licensee to regulatory actions in accordance with the relevant Acts.</t>
        </is>
      </c>
      <c r="O323" s="8" t="inlineStr">
        <is>
          <t>All licensees must comply with the Code.</t>
        </is>
      </c>
    </row>
    <row r="324">
      <c r="A324" t="inlineStr">
        <is>
          <t>Mauritius</t>
        </is>
      </c>
      <c r="B324" t="inlineStr">
        <is>
          <t>code-of-business-conduct_final (Mauritius - Row 18)</t>
        </is>
      </c>
      <c r="C324" t="inlineStr">
        <is>
          <t>1</t>
        </is>
      </c>
      <c r="D324" s="8" t="inlineStr">
        <is>
          <t>SCOPE OF THE CODE</t>
        </is>
      </c>
      <c r="E324" t="inlineStr">
        <is>
          <t>2</t>
        </is>
      </c>
      <c r="F324" t="inlineStr">
        <is>
          <t>Other</t>
        </is>
      </c>
      <c r="G324" t="inlineStr">
        <is>
          <t>High</t>
        </is>
      </c>
      <c r="H324" t="inlineStr">
        <is>
          <t>High (explicit)</t>
        </is>
      </c>
      <c r="I324" s="8" t="inlineStr">
        <is>
          <t>Governance, Record Keeping</t>
        </is>
      </c>
      <c r="J324" s="8" t="inlineStr"/>
      <c r="K324" t="inlineStr">
        <is>
          <t>Financial Services Commission (FSC)</t>
        </is>
      </c>
      <c r="L324" s="8" t="inlineStr">
        <is>
          <t>The Code of Business Conduct is part of the Fair Market Conduct Programme implemented by the Financial Services Commission (FSC). It establishes 9 Guiding Principles that define licensees' obligations for sound business conduct in the financial services sector. The objectives include ensuring sound conduct, building consumer confidence, maintaining Mauritius' reputation as an international financial centre, and ensuring fair treatment of consumers and the public.</t>
        </is>
      </c>
      <c r="M324" s="8" t="inlineStr"/>
      <c r="N324" s="8" t="inlineStr">
        <is>
          <t>[Must] The Code of Business Conduct (the "Code") is part of the Fair Market Conduct Programme which the Financial Services Commission (the "Commission") is implementing.
[Must] The Code has 9 Guiding Principles, which set out in general terms a licensee's obligations to ensure the sound conduct of business.
[Must] The objectives of the Code are to ensure sound conduct of business in the financial services sector; instil confidence in the financial services sector; establish standards in order to preserve and maintain the good repute of Mauritius as an international financial centre; and ensure fair treatment of consumers of financial services and the public in general.
[Must] Some of the Guiding Principles are already embedded in existing legislative provisions or market practices. The onus is on the licensee to adopt appropriate processes and procedures, in line with their business model, to meet their obligations under the Guiding Principles.</t>
        </is>
      </c>
      <c r="O324" s="8" t="inlineStr">
        <is>
          <t>The Code of Business Conduct (the "Code") is part of the Fair Market Conduct Programme which the Financial Services Commission (the "Commission") is implementing.</t>
        </is>
      </c>
    </row>
    <row r="325">
      <c r="A325" t="inlineStr">
        <is>
          <t>Mauritius</t>
        </is>
      </c>
      <c r="B325" t="inlineStr">
        <is>
          <t>code-of-business-conduct_final (Mauritius - Row 18)</t>
        </is>
      </c>
      <c r="C325" t="inlineStr">
        <is>
          <t>3</t>
        </is>
      </c>
      <c r="D325" s="8" t="inlineStr">
        <is>
          <t>EFFECTIVE DATE</t>
        </is>
      </c>
      <c r="E325" t="inlineStr">
        <is>
          <t>2–3</t>
        </is>
      </c>
      <c r="F325" t="inlineStr">
        <is>
          <t>Other</t>
        </is>
      </c>
      <c r="G325" t="inlineStr">
        <is>
          <t>High</t>
        </is>
      </c>
      <c r="H325" t="inlineStr">
        <is>
          <t>High (explicit)</t>
        </is>
      </c>
      <c r="I325" s="8" t="inlineStr">
        <is>
          <t>Governance</t>
        </is>
      </c>
      <c r="J325" s="8" t="inlineStr"/>
      <c r="K325" t="inlineStr"/>
      <c r="L325" s="8" t="inlineStr">
        <is>
          <t>The Code of Business Conduct comes into effect on 01 January 2016. This section establishes the effective date for the implementation of the Code, which is a key milestone for financial institutions operating under the Fair Market Conduct Programme.</t>
        </is>
      </c>
      <c r="M325" s="8" t="inlineStr"/>
      <c r="N325" s="8" t="inlineStr">
        <is>
          <t>[Must] The Code shall come into effect on 01 January 2016.</t>
        </is>
      </c>
      <c r="O325" s="8" t="inlineStr">
        <is>
          <t>The Code shall come into effect on 01 January 2016.</t>
        </is>
      </c>
    </row>
    <row r="326">
      <c r="A326" t="inlineStr">
        <is>
          <t>Mauritius</t>
        </is>
      </c>
      <c r="B326" t="inlineStr">
        <is>
          <t>code-of-business-conduct_final (Mauritius - Row 18)</t>
        </is>
      </c>
      <c r="C326" t="inlineStr">
        <is>
          <t>4</t>
        </is>
      </c>
      <c r="D326" s="8" t="inlineStr">
        <is>
          <t>explanatory notes have been included.</t>
        </is>
      </c>
      <c r="E326" t="inlineStr">
        <is>
          <t>3–5</t>
        </is>
      </c>
      <c r="F326" t="inlineStr">
        <is>
          <t>Other</t>
        </is>
      </c>
      <c r="G326" t="inlineStr">
        <is>
          <t>High</t>
        </is>
      </c>
      <c r="H326" t="inlineStr">
        <is>
          <t>High (explicit)</t>
        </is>
      </c>
      <c r="I326" s="8" t="inlineStr">
        <is>
          <t>Customer Information, Record Keeping</t>
        </is>
      </c>
      <c r="J326" s="8" t="inlineStr"/>
      <c r="K326" t="inlineStr">
        <is>
          <t>Financial Services Commission (FSC)</t>
        </is>
      </c>
      <c r="L326" s="8" t="inlineStr">
        <is>
          <t>This section details 9 Guiding Principles for financial licensees, including requirements for skill and care in customer interactions, business integrity, conflict of interest management, customer communication, asset protection, compliance with regulations, financial resource management, internal affairs, and cooperation with the Financial Services Commission. Each principle includes specific obligations and explanatory notes.</t>
        </is>
      </c>
      <c r="M326" s="8" t="inlineStr"/>
      <c r="N326" s="8" t="inlineStr">
        <is>
          <t>[Must] Licensees must act with due skill, care and diligence towards their customers and other stakeholders.
[Must] Licensees must have in place appropriate safeguards against occurrences of behaviour that constitute a lack of due skill, care and diligence amounting to culpable negligence. These safeguards include appropriate staff training.
[Must] Licensees must apply the "fit and proper" test for their officers and persons acting on their behalf.
[Must] Licensees must observe high standards of honesty, integrity and fairness and ensure that all business transactions are carried out and recorded fairly and accurately.
[Must] This principle includes any obligation to avoid misleading and deceptive acts or representations.
[Must] Licensees must avoid situations of conflict of interests, and in case a conflict arises, licensees are required to ensure the fair treatment of all their customers.
[Must] This principle recognises that conflict of interests may be managed and that proper management to ensure fair treatment of customers may require disclosure, internal rules of confidentiality, or other appropriate methods or combinations of methods.
[Must] Licensees must seek the necessary information about their customers' individual circumstances and financial objectives.
[Must] Licensees must ensure that customers are provided with accurate, timely and comprehensible information that would enable them to make informed decisions.
[Must] This principle includes any obligation of the licensees: to know their customers and to fulfil any suitability requirements; to acquire and to provide information, including information about risks, required by the customer to make informed investment decisions; to provide timely and accurate reports to the customer about business undertaken with the customer.
[Must] Licensees must ensure that, in cases where they have control over their clients' assets, these are, at all times, properly segregated and identifiable. This includes ensuring that client's money is properly segregated.
[Must] Licensees must segregate the clients' assets which they hold from their own. The aim is to ensure that client's assets are protected from risk of loss and that they can be easily identified in case of insolvency of the licensee or the client.
[Must] Licensees must observe high standards of market conduct and must comply with all regulatory requirements applicable to the conduct of its business activities so as to promote the best interests of customers and the integrity of the market.
[Must] Licensees must ensure compliance with all applicable laws, including, but not limited to the relevant Acts, regulations, rules and guidelines issued thereunder.
[Must] Licensees must ensure that they maintain, at all times, adequate financial resources to meet their financial obligations and that they implement appropriate risk management policies in their business.
[Must] Licensees must manage their business in a responsible and sustainable manner while ensuring that adequate controls are maintained. They must also ensure that, at all times, proper systems and procedures are in place in respect of operations, record keeping, human resources, training, compliance as well as such other matters as the Commission may deem necessary.
[Must] Licensees must deal with the Commission in a co-operative manner and must comply with their disclosure obligations in a prompt manner.</t>
        </is>
      </c>
      <c r="O326" s="8" t="inlineStr">
        <is>
          <t>Licensees must act with due skill, care and diligence towards their customers and other stakeholders.</t>
        </is>
      </c>
    </row>
    <row r="327">
      <c r="A327" t="inlineStr">
        <is>
          <t>Mauritius</t>
        </is>
      </c>
      <c r="B327" t="inlineStr">
        <is>
          <t>code-of-business-conduct_final (Mauritius - Row 18)</t>
        </is>
      </c>
      <c r="C327" t="inlineStr">
        <is>
          <t>5</t>
        </is>
      </c>
      <c r="D327" s="8" t="inlineStr">
        <is>
          <t>COMPLIANCE WITH THE CODE</t>
        </is>
      </c>
      <c r="E327" t="inlineStr">
        <is>
          <t>5–6</t>
        </is>
      </c>
      <c r="F327" t="inlineStr">
        <is>
          <t>Other</t>
        </is>
      </c>
      <c r="G327" t="inlineStr">
        <is>
          <t>High</t>
        </is>
      </c>
      <c r="H327" t="inlineStr">
        <is>
          <t>High (explicit)</t>
        </is>
      </c>
      <c r="I327" s="8" t="inlineStr">
        <is>
          <t>Record Keeping</t>
        </is>
      </c>
      <c r="J327" s="8" t="inlineStr"/>
      <c r="K327" t="inlineStr">
        <is>
          <t>Financial Services Commission (FSC)</t>
        </is>
      </c>
      <c r="L327" s="8" t="inlineStr">
        <is>
          <t>All financial licensees must comply with the Code of Business Conduct. The Board and other officers are responsible for setting the tone and guiding business practices to ensure employees and third parties contribute to sound business conduct. Licensees must maintain records of compliance arrangements for Commission inspection, and non-compliance may result in regulatory actions under relevant Acts.</t>
        </is>
      </c>
      <c r="M327" s="8" t="inlineStr"/>
      <c r="N327" s="8" t="inlineStr">
        <is>
          <t>[Must] All licensees must comply with the Code.
[Must] The Board and other officers of licensees are responsible for setting the tone and guiding business practices in the organisation so that all employees of the licensees and other persons acting on the behalf of the licensees can contribute to sound business conduct.
[Must] Licensees must keep appropriate records of any arrangements made to comply with the Code. These records must be available for inspection by the Commission, at any time, upon request.
[Must] Non-compliance with the Code will expose the licensee to regulatory actions in accordance with the relevant Acts.</t>
        </is>
      </c>
      <c r="O327" s="8" t="inlineStr">
        <is>
          <t>All licensees must comply with the Code.</t>
        </is>
      </c>
    </row>
    <row r="328">
      <c r="A328" t="inlineStr">
        <is>
          <t>Mauritius</t>
        </is>
      </c>
      <c r="B328" t="inlineStr">
        <is>
          <t>guidelines_on_outsourcing_by_financial_institutions (Mauritius - Row 3)</t>
        </is>
      </c>
      <c r="C328" t="inlineStr">
        <is>
          <t>4</t>
        </is>
      </c>
      <c r="D328" s="8" t="inlineStr"/>
      <c r="E328" t="inlineStr">
        <is>
          <t>2–11</t>
        </is>
      </c>
      <c r="F328" t="inlineStr">
        <is>
          <t>Other</t>
        </is>
      </c>
      <c r="G328" t="inlineStr">
        <is>
          <t>High</t>
        </is>
      </c>
      <c r="H328" t="inlineStr">
        <is>
          <t>Medium (merged from chunks)</t>
        </is>
      </c>
      <c r="I328" s="8" t="inlineStr">
        <is>
          <t>Outsourcing, Cross-border Transfer, Security</t>
        </is>
      </c>
      <c r="J328" s="8" t="inlineStr">
        <is>
          <t>Financial Data</t>
        </is>
      </c>
      <c r="K328" t="inlineStr">
        <is>
          <t>Bank of Mauritius</t>
        </is>
      </c>
      <c r="L328" s="8" t="inlineStr">
        <is>
          <t>This section establishes a regulatory framework for financial institutions in Mauritius to manage outsourcing risks. It defines outsourcing as engaging third-party service providers for ongoing activities that would normally be handled internally, emphasizing the need for a risk management framework to mitigate risks such as financial instability and regulatory gaps. The framework requires institutions to classify activities into material, non-material, and core categories, with material activities needing Bank authorization. Financial institutions must develop comprehensive policies, conduct due diligence, and ensure board oversight to address risks associated with outsourcing. Financial institutions must establish formal written contracts for outsourcing activities, clearly defining rights and responsibilities. Contracts must not impede the Bank's supervisory powers, allow on-site inspections, and include clauses for prior Bank approval of subcontracting material activities. The Bank may require modifications or termination of arrangements for customer or stakeholder protection. [extraction failed: model output unparseable]</t>
        </is>
      </c>
      <c r="M328" s="8" t="inlineStr">
        <is>
          <t>This section mandates that financial institutions implement robust risk management for outsourcing, requiring classification of activities, due diligence on service providers, and contractual safeguards to ensure regulatory compliance and operational stability. It directly impacts DTIAs by necessitating assessments of cross-border outsourcing risks and service provider vetting. Outsourcing contracts must include specific safeguards for regulatory oversight, on-site access, and Bank approval for material activities to ensure compliance with cross-border data and operational risks.</t>
        </is>
      </c>
      <c r="N328" s="8" t="inlineStr">
        <is>
          <t>[Must] Prior to outsourcing any activity, a financial institution should establish a comprehensive policy on outsourcing that guides assessment of whether and how an activity should be outsourced.
[Must] The board of directors and senior management must ensure an effective risk management system on outsourcing, including approving outsourcing policies, assessing strategies, and reviewing material outsourcing activities annually.
[Must] Financial institutions must carry out stringent due diligence in selecting service providers, including assessing experience, reputation, financial soundness, internal controls, and business continuity management.
[Must] Outsourcing arrangements must be governed by formal written contracts that clearly define rights and responsibilities and allow for on-site inspections by the Bank.
[Must] Outsourcing arrangements between financial institutions and service providers should be governed by formal and comprehensive written contracts.
[Must] Contracts should clearly spell out the rights and responsibilities of each party, taking into consideration the specificities and materiality of the outsourcing activities.
[Must Not] The agreement should not consist of clauses that would hinder the Bank from exercising its supervisory powers.
[Must] The Bank should have the same right of access to information with the service provider as it has with the financial institutions having undertaken the outsourcing.
[Must] The contract should explicitly allow for on-site visits and unhindered inspections of the outsourced activities by the financial institutions and the Bank.
[Must] The cost of on-site examinations shall be borne by financial institutions.
[Must] The agreement should consist of a clause for seeking the prior approval of the Bank in the event of sub-contracting of material activities which have been outsourced by a financial institution to any other entity.</t>
        </is>
      </c>
      <c r="O328" s="8" t="inlineStr">
        <is>
          <t>This Guideline is issued under the authority of section 50 of the Bank of Mauritius Act 2004 and section 100 of the Banking Act 2004.</t>
        </is>
      </c>
    </row>
    <row r="329">
      <c r="A329" t="inlineStr">
        <is>
          <t>Mauritius</t>
        </is>
      </c>
      <c r="B329" t="inlineStr">
        <is>
          <t>guidelines_on_outsourcing_by_financial_institutions (Mauritius - Row 3)</t>
        </is>
      </c>
      <c r="C329" t="inlineStr">
        <is>
          <t>5</t>
        </is>
      </c>
      <c r="D329" s="8" t="inlineStr"/>
      <c r="E329" t="inlineStr">
        <is>
          <t>11</t>
        </is>
      </c>
      <c r="F329" t="inlineStr">
        <is>
          <t>Other</t>
        </is>
      </c>
      <c r="G329" t="inlineStr">
        <is>
          <t>High</t>
        </is>
      </c>
      <c r="H329" t="inlineStr">
        <is>
          <t>High (explicit)</t>
        </is>
      </c>
      <c r="I329" s="8" t="inlineStr">
        <is>
          <t>Outsourcing</t>
        </is>
      </c>
      <c r="J329" s="8" t="inlineStr">
        <is>
          <t>Financial Data</t>
        </is>
      </c>
      <c r="K329" t="inlineStr">
        <is>
          <t>Bank of Mauritius</t>
        </is>
      </c>
      <c r="L329" s="8" t="inlineStr">
        <is>
          <t>Financial institutions must have their external auditors review and attest the adequacy of their outsourcing policies and processes. Auditors must immediately report any material weaknesses or irregularities to the Bank of Mauritius that could impact the financial institution's well-being or create operational risks.</t>
        </is>
      </c>
      <c r="M329" s="8" t="inlineStr">
        <is>
          <t>This section requires external audit verification of outsourcing compliance, which is critical for DTIAs to ensure robust oversight of third-party service providers and timely risk reporting to regulators.</t>
        </is>
      </c>
      <c r="N329" s="8" t="inlineStr">
        <is>
          <t>[Must] The external auditor should review and attest the adequacy of the policies and processes put in place by financial institutions for outsourcing activities.
[Must] They should immediately inform the Bank of any material weaknesses or irregularities that, in their opinion, might affect the well-being of the financial institution or have additional operational risk implications.</t>
        </is>
      </c>
      <c r="O329" s="8" t="inlineStr">
        <is>
          <t>5.1 The external auditor should review and attest the adequacy of the policies and processes put in place by financial institutions for outsourcing activities. They should immediately inform the Bank of any material weaknesses or irregularities that, in their opinion, might affect the well-being of the financial institution or have additional operational risk implications.</t>
        </is>
      </c>
    </row>
    <row r="330">
      <c r="A330" t="inlineStr">
        <is>
          <t>Mauritius</t>
        </is>
      </c>
      <c r="B330" t="inlineStr">
        <is>
          <t>guidelines_on_outsourcing_by_financial_institutions (Mauritius - Row 3)</t>
        </is>
      </c>
      <c r="C330" t="inlineStr">
        <is>
          <t>6</t>
        </is>
      </c>
      <c r="D330" s="8" t="inlineStr"/>
      <c r="E330" t="inlineStr">
        <is>
          <t>11</t>
        </is>
      </c>
      <c r="F330" t="inlineStr">
        <is>
          <t>Other</t>
        </is>
      </c>
      <c r="G330" t="inlineStr">
        <is>
          <t>None</t>
        </is>
      </c>
      <c r="H330" t="inlineStr">
        <is>
          <t>High (explicit)</t>
        </is>
      </c>
      <c r="I330" s="8" t="inlineStr"/>
      <c r="J330" s="8" t="inlineStr"/>
      <c r="K330" t="inlineStr"/>
      <c r="L330" s="8" t="inlineStr">
        <is>
          <t>This section states that the Guideline on Outsourcing by Financial Institutions supersedes section 12 of the Guideline on Internet Banking, which previously addressed outsourcing of banks' Internet banking activities.</t>
        </is>
      </c>
      <c r="M330" s="8" t="inlineStr"/>
      <c r="N330" s="8" t="inlineStr">
        <is>
          <t>[Information] In February 2001, the Bank issued to all banks a guideline entitled ‘Guideline on Internet Banking'. The guideline deals with issues relating to Internet banking and section 12 thereof deals exclusively with outsourcing of banks' Internet banking activity.
[Supersession] This Guideline on Outsourcing by Financial Institutions covers broadly the outsourcing-related issues. As such, it supersedes section 12 of the Guideline on Internet Banking.</t>
        </is>
      </c>
      <c r="O330" s="8" t="inlineStr">
        <is>
          <t>6.1 In February 2001, the Bank issued to all banks a guideline entitled ‘Guideline on Internet Banking'. The guideline deals with issues relating to Internet banking and section 12 thereof deals exclusively with outsourcing of banks' Internet banking activity. This Guideline on Outsourcing by Financial Institutions covers broadly the outsourcing-related issues. As such, it supersedes section 12 of the Guideline on Internet Banking.</t>
        </is>
      </c>
    </row>
    <row r="331">
      <c r="A331" t="inlineStr">
        <is>
          <t>Mauritius</t>
        </is>
      </c>
      <c r="B331" t="inlineStr">
        <is>
          <t>guidelines_on_outsourcing_by_financial_institutions (Mauritius - Row 3)</t>
        </is>
      </c>
      <c r="C331" t="inlineStr">
        <is>
          <t>7</t>
        </is>
      </c>
      <c r="D331" s="8" t="inlineStr"/>
      <c r="E331" t="inlineStr">
        <is>
          <t>11–14</t>
        </is>
      </c>
      <c r="F331" t="inlineStr">
        <is>
          <t>Other</t>
        </is>
      </c>
      <c r="G331" t="inlineStr">
        <is>
          <t>High</t>
        </is>
      </c>
      <c r="H331" t="inlineStr">
        <is>
          <t>High (explicit)</t>
        </is>
      </c>
      <c r="I331" s="8" t="inlineStr">
        <is>
          <t>Outsourcing</t>
        </is>
      </c>
      <c r="J331" s="8" t="inlineStr">
        <is>
          <t>Financial Data</t>
        </is>
      </c>
      <c r="K331" t="inlineStr">
        <is>
          <t>Bank of Mauritius</t>
        </is>
      </c>
      <c r="L331" s="8" t="inlineStr">
        <is>
          <t>Financial institutions must seek prior authorization from the Bank of Mauritius before entering into material outsourcing arrangements. They must assess existing outsourcing activities against this Guideline, report compliance status within four months, and immediately notify the Bank of any adverse developments affecting their businesses.</t>
        </is>
      </c>
      <c r="M331" s="8" t="inlineStr">
        <is>
          <t>This section mandates pre-authorization and timely reporting for material outsourcing, which is essential for DTIAs to evaluate regulatory alignment and risk mitigation in cross-border outsourcing scenarios.</t>
        </is>
      </c>
      <c r="N331" s="8" t="inlineStr">
        <is>
          <t>[Must] This Guideline is applicable to all financial institutions falling under the regulatory purview of the Bank.
[Must] Financial institutions should conduct an assessment of all their existing outsourcing arrangements against this Guideline. Where the outsourcing is considered material, financial institutions should inform the Bank in writing as to the level of compliance with the Guideline and report weaknesses, if any. They should also submit a plan and timeframe on how such weaknesses would be rectified. This should be done within 4 months from the effective date of this Guideline.
[Must] Financial institutions should inform the Bank immediately, of any adverse development arising from any outsourcing arrangement that could significantly affect their businesses.</t>
        </is>
      </c>
      <c r="O331" s="8" t="inlineStr">
        <is>
          <t>7.1 This Guideline is applicable to all financial institutions falling under the regulatory purview of the Bank. It needs to be emphasized, as mentioned in section 4.1.3, that financial institutions should seek prior authorization of the Bank before entering into material outsourcing.</t>
        </is>
      </c>
    </row>
    <row r="332">
      <c r="A332" t="inlineStr">
        <is>
          <t>Nigeria</t>
        </is>
      </c>
      <c r="B332" t="inlineStr">
        <is>
          <t>NCCPolicy_New1 (Nigeria - Row 21)</t>
        </is>
      </c>
      <c r="C332" t="inlineStr">
        <is>
          <t>23</t>
        </is>
      </c>
      <c r="D332" s="8" t="inlineStr">
        <is>
          <t>KEY REGULATORY INSTRUMENTS FOR THE ACTUALIZATION OF CLOUD</t>
        </is>
      </c>
      <c r="E332" t="inlineStr">
        <is>
          <t>2</t>
        </is>
      </c>
      <c r="F332" t="inlineStr">
        <is>
          <t>Cloud Services</t>
        </is>
      </c>
      <c r="G332" t="inlineStr">
        <is>
          <t>Medium</t>
        </is>
      </c>
      <c r="H332" t="inlineStr">
        <is>
          <t>High (explicit)</t>
        </is>
      </c>
      <c r="I332" s="8" t="inlineStr">
        <is>
          <t>Cloud Services</t>
        </is>
      </c>
      <c r="J332" s="8" t="inlineStr">
        <is>
          <t>Personal Information</t>
        </is>
      </c>
      <c r="K332" t="inlineStr"/>
      <c r="L332" s="8" t="inlineStr">
        <is>
          <t>This section identifies key regulatory instruments necessary for cloud service implementation. It establishes that cloud services require specific regulatory frameworks to ensure compliance with data protection and security standards. The section applies to entities utilizing cloud services for data processing activities.</t>
        </is>
      </c>
      <c r="M332" s="8" t="inlineStr">
        <is>
          <t>This section highlights the need for regulatory alignment when implementing cloud services, which is critical for data transfer impact assessments involving cross-border cloud data processing.</t>
        </is>
      </c>
      <c r="N332" s="8" t="inlineStr">
        <is>
          <t>[Definition] KEY REGULATORY INSTRUMENTS FOR THE ACTUALIZATION OF CLOUD</t>
        </is>
      </c>
      <c r="O332" s="8" t="inlineStr">
        <is>
          <t>KEY REGULATORY INSTRUMENTS FOR THE ACTUALIZATION OF CLOUD 23.0</t>
        </is>
      </c>
    </row>
    <row r="333">
      <c r="A333" t="inlineStr">
        <is>
          <t>Nigeria</t>
        </is>
      </c>
      <c r="B333" t="inlineStr">
        <is>
          <t>NCCPolicy_New1 (Nigeria - Row 21)</t>
        </is>
      </c>
      <c r="C333" t="inlineStr">
        <is>
          <t>24</t>
        </is>
      </c>
      <c r="D333" s="8" t="inlineStr"/>
      <c r="E333" t="inlineStr">
        <is>
          <t>2–33</t>
        </is>
      </c>
      <c r="F333" t="inlineStr">
        <is>
          <t>Cloud Services</t>
        </is>
      </c>
      <c r="G333" t="inlineStr">
        <is>
          <t>High</t>
        </is>
      </c>
      <c r="H333" t="inlineStr">
        <is>
          <t>Medium (merged from chunks)</t>
        </is>
      </c>
      <c r="I333" s="8" t="inlineStr">
        <is>
          <t>Cloud Services, Data Storage, Financial Data, Security, Governance</t>
        </is>
      </c>
      <c r="J333" s="8" t="inlineStr">
        <is>
          <t>Personal Information, Financial Data, Special Personal Information</t>
        </is>
      </c>
      <c r="K333" t="inlineStr">
        <is>
          <t>NITDA</t>
        </is>
      </c>
      <c r="L333" s="8" t="inlineStr">
        <is>
          <t>This section defines key terms relevant to cloud computing adoption in Nigeria, including Small Medium Enterprises (SMEs), Public Institutions, Federal Public Institutions, Cloud Computing, Cloud First Policy, Government Data, Federal Open Data Initiative, Cloud Migration, Cloud Adoption, Artificial Intelligence, Machine Learning, Internet of Things, Virtualization, Encryption, On-premise, Cloud Service Providers, Cloud Consulting Service Providers, Virtual Machines, and Vendor lock-in. These definitions establish the terminology framework for implementing cloud solutions within Nigerian public institutions and SMEs. This section outlines a policy goal to increase cloud computing adoption by 30% among Federal Public Institutions (FPIs) and SMEs providing government services by 2024, with a target of 35% growth in cloud investments. It mandates prioritizing cloud-based ICT procurement for infrastructure, hardware, software, security, and data services across government entities, while ensuring migration to cloud solutions aligns with cost reduction, efficiency gains, and digital transformation objectives. This section outlines the policy framework for cloud computing services in Nig</t>
        </is>
      </c>
      <c r="M333" s="8" t="inlineStr">
        <is>
          <t xml:space="preserve">These definitions clarify the scope of data and services that may be transferred or processed in cloud environments, but do not impose specific transfer restrictions or requirements for Data Transfer Impact Assessments. This section establishes a requirement for public-sector entities to prioritize cloud-based ICT procurement, which impacts Data Transfer Impact Assessments by mandating cross-border cloud service considerations for government data handling and international cloud provider selection. This section directly impacts Data Transfer Impact Assessments by requiring public institutions </t>
        </is>
      </c>
      <c r="N333" s="8" t="inlineStr">
        <is>
          <t>[Definition] Small Medium and Enterprises (SMEs): refers to enterprises which have an annual turnover not exceeding Five Hundred Thousand Naira (N500,000).
[Definition] Public Institutions (PIs): means Ministries, Departments, Extra-Ministerial Departments and Agencies of Government at Federal, State and Area Council levels.
[Definition] Federal Public Institutions (FPIs): means Ministries, Departments, Extra-Ministerial Departments and Agencies of Government at the Federal level.
[Definition] Cloud Computing: refers to computing model for ubiquitous, convenient, on-demand and real time network access pool of configurable and rapidly provisioned computing resources (networks, servers, storage, applications and services among others) required by and available to FPIs and SMEs to carry out their businesses and operations.
[Definition] Cloud First Policy: refers to the Federal Government of Nigeria's strong commitment and support for cloud computing service adoption, especially from a local cloud service providers, as a first choice consideration while deploying and accessing computing resources in the public sector and by the SMEs that provide computing services to the public sector.
[Definition] Government Data: Data produced or commissioned by government or government controlled entities.
[Definition] Federal Open Data Initiative: refers to an initiative of the Federal Government through the Federal Ministry of Communications (FMC) aimed at ensuring substantial amount of public and non-sensitive data is released and used through digital platforms for the creation of innovative digital services that promote the country's social-economic development.
[Definition] Cloud Migration: refers to the process of moving data, applications, hardware, software, network infrastructure and/or other business elements and services to a cloud computing environment.
[Definition] Cloud Adoption: refers to the process or strategy that provides incentives for the public institutions and SMEs to use the cloud computing for their computing requirements in way that is efficient and sustainable.
[Definition] Artificial Intelligence (AI): connotes the creation of intelligent objects that work and react like humans to carry out certain tasks meant for intelligent beings without human intervention.
[Definition] Machine Learning (ML): connotes algorithm and programming that provides AI the ability to detect patterns in the data presented by smart systems, so as to learn from these patterns and improve actions from experience without human intervention
[Definition] Internet of Things (IoTs): refers to the combination of concepts and technologies for embedding computer systems and the internet into all the artifacts/physical things in the real world in order to automatically collect, communicate and exchange data with one another through digital platforms.
[Definition] Virtualization: refers to the concepts and technologies that allow creation of a virtual version of a device or resource, such as server, storage device, network or operating system through a framework that divides the resource into one or more execution environments
[Definition] Encryption: refers to a process of converting data or information into a code to prevent unauthorised access by human and/or computer systems.
[Definition] On-premise: refers to computer systems that are located within the physical confines of Federal Public Institutions and SMEs in Nigeria.
[Definition] Cloud Service Providers (CSPs): refer to local and/or international cloud computing service providers rendering service to FPIs and SMEs in Nigeria.
[Definition] Cloud Consulting Service Providers (CCSP): refer to local cloud computing company or individual professional proving cloud computing consulting services to FPIs and SMEs in Nigeria.
[Definition] Virtual Machine: refers to a software program or operating system that exhibits the behaviour of a separate computer and capable of performing tasks such as running applications and programs.
[Definition] Vendor lock-in: refers to a situation in which FPI or SME using the cloud product or service of a cloud service provider cannot easily transition to competitor's cloud product or service.
[Must] Public-sector entities shall prioritize procurement of cloud-based information and communication technologies (ICTs) whenever possible.
[Must] The policy targets 30% increase in cloud adoption and migration by FPIs and SMEs providing government services by 2024.
[Must] The policy aims to create an enabling environment for 35% growth in cloud computing investments by 2024.
[Must] Public sector agencies must ensure IT services have high levels of uptime and availability to avoid operational delays.
[Should] Public institutions should move routine IT tasks to cloud service providers to retrain staff for value-adding skills.
[Must] Cloud service providers must comply with NITDA and BPP certification criteria for inclusion in the Digital Marketplace.
[Must] Agencies must consider data sovereignty and access when procuring cloud services to ensure data is stored in jurisdictions with equivalent data protection standards to Nigeria.
[Must] Data classification must be applied to determine sensitivity levels and appropriate cloud storage locations for different data types.
[Must] Sensitive government and citizen data must reside primarily in a cloud framework within the Nigerian territorial boundary.
[Must] Sensitive data shall be moved to cloud solutions that meet policies and legal requirements for sensitivity, including encryption of information at rest and in motion, strong user authentication, and information security awareness training.
[Must] Classified or national security information must reside only on-premise of public institutions or collocated or in a cloud within the Nigerian territorial boundary.
[Must] This policy shall take effect upon its publication.
[Condition] After that, it will be subject to a biannual review or as the need arises.
[Must] NITDA shall issue further guidance on the evaluation process and timeframe to make changes and updates.</t>
        </is>
      </c>
      <c r="O333" s="8" t="inlineStr">
        <is>
          <t>Small Medium and Enterprises (SMEs): refers to enterprises which have an annual turnover not exceeding Five Hundred Thousand Naira (N500,000).</t>
        </is>
      </c>
    </row>
    <row r="334">
      <c r="A334" t="inlineStr">
        <is>
          <t>Nigeria</t>
        </is>
      </c>
      <c r="B334" t="inlineStr">
        <is>
          <t>NCCPolicy_New1 (Nigeria - Row 23)</t>
        </is>
      </c>
      <c r="C334" t="inlineStr">
        <is>
          <t>23</t>
        </is>
      </c>
      <c r="D334" s="8" t="inlineStr">
        <is>
          <t>KEY REGULATORY INSTRUMENTS FOR THE ACTUALIZATION OF CLOUD</t>
        </is>
      </c>
      <c r="E334" t="inlineStr">
        <is>
          <t>2</t>
        </is>
      </c>
      <c r="F334" t="inlineStr">
        <is>
          <t>Cloud Services</t>
        </is>
      </c>
      <c r="G334" t="inlineStr">
        <is>
          <t>Medium</t>
        </is>
      </c>
      <c r="H334" t="inlineStr">
        <is>
          <t>High (explicit)</t>
        </is>
      </c>
      <c r="I334" s="8" t="inlineStr">
        <is>
          <t>Cloud Services</t>
        </is>
      </c>
      <c r="J334" s="8" t="inlineStr">
        <is>
          <t>Personal Information</t>
        </is>
      </c>
      <c r="K334" t="inlineStr"/>
      <c r="L334" s="8" t="inlineStr">
        <is>
          <t>This section identifies key regulatory instruments necessary for cloud service implementation. It establishes that cloud services require specific regulatory frameworks to ensure compliance with data protection and security standards. The section focuses on the legal mechanisms that must be in place to operationalize cloud services within the Nigerian regulatory environment.</t>
        </is>
      </c>
      <c r="M334" s="8" t="inlineStr">
        <is>
          <t>This section matters for DTIAs as it highlights the need for regulatory instruments to support cloud service operations, implying that data transfers to cloud providers must align with established regulatory frameworks.</t>
        </is>
      </c>
      <c r="N334" s="8" t="inlineStr">
        <is>
          <t>[Definition] KEY REGULATORY INSTRUMENTS FOR THE ACTUALIZATION OF CLOUD</t>
        </is>
      </c>
      <c r="O334" s="8" t="inlineStr">
        <is>
          <t>KEY REGULATORY INSTR: FOR THE ACTUALIZATION OF CLOUD 23.0</t>
        </is>
      </c>
    </row>
    <row r="335">
      <c r="A335" t="inlineStr">
        <is>
          <t>Nigeria</t>
        </is>
      </c>
      <c r="B335" t="inlineStr">
        <is>
          <t>NCCPolicy_New1 (Nigeria - Row 23)</t>
        </is>
      </c>
      <c r="C335" t="inlineStr">
        <is>
          <t>24</t>
        </is>
      </c>
      <c r="D335" s="8" t="inlineStr"/>
      <c r="E335" t="inlineStr">
        <is>
          <t>2–33</t>
        </is>
      </c>
      <c r="F335" t="inlineStr">
        <is>
          <t>Cloud Services</t>
        </is>
      </c>
      <c r="G335" t="inlineStr">
        <is>
          <t>High</t>
        </is>
      </c>
      <c r="H335" t="inlineStr">
        <is>
          <t>Medium (merged from chunks)</t>
        </is>
      </c>
      <c r="I335" s="8" t="inlineStr">
        <is>
          <t>Cloud Services, Data Storage, Security, Governance</t>
        </is>
      </c>
      <c r="J335" s="8" t="inlineStr">
        <is>
          <t>Personal Information, Financial Data, Customer Data, Special Personal Information</t>
        </is>
      </c>
      <c r="K335" t="inlineStr">
        <is>
          <t>NITDA</t>
        </is>
      </c>
      <c r="L335" s="8" t="inlineStr">
        <is>
          <t xml:space="preserve">This section defines key terms relevant to cloud computing adoption in Nigeria, including Small Medium Enterprises (SMEs), Public Institutions, Federal Public Institutions, Cloud Computing, Cloud First Policy, Government Data, Federal Open Data Initiative, Cloud Migration, Cloud Adoption, Artificial Intelligence, Machine Learning, Internet of Things, Virtualization, Encryption, On-premise, Cloud Service Providers, Cloud Consulting Service Providers, Virtual Machines, and Vendor lock-in. These definitions establish the terminology framework for implementing cloud solutions within Nigerian public institutions and SMEs. This policy aims to increase cloud computing adoption by 30% among Federal Public Institutions (FPIs) and SMEs providing government services by 2024, while targeting 35% growth in cloud investments. It mandates prioritizing cloud-based ICT procurement for government entities to reduce costs, eliminate duplication, and improve service delivery. The policy also encourages SMEs to adopt cloud solutions to enhance their capacity to provide secure services to the government. This section outlines the policy framework for cloud computing services in Nigeria, detailing three </t>
        </is>
      </c>
      <c r="M335" s="8" t="inlineStr">
        <is>
          <t xml:space="preserve">These definitions clarify the scope of data and services that may be transferred or processed in cloud environments, but do not impose specific transfer restrictions or requirements for Data Transfer Impact Assessments. This section establishes a policy framework for cloud adoption but does not impose specific data transfer or processing requirements that would necessitate a Data Transfer Impact Assessment. It focuses on procurement and infrastructure shifts without addressing cross-border data flows or international transfers. This section is critical for DTIAs as it establishes requirements </t>
        </is>
      </c>
      <c r="N335" s="8" t="inlineStr">
        <is>
          <t>[Definition] Small Medium and Enterprises (SMEs): refers to enterprises which have an annual turnover not exceeding Five Hundred Thousand Naira (N500,000).
[Definition] Public Institutions (PIs): means Ministries, Departments, Extra-Ministerial Departments and Agencies of Government at Federal, State and Area Council levels.
[Definition] Federal Public Institutions (FPIs): means Ministries, Departments, Extra-Ministerial Departments and Agencies of Government at the Federal level.
[Definition] Cloud Computing: refers to computing model for ubiquitous, convenient, on-demand and real time network access pool of configurable and rapidly provisioned computing resources (networks, servers, storage, applications and services among others) required by and available to FPIs and SMEs to carry out their businesses and operations.
[Definition] Cloud First Policy: refers to the Federal Government of Nigeria's strong commitment and support for cloud computing service adoption, especially from a local cloud service providers, as a first choice consideration while deploying and accessing computing resources in the public sector and by the SMEs that provide computing services to the public sector.
[Definition] Government Data: Data produced or commissioned by government or government controlled entities.
[Definition] Federal Open Data Initiative: refers to an initiative of the Federal Government through the Federal Ministry of Communications (FMC) aimed at ensuring substantial amount of public and non-sensitive data is released and used through digital platforms for the creation of innovative digital services that promote the country's social-economic development.
[Definition] Cloud Migration: refers to the process of moving data, applications, hardware, software, network infrastructure and/or other business elements and services to a cloud computing environment.
[Definition] Cloud Adoption: refers to the process or strategy that provides incentives for the public institutions and SMEs to use the cloud computing for their computing requirements in way that is efficient and sustainable.
[Definition] Artificial Intelligence (AI): connotes the creation of intelligent objects that work and react like humans to carry out certain tasks meant for intelligent beings without human intervention.
[Definition] Machine Learning (ML): connotes algorithm and programming that provides AI the ability to detect patterns in the data presented by smart systems, so as to learn from these patterns and improve actions from experience without human intervention
[Definition] Internet of Things (IoTs): refers to the combination of concepts and technologies for embedding computer systems and the internet into all the artifacts/physical things in the real world in order to automatically collect, communicate and exchange data with one another through digital platforms.
[Definition] Virtualization: refers to the concepts and technologies that allow creation of a virtual version of a device or resource, such as server, storage device, network or operating system through a framework that divides the resource into one or more execution environments
[Definition] Encryption: refers to a process of converting data or information into a code to prevent unauthorised access by human and/or computer systems.
[Definition] On-premise: refers to computer systems that are located within the physical confines of Federal Public Institutions and SMEs in Nigeria.
[Definition] Cloud Service Providers (CSPs): refer to local and/or international cloud computing service providers rendering service to FPIs and SMEs in Nigeria.
[Definition] Cloud Consulting Service Providers (CCSP): refer to local cloud computing company or individual professional proving cloud computing consulting services to FPIs and SMEs in Nigeria.
[Definition] Virtual Machine: refers to a software program or operating system that exhibits the behaviour of a separate computer and capable of performing tasks such as running applications and programs.
[Definition] Vendor lock-in: refers to a situation in which FPI or SME using the cloud product or service of a cloud service provider cannot easily transition to competitor's cloud product or service.
[Must] Public-sector entities shall prioritize procurement of cloud-based ICT solutions whenever possible.
[Must] The policy targets 30% increase in cloud adoption and migration by FPIs and SMEs providing government services by 2024.
[Must] The policy aims to create an enabling environment for Nigerian cloud service providers (CPS) and cloud consulting service providers (CCSP) to operate efficiently and profitably.
[Must] Public sector agencies must transition from traditional IT practices to cloud solutions to improve uptime, availability, and human resource efficiency.
[Must] Cloud service providers must comply with NITDA and BPP certification criteria for inclusion in the Digital Marketplace.
[Must] Data classification must be applied to determine sensitivity levels for cloud migration, with less sensitive data prioritized for initial cloud movement.
[Must] Confidential government data must reside primarily within Nigerian territorial boundaries, with encryption and security measures in place.
[Must] Agencies must contract cloud providers that store data in jurisdictions with equivalent data protection standards to Nigeria.
[Must] Sensitive government and citizen data must reside primarily in a cloud framework within the Nigerian territorial boundary
[Must] Sensitive data shall be moved to cloud solutions that meet policies and legal requirements for sensitivity, including encryption of information at rest and in motion, strong user authentication, and information security awareness training
[Must] Classified or national security information must reside only on-premise of public institutions or collocated or in a cloud within the Nigerian territorial boundary
[Must] This policy shall take effect upon its publication.
[Condition] After that, it will be subject to a biannual review or as the need arises.
[Must] NITDA shall issue further guidance on the evaluation process and timeframe to make changes and updates.</t>
        </is>
      </c>
      <c r="O335" s="8" t="inlineStr">
        <is>
          <t>Small Medium and Enterprises (SMEs): refers to enterprises which have an annual turnover not exceeding Five Hundred Thousand Naira (N500,000).</t>
        </is>
      </c>
    </row>
    <row r="336">
      <c r="A336" t="inlineStr">
        <is>
          <t>Nigeria</t>
        </is>
      </c>
      <c r="B336" t="inlineStr">
        <is>
          <t>Operational Guidelines for Open Banking in Nigeria (Nigeria - Row 9)</t>
        </is>
      </c>
      <c r="C336" t="inlineStr">
        <is>
          <t>9</t>
        </is>
      </c>
      <c r="D336" s="8" t="inlineStr"/>
      <c r="E336" t="inlineStr">
        <is>
          <t>3</t>
        </is>
      </c>
      <c r="F336" t="inlineStr">
        <is>
          <t>AML</t>
        </is>
      </c>
      <c r="G336" t="inlineStr">
        <is>
          <t>High</t>
        </is>
      </c>
      <c r="H336" t="inlineStr">
        <is>
          <t>High (explicit)</t>
        </is>
      </c>
      <c r="I336" s="8" t="inlineStr">
        <is>
          <t>AML, Cross-border Transfer, Financial Data</t>
        </is>
      </c>
      <c r="J336" s="8" t="inlineStr">
        <is>
          <t>Financial Data</t>
        </is>
      </c>
      <c r="K336" t="inlineStr"/>
      <c r="L336" s="8" t="inlineStr">
        <is>
          <t>This section establishes anti-money laundering (AML) and counter-financing of terrorism (CFT) requirements for open banking in Nigeria. It mandates that all open banking participants must implement robust AML/CFT measures to prevent illicit financial activities. These obligations apply to financial institutions, payment service providers, and other entities involved in open banking transactions.</t>
        </is>
      </c>
      <c r="M336" s="8" t="inlineStr">
        <is>
          <t>This section requires open banking participants to implement AML/CFT safeguards, which are critical for DTIAs to ensure compliance with financial crime prevention when transferring data across borders. It directly impacts cross-border data transfers by mandating robust A:ML/CFT checks.</t>
        </is>
      </c>
      <c r="N336" s="8" t="inlineStr">
        <is>
          <t>[Must] All open banking participants must implement robust AML/CFT measures to prevent illicit financial activities.</t>
        </is>
      </c>
      <c r="O336" s="8" t="inlineStr">
        <is>
          <t>ANTI-MONEY LAUNDERING (AML) AND COMBATING THE FINANCING OF TERRORISM (CFT) .. 23</t>
        </is>
      </c>
    </row>
    <row r="337">
      <c r="A337" t="inlineStr">
        <is>
          <t>Nigeria</t>
        </is>
      </c>
      <c r="B337" t="inlineStr">
        <is>
          <t>Operational Guidelines for Open Banking in Nigeria (Nigeria - Row 9)</t>
        </is>
      </c>
      <c r="C337" t="inlineStr">
        <is>
          <t>12</t>
        </is>
      </c>
      <c r="D337" s="8" t="inlineStr"/>
      <c r="E337" t="inlineStr">
        <is>
          <t>4–68</t>
        </is>
      </c>
      <c r="F337" t="inlineStr">
        <is>
          <t>Consent</t>
        </is>
      </c>
      <c r="G337" t="inlineStr">
        <is>
          <t>High</t>
        </is>
      </c>
      <c r="H337" t="inlineStr">
        <is>
          <t>Medium (merged from chunks)</t>
        </is>
      </c>
      <c r="I337" s="8" t="inlineStr">
        <is>
          <t>Cross-border Transfer, International Processing, Data Storage,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J337" s="8" t="inlineStr">
        <is>
          <t>Personal Information, Financial Data, Customer Data, Employee Data, Health Data, Children's Data, Biometric Data, Special Personal Information</t>
        </is>
      </c>
      <c r="K337" t="inlineStr">
        <is>
          <t>Central Bank of Nigeria</t>
        </is>
      </c>
      <c r="L337" s="8" t="inlineStr">
        <is>
          <t>This section establishes key terms and acronyms for the Open Banking ecosystem in Nigeria, including definitions for API Provider, API Consumer, Two Factor Authentication, Financial Institution, and other critical concepts. It clarifies the roles of participants in open banking and specifies technical standards for data handling and system configuration. The definitions ensure clarity and consistency in how financial institutions and technology providers interact within Nigeria's open banking framework. API providers and consumers must determine incident scope and impact, notify affected parties, assess failover systems, implement workarounds, evaluate cost efficiency, investigate root causes, and follow documented procedures for resolution. They must also create and test incident response plans, provide 24x7 monitoring, maintain incident manuals with lessons learned, and ensure quarterly reviews of incident management protocols. These obligations apply to all API providers and consumers participating in Nigeria's Open Banking API infrastructure. This section mandates that Account Providers (APs) and Account Custodians (ACs) must only share customer information with each other upon</t>
        </is>
      </c>
      <c r="M337" s="8" t="inlineStr">
        <is>
          <t>Defines critical terms for data sharing in open banking, ensuring clarity on participant roles and technical standards that impact data transfer mechanisms and security requirements for cross-border financial data exchanges. This section mandates specific incident response procedures and documentation requirements that directly impact data transfer impact assessments by establishing critical thresholds for service disruption, failover timelines, and transparency in incident handling across international API ecosystems. This section requires explicit customer consent for data sharing between AP</t>
        </is>
      </c>
      <c r="N337" s="8" t="inlineStr">
        <is>
          <t>[Definition] Two Factor Authentication/ Strong Authentication
[Definition] API Consumer
[Definition] API Provider
[Definition] Application Programming Interface
[Definition] Central Bank of Nigeria
[Definition] Configuration Management
[Definition] Demilitarized Zone (pertaining to TCP/IP Networks)
[Definition] Financial Institution
[Definition] Fintech
[Definition] Global Unique Identifier
[Definition] Information Management
[Definition] Information Technology Infrastructure Library
[Definition] Message Level Security
[Definition] Monetary Policy Rate
[Definition] Nigeria Data Protection Regulation
[Definition] National Information Technology Development Agency
[Definition] Open Banking Registry
[Definition] Online Analytic Processing
[Definition] Online Transaction Processing
[Definition] Service Level Agreement
[Definition] Transaction
[Definition] User Unique Identifier
[Definition] Sponsor
[Must] Determine the scope and impact of the incident and notify API providers/consumers relying on services via the recommended communication channel
[Must] Assess the functionality and reliability of the failover system
[Must] Consider workarounds to restore service in a timely manner
[Must] Evaluate the cost efficiency of the failover compared with the loss experienced from the incident
[Must] Investigate root cause and commence resolution following documented procedures
[Must] Create and regularly test an incident response plan
[Must] Provide skilled personnel to monitor and support Open Banking API infrastructure on 24x7 basis
[Must] Provide contacts of the relevant personnel to API providers/consumers within SLA documentation
[Must] Design and review on a quarterly basis an incident management and response manual indicating failover and failback steps for a critical incident
[Must] Maintain an incident manual with lessons learnt from previous critical incidents
[Must] APs shall only share information of a customer with an AC upon presentation of a valid proof of consent by the customer
[Must] APs shall authenticate such consent to ensure it emanates from its customer
[Must] For consent obtained from a customer to be valid, the AC must present specific information including full legal name, business registration number, access level, duration of consent, frequency of access, and withdrawal process
[Must] The consent must explicitly state the type of access the AC shall have on the customer account in line with access level by data and service category
[Must] The consent must specify the duration/tenor of the consent or the date when the access shall be invalidated
[Must] The consent must indicate the frequency of access to the customer information or if such access shall be one-off
[Must] The consent must include whether the request covers the customer's consent to collect data for anonymous/de-identified data analysis
[Must] The consent must provide information on the process for withdrawal of consent by the customer, including a statement that customers can withdraw consent at any time
[Must] The consent must detail the process for withdrawal of consent by the customer
[Must] The consent must outline the consequences of withdrawal of consent to the customer, if any
[Must] The consent must include information on the AC's policy for deletion or de-identification of redundant data in accordance with extant laws and regulations
[Must] The consent must provide the customer with rights to elect for deletion of their redundant data and information on how to exercise such rights
[Must] The AP shall verify that the consent emanated from the customer using Two Factor Authentication (2FA)
[Must] The request for customer data must contain the purpose of the request
[Must] The request must include the credentials of the requesting AC
[Must] The request must contain a valid date and be made through appropriate channels
[Must] The AP shall create a token reflecting the details of the rights granted to the AC by the customer
[Must] The token shall be encrypted and securely exchanged with the AC
[Must] All responses of the AP shall be in real-time
[Must] For every API call to read customer information or conduct transactions, the AP shall validate the token to ensure it continues to meet the rights granted by the customer
[Must] The customer shall be informed of type and purpose of data requested, terms and conditions applicable, in concise and easy to understand manner
[Must] The consent shall be explicit
[Must] The customer shall be presented with the option to accept or decline onboarding into the Open Banking arrangement
[Must] In the consent stage, customer shall be shown the requested information and purpose
[Must] The consent provided shall be time-bound, not in perpetuity
[Must] A customer shall be allowed to explicitly opt-out, which shall be provided to customer periodically
[Must] Customer after providing consent, shall be accurately informed of the time-bound permission provided
[Must] Authentication shall provide a mechanism to verify user identity to the APs
[Must] APs shall provide authentication mechanisms in acceptable form that conform to pre-authorized channels (email, phone numbers, devices, applications, biometrics etc)
[Must] User endpoint should be verified prior to use for authentication (emails, phone numbers or other user endpoints shall be verified using control information such as OTP verification)
[Must] Appropriate customer authentication methods such as multi-factor authentication shall be established to reduce the chance of identity theft or fraud
[Must] ACs shall provide mechanisms for customer to immediately enable or revoke permissions to different particulars of each account
[Must] Each change in the user's selection shall be proceeded with the generation of a new OAuth token to capture the change in scope
[Must] When prompting users for consent on the application, details shall be grouped for ease of presentation
[Must] Sufficient information in the confirmation screen shall capture or make available the details involved
[Must] Details shall be presented in friendly and easily understandable language that embodies the object, action, initiator (user or auto) and periodicity
[Must] Notifications shall be provided, using agreed channels, to customers indicating any changes to permissions requested against AP for the user's keepsake
[Must] The customer shall be presented with the details about the consent required on the AC-user interface
[Must] The customer is presented with the options to allow or deny the request from participants to access the shown data
[Must] The response from the end-user is then sent to the AP, and the data must be recorded accordingly
[Must] Participant shall provide a minimum of two (2) channels by which the end-user can view, consent, decline or revoke permission requests
[Must] When consent is given by the end-user for specific permissions, the records of such consent shall be recorded along with a timestamp, an audit record capturing a transcript of the change in permissions scope and the point of initiation
[Must] Revocations shall be captured with a timestamp, an audit record capturing a transcript of the change in permissions scope and the point of initiation
[Must] Consented scopes shall be updated within the AP's API-directory
[Must] Subsequent token requests by the ACs on behalf of the user shall include consented scopes
[May] The AP may provide additional services to notify the AC of the approved scopes so the AC can proactively enable those functions within the customer's profile instead of waiting for the next sign-on event
[Must] Participants shall comply with all CBN regulations relating to open banking and ensure that third-party service providers also comply.
[Must] Participants, shall at the minimum: Adopt/implement a regulatory risk framework
[Must] Participants, shall at the minimum: Adopt comprehensive internal controls, including adequate policies, procedures, and limits
[Must] Participants, shall at the minimum: Insurance policy to cover losses
[Must] Participants, shall at the minimum: Have a dedicated compliance officer
[Must] Participants, shall at the minimum: Develop compliance policy/manual
[Must] Participants shall put measures in place to guarantee integrity and availability of data
[Must] Participants, shall at the minimum: Implement full audit trail of all transactions
[Must] Participants, shall at the minimum: Implement access rules, approvals, revocations and review procedures
[Must] Data shall follow standards such as the 9 ALCOA+ principle of Attributable, Legible, Contemporaneous, Original, and Accurate, Complete, Consistent, Enduring, and Available
[Must] Participants shall put measures in place to guarantee confidentiality of data and comply with extant laws and regulations on data protection and privacy
[Must] Participants, shall at the minimum, implement: A robust ISMS to ensure sensitive data are systematically managed
[Must] Participants, shall at the minimum, implement: A Data loss prevention (DLP) procedure
[Must] Participants, shall at the minimum, implement: Encryption and pseudonymization procedure
[Must] Participants, shall at the minimum, implement: Identity and access management (IDAM) procedure
[Must] Participants, shall at the minimum, implement: The creation of a dispute resolution mechanism/body specific to open banking including customer liability framework
[Must] Participants, shall at the minimum, implement: Know your data
[Must] Participants, shall at the minimum, implement: Separation of duties within participants on access to customer data; 2 level accessibility to customer data
[Must] Participants, shall at the minimum, implement: An adherence to information security standards and data protection regulations
[Must] Participants, shall at the minimum, implement: Development of technology standards for participants in open banking ecosystem
[Must] Participants shall ensure that all products are approved by the regulator
[Must] Participants shall ensure that risks associated with the products are identified and risk mitigants are put in place
[Must] Participants shall ensure that the benefits to the customers are known
[Must] Participants shall implement zero-trust architecture.
[Must] Maintain minimal user access rights in accordance with business function, process requirements and security policies.
[Must] Align the management of identities and access rights to the defined roles and responsibilities, based on least-privilege, need-to-have and need-to-know principles.
[Must] Ensure that access authentication to information assets shall be based on the individual's role or business rules.
[Must] Coordinate with business units that manage authentication within applications used in business processes to ensure that authentication controls have been properly administered.
[Must] The Biometric Verification Number (BVN), National Identity Number (NIN) and Tax Identification Number and other such unique identifiers, shall be stored in independent identity systems.
[Must] Each endpoint accessing an open banking product and service shall be uniquely identified and its attributes examined for compliance of information security policies.
[Must] The process through which an end user authenticates itself to its service provider shall be designed to minimize digital friction.
[Must] Participants shall use strong authentication which includes Multi-Factor Authentication (MFA) to manage access to API systems and implement role-based access control for PIFT and PAST.
[Must] Participants shall adopt authentication protocols at the minimum, OAuth 2.0 in conjunction with OpenID Connect. Higher authentication protocols shall be implemented as required.
[Must] Mutual authentication over Transport Layer Security (mTLS) shall be implemented for authentication between client and server machines or any approved authentication standard.
[Must] Implement open banking security profiles in compliance with the Financial-grade API (FAPI) specifications.
[Must] Implement digital tokens that ensures third party is acting within the bounds of the permissions granted.
[Must] Provide evidence that their third-party service is entitled to use an authorisation token such as providing client identity and client secret to provider.
[Must] Be responsible for identity token management and ensure that third-party providers are in possession of legitimate tokens.
[Must] Ensure that access granted to third-party providers are defined in terms of specific permissions to data and/or functionality.
[Must Not] Note that all malicious misuse of permissions is prohibited.
[Must] Document and implement the following: Customer revocation rights, a mechanism through which users can review and cancel their permissions, assignment of risk levels to permissions, prohibitions on granting permissions, placement of contextual limits on permissions, subject permissions to time/duration limits, refresh and challenge permission token validity at specific intervals.
[Must] Define roles with appropriate permissions and be defined in a standardized nomenclature for future work.
[Must] Participants shall secure identities propagated across all channels and storage systems.
[Must] Implement anti-fraud and counter terrorism financing controls and capabilities.
[Must] Ensure that the API provides supports out-of-band (OOB) authentication, where necessary;
[Must] Be required to notify the user asynchronously/OOB when significant actions have occurred such as, a change to a payee etc;
[Must] Ensure that the API responses inform the third-party and customer that an OOB process is underway so that, where appropriate;
[Must] Ensure that fraud-relevant information, such as IP addresses and traffic information, in the API return messages are stored and investigated for research and development purposes.
[Must] Participants shall assign roles and responsibilities for identifying and monitoring any changes in legal, regulatory, and other external contractual requirements relevant to the use of IT resources and the processing of open banking information within the business and IT operations.
[Must] All participants shall implement updated anti-malware and anti-ransomware solutions automatically or at least semi-automatically.
[Must] Apply data classification and labelling techniques to protect sensitive data and information assets at rest, in motion and in use;
[Must] Protect personal and transactional data against data loss, theft and breach in line with regulations such as the Nigeria Data Protection Regulation (NDPR) and/or any data protection regulation issued by the Bank;
[Must] Have and implement clearly defined data retention and destruction policy(ies) in line with CBN regulations, the Nigerian Data Protection Regulations, etc.
[Must] Integrate the planning, design, implementation and monitoring of information security and privacy procedures and other controls capable of enabling prompt detection, prevention of security events, and response to security incidents;
[Must] Ensure that cyber risks are thoroughly investigated, and root causes communicated with additional risk response requirements and process improvements to appropriate decision makers;
[Must] Implement corrective actions based on root causes such as problems with business process, application system development and maintenance, development and test environments, documentation and manuals, and data integrity;
[Must] Establish Cyber-Threat Intelligence (CTI) capability to detect, prevent, and respond to potential cyber-threats and risks, as well as develop relevant CTI policies;
[Must] Report and share cyber security intelligence and threat feeds to the CBN Security Operation Centre or any such centre as may be required by the CBN.
[Must] Implement digital forensics capabilities for open banking operations.
[Must] Implement network security controls to proactively detect, prevent and respond to network threats that can affect the confidentiality, integrity and availability of open banking information and assets;
[Must] Adequately and securely configure open banking gateways to minimize integration friction and enable seamless information flow;
[Must] Implement Transport Layer Security (TLS) for network communication channels for open banking platforms with extended validation certificates.
[Must] Conduct periodic vulnerability scanning and penetration testing of system security to determine adequacy of system protection against cyber risks.
[Must] Remediate identified vulnerabilities in tandem to the severity of the open banking assets.
[Must] Ensure that changes to open banking product and services are made in a secured, structured manner and controlled environment;
[Must] Change controls include impact analysis on business process, infrastructure, systems and applications, business continuity plans (BCPs) and service providers to ensure that all affected components have been identified;
[Must] All emergency changes are monitored, verified, and post-implementation reviews conducted involving all concerned parties. The review shall consider and initiate corrective actions based on root causes such as problems with business process, application system development and maintenance, development and test environments, documentation and manuals, and data integrity;
[Must] Change status reports with performance metrics are implemented to enable management review and monitoring of both the detailed status of changes and the overall state such as age analysis of change requests, which shall form audit trail.
[Must] Ensure a documented inventory of configuration items that relate to open banking operations which include applications, devices, endpoints, platforms, staff, personnel, data etc;
[Must] Document and regularly review all configuration changes on open banking infrastructure;
[Must] Ensure documentation of configuration item changes using standardised version control formats such as Semantic Versioning 2.0.0;
[Must] Enforce continuous patching, including documenting and archiving dates to all technology and have individual accountability for patching specific software and equipment.
[Must] Implement and regularly review Disaster Recovery (DR) and Business Continuity (BC) policies, procedures, and controls to ensure resilience of open banking operations.
[Must] Implement backup controls and regularly restore to reduce service unavailability.
[Must] Implement controls such as Distributed Denial of Service (DDoS) controls on open banking environment, to ensure resilience and 99.99 per cent availability.
[Must] Participants shall ensure that open banking data are retained for reference for a minimum of ten years.
[Must] Implement controls that audit all activities and generate tamper-proof digital logs that can used as court evidence and non-disputable audit trail for effective problem resolution and forensics examination;
[Must] Implement monitoring controls to detect, prevent and respond to anomalous activities on open banking IT operations;
[Must] Implement threat monitoring, alerting systems and intelligence to review and refine threats and implement mitigating actions regularly for continuous improvement.
[Must] Implement security controls into the Software Development Lifecyle (SDLC) for all open banking APIs;
[Must] Embed information security from planning, designing to implementation of all open banking software products;
[Must] Ensure strong IT systems controls (access and role management etc.) covering Software Development Lifecycle (SDLC), continuous integration, and continuous deployment (CI/CD) pipelines;
[Must] Secure APIs and web application security risks in line with recommendations of the OWASP API Security project and OWASP Top Ten Web Application Security Risks respectively.
[Must Not] Ensure that practices considered inimical to the open banking ecosystem, are not carried out. Such practices include screen scraping, shotting, copying, snipping and others as may be determined by the Bank from time to time.
[Must] Safeguard their customers' data in line with NDPR and/or any CBN regulation on data privacy and protection and enforce the requirements with their third parties
[Must Not] Not use, access, or store any data for purposes other than the service explicitly requested by the end user
[Must] Enable the customer to exercise their right to data portability
[Must] Inaugurate a problem register detailing issue type, date, symptoms
[Condition] AP
[Condition] AC
[Must] Track results and problems</t>
        </is>
      </c>
      <c r="O337" s="8" t="inlineStr">
        <is>
          <t>Two Factor Authentication/ Strong Authentication, API Consumer, API Provider, Application Programming Interface, Central Bank of Nigeria, Configuration Management, Demilitarized Zone (pertaining to TCP/IP Networks), Financial Institution, Fintech, Global Unique Identifier, Information Management, Information Technology Infrastructure Library, Message Level Security, Monetary Policy Rate, Nigeria Data Protection Regulation, National Information Technology Development Agency, Open Banking Registry, Online Analytic Processing, Online Transaction Processing, Service Level Agreement, Transaction, User Unique Identifier, Sponsor</t>
        </is>
      </c>
    </row>
    <row r="338">
      <c r="A338" t="inlineStr">
        <is>
          <t>Nigeria</t>
        </is>
      </c>
      <c r="B338" t="inlineStr">
        <is>
          <t>REVISED REGULATORY FRAMEWORK FOR BANK VERIFICATION NUMBER (BVN) OPERATIONS AND WATCH-LIST FOR THE NIGERIAN BANKING INDUSTRY 121021 FINAL (Nigeria - Row 11)</t>
        </is>
      </c>
      <c r="C338" t="inlineStr">
        <is>
          <t>3</t>
        </is>
      </c>
      <c r="D338" s="8" t="inlineStr"/>
      <c r="E338" t="inlineStr">
        <is>
          <t>4–23</t>
        </is>
      </c>
      <c r="F338" t="inlineStr">
        <is>
          <t>Definitions</t>
        </is>
      </c>
      <c r="G338" t="inlineStr">
        <is>
          <t>High</t>
        </is>
      </c>
      <c r="H338" t="inlineStr">
        <is>
          <t>Medium (merged from chunks)</t>
        </is>
      </c>
      <c r="I338" s="8" t="inlineStr">
        <is>
          <t>Cross-border Transfer, Data Storage, Security, Access Control, Data Sharing, Data Residency, Incident Reporting, Breach Notification, Governance</t>
        </is>
      </c>
      <c r="J338" s="8" t="inlineStr">
        <is>
          <t>Personal Information, Financial Data, Customer Data</t>
        </is>
      </c>
      <c r="K338" t="inlineStr">
        <is>
          <t>Central Bank of Nigeria (CBN)</t>
        </is>
      </c>
      <c r="L338" s="8" t="inlineStr">
        <is>
          <t>This section establishes the regulatory framework for Bank Verification Number (BVN) operations and Watch-list in Nigeria's banking industry. It defines the BVN system as a unique customer identifier deployed in 2014 to enhance KYC compliance and payment security. The framework outlines the roles of Central Bank of Nigeria (CBN), Nigeria Inter-Bank Settlement System (NIBSS), banks, other financial institutions, and customers in managing BVN data and watch-list processes to combat fraud and ensure system integrity. This section details access rules for the BVN database, restricting access to Tier 1 entities (banks, other financial institutions, mobile money operators) with direct access, while requiring CBN approval for Tier 2 entities. It prohibits foreign entities from accessing the BVN database and mandates strict confidentiality for all users. The section also specifies conditions for BVN information requests, restrictions on BVN use to prevent abuse, and security requirements including data storage within Nigeria and encryption. This section outlines specific obligations for banks and financial institutions participating in the BVN (Bank Verification Number) system, including r</t>
        </is>
      </c>
      <c r="M338" s="8" t="inlineStr">
        <is>
          <t>This section defines the BVN system and its operational scope, which is critical for DTIAs as it establishes the foundational data identifiers and participant responsibilities for cross-border data handling within Nigeria's banking sector. This section imposes critical restrictions on cross-border data access to the BVN database, requiring CBN approval for non-Tier 1 entities and prohibiting foreign entities from accessing Nigerian data. It mandates data residency within Nigeria and strict security protocols, directly impacting international data transfers and cross-border compliance. This sec</t>
        </is>
      </c>
      <c r="N338" s="8" t="inlineStr">
        <is>
          <t>[Must] The Central Bank of Nigeria (CBN) has the regulatory and oversight function on the BVN system in Nigeria.
[Must] The CBN shall review and approve the regulatory Framework and the Standard Operating Guidelines.
[Must] The CBN shall approve eligible users for access to the BVN information.
[Must] The CBN shall ensure that the objectives of the BVN initiatives are fully achieved.
[Must] NIBSS shall collaborate with other stakeholders to develop and review the Standard Operating Guidelines of the BVN.
[Must] NIBSS shall ensure seamless operations of the BVN system.
[Must] Banks and Other Financial Institutions shall ensure proper capturing of BVN data and validate same before linkage with customers' accounts/wallets (except Tier 1).
[Must] Banks and Other Financial Institutions shall ensure all operated accounts/wallets (except Tier 1) are linked with signatories' BVNs within 24 hours of NIBSS making BVN available.
[Must] Banks and Other Financial Institutions shall enroll all mobile money wallets (except Tier 1) subscribers on the BVN database and link their wallets within 180 days of the framework issuance.
[Must] Banks and Other Financial Institutions shall ensure BVN details of signatories, directors, and beneficial owners are linked to non-individual accounts/wallets (except Tier 1).
[Must] Banks and Other Financial Institutions shall ensure customer's name on the BVN database matches across all accounts/wallets (except Tier 1).
[Must] Banks and Other Financial Institutions shall report BVNs of individuals in breach to NIBSS for Watch-list update within 1 business day of breach.
[Must] Banks and Other Financial Institutions shall report BVNs of confirmed deceased customers to NIBSS for 'DECEASED' designation within 24 hours of confirmation.
[Must] Banks and Other Financial Institutions shall use the Watch-list report submitted by participants with clearance from CBN's Risk Management Department to delist BVNs from the Watch-list.
[Must] Customers shall provide accurate biometrics and biodata and report changes in biometrics or biodata.
[Must] Customers shall report all suspicious or unauthorized activities on their accounts/wallets (except Tier 1) to their banks/OFIs.
[Must] Access to the BVN database shall be approved by the CBN and guided in line with the grid for Tier 1 and Tier 2 users
[Must Not] Foreign entities shall not be allowed access to the BVN database
[Must] BVN data shall be stored within the shores of Nigeria and shall not be routed across borders without the consent of the CBN
[Must] Users of the BVN information shall establish adequate security procedures to ensure the safety and security of its information
[Must] Access to BVN information by customers shall be obtained through secured channels with appropriate authentication
[Must] BVN information shall be treated as confidential
[Must] All stakeholders shall comply with Nigeria Data Protection Regulation (NDPR) or any regulation of the Bank on data protection
[Must] Ensure proper capturing of the BVN data (including BVN captured by their agents) for all customers
[Must] Ensure validation and linkage of BVN data in line with the BVN Framework and BVN SOG
[Must] Ensure all operated accounts/wallets (except Tier 1) are linked with the signatories' BVN within 24 hours of NIBSS making BVN available
[Must] Ensure BVN details of all signatories, Directors, and Beneficial owners are linked to their respective non-individual accounts/wallets (except Tier 1)
[Must] Report the BVN of individuals in breach to NIBSS for update of the Watch-list
[Must] Report the BVN of confirmed deceased customers to NIBSS for designation as 'DECEASED' within 2 business days
[Must] Where a bank needs to watch-list a customer of another participating bank, the Chief Audit Executive of the customer's bank shall be notified
[Must] Upon notification, the Chief Audit Executive shall comply with the procedure for investigating and watch-listing the customer
[Must] Enforce sanctions on customers as stipulated
[Must] Use the BVN API only for account/wallet opening, maintenance and operational purposes and ensure full compliance with relevant data privacy laws</t>
        </is>
      </c>
      <c r="O338" s="8" t="inlineStr">
        <is>
          <t>The Central Bank of Nigeria, in collaboration with the Bankers' Committee, deployed a centralised Bank Verification Number (BVN) System in February 2014.</t>
        </is>
      </c>
    </row>
    <row r="339">
      <c r="A339" t="inlineStr">
        <is>
          <t>Nigeria</t>
        </is>
      </c>
      <c r="B339" t="inlineStr">
        <is>
          <t>circular on the regulatory framework on open banking in nigeria (Nigeria - Row 8)</t>
        </is>
      </c>
      <c r="C339" t="inlineStr">
        <is>
          <t>10</t>
        </is>
      </c>
      <c r="D339" s="8" t="inlineStr">
        <is>
          <t>Risk Management……………………………………………….14</t>
        </is>
      </c>
      <c r="E339" t="inlineStr">
        <is>
          <t>3–19</t>
        </is>
      </c>
      <c r="F339" t="inlineStr">
        <is>
          <t>Cross-border Transfer</t>
        </is>
      </c>
      <c r="G339" t="inlineStr">
        <is>
          <t>High</t>
        </is>
      </c>
      <c r="H339" t="inlineStr">
        <is>
          <t>Medium (merged from chunks)</t>
        </is>
      </c>
      <c r="I339" s="8" t="inlineStr">
        <is>
          <t>Cross-border Transfer, International Processing, Data Storage, Security, Data Sharing, Third Party Processing, Cloud Services, Incident Reporting, Breach Notification, Consent, Customer Information, Financial Data, KYC, AML, Governance, Record Keeping</t>
        </is>
      </c>
      <c r="J339" s="8" t="inlineStr">
        <is>
          <t>Personal Information, Financial Data, Customer Data, Employee Data, Health Data, Children's Data, Biometric Data, Special Personal Information</t>
        </is>
      </c>
      <c r="K339" t="inlineStr">
        <is>
          <t>Central Bank of Nigeria</t>
        </is>
      </c>
      <c r="L339" s="8" t="inlineStr">
        <is>
          <t>This section establishes risk management frameworks for open banking in Nigeria, defining data and service categories with associated risk ratings (PIST: Low, MIT: Moderate, PIFT: High, PAST: High &amp; Sensitive). It mandates tiered access levels based on regulatory maturity (Tier 0-3) with specific requirements for onboarding, risk assessments, and registry registration. The framework requires participants to implement technical standards for API design, data specifications, security, and operational rules to ensure safe data exchange while balancing financial innovation and risk mitigation. This section outlines specific responsibilities for participants in open banking, including Providers, API Users, Fintechs, and the Developer Community. Providers must publish APIs, define data services, conduct Know Your Partner (KYP) due diligence, share responsibility for end-user losses, obtain explicit consent, and maintain monitoring systems. API Users must adhere to provider guidelines, obtain end-user consent, and ensure annual re-validation of agreements. Fintechs must leverage interoperable APIs and comply with data privacy laws. The Central Bank of Nigeria oversees framework implementa</t>
        </is>
      </c>
      <c r="M339" s="8" t="inlineStr">
        <is>
          <t>This section defines risk-based data access tiers and service categories critical for DTIAs, particularly for cross-border data transfers involving financial services. It mandates tiered access levels and security requirements for high-risk data (PIFT/PAST) that directly impact data transfer safeguards and international processing compliance. This section mandates comprehensive risk management practices for data transfers across open banking ecosystems, requiring participants to conduct KYP due diligence, establish shared liability for end-user losses, implement real-time monitoring systems, a</t>
        </is>
      </c>
      <c r="N339" s="8" t="inlineStr">
        <is>
          <t>[Must] Tier 0 Participants shall be on-boarded by sponsoring Tier 2 or Tier 3 participants and registered on the Open Banking Registry within 3 working days of on-boarding.
[Must] Sponsoring Tier 2 or Tier 3 participants shall seek registration of Tier 0 participants on the Open Banking Registry with a comprehensive risk assessment report signed by the Chief Risk Officer.
[Must] Tier 1 Participants must be admitted into the CBN regulatory sandbox cohort.
[Must] Tier 2 Participants must hold a valid CBN licence and undergo a risk assessment report from at least two partner participants covering KYP, financial strength, control environment, and risk management.
[Must] Tier 3 Participants must hold a valid CBN licence and undergo a risk assessment report from at least two partner participants covering KYP, financial strength, control environment, and risk management.
[Must] All participants must be listed on the Open Banking Registry.
[Must] API design models must align with data and service risk ratings, with enhanced security for PIFT and PAST categories.
[Must] Data and service categories must be classified as PIST (Low risk), MIT (Moderate risk), PIFT (High risk), or PAST (High &amp; Sensitive risk).
[Must] Publish the APIs and define requirements and technical guidelines
[Must] Define the data and services accessible through the APIs
[Must] Establish Data Access Agreement and Service Level Agreements with other participants
[Must] Carry out Know Your Partner (KYP) due diligence on partner participants which shall include a comprehensive risk assessment on the partner participant duly signed off by the Chief Risk Officer before executing agreements
[Must] Share responsibility with the partner participant for any loss to the end-user which did not arise from the wilful negligence or fraudulent act of the end-user
[Must] Ensure that the partner participant that owns the customer interface obtains consent of the end-user based on agreed protocols
[Must] Certify that the partner participants define to the end-user in explicit terms the implication of granting consents to it and give the end-user the option to choose access rights to data granted the partner participant
[Must] Carry out regular monitoring of the control environment of the partner participants and revalidate the agreements on an annual basis
[Must] Subscribe to a common industry initiative for regular monitoring and validation of participants
[Must] Deploy and implement automated monitoring system for evaluation of the vulnerability of its systems and environment to partner participants and for the management of fraud or related risks
[Must] Maintain logs on adoption and usage and other metrics on performance of APIs
[Must] Specify risk metrics and thresholds, the breach of which could lead to a review of the relationship with partner participants
[Must] Notify the partner participant of intention to terminate relationship within 48 hours of breaching the risk thresholds
[Must] Notify the Bank of any terminated relationships with partner participants within 3 business days to update information in the Open Banking Registry
[Must] Comply with data privacy laws and regulations
[Must] Maintain customer service/complaint desk on 24 hours/7 days a week basis for financial institutions to resolve complaints of end-users
[Must] Execute a Data Access Agreement and Service Level Agreement with Provider
[Must] Adhere to the requirements and guidelines set by the Provider
[Must] Specify to the end-user the implications of the consent to be given and the actions that may be performed on the account of the end-user
[Must] Obtain consent of the end-user on each action that may be performed on the account of the end user as specified by the provider
[Must] Cooperate with the Provider for the regular monitoring of its control environment
[Must] Ensure an annual re-validation of the Data Access Agreement and Service Level Agreement
[Must] Implement any remedial actions as may be indicated by the Provider based on vulnerabilities discovered through the monitoring of its control environment
[Must] Collaborate effectively with the Provider to investigate any breach or fraud
[Must] Comply with data privacy laws and all consumer protection regulations
[Must] Take all reasonable steps to ensure that the end user/customer understands the implication and risk of his/her data to be shared
[Must] Ensure that it leverages API to innovate products and solutions that are interoperable
[Must] Avoid alteration of APIs published by provider without consent of the providers
[Must] Any Modification of published APIs shall be based on the provisions of Data Access Agreement or where necessary an addendum to the agreement
[Must] Adhere to the provisions of this framework
[Must] Comply with the provisions of this framework
[Must] Designate a Chief Risk Officer who shall be responsible for implementing effective internal control and risk management practices
[Must] Maintain updated API Risk catalogues
[Must] Maintain API Process Control Mapping and Risk Control Matrix
[Must] Align incident management processes and procedures with partner institutions clearly outlining responsibilities of each party
[Must] Agree risk management metrics and measurement procedures for APIs operations and deploy appropriate technology to monitor and report on the metrics to partners
[Must] Submit to risk assessment by partner participants as provided in the agreements
[Must] Avail the Bank with risk assessment report on partner participants and provide the Bank with reports on the assessments of its control environment
[Must] Collaborate with partner participants to ensure compliance with data privacy laws and regulation
[Must] Maintain updated data footprint mapping in conjunction with partner participants
[Must] Implement fraud monitoring systems and promptly exchange fraud intelligence with partner participants
[Must] Collaborate with partner participants on cyber risks
[Must] Promptly implement remedial measures to prevent, detect and manage cyberattacks and frauds
[Must] The agreements presented to the customer by the participant shall be simple, explicit and in the customer's preferred language
[Must] The agreement shall be presented to the customer's preferred form including written, electronic, video or audio
[Must] Customer's consent shall be obtained in the same form the agreement was presented and a copy of the consent of the customer shall be made available to the customer and preserved by the participant
[Must] The specific rights which the customer will be granting to the participant and the implication of granting those rights to the participant shall be listed for the customer to consent to separately for each right to be given to the participant
[Must] The consent of the customer shall be re-validated annually and where the customer had not used the service of the partner for 180 days
[Must] The responsibility of the customer for his/her protection shall be clearly communicated to the customer at the on-boarding stage
[Must] The participant shall avail the customer with security updates regularly in his/her preferred form and language to help him or her conduct transactions safely
[Must] The customer shall adhere to procedures for authenticating transactions and ensure that login and authentication details are not compromised through negligence
[Must] The customer shall comply with preventive protocols and security advice provided by the participant and report any observed discrepancy in his/her accounts or assets
[Must] Participant and its partner shall be jointly responsible and bear liability for any loss to the customer, except where the participant can prove wilful negligence or fraudulent act against the customer</t>
        </is>
      </c>
      <c r="O339" s="8" t="inlineStr">
        <is>
          <t>Risk Management……………………………………………….14</t>
        </is>
      </c>
    </row>
    <row r="340">
      <c r="A340" t="inlineStr">
        <is>
          <t>Singapore</t>
        </is>
      </c>
      <c r="B340" t="inlineStr">
        <is>
          <t>A Comprehensive Guide to the Law of Confidence and Breach of Confidence in Singapore_ Insights from [2024] SGCA 16 - IRB Law Singapore (Singapore - Row 33)</t>
        </is>
      </c>
      <c r="C340" t="inlineStr">
        <is>
          <t>2</t>
        </is>
      </c>
      <c r="D340" s="8" t="inlineStr">
        <is>
          <t>Whether these claims could be made in respect of the same set of confidential</t>
        </is>
      </c>
      <c r="E340" t="inlineStr">
        <is>
          <t>2</t>
        </is>
      </c>
      <c r="F340" t="inlineStr">
        <is>
          <t>Other</t>
        </is>
      </c>
      <c r="G340" t="inlineStr">
        <is>
          <t>None</t>
        </is>
      </c>
      <c r="H340" t="inlineStr">
        <is>
          <t>High (explicit)</t>
        </is>
      </c>
      <c r="I340" s="8" t="inlineStr"/>
      <c r="J340" s="8" t="inlineStr">
        <is>
          <t>Special Personal Information</t>
        </is>
      </c>
      <c r="K340" t="inlineStr"/>
      <c r="L340" s="8" t="inlineStr">
        <is>
          <t>This section addresses whether claims for breach of confidence can be made regarding the same set of confidential information. It explains that the modern law of confidence establishes an independent cause of action for misuse of confidential information, distinct from traditional approaches like the Coco test which requires proving specific elements such as the plaintiff's relationship to the information and the defendant's misuse.</t>
        </is>
      </c>
      <c r="M340" s="8" t="inlineStr"/>
      <c r="N340" s="8" t="inlineStr">
        <is>
          <t>[[]] The protection of confidential information has evolved significantly over time.
[[]] Historically, it found expression in various forms such as breach of contract and the tort of inducing breach of contract.
[[]] The modern law of confidence, however, firmly establishes an independent cause of action for the misuse of confidential information.</t>
        </is>
      </c>
      <c r="O340" s="8" t="inlineStr">
        <is>
          <t>2. Whether these claims could be made in respect of the same set of confidential information. The protection of confidential information has evolved significantly over time.</t>
        </is>
      </c>
    </row>
    <row r="341">
      <c r="A341" t="inlineStr">
        <is>
          <t>Singapore</t>
        </is>
      </c>
      <c r="B341" t="inlineStr">
        <is>
          <t>A Comprehensive Guide to the Law of Confidence and Breach of Confidence in Singapore_ Insights from [2024] SGCA 16 - IRB Law Singapore (Singapore - Row 33)</t>
        </is>
      </c>
      <c r="C341" t="inlineStr">
        <is>
          <t>2</t>
        </is>
      </c>
      <c r="D341" s="8" t="inlineStr">
        <is>
          <t>Broad Issue: The court found that claims for wrongful gain and wrongful loss in</t>
        </is>
      </c>
      <c r="E341" t="inlineStr">
        <is>
          <t>3–5</t>
        </is>
      </c>
      <c r="F341" t="inlineStr">
        <is>
          <t>Other</t>
        </is>
      </c>
      <c r="G341" t="inlineStr">
        <is>
          <t>None</t>
        </is>
      </c>
      <c r="H341" t="inlineStr">
        <is>
          <t>High (explicit)</t>
        </is>
      </c>
      <c r="I341" s="8" t="inlineStr"/>
      <c r="J341" s="8" t="inlineStr">
        <is>
          <t>Special Personal Information</t>
        </is>
      </c>
      <c r="K341" t="inlineStr"/>
      <c r="L341" s="8" t="inlineStr">
        <is>
          <t>This section addresses whether claims for breach of confidence can be made regarding the same set of confidential information. It explains that the modern law of confidence establishes an independent cause of action for misuse of confidential information, distinct from traditional approaches like the Coco test which requires proving specific elements such as the plaintiff's relationship to the information and the defendant's misuse.</t>
        </is>
      </c>
      <c r="M341" s="8" t="inlineStr"/>
      <c r="N341" s="8" t="inlineStr">
        <is>
          <t>[[]] The protection of confidential information has evolved significantly over time.
[[]] Historically, it found expression in various forms such as breach of contract and the tort of inducing breach of contract.
[[]] The modern law of confidence, however, firmly establishes an independent cause of action for the misuse of confidential information.</t>
        </is>
      </c>
      <c r="O341" s="8" t="inlineStr">
        <is>
          <t>2. Whether these claims could be made in respect of the same set of confidential information. The protection of confidential information has evolved significantly over time.</t>
        </is>
      </c>
    </row>
    <row r="342">
      <c r="A342" t="inlineStr">
        <is>
          <t>Singapore</t>
        </is>
      </c>
      <c r="B342" t="inlineStr">
        <is>
          <t>Cybersecurity (Provider-Owned Critical Information (Singapore - Row 5 &amp; 6)</t>
        </is>
      </c>
      <c r="C342" t="inlineStr">
        <is>
          <t>1</t>
        </is>
      </c>
      <c r="D342" s="8" t="inlineStr">
        <is>
          <t>These Regulations are the Cybersecurity (Provider-Owned Critical Information</t>
        </is>
      </c>
      <c r="E342" t="inlineStr">
        <is>
          <t>2</t>
        </is>
      </c>
      <c r="F342" t="inlineStr">
        <is>
          <t>Definitions</t>
        </is>
      </c>
      <c r="G342" t="inlineStr">
        <is>
          <t>None</t>
        </is>
      </c>
      <c r="H342" t="inlineStr">
        <is>
          <t>High (explicit)</t>
        </is>
      </c>
      <c r="I342" s="8" t="inlineStr"/>
      <c r="J342" s="8" t="inlineStr"/>
      <c r="K342" t="inlineStr"/>
      <c r="L342" s="8" t="inlineStr">
        <is>
          <t>This section establishes the title and effective date of the Cybersecurity (Provider-Owned Critical Information Infrastructure) Regulations 2018, which came into force on 31 August 2018. It specifies that these regulations are part of Singapore's legal framework for critical information infrastructure security. The section does not impose any obligations or conditions but provides foundational context for the regulatory framework.</t>
        </is>
      </c>
      <c r="M342" s="8" t="inlineStr"/>
      <c r="N342" s="8" t="inlineStr">
        <is>
          <t>[[]] These Regulations are the Cybersecurity (Provider-Owned Critical Information Infrastructure) Regulations 2018 and come into operation on 31 August 2018.</t>
        </is>
      </c>
      <c r="O342" s="8" t="inlineStr">
        <is>
          <t>These Regulations are the Cybersecurity (Provider-Owned Critical Information Infrastructure) Regulations 2018 and come into operation on 31 August 2018.</t>
        </is>
      </c>
    </row>
    <row r="343">
      <c r="A343" t="inlineStr">
        <is>
          <t>Singapore</t>
        </is>
      </c>
      <c r="B343" t="inlineStr">
        <is>
          <t>Cybersecurity (Provider-Owned Critical Information (Singapore - Row 5 &amp; 6)</t>
        </is>
      </c>
      <c r="C343" t="inlineStr">
        <is>
          <t>2</t>
        </is>
      </c>
      <c r="D343" s="8" t="inlineStr">
        <is>
          <t>In these Regulations, unless the context otherwise requires —</t>
        </is>
      </c>
      <c r="E343" t="inlineStr">
        <is>
          <t>2–14</t>
        </is>
      </c>
      <c r="F343" t="inlineStr">
        <is>
          <t>Definitions</t>
        </is>
      </c>
      <c r="G343" t="inlineStr">
        <is>
          <t>High</t>
        </is>
      </c>
      <c r="H343" t="inlineStr">
        <is>
          <t>Medium (merged from chunks)</t>
        </is>
      </c>
      <c r="I343" s="8" t="inlineStr">
        <is>
          <t>Cross-border Transfer, International Processing, Data Storage, Security, Incident Reporting, Breach Notification</t>
        </is>
      </c>
      <c r="J343" s="8" t="inlineStr">
        <is>
          <t>Personal Information, Financial Data</t>
        </is>
      </c>
      <c r="K343" t="inlineStr">
        <is>
          <t>Cybersecurity and Data Protection Agency (CSA)</t>
        </is>
      </c>
      <c r="L343" s="8" t="inlineStr">
        <is>
          <t>This section defines key terms used throughout the Cybersecurity (Provider-Owned Critical Information) Regulations, including 'owner-controlled interconnected computer or computer system', 'owner-controlled non-interconnected computer or computer system', 'relevant computer or computer system', and 'supplier-controlled interconnected computer or computer system'. It also defines 'working day' as any day except Saturday, Sunday, or public holiday. These definitions establish the technical and operational scope for critical information infrastructure in Singapore. This section mandates specific reporting obligations for cybersecurity incidents involving provider-owned critical information infrastructure in Singapore. Owners must submit detailed incident reports to the Commissioner within 2 hours of certain critical circumstances, provide supplementary details within 72 hours, and submit a final incident report within 30 days. The reporting must include incident details, impact on systems, business operations, and remedial measures. The Commissioner specifies the format and submission methods, including telephone, text message, or written reports via the official government website. T</t>
        </is>
      </c>
      <c r="M343" s="8" t="inlineStr">
        <is>
          <t>These definitions clarify the technical scope of critical information infrastructure and related systems, which is essential for determining data transfer and processing contexts in cross-border scenarios involving Singapore's critical infrastructure. This section establishes time-bound reporting requirements for cybersecurity incidents that affect critical infrastructure, directly impacting data transfer impact assessments by requiring detailed incident documentation and timely notifications to regulators for cross-border data security incidents involving critical systems.</t>
        </is>
      </c>
      <c r="N343" s="8" t="inlineStr">
        <is>
          <t>[Condition] In these Regulations, unless the context otherwise requires —
[Definition] "owner-controlled interconnected computer or computer system" means any computer or computer system under the control of the owner of a provider-owned critical information infrastructure, that is interconnected with or that communicates with the provider-owned critical information infrastructure
[Definition] "owner-controlled non-interconnected computer or computer system" means any computer or computer system under the control of the owner of a provider-owned critical information infrastructure, that is not the provider-owned critical information infrastructure or an owner-controlled interconnected computer or computer system
[Definition] "relevant computer or computer system" means — (a) a provider-owned critical information infrastructure; (b) an owner-controlled interconnected computer or computer system; (c) an owner-controlled non-interconnected computer or computer system; or (d) a supplier-controlled interconnected computer or computer system
[Definition] "supplier-controlled interconnected computer or computer system" means any computer or computer system under the control of a supplier to the owner of a provider-owned critical information infrastructure, that is interconnected with or that communicates with the provider-owned critical information infrastructure
[Definition] "working day" means any day except a Saturday, Sunday or public holiday
[Must] The owner must submit details of the cybersecurity incident within 2 hours after the occurrence of any circumstance mentioned in paragraph (2D) via telephone, text message, or written report on the government website.
[Must] The owner must provide supplementary details within 72 hours after the occurrence of the circumstance, to the fullest extent practicable, in the form specified on the government website.
[Must] The owner must submit a final incident report within 30 days (including Sundays and public holidays) after the initial submission, containing updated details and supplementary information.
[Must] The final incident report must include the details submitted under paragraphs (1)(a) and (2C), as well as any updates and supplementary details.
[Must] The owner must notify the Commissioner of the cybersecurity incident within 30 days after becoming aware of it, in a consolidated quarterly report.
[Must] The owner must provide the date and time of the incident, the affected critical information infrastructure, the owner's name and contact number, the computer system involved, the nature of the incident, its cause, resulting effects, and remedial measures.
[Definition] In this regulation, 'cybersecurity risk', in relation to a provider-owned critical information infrastructure, means the risk that a vulnerability in the cybersecurity of the provider-owned critical information infrastructure may be exploited by a cybersecurity threat or incident.</t>
        </is>
      </c>
      <c r="O343" s="8" t="inlineStr">
        <is>
          <t>In these Regulations, unless the context otherwise requires — "owner-controlled interconnected computer or computer system" means any computer or computer system under the control of the owner of a provider-owned critical information infrastructure, that is interconnected with or that communicates with the provider-owned critical information infrastructure; [S 678/2025 wef 31/10/2025]</t>
        </is>
      </c>
    </row>
    <row r="344">
      <c r="A344" t="inlineStr">
        <is>
          <t>Singapore</t>
        </is>
      </c>
      <c r="B344" t="inlineStr">
        <is>
          <t>ID18_24 (Singapore - Row 12)</t>
        </is>
      </c>
      <c r="C344" t="inlineStr">
        <is>
          <t>p1</t>
        </is>
      </c>
      <c r="D344" s="8" t="inlineStr">
        <is>
          <t>Circular No: ID 18/24</t>
        </is>
      </c>
      <c r="E344" t="inlineStr">
        <is>
          <t>1</t>
        </is>
      </c>
      <c r="F344" t="inlineStr">
        <is>
          <t>Other</t>
        </is>
      </c>
      <c r="G344" t="inlineStr">
        <is>
          <t>High</t>
        </is>
      </c>
      <c r="H344" t="inlineStr">
        <is>
          <t>High (explicit)</t>
        </is>
      </c>
      <c r="I344" s="8" t="inlineStr">
        <is>
          <t>Cross-border Transfer, Governance</t>
        </is>
      </c>
      <c r="J344" s="8" t="inlineStr">
        <is>
          <t>Customer Data</t>
        </is>
      </c>
      <c r="K344" t="inlineStr">
        <is>
          <t>Monetary Authority of Singapore (MAS)</t>
        </is>
      </c>
      <c r="L344" s="8" t="inlineStr">
        <is>
          <t>This section introduces the Monetary Authority of Singapore's (MAS) information paper on AI model risk management, targeting licensed insurers and Lloyd's Asia Scheme. It outlines good practices observed during a thematic review of financial institutions' AI model risk management, with emphasis on governance, oversight, key risk management systems, and AI development/deployment processes. The document encourages financial institutions to adopt these practices when implementing AI solutions.</t>
        </is>
      </c>
      <c r="M344" s="8" t="inlineStr">
        <is>
          <t>This section establishes foundational guidance for AI model risk management that may impact data transfer considerations when deploying AI systems across borders, particularly for financial institutions handling customer data through generative AI.</t>
        </is>
      </c>
      <c r="N344" s="8" t="inlineStr">
        <is>
          <t>[Must] MAS has published an information paper on 'Artificial Intelligence (AI) Model Risk Management'
[Must] The information paper is based on a thematic review of banks' AI (including Generative AI) model risk management practices in mid-2024
[Must] This information paper sets out good practices for AI model risk management that were observed during the review, focusing on governance and oversight, key risk management systems and processes, and development and deployment of AI
[Should] MAS encourages all financial institutions to reference these good practices when developing and deploying AI</t>
        </is>
      </c>
      <c r="O344" s="8" t="inlineStr">
        <is>
          <t>Circular No: ID 18/24
5 December 2024
To Chief Executives
All Licensed Insurers and Lloyd's Asia Scheme</t>
        </is>
      </c>
    </row>
    <row r="345">
      <c r="A345" t="inlineStr">
        <is>
          <t>Singapore</t>
        </is>
      </c>
      <c r="B345" t="inlineStr">
        <is>
          <t>ID18_24-2 (Singapore - Row 21)</t>
        </is>
      </c>
      <c r="C345" t="inlineStr">
        <is>
          <t>p1</t>
        </is>
      </c>
      <c r="D345" s="8" t="inlineStr">
        <is>
          <t>Circular No: ID 18/24</t>
        </is>
      </c>
      <c r="E345" t="inlineStr">
        <is>
          <t>1</t>
        </is>
      </c>
      <c r="F345" t="inlineStr">
        <is>
          <t>Other</t>
        </is>
      </c>
      <c r="G345" t="inlineStr">
        <is>
          <t>Medium</t>
        </is>
      </c>
      <c r="H345" t="inlineStr">
        <is>
          <t>High (explicit)</t>
        </is>
      </c>
      <c r="I345" s="8" t="inlineStr">
        <is>
          <t>Governance, Record Keeping</t>
        </is>
      </c>
      <c r="J345" s="8" t="inlineStr"/>
      <c r="K345" t="inlineStr">
        <is>
          <t>Monetary Authority of Singapore (MAS)</t>
        </is>
      </c>
      <c r="L345" s="8" t="inlineStr">
        <is>
          <t>This section introduces the Monetary Authority of Singapore's (MAS) information paper on AI model risk management, targeting licensed insurers and Lloyd's Asia Scheme. It outlines the purpose of the paper as a thematic review of AI model risk practices in mid-2024, emphasizing governance, oversight, and risk management systems. The document encourages financial institutions to adopt these good practices for AI development and deployment.</t>
        </is>
      </c>
      <c r="M345" s="8" t="inlineStr"/>
      <c r="N345" s="8" t="inlineStr">
        <is>
          <t>[Must] MAS has published an information paper on 'Artificial Intelligence (AI) Model Risk Management'
[Must] The information paper is based on a thematic review of banks' AI (including Generative AI) model risk management practices in mid-2024
[Must] This information paper sets out good practices for AI model risk management that were observed during the review, focusing on governance and oversight, key risk management systems and processes, and development and deployment of AI
[Should] MAS encourages all financial institutions to reference these good practices when developing and deploying AI</t>
        </is>
      </c>
      <c r="O345" s="8" t="inlineStr">
        <is>
          <t>Circular No: ID 18/24
5 December 2024
To Chief Executives
All Licensed Insurers and Lloyd's Asia Scheme</t>
        </is>
      </c>
    </row>
    <row r="346">
      <c r="A346" t="inlineStr">
        <is>
          <t>Singapore</t>
        </is>
      </c>
      <c r="B346" t="inlineStr">
        <is>
          <t>MAS Notices 644 655 644A 655A 1114 1118 Cancellation 2024 (Singapore - Row 18)</t>
        </is>
      </c>
      <c r="C346" t="inlineStr">
        <is>
          <t>1</t>
        </is>
      </c>
      <c r="D346" s="8" t="inlineStr">
        <is>
          <t>This Notice is issued under sections 55(1), 57D(1)(a) and (3) and 55(1) as applied by</t>
        </is>
      </c>
      <c r="E346" t="inlineStr">
        <is>
          <t>1</t>
        </is>
      </c>
      <c r="F346" t="inlineStr">
        <is>
          <t>Other</t>
        </is>
      </c>
      <c r="G346" t="inlineStr">
        <is>
          <t>None</t>
        </is>
      </c>
      <c r="H346" t="inlineStr">
        <is>
          <t>High (explicit)</t>
        </is>
      </c>
      <c r="I346" s="8" t="inlineStr"/>
      <c r="J346" s="8" t="inlineStr"/>
      <c r="K346" t="inlineStr"/>
      <c r="L346" s="8" t="inlineStr">
        <is>
          <t>This section states that the Notice is issued under specific sections of the Banking Act 1970, namely sections 55(1), 57D(1)(a) and (3), and 55(1) as applied by section 55ZJ(1). It establishes the legal basis for the Notice's issuance without imposing new obligations or conditions.</t>
        </is>
      </c>
      <c r="M346" s="8" t="inlineStr"/>
      <c r="N346" s="8" t="inlineStr">
        <is>
          <t>[Authorisation] This Notice is issued under sections 55(1), 57D(1)(a) and (3) and 55(1) as applied by section 55ZJ(1) of the Banking Act 1970.</t>
        </is>
      </c>
      <c r="O346" s="8" t="inlineStr">
        <is>
          <t>This Notice is issued under sections 55(1), 57D(1)(a) and (3) and 55(1) as applied by section 55ZJ(1) of the Banking Act 1970.</t>
        </is>
      </c>
    </row>
    <row r="347">
      <c r="A347" t="inlineStr">
        <is>
          <t>Singapore</t>
        </is>
      </c>
      <c r="B347" t="inlineStr">
        <is>
          <t>MAS Notices 644 655 644A 655A 1114 1118 Cancellation 2024 (Singapore - Row 18)</t>
        </is>
      </c>
      <c r="C347" t="inlineStr">
        <is>
          <t>2</t>
        </is>
      </c>
      <c r="D347" s="8" t="inlineStr">
        <is>
          <t>The following Notices are cancelled with effect from 10 May 2024:</t>
        </is>
      </c>
      <c r="E347" t="inlineStr">
        <is>
          <t>1</t>
        </is>
      </c>
      <c r="F347" t="inlineStr">
        <is>
          <t>Exemptions</t>
        </is>
      </c>
      <c r="G347" t="inlineStr">
        <is>
          <t>High</t>
        </is>
      </c>
      <c r="H347" t="inlineStr">
        <is>
          <t>High (explicit)</t>
        </is>
      </c>
      <c r="I347" s="8" t="inlineStr"/>
      <c r="J347" s="8" t="inlineStr"/>
      <c r="K347" t="inlineStr">
        <is>
          <t>MAS</t>
        </is>
      </c>
      <c r="L347" s="8" t="inlineStr">
        <is>
          <t>This section cancels six specific MAS Notices with effect from 10 May 2024, including notices related to technology risk management and cyber hygiene. The cancellation removes the legal obligations associated with these notices for financial institutions in Singapore.</t>
        </is>
      </c>
      <c r="M347" s="8" t="inlineStr">
        <is>
          <t>The cancellation of these notices affects data transfer and processing obligations by removing prior requirements for technology risk management and cyber hygiene, which may simplify DTIA processes for financial institutions.</t>
        </is>
      </c>
      <c r="N347" s="8" t="inlineStr">
        <is>
          <t>[Exemptions] The following Notices are cancelled with effect from 10 May 2024: (a) MAS Notice 644 "Notice on Technology Risk Management" dated 21 June 2013; (b) MAS Notice 655 "Notice on Cyber Hygiene" dated 6 August 2019; (c) MAS Notice 644A "Notice on Technology Risk Management" dated 21 June 2013; (d) MAS Notice 655A "Notice on Cyber Hygiene" dated 6 August 2019; (e) MAS Notice 1114 "Notice on Technology Risk Management" dated 1 July 2021; (f) MAS Notice 1118 "Notice on Cyber Hygiene" dated 1 July 2021.</t>
        </is>
      </c>
      <c r="O347" s="8" t="inlineStr">
        <is>
          <t>The following Notices are cancelled with effect from 10 May 2024: (a) MAS Notice 644 "Notice on Technology Risk Management" dated 21 June 2013; (b) MAS Notice 655 "Notice on Cyber Hygiene" dated 6 August 2019; (c) MAS Notice 644A "Notice on Technology Risk Management" dated 21 June 2013; (d) MAS Notice 655A "Notice on Cyber Hygiene" dated 6 August 2019; (e) MAS Notice 1114 "Notice on Technology Risk Management" dated 1 July 2021; (f) MAS Notice 1118 "Notice on Cyber Hygiene" dated 1 July 2021.</t>
        </is>
      </c>
    </row>
    <row r="348">
      <c r="A348" t="inlineStr">
        <is>
          <t>South Africa</t>
        </is>
      </c>
      <c r="B348" t="inlineStr">
        <is>
          <t>1. FSCA Conduct Standard 1 of 2025 - Requirements for FIs providing FE initiatives</t>
        </is>
      </c>
      <c r="C348" t="inlineStr">
        <is>
          <t>1</t>
        </is>
      </c>
      <c r="D348" s="8" t="inlineStr">
        <is>
          <t>Definitions</t>
        </is>
      </c>
      <c r="E348" t="inlineStr">
        <is>
          <t>2–3</t>
        </is>
      </c>
      <c r="F348" t="inlineStr">
        <is>
          <t>Definitions</t>
        </is>
      </c>
      <c r="G348" t="inlineStr">
        <is>
          <t>Medium</t>
        </is>
      </c>
      <c r="H348" t="inlineStr">
        <is>
          <t>High (explicit)</t>
        </is>
      </c>
      <c r="I348" s="8" t="inlineStr"/>
      <c r="J348" s="8" t="inlineStr">
        <is>
          <t>Personal Information</t>
        </is>
      </c>
      <c r="K348" t="inlineStr"/>
      <c r="L348" s="8" t="inlineStr">
        <is>
          <t>This section defines key terms used throughout the Conduct Standard, including 'the Act', 'Authority', 'evaluation', 'financial customer', 'financial education', 'financial education initiative', 'Financial Sector Code', 'GN500', 'monitoring', 'service provider', and 'target group'. These definitions establish the scope and meaning of critical concepts for financial institutions providing financial education initiatives, ensuring clarity in subsequent obligations.</t>
        </is>
      </c>
      <c r="M348" s="8" t="inlineStr"/>
      <c r="N348" s="8" t="inlineStr">
        <is>
          <t>[Definition] In this Schedule, 'the Act' means the Financial Sector Regulation Act, 2017
[Definition] 'Authority' means the Financial Sector Conduct Authority as defined in section 1 of the Act
[Definition] 'evaluation' means a systematic and objective assessment of an ongoing or completed financial education initiative, its design, implementation and results
[Definition] 'financial customer' has the meaning assigned to it in the Act, but also includes a potential financial customer
[Definition] 'financial education' means the process by which financial customers improve their understanding of financial products, financial product providers, financial services, financial service providers, financial concepts and risks and, through objective basic information, instruction and the like, aim to develop the skills and confidence to become more aware of financial risks and opportunities; make informed financial decision; manage their financial affairs more sustainably; know where to go for financial assistance and recourse; or take other effective actions to improve their financial well-being and the financial well-being of those under their responsibility
[Definition] 'financial education initiative' means any financial education programme, or other similar initiative or activity that is aimed at providing financial education, excluding any such initiative that is aimed at marketing or creating awareness surrounding a specific financial product or service, financial product provider or financial service provider
[Definition] 'Financial Sector Code' means the codes of good practice on broad based black economic empowerment issued by the Department of Trade and Industry under Government Notice
[Definition] 'GN500' means Guidance Notice GN500(A) on Code Series FS500, Statement 500 - the measurement of the consumer education element of broad-based black economic empowerment, issued by the Financial Sector Transformation Council and referenced in the FSC
[Definition] 'monitoring' means the regular collection and analysis of information about the progress of a financial education initiative
[Definition] 'service provider' means any person, whether or not that person is a representative or other agent of a financial institution, with whom a financial institution has an arrangement relating to the provision of financial education initiatives on the financial institution's behalf
[Definition] 'specific financial product or service' means the actual financial product provided by a financial product provider or actual financial service provided by a financial services provider
[Definition] 'target group' means any identifiable person or group of people, for example: youth; women; small, medium and micro-enterprises; older persons/pensioners; people living with disabilities; previously disadvantaged; underserved groups; people of a specific race; over-indebted individuals; individuals unable to repay debts; individuals unable to maintain insurance policy payments; and/or any other group characterised by an identified vulnerability</t>
        </is>
      </c>
      <c r="O348" s="8" t="inlineStr">
        <is>
          <t>In this Schedule, 'the Act' means the Financial Sector Regulation Act, 2017 () and any word or expression to which a meaning has been assigned in the Act bears the meaning so assigned to it, and unless the context otherwise indicates –</t>
        </is>
      </c>
    </row>
    <row r="349">
      <c r="A349" t="inlineStr">
        <is>
          <t>South Africa</t>
        </is>
      </c>
      <c r="B349" t="inlineStr">
        <is>
          <t>1. FSCA Conduct Standard 1 of 2025 - Requirements for FIs providing FE initiatives</t>
        </is>
      </c>
      <c r="C349" t="inlineStr">
        <is>
          <t>2</t>
        </is>
      </c>
      <c r="D349" s="8" t="inlineStr">
        <is>
          <t>Application, purpose and proportional application</t>
        </is>
      </c>
      <c r="E349" t="inlineStr">
        <is>
          <t>3</t>
        </is>
      </c>
      <c r="F349" t="inlineStr">
        <is>
          <t>Cross-border Transfer</t>
        </is>
      </c>
      <c r="G349" t="inlineStr">
        <is>
          <t>High</t>
        </is>
      </c>
      <c r="H349" t="inlineStr">
        <is>
          <t>High (explicit)</t>
        </is>
      </c>
      <c r="I349" s="8" t="inlineStr">
        <is>
          <t>Cross-border Transfer, International Processing, Data Storage, Security, Governance, Record Keeping</t>
        </is>
      </c>
      <c r="J349" s="8" t="inlineStr">
        <is>
          <t>Personal Information</t>
        </is>
      </c>
      <c r="K349" t="inlineStr">
        <is>
          <t>Financial Sector Conduct Authority</t>
        </is>
      </c>
      <c r="L349" s="8" t="inlineStr">
        <is>
          <t>This section specifies that the Conduct Standard applies only when financial institutions provide or offer financial education initiatives, including those delivered by service providers. It outlines the purpose of ensuring financial customers' protection through appropriate financial education initiatives and requires financial institutions to take reasonable steps for governance and oversight in developing, implementing, monitoring, and evaluating initiatives while reporting effectiveness to the Authority. The requirements are proportional to the institution's size, complexity, and risk profile.</t>
        </is>
      </c>
      <c r="M349" s="8" t="inlineStr">
        <is>
          <t>This section establishes that financial education initiatives must be designed and implemented with appropriate governance and oversight to ensure effectiveness and compliance with regulatory reporting, which impacts data transfer and processing across borders for financial institutions.</t>
        </is>
      </c>
      <c r="N349" s="8" t="inlineStr">
        <is>
          <t>[Must] This Conduct Standard is only applicable where a financial institution provides or offers a financial education initiative, including the provision of a financial education initiative by a service provider
[Must] The purpose of this Conduct Standard is aimed at ensuring the protection of financial customers by ensuring that financial education initiatives provided by financial institutions are appropriate and support the ability of financial customers to make more informed and/or sound financial decisions about their personal finances or others that fall under their responsibility, as well as the financial health of their small, medium and micro-enterprises
[Must] The purpose of this Conduct Standard is aimed at ensuring that a financial institution providing financial education initiatives takes reasonable steps to ensure appropriate standards of behaviour, governance and oversight when developing content, implementing, monitoring and evaluating a financial education initiative; and reporting on the effectiveness, efficiency and appropriateness of a financial education initiative, including reporting to the Authority
[Condition] The requirements in this Conduct Standard, where appropriate, may be applied in a manner that is proportional to the nature, size, complexity and risk profile of the financial institution concerned as well as the nature and target group of the relevant financial education initiative</t>
        </is>
      </c>
      <c r="O349" s="8" t="inlineStr">
        <is>
          <t>This Conduct Standard is only applicable where a financial institution provides or offers a financial education initiative, including the provision of a financial education initiative by a service provider.</t>
        </is>
      </c>
    </row>
    <row r="350">
      <c r="A350" t="inlineStr">
        <is>
          <t>South Africa</t>
        </is>
      </c>
      <c r="B350" t="inlineStr">
        <is>
          <t>1. FSCA Conduct Standard 1 of 2025 - Requirements for FIs providing FE initiatives</t>
        </is>
      </c>
      <c r="C350" t="inlineStr">
        <is>
          <t>3</t>
        </is>
      </c>
      <c r="D350" s="8" t="inlineStr">
        <is>
          <t>Governance arrangements</t>
        </is>
      </c>
      <c r="E350" t="inlineStr">
        <is>
          <t>3–4</t>
        </is>
      </c>
      <c r="F350" t="inlineStr">
        <is>
          <t>Governance</t>
        </is>
      </c>
      <c r="G350" t="inlineStr">
        <is>
          <t>High</t>
        </is>
      </c>
      <c r="H350" t="inlineStr">
        <is>
          <t>High (explicit)</t>
        </is>
      </c>
      <c r="I350" s="8" t="inlineStr">
        <is>
          <t>Governance, Record Keeping, Data Storage, Security</t>
        </is>
      </c>
      <c r="J350" s="8" t="inlineStr">
        <is>
          <t>Personal Information</t>
        </is>
      </c>
      <c r="K350" t="inlineStr">
        <is>
          <t>Financial Sector Conduct Authority</t>
        </is>
      </c>
      <c r="L350" s="8" t="inlineStr">
        <is>
          <t>This section mandates that financial institutions must establish appropriate governance arrangements to oversee the design and implementation of financial education initiatives, including ongoing monitoring and review of their suitability and effectiveness. It requires robust systems for reporting to the Authority, ensuring staff and service providers possess necessary skills, and maintaining accountability for regulatory obligations regardless of whether initiatives are delivered by the institution or a service provider.</t>
        </is>
      </c>
      <c r="M350" s="8" t="inlineStr">
        <is>
          <t>Financial institutions must implement governance structures to ensure effective oversight of financial education initiatives, which impacts data handling and transfer practices across borders by requiring regular monitoring, reporting, and accountability mechanisms.</t>
        </is>
      </c>
      <c r="N350" s="8" t="inlineStr">
        <is>
          <t>[Must] A financial institution must have appropriate governance arrangements in place to oversee the design and implementation of financial education initiatives
[Must] The governance arrangements referred to in subparagraph (1) must include establishing and implementing appropriate oversight arrangements to monitor and review the design, suitability and effectiveness of its financial education initiatives on an ongoing basis
[Must] A financial institution must have appropriate systems, processes, policies and controls in place to ensure appropriate reporting on financial education initiatives, pre- and post-implementation, to the Authority
[Must] A financial institution must take reasonable steps to ensure that the relevant employee and service provider responsible for the design and implementation of a financial education initiative possesses the necessary skills, knowledge and expertise to fulfil their functions
[Must] A financial institution must take reasonable steps to ensure that the governance arrangements referred to in this paragraph also apply to a service provider, including that it obtains sufficient information from that service provider, to ensure that these financial education initiatives are, and remain, effective in achieving the intended outcomes
[Must] A financial institution retains responsibility and accountability for all regulatory obligations pertaining to the provision of financial education initiatives as set out in this Conduct Standard, regardless of whether such financial education initiative is performed by the financial institution itself or by a service provider</t>
        </is>
      </c>
      <c r="O350" s="8" t="inlineStr">
        <is>
          <t>A financial institution must have appropriate governance arrangements in place to oversee the design and implementation of financial education initiatives.</t>
        </is>
      </c>
    </row>
    <row r="351">
      <c r="A351" t="inlineStr">
        <is>
          <t>South Africa</t>
        </is>
      </c>
      <c r="B351" t="inlineStr">
        <is>
          <t>1. FSCA Conduct Standard 1 of 2025 - Requirements for FIs providing FE initiatives</t>
        </is>
      </c>
      <c r="C351" t="inlineStr">
        <is>
          <t>4</t>
        </is>
      </c>
      <c r="D351" s="8" t="inlineStr">
        <is>
          <t>Design and development requirements for financial education initiatives</t>
        </is>
      </c>
      <c r="E351" t="inlineStr">
        <is>
          <t>4</t>
        </is>
      </c>
      <c r="F351" t="inlineStr">
        <is>
          <t>Data Collection</t>
        </is>
      </c>
      <c r="G351" t="inlineStr">
        <is>
          <t>High</t>
        </is>
      </c>
      <c r="H351" t="inlineStr">
        <is>
          <t>High (explicit)</t>
        </is>
      </c>
      <c r="I351" s="8" t="inlineStr">
        <is>
          <t>Data Sharing, Data Storage, Security</t>
        </is>
      </c>
      <c r="J351" s="8" t="inlineStr">
        <is>
          <t>Personal Information</t>
        </is>
      </c>
      <c r="K351" t="inlineStr">
        <is>
          <t>Financial Sector Conduct Authority</t>
        </is>
      </c>
      <c r="L351" s="8" t="inlineStr">
        <is>
          <t>This section requires financial education initiatives to aim at enabling individuals and small businesses to make informed financial decisions and encourage positive behavioral change. It mandates that content must be based on objective information, targeted appropriately to the audience, distinct from marketing activities, and brand agnostic while unpacking financial concepts. Delivery platforms must be suitable for the target group to ensure effective reach.</t>
        </is>
      </c>
      <c r="M351" s="8" t="inlineStr">
        <is>
          <t>Financial education initiatives must be designed with clear objectives and appropriate content to ensure effectiveness, which impacts data collection and processing practices across borders by requiring content to be non-marketing focused and tailored to specific vulnerable groups.</t>
        </is>
      </c>
      <c r="N351" s="8" t="inlineStr">
        <is>
          <t>[Should] Financial education initiative provided by a financial institution should aim to enable natural persons and small, medium and micro-enterprises to make more informed decisions, about their own finances and financial well-being or the finances and financial well-being of others that fall under their responsibility
[Should] Financial education initiative provided by a financial institution should aim to in respect of financial decision making, encourage positive customer behaviour, influence behavioural change and contribute to long-term skills development
[May] A financial institution may use any delivery platform for a financial education initiative, provided that the delivery platform is appropriate for the type of financial education initiative and the identified target group, to ensure appropriate and effective reach
[Must] The content of a financial education initiative provided by a financial institution must be based on objective and impartial information, generally accepted methodologies, research and trends
[Must] The content of a financial education initiative provided by a financial institution must be targeted suitably at the appropriate target group, taking into account the identified needs of the target group and financial inclusion objectives
[Must] The content of a financial education initiative provided by a financial institution must be distinct from any brand specific financial product or financial service sales process or marketing campaign
[Must] The content of a financial education initiative provided by a financial institution must be brand agnostic, but may unpack the meaning of different types of financial concepts and terms related to a particular financial product or financial service, or categories of financial products or financial services</t>
        </is>
      </c>
      <c r="O351" s="8" t="inlineStr">
        <is>
          <t>The content of a financial education initiative provided by a financial institution must be based on objective and impartial information, generally accepted methodologies, research and trends.</t>
        </is>
      </c>
    </row>
    <row r="352">
      <c r="A352" t="inlineStr">
        <is>
          <t>South Africa</t>
        </is>
      </c>
      <c r="B352" t="inlineStr">
        <is>
          <t>1. FSCA Conduct Standard 1 of 2025 - Requirements for FIs providing FE initiatives</t>
        </is>
      </c>
      <c r="C352" t="inlineStr">
        <is>
          <t>5</t>
        </is>
      </c>
      <c r="D352" s="8" t="inlineStr">
        <is>
          <t>Location and logistics</t>
        </is>
      </c>
      <c r="E352" t="inlineStr">
        <is>
          <t>4–5</t>
        </is>
      </c>
      <c r="F352" t="inlineStr">
        <is>
          <t>Data Storage</t>
        </is>
      </c>
      <c r="G352" t="inlineStr">
        <is>
          <t>High</t>
        </is>
      </c>
      <c r="H352" t="inlineStr">
        <is>
          <t>High (explicit)</t>
        </is>
      </c>
      <c r="I352" s="8" t="inlineStr">
        <is>
          <t>Data Storage, Data Sharing, Security, Incident Reporting, Breach Notification</t>
        </is>
      </c>
      <c r="J352" s="8" t="inlineStr">
        <is>
          <t>Personal Information</t>
        </is>
      </c>
      <c r="K352" t="inlineStr">
        <is>
          <t>Financial Sector Conduct Authority</t>
        </is>
      </c>
      <c r="L352" s="8" t="inlineStr">
        <is>
          <t>This section requires financial institutions to use appropriate locations for face-to-face initiatives and virtual platforms for online initiatives to ensure effectiveness. It mandates contingency plans for unforeseen circumstances and requires measurable outcomes for financial education initiatives to demonstrate effectiveness and impact. It also prohibits using initiatives for excessive marketing or sales of specific financial products.</t>
        </is>
      </c>
      <c r="M352" s="8" t="inlineStr">
        <is>
          <t>Financial institutions must ensure effective delivery of financial education initiatives through appropriate locations and platforms, which impacts data storage and transfer practices across borders by requiring contingency planning and measurable outcomes.</t>
        </is>
      </c>
      <c r="N352" s="8" t="inlineStr">
        <is>
          <t>[Must] A financial institution providing face-to-face financial education initiatives must utilise a location that is appropriate for this purpose to ensure that the financial education initiative is effective
[Must] A financial institution providing virtual financial education initiatives must ensure that the virtual platform is appropriate for this purpose to ensure that the financial education initiative is effective
[Should] A financial institution should consider contingency plans for unforeseen circumstances regarding implementation of financial education initiatives
[Must] The outcomes of financial education initiatives must be measurable in order to demonstrate effectiveness and measure impact
[Must] The manner used by a financial institution to measure the outcomes of each financial education initiative provided must be appropriate for the specific initiative and relate directly to the outcome
[Must] A financial institution must monitor and evaluate each financial education initiative that is provided to assess its effectiveness, identify areas for improvement, and collect data which can and should (where relevant) be used to improve the effectiveness of future programmes
[Must Not] A financial institution may not use a financial education initiative for excessive marketing of a specific brand or financial institution
[Must Not] A financial institution may not use a financial education initiative for marketing and sales of a specific financial product or financial service</t>
        </is>
      </c>
      <c r="O352" s="8" t="inlineStr">
        <is>
          <t>A financial institution providing face-to-face financial education initiatives must utilise a location that is appropriate for this purpose to ensure that the financial education initiative is effective.</t>
        </is>
      </c>
    </row>
    <row r="353">
      <c r="A353" t="inlineStr">
        <is>
          <t>South Africa</t>
        </is>
      </c>
      <c r="B353" t="inlineStr">
        <is>
          <t>2002-070</t>
        </is>
      </c>
      <c r="C353" t="inlineStr">
        <is>
          <t>3</t>
        </is>
      </c>
      <c r="D353" s="8" t="inlineStr">
        <is>
          <t>General Intelligence Laws</t>
        </is>
      </c>
      <c r="E353" t="inlineStr">
        <is>
          <t>1–19</t>
        </is>
      </c>
      <c r="F353" t="inlineStr">
        <is>
          <t>Definitions</t>
        </is>
      </c>
      <c r="G353" t="inlineStr">
        <is>
          <t>Medium</t>
        </is>
      </c>
      <c r="H353" t="inlineStr">
        <is>
          <t>Medium (merged from chunks)</t>
        </is>
      </c>
      <c r="I353" s="8" t="inlineStr">
        <is>
          <t>Cross-border Transfer, International Processing, Data Storage,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J353" s="8" t="inlineStr">
        <is>
          <t>Personal Information, Financial Data, Customer Data, Employee Data, Health Data, Children's Data, Biometric Data, Special Personal Information</t>
        </is>
      </c>
      <c r="K353" t="inlineStr">
        <is>
          <t>Parliament of the Republic of South Africa</t>
        </is>
      </c>
      <c r="L353" s="8" t="inlineStr">
        <is>
          <t>This section prohibits the interception of communications and outlines exceptions where interception may occur, such as when authorized by law, for emergency purposes, or with consent from the communication party. It specifies that interception must be conducted under legal directions and entry warrants issued by authorized law enforcement agencies, and requires that certain telecommunication service providers and decryption key holders assist in executing these warrants. This section provides detailed definitions for key terms used throughout the Electronic Communications Act, including 'address', 'Agency', 'applicant', 'archived communication-related direction', 'archived communication-related information', 'authorised person', 'Authority', 'business', 'cellular phone', 'communication', 'communication-related information', 'Constitution', 'contents', 'customer', 'decryption assistance', 'decryption direction', 'decryption key', 'decryption key holder', 'Defence Act', 'Defence Force', 'designated judge', 'direct communication', 'direction', 'Director', 'Directorate', 'electronic communication service provider', 'electronic communication system', 'Electronic Communications Act', 'e</t>
        </is>
      </c>
      <c r="M353" s="8" t="inlineStr">
        <is>
          <t>This section establishes conditions under which communication interception is permitted, requiring legal authorization and specific exceptions. It impacts data transfer impact assessments by defining when interception of communications can occur across borders, particularly involving telecommunication service providers and law enforcement agencies. These definitions establish the legal framework for identifying data types and communication channels relevant to intelligence operations, which may impact cross-border data transfers involving identification documents or intercepted communications.</t>
        </is>
      </c>
      <c r="N353" s="8" t="inlineStr">
        <is>
          <t>[Must Not] Prohibits interception of communications without authorization
[Must] Allows interception under legal directions and entry warrants
[Must] Permits interception for emergency purposes to prevent serious bodily harm
[Must] Permits interception with consent of the communication party
[Must] Permits interception for business purposes with consent
[[]] usually receives his or her post; or
[[]] in the case of a juristic person, the registered address or the address where the business is situated;
[[]] 'Agency' means the Agency as defined in section 1 of the Intelligence Services Act;
[[]] applicant' means-
[[]] an officer referred to in section 33 of the South African Police Service Act, if the officer concerned obtained in writing the approval in advance of another officer in the Police Service with at least the rank of assistant-commissioner and who has been authorised in writing by the National Commissioner to grant such approval;
[[]] an officer as defined in section 1 of the Defence Act, if the officer concerned obtained in writing the approval in advance of another officer in the Defence Force with at least the rank of major-general and who has been authorised in writing by the Chief of the Defence Force to grant such approval;
[[]] a member as defined in section 1 of the Intelligence Services Act, if the member concerned obtained in writing the approval in advance of another member of the Agency, holding a post of at least general manager;
[[]] the head of the Directorate or an Investigating Director authorised thereto in writing by the head of the Directorate;
[[]] a member of a component referred to in paragraph (e) of the definition of 'law enforcement agency', authorised thereto in writing by the National Director;
[[]] a member of the Independent Directorate, if the member concerned obtained in writing the approval in advance of the Executive Director;
[[]] 'archived communication-related direction' means a direction issued under section 18 (3) (a) or 19 (3) in terms of which a telecommunication service provider is directed to provide archived communication-related information in respect of a customer;
[[]] 'archived communication-related information' means any communication-related information in the possession of a telecommunication service provider and which is being stored by that telecommunication service provider in terms of section 30 (1) (b) for the period determined in a directive referred to in section 30 (2) (a), beginning on the first day immediately following the expiration of a period of 90 days after the date of the transmission of the indirect communication to which that communication-related information relates;
[[]] 'authorised person' means any-
[[]] law enforcement officer who may, in terms of section 26 (1) (a) (i), execute a direction;
[[]] law enforcement officer or other person who may, in terms of section 26 (1) (a) (ii), assist with the execution of a direction;
[[]] 'Authority' means the Independent Communications Authority of South Africa established by section 3 of the Independent Communications Authority of South Africa Act, 2000 (Act 13 of 2000);
[[]] 'business' means any business activity conducted by any person, including activities of any private or public body;
[[]] 'cellular phone' means any fixed or mobile cellular apparatus or terminal which is capable of connection to a cellular telecommunication system and which is used by a customer to transmit or receive indirect communications over such telecommunication system;
[[]] 'communication' includes both a direct communication and an indirect communication;
[[]] 'communication-related information' means any information relating to an indirect communication which is available in the records of a telecommunication service provider, and includes switching, dialling or signalling information that identifies the origin, destination, termination, duration, and equipment used in respect, of each indirect communication generated or received by a customer or user of any equipment, facility or service provided by such a telecommunication service provider and, where applicable, the location of the user within the telecommunication system;
[[]] 'Constitution' means the Constitution of the Republic of South Africa, 1996 (Act 108 of 1996);
[[]] 'contents', when used with respect to any communication, includes any information concerning the substance, purport or meaning of that communication;
[[]] 'customer' means any person-
[[]] to whom an electronic communication service provider provides an electronic communications service, including an employee of the electronic communication service provider or any person who receives or received such service as a gift, reward, favour, benefit or donation;
[[]] who has entered into a contract with an electronic communication service provider for the provision of an electronic communications service, including a pre-paid electronic communications service; or
[[]] where applicable-
[[]] (i) to whom an electronic communication service provider in the past has provided an electronic communications service; or
[[]] (ii) who has, in the past, entered into a contract with an electronic communication service provider for the provision of an electronic communications service, including a pre-paid electronic communications service;
[[]] 'decryption assistance' means to-
[[]] allow access, to the extent possible, to encrypted information; or
[[]] facilitate the putting of encrypted information into an intelligible form;
[[]] 'decryption direction' means a direction issued under section 21 (3) in terms of which a decryption key holder is directed to-
[[]] disclose a decryption key; or
[[]] provide decryption assistance in respect of encrypted information, and includes an oral decryption direction issued under section 23 (7);
[[]] 'decryption key' means any key, mathematical formula, code, password, algorithm or any other data which is used to-
[[]] allow access to encrypted information; or
[[]] 'decryption key holder' means any person who is in possession of a decryption key for purposes of subsequent decryption of encrypted information relating to indirect communications;
[[]] 'Defence Act' means the Defence Act, 1957 (Act 44 of 1957);
[[]] 'Defence Force' means the defence force referred to in section 199 (2) of the Constitution;
[[]] 'designated judge' means any judge of a High Court discharged from active service under section 3 (2) of the Judges' Remuneration and Conditions of Employment Act, 2001 (Act 47 of 2001), or any retired judge, who is designated by the Minister to perform the functions of a designated judge for purposes of this Act;
[[]] 'direct communication' means an-
[[]] oral communication, other than an indirect communication, between two or more persons which occurs in the immediate presence of all the persons participating in that communication; or
[[]] utterance by a person who is participating in an indirect communication, if the utterance is audible to another person who, at the time that the indirect communication occurs, is in the immediate presence of the person participating in the indirect communication;
[[]] 'direction' means any interception direction, real-time communication-related direction, archived communication-related direction or decryption direction issued under this Act, and includes an oral direction issued under section 23 (7), but, for purposes of section 20, excludes an archived communication-related direction;
[[]] 'Director' means the Director: Office for Interception Centres, seconded in terms of section 34 (1);
[[]] 'Directorate' means an Investigating Directorate or the Investigating Directorate against Corruption referred to in section 1 of the National Prosecuting Authority Act;
[[]] 'electronic communication service provider' means any-
[[]] person who provides an electronic communication service under and in accordance with a[n] electronic communication service licence issued to such person under Chapter 3 of the Electronic Communications Act, and includes any person who provides-
[[]] (i) a local access communication service, public pay-telephone service, value-added network service or private electronic communication network as defined in the Electronic Communications Act; or
[[]] (ii) any other electronic communication service licensed or deemed to be licensed or exempted from being licensed as such in terms of the Electronic Communications Act; and
[[]] Internet service provider;
[[]] 'electronic communication system' means any system or series of electronic communication facilities or radio, optical or other electromagnetic apparatus or any similar technical system used for the purpose of electronic communication, whether or not such electronic communication is subject to re-arrangement, composition or other processes by any means in the course of their transmission or emission or reception;
[[]] 'Electronic Communications Act' means the Electronic Communications Act, 2005;
[[]] 'electronic communications service' means electronic communications service as defined in the Electronic Communications Act;
[[]] 'encrypted information' means any electronic data which, without the decryption key to that data-
[[]] cannot, or cannot readily, be accessed; or
[[]] cannot, or cannot readily, be put into an intelligible form;
[[]] 'entry warrant' means a warrant issued under section 22 (3) and which authorises entry upon any premises for purposes of-
[[]] intercepting a postal article or communication on the premises; or
[[]] installing and maintaining an interception device on, and removing an interception device from, the premises, and includes an oral entry warrant issued under section 23 (7);
[[]] 'Executive Director' means the Executive Director appointed in terms of section 5 (1) of the Independent Police Investigative Directorate Act, 2010 [sic];
[[]] 'family member' means-
[[]] a person who is related to another person-
[[]] (i) biologically; or
[[]] (ii) by statutory, customary or religious law, including affinity by marriage, adoption or foster care;
[[]] a person's permanent life partner; or
[[]] in the case of an orphan, a care-giver as defined in the Children's Act, 2005 (Act 38 of 2005);
[[]] 'fixed date' means the date of commencement of this Act;
[[]] 'Fund' means the Internet Service Providers Assistance Fund established by section 38 (1);
[[]] 'Identification Act' means the Identification Act, 1997 (Act 68 of 1997);
[[]] 'identification document' means, in the case of a person-
[[]] who is a South African citizen or is lawfully and permanently resident in the Republic-
[[]] (i) a green, bar-coded identity document issued in terms of section 8 of the Identification Act, 1986 (Act 72 of 1986), until such identity document is replaced by an identity card as contemplated in section 25 of the Identification Act;
[[]] (ii) an identity card issued in terms of section 14 of the Identification Act;
[[]] (iii) a temporary identity certificate issued in terms of section 16 of the Identification Act; or
[[]] (iv) a South African passport issued in terms of the South African Passports and Travel Documents Act, 1994 (Act 4 of 1994);
[Definition] 'Identification Act' means the Identification Act, 1997 (Act 68 of 1997)
[Definition] 'identification document' means, in the case of a person who is a South African citizen or is lawfully and permanently resident in the Republic, a green, bar-coded identity document issued in terms of section 8 of the Identification Act, 1986 (Act 72 of 1986), until such identity document is replaced by an identity card as contemplated in section 25 of the Identification Act
[Definition] 'identification document' means, in the case of a person who is not a South African citizen or not permanently resident in the Republic, excluding a refugee, a valid passport or travel document as contemplated in paragraphs (b) and (c) of the definition of 'passport' in the Immigration Act, 2002 (Act 13 of 2002)
[Definition] 'identification document' means, in the case of a refugee, a valid identity document issued in terms of section 30 of the Refugees Act, 1998 (Act 130 of 1998)
[Definition] 'identity number' means the number referred to as the identity number in the document contemplated in paragraph (a) (i), (ii) or (iii) of the definition of 'identification document' or the number referred to as the passport number in the document contemplated in paragraph (a) (iv) of the definition of 'identification document'
[Definition] 'identity number' means the number referred to as the passport number in the document contemplated in paragraph (b) of the definition of 'identification document'
[Definition] 'identity number' means the number referred to as the identity number in the document contemplated in paragraph (c) of the definition of 'identification document'
[Definition] 'Independent Directorate' means the Independent Police Investigative Directorate established by section 2 of the Independent Police Investigative Directorate Act, 2010
[Definition] 'indirect communication' means the transfer of information, including a message or any part of a message, whether in the form of speech, music or other sounds, data, text, visual images, signals, or radio frequency spectrum, that is transmitted in whole or in part by means of a postal service or a telecommunication system
[Definition] 'informal settlement' means a place in an urban or rural setting used for residential purposes and in respect of which no physical addresses or street particulars are officially assigned
[Definition] 'Intelligence Services Act' means the Intelligence Services Act, 2002 (Act 65 of 2002)
[Definition] 'intelligible form' means the form in which electronic data was before an encryption or similar process was applied to it
[Definition] 'intercept' means the aural or other acquisition of the contents of any communication through the use of any means, including an interception device, so as to make some or all of the contents of a communication available to a person other than the sender or recipient or intended recipient of that communication
[Definition] 'interception centre' means an interception centre established by section 32 (1) (a)
[Definition] 'interception device' means any electronic, mechanical or other instrument, device, equipment or apparatus which is used or can be used, whether by itself or in combination with any other instrument, device, equipment or apparatus, to intercept any communication
[Definition] 'interception direction' means a direction issued under section 16 (4) or 18 (3) (a) and which authorises the interception, at any place in the Republic, of any communication in the course of its occurrence or transmission
[Definition] 'Internet' means the international computer network known by that name
[Definition] 'internet service provider' means any person who provides access to, or any other service related to, the Internet to another person, whether or not such access or service is provided under and in accordance with an electronic communication service licence issued to the first-mentioned person under Chapter 3 of the Electronic Communications Act
[Definition] 'law enforcement agency' means the Police Service, the Defence Force, the Agency, the Directorate, or any component of the prosecuting authority, designated by the National Director to specialise in the application of Chapter 6 of the Prevention of Organised Crime Act
[Definition] 'law enforcement officer' means any member of the Police Service, the Defence Force (excluding a member of a visiting force), the Agency, the Directorate, or any component referred to in paragraph (e) of the definition of 'law enforcement agency'
[Definition] 'listed equipment' means any equipment declared to be listed equipment under section 44 (1) (a), and includes any component of such equipment
[Definition] 'Minister' means the Cabinet member responsible for the administration of justice, except in Chapter 6 where it means the Cabinet member responsible for state security
[Definition] 'monitor' includes to listen to or record communications by means of a monitoring device, and 'monitoring' has a corresponding meaning
[Definition] 'monitoring device' means any electronic, mechanical or other instrument, device, equipment or apparatus which is used or can be used, whether by itself or in combination with any other instrument, device, equipment or apparatus, to listen to or record any communication
[Definition] 'National Commissioner' means the National Commissioner referred to in section 6 (1) of the South African Police Service Act
[Definition] 'National Director' means the National Director of Public Prosecutions contemplated in section 179 (1) (a) of the Constitution
[Definition] 'National Prosecuting Authority Act' means the National Prosecuting Authority Act, 1998 (Act 32 of 1998)
[Definition] 'Office' means the Office for Interception Centres established by section 33
[Definition] 'oral direction' means any direction issued under section 23 (7)
[Definition] 'oral entry warrant' means an entry warrant issued under section 23 (7)
[Definition] 'party to the communication' means, in the case of a direct communication, any person participating in such direct communication or to whom such direct communication is directed, or in whose immediate presence such direct communication occurs and is audible to the person concerned
[Definition] 'Police Service' means the South African Police Service established by section 5 (1) of the South African Police Service Act
[Definition] 'postal article' means any postal article as defined in the Postal Services Act
[Definition] 'postal service' means a postal service as defined in the Postal Services Act, and includes any private postal service or service which is offered or provided as a service of which the main purpose is to make available, or to facilitate, a means of transmission from one place to another place of postal articles containing indirect communications
[Definition] 'Postal Services Act' means the Postal Services Act, 1998 (Act 124 of 1998)
[Definition] 'postal service provider' means any person who provides a postal service
[Definition] 'premises' includes any land, building, structure, vehicle, ship, boat, vessel, aircraft or container
[Definition] 'Prevention of Organised Crime Act' means the Prevention of Organised Crime Act, 1998 (Act 121 of 1998)
[Definition] 'private body' means a natural person who carries on any trade, business or profession, a partnership which carries on any trade, business or profession, or any juristic person, but excludes a public body
[Definition] 'prosecuting authority' means the national prosecuting authority established by section 179 of the Constitution
[Definition] 'public body' means any department of state or administration in the national or provincial sphere of government or any municipality in the local sphere of government, or other functionary or institution when exercising a power or performing a duty in terms of the Constitution or a provincial constitution, or exercising a public power or performing a public function in terms of any legislation
[Definition] 'real-time communication-related direction' means a direction issued under section 17 (3) or 18 (3) in terms of which a telecommunication service provider is directed to provide real-time communication-related information in respect of a customer, on an ongoing basis, as it becomes available
[Definition] real-time communication-related direction means a direction issued under section 17 (3) or 18 (3) in terms of which a telecommunication service provider is directed to provide real-time communication-related information in respect of a customer, on an ongoing basis, as it becomes available, and includes an oral real-time communication-related direction issued under section 23 (7)
[Definition] real-time communication-related information means communication-related information which is immediately available to a telecommunication service provider before, during, or for a period of 90 days after, the transmission of an indirect communication, and in a manner that allows the communication-related information to be associated with the indirect communication to which it relates
[Definition] relevant Ministers means the Cabinet members responsible for communications, defence, state security, and policing, except in Chapter 6 where it means the Cabinet members referred to in paragraphs (a), (b) and (d) and the Cabinet member responsible for the administration of justice
[Definition] serious offence means any offence mentioned in Schedule 1 or an offence that is allegedly being or has allegedly been or will probably be committed by a person, group of persons or syndicate acting in an organised fashion with specific characteristics
[Definition] SIM-card means the Subscriber Identity Module which is an independent, electronically activated device designed for use in conjunction with a cellular phone to enable the user of the cellular phone to transmit and receive indirect communications
[Definition] South African Police Service Act means the South African Police Service Act, 1995 (Act 68 of 1995)
[Definition] system controller of, or in relation to a private body means, in the case of a natural person, that natural person or any person duly authorised by that natural person; for a partnership, any partner of the partnership or any person duly authorised by the partnership; for a juristic person, the chief executive officer or equivalent officer of the juristic person or any person duly authorised by that officer
[Definition] system controller of, or in relation to a public body means, in the case of a national department, provincial administration or organisational component, the officer who is the incumbent of the post bearing the designation mentioned in Column 2 of Schedule 1 or 3 to the Public Service Act, 1994 (Proclamation 103 of 1994), or the Director-General, head, executive director or equivalent officer, respectively, of that national department, provincial administration or organisational component
[Definition] Telecommunications Act means the Telecommunications Act, 1996 (Act 103 of 1996)
[Must] Law enforcement officers may intercept communications if they have reasonable grounds to believe a party caused or may cause serious bodily harm, threatens bodily harm, or threatens self-harm.
[Must] Law enforcement officers must be of the opinion that urgent interception is not reasonably practicable to obtain an interception direction.
[Must] The sole purpose of interception must be to prevent serious bodily harm.
[Must] Telecommunication service providers must route duplicate signals of intercepted communications to the designated interception center upon request.
[Must] Law enforcement officers must provide written confirmation of interception requests to telecommunication providers.
[Must] Law enforcement officers must submit to a designated judge a copy of written confirmation, affidavit of interception results, and recordings/transcripts within practicable time.
[Must] Telecommunication service providers must submit an affidavit to a designated judge detailing steps taken and results of interception.
[Must] Designated judges must retain all written confirmations, affidavits, recordings, transcripts, and notes for at least five years.
[Must Not] no telecommunication service provider or employee of a telecommunication service provider may intentionally provide or attempt to provide any real-time or archived communication-related information to any person other than the customer of the telecommunication service provider concerned to whom such real-time or archived communication-related information relates
[May] any telecommunication service provider to whom a real-time communication-related direction or an archived communication-related direction is addressed, may provide any real-time or archived communication-related information to which that real-time communication-related direction or archived communication-related direction relates
[May] any telecommunication service provider may, upon the written authorisation given by his or her customer on each occasion, and subject to the conditions determined by the customer concerned, provide to any person specified by that customer, real-time or archived communication-related information which relates to the customer concerned
[Must] The place at which the communication is to be intercepted must be determined by the authorised person who executes the interception direction or assists with its execution.
[May] A telecommunication service provider may in writing apply to a designated judge for amendment or cancellation of an interception direction if assistance with interception cannot be performed timely or reasonably.
[Must] A designated judge must inform the applicant of the application and consider giving a decision on it as soon as possible after receipt.
[Must] A designated judge must keep all copies of applications and archived communication-related directions submitted to him or her in terms of subsection (7), or cause it to be kept, for a period of at least five years.
[Must] An application for amendment or extension of an existing direction must be in writing and must contain full particulars of the reasons and circumstances alleged by the applicant.
[Condition] An existing direction may only be amended or the period for which it has been issued may only be extended if the designated judge is satisfied that the amendment or extension is necessary for achieving the objectives of the direction concerned.
[Restriction] The period for which an existing direction may be extended may not exceed three months at a time.
[Must] An oral application must contain the information referred to in section 16 (2), 17 (2), 21 (2) or 22 (2), whichever is applicable
[Must] An oral application must indicate the particulars of the urgency of the case or exceptional circumstances justifying oral application
[Must] An oral application must comply with any supplementary directives relating to oral applications issued under section 58
[Must] A designated judge may issue a direction or entry warrant upon oral application if satisfied that there are reasonable grounds to believe the direction could be issued
[Must] A designated judge may issue a direction or entry warrant if satisfied that a direction is immediately necessary on a ground referred to in section 16 (5) (a), 17 (4) or 21 (4) (a), or an entry warrant is immediately necessary on a ground referred to in section 22 (4)
[Must] A designated judge may issue a direction or entry warrant if satisfied that it is not reasonably practicable to make a written application
[Must] The applicant must submit a written application to the designated judge within 48 hours after issuance of the direction or entry warrant
[Must] A direction or entry warrant must be in writing
[Must] A designated judge may orally issue a direction or entry warrant if satisfied that it is not reasonably practicable to issue in writing or exceptional circumstances justify oral issuance
[Must] The applicant must submit a written application within 48 hours after issuance of an oral direction or entry warrant
[Must] A designated judge must inform the applicant and relevant service providers orally of the oral direction or entry warrant within 12 hours of issuance
[Must] A designated judge must confirm an oral direction or entry warrant in writing within 12 hours of issuance
[Must] A designated judge must reconsider the application upon receipt of a written application within 48 hours
[Must] If a direction or entry warrant is confirmed or amended, the designated judge must inform the applicant and relevant service providers in writing
[Must] If a direction or entry warrant is cancelled, the designated judge must inform the applicant and relevant service providers in writing</t>
        </is>
      </c>
      <c r="O353" s="8" t="inlineStr">
        <is>
          <t>To regulate the interception of certain communications, the monitoring of certain signals and radio frequency spectrums and the provision of certain communication-related information</t>
        </is>
      </c>
    </row>
    <row r="354">
      <c r="A354" t="inlineStr">
        <is>
          <t>South Africa</t>
        </is>
      </c>
      <c r="B354" t="inlineStr">
        <is>
          <t>2002-070</t>
        </is>
      </c>
      <c r="C354" t="inlineStr">
        <is>
          <t>5</t>
        </is>
      </c>
      <c r="D354" s="8" t="inlineStr">
        <is>
          <t>evidence in any criminal proceedings or civil proceedings as contemplated in Chapter 5 or 6 of the Prevention of</t>
        </is>
      </c>
      <c r="E354" t="inlineStr">
        <is>
          <t>19–20</t>
        </is>
      </c>
      <c r="F354" t="inlineStr">
        <is>
          <t>Other</t>
        </is>
      </c>
      <c r="G354" t="inlineStr">
        <is>
          <t>None</t>
        </is>
      </c>
      <c r="H354" t="inlineStr">
        <is>
          <t>High (explicit)</t>
        </is>
      </c>
      <c r="I354" s="8" t="inlineStr"/>
      <c r="J354" s="8" t="inlineStr"/>
      <c r="K354" t="inlineStr">
        <is>
          <t>Law enforcement agencies</t>
        </is>
      </c>
      <c r="L354" s="8" t="inlineStr">
        <is>
          <t>This section permits law enforcement officers to execute interception directions under the Prevention of Organised Crime Act if authorized by the applicant, with specific conditions for police and intelligence services. It mandates that postal articles taken in possession must be handled according to section 26(4), ensuring they are not returned without considering public health, safety, national security, or economic interests.</t>
        </is>
      </c>
      <c r="M354" s="8" t="inlineStr">
        <is>
          <t>This section does not directly impact data transfer impact assessments as it pertains to law enforcement procedures rather than data processing or cross-border transfers.</t>
        </is>
      </c>
      <c r="N354" s="8" t="inlineStr">
        <is>
          <t>[Must] If a direction has been issued under this Act, any law enforcement officer may execute that direction if authorized by the applicant who made the application for the issuing of the direction.
[Must] A direction issued under this Act upon an application made by an applicant referred to in paragraph (f) of the definition of 'applicant' may only be executed by a law enforcement officer authorized thereto in writing by the applicant concerned, after consultation with the National Commissioner, if that law enforcement officer is a member of the Police Service, or the National Director, if that law enforcement officer is a member of the Directorate or of any component referred to in paragraph (e) of the definition of 'law enforcement agency'.
[May] The applicant concerned may authorise such number of authorised persons to assist with the execution of the direction as he or she deems necessary.
[May] An authorised person who executes a direction or assists with the execution thereof may intercept, at any place in the Republic, any communication in the course of its occurrence or transmission to which the direction applies.
[Must] If any postal article has been taken in possession in terms of subsection (3), the authorised person who executes the direction concerned or assists with the execution thereof must take proper care of such postal article and may, if the postal article concerned is perishable, with due regard to the interests of the persons concerned and with the written approval of the applicant concerned, dispose of that postal article in such manner as the circumstances may require.
[Must] If any postal article has been taken in possession in terms of subsection (3), the authorised person who executes the direction concerned or assists with the execution thereof must, with the written approval of the applicant concerned, return such postal article, if it has not been disposed of in terms of paragraph (a), or cause it to be returned to the postal service provider concerned if, in the opinion of the applicant concerned, no criminal proceedings or civil proceedings as contemplated in Chapter 5 or 6 of the Prevention of Organised Crime Act will be instituted in connection with such postal article.
[Must] If any postal article has been taken in possession in terms of subsection (3), the authorised person who executes the direction concerned or assists with the execution thereof must, with the written approval of the applicant concerned, return such postal article, if it has not been disposed of in terms of paragraph (a), or cause it to be returned to the postal service provider concerned if, in the opinion of the applicant concerned, such postal article will not be required at any such criminal or civil proceedings for purposes of evidence or for purposes of an order of court.
[Must] If any postal article has been taken in possession in terms of subsection (3), the authorised person who executes the direction concerned or assists with the execution thereof must, with the written approval of the applicant concerned, return such postal article, if it has not been disposed of in terms of paragraph (a), or cause it to be returned to the postal service provider concerned if, in the opinion of the applicant concerned, such postal article may be returned without prejudice to the public health or safety, national security or compelling national economic interests of the Republic, as the case may be.</t>
        </is>
      </c>
      <c r="O354" s="8" t="inlineStr">
        <is>
          <t>Section 26(1)(a) of the Prevention of Organised Crime Act, 2002</t>
        </is>
      </c>
    </row>
    <row r="355">
      <c r="A355" t="inlineStr">
        <is>
          <t>South Africa</t>
        </is>
      </c>
      <c r="B355" t="inlineStr">
        <is>
          <t>2002-070</t>
        </is>
      </c>
      <c r="C355" t="inlineStr">
        <is>
          <t>6</t>
        </is>
      </c>
      <c r="D355" s="8" t="inlineStr">
        <is>
          <t>hand it to the authorised person concerned; or</t>
        </is>
      </c>
      <c r="E355" t="inlineStr">
        <is>
          <t>20–34</t>
        </is>
      </c>
      <c r="F355" t="inlineStr">
        <is>
          <t>Record Keeping</t>
        </is>
      </c>
      <c r="G355" t="inlineStr">
        <is>
          <t>High</t>
        </is>
      </c>
      <c r="H355" t="inlineStr">
        <is>
          <t>Medium (merged from chunks)</t>
        </is>
      </c>
      <c r="I355" s="8" t="inlineStr">
        <is>
          <t>Cross-border Transfer, Third Party Processing, Cloud Services, Record Keeping, Data Storage, International Processing, Security, Incident Reporting, Breach Notification, Governance</t>
        </is>
      </c>
      <c r="J355" s="8" t="inlineStr">
        <is>
          <t>Personal Information, Special Personal Information, Financial Data</t>
        </is>
      </c>
      <c r="K355" t="inlineStr">
        <is>
          <t>Authorised person</t>
        </is>
      </c>
      <c r="L355" s="8" t="inlineStr">
        <is>
          <t>This section mandates that telecommunication service providers must route duplicate signals of indirect communications to designated interception centers or provide necessary facilities and devices for interception when a real-time or archived communication-related direction is issued. It specifies that the provider must immediately route real-time information or provide archived information within a stated period to the designated interception center or law enforcement agency, as applicable. The section mandates that the Minister, after consulting relevant authorities and service providers, must issue directives for telecommunication service providers or categories thereof, specifying a compliance period between three and six months. It also allows for reducing this period to a minimum of three years if more than three years have been determined, subject to Cabinet approval and consultation with service providers. The head of an interception centre must maintain proper records of information prescribed by the Director under section 35(1)(f) and submit quarterly reports to the Director detailing such records, identified abuses, system defects, and other matters as required. The hea</t>
        </is>
      </c>
      <c r="M355" s="8" t="inlineStr">
        <is>
          <t>This section establishes specific technical and procedural requirements for telecommunication service providers to facilitate lawful interception of communications, which may impact data transfer and storage mechanisms when handling intercepted communications across borders. This section establishes a regulatory framework for compliance periods in telecommunication service directives, which may impact data transfer timelines and third-party service provider obligations under cross-border data handling contexts. This section mandates detailed record-keeping and reporting obligations for interce</t>
        </is>
      </c>
      <c r="N355" s="8" t="inlineStr">
        <is>
          <t>[Must] telecommunication service provider concerned must immediately route the duplicate signals of indirect communications to which that interception direction applies to the designated interception centre concerned
[Must] telecommunication service provider concerned must make available the necessary assistance and, subject to section 46 (7) (b), the necessary facilities and devices to enable the authorised person concerned to effect the necessary connections in order to intercept any indirect communications to which the interception direction applies
[Must] telecommunication service provider concerned must route the real-time communication-related information specified in the real-time communication-related direction concerned immediately
[Must] telecommunication service provider concerned must route the archived communication-related information specified, and within the period stated, in the archived communication-related direction concerned to the designated interception centre concerned
[Must] telecommunication service provider concerned must provide the real-time communication-related information specified in the real-time communication-related direction concerned immediately
[Must] telecommunication service provider concerned must provide the archived communication-related information specified, and within the period stated, in the archived communication-related direction concerned to the law enforcement agency concerned, in the form as specified in that real-time communication-related direction or archived communication-related direction
[Must] The Minister, after consultation with the Authority and a telecommunication service provider or category of telecommunication service providers to whom, prior to the fixed date, a telecommunication service licence has been issued under the Electronic Communications Act, must issue a directive referred to in subsection (2) (a) in respect of such a telecommunication service provider or category of telecommunication service providers.
[Must] The Minister must determine a period, which may not be less than three months and not more than six months from the date on which a directive referred to in paragraph (a) is issued, for compliance with such a directive, and the period so determined must be mentioned in the directive concerned.
[May] If a period of more than three years has been determined in terms of subsection (2) (a) (iii), the Cabinet member responsible for communications may, upon application by the telecommunication service provider concerned and in consultation with the relevant Ministers, reduce that period to a period which may not be less than three years by issuing an amended directive under subsection (2) (a).
[Must] The head of an interception centre must keep or cause to be kept proper records of such information as may be prescribed by the Director in terms of section 35 (1) (f).
[Must] The head of an interception centre must on a quarterly basis, or as often as the Director requires, submit a written report to the Director on the records kept by him or her in terms of subsection (1).
[Must] The head of an interception centre must on a quarterly basis, or as often as the Director requires, submit a written report to the Director on any abuses in connection with the execution of directions which he or she is aware of.
[Must] The head of an interception centre must on a quarterly basis, or as often as the Director requires, submit a written report to the Director on any defects in any telecommunication system or in the operation of the interception centre which have been discovered.
[Must] The head of an interception centre must on a quarterly basis, or as often as the Director requires, submit a written report to the Director on such activities at the interception centre or on any other matter relating to this Act which the Director requests the head of the interception centre to deal with in such report.
[May] A head of an interception centre may at any stage submit a report to the Director on any matter which, in the opinion of the head concerned, should urgently be brought to the attention of the Director.
[Must] The Director must, upon receipt of a report contemplated in subsection (2) (a), submit a copy of that report to the Minister and the Chairperson of the Joint Standing Committee on Intelligence established by section 2 of the Intelligence Services Control Act, 1994 (Act 40 of 1994).
[Must] An electronic communication service provider must verify the full names, surname, identity number and identity of the persons with reference to the persons' identification documents
[Must] An electronic communication service provider must verify the address, contemplated in subsection (3) (a) (iii), of the person who is to receive the SIM-card by means of the documents contemplated in subsection (3) (b) (iii)
[Must] An electronic communication service provider must, upon receipt of the information provided in terms of paragraph (a), immediately record and store the information as contemplated in subsection (2)
[Must] The information recorded and stored in terms of subsections (2), (6) and (9) must be stored by an electronic communication service provider for a period of five years after a customer has cancelled his or her contract with the electronic communication service provider
[Must] The Minister may exempt an internet service provider from complying with section 30 (4) in respect of the facilities and devices referred to in section 30 (2) (a) (ii).
[Must] The Minister may exempt a telecommunication service provider or any other person from one or all of the prohibited acts referred to in section 45 (1).
[Must] The Minister may exempt a law enforcement agency from the prohibited acts of possessing and purchasing referred to in section 45 (1).
[Must] An exemption must be granted by issuing a certificate of exemption specifying the name, scope, period, and conditions of the exemption.
[Must] The certificate of exemption must be published in the Gazette and become valid upon publication.
[Must] The Minister must table the certificate of exemption in the National Assembly for approval.
[Condition] The National Assembly may reject a certificate within two months (if in ordinary session) or 14 days (if not in ordinary session) after it is tabled.
[May] The Minister may amend or withdraw the certificate of exemption at any time.
[Must] An exemption lapses upon termination of the period or withdrawal of the certificate.
[Must] Any electronic communication service provider who fails to comply with the directives issued in terms of section 30 (2) (a); section 40 (1), (2), (3), (4) or any determination made thereunder, (6), (7), (9) or (10); or section 62 (6) (a), (b), (c) or (d) is guilty of an offence and liable on conviction to a fine not exceeding R100 000 for each day on which such failure to comply continues.
[Must] Any customer or person who fails to comply with section 40 (5) is guilty of an offence and liable on conviction to a fine or to imprisonment for a period not exceeding 12 months.
[Must] An employee or agent of an electronic communication service provider who fails to comply with section 40 (8) is guilty of an offence and liable on conviction to a fine or to imprisonment for a period not exceeding 12 months.
[Must] Any juristic person contemplated in section 62C (1) or person contemplated in section 62C (2) who fails to comply with section 62C is guilty of an offence and liable on conviction to a fine not exceeding R2 000 000 or to imprisonment for a period not exceeding 10 years.
[Must] Any decryption key holder or employee of a decryption key holder who contravenes or fails to comply with section 29 (1); section 29 (2), (3) (b), (5) or (7) or 42 (2) is guilty of an offence and liable on conviction to a fine not exceeding R2 000 000 or to imprisonment for a period not exceeding 10 years.
[Condition] A conviction of an offence referred to in subsection (2) (a) (i) does not relieve any postal service provider or any employee of such a postal service provider of the obligation to comply with section 28 (1) (a).
[Condition] A conviction of an offence referred to in subsection (3) (a) (i) or (ii) does not relieve any telecommunication service provider or any employee of such a telecommunication service provider of the obligation to comply with section 28 (1) (b) or (2), 30 (1) or (4) or 39 (4).
[Condition] A conviction of an offence referred to in subsection (3A) does not relieve any electronic communication service provider of the obligation to comply with the directives issued in terms of section 30 (2) (a); section 40 (1), (2), (3), (4) or any determination made thereunder, (6), (7), (9) or (10); or section 62 (6) (a), (b), (c) or (d).
[Condition] A conviction of an offence referred to in subsection (4) (a) (i) does not relieve any decryption key holder or any employee of such a decryption key holder of the obligation to comply with section 29 (1).
[Must] If the court is satisfied that the listed equipment is the property of the telecommunication service provider or other person concerned and that the telecommunication service provider or other person concerned is a person referred to in subsection (5), the court must set aside the declaration of forfeiture and direct that the listed equipment be returned.
[May] If a determination by the court under paragraph (b) is adverse to the applicant, he or she may appeal therefrom as if it were a conviction by the court making the determination.
[Must] The record of the criminal proceedings in which the declaration of forfeiture under subsection (1) was made must form part of the relevant proceedings.</t>
        </is>
      </c>
      <c r="O355" s="8" t="inlineStr">
        <is>
          <t>hand it to the authorised person concerned; or telecommunication service provider concerned must immediately- (i) route the duplicate signals of indirect communications to which that interception direction applies to the designated interception centre concerned; or (ii) make available the necessary assistance and, subject to section 46 (7) (b), the necessary facilities and devices to enable the authorised person concerned to effect the necessary connections in order to intercept any indirect communications to which the interception direction applies.</t>
        </is>
      </c>
    </row>
    <row r="356">
      <c r="A356" t="inlineStr">
        <is>
          <t>South Africa</t>
        </is>
      </c>
      <c r="B356" t="inlineStr">
        <is>
          <t>2002-070</t>
        </is>
      </c>
      <c r="C356" t="inlineStr">
        <is>
          <t>7</t>
        </is>
      </c>
      <c r="D356" s="8" t="inlineStr">
        <is>
          <t>[S. 63 substituted by s. 6 of Act 48 of 2008 (wef 1 July 2009).]</t>
        </is>
      </c>
      <c r="E356" t="inlineStr">
        <is>
          <t>34–35</t>
        </is>
      </c>
      <c r="F356" t="inlineStr">
        <is>
          <t>Other</t>
        </is>
      </c>
      <c r="G356" t="inlineStr">
        <is>
          <t>None</t>
        </is>
      </c>
      <c r="H356" t="inlineStr">
        <is>
          <t>High (explicit)</t>
        </is>
      </c>
      <c r="I356" s="8" t="inlineStr">
        <is>
          <t>Special Personal Information</t>
        </is>
      </c>
      <c r="J356" s="8" t="inlineStr">
        <is>
          <t>Special Personal Information</t>
        </is>
      </c>
      <c r="K356" t="inlineStr"/>
      <c r="L356" s="8" t="inlineStr">
        <is>
          <t>This section lists specific offences that qualify as 'specified offences' for the purpose of high treason or other serious crimes under the Prevention of Organised Crime Act. It includes offences related to terrorism, cybercrimes, financial crimes, and other severe violations that may be subject to interception or surveillance.</t>
        </is>
      </c>
      <c r="M356" s="8" t="inlineStr">
        <is>
          <t>This section does not directly impact data transfer impact assessments as it pertains to the definition of offences for surveillance purposes rather than data processing or cross-border transfers.</t>
        </is>
      </c>
      <c r="N356" s="8" t="inlineStr">
        <is>
          <t>[Must] High treason
[Must] Any offence referred to in paragraph (a) of the definition of 'specified offence' of the Protection of Constitutional Democracy against Terrorist and Related Activities Act, 2004
[Must] Sedition
[Must] Any offence which could result in the loss of a person's life or serious risk of loss of a person's life
[Must] Any offence referred to in Schedule 1 to the Implementation of the Rome Statute of the International Criminal Court Act, 2002 (Act 27 of 2002)
[Must] Any specified offence as defined in section 1 of the National Prosecuting Authority Act
[Must] Any offence referred to in Chapters 2, 3 and 4 of the Prevention of Organised Crime Act
[Must] Any offence referred to in section 13 (f) of the Drugs and Drug Trafficking Act, 1992 (Act 140 of 1992)
[Must] Any offence relating to the dealing in or smuggling of ammunition, firearms, explosives or armament and the unlawful possession of such firearms, explosives or armament
[Must] Any offence under any law relating to the illicit dealing in or possession of precious metals or precious stones
[Must] Any offence contemplated in Part 1 to 4, or section 17, 20 or 21 (in so far as it relates to the aforementioned offences) of Chapter 2 of the Prevention and Combating of Corrupt Activities Act, 2004
[Must] Dealing in, being in possession of or conveying endangered, scarce and protected game or plants or parts or remains thereof in contravention of any legislation
[Must] Any offence the punishment wherefor may be imprisonment for life or a period of imprisonment prescribed by section 51 of the Criminal Law Amendment Act, 1997 (Act 105 of 1997), or a period of imprisonment exceeding five years without the option of a fine
[Must] Any offence contemplated in section 17, 18, 19A or 20 of the Criminal Law (Sexual Offences and Related Matters) Amendment Act, 2007 (Act 32 of 2007)
[Must] Any offence contemplated in section 8, 9 (1) or (2) or 10, which involves an amount of R200 000, 00 or more
[Must] Any offence under section 11 (1) or (2) or 17 (in so far as the section relates to the offences referred to in section 11 (1) or (2)) of the Cybercrimes Act, 2020</t>
        </is>
      </c>
      <c r="O356" s="8" t="inlineStr">
        <is>
          <t>Schedule I, Section 1 of the Prevention of Organised Crime Act, 2002</t>
        </is>
      </c>
    </row>
    <row r="357">
      <c r="A357" t="inlineStr">
        <is>
          <t>South Africa</t>
        </is>
      </c>
      <c r="B357" t="inlineStr">
        <is>
          <t>2024 Open Finance_FSCA Position Paper</t>
        </is>
      </c>
      <c r="C357" t="inlineStr">
        <is>
          <t>1</t>
        </is>
      </c>
      <c r="D357" s="8" t="inlineStr">
        <is>
          <t>EXECUTIVE SUMMARY</t>
        </is>
      </c>
      <c r="E357" t="inlineStr">
        <is>
          <t>3–4</t>
        </is>
      </c>
      <c r="F357" t="inlineStr">
        <is>
          <t>Other</t>
        </is>
      </c>
      <c r="G357" t="inlineStr">
        <is>
          <t>High</t>
        </is>
      </c>
      <c r="H357" t="inlineStr">
        <is>
          <t>High (explicit)</t>
        </is>
      </c>
      <c r="I357" s="8" t="inlineStr"/>
      <c r="J357" s="8" t="inlineStr"/>
      <c r="K357" t="inlineStr">
        <is>
          <t>FSCA</t>
        </is>
      </c>
      <c r="L357" s="8" t="inlineStr">
        <is>
          <t>FSCA outlines policy recommendations for Open Finance, including mandatory regulation, licensing, data protection frameworks, risk management, and consumer recourse mechanisms.</t>
        </is>
      </c>
      <c r="M357" s="8" t="inlineStr"/>
      <c r="N357" s="8" t="inlineStr"/>
      <c r="O357" s="8" t="inlineStr">
        <is>
          <t>The FSCA continues to support mandating Open Finance in future, noting that the foundational Open Finance Programme of Work will likely need to take place in preparation to optimise the value to be derived from Open Finance and mimimise market disruption.</t>
        </is>
      </c>
    </row>
    <row r="358">
      <c r="A358" t="inlineStr">
        <is>
          <t>South Africa</t>
        </is>
      </c>
      <c r="B358" t="inlineStr">
        <is>
          <t>2024 Open Finance_FSCA Position Paper</t>
        </is>
      </c>
      <c r="C358" t="inlineStr">
        <is>
          <t>1</t>
        </is>
      </c>
      <c r="D358" s="8" t="inlineStr">
        <is>
          <t>The data subject (customer) requests a financial service from a fintech (data user), for</t>
        </is>
      </c>
      <c r="E358" t="inlineStr">
        <is>
          <t>8</t>
        </is>
      </c>
      <c r="F358" t="inlineStr">
        <is>
          <t>Other</t>
        </is>
      </c>
      <c r="G358" t="inlineStr">
        <is>
          <t>High</t>
        </is>
      </c>
      <c r="H358" t="inlineStr">
        <is>
          <t>High (explicit)</t>
        </is>
      </c>
      <c r="I358" s="8" t="inlineStr"/>
      <c r="J358" s="8" t="inlineStr"/>
      <c r="K358" t="inlineStr">
        <is>
          <t>FSCA</t>
        </is>
      </c>
      <c r="L358" s="8" t="inlineStr">
        <is>
          <t>FSCA outlines policy recommendations for Open Finance, including mandatory regulation, licensing, data protection frameworks, risk management, and consumer recourse mechanisms.</t>
        </is>
      </c>
      <c r="M358" s="8" t="inlineStr"/>
      <c r="N358" s="8" t="inlineStr"/>
      <c r="O358" s="8" t="inlineStr">
        <is>
          <t>The FSCA continues to support mandating Open Finance in future, noting that the foundational Open Finance Programme of Work will likely need to take place in preparation to optimise the value to be derived from Open Finance and mimimise market disruption.</t>
        </is>
      </c>
    </row>
    <row r="359">
      <c r="A359" t="inlineStr">
        <is>
          <t>South Africa</t>
        </is>
      </c>
      <c r="B359" t="inlineStr">
        <is>
          <t>2024 Open Finance_FSCA Position Paper</t>
        </is>
      </c>
      <c r="C359" t="inlineStr">
        <is>
          <t>2</t>
        </is>
      </c>
      <c r="D359" s="8" t="inlineStr">
        <is>
          <t>BACKGROUND AND INTRODUCTION</t>
        </is>
      </c>
      <c r="E359" t="inlineStr">
        <is>
          <t>4–5</t>
        </is>
      </c>
      <c r="F359" t="inlineStr">
        <is>
          <t>Other</t>
        </is>
      </c>
      <c r="G359" t="inlineStr">
        <is>
          <t>High</t>
        </is>
      </c>
      <c r="H359" t="inlineStr">
        <is>
          <t>High (explicit)</t>
        </is>
      </c>
      <c r="I359" s="8" t="inlineStr"/>
      <c r="J359" s="8" t="inlineStr"/>
      <c r="K359" t="inlineStr">
        <is>
          <t>FSCA</t>
        </is>
      </c>
      <c r="L359" s="8" t="inlineStr">
        <is>
          <t>Background on FSCA's process for developing Open Finance policy, including consultations and risks associated with data sharing in the absence of tailored regulatory frameworks.</t>
        </is>
      </c>
      <c r="M359" s="8" t="inlineStr"/>
      <c r="N359" s="8" t="inlineStr"/>
      <c r="O359" s="8" t="inlineStr">
        <is>
          <t>The FSCA continues to support mandating Open Finance in future, noting that the foundational Open Finance Programme of Work will likely need to take place in preparation to optimise the value to be derived from Open Finance and mimimise market disruption.</t>
        </is>
      </c>
    </row>
    <row r="360">
      <c r="A360" t="inlineStr">
        <is>
          <t>South Africa</t>
        </is>
      </c>
      <c r="B360" t="inlineStr">
        <is>
          <t>2024 Open Finance_FSCA Position Paper</t>
        </is>
      </c>
      <c r="C360" t="inlineStr">
        <is>
          <t>2</t>
        </is>
      </c>
      <c r="D360" s="8" t="inlineStr">
        <is>
          <t>The fintech processes the request and, within its flow, it requires access to data holders</t>
        </is>
      </c>
      <c r="E360" t="inlineStr">
        <is>
          <t>8</t>
        </is>
      </c>
      <c r="F360" t="inlineStr">
        <is>
          <t>Other</t>
        </is>
      </c>
      <c r="G360" t="inlineStr">
        <is>
          <t>High</t>
        </is>
      </c>
      <c r="H360" t="inlineStr">
        <is>
          <t>High (explicit)</t>
        </is>
      </c>
      <c r="I360" s="8" t="inlineStr"/>
      <c r="J360" s="8" t="inlineStr"/>
      <c r="K360" t="inlineStr">
        <is>
          <t>FSCA</t>
        </is>
      </c>
      <c r="L360" s="8" t="inlineStr">
        <is>
          <t>Background on FSCA's process for developing Open Finance policy, including consultations and risks associated with data sharing in the absence of tailored regulatory frameworks.</t>
        </is>
      </c>
      <c r="M360" s="8" t="inlineStr"/>
      <c r="N360" s="8" t="inlineStr"/>
      <c r="O360" s="8" t="inlineStr">
        <is>
          <t>The FSCA continues to support mandating Open Finance in future, noting that the foundational Open Finance Programme of Work will likely need to take place in preparation to optimise the value to be derived from Open Finance and mimimise market disruption.</t>
        </is>
      </c>
    </row>
    <row r="361">
      <c r="A361" t="inlineStr">
        <is>
          <t>South Africa</t>
        </is>
      </c>
      <c r="B361" t="inlineStr">
        <is>
          <t>2024 Open Finance_FSCA Position Paper</t>
        </is>
      </c>
      <c r="C361" t="inlineStr">
        <is>
          <t>3</t>
        </is>
      </c>
      <c r="D361" s="8" t="inlineStr">
        <is>
          <t>UNDERSTANDING OPEN FINANCE, OPEN BANKING AND THE DATA</t>
        </is>
      </c>
      <c r="E361" t="inlineStr">
        <is>
          <t>5–8</t>
        </is>
      </c>
      <c r="F361" t="inlineStr">
        <is>
          <t>Other</t>
        </is>
      </c>
      <c r="G361" t="inlineStr">
        <is>
          <t>High</t>
        </is>
      </c>
      <c r="H361" t="inlineStr">
        <is>
          <t>High (explicit)</t>
        </is>
      </c>
      <c r="I361" s="8" t="inlineStr"/>
      <c r="J361" s="8" t="inlineStr"/>
      <c r="K361" t="inlineStr">
        <is>
          <t>FSCA</t>
        </is>
      </c>
      <c r="L361" s="8" t="inlineStr">
        <is>
          <t>Proposed definitions of Open Finance and Open Banking, emphasizing consent-based data sharing with third parties and the data-sharing ecosystem structure.</t>
        </is>
      </c>
      <c r="M361" s="8" t="inlineStr"/>
      <c r="N361" s="8" t="inlineStr"/>
      <c r="O361" s="8" t="inlineStr">
        <is>
          <t>Open finance means the practice of financial institutions sharing their financial customer's financial data with third parties, subject to that customer's full consent, for the provision of open finance services by those third parties, and any activities connected therewith.</t>
        </is>
      </c>
    </row>
    <row r="362">
      <c r="A362" t="inlineStr">
        <is>
          <t>South Africa</t>
        </is>
      </c>
      <c r="B362" t="inlineStr">
        <is>
          <t>2024 Open Finance_FSCA Position Paper</t>
        </is>
      </c>
      <c r="C362" t="inlineStr">
        <is>
          <t>3</t>
        </is>
      </c>
      <c r="D362" s="8" t="inlineStr">
        <is>
          <t>The data subject consents (providing an authentication factor) to access the data from</t>
        </is>
      </c>
      <c r="E362" t="inlineStr">
        <is>
          <t>8</t>
        </is>
      </c>
      <c r="F362" t="inlineStr">
        <is>
          <t>Other</t>
        </is>
      </c>
      <c r="G362" t="inlineStr">
        <is>
          <t>High</t>
        </is>
      </c>
      <c r="H362" t="inlineStr">
        <is>
          <t>High (explicit)</t>
        </is>
      </c>
      <c r="I362" s="8" t="inlineStr"/>
      <c r="J362" s="8" t="inlineStr"/>
      <c r="K362" t="inlineStr">
        <is>
          <t>FSCA</t>
        </is>
      </c>
      <c r="L362" s="8" t="inlineStr">
        <is>
          <t>Proposed definitions of Open Finance and Open Banking, emphasizing consent-based data sharing with third parties and the data-sharing ecosystem structure.</t>
        </is>
      </c>
      <c r="M362" s="8" t="inlineStr"/>
      <c r="N362" s="8" t="inlineStr"/>
      <c r="O362" s="8" t="inlineStr">
        <is>
          <t>Open finance means the practice of financial institutions sharing their financial customer's financial data with third parties, subject to that customer's full consent, for the provision of open finance services by those third parties, and any activities connected therewith.</t>
        </is>
      </c>
    </row>
    <row r="363">
      <c r="A363" t="inlineStr">
        <is>
          <t>South Africa</t>
        </is>
      </c>
      <c r="B363" t="inlineStr">
        <is>
          <t>2024 Open Finance_FSCA Position Paper</t>
        </is>
      </c>
      <c r="C363" t="inlineStr">
        <is>
          <t>4</t>
        </is>
      </c>
      <c r="D363" s="8" t="inlineStr">
        <is>
          <t>The fintech app connects to its back-end server, which has a secure, private, and</t>
        </is>
      </c>
      <c r="E363" t="inlineStr">
        <is>
          <t>8</t>
        </is>
      </c>
      <c r="F363" t="inlineStr">
        <is>
          <t>Other</t>
        </is>
      </c>
      <c r="G363" t="inlineStr">
        <is>
          <t>Unknown</t>
        </is>
      </c>
      <c r="H363" t="inlineStr">
        <is>
          <t>Low</t>
        </is>
      </c>
      <c r="I363" s="8" t="inlineStr"/>
      <c r="J363" s="8" t="inlineStr"/>
      <c r="K363" t="inlineStr"/>
      <c r="L363" s="8" t="inlineStr"/>
      <c r="M363" s="8" t="inlineStr"/>
      <c r="N363" s="8" t="inlineStr"/>
      <c r="O363" s="8" t="inlineStr"/>
    </row>
    <row r="364">
      <c r="A364" t="inlineStr">
        <is>
          <t>South Africa</t>
        </is>
      </c>
      <c r="B364" t="inlineStr">
        <is>
          <t>2024 Open Finance_FSCA Position Paper</t>
        </is>
      </c>
      <c r="C364" t="inlineStr">
        <is>
          <t>4</t>
        </is>
      </c>
      <c r="D364" s="8" t="inlineStr">
        <is>
          <t>POLICY CONSIDERATIONS AND RISKS</t>
        </is>
      </c>
      <c r="E364" t="inlineStr">
        <is>
          <t>9–13</t>
        </is>
      </c>
      <c r="F364" t="inlineStr">
        <is>
          <t>Other</t>
        </is>
      </c>
      <c r="G364" t="inlineStr">
        <is>
          <t>Low</t>
        </is>
      </c>
      <c r="H364" t="inlineStr">
        <is>
          <t>Medium</t>
        </is>
      </c>
      <c r="I364" s="8" t="inlineStr"/>
      <c r="J364" s="8" t="inlineStr"/>
      <c r="K364" t="inlineStr"/>
      <c r="L364" s="8" t="inlineStr">
        <is>
          <t>Policy considerations and risks related to Open Finance are discussed, including global approaches, potential benefits for financial resilience, inclusion, and competition, and identified risks such as financial exclusion and cybersecurity threats.</t>
        </is>
      </c>
      <c r="M364" s="8" t="inlineStr"/>
      <c r="N364" s="8" t="inlineStr"/>
      <c r="O364" s="8" t="inlineStr">
        <is>
          <t>Policy considerations and risks related to Open Finance have been thoroughly interrogated in past IFWG9, FSCA10 and National Payment System Department (NPSD) publications11.</t>
        </is>
      </c>
    </row>
    <row r="365">
      <c r="A365" t="inlineStr">
        <is>
          <t>South Africa</t>
        </is>
      </c>
      <c r="B365" t="inlineStr">
        <is>
          <t>2024 Open Finance_FSCA Position Paper</t>
        </is>
      </c>
      <c r="C365" t="inlineStr">
        <is>
          <t>5</t>
        </is>
      </c>
      <c r="D365" s="8" t="inlineStr">
        <is>
          <t>COMMENTS RECEIVED ON DRAFT POSITION PAPER</t>
        </is>
      </c>
      <c r="E365" t="inlineStr">
        <is>
          <t>13–16</t>
        </is>
      </c>
      <c r="F365" t="inlineStr">
        <is>
          <t>Other</t>
        </is>
      </c>
      <c r="G365" t="inlineStr">
        <is>
          <t>Low</t>
        </is>
      </c>
      <c r="H365" t="inlineStr">
        <is>
          <t>Medium</t>
        </is>
      </c>
      <c r="I365" s="8" t="inlineStr"/>
      <c r="J365" s="8" t="inlineStr"/>
      <c r="K365" t="inlineStr"/>
      <c r="L365" s="8" t="inlineStr">
        <is>
          <t>Stakeholders provided feedback on the FSCA's Draft Position Paper, preferring voluntary Open Finance approaches, emphasizing customer experience, competition, alignment with POPIA, liability frameworks, financial literacy, and international case studies.</t>
        </is>
      </c>
      <c r="M365" s="8" t="inlineStr"/>
      <c r="N365" s="8" t="inlineStr"/>
      <c r="O365" s="8" t="inlineStr">
        <is>
          <t>The FSCA received 16 submissions from stakeholders across different industry segments (see Annexure B).</t>
        </is>
      </c>
    </row>
    <row r="366">
      <c r="A366" t="inlineStr">
        <is>
          <t>South Africa</t>
        </is>
      </c>
      <c r="B366" t="inlineStr">
        <is>
          <t>2024 Open Finance_FSCA Position Paper</t>
        </is>
      </c>
      <c r="C366" t="inlineStr">
        <is>
          <t>6</t>
        </is>
      </c>
      <c r="D366" s="8" t="inlineStr">
        <is>
          <t>INFORMATION REQUEST No 2 of 2023</t>
        </is>
      </c>
      <c r="E366" t="inlineStr">
        <is>
          <t>16–17</t>
        </is>
      </c>
      <c r="F366" t="inlineStr">
        <is>
          <t>Other</t>
        </is>
      </c>
      <c r="G366" t="inlineStr">
        <is>
          <t>Low</t>
        </is>
      </c>
      <c r="H366" t="inlineStr">
        <is>
          <t>Medium</t>
        </is>
      </c>
      <c r="I366" s="8" t="inlineStr"/>
      <c r="J366" s="8" t="inlineStr"/>
      <c r="K366" t="inlineStr"/>
      <c r="L366" s="8" t="inlineStr">
        <is>
          <t>Survey results indicate early-stage Open Finance adoption in South Africa, with financial institutions generating revenue from Open Finance activities, varying service offerings, and a willingness to employ risk management frameworks.</t>
        </is>
      </c>
      <c r="M366" s="8" t="inlineStr"/>
      <c r="N366" s="8" t="inlineStr"/>
      <c r="O366" s="8" t="inlineStr">
        <is>
          <t>More than 400 submissions were received in response to the FSCA's Information Request No 2 of 2023.</t>
        </is>
      </c>
    </row>
    <row r="367">
      <c r="A367" t="inlineStr">
        <is>
          <t>South Africa</t>
        </is>
      </c>
      <c r="B367" t="inlineStr">
        <is>
          <t>2024 Open Finance_FSCA Position Paper</t>
        </is>
      </c>
      <c r="C367" t="inlineStr">
        <is>
          <t>7</t>
        </is>
      </c>
      <c r="D367" s="8" t="inlineStr">
        <is>
          <t>FSCA OPEN FINANCE POLICY RECOMMENDATIONS</t>
        </is>
      </c>
      <c r="E367" t="inlineStr">
        <is>
          <t>17–20</t>
        </is>
      </c>
      <c r="F367" t="inlineStr">
        <is>
          <t>Other</t>
        </is>
      </c>
      <c r="G367" t="inlineStr">
        <is>
          <t>High</t>
        </is>
      </c>
      <c r="H367" t="inlineStr">
        <is>
          <t>High (explicit)</t>
        </is>
      </c>
      <c r="I367" s="8" t="inlineStr">
        <is>
          <t>Cross-border Transfer, Data Sharing, Consent</t>
        </is>
      </c>
      <c r="J367" s="8" t="inlineStr">
        <is>
          <t>Financial Data</t>
        </is>
      </c>
      <c r="K367" t="inlineStr">
        <is>
          <t>FSCA</t>
        </is>
      </c>
      <c r="L367" s="8" t="inlineStr">
        <is>
          <t>FSCA recommends voluntary adoption of Open Finance with phased mandatory implementation, focusing on data sharing, consent, risk management, and standards for financial institutions and TPPs.</t>
        </is>
      </c>
      <c r="M367" s="8" t="inlineStr">
        <is>
          <t>Proposes voluntary adoption of Open Finance with phased mandatory implementation, requiring consent frameworks, risk management, and API standards for financial data sharing.</t>
        </is>
      </c>
      <c r="N367" s="8" t="inlineStr">
        <is>
          <t>[Must] Persons participating in Open Finance should be regulated for safe and ethical sharing of user consent-based financial data to TPPs
[Must] Consent should be explicit, informed, specific, and not aggregated with other consents
[Must] Providers may not continue to share or utilise consumers' data once consent is withdrawn</t>
        </is>
      </c>
      <c r="O367" s="8" t="inlineStr">
        <is>
          <t>The FSCA aims to promote responsible Open Finance and recommends the following: Persons participating in Open Finance should be regulated for the safe and ethical sharing of user consent-based financial data to TPPs.</t>
        </is>
      </c>
    </row>
    <row r="368">
      <c r="A368" t="inlineStr">
        <is>
          <t>South Africa</t>
        </is>
      </c>
      <c r="B368" t="inlineStr">
        <is>
          <t>2024 Open Finance_FSCA Position Paper</t>
        </is>
      </c>
      <c r="C368" t="inlineStr">
        <is>
          <t>8</t>
        </is>
      </c>
      <c r="D368" s="8" t="inlineStr">
        <is>
          <t>PROGRAMME OF WORK GOING FORWARD</t>
        </is>
      </c>
      <c r="E368" t="inlineStr">
        <is>
          <t>20–21</t>
        </is>
      </c>
      <c r="F368" t="inlineStr">
        <is>
          <t>Other</t>
        </is>
      </c>
      <c r="G368" t="inlineStr">
        <is>
          <t>High</t>
        </is>
      </c>
      <c r="H368" t="inlineStr">
        <is>
          <t>High (explicit)</t>
        </is>
      </c>
      <c r="I368" s="8" t="inlineStr">
        <is>
          <t>Data Sharing, Consent</t>
        </is>
      </c>
      <c r="J368" s="8" t="inlineStr">
        <is>
          <t>Financial Data</t>
        </is>
      </c>
      <c r="K368" t="inlineStr">
        <is>
          <t>FSCA</t>
        </is>
      </c>
      <c r="L368" s="8" t="inlineStr">
        <is>
          <t>FSCA outlines Programme of Work for Open Finance, including developing API standards, consent frameworks, and consumer awareness mechanisms.</t>
        </is>
      </c>
      <c r="M368" s="8" t="inlineStr">
        <is>
          <t>FSCA plans to develop API standards, consent frameworks, and consumer awareness mechanisms through workshops and advisory group engagement.</t>
        </is>
      </c>
      <c r="N368" s="8" t="inlineStr">
        <is>
          <t>[Must] Developing open API standards for data sharing
[Must] Developing suitable consent, risk management and disclosure frameworks</t>
        </is>
      </c>
      <c r="O368" s="8" t="inlineStr">
        <is>
          <t>The FSCA will hold a series of engagements and workshops with stakeholders to further unpack submissions made to date, in support of the following Programme of Work: Developing open APIs standards, developing suitable consent, risk management and disclosure frameworks.</t>
        </is>
      </c>
    </row>
    <row r="369">
      <c r="A369" t="inlineStr">
        <is>
          <t>South Africa</t>
        </is>
      </c>
      <c r="B369" t="inlineStr">
        <is>
          <t>2024 Open Finance_FSCA Position Paper</t>
        </is>
      </c>
      <c r="C369" t="inlineStr">
        <is>
          <t>9</t>
        </is>
      </c>
      <c r="D369" s="8" t="inlineStr">
        <is>
          <t>ANNEXURE A: OPEN FINANCE APPROACH ACROSS VARIOUS JURISDICTIONS</t>
        </is>
      </c>
      <c r="E369" t="inlineStr">
        <is>
          <t>21–23</t>
        </is>
      </c>
      <c r="F369" t="inlineStr">
        <is>
          <t>Other</t>
        </is>
      </c>
      <c r="G369" t="inlineStr">
        <is>
          <t>Low</t>
        </is>
      </c>
      <c r="H369" t="inlineStr">
        <is>
          <t>High (explicit)</t>
        </is>
      </c>
      <c r="I369" s="8" t="inlineStr">
        <is>
          <t>Cross-border Transfer, Data Sharing</t>
        </is>
      </c>
      <c r="J369" s="8" t="inlineStr">
        <is>
          <t>Financial Data</t>
        </is>
      </c>
      <c r="K369" t="inlineStr"/>
      <c r="L369" s="8" t="inlineStr">
        <is>
          <t>Compares Open Finance approaches across jurisdictions, highlighting voluntary (Singapore, US, Nigeria) and mandated (Brazil, UK, EU) models with varying regulatory frameworks.</t>
        </is>
      </c>
      <c r="M369" s="8" t="inlineStr">
        <is>
          <t>Describes jurisdictional approaches to Open Finance, including voluntary and mandated models with different regulatory frameworks and implementation requirements.</t>
        </is>
      </c>
      <c r="N369" s="8" t="inlineStr"/>
      <c r="O369" s="8" t="inlineStr">
        <is>
          <t>Voluntary approach – Open Finance/ Open Banking in Singapore, the US, and Nigeria; Mandated approach – Open Finance/ Open Banking in Brazil, the United Kingdom, and European Union.</t>
        </is>
      </c>
    </row>
    <row r="370">
      <c r="A370" t="inlineStr">
        <is>
          <t>South Africa</t>
        </is>
      </c>
      <c r="B370" t="inlineStr">
        <is>
          <t>2024 Open Finance_FSCA Position Paper</t>
        </is>
      </c>
      <c r="C370" t="inlineStr">
        <is>
          <t>11</t>
        </is>
      </c>
      <c r="D370" s="8" t="inlineStr">
        <is>
          <t>ANNEXURE C: PROPOSED OPEN FINANCE ROAD MAP</t>
        </is>
      </c>
      <c r="E370" t="inlineStr">
        <is>
          <t>24</t>
        </is>
      </c>
      <c r="F370" t="inlineStr">
        <is>
          <t>Other</t>
        </is>
      </c>
      <c r="G370" t="inlineStr">
        <is>
          <t>High</t>
        </is>
      </c>
      <c r="H370" t="inlineStr">
        <is>
          <t>High (explicit)</t>
        </is>
      </c>
      <c r="I370" s="8" t="inlineStr">
        <is>
          <t>Data Sharing, Consent</t>
        </is>
      </c>
      <c r="J370" s="8" t="inlineStr">
        <is>
          <t>Financial Data</t>
        </is>
      </c>
      <c r="K370" t="inlineStr">
        <is>
          <t>FSCA</t>
        </is>
      </c>
      <c r="L370" s="8" t="inlineStr">
        <is>
          <t>Details proposed Open Finance roadmap with timelines for developing API standards, consent frameworks, and consumer awareness mechanisms.</t>
        </is>
      </c>
      <c r="M370" s="8" t="inlineStr">
        <is>
          <t>Outlines phased implementation timeline for Open Finance, including API standards, consent frameworks, and consumer empowerment by 2026.</t>
        </is>
      </c>
      <c r="N370" s="8" t="inlineStr">
        <is>
          <t>[Must] Developing API standards by 31 March 2026
[Must] Developing consent, risk management and disclosure frameworks by 30 September 2026</t>
        </is>
      </c>
      <c r="O370" s="8" t="inlineStr">
        <is>
          <t>Developing API standards – Advisory Group, 31 March 2026; Developing suitable consent, risk management and disclosure frameworks – FSCA, 30 September 2026.</t>
        </is>
      </c>
    </row>
    <row r="371">
      <c r="A371" t="inlineStr">
        <is>
          <t>South Africa</t>
        </is>
      </c>
      <c r="B371" t="inlineStr">
        <is>
          <t>Conduct-Standard-3-of-2020-BANKS-Annexure-A</t>
        </is>
      </c>
      <c r="C371" t="inlineStr">
        <is>
          <t>2</t>
        </is>
      </c>
      <c r="D371" s="8" t="inlineStr">
        <is>
          <t>Application and general obligations</t>
        </is>
      </c>
      <c r="E371" t="inlineStr">
        <is>
          <t>5–7</t>
        </is>
      </c>
      <c r="F371" t="inlineStr">
        <is>
          <t>Other</t>
        </is>
      </c>
      <c r="G371" t="inlineStr">
        <is>
          <t>High</t>
        </is>
      </c>
      <c r="H371" t="inlineStr">
        <is>
          <t>Medium</t>
        </is>
      </c>
      <c r="I371" s="8" t="inlineStr">
        <is>
          <t>Fair treatment of financial customers</t>
        </is>
      </c>
      <c r="J371" s="8" t="inlineStr">
        <is>
          <t>Financial Data</t>
        </is>
      </c>
      <c r="K371" t="inlineStr">
        <is>
          <t>Financial Sector Conduct Authority</t>
        </is>
      </c>
      <c r="L371" s="8" t="inlineStr"/>
      <c r="M371" s="8" t="inlineStr"/>
      <c r="N371" s="8" t="inlineStr">
        <is>
          <t>[Must] A bank must conduct Its business in a manner that prioritises the fair treatment of financial customers.</t>
        </is>
      </c>
      <c r="O371" s="8" t="inlineStr">
        <is>
          <t>A bank must conduct Its business in a manner that prioritises the fair treatment of financial customers.</t>
        </is>
      </c>
    </row>
    <row r="372">
      <c r="A372" t="inlineStr">
        <is>
          <t>South Africa</t>
        </is>
      </c>
      <c r="B372" t="inlineStr">
        <is>
          <t>Conduct-Standard-3-of-2020-BANKS-Annexure-A</t>
        </is>
      </c>
      <c r="C372" t="inlineStr">
        <is>
          <t>3</t>
        </is>
      </c>
      <c r="D372" s="8" t="inlineStr">
        <is>
          <t>Culture and governance</t>
        </is>
      </c>
      <c r="E372" t="inlineStr">
        <is>
          <t>7–22</t>
        </is>
      </c>
      <c r="F372" t="inlineStr">
        <is>
          <t>Governance</t>
        </is>
      </c>
      <c r="G372" t="inlineStr">
        <is>
          <t>High</t>
        </is>
      </c>
      <c r="H372" t="inlineStr">
        <is>
          <t>High (explicit)</t>
        </is>
      </c>
      <c r="I372" s="8" t="inlineStr">
        <is>
          <t>Governance, Risk Management, Compliance, Internal Controls</t>
        </is>
      </c>
      <c r="J372" s="8" t="inlineStr">
        <is>
          <t>Financial Data, Customer Information</t>
        </is>
      </c>
      <c r="K372" t="inlineStr">
        <is>
          <t>Financial Sector Conduct Authority (FSCA)</t>
        </is>
      </c>
      <c r="L372" s="8" t="inlineStr">
        <is>
          <t>Banks must maintain integrity, honesty, and transparency in business practices and ensure fair treatment of financial customers through governance arrangements.</t>
        </is>
      </c>
      <c r="M372" s="8" t="inlineStr">
        <is>
          <t>Banks must implement governance structures to ensure fair customer treatment and compliance with conduct standards through oversight mechanisms.</t>
        </is>
      </c>
      <c r="N372" s="8" t="inlineStr">
        <is>
          <t>[Must] A bank must at all times conduct its business with integrity
[Must] A bank must act honestly, fairly, with due skill, care and diligence, and in a manner that does not bring the financial sector into disrepute
[Must] A bank must organise and manage its affairs responsibly and efficiently
[Must] A bank must avoid or, where avoidance is not possible, manage and mitigate actual or potential conflicts of interest
[Must] A bank must deal with the Authority in an open and cooperative manner
[Must] A bank must conduct its business transparently and with due regard to the Information needs of its financial customers
[Must] A bank must document, adopt, implement and monitor the effectiveness of appropriate governance arrangements that are reasonably necessary to ensure adherence to the requirements in section 2(4) and 3(1)
[Must] The governance arrangements must be proportionate to the nature, scale and complexity of the bank's activities and business model
[Must] The governance arrangements must describe how the bank will comply with this section through appropriate policies and procedures
[Must] The governance arrangements must address roles and responsibilities of the governing body and key persons
[Must] The governance arrangements must address remuneration, compensation and incentive practices
[Must] The governance arrangements must address conflicts of interest
[Must] The governance arrangements must address disclosure of interests in related and inter-related parties
[Must] The governance arrangements must address record keeping
[Must] The governance arrangements must address communication with the Authority
[Must] The governance arrangements must address decision making and management procedures, including delegation of authority arrangements
[Must] The governance arrangements must address risk management, compliance and internal control procedures, including segregation of duties and functions
[Must] The governance arrangements must address security, integrity, privacy and confidentiality of information
[Must] The governance arrangements must provide for regular risk-based monitoring and evaluation of the adequacy and effectiveness of the bank's systems, processes, procedures and internal control mechanisms
[Must] The monitoring and evaluation must consider systems, processes, procedures and internal control mechanisms to ensure compliance with this Conduct Standard and other applicable legislation
[Must] The monitoring and evaluation must consider systems, processes, procedures and internal control mechanisms to ensure the effectiveness of the bank's practices in relation to fair treatment of financial customers
[Must] The governing body of a bank is accountable for the approval, establishment, embedment, ongoing review of, and continued compliance with the bank's governance arrangements to reasonably ensure fair treatment of financial customers</t>
        </is>
      </c>
      <c r="O372" s="8" t="inlineStr">
        <is>
          <t>A bank must at all times conduct Its business with integrity; act honestly, fairly, with due skill, care and diligence, and in a manner that does not bring the financial sector into disrepute; organise and manage its affairs responsibly and efficiently; avoid or, where avoidance is not possible, manage and mitigate actual or potential conflicts of interest; deal with the Authority in an open and cooperative manner; and conduct Its business transparently and with due regard to the Information needs of its financial customers.</t>
        </is>
      </c>
    </row>
    <row r="373">
      <c r="A373" t="inlineStr">
        <is>
          <t>South Africa</t>
        </is>
      </c>
      <c r="B373" t="inlineStr">
        <is>
          <t>Conduct-Standard-3-of-2020-BANKS-Annexure-A</t>
        </is>
      </c>
      <c r="C373" t="inlineStr">
        <is>
          <t>4</t>
        </is>
      </c>
      <c r="D373" s="8" t="inlineStr">
        <is>
          <t>Design, suitability and performance requirements for financial products and financial</t>
        </is>
      </c>
      <c r="E373" t="inlineStr">
        <is>
          <t>2</t>
        </is>
      </c>
      <c r="F373" t="inlineStr">
        <is>
          <t>Other</t>
        </is>
      </c>
      <c r="G373" t="inlineStr">
        <is>
          <t>High</t>
        </is>
      </c>
      <c r="H373" t="inlineStr">
        <is>
          <t>Low</t>
        </is>
      </c>
      <c r="I373" s="8" t="inlineStr"/>
      <c r="J373" s="8" t="inlineStr"/>
      <c r="K373" t="inlineStr"/>
      <c r="L373" s="8" t="inlineStr"/>
      <c r="M373" s="8" t="inlineStr"/>
      <c r="N373" s="8" t="inlineStr"/>
      <c r="O373" s="8" t="inlineStr">
        <is>
          <t>Design, suitability and performance requirements for financial products and financial</t>
        </is>
      </c>
    </row>
    <row r="374">
      <c r="A374" t="inlineStr">
        <is>
          <t>South Africa</t>
        </is>
      </c>
      <c r="B374" t="inlineStr">
        <is>
          <t>Conduct-Standard-3-of-2020-BANKS-Annexure-A</t>
        </is>
      </c>
      <c r="C374" t="inlineStr">
        <is>
          <t>5</t>
        </is>
      </c>
      <c r="D374" s="8" t="inlineStr">
        <is>
          <t>Additlonal requirements in respect of retail financial CUStOMETS ........::ssccsessssereareees 10</t>
        </is>
      </c>
      <c r="E374" t="inlineStr">
        <is>
          <t>2</t>
        </is>
      </c>
      <c r="F374" t="inlineStr">
        <is>
          <t>Other</t>
        </is>
      </c>
      <c r="G374" t="inlineStr">
        <is>
          <t>High</t>
        </is>
      </c>
      <c r="H374" t="inlineStr">
        <is>
          <t>Low</t>
        </is>
      </c>
      <c r="I374" s="8" t="inlineStr"/>
      <c r="J374" s="8" t="inlineStr"/>
      <c r="K374" t="inlineStr"/>
      <c r="L374" s="8" t="inlineStr"/>
      <c r="M374" s="8" t="inlineStr"/>
      <c r="N374" s="8" t="inlineStr"/>
      <c r="O374" s="8" t="inlineStr">
        <is>
          <t>Additlonal requirements in respect of retail financial CUStOMETS ........::ssccsessssereareees</t>
        </is>
      </c>
    </row>
    <row r="375">
      <c r="A375" t="inlineStr">
        <is>
          <t>South Africa</t>
        </is>
      </c>
      <c r="B375" t="inlineStr">
        <is>
          <t>Conduct-Standard-3-of-2020-BANKS-Annexure-A</t>
        </is>
      </c>
      <c r="C375" t="inlineStr">
        <is>
          <t>10</t>
        </is>
      </c>
      <c r="D375" s="8" t="inlineStr">
        <is>
          <t>Termination, closure or switching of financlal products or financlal services by the</t>
        </is>
      </c>
      <c r="E375" t="inlineStr">
        <is>
          <t>2</t>
        </is>
      </c>
      <c r="F375" t="inlineStr">
        <is>
          <t>Other</t>
        </is>
      </c>
      <c r="G375" t="inlineStr">
        <is>
          <t>High</t>
        </is>
      </c>
      <c r="H375" t="inlineStr">
        <is>
          <t>Low</t>
        </is>
      </c>
      <c r="I375" s="8" t="inlineStr"/>
      <c r="J375" s="8" t="inlineStr"/>
      <c r="K375" t="inlineStr"/>
      <c r="L375" s="8" t="inlineStr"/>
      <c r="M375" s="8" t="inlineStr"/>
      <c r="N375" s="8" t="inlineStr"/>
      <c r="O375" s="8" t="inlineStr">
        <is>
          <t>Termination, closure or switching of financlal products or financlal services by the</t>
        </is>
      </c>
    </row>
    <row r="376">
      <c r="A376" t="inlineStr">
        <is>
          <t>South Africa</t>
        </is>
      </c>
      <c r="B376" t="inlineStr">
        <is>
          <t>Conduct-Standard-3-of-2020-BANKS-Annexure-A</t>
        </is>
      </c>
      <c r="C376" t="inlineStr">
        <is>
          <t>10</t>
        </is>
      </c>
      <c r="D376" s="8" t="inlineStr">
        <is>
          <t>(3)</t>
        </is>
      </c>
      <c r="E376" t="inlineStr">
        <is>
          <t>22–23</t>
        </is>
      </c>
      <c r="F376" t="inlineStr">
        <is>
          <t>Customer Information</t>
        </is>
      </c>
      <c r="G376" t="inlineStr">
        <is>
          <t>High</t>
        </is>
      </c>
      <c r="H376" t="inlineStr">
        <is>
          <t>High (explicit)</t>
        </is>
      </c>
      <c r="I376" s="8" t="inlineStr">
        <is>
          <t>Customer Information, Termination</t>
        </is>
      </c>
      <c r="J376" s="8" t="inlineStr">
        <is>
          <t>Customer Information</t>
        </is>
      </c>
      <c r="K376" t="inlineStr"/>
      <c r="L376" s="8" t="inlineStr">
        <is>
          <t>Banks must disclose reasons for refusal, withdrawal, termination or closure of financial products/services to customers.</t>
        </is>
      </c>
      <c r="M376" s="8" t="inlineStr">
        <is>
          <t>Banks must disclose reasons for refusal, withdrawal, termination or closure of financial products/services to customers.</t>
        </is>
      </c>
      <c r="N376" s="8" t="inlineStr">
        <is>
          <t>[Must] When taking actions referred to in subsection (1), a bank must disclose reasons for refusal, withdrawal, termination or closure to the financial customer.
[May] A bank may take actions without providing prior notice or reasons if compelled by law, has reasonable suspicion of illegal use, or has made necessary reports to authority.</t>
        </is>
      </c>
      <c r="O376" s="8" t="inlineStr">
        <is>
          <t>Subject to subsection (4), a bank must, when it takes any of the actions referred to in subsection (1), disclose to the financial customer the reasons for the refusal, withdrawal, termination or closure.</t>
        </is>
      </c>
    </row>
    <row r="377">
      <c r="A377" t="inlineStr">
        <is>
          <t>South Africa</t>
        </is>
      </c>
      <c r="B377" t="inlineStr">
        <is>
          <t>Conduct-Standard-3-of-2020-BANKS-Annexure-A</t>
        </is>
      </c>
      <c r="C377" t="inlineStr">
        <is>
          <t>11</t>
        </is>
      </c>
      <c r="D377" s="8" t="inlineStr">
        <is>
          <t>Short title ANG COMMENCOMEONE.......:::ssescccccsccssssssscccnsssesseuserenecsenenscessnssasseoooserssessessensss 23</t>
        </is>
      </c>
      <c r="E377" t="inlineStr">
        <is>
          <t>2–5</t>
        </is>
      </c>
      <c r="F377" t="inlineStr">
        <is>
          <t>Definitions</t>
        </is>
      </c>
      <c r="G377" t="inlineStr">
        <is>
          <t>None</t>
        </is>
      </c>
      <c r="H377" t="inlineStr">
        <is>
          <t>High</t>
        </is>
      </c>
      <c r="I377" s="8" t="inlineStr"/>
      <c r="J377" s="8" t="inlineStr"/>
      <c r="K377" t="inlineStr">
        <is>
          <t>Financial Sector Conduct Authority</t>
        </is>
      </c>
      <c r="L377" s="8" t="inlineStr"/>
      <c r="M377" s="8" t="inlineStr"/>
      <c r="N377" s="8" t="inlineStr"/>
      <c r="O377" s="8" t="inlineStr">
        <is>
          <t>In this Conduct Standard, "the Act" means the Financial Sector Regulation Act, 2017 ()</t>
        </is>
      </c>
    </row>
    <row r="378">
      <c r="A378" t="inlineStr">
        <is>
          <t>South Africa</t>
        </is>
      </c>
      <c r="B378" t="inlineStr">
        <is>
          <t>Directive in respect of cybersecurity and cyber-resilisnce within the national payment system</t>
        </is>
      </c>
      <c r="C378" t="inlineStr">
        <is>
          <t>1</t>
        </is>
      </c>
      <c r="D378" s="8" t="inlineStr">
        <is>
          <t>Definitions</t>
        </is>
      </c>
      <c r="E378" t="inlineStr">
        <is>
          <t>3–5</t>
        </is>
      </c>
      <c r="F378" t="inlineStr">
        <is>
          <t>Definitions</t>
        </is>
      </c>
      <c r="G378" t="inlineStr">
        <is>
          <t>High</t>
        </is>
      </c>
      <c r="H378" t="inlineStr">
        <is>
          <t>High (explicit)</t>
        </is>
      </c>
      <c r="I378" s="8" t="inlineStr"/>
      <c r="J378" s="8" t="inlineStr">
        <is>
          <t>Personal Information, Financial Data, Customer Data, Employee Data</t>
        </is>
      </c>
      <c r="K378" t="inlineStr"/>
      <c r="L378" s="8" t="inlineStr">
        <is>
          <t>This section defines key terms used throughout the directive, including critical service providers, cyber-attacks, cyber-incidents, cyber-resilience, cybersecurity, cyber-threats, information assets, information systems, information technology systems, multi-factor authentication, payment institutions, payment system financial market infrastructure, operators, senior management, sensitive information, and vulnerability assessments. These definitions establish the foundational terminology for understanding the cybersecurity and cyber-resilience requirements applicable to payment institutions and systems within South Africa's national payment system.</t>
        </is>
      </c>
      <c r="M378" s="8" t="inlineStr"/>
      <c r="N378" s="8" t="inlineStr">
        <is>
          <t>[Definition] critical service provider means a service provider that provides critical services to a payment institution in the NPS
[Definition] compromise means a violation of the security of an information technology (IT) system
[Definition] cyber-attack means malicious attempt(s) to exploit vulnerabilities through the cyber medium to damage, disrupt or gain unauthorised access to assets
[Definition] cyber-event means any observable occurrence in an information system. Cyber-events sometimes provide an indication that a cyber-incident is actually occurring
[Definition] cyber-incident means a cyber-event that adversely affects the cybersecurity of an information system and/or the information that the system processes, stores or transmits, or which violates the security policies, security procedures and/or acceptable use policies of the payment institution, whether resulting from malicious activity or not
[Definition] cyber-resilience means the ability of a payment institution or an operator to continue carrying out its mission by anticipating and adapting to cyber-threats and other relevant changes in the environment and by withstanding, containing and rapidly recovering from cyber-incidents
[Definition] cyber-risk means the combination of the probability of cyber-incidents occurring and their impact
[Definition] cybersecurity means the preservation of confidentiality, integrity and availability of information and/or information systems through the cyber-medium
[Definition] cyber-threat means a circumstance with the potential to exploit one or more vulnerabilities that adversely affects cybersecurity
[Definition] information asset means any piece of data, device or other component of the environment that supports information-related activities
[Definition] information system means a set of applications, services, information technology assets or other information-handling components, which includes the operating environment and networks
[Definition] information technology system means a set of hardware, software, network or other information technology components which is part of an IT infrastructure
[Definition] multi-factor authentication means the use of two or more authentication factors to verify the identity of a user or system
[Definition] payment institution means persons designated, authorised, registered or regulated under the National Payment System Act 78 of 1998 (NPS Act), including but not limited to clearing system participants, settlement system participants, third-party payment providers and system operators
[Definition] payment system Financial Market Infrastructure means a multilateral system among payment system participants, including the operator of the system, used for the purposes of clearing, settling or recording payments, and includes a systemically important payment, clearing or settlement system and a prominent payment, clearing or settlement system
[Definition] operator means an operator of a payment system, including payment clearing house system operators, operators of settlement systems and the operator(s) of payment system financial market infrastructures (FMIs)
[Definition] senior management means the chief executive officer or the person who is in charge of a payment institution
[Definition] sensitive information means information where loss, misuse, or unauthorised access to or modification could adversely affect the public interest, a payment institution or the privacy to which individuals are entitled
[Definition] vulnerability assessment means a systematic examination of an IT system, including its controls and processes, to determine the adequacy of security measures, identify security deficiencies, provide data from which to predict the effectiveness of proposed security measures and confirm the adequacy of such measures after implementation</t>
        </is>
      </c>
      <c r="O378" s="8" t="inlineStr">
        <is>
          <t>Definitions 1.1.1 to 1.1.19</t>
        </is>
      </c>
    </row>
    <row r="379">
      <c r="A379" t="inlineStr">
        <is>
          <t>South Africa</t>
        </is>
      </c>
      <c r="B379" t="inlineStr">
        <is>
          <t>Directive in respect of cybersecurity and cyber-resilisnce within the national payment system</t>
        </is>
      </c>
      <c r="C379" t="inlineStr">
        <is>
          <t>2</t>
        </is>
      </c>
      <c r="D379" s="8" t="inlineStr">
        <is>
          <t>Background</t>
        </is>
      </c>
      <c r="E379" t="inlineStr">
        <is>
          <t>5–7</t>
        </is>
      </c>
      <c r="F379" t="inlineStr">
        <is>
          <t>Definitions</t>
        </is>
      </c>
      <c r="G379" t="inlineStr">
        <is>
          <t>High</t>
        </is>
      </c>
      <c r="H379" t="inlineStr">
        <is>
          <t>High (explicit)</t>
        </is>
      </c>
      <c r="I379" s="8" t="inlineStr">
        <is>
          <t>Cross-border Transfer, International Processing, Data Storage, Security, Incident Reporting, Breach Notification</t>
        </is>
      </c>
      <c r="J379" s="8" t="inlineStr">
        <is>
          <t>Financial Data, Customer Data, Employee Data</t>
        </is>
      </c>
      <c r="K379" t="inlineStr"/>
      <c r="L379" s="8" t="inlineStr">
        <is>
          <t>This section provides background information on the South African Reserve Bank's (SARB) role in regulating payment systems, the scope of the national payment system (NPS), and the evolving payment landscape with digital technologies. It explains how the NPS functions as a critical component of South Africa's monetary and financial system and highlights the increased cyber-risks associated with digitization and financial technology (fintech) in the payment sector.</t>
        </is>
      </c>
      <c r="M379" s="8" t="inlineStr"/>
      <c r="N379" s="8" t="inlineStr">
        <is>
          <t>[Definition] In terms of section 10(1)(c) of the South African Reserve Bank Act 90 of 1989, as amended (SARB Act), the South African Reserve Bank (SARB) is required to perform such functions, implement such rules and procedures, and, in general, take such steps as may be necessary to establish, conduct, monitor and supervise payment, clearing and settlement systems
[Definition] The NPS encompasses the entire payment process, from payer to beneficiary, and includes settlement between banks. The process includes all the tools, systems, instruments, mechanisms, institutions, agreements, procedures, rules or laws applied or utilised to effect payment
[Definition] In terms of section 12 of the NPS Act, the SARB is empowered to issue directives, after consultation with the payment system management body (PSMB), to any person regarding a payment system or the application of the provisions of the NPS Act
[Definition] The payment landscape has evolved significantly over the past two decades, with digitisation, financial technology (fintech), automation and artificial intelligence (AI) changing the manner in which payments are effected
[Definition] The rapid growth in digitisation and automation has introduced alternative payment solutions that are faster, more cost-effective and more efficient. However, these technologies also increase cyber-risk in the NPS as payment institutions become more dependent on computer networks and third-party IT service providers
[Definition] Cybersecurity and cyber-resilience contribute positively to the operational resilience of payment institutions, operators, as well as payment, clearing and settlement systems and payment system FMIs, and further contribute to the overall resilience of the broader NPS</t>
        </is>
      </c>
      <c r="O379" s="8" t="inlineStr">
        <is>
          <t>Background 2.1 to 2.6</t>
        </is>
      </c>
    </row>
    <row r="380">
      <c r="A380" t="inlineStr">
        <is>
          <t>South Africa</t>
        </is>
      </c>
      <c r="B380" t="inlineStr">
        <is>
          <t>Directive in respect of cybersecurity and cyber-resilisnce within the national payment system</t>
        </is>
      </c>
      <c r="C380" t="inlineStr">
        <is>
          <t>3</t>
        </is>
      </c>
      <c r="D380" s="8" t="inlineStr">
        <is>
          <t>Purpose</t>
        </is>
      </c>
      <c r="E380" t="inlineStr">
        <is>
          <t>7</t>
        </is>
      </c>
      <c r="F380" t="inlineStr">
        <is>
          <t>Other</t>
        </is>
      </c>
      <c r="G380" t="inlineStr">
        <is>
          <t>High</t>
        </is>
      </c>
      <c r="H380" t="inlineStr">
        <is>
          <t>High (explicit)</t>
        </is>
      </c>
      <c r="I380" s="8" t="inlineStr">
        <is>
          <t>Security, Incident Reporting, Breach Notification</t>
        </is>
      </c>
      <c r="J380" s="8" t="inlineStr">
        <is>
          <t>Financial Data, Customer Data, Employee Data</t>
        </is>
      </c>
      <c r="K380" t="inlineStr"/>
      <c r="L380" s="8" t="inlineStr">
        <is>
          <t>This section states that the South African Reserve Bank (SARB) issues the directive to impose cybersecurity and cyber-resilience requirements on payment institutions, payment, clearing and settlement systems, payment system financial market infrastructures, and operators within the national payment system (NPS). The purpose is to ensure the safety, efficiency, and resiliency of the NPS through enhanced cybersecurity measures.</t>
        </is>
      </c>
      <c r="M380" s="8" t="inlineStr"/>
      <c r="N380" s="8" t="inlineStr">
        <is>
          <t>[Definition] The SARB, acting pursuant to its powers in terms of section 12 of the NPS Act, hereby issues this directive to impose cybersecurity and cyber-resilience requirements on payment institutions; payment, clearing and settlement systems; payment system FMIs; and operators within the NPS</t>
        </is>
      </c>
      <c r="O380" s="8" t="inlineStr">
        <is>
          <t>Purpose 3.1</t>
        </is>
      </c>
    </row>
    <row r="381">
      <c r="A381" t="inlineStr">
        <is>
          <t>South Africa</t>
        </is>
      </c>
      <c r="B381" t="inlineStr">
        <is>
          <t>Directive in respect of cybersecurity and cyber-resilisnce within the national payment system</t>
        </is>
      </c>
      <c r="C381" t="inlineStr">
        <is>
          <t>5</t>
        </is>
      </c>
      <c r="D381" s="8" t="inlineStr">
        <is>
          <t>Directive</t>
        </is>
      </c>
      <c r="E381" t="inlineStr">
        <is>
          <t>7–16</t>
        </is>
      </c>
      <c r="F381" t="inlineStr">
        <is>
          <t>Security</t>
        </is>
      </c>
      <c r="G381" t="inlineStr">
        <is>
          <t>High</t>
        </is>
      </c>
      <c r="H381" t="inlineStr">
        <is>
          <t>Medium (merged from chunks)</t>
        </is>
      </c>
      <c r="I381" s="8" t="inlineStr">
        <is>
          <t>Security, Access Control, Processing, Incident Reporting, Breach Notification, Cloud Services, Third Party Processing</t>
        </is>
      </c>
      <c r="J381" s="8" t="inlineStr">
        <is>
          <t>Financial Data, Personal Information</t>
        </is>
      </c>
      <c r="K381" t="inlineStr">
        <is>
          <t>SARB</t>
        </is>
      </c>
      <c r="L381" s="8" t="inlineStr">
        <is>
          <t>Payment institutions and operators must establish written cyber-governance arrangements that define cybersecurity objectives, outline people/processes/technology requirements, and mandate board/senior management responsibilities including cyber-risk tolerance determination, policy approval, framework oversight, annual reviews, alignment with operational risk management, adherence to standards, risk identification, and appointment of skilled executives. These arrangements must also ensure information sharing with SARB and industry stakeholders. Payment institutions must conduct extensive due diligence on third parties' cyber-resilience measures, assess criticality of outsourced processes before contracting, obtain independent security attestation reports, and implement business continuity testing with third parties. For cloud service providers, they must comply with SARB's regulatory requirements on jurisdiction risk mitigation and maintain accountability for data security.</t>
        </is>
      </c>
      <c r="M381" s="8" t="inlineStr">
        <is>
          <t>This section mandates comprehensive cybersecurity governance that directly impacts data transfer security by requiring robust frameworks for identifying critical assets, implementing protective controls, and ensuring timely incident response—critical for assessing cross-border data transfer risks in payment systems. Requires specific due diligence and testing for third-party relationships, with explicit cloud service provider compliance obligations that impact data transfer security and accountability in cross-border contexts.</t>
        </is>
      </c>
      <c r="N381" s="8" t="inlineStr">
        <is>
          <t>[Must] Payment institutions and operators must have written effective cyber-governance arrangements that define cybersecurity and cyber-resilience objectives
[Must] Payment institutions and operators must have written effective cyber-governance arrangements that outline people, processes and technology requirements for protecting information systems, managing cyber-risks, and providing timely communication and effective responses to, and recovery from, cyber-attacks
[Must] Payment institutions and operators must ensure that the board of directors or senior management determine cyber-risk tolerance levels of the payment institution, operator, payment, clearing or settlement system, or payment system FMI
[Must] Payment institutions and operators must ensure that the board of directors or senior management approve cybersecurity policies and strategy, and cybersecurity and cyber-resilience framework
[Must] Payment institutions and operators must ensure that the board of directors or senior management oversee the development and implementation of cybersecurity policies and strategy, and cybersecurity and cyber-resilience framework
[Must] Payment institutions and operators must ensure that the board of directors or senior management conduct annual reviews of cybersecurity policies and strategy, and cybersecurity and cyber-resilience framework
[Must] Payment institutions and operators must ensure that the cybersecurity and cyber-resilience framework is aligned to the operational risk management framework, operational resilience plan and business continuity plan
[Must] Payment institutions and operators must ensure that the cybersecurity and cyber-resilience framework is based on industry standards and international best practices, and complies with legislative and regulatory requirements
[Must] Payment institutions and operators must ensure that the cybersecurity and cyber-resilience framework clearly articulates the identification of cyber-risks and the required controls to manage and mitigate the cyber-risks
[Must] Payment institutions and operators must ensure the appointment of a senior executive and technical experts with relevant skills, expertise and experience accountable for cybersecurity and cyber-resilience
[Must] Payment institutions and operators must ensure that the cybersecurity and cyber-resilience framework makes provision for information sharing and collaboration with SARB and other relevant payment industry stakeholders
[Must] Conduct extensive due diligence to evaluate cyber-resilience measures of relevant third parties
[Must] Assess criticality of processes that may be outsourced prior to entering into outsourcing contracts
[Must] Obtain independent security attestation reports from third parties as an additional layer of assurance
[Must] Implement and test business continuity plans and ensure coordination with third-party service providers
[Must] Ensure compliance with SARB regulatory requirements for cloud computing and data offshoring in the NPS
[Must] Identify, monitor and mitigate jurisdiction risk relating to data transmitted, stored and processed in the cloud
[Must] Remain accountable for data stored and processed, and for overall security and resilience of cloud solutions</t>
        </is>
      </c>
      <c r="O381" s="8" t="inlineStr">
        <is>
          <t>Payment institutions and operators must develop and maintain cybersecurity and cyber-resilience frameworks that include the following: 5.1.1 Cyber-governance</t>
        </is>
      </c>
    </row>
    <row r="382">
      <c r="A382" t="inlineStr">
        <is>
          <t>South Africa</t>
        </is>
      </c>
      <c r="B382" t="inlineStr">
        <is>
          <t>Directive in respect of cybersecurity and cyber-resilisnce within the national payment system</t>
        </is>
      </c>
      <c r="C382" t="inlineStr">
        <is>
          <t>6</t>
        </is>
      </c>
      <c r="D382" s="8" t="inlineStr">
        <is>
          <t>Supervision and compliance monitoring</t>
        </is>
      </c>
      <c r="E382" t="inlineStr">
        <is>
          <t>16–19</t>
        </is>
      </c>
      <c r="F382" t="inlineStr">
        <is>
          <t>Other</t>
        </is>
      </c>
      <c r="G382" t="inlineStr">
        <is>
          <t>High</t>
        </is>
      </c>
      <c r="H382" t="inlineStr">
        <is>
          <t>High (explicit)</t>
        </is>
      </c>
      <c r="I382" s="8" t="inlineStr">
        <is>
          <t>Incident Reporting, Breach Notification</t>
        </is>
      </c>
      <c r="J382" s="8" t="inlineStr">
        <is>
          <t>Financial Data, Customer Data, Employee Data</t>
        </is>
      </c>
      <c r="K382" t="inlineStr">
        <is>
          <t>South African Reserve Bank</t>
        </is>
      </c>
      <c r="L382" s="8" t="inlineStr">
        <is>
          <t>This section outlines the SARB's authority to conduct supervisory inspections on payment institutions and operators, including the procedures for notifications, entry into premises, document access, and the handling of evidence during inspections. It specifies the conditions under which SARB representatives may enter premises without prior consent, the requirements for warrants, and the rights of SARB representatives to access documents and systems during inspections.</t>
        </is>
      </c>
      <c r="M382" s="8" t="inlineStr"/>
      <c r="N382" s="8" t="inlineStr">
        <is>
          <t>[Must] The SARB may at any time conduct a supervisory onsite or offsite inspection on payment institutions or operators, in a form and manner that the SARB may determine, to promote compliance with this directive
[Must] Subject to subparagraph 6.4.3, the SARB must provide written notification to the payment institution or operator whose business premises will be inspected, prior to conducting the supervisory onsite inspection
[Must] The supervisory onsite inspection notification will specify: date(s) of the intended supervisory onsite inspection; names of the SARB representatives; the period under review; and any other information/documentation required for inspection purposes
[Must] Each SARB representative must produce a letter of authority and identity document upon entry at the premises of a payment institution or operator, which officials must view for verification purposes and are prohibited to produce copies thereof
[May] The SARB representatives may enter any premises without prior consent in the case of business premises operated by payment institutions or operators
[May] The SARB representatives may enter any premises with prior consent in the case of a private residence, where the business of the payment institution is reasonably believed to be conducted at the private residence
[May] The SARB representatives may enter any premises without prior consent and without prior notice to any payment institution or operator if the entry is authorised by a warrant in terms of paragraph 6.10
[May] The SARB representatives may enter any premises without prior consent and without prior notice to any payment institution or operator with the prior authority of a senior staff member of the SARB, if the senior staff member on reasonable grounds believes that a warrant will be issued if applied for, in terms of paragraph 6.10
[May] The SARB representatives may enter any premises without prior consent and without prior notice to any payment institution or operator with the prior authority of a senior staff member of the S. A. R. B., if the senior staff member on reasonable grounds believes that the delay in obtaining the warrant is likely to defeat the purpose for which entry of the premises is sought
[May] The SARB representatives may enter any premises without prior consent and without prior notice to any payment institution or operator with the prior authority of a senior staff member of the S. A. R. B., if it is necessary to enter the premises to conduct the inspection and search the premises
[May] While on the premises, the SARB representatives have the right of access to any part of the premises and to any document or item on the premises, and may do any of the following: open or cause to be opened any strongroom, safe, cabinet or other container in which the SARB representatives reasonably suspects there is a document or item that may be relevant to the inspection
[May] While on the premises, the SARB representatives have the right of access to any part of the premises and to any document or item on the premises, and may do any of the following: examine, make extracts from and copy any document on the premises
[May] While on the premises, the SARB representatives have the right of access to any part of the premises and to any document or item on the premises, and may do any of the following: question any person on the premises to find out information relevant to the inspection
[May] While on the premises, the SARB representatives have the right of access to any part of the premises and to any document or item on the premises, and may do any of the following: require a person on the premises to produce to the SARB representatives any document or item that is relevant to the inspection and is in the possession or under the control of the person
[May] While on the premises, the SARB representatives have the right of access to any part of the premises and to any document or item on the premises, and may do any of the following: require a person on the premises to operate any computer or similar system or available through the premises to search any information in or available through that system
[May] While on the premises, the SARB representatives have the right of access to any part of the premises and to any document or item on the premises, and may do any of the following: require a person on the premises to operate any computer or similar system or available through the premises to produce a record of that information in any format that the SARB representatives reasonably requires
[May] While on the premises, the SARB representatives have the right of access to any part of the premises and to any document or item on the premises, and may do any of the following: take possession of, and take from the premises, a copy of any document or item that may afford evidence of a contravention of this directive or may be relevant to the inspection
[Must] The SARB representatives must give the person apparently in charge of the premises a written and signed receipt for the copies of documents or items taken as mentioned in paragraph 6.5
[May] A payment institution or operator from whose premises a document or item was taken as mentioned in paragraph 6.5, or its authorised representative, may, during normal office hours and under the supervision of the representatives of the SARB, examine, copy and make extracts from a document or item
[May] A person who is questioned, or required to produce a document or information, during a supervisory onsite inspection contemplated may object to answering the question or to producing the document or the information on the grounds that the answer, the contents of the document or the information may tend to incriminate the person
[Must] On such an objection, the SARB representative conducting the supervisory onsite inspection may require the question to be answered or the document or information to be produced, in which case the person must answer the question or produce the document
[May] The judge or magistrate may issue a warrant in terms of this paragraph: on written application by the SARB setting out under oath or affirmation why it is necessary to enter and inspect the premises
[Must] A warrant issued in terms of this paragraph must be produced on reasonable demand by any person on the premises</t>
        </is>
      </c>
      <c r="O382" s="8" t="inlineStr">
        <is>
          <t>Supervision and compliance monitoring 6.1 to 7.3</t>
        </is>
      </c>
    </row>
    <row r="383">
      <c r="A383" t="inlineStr">
        <is>
          <t>South Africa</t>
        </is>
      </c>
      <c r="B383" t="inlineStr">
        <is>
          <t>Directive in respect of cybersecurity and cyber-resilisnce within the national payment system</t>
        </is>
      </c>
      <c r="C383" t="inlineStr">
        <is>
          <t>7</t>
        </is>
      </c>
      <c r="D383" s="8" t="inlineStr">
        <is>
          <t>Effective date and non-compliance</t>
        </is>
      </c>
      <c r="E383" t="inlineStr">
        <is>
          <t>19–20</t>
        </is>
      </c>
      <c r="F383" t="inlineStr">
        <is>
          <t>Other</t>
        </is>
      </c>
      <c r="G383" t="inlineStr">
        <is>
          <t>High</t>
        </is>
      </c>
      <c r="H383" t="inlineStr">
        <is>
          <t>High (explicit)</t>
        </is>
      </c>
      <c r="I383" s="8" t="inlineStr"/>
      <c r="J383" s="8" t="inlineStr">
        <is>
          <t>Financial Data, Customer Data, Employee Data</t>
        </is>
      </c>
      <c r="K383" t="inlineStr">
        <is>
          <t>South African Reserve Bank</t>
        </is>
      </c>
      <c r="L383" s="8" t="inlineStr">
        <is>
          <t>This section states that the directive will be effective three months after publication, the SARB reserves the right to amend requirements, and payment institutions or operators must comply with the directive. Contravention of the directive is an offence under section 12(8) of the NPS Act.</t>
        </is>
      </c>
      <c r="M383" s="8" t="inlineStr"/>
      <c r="N383" s="8" t="inlineStr">
        <is>
          <t>[Must] This directive will be effective three months after its publication. The SARB reserves the right to amend any requirements in this directive
[Must] Payment institutions or operators must comply with the requirements or conditions as stipulated in this directive
[Must] Contravention of this directive is an offence in terms of section 12(8) of the NPS Act</t>
        </is>
      </c>
      <c r="O383" s="8" t="inlineStr">
        <is>
          <t>Effective date and non-compliance 7.1 to 7.3</t>
        </is>
      </c>
    </row>
    <row r="384">
      <c r="A384" t="inlineStr">
        <is>
          <t>South Africa</t>
        </is>
      </c>
      <c r="B384" t="inlineStr">
        <is>
          <t>FICA (Financial Intelligence Centre Act, 38 of 2001</t>
        </is>
      </c>
      <c r="C384" t="inlineStr">
        <is>
          <t>1</t>
        </is>
      </c>
      <c r="D384" s="8" t="inlineStr">
        <is>
          <t>2.</t>
        </is>
      </c>
      <c r="E384" t="inlineStr">
        <is>
          <t>24</t>
        </is>
      </c>
      <c r="F384" t="inlineStr">
        <is>
          <t>Definitions</t>
        </is>
      </c>
      <c r="G384" t="inlineStr">
        <is>
          <t>High</t>
        </is>
      </c>
      <c r="H384" t="inlineStr">
        <is>
          <t>High (explicit)</t>
        </is>
      </c>
      <c r="I384" s="8" t="inlineStr"/>
      <c r="J384" s="8" t="inlineStr"/>
      <c r="K384" t="inlineStr"/>
      <c r="L384" s="8" t="inlineStr">
        <is>
          <t>Defines supervisory bodies under FICA, including financial regulators and authorities.</t>
        </is>
      </c>
      <c r="M384" s="8" t="inlineStr"/>
      <c r="N384" s="8" t="inlineStr">
        <is>
          <t>[Must] Supervisory bodies include Financial Services Board, South African Reserve Bank, etc.</t>
        </is>
      </c>
      <c r="O384" s="8" t="inlineStr">
        <is>
          <t>1. The Financial Services Board established by the Financial Services Board Act, 1990 (Act 97 of 1990).</t>
        </is>
      </c>
    </row>
    <row r="385">
      <c r="A385" t="inlineStr">
        <is>
          <t>South Africa</t>
        </is>
      </c>
      <c r="B385" t="inlineStr">
        <is>
          <t>FICA (Financial Intelligence Centre Act, 38 of 2001</t>
        </is>
      </c>
      <c r="C385" t="inlineStr">
        <is>
          <t>2</t>
        </is>
      </c>
      <c r="D385" s="8" t="inlineStr">
        <is>
          <t>(1) A Financial Intelligence Centre is hereby  established as an institution outside</t>
        </is>
      </c>
      <c r="E385" t="inlineStr">
        <is>
          <t>1</t>
        </is>
      </c>
      <c r="F385" t="inlineStr">
        <is>
          <t>Definitions</t>
        </is>
      </c>
      <c r="G385" t="inlineStr">
        <is>
          <t>High</t>
        </is>
      </c>
      <c r="H385" t="inlineStr">
        <is>
          <t>High (explicit)</t>
        </is>
      </c>
      <c r="I385" s="8" t="inlineStr"/>
      <c r="J385" s="8" t="inlineStr"/>
      <c r="K385" t="inlineStr"/>
      <c r="L385" s="8" t="inlineStr">
        <is>
          <t>Defines 'property' as any property or service derived from unlawful activities.</t>
        </is>
      </c>
      <c r="M385" s="8" t="inlineStr"/>
      <c r="N385" s="8" t="inlineStr">
        <is>
          <t>[Must] In terms of section 1 of the Prevention Act, this term means 'any property or any service, advantage, benefit or reward which was derived, received or retained, directly or indirectly, in the Republic or elsewhere, at any time before or after the commencement of this Act, in connection with or as a result of any unlawful activity commenced by any person, and includes any property representing property so derived'.</t>
        </is>
      </c>
      <c r="O385" s="8" t="inlineStr">
        <is>
          <t>2. In terms of section 1 of the Prevention Act, this term means 'any property or any service, advantage, benefit or reward which was derived, received or retained, directly or indirectly, in the Republic or elsewhere, at any time before or after the commencement of this Act, in connection with or as a result of any unlawful activity commenced by any person, and includes any property representing property so derived'.</t>
        </is>
      </c>
    </row>
    <row r="386">
      <c r="A386" t="inlineStr">
        <is>
          <t>South Africa</t>
        </is>
      </c>
      <c r="B386" t="inlineStr">
        <is>
          <t>FICA (Financial Intelligence Centre Act, 38 of 2001</t>
        </is>
      </c>
      <c r="C386" t="inlineStr">
        <is>
          <t>2</t>
        </is>
      </c>
      <c r="D386" s="8" t="inlineStr">
        <is>
          <t>In terms  of  section 1 of the  Prevention  Act,  this  term  means  "any  property</t>
        </is>
      </c>
      <c r="E386" t="inlineStr">
        <is>
          <t>2</t>
        </is>
      </c>
      <c r="F386" t="inlineStr">
        <is>
          <t>Definitions</t>
        </is>
      </c>
      <c r="G386" t="inlineStr">
        <is>
          <t>High</t>
        </is>
      </c>
      <c r="H386" t="inlineStr">
        <is>
          <t>High (explicit)</t>
        </is>
      </c>
      <c r="I386" s="8" t="inlineStr"/>
      <c r="J386" s="8" t="inlineStr"/>
      <c r="K386" t="inlineStr"/>
      <c r="L386" s="8" t="inlineStr">
        <is>
          <t>Defines 'property' as any property or service derived from unlawful activities.</t>
        </is>
      </c>
      <c r="M386" s="8" t="inlineStr"/>
      <c r="N386" s="8" t="inlineStr">
        <is>
          <t>[Must] In terms of section 1 of the Prevention Act, this term means 'any property or any service, advantage, benefit or reward which was derived, received or retained, directly or indirectly, in the Republic or elsewhere, at any time before or after the commencement of this Act, in connection with or as a result of any unlawful activity commenced by any person, and includes any property representing property so derived'.</t>
        </is>
      </c>
      <c r="O386" s="8" t="inlineStr">
        <is>
          <t>2. In terms of section 1 of the Prevention Act, this term means 'any property or any service, advantage, benefit or reward which was derived, received or retained, directly or indirectly, in the Republic or elsewhere, at any time before or after the commencement of this Act, in connection with or as a result of any unlawful activity commenced by any person, and includes any property representing property so derived'.</t>
        </is>
      </c>
    </row>
    <row r="387">
      <c r="A387" t="inlineStr">
        <is>
          <t>South Africa</t>
        </is>
      </c>
      <c r="B387" t="inlineStr">
        <is>
          <t>FICA (Financial Intelligence Centre Act, 38 of 2001</t>
        </is>
      </c>
      <c r="C387" t="inlineStr">
        <is>
          <t>2</t>
        </is>
      </c>
      <c r="D387" s="8" t="inlineStr">
        <is>
          <t>The substitution for section 7A of the following section:</t>
        </is>
      </c>
      <c r="E387" t="inlineStr">
        <is>
          <t>24</t>
        </is>
      </c>
      <c r="F387" t="inlineStr">
        <is>
          <t>Other</t>
        </is>
      </c>
      <c r="G387" t="inlineStr">
        <is>
          <t>High</t>
        </is>
      </c>
      <c r="H387" t="inlineStr">
        <is>
          <t>High (explicit)</t>
        </is>
      </c>
      <c r="I387" s="8" t="inlineStr"/>
      <c r="J387" s="8" t="inlineStr"/>
      <c r="K387" t="inlineStr"/>
      <c r="L387" s="8" t="inlineStr">
        <is>
          <t>Amends section 7A of Prevention of Organised Crime Act with additional defences for reporting obligations.</t>
        </is>
      </c>
      <c r="M387" s="8" t="inlineStr"/>
      <c r="N387" s="8" t="inlineStr">
        <is>
          <t>[May] Defence may be raised if person reported knowledge/suspicion under FICA
[May] Defence may be raised if person complied with internal reporting rules
[May] Defence may be raised if person reported to responsible person</t>
        </is>
      </c>
      <c r="O387" s="8" t="inlineStr">
        <is>
          <t>2. The substitution for section 7A of the following section: Defence 7A. (1) If a person is charged with committing an offence under section 2(1)(a) or (b), 4, 5 or 6, that person may raise as a defence the fact that he or she had reported a knowledge or suspicion in terms of section 29 of the Financial Intelligence Centre Act, 2001.</t>
        </is>
      </c>
    </row>
    <row r="388">
      <c r="A388" t="inlineStr">
        <is>
          <t>South Africa</t>
        </is>
      </c>
      <c r="B388" t="inlineStr">
        <is>
          <t>FICA (Financial Intelligence Centre Act, 38 of 2001</t>
        </is>
      </c>
      <c r="C388" t="inlineStr">
        <is>
          <t>3</t>
        </is>
      </c>
      <c r="D388" s="8" t="inlineStr">
        <is>
          <t>(1) The principal objective of the  Centre  is  to assist in the identification of the</t>
        </is>
      </c>
      <c r="E388" t="inlineStr">
        <is>
          <t>1–2</t>
        </is>
      </c>
      <c r="F388" t="inlineStr">
        <is>
          <t>Definitions</t>
        </is>
      </c>
      <c r="G388" t="inlineStr">
        <is>
          <t>High</t>
        </is>
      </c>
      <c r="H388" t="inlineStr">
        <is>
          <t>High (explicit)</t>
        </is>
      </c>
      <c r="I388" s="8" t="inlineStr"/>
      <c r="J388" s="8" t="inlineStr"/>
      <c r="K388" t="inlineStr"/>
      <c r="L388" s="8" t="inlineStr">
        <is>
          <t>Defines 'money' as any movable, immovable, corporeal or incorporeal thing.</t>
        </is>
      </c>
      <c r="M388" s="8" t="inlineStr"/>
      <c r="N388" s="8" t="inlineStr">
        <is>
          <t>[Must] In terms of section 1 of the Prevention Act, this term means 'money or any other movable, immovable, corporeal or incorporeal thing, and includes any rights, privileges, claims and securities and any interest therein and all proceeds thereof'.</t>
        </is>
      </c>
      <c r="O388" s="8" t="inlineStr">
        <is>
          <t>3. In terms of section 1 of the Prevention Act, this term means 'money or any other movable, immovable, corporeal or incorporeal thing, and includes any rights, privileges, claims and securities and any interest therein and all proceeds thereof'.</t>
        </is>
      </c>
    </row>
    <row r="389">
      <c r="A389" t="inlineStr">
        <is>
          <t>South Africa</t>
        </is>
      </c>
      <c r="B389" t="inlineStr">
        <is>
          <t>FICA (Financial Intelligence Centre Act, 38 of 2001</t>
        </is>
      </c>
      <c r="C389" t="inlineStr">
        <is>
          <t>3</t>
        </is>
      </c>
      <c r="D389" s="8" t="inlineStr">
        <is>
          <t>In terms of section 1 of the  Prevention  Act,  this t m n means  "money or any  other  movable,  immovable,</t>
        </is>
      </c>
      <c r="E389" t="inlineStr">
        <is>
          <t>2</t>
        </is>
      </c>
      <c r="F389" t="inlineStr">
        <is>
          <t>Definitions</t>
        </is>
      </c>
      <c r="G389" t="inlineStr">
        <is>
          <t>High</t>
        </is>
      </c>
      <c r="H389" t="inlineStr">
        <is>
          <t>High (explicit)</t>
        </is>
      </c>
      <c r="I389" s="8" t="inlineStr"/>
      <c r="J389" s="8" t="inlineStr"/>
      <c r="K389" t="inlineStr"/>
      <c r="L389" s="8" t="inlineStr">
        <is>
          <t>Defines 'money' as any movable, immovable, corporeal or incorporeal thing.</t>
        </is>
      </c>
      <c r="M389" s="8" t="inlineStr"/>
      <c r="N389" s="8" t="inlineStr">
        <is>
          <t>[Must] In terms of section 1 of the Prevention Act, this term means 'money or any other movable, immovable, corporeal or incorporeal thing, and includes any rights, privileges, claims and securities and any interest therein and all proceeds thereof'.</t>
        </is>
      </c>
      <c r="O389" s="8" t="inlineStr">
        <is>
          <t>3. In terms of section 1 of the Prevention Act, this term means 'money or any other movable, immovable, corporeal or incorporeal thing, and includes any rights, privileges, claims and securities and any interest therein and all proceeds thereof'.</t>
        </is>
      </c>
    </row>
    <row r="390">
      <c r="A390" t="inlineStr">
        <is>
          <t>South Africa</t>
        </is>
      </c>
      <c r="B390" t="inlineStr">
        <is>
          <t>FICA (Financial Intelligence Centre Act, 38 of 2001</t>
        </is>
      </c>
      <c r="C390" t="inlineStr">
        <is>
          <t>4</t>
        </is>
      </c>
      <c r="D390" s="8" t="inlineStr">
        <is>
          <t>Ir terms  of  section I of the  Prevention  Act,  this  term  means  "conduct  which  constitutes  a  crime</t>
        </is>
      </c>
      <c r="E390" t="inlineStr">
        <is>
          <t>2</t>
        </is>
      </c>
      <c r="F390" t="inlineStr">
        <is>
          <t>Other</t>
        </is>
      </c>
      <c r="G390" t="inlineStr">
        <is>
          <t>High</t>
        </is>
      </c>
      <c r="H390" t="inlineStr">
        <is>
          <t>High (explicit)</t>
        </is>
      </c>
      <c r="I390" s="8" t="inlineStr">
        <is>
          <t>Processing, Data Sharing, Data Storage, Retention</t>
        </is>
      </c>
      <c r="J390" s="8" t="inlineStr">
        <is>
          <t>Financial Data</t>
        </is>
      </c>
      <c r="K390" t="inlineStr"/>
      <c r="L390" s="8" t="inlineStr">
        <is>
          <t>Centre must process, analyse information, inform authorities, monitor compliance, and retain information.</t>
        </is>
      </c>
      <c r="M390" s="8" t="inlineStr">
        <is>
          <t>Centre must process, analyse information disclosed to it, inform authorities, monitor compliance, and retain information.</t>
        </is>
      </c>
      <c r="N390" s="8" t="inlineStr">
        <is>
          <t>[Must] process, analyse and interpret information disclosed to it, and obtained by it, in terms of this Act
[Must] inform, advise and cooperate with investigating authorities, supervisory bodies, the South African Revenue Service and the intelligence services
[Must] monitor and give guidance to accountable institutions, supervisory bodies and other persons regarding the performance by them of their duties and their compliance with the provisions of this Act
[Must] retain the information referred to in paragraph (a) in the manner and for the period required by this Act</t>
        </is>
      </c>
      <c r="O390" s="8" t="inlineStr">
        <is>
          <t>4. To achieve its objectives the Centre must- (a) process, analyse and interpret information disclosed to it, and obtained by it, in terms of this Act; (b) inform, advise and cooperate with investigating authorities, supervisory bodies, the South African Revenue Service and the intelligence services; (c) monitor and give guidance to accountable institutions, supervisory bodies and other persons regarding the performance by them of their duties and their compliance with the provisions of this Act; (d) retain the information referred to in paragraph (a) in the manner and for the period required by this Act.</t>
        </is>
      </c>
    </row>
    <row r="391">
      <c r="A391" t="inlineStr">
        <is>
          <t>South Africa</t>
        </is>
      </c>
      <c r="B391" t="inlineStr">
        <is>
          <t>FICA (Financial Intelligence Centre Act, 38 of 2001</t>
        </is>
      </c>
      <c r="C391" t="inlineStr">
        <is>
          <t>4</t>
        </is>
      </c>
      <c r="D391" s="8" t="inlineStr">
        <is>
          <t>To achieve its objectives the Centre  must-</t>
        </is>
      </c>
      <c r="E391" t="inlineStr">
        <is>
          <t>2</t>
        </is>
      </c>
      <c r="F391" t="inlineStr">
        <is>
          <t>Other</t>
        </is>
      </c>
      <c r="G391" t="inlineStr">
        <is>
          <t>High</t>
        </is>
      </c>
      <c r="H391" t="inlineStr">
        <is>
          <t>High (explicit)</t>
        </is>
      </c>
      <c r="I391" s="8" t="inlineStr">
        <is>
          <t>Processing, Data Sharing, Data Storage, Retention</t>
        </is>
      </c>
      <c r="J391" s="8" t="inlineStr">
        <is>
          <t>Financial Data</t>
        </is>
      </c>
      <c r="K391" t="inlineStr"/>
      <c r="L391" s="8" t="inlineStr">
        <is>
          <t>Centre must process, analyse information, inform authorities, monitor compliance, and retain information.</t>
        </is>
      </c>
      <c r="M391" s="8" t="inlineStr">
        <is>
          <t>Centre must process, analyse information disclosed to it, inform authorities, monitor compliance, and retain information.</t>
        </is>
      </c>
      <c r="N391" s="8" t="inlineStr">
        <is>
          <t>[Must] process, analyse and interpret information disclosed to it, and obtained by it, in terms of this Act
[Must] inform, advise and cooperate with investigating authorities, supervisory bodies, the South African Revenue Service and the intelligence services
[Must] monitor and give guidance to accountable institutions, supervisory bodies and other persons regarding the performance by them of their duties and their compliance with the provisions of this Act
[Must] retain the information referred to in paragraph (a) in the manner and for the period required by this Act</t>
        </is>
      </c>
      <c r="O391" s="8" t="inlineStr">
        <is>
          <t>4. To achieve its objectives the Centre must- (a) process, analyse and interpret information disclosed to it, and obtained by it, in terms of this Act; (b) inform, advise and cooperate with investigating authorities, supervisory bodies, the South African Revenue Service and the intelligence services; (c) monitor and give guidance to accountable institutions, supervisory bodies and other persons regarding the performance by them of their duties and their compliance with the provisions of this Act; (d) retain the information referred to in paragraph (a) in the manner and for the period required by this Act.</t>
        </is>
      </c>
    </row>
    <row r="392">
      <c r="A392" t="inlineStr">
        <is>
          <t>South Africa</t>
        </is>
      </c>
      <c r="B392" t="inlineStr">
        <is>
          <t>FICA (Financial Intelligence Centre Act, 38 of 2001</t>
        </is>
      </c>
      <c r="C392" t="inlineStr">
        <is>
          <t>4</t>
        </is>
      </c>
      <c r="D392" s="8" t="inlineStr">
        <is>
          <t>The amendment of section 77-</t>
        </is>
      </c>
      <c r="E392" t="inlineStr">
        <is>
          <t>25</t>
        </is>
      </c>
      <c r="F392" t="inlineStr">
        <is>
          <t>Other</t>
        </is>
      </c>
      <c r="G392" t="inlineStr">
        <is>
          <t>High</t>
        </is>
      </c>
      <c r="H392" t="inlineStr">
        <is>
          <t>High (explicit)</t>
        </is>
      </c>
      <c r="I392" s="8" t="inlineStr"/>
      <c r="J392" s="8" t="inlineStr"/>
      <c r="K392" t="inlineStr"/>
      <c r="L392" s="8" t="inlineStr">
        <is>
          <t>Amends section 77 of FICA by deleting specific regulatory provisions.</t>
        </is>
      </c>
      <c r="M392" s="8" t="inlineStr"/>
      <c r="N392" s="8" t="inlineStr">
        <is>
          <t>[Must] Deletion from subsection (1) of paragraph (b) of section 77
[Must] Deletion from subsection (1) of paragraph (c) of section 77</t>
        </is>
      </c>
      <c r="O392" s="8" t="inlineStr">
        <is>
          <t>4. The amendment of section 77- 3.1 by the deletion from subsection (1) of paragraph (b); and 3.2 by the deletion from subsection (1) of paragraph (c).</t>
        </is>
      </c>
    </row>
    <row r="393">
      <c r="A393" t="inlineStr">
        <is>
          <t>South Africa</t>
        </is>
      </c>
      <c r="B393" t="inlineStr">
        <is>
          <t>FICA (Financial Intelligence Centre Act, 38 of 2001</t>
        </is>
      </c>
      <c r="C393" t="inlineStr">
        <is>
          <t>5</t>
        </is>
      </c>
      <c r="D393" s="8" t="inlineStr">
        <is>
          <t>(1) The  Centre may do all that  is necessary  or  expedient to  perform  its functions</t>
        </is>
      </c>
      <c r="E393" t="inlineStr">
        <is>
          <t>2–3</t>
        </is>
      </c>
      <c r="F393" t="inlineStr">
        <is>
          <t>Other</t>
        </is>
      </c>
      <c r="G393" t="inlineStr">
        <is>
          <t>High</t>
        </is>
      </c>
      <c r="H393" t="inlineStr">
        <is>
          <t>High (explicit)</t>
        </is>
      </c>
      <c r="I393" s="8" t="inlineStr">
        <is>
          <t>Cloud Services, Financial Data</t>
        </is>
      </c>
      <c r="J393" s="8" t="inlineStr">
        <is>
          <t>Financial Data</t>
        </is>
      </c>
      <c r="K393" t="inlineStr"/>
      <c r="L393" s="8" t="inlineStr">
        <is>
          <t>Centre may do all necessary actions to perform functions, including staff management and banking.</t>
        </is>
      </c>
      <c r="M393" s="8" t="inlineStr">
        <is>
          <t>Centre may determine staff establishment, appoint employees, obtain services, acquire property, open bank accounts, insure itself, perform legal acts, engage in lawful activities, and do incidental acts.</t>
        </is>
      </c>
      <c r="N393" s="8" t="inlineStr">
        <is>
          <t>[Must] determine its own staff establishment and the terms and conditions of employment for its staff within a policy framework determined by the Minister
[Must] appoint employees and seconded personnel to posts on its staff establishment
[Must] obtain the services of any person by agreement, including any state department, functionary or institution, to perform any specific act or function
[Must] acquire or dispose of any right in or to property, but rights in respect of immovable property may be acquired or disposed of only with the consent of the Minister
[Must] open and operate its own bank accounts, subject to the Public Finance Management Act, 1999
[Must] insure itself against any loss, damage, risk or liability
[Must] perform legal acts or institute or defend any legal action in its own name
[Must] engage in any lawful activity, whether alone or together with any other organisation in the Republic or elsewhere, aimed at promoting its objectives
[Must] do anything that is incidental to the exercise of any of its powers</t>
        </is>
      </c>
      <c r="O393" s="8" t="inlineStr">
        <is>
          <t>5. (1) The Centre may do all that is necessary or expedient to perform its functions effectively, which includes the power to-- (a) determine its own staff establishment and the terms and conditions of employment for its staff within a policy framework determined by the Minister; (b) appoint employees and seconded personnel to posts on its staff establishment; (c) obtain the services of any person by agreement, including any state department, functionary or institution, to perform any specific act or function; (d) acquire or dispose of any right in or to property, but rights in respect of immovable property may be acquired or disposed of only with the consent of the Minister; (e) open and operate its own bank accounts, subject to the Public Finance Management Act, 1999; (f) insure itself against any loss, damage, risk or liability; (g) perform legal acts or institute or defend any legal action in its own name; (h) engage in any lawful activity, whether alone or together with any other organisation in the Republic or elsewhere, aimed at promoting its objectives; (i) do anything that is incidental to the exercise of any of its powers.</t>
        </is>
      </c>
    </row>
    <row r="394">
      <c r="A394" t="inlineStr">
        <is>
          <t>South Africa</t>
        </is>
      </c>
      <c r="B394" t="inlineStr">
        <is>
          <t>FICA (Financial Intelligence Centre Act, 38 of 2001</t>
        </is>
      </c>
      <c r="C394" t="inlineStr">
        <is>
          <t>7</t>
        </is>
      </c>
      <c r="D394" s="8" t="inlineStr">
        <is>
          <t>(1) The  Minister may remove  the  Director  from</t>
        </is>
      </c>
      <c r="E394" t="inlineStr">
        <is>
          <t>3</t>
        </is>
      </c>
      <c r="F394" t="inlineStr">
        <is>
          <t>Other</t>
        </is>
      </c>
      <c r="G394" t="inlineStr">
        <is>
          <t>High</t>
        </is>
      </c>
      <c r="H394" t="inlineStr">
        <is>
          <t>High (explicit)</t>
        </is>
      </c>
      <c r="I394" s="8" t="inlineStr"/>
      <c r="J394" s="8" t="inlineStr"/>
      <c r="K394" t="inlineStr"/>
      <c r="L394" s="8" t="inlineStr">
        <is>
          <t>Minister may remove Director from office on grounds of misconduct, incapacity or incompetence.</t>
        </is>
      </c>
      <c r="M394" s="8" t="inlineStr">
        <is>
          <t>Minister may remove Director from office on grounds of misconduct, incapacity or incompetence.</t>
        </is>
      </c>
      <c r="N394" s="8" t="inlineStr">
        <is>
          <t>[Must] The Minister may remove the Director from office only on the grounds referred to in section 13 or on the grounds of misconduct, incapacity or incompetence</t>
        </is>
      </c>
      <c r="O394" s="8" t="inlineStr">
        <is>
          <t>7. (1) The Minister may remove the Director from office only on the grounds referred to in section 13 or on the grounds of misconduct, incapacity or incompetence.</t>
        </is>
      </c>
    </row>
    <row r="395">
      <c r="A395" t="inlineStr">
        <is>
          <t>South Africa</t>
        </is>
      </c>
      <c r="B395" t="inlineStr">
        <is>
          <t>FICA (Financial Intelligence Centre Act, 38 of 2001</t>
        </is>
      </c>
      <c r="C395" t="inlineStr">
        <is>
          <t>9</t>
        </is>
      </c>
      <c r="D395" s="8" t="inlineStr">
        <is>
          <t>If the Minister has given notice in the Gazette of any  appointment of a person as the</t>
        </is>
      </c>
      <c r="E395" t="inlineStr">
        <is>
          <t>3</t>
        </is>
      </c>
      <c r="F395" t="inlineStr">
        <is>
          <t>Other</t>
        </is>
      </c>
      <c r="G395" t="inlineStr">
        <is>
          <t>High</t>
        </is>
      </c>
      <c r="H395" t="inlineStr">
        <is>
          <t>High (explicit)</t>
        </is>
      </c>
      <c r="I395" s="8" t="inlineStr"/>
      <c r="J395" s="8" t="inlineStr"/>
      <c r="K395" t="inlineStr"/>
      <c r="L395" s="8" t="inlineStr">
        <is>
          <t>Gazette notice of appointment serves as proof of appointment.</t>
        </is>
      </c>
      <c r="M395" s="8" t="inlineStr">
        <is>
          <t>Gazette notice of appointment may be presented in court as proof of appointment.</t>
        </is>
      </c>
      <c r="N395" s="8" t="inlineStr">
        <is>
          <t>[Must] If the Minister has given notice in the Gazette of any appointment of a person as the Director or as acting director, this notice may be presented in a Court as proof of the appointment</t>
        </is>
      </c>
      <c r="O395" s="8" t="inlineStr">
        <is>
          <t>9. If the Minister has given notice in the Gazette of any appointment of a person as the Director or as acting director, this notice may be presented in a Court as proof of the appointment.</t>
        </is>
      </c>
    </row>
    <row r="396">
      <c r="A396" t="inlineStr">
        <is>
          <t>South Africa</t>
        </is>
      </c>
      <c r="B396" t="inlineStr">
        <is>
          <t>FICA (Financial Intelligence Centre Act, 38 of 2001</t>
        </is>
      </c>
      <c r="C396" t="inlineStr">
        <is>
          <t>10</t>
        </is>
      </c>
      <c r="D396" s="8" t="inlineStr">
        <is>
          <t>(1) The Director-</t>
        </is>
      </c>
      <c r="E396" t="inlineStr">
        <is>
          <t>3–4</t>
        </is>
      </c>
      <c r="F396" t="inlineStr">
        <is>
          <t>Other</t>
        </is>
      </c>
      <c r="G396" t="inlineStr">
        <is>
          <t>Unknown</t>
        </is>
      </c>
      <c r="H396" t="inlineStr">
        <is>
          <t>Low</t>
        </is>
      </c>
      <c r="I396" s="8" t="inlineStr"/>
      <c r="J396" s="8" t="inlineStr"/>
      <c r="K396" t="inlineStr"/>
      <c r="L396" s="8" t="inlineStr"/>
      <c r="M396" s="8" t="inlineStr"/>
      <c r="N396" s="8" t="inlineStr"/>
      <c r="O396" s="8" t="inlineStr"/>
    </row>
    <row r="397">
      <c r="A397" t="inlineStr">
        <is>
          <t>South Africa</t>
        </is>
      </c>
      <c r="B397" t="inlineStr">
        <is>
          <t>FICA (Financial Intelligence Centre Act, 38 of 2001</t>
        </is>
      </c>
      <c r="C397" t="inlineStr">
        <is>
          <t>11</t>
        </is>
      </c>
      <c r="D397" s="8" t="inlineStr">
        <is>
          <t>(1) The staff of the  Centre consists (of-</t>
        </is>
      </c>
      <c r="E397" t="inlineStr">
        <is>
          <t>4</t>
        </is>
      </c>
      <c r="F397" t="inlineStr">
        <is>
          <t>Other</t>
        </is>
      </c>
      <c r="G397" t="inlineStr">
        <is>
          <t>Unknown</t>
        </is>
      </c>
      <c r="H397" t="inlineStr">
        <is>
          <t>Low</t>
        </is>
      </c>
      <c r="I397" s="8" t="inlineStr"/>
      <c r="J397" s="8" t="inlineStr"/>
      <c r="K397" t="inlineStr"/>
      <c r="L397" s="8" t="inlineStr"/>
      <c r="M397" s="8" t="inlineStr"/>
      <c r="N397" s="8" t="inlineStr"/>
      <c r="O397" s="8" t="inlineStr"/>
    </row>
    <row r="398">
      <c r="A398" t="inlineStr">
        <is>
          <t>South Africa</t>
        </is>
      </c>
      <c r="B398" t="inlineStr">
        <is>
          <t>FICA (Financial Intelligence Centre Act, 38 of 2001</t>
        </is>
      </c>
      <c r="C398" t="inlineStr">
        <is>
          <t>12</t>
        </is>
      </c>
      <c r="D398" s="8" t="inlineStr">
        <is>
          <t>(1) No person  other than the Director  may be  appointed or  seconded  to  perform</t>
        </is>
      </c>
      <c r="E398" t="inlineStr">
        <is>
          <t>4</t>
        </is>
      </c>
      <c r="F398" t="inlineStr">
        <is>
          <t>Other</t>
        </is>
      </c>
      <c r="G398" t="inlineStr">
        <is>
          <t>Unknown</t>
        </is>
      </c>
      <c r="H398" t="inlineStr">
        <is>
          <t>Low</t>
        </is>
      </c>
      <c r="I398" s="8" t="inlineStr"/>
      <c r="J398" s="8" t="inlineStr"/>
      <c r="K398" t="inlineStr"/>
      <c r="L398" s="8" t="inlineStr"/>
      <c r="M398" s="8" t="inlineStr"/>
      <c r="N398" s="8" t="inlineStr"/>
      <c r="O398" s="8" t="inlineStr"/>
    </row>
    <row r="399">
      <c r="A399" t="inlineStr">
        <is>
          <t>South Africa</t>
        </is>
      </c>
      <c r="B399" t="inlineStr">
        <is>
          <t>FICA (Financial Intelligence Centre Act, 38 of 2001</t>
        </is>
      </c>
      <c r="C399" t="inlineStr">
        <is>
          <t>13</t>
        </is>
      </c>
      <c r="D399" s="8" t="inlineStr">
        <is>
          <t>(1) No person  may be appointed a:$ the Director  of the Centre unless-</t>
        </is>
      </c>
      <c r="E399" t="inlineStr">
        <is>
          <t>4–5</t>
        </is>
      </c>
      <c r="F399" t="inlineStr">
        <is>
          <t>Other</t>
        </is>
      </c>
      <c r="G399" t="inlineStr">
        <is>
          <t>Unknown</t>
        </is>
      </c>
      <c r="H399" t="inlineStr">
        <is>
          <t>Low</t>
        </is>
      </c>
      <c r="I399" s="8" t="inlineStr"/>
      <c r="J399" s="8" t="inlineStr"/>
      <c r="K399" t="inlineStr"/>
      <c r="L399" s="8" t="inlineStr"/>
      <c r="M399" s="8" t="inlineStr"/>
      <c r="N399" s="8" t="inlineStr"/>
      <c r="O399" s="8" t="inlineStr"/>
    </row>
    <row r="400">
      <c r="A400" t="inlineStr">
        <is>
          <t>South Africa</t>
        </is>
      </c>
      <c r="B400" t="inlineStr">
        <is>
          <t>FICA (Financial Intelligence Centre Act, 38 of 2001</t>
        </is>
      </c>
      <c r="C400" t="inlineStr">
        <is>
          <t>14</t>
        </is>
      </c>
      <c r="D400" s="8" t="inlineStr">
        <is>
          <t>(1) The  funds of the  Centre consist of-</t>
        </is>
      </c>
      <c r="E400" t="inlineStr">
        <is>
          <t>5</t>
        </is>
      </c>
      <c r="F400" t="inlineStr">
        <is>
          <t>Other</t>
        </is>
      </c>
      <c r="G400" t="inlineStr">
        <is>
          <t>High</t>
        </is>
      </c>
      <c r="H400" t="inlineStr">
        <is>
          <t>High (explicit)</t>
        </is>
      </c>
      <c r="I400" s="8" t="inlineStr"/>
      <c r="J400" s="8" t="inlineStr">
        <is>
          <t>Financial Data</t>
        </is>
      </c>
      <c r="K400" t="inlineStr"/>
      <c r="L400" s="8" t="inlineStr">
        <is>
          <t>Centre's funds consist of parliamentary appropriations, government grants, and legally acquired money.</t>
        </is>
      </c>
      <c r="M400" s="8" t="inlineStr">
        <is>
          <t>Centre's funds consist of money appropriated annually by Parliament, government grants, and other money legally acquired with Minister's approval.</t>
        </is>
      </c>
      <c r="N400" s="8" t="inlineStr">
        <is>
          <t>[Must] money appropriated annually by Parliament for the purposes of the Centre
[Must] any government grants made to it
[Must] any other money legally acquired by it, provided that the Centre may accept donations only with the prior written approval of the Minister</t>
        </is>
      </c>
      <c r="O400" s="8" t="inlineStr">
        <is>
          <t>14. (1) The funds of the Centre consist of- (a) money appropriated annually by Parliament for the purposes of the Centre; (b) any government grants made to it; and (c) any other money legally acquired by it, provided that the Centre may accept donations only with the prior written approval of the Minister.</t>
        </is>
      </c>
    </row>
    <row r="401">
      <c r="A401" t="inlineStr">
        <is>
          <t>South Africa</t>
        </is>
      </c>
      <c r="B401" t="inlineStr">
        <is>
          <t>FICA (Financial Intelligence Centre Act, 38 of 2001</t>
        </is>
      </c>
      <c r="C401" t="inlineStr">
        <is>
          <t>15</t>
        </is>
      </c>
      <c r="D401" s="8" t="inlineStr">
        <is>
          <t>The Auditor-General  must audit and report on the  accounts and financial records</t>
        </is>
      </c>
      <c r="E401" t="inlineStr">
        <is>
          <t>5</t>
        </is>
      </c>
      <c r="F401" t="inlineStr">
        <is>
          <t>Other</t>
        </is>
      </c>
      <c r="G401" t="inlineStr">
        <is>
          <t>High</t>
        </is>
      </c>
      <c r="H401" t="inlineStr">
        <is>
          <t>High (explicit)</t>
        </is>
      </c>
      <c r="I401" s="8" t="inlineStr"/>
      <c r="J401" s="8" t="inlineStr">
        <is>
          <t>Financial Data</t>
        </is>
      </c>
      <c r="K401" t="inlineStr"/>
      <c r="L401" s="8" t="inlineStr">
        <is>
          <t>Auditor-General must audit and report on Centre's accounts and financial records.</t>
        </is>
      </c>
      <c r="M401" s="8" t="inlineStr">
        <is>
          <t>Auditor-General must audit and report on Centre's accounts and financial records.</t>
        </is>
      </c>
      <c r="N401" s="8" t="inlineStr">
        <is>
          <t>[Must] The Auditor-General must audit and report on the accounts and financial records of the Centre</t>
        </is>
      </c>
      <c r="O401" s="8" t="inlineStr">
        <is>
          <t>15. The Auditor-General must audit and report on the accounts and financial records of the Centre.</t>
        </is>
      </c>
    </row>
    <row r="402">
      <c r="A402" t="inlineStr">
        <is>
          <t>South Africa</t>
        </is>
      </c>
      <c r="B402" t="inlineStr">
        <is>
          <t>FICA (Financial Intelligence Centre Act, 38 of 2001</t>
        </is>
      </c>
      <c r="C402" t="inlineStr">
        <is>
          <t>16</t>
        </is>
      </c>
      <c r="D402" s="8" t="inlineStr">
        <is>
          <t>(1) The Director may-</t>
        </is>
      </c>
      <c r="E402" t="inlineStr">
        <is>
          <t>5</t>
        </is>
      </c>
      <c r="F402" t="inlineStr">
        <is>
          <t>Other</t>
        </is>
      </c>
      <c r="G402" t="inlineStr">
        <is>
          <t>High</t>
        </is>
      </c>
      <c r="H402" t="inlineStr">
        <is>
          <t>High (explicit)</t>
        </is>
      </c>
      <c r="I402" s="8" t="inlineStr"/>
      <c r="J402" s="8" t="inlineStr">
        <is>
          <t>Financial Data</t>
        </is>
      </c>
      <c r="K402" t="inlineStr"/>
      <c r="L402" s="8" t="inlineStr">
        <is>
          <t>Director may delegate powers to staff or instruct staff to perform functions.</t>
        </is>
      </c>
      <c r="M402" s="8" t="inlineStr">
        <is>
          <t>Director may delegate powers to staff or instruct staff to perform functions, with conditions.</t>
        </is>
      </c>
      <c r="N402" s="8" t="inlineStr">
        <is>
          <t>[Must] delegate, in writing, any of the powers entrusted to the Centre in terms of this Act to a member of the staff of the Centre
[Must] instruct a member of the staff to perform any of the functions assigned to the Centre in terms of this Act</t>
        </is>
      </c>
      <c r="O402" s="8" t="inlineStr">
        <is>
          <t>16. (1) The Director may- (a) delegate, in writing, any of the powers entrusted to the Centre in terms of this Act to a member of the staff of the Centre; or (b) instruct a member of the staff to perform any of the functions assigned to the Centre in terms of this Act.</t>
        </is>
      </c>
    </row>
    <row r="403">
      <c r="A403" t="inlineStr">
        <is>
          <t>South Africa</t>
        </is>
      </c>
      <c r="B403" t="inlineStr">
        <is>
          <t>FICA (Financial Intelligence Centre Act, 38 of 2001</t>
        </is>
      </c>
      <c r="C403" t="inlineStr">
        <is>
          <t>18</t>
        </is>
      </c>
      <c r="D403" s="8" t="inlineStr">
        <is>
          <t>(1) The  Council  must-</t>
        </is>
      </c>
      <c r="E403" t="inlineStr">
        <is>
          <t>5–6</t>
        </is>
      </c>
      <c r="F403" t="inlineStr">
        <is>
          <t>Other</t>
        </is>
      </c>
      <c r="G403" t="inlineStr">
        <is>
          <t>High</t>
        </is>
      </c>
      <c r="H403" t="inlineStr">
        <is>
          <t>High (explicit)</t>
        </is>
      </c>
      <c r="I403" s="8" t="inlineStr">
        <is>
          <t>Data Sharing</t>
        </is>
      </c>
      <c r="J403" s="8" t="inlineStr">
        <is>
          <t>Financial Data</t>
        </is>
      </c>
      <c r="K403" t="inlineStr"/>
      <c r="L403" s="8" t="inlineStr">
        <is>
          <t>Council must advise Minister on policies, best practices, and Centre's performance.</t>
        </is>
      </c>
      <c r="M403" s="8" t="inlineStr">
        <is>
          <t>Council must advise Minister on policies and best practices to identify proceeds of unlawful activities, exercise powers of Minister, and Centre's performance.</t>
        </is>
      </c>
      <c r="N403" s="8" t="inlineStr">
        <is>
          <t>[Must] on the Minister's request or at its own initiative, advise the Minister on policies and best practices to identify the proceeds of unlawful activities
[Must] advise the Minister on the exercise by the Minister of the powers entrusted to the Minister in terms of this Act
[Must] advise the Centre concerning the performance by the Centre of its functions
[Must] act as a forum in which the Centre, associations representing categories of accountable institutions, organs of state and supervisory bodies can consult one another</t>
        </is>
      </c>
      <c r="O403" s="8" t="inlineStr">
        <is>
          <t>18. (1) The Council must- (a) on the Minister's request or at its own initiative, advise the Minister on- (i) policies and best practices to identify the proceeds of unlawful activities; (ii) the exercise by the Minister of the powers entrusted to the Minister in terms of this Act; (b) advise the Centre concerning the performance by the Centre of its functions; and (c) act as a forum in which the Centre, associations representing categories of accountable institutions, organs of state and supervisory bodies can consult one another.</t>
        </is>
      </c>
    </row>
    <row r="404">
      <c r="A404" t="inlineStr">
        <is>
          <t>South Africa</t>
        </is>
      </c>
      <c r="B404" t="inlineStr">
        <is>
          <t>FICA (Financial Intelligence Centre Act, 38 of 2001</t>
        </is>
      </c>
      <c r="C404" t="inlineStr">
        <is>
          <t>19</t>
        </is>
      </c>
      <c r="D404" s="8" t="inlineStr">
        <is>
          <t>(1) The Council consists of the Director  and each of the  following, namely-</t>
        </is>
      </c>
      <c r="E404" t="inlineStr">
        <is>
          <t>6</t>
        </is>
      </c>
      <c r="F404" t="inlineStr">
        <is>
          <t>Other</t>
        </is>
      </c>
      <c r="G404" t="inlineStr">
        <is>
          <t>High</t>
        </is>
      </c>
      <c r="H404" t="inlineStr">
        <is>
          <t>High (explicit)</t>
        </is>
      </c>
      <c r="I404" s="8" t="inlineStr"/>
      <c r="J404" s="8" t="inlineStr"/>
      <c r="K404" t="inlineStr"/>
      <c r="L404" s="8" t="inlineStr">
        <is>
          <t>Council consists of Director and specified representatives from government bodies and institutions.</t>
        </is>
      </c>
      <c r="M404" s="8" t="inlineStr">
        <is>
          <t>Council consists of Director and representatives from National Treasury, Police Service, Justice Department, Public Prosecutions, Intelligence Agency, Secret Service, Reserve Bank, Revenue Service, accountable institutions, and supervisory bodies.</t>
        </is>
      </c>
      <c r="N404" s="8" t="inlineStr">
        <is>
          <t>[Must] The Council consists of the Director and each of the following: the Director-General of the National Treasury; the Commissioner of the South African Police Service; the Director-General of the Department of Justice and Constitutional Development; the National Director of Public Prosecutions; the Director-General of the National Intelligence Agency; the Director-General of the South African Secret Service; the Governor of the South African Reserve Bank; the Commissioner for the South African Revenue Service; persons representing categories of accountable institutions; persons representing supervisory bodies; and any other persons or bodies requested by the Minister</t>
        </is>
      </c>
      <c r="O404" s="8" t="inlineStr">
        <is>
          <t>19. (1) The Council consists of the Director and each of the following, namely- the Director-General of the National Treasury; the Commissioner of the South African Police Service; the Director-General of the Department of Justice and Constitutional Development; the National Director of Public Prosecutions; the Director-General of the National Intelligence Agency; the Director-General of the South African Secret Service; the Governor of the South African Reserve Bank; the Commissioner for the South African Revenue Service; persons representing categories of accountable institutions requested by the Minister to nominate representatives; persons representing supervisory bodies requested by the Minister to nominate representatives; and any other persons or bodies requested by the Minister to nominate representatives.</t>
        </is>
      </c>
    </row>
    <row r="405">
      <c r="A405" t="inlineStr">
        <is>
          <t>South Africa</t>
        </is>
      </c>
      <c r="B405" t="inlineStr">
        <is>
          <t>FICA (Financial Intelligence Centre Act, 38 of 2001</t>
        </is>
      </c>
      <c r="C405" t="inlineStr">
        <is>
          <t>19</t>
        </is>
      </c>
      <c r="D405" s="8" t="inlineStr">
        <is>
          <t>An  attorney  as  defined in the Attorneys Act, 1979 (Act 53 of 1979).</t>
        </is>
      </c>
      <c r="E405" t="inlineStr">
        <is>
          <t>23–24</t>
        </is>
      </c>
      <c r="F405" t="inlineStr">
        <is>
          <t>Definitions</t>
        </is>
      </c>
      <c r="G405" t="inlineStr">
        <is>
          <t>High</t>
        </is>
      </c>
      <c r="H405" t="inlineStr">
        <is>
          <t>High (explicit)</t>
        </is>
      </c>
      <c r="I405" s="8" t="inlineStr"/>
      <c r="J405" s="8" t="inlineStr"/>
      <c r="K405" t="inlineStr"/>
      <c r="L405" s="8" t="inlineStr">
        <is>
          <t>Defines accountable institutions under FICA, including banks, insurance companies, and other financial entities.</t>
        </is>
      </c>
      <c r="M405" s="8" t="inlineStr"/>
      <c r="N405" s="8" t="inlineStr">
        <is>
          <t>[Must] Accountable institutions include banks, insurance companies, and other financial entities</t>
        </is>
      </c>
      <c r="O405" s="8" t="inlineStr">
        <is>
          <t>19. An attorney as defined in the Attorneys Act, 1979 (Act 53 of 1979). A person who carries on the business of a bank as defined in the Banks Act, 1990 (Act 94 of 1990).</t>
        </is>
      </c>
    </row>
    <row r="406">
      <c r="A406" t="inlineStr">
        <is>
          <t>South Africa</t>
        </is>
      </c>
      <c r="B406" t="inlineStr">
        <is>
          <t>FICA (Financial Intelligence Centre Act, 38 of 2001</t>
        </is>
      </c>
      <c r="C406" t="inlineStr">
        <is>
          <t>20</t>
        </is>
      </c>
      <c r="D406" s="8" t="inlineStr">
        <is>
          <t>(1) The chairperson of the  Council may call  a  meeting of the Council, but  must</t>
        </is>
      </c>
      <c r="E406" t="inlineStr">
        <is>
          <t>6–7</t>
        </is>
      </c>
      <c r="F406" t="inlineStr">
        <is>
          <t>Other</t>
        </is>
      </c>
      <c r="G406" t="inlineStr">
        <is>
          <t>Low</t>
        </is>
      </c>
      <c r="H406" t="inlineStr">
        <is>
          <t>High (explicit)</t>
        </is>
      </c>
      <c r="I406" s="8" t="inlineStr"/>
      <c r="J406" s="8" t="inlineStr"/>
      <c r="K406" t="inlineStr">
        <is>
          <t>Minister</t>
        </is>
      </c>
      <c r="L406" s="8" t="inlineStr">
        <is>
          <t>Chairperson may call Council meetings but must call a meeting if Minister requests.</t>
        </is>
      </c>
      <c r="M406" s="8" t="inlineStr"/>
      <c r="N406" s="8" t="inlineStr">
        <is>
          <t>[Must] The chairperson of the Council may call a meeting of the Council, but must call a meeting if the Minister so requests.</t>
        </is>
      </c>
      <c r="O406" s="8" t="inlineStr">
        <is>
          <t>20. (1) The chairperson of the Council may call a meeting of the Council, but must call a meeting if the Minister so requests.</t>
        </is>
      </c>
    </row>
    <row r="407">
      <c r="A407" t="inlineStr">
        <is>
          <t>South Africa</t>
        </is>
      </c>
      <c r="B407" t="inlineStr">
        <is>
          <t>FICA (Financial Intelligence Centre Act, 38 of 2001</t>
        </is>
      </c>
      <c r="C407" t="inlineStr">
        <is>
          <t>22</t>
        </is>
      </c>
      <c r="D407" s="8" t="inlineStr">
        <is>
          <t>(1) Whenever an accountable institution establishes a business relationship or</t>
        </is>
      </c>
      <c r="E407" t="inlineStr">
        <is>
          <t>7–8</t>
        </is>
      </c>
      <c r="F407" t="inlineStr">
        <is>
          <t>KYC</t>
        </is>
      </c>
      <c r="G407" t="inlineStr">
        <is>
          <t>High</t>
        </is>
      </c>
      <c r="H407" t="inlineStr">
        <is>
          <t>High (explicit)</t>
        </is>
      </c>
      <c r="I407" s="8" t="inlineStr">
        <is>
          <t>Record Keeping</t>
        </is>
      </c>
      <c r="J407" s="8" t="inlineStr">
        <is>
          <t>Personal Information</t>
        </is>
      </c>
      <c r="K407" t="inlineStr">
        <is>
          <t>Accountable institutions</t>
        </is>
      </c>
      <c r="L407" s="8" t="inlineStr">
        <is>
          <t>Accountable institutions must keep records of client identity, business relationships, transactions, and related details.</t>
        </is>
      </c>
      <c r="M407" s="8" t="inlineStr">
        <is>
          <t>Mandatory record-keeping of client identity and transaction details for financial institutions.</t>
        </is>
      </c>
      <c r="N407" s="8" t="inlineStr">
        <is>
          <t>[Must] Whenever an accountable institution establishes a business relationship or concludes a transaction with a client, the accountable institution must keep record of the identity of the client.
[Must] If the client is acting on behalf of another person, the accountable institution must keep record of the identity of that person and the client's authority to act on behalf of that person.
[Must] If another person is acting on behalf of the client, the accountable institution must keep record of the identity of that person and that person's authority to act on behalf of the client.
[Must] The accountable institution must keep record of the manner in which the identity of the persons referred to in paragraphs (a), (b) and (c) was established.
[Must] The accountable institution must keep record of the nature of that business relationship or transaction.
[Must] In the case of a transaction, the accountable institution must keep record of the amount involved and the parties to that transaction.
[Must] The accountable institution must keep record of all accounts involved in transactions concluded by the accountable institution in the course of that business relationship.
[Must] The accountable institution must keep record of all accounts involved in that single transaction.
[Must] The accountable institution must keep record of the name of the person who obtained the information referred to in paragraphs (a), (b) and (c) on behalf of the accountable institution.
[Must] The accountable institution must keep record of any document or copy of a document obtained by the accountable institution in order to verify a person's identity in terms of section 21(1) or (2).</t>
        </is>
      </c>
      <c r="O407" s="8" t="inlineStr">
        <is>
          <t>22. (1) Whenever an accountable institution establishes a business relationship or concludes a transaction with a client, whether the transaction is a single transaction or concluded in the course of a business relationship which that accountable institution has with the client, the accountable institution must keep record of- the identity of the client; if the client is acting on behalf of another person- (i) the identity of the person on whose behalf the client is acting; and (ii) the client's authority to act on behalf of that other person; if another person is acting on behalf of the client- (i) the identity of that other person; and (ii) that other person's authority to act on behalf of the client; the manner in which the identity of the persons referred to in paragraphs (a), (b) and (c) was established; the nature of that business relationship or transaction; in the case of a transaction- (i) the amount involved; and (ii) the parties to that transaction; all accounts that are involved in- (i) transactions concluded by that accountable institution in the course of that business relationship; and (ii) that single transaction; the name of the person who obtained the information referred to in paragraphs (a), (b) and (c) on behalf of the accountable institution; and any document or copy of a document obtained by the accountable institution in order to verify a person's identity in terms of section 21(1) or (2).</t>
        </is>
      </c>
    </row>
    <row r="408">
      <c r="A408" t="inlineStr">
        <is>
          <t>South Africa</t>
        </is>
      </c>
      <c r="B408" t="inlineStr">
        <is>
          <t>FICA (Financial Intelligence Centre Act, 38 of 2001</t>
        </is>
      </c>
      <c r="C408" t="inlineStr">
        <is>
          <t>23</t>
        </is>
      </c>
      <c r="D408" s="8" t="inlineStr">
        <is>
          <t>An  accountable institution must  keep the records referred to in section 22 which</t>
        </is>
      </c>
      <c r="E408" t="inlineStr">
        <is>
          <t>8</t>
        </is>
      </c>
      <c r="F408" t="inlineStr">
        <is>
          <t>Retention</t>
        </is>
      </c>
      <c r="G408" t="inlineStr">
        <is>
          <t>High</t>
        </is>
      </c>
      <c r="H408" t="inlineStr">
        <is>
          <t>High (explicit)</t>
        </is>
      </c>
      <c r="I408" s="8" t="inlineStr">
        <is>
          <t>Retention</t>
        </is>
      </c>
      <c r="J408" s="8" t="inlineStr">
        <is>
          <t>Personal Information</t>
        </is>
      </c>
      <c r="K408" t="inlineStr">
        <is>
          <t>Accountable institutions</t>
        </is>
      </c>
      <c r="L408" s="8" t="inlineStr">
        <is>
          <t>Records must be kept for at least five years from termination of business relationship or transaction date.</t>
        </is>
      </c>
      <c r="M408" s="8" t="inlineStr">
        <is>
          <t>Records retention period of five years for financial transactions.</t>
        </is>
      </c>
      <c r="N408" s="8" t="inlineStr">
        <is>
          <t>[Must] An accountable institution must keep the records referred to in section 22 which relate to the establishment of a business relationship for at least five years from the date on which the business relationship is terminated.
[Must] An accountable institution must keep the records referred to in section 22 which relate to a transaction which is concluded for at least five years from the date on which that transaction is concluded.</t>
        </is>
      </c>
      <c r="O408" s="8" t="inlineStr">
        <is>
          <t>23. An accountable institution must keep the records referred to in section 22 which relate to- (a) the establishment of a business relationship, for at least five years from the date on which the business relationship is terminated; (b) a transaction which is concluded, for at least five years from the date on which that transaction is concluded.</t>
        </is>
      </c>
    </row>
    <row r="409">
      <c r="A409" t="inlineStr">
        <is>
          <t>South Africa</t>
        </is>
      </c>
      <c r="B409" t="inlineStr">
        <is>
          <t>FICA (Financial Intelligence Centre Act, 38 of 2001</t>
        </is>
      </c>
      <c r="C409" t="inlineStr">
        <is>
          <t>24</t>
        </is>
      </c>
      <c r="D409" s="8" t="inlineStr">
        <is>
          <t>(1) The  duties  imposed by section  22 on  an accountable  institution to keep record</t>
        </is>
      </c>
      <c r="E409" t="inlineStr">
        <is>
          <t>8</t>
        </is>
      </c>
      <c r="F409" t="inlineStr">
        <is>
          <t>Record Keeping</t>
        </is>
      </c>
      <c r="G409" t="inlineStr">
        <is>
          <t>High</t>
        </is>
      </c>
      <c r="H409" t="inlineStr">
        <is>
          <t>High (explicit)</t>
        </is>
      </c>
      <c r="I409" s="8" t="inlineStr">
        <is>
          <t>Record Keeping</t>
        </is>
      </c>
      <c r="J409" s="8" t="inlineStr">
        <is>
          <t>Personal Information</t>
        </is>
      </c>
      <c r="K409" t="inlineStr">
        <is>
          <t>Accountable institutions</t>
        </is>
      </c>
      <c r="L409" s="8" t="inlineStr">
        <is>
          <t>Third parties may perform record-keeping duties for accountable institutions with access to records.</t>
        </is>
      </c>
      <c r="M409" s="8" t="inlineStr">
        <is>
          <t>Third parties can handle records if accountable institution has access to them.</t>
        </is>
      </c>
      <c r="N409" s="8" t="inlineStr">
        <is>
          <t>[May] The duties imposed by section 22 on an accountable institution to keep record of the matters specified in that section may be performed by a third party on behalf of the accountable institution as long as the accountable institution has free and easy access to the records.
[Must] If a third party referred to in subsection (1) fails to properly comply with the requirements of section 22 on behalf of the accountable institution concerned, the accountable institution is liable for that failure.
[Must] If an accountable institution appoints a third party to perform the duties imposed on it by section 22, the accountable institution must forthwith provide the Centre with the prescribed particulars regarding the third party.</t>
        </is>
      </c>
      <c r="O409" s="8" t="inlineStr">
        <is>
          <t>24. (1) The duties imposed by section 22 on an accountable institution to keep record of the matters specified in that section may be performed by a third party on behalf of the accountable institution as long as the accountable institution has free and easy access to the records. (2) If a third party referred to in subsection (1) fails to properly comply with the requirements of section 22 on behalf of the accountable institution concerned, the accountable institution is liable for that failure. (3) If an accountable institution appoints a third party to perform the duties imposed on it by section 22, the accountable institution must forthwith provide the Centre with the prescribed particulars regarding the third party.</t>
        </is>
      </c>
    </row>
    <row r="410">
      <c r="A410" t="inlineStr">
        <is>
          <t>South Africa</t>
        </is>
      </c>
      <c r="B410" t="inlineStr">
        <is>
          <t>FICA (Financial Intelligence Centre Act, 38 of 2001</t>
        </is>
      </c>
      <c r="C410" t="inlineStr">
        <is>
          <t>25</t>
        </is>
      </c>
      <c r="D410" s="8" t="inlineStr">
        <is>
          <t>A record kept in terms of section  22 (or section  24, or a certified extract of any such</t>
        </is>
      </c>
      <c r="E410" t="inlineStr">
        <is>
          <t>8</t>
        </is>
      </c>
      <c r="F410" t="inlineStr">
        <is>
          <t>Record Keeping</t>
        </is>
      </c>
      <c r="G410" t="inlineStr">
        <is>
          <t>Low</t>
        </is>
      </c>
      <c r="H410" t="inlineStr">
        <is>
          <t>High (explicit)</t>
        </is>
      </c>
      <c r="I410" s="8" t="inlineStr">
        <is>
          <t>Record Keeping</t>
        </is>
      </c>
      <c r="J410" s="8" t="inlineStr">
        <is>
          <t>Personal Information</t>
        </is>
      </c>
      <c r="K410" t="inlineStr"/>
      <c r="L410" s="8" t="inlineStr">
        <is>
          <t>Records produced in court are admissible as evidence of facts contained in them.</t>
        </is>
      </c>
      <c r="M410" s="8" t="inlineStr">
        <is>
          <t>Records from section 22 or 24 are admissible in court as evidence.</t>
        </is>
      </c>
      <c r="N410" s="8" t="inlineStr">
        <is>
          <t>[Must] A record kept in terms of section 22 (or section 24, or a certified extract of any such record, or a certified printout of any extract of an electronic record) is on its mere production in a matter before a court admissible as evidence of any fact contained in it.</t>
        </is>
      </c>
      <c r="O410" s="8" t="inlineStr">
        <is>
          <t>25. A record kept in terms of section 22 (or section 24, or a certified extract of any such record, or a certified printout of any extract of an electronic record) is on its mere production in a matter before a court admissible as evidence of any fact contained in it.</t>
        </is>
      </c>
    </row>
    <row r="411">
      <c r="A411" t="inlineStr">
        <is>
          <t>South Africa</t>
        </is>
      </c>
      <c r="B411" t="inlineStr">
        <is>
          <t>FICA (Financial Intelligence Centre Act, 38 of 2001</t>
        </is>
      </c>
      <c r="C411" t="inlineStr">
        <is>
          <t>26</t>
        </is>
      </c>
      <c r="D411" s="8" t="inlineStr">
        <is>
          <t>(1) An authorised representative of the  Centre has access during ordinary working</t>
        </is>
      </c>
      <c r="E411" t="inlineStr">
        <is>
          <t>8–9</t>
        </is>
      </c>
      <c r="F411" t="inlineStr">
        <is>
          <t>Other</t>
        </is>
      </c>
      <c r="G411" t="inlineStr">
        <is>
          <t>High</t>
        </is>
      </c>
      <c r="H411" t="inlineStr">
        <is>
          <t>High (explicit)</t>
        </is>
      </c>
      <c r="I411" s="8" t="inlineStr"/>
      <c r="J411" s="8" t="inlineStr">
        <is>
          <t>Personal Information</t>
        </is>
      </c>
      <c r="K411" t="inlineStr">
        <is>
          <t>Financial Intelligence Centre</t>
        </is>
      </c>
      <c r="L411" s="8" t="inlineStr">
        <is>
          <t>Centre's authorized representatives may access records with warrants for money laundering investigations.</t>
        </is>
      </c>
      <c r="M411" s="8" t="inlineStr">
        <is>
          <t>Centre can access records with warrants for investigations.</t>
        </is>
      </c>
      <c r="N411" s="8" t="inlineStr">
        <is>
          <t>[May] An authorised representative of the Centre has access during ordinary working hours to any records kept by or on behalf of an accountable institution in terms of section 22 or section 24, and may examine, make extracts from or copies of, any such records.
[Must] The authorised representative of the Centre may exercise the powers mentioned in subsection (1) only by virtue of a warrant issued in chambers by a magistrate or regional magistrate or judge of an area of jurisdiction within which the records or any of them are kept, or within which the accountable institution conducts business.
[Must] A warrant may only be issued if it appears to the judge, magistrate or regional magistrate from information on oath or affirmation that there are reasonable grounds to believe that the records referred to in subsection (1) may assist the Centre to identify the proceeds of unlawful activities or to combat money laundering activities.
[Must] An accountable institution must without delay give to an authorised representative of the Centre all reasonable assistance necessary to enable that representative to exercise the powers mentioned in subsection (1).</t>
        </is>
      </c>
      <c r="O411" s="8" t="inlineStr">
        <is>
          <t>26. (1) An authorised representative of the Centre has access during ordinary working hours to any records kept by or on behalf of an accountable institution in terms of section 22 or section 24, and may examine, make extracts from or copies of, any such records. (2) The authorised representative of the Centre may, except in the case of records which the public is entitled to have access to, exercise the powers mentioned in subsection (1) only by virtue of a warrant issued in chambers by a magistrate or regional magistrate or judge of an area of jurisdiction within which the records or any of them are kept, or within which the accountable institution conducts business. (3) A warrant may only be issued if it appears to the judge, magistrate or regional magistrate from information on oath or affirmation that there are reasonable grounds to believe that the records referred to in subsection (1) may assist the Centre to identify the proceeds of unlawful activities or to combat money laundering activities. (5) An accountable institution must without delay give to an authorised representative of the Centre all reasonable assistance necessary to enable that representative to exercise the powers mentioned in subsection (1).</t>
        </is>
      </c>
    </row>
    <row r="412">
      <c r="A412" t="inlineStr">
        <is>
          <t>South Africa</t>
        </is>
      </c>
      <c r="B412" t="inlineStr">
        <is>
          <t>FICA (Financial Intelligence Centre Act, 38 of 2001</t>
        </is>
      </c>
      <c r="C412" t="inlineStr">
        <is>
          <t>28</t>
        </is>
      </c>
      <c r="D412" s="8" t="inlineStr">
        <is>
          <t>An  accountable institution and a reporting institution must,  within the prescribed</t>
        </is>
      </c>
      <c r="E412" t="inlineStr">
        <is>
          <t>9</t>
        </is>
      </c>
      <c r="F412" t="inlineStr">
        <is>
          <t>Other</t>
        </is>
      </c>
      <c r="G412" t="inlineStr">
        <is>
          <t>High</t>
        </is>
      </c>
      <c r="H412" t="inlineStr">
        <is>
          <t>High (explicit)</t>
        </is>
      </c>
      <c r="I412" s="8" t="inlineStr"/>
      <c r="J412" s="8" t="inlineStr">
        <is>
          <t>Financial Data</t>
        </is>
      </c>
      <c r="K412" t="inlineStr">
        <is>
          <t>Accountable institutions</t>
        </is>
      </c>
      <c r="L412" s="8" t="inlineStr">
        <is>
          <t>Accountable institutions must report cash transactions exceeding prescribed amounts to Centre.</t>
        </is>
      </c>
      <c r="M412" s="8" t="inlineStr">
        <is>
          <t>Mandatory reporting of cash transactions above thresholds to Centre.</t>
        </is>
      </c>
      <c r="N412" s="8" t="inlineStr">
        <is>
          <t>[Must] An accountable institution and a reporting institution must, within the prescribed period, report to the Centre the prescribed particulars concerning a transaction concluded with a client if in terms of the transaction an amount of cash in excess of the prescribed amount is paid by the accountable institution or reporting institution to the client, or to a person acting on behalf of the client, or to a person on whose behalf the client is acting.
[Must] An accountable institution and a reporting institution must, within the prescribed period, report to the Centre the prescribed particulars concerning a transaction concluded with a client if in terms of the transaction an amount of cash in excess of the prescribed amount is received by the accountable institution or reporting institution from the client, or from a person acting on behalf of the client, or from a person on whose behalf the client is acting.</t>
        </is>
      </c>
      <c r="O412" s="8" t="inlineStr">
        <is>
          <t>28. An accountable institution and a reporting institution must, within the prescribed period, report to the Centre the prescribed particulars concerning a transaction concluded with a client if in terms of the transaction an amount of cash in excess of the prescribed amount- (a) is paid by the accountable institution or reporting institution to the client, or to a person acting on behalf of the client, or to a person on whose behalf the client is acting; or (b) is received by the accountable institution or reporting institution from the client, or from a person acting on behalf of the client, or from a person on whose behalf the client is acting.</t>
        </is>
      </c>
    </row>
    <row r="413">
      <c r="A413" t="inlineStr">
        <is>
          <t>South Africa</t>
        </is>
      </c>
      <c r="B413" t="inlineStr">
        <is>
          <t>FICA (Financial Intelligence Centre Act, 38 of 2001</t>
        </is>
      </c>
      <c r="C413" t="inlineStr">
        <is>
          <t>29</t>
        </is>
      </c>
      <c r="D413" s="8" t="inlineStr">
        <is>
          <t>(1) A person who carries on a businl:ss or is in charge of or  manages a business  or</t>
        </is>
      </c>
      <c r="E413" t="inlineStr">
        <is>
          <t>9–10</t>
        </is>
      </c>
      <c r="F413" t="inlineStr">
        <is>
          <t>Other</t>
        </is>
      </c>
      <c r="G413" t="inlineStr">
        <is>
          <t>High</t>
        </is>
      </c>
      <c r="H413" t="inlineStr">
        <is>
          <t>High (explicit)</t>
        </is>
      </c>
      <c r="I413" s="8" t="inlineStr"/>
      <c r="J413" s="8" t="inlineStr">
        <is>
          <t>Personal Information</t>
        </is>
      </c>
      <c r="K413" t="inlineStr">
        <is>
          <t>Businesses and individuals</t>
        </is>
      </c>
      <c r="L413" s="8" t="inlineStr">
        <is>
          <t>Persons must report suspicious transactions or activities to Centre if they suspect money laundering.</t>
        </is>
      </c>
      <c r="M413" s="8" t="inlineStr">
        <is>
          <t>Mandatory reporting of suspicious transactions to Centre.</t>
        </is>
      </c>
      <c r="N413" s="8" t="inlineStr">
        <is>
          <t>[Must] A person who carries on a business or is in charge of or manages a business or who is employed by a business and who knows or suspects that- (i) facilitated or is likely to facilitate the transfer of the proceeds of unlawful activities; (ii) has no apparent business or lawful purpose; (iii) is conducted for the purpose of avoiding giving rise to a reporting duty under this Act; or (iv) may be relevant to the investigation of an evasion or attempted evasion of a duty to pay any tax, duty or levy imposed by legislation administered by the Commissioner for the South African Revenue Service, must, within the prescribed period after the knowledge was acquired or the suspicion arose, report to the Centre the grounds for the knowledge or suspicion and the prescribed particulars concerning the transaction or series of transactions.</t>
        </is>
      </c>
      <c r="O413" s="8" t="inlineStr">
        <is>
          <t>29. (1) A person who carries on a business or is in charge of or manages a business or who is employed by a business and who knows or suspects that- (i) facilitated or is likely to facilitate the transfer of the proceeds of unlawful activities; (ii) has no apparent business or lawful purpose; (iii) is conducted for the purpose of avoiding giving rise to a reporting duty under this Act; or (iv) may be relevant to the investigation of an evasion or attempted evasion of a duty to pay any tax, duty or levy imposed by legislation administered by the Commissioner for the South African Revenue Service, must, within the prescribed period after the knowledge was acquired or the suspicion arose, report to the Centre the grounds for the knowledge or suspicion and the prescribed particulars concerning the transaction or series of transactions.</t>
        </is>
      </c>
    </row>
    <row r="414">
      <c r="A414" t="inlineStr">
        <is>
          <t>South Africa</t>
        </is>
      </c>
      <c r="B414" t="inlineStr">
        <is>
          <t>FICA (Financial Intelligence Centre Act, 38 of 2001</t>
        </is>
      </c>
      <c r="C414" t="inlineStr">
        <is>
          <t>30</t>
        </is>
      </c>
      <c r="D414" s="8" t="inlineStr">
        <is>
          <t>(1)  A person intending to convey an amount of cash in  excess of the  prescribed</t>
        </is>
      </c>
      <c r="E414" t="inlineStr">
        <is>
          <t>10–11</t>
        </is>
      </c>
      <c r="F414" t="inlineStr">
        <is>
          <t>Other</t>
        </is>
      </c>
      <c r="G414" t="inlineStr">
        <is>
          <t>High</t>
        </is>
      </c>
      <c r="H414" t="inlineStr">
        <is>
          <t>High (explicit)</t>
        </is>
      </c>
      <c r="I414" s="8" t="inlineStr"/>
      <c r="J414" s="8" t="inlineStr">
        <is>
          <t>Financial Data</t>
        </is>
      </c>
      <c r="K414" t="inlineStr">
        <is>
          <t>Minister</t>
        </is>
      </c>
      <c r="L414" s="8" t="inlineStr">
        <is>
          <t>Persons must report cash conveyances exceeding prescribed amounts to Centre.</t>
        </is>
      </c>
      <c r="M414" s="8" t="inlineStr">
        <is>
          <t>Mandatory reporting of cash movements across borders to Centre.</t>
        </is>
      </c>
      <c r="N414" s="8" t="inlineStr">
        <is>
          <t>[Must] A person intending to convey an amount of cash in excess of the prescribed amount to or from the Republic must, before that person conveys the cash into or out of the Republic, report the prescribed particulars concerning that conveyance to a person authorised by the Minister.
[Must] A person authorised in terms of subsection (1) must without delay send a copy of the report to the Centre.</t>
        </is>
      </c>
      <c r="O414" s="8" t="inlineStr">
        <is>
          <t>30. (1) A person intending to convey an amount of cash in excess of the prescribed amount to or from the Republic must, before that person conveys the cash into or out of the Republic, report the prescribed particulars concerning that conveyance to a person authorised by the Minister. (2) A person authorised in terms of subsection (1) must without delay send a copy of the report to the Centre.</t>
        </is>
      </c>
    </row>
    <row r="415">
      <c r="A415" t="inlineStr">
        <is>
          <t>South Africa</t>
        </is>
      </c>
      <c r="B415" t="inlineStr">
        <is>
          <t>FICA (Financial Intelligence Centre Act, 38 of 2001</t>
        </is>
      </c>
      <c r="C415" t="inlineStr">
        <is>
          <t>32</t>
        </is>
      </c>
      <c r="D415" s="8" t="inlineStr">
        <is>
          <t>(1) A report  in terns of section 28,29 or 31 to the  Centre and a  report in terms of  15</t>
        </is>
      </c>
      <c r="E415" t="inlineStr">
        <is>
          <t>11</t>
        </is>
      </c>
      <c r="F415" t="inlineStr">
        <is>
          <t>Other</t>
        </is>
      </c>
      <c r="G415" t="inlineStr">
        <is>
          <t>High</t>
        </is>
      </c>
      <c r="H415" t="inlineStr">
        <is>
          <t>High (explicit)</t>
        </is>
      </c>
      <c r="I415" s="8" t="inlineStr"/>
      <c r="J415" s="8" t="inlineStr">
        <is>
          <t>Financial Data</t>
        </is>
      </c>
      <c r="K415" t="inlineStr">
        <is>
          <t>Financial Intelligence Centre</t>
        </is>
      </c>
      <c r="L415" s="8" t="inlineStr">
        <is>
          <t>Reports must be made in prescribed manner and additional information may be requested.</t>
        </is>
      </c>
      <c r="M415" s="8" t="inlineStr">
        <is>
          <t>Reports must be submitted in prescribed format with additional information possible.</t>
        </is>
      </c>
      <c r="N415" s="8" t="inlineStr">
        <is>
          <t>[Must] A report in terms of section 28, 29 or 31 to the Centre and a report in terms of section 30(1) to a person authorised by the Minister must be made in the prescribed manner.
[May] The Centre, or an investigating authority acting with the permission of the Centre or under the authority of an authorised officer, may request an accountable institution, a reporting institution or any other person that has made a report in terms of section 28, 29 or 31 to furnish the Centre or that investigating authority with such additional information concerning the report and the grounds for the report as the Centre or the investigating authority may reasonably require for the performance by it of its functions.
[Must] When an institution or a person referred to in subsection (2) receives a request under that subsection, that institution or person must furnish the Centre without delay with such additional information concerning the report and the grounds for the report as that institution or person may have available.</t>
        </is>
      </c>
      <c r="O415" s="8" t="inlineStr">
        <is>
          <t>32. (1) A report in terms of section 28, 29 or 31 to the Centre and a report in terms of section 30(1) to a person authorised by the Minister must be made in the prescribed manner. (2) The Centre, or an investigating authority acting with the permission of the Centre or under the authority of an authorised officer, may request an accountable institution, a reporting institution or any other person that has made a report in terms of section 28, 29 or 31 to furnish the Centre or that investigating authority with such additional information concerning the report and the grounds for the report as the Centre or the investigating authority may reasonably require for the performance by it of its functions. (3) When an institution or a person referred to in subsection (2) receives a request under that subsection, that institution or person must furnish the Centre without delay with such additional information concerning the report and the grounds for the report as that institution or person may have available.</t>
        </is>
      </c>
    </row>
    <row r="416">
      <c r="A416" t="inlineStr">
        <is>
          <t>South Africa</t>
        </is>
      </c>
      <c r="B416" t="inlineStr">
        <is>
          <t>FICA (Financial Intelligence Centre Act, 38 of 2001</t>
        </is>
      </c>
      <c r="C416" t="inlineStr">
        <is>
          <t>33</t>
        </is>
      </c>
      <c r="D416" s="8" t="inlineStr">
        <is>
          <t>An accountable institution, reporting institution or person required to make a</t>
        </is>
      </c>
      <c r="E416" t="inlineStr">
        <is>
          <t>11</t>
        </is>
      </c>
      <c r="F416" t="inlineStr">
        <is>
          <t>Other</t>
        </is>
      </c>
      <c r="G416" t="inlineStr">
        <is>
          <t>High</t>
        </is>
      </c>
      <c r="H416" t="inlineStr">
        <is>
          <t>High (explicit)</t>
        </is>
      </c>
      <c r="I416" s="8" t="inlineStr"/>
      <c r="J416" s="8" t="inlineStr">
        <is>
          <t>Financial Data</t>
        </is>
      </c>
      <c r="K416" t="inlineStr">
        <is>
          <t>Financial Intelligence Centre</t>
        </is>
      </c>
      <c r="L416" s="8" t="inlineStr">
        <is>
          <t>Transactions may continue after reporting unless Centre directs otherwise.</t>
        </is>
      </c>
      <c r="M416" s="8" t="inlineStr">
        <is>
          <t>Transactions can continue after reporting unless Centre intervenes.</t>
        </is>
      </c>
      <c r="N416" s="8" t="inlineStr">
        <is>
          <t>[May] An accountable institution, reporting institution or person required to make a report to the Centre in terms of section 28 or 29 may continue with and carry out the transaction in respect of which the report is required to be made unless the Centre directs the accountable institution, reporting institution or person in terms of section 34 not to proceed with the transaction.</t>
        </is>
      </c>
      <c r="O416" s="8" t="inlineStr">
        <is>
          <t>33. An accountable institution, reporting institution or person required to make a report to the Centre in terms of section 28 or 29, may continue with and carry out the transaction in respect of which the report is required to be made unless the Centre directs the accountable institution, reporting institution or person in terms of section 34 not to proceed with the transaction.</t>
        </is>
      </c>
    </row>
    <row r="417">
      <c r="A417" t="inlineStr">
        <is>
          <t>South Africa</t>
        </is>
      </c>
      <c r="B417" t="inlineStr">
        <is>
          <t>FICA (Financial Intelligence Centre Act, 38 of 2001</t>
        </is>
      </c>
      <c r="C417" t="inlineStr">
        <is>
          <t>34</t>
        </is>
      </c>
      <c r="D417" s="8" t="inlineStr">
        <is>
          <t>(1) If the  Centre,  after  consulting</t>
        </is>
      </c>
      <c r="E417" t="inlineStr">
        <is>
          <t>11</t>
        </is>
      </c>
      <c r="F417" t="inlineStr">
        <is>
          <t>Other</t>
        </is>
      </c>
      <c r="G417" t="inlineStr">
        <is>
          <t>High</t>
        </is>
      </c>
      <c r="H417" t="inlineStr">
        <is>
          <t>High (explicit)</t>
        </is>
      </c>
      <c r="I417" s="8" t="inlineStr"/>
      <c r="J417" s="8" t="inlineStr">
        <is>
          <t>Financial Data</t>
        </is>
      </c>
      <c r="K417" t="inlineStr">
        <is>
          <t>Financial Intelligence Centre</t>
        </is>
      </c>
      <c r="L417" s="8" t="inlineStr">
        <is>
          <t>Centre may direct non-proceeding with transactions suspected of money laundering.</t>
        </is>
      </c>
      <c r="M417" s="8" t="inlineStr">
        <is>
          <t>Centre can halt transactions suspected of money laundering for up to five days.</t>
        </is>
      </c>
      <c r="N417" s="8" t="inlineStr">
        <is>
          <t>[May] If the Centre, after consulting an accountable institution, a reporting institution or a person required to make a report in terms of section 28 or 29, has reasonable grounds to suspect that a transaction or a proposed transaction may involve the proceeds of unlawful activities or may constitute money laundering or may constitute a transaction contemplated in section 29(1)(b), it may direct the accountable institution, reporting institution or person in writing not to proceed with the carrying out of that transaction or proposed transaction or any other transaction in respect of the funds affected by that transaction or proposed transaction for a period as may be determined by the Centre, which may not be more than five days, in order to allow the Centre to make the necessary inquiries concerning the transaction.</t>
        </is>
      </c>
      <c r="O417" s="8" t="inlineStr">
        <is>
          <t>34. (1) If the Centre, after consulting an accountable institution, a reporting institution or a person required to make a report in terms of section 28 or 29, has reasonable grounds to suspect that a transaction or a proposed transaction may involve the proceeds of unlawful activities or may constitute money laundering or may constitute a transaction contemplated in section 29(1)(b), it may direct the accountable institution, reporting institution or person in writing not to proceed with the carrying out of that transaction or proposed transaction or any other transaction in respect of the funds affected by that transaction or proposed transaction for a period as may be determined by the Centre, which may not be more than five days, in order to allow the Centre- (a) to make the necessary inquiries concerning the transaction; and (b) if the Centre deems it appropriate, to inform and advise an investigating authority or the National Director of Public Prosecutions.</t>
        </is>
      </c>
    </row>
    <row r="418">
      <c r="A418" t="inlineStr">
        <is>
          <t>South Africa</t>
        </is>
      </c>
      <c r="B418" t="inlineStr">
        <is>
          <t>FICA (Financial Intelligence Centre Act, 38 of 2001</t>
        </is>
      </c>
      <c r="C418" t="inlineStr">
        <is>
          <t>35</t>
        </is>
      </c>
      <c r="D418" s="8" t="inlineStr">
        <is>
          <t>(1) A judge designated by</t>
        </is>
      </c>
      <c r="E418" t="inlineStr">
        <is>
          <t>11–12</t>
        </is>
      </c>
      <c r="F418" t="inlineStr">
        <is>
          <t>Other</t>
        </is>
      </c>
      <c r="G418" t="inlineStr">
        <is>
          <t>High</t>
        </is>
      </c>
      <c r="H418" t="inlineStr">
        <is>
          <t>High (explicit)</t>
        </is>
      </c>
      <c r="I418" s="8" t="inlineStr"/>
      <c r="J418" s="8" t="inlineStr">
        <is>
          <t>Financial Data</t>
        </is>
      </c>
      <c r="K418" t="inlineStr">
        <is>
          <t>Judge</t>
        </is>
      </c>
      <c r="L418" s="8" t="inlineStr">
        <is>
          <t>Judges may order institutions to report transactions suspected of money laundering.</t>
        </is>
      </c>
      <c r="M418" s="8" t="inlineStr">
        <is>
          <t>Judges can order institutions to report transactions for money laundering monitoring.</t>
        </is>
      </c>
      <c r="N418" s="8" t="inlineStr">
        <is>
          <t>[May] A judge designated by the Minister of Justice for the purposes of the Interception and Monitoring Prohibition Act, 1992, may, upon written application by the Centre, order an accountable institution to report to the Centre, on such terms and in such confidential manner as may be specified in the order, all transactions concluded by a specified person with the accountable institution or all transactions conducted in respect of a specified account or facility at the accountable institution, if there are reasonable grounds to suspect that- (a) that person has transferred or may transfer the proceeds of unlawful activities to the accountable institution or is using or may use the accountable institution for money laundering purposes or for the purpose of any transaction contemplated in section 29(1)(b); or (b) that account or other facility has received or may receive the proceeds of unlawful activities or is being or may be used for money laundering purposes or for the purpose of any transaction contemplated in section 29(1)(b).</t>
        </is>
      </c>
      <c r="O418" s="8" t="inlineStr">
        <is>
          <t>35. (1) A judge designated by the Minister of Justice for the purposes of the Interception and Monitoring Prohibition Act, 1992, may, upon written application by the Centre, order an accountable institution to report to the Centre, on such terms and in such confidential manner as may be specified in the order, all transactions concluded by a specified person with the accountable institution or all transactions conducted in respect of a specified account or facility at the accountable institution, if there are reasonable grounds to suspect that- (a) that person has transferred or may transfer the proceeds of unlawful activities to the accountable institution or is using or may use the accountable institution for money laundering purposes or for the purpose of any transaction contemplated in section 29(1)(b); or (b) that account or other facility has received or may receive the proceeds of unlawful activities or is being or may be used for money laundering purposes or for the purpose of any transaction contemplated in section 29(1)(b).</t>
        </is>
      </c>
    </row>
    <row r="419">
      <c r="A419" t="inlineStr">
        <is>
          <t>South Africa</t>
        </is>
      </c>
      <c r="B419" t="inlineStr">
        <is>
          <t>FICA (Financial Intelligence Centre Act, 38 of 2001</t>
        </is>
      </c>
      <c r="C419" t="inlineStr">
        <is>
          <t>36</t>
        </is>
      </c>
      <c r="D419" s="8" t="inlineStr">
        <is>
          <t>(1) If a supervisory  body or  the South African Revenue  Service knows  or  suspects</t>
        </is>
      </c>
      <c r="E419" t="inlineStr">
        <is>
          <t>12</t>
        </is>
      </c>
      <c r="F419" t="inlineStr">
        <is>
          <t>Incident Reporting</t>
        </is>
      </c>
      <c r="G419" t="inlineStr">
        <is>
          <t>High</t>
        </is>
      </c>
      <c r="H419" t="inlineStr">
        <is>
          <t>High (explicit)</t>
        </is>
      </c>
      <c r="I419" s="8" t="inlineStr">
        <is>
          <t>Incident Reporting, Breach Notification</t>
        </is>
      </c>
      <c r="J419" s="8" t="inlineStr">
        <is>
          <t>Financial Data</t>
        </is>
      </c>
      <c r="K419" t="inlineStr">
        <is>
          <t>Financial Intelligence Centre (Centre)</t>
        </is>
      </c>
      <c r="L419" s="8" t="inlineStr">
        <is>
          <t>Supervisory bodies or South African Revenue Service must report suspected money laundering activities to Centre with relevant information.</t>
        </is>
      </c>
      <c r="M419" s="8" t="inlineStr">
        <is>
          <t>Requires reporting of suspected money laundering to Centre with supporting records for investigation.</t>
        </is>
      </c>
      <c r="N419" s="8" t="inlineStr">
        <is>
          <t>[Must] If a supervisory body or South African Revenue Service knows or suspects an accountable institution has received proceeds of unlawful activities, must advise Centre and furnish all information and records reasonably required
[Must] If Centre believes supervisory body or South African Revenue Service may have information indicating money laundering, must request confirmation or rebuttal and furnish information if confirmed</t>
        </is>
      </c>
      <c r="O419" s="8" t="inlineStr">
        <is>
          <t>36. (1) If a supervisory body or the South African Revenue Service knows or suspects that an accountable institution... has received or is about to receive the proceeds of unlawful activities... must advise the Centre of that fact and furnish the Centre with all information and any records...</t>
        </is>
      </c>
    </row>
    <row r="420">
      <c r="A420" t="inlineStr">
        <is>
          <t>South Africa</t>
        </is>
      </c>
      <c r="B420" t="inlineStr">
        <is>
          <t>FICA (Financial Intelligence Centre Act, 38 of 2001</t>
        </is>
      </c>
      <c r="C420" t="inlineStr">
        <is>
          <t>37</t>
        </is>
      </c>
      <c r="D420" s="8" t="inlineStr">
        <is>
          <t>(1) Subject to subsection  (2),  no  duty of secrecy or confidentiality or any other</t>
        </is>
      </c>
      <c r="E420" t="inlineStr">
        <is>
          <t>12–13</t>
        </is>
      </c>
      <c r="F420" t="inlineStr">
        <is>
          <t>Incident Reporting</t>
        </is>
      </c>
      <c r="G420" t="inlineStr">
        <is>
          <t>High</t>
        </is>
      </c>
      <c r="H420" t="inlineStr">
        <is>
          <t>High (explicit)</t>
        </is>
      </c>
      <c r="I420" s="8" t="inlineStr">
        <is>
          <t>Incident Reporting, Breach Notification</t>
        </is>
      </c>
      <c r="J420" s="8" t="inlineStr">
        <is>
          <t>Financial Data</t>
        </is>
      </c>
      <c r="K420" t="inlineStr">
        <is>
          <t>Financial Intelligence Centre (Centre)</t>
        </is>
      </c>
      <c r="L420" s="8" t="inlineStr">
        <is>
          <t>No duty of secrecy affects compliance with reporting obligations to Centre for money laundering investigations.</t>
        </is>
      </c>
      <c r="M420" s="8" t="inlineStr">
        <is>
          <t>Compliance with reporting to Centre is not subject to confidentiality obligations.</t>
        </is>
      </c>
      <c r="N420" s="8" t="inlineStr">
        <is>
          <t>[Must] No duty of secrecy or confidentiality affects compliance by accountable institutions, supervisory bodies, reporting institutions, South African Revenue Service with reporting provisions of this Part</t>
        </is>
      </c>
      <c r="O420" s="8" t="inlineStr">
        <is>
          <t>37. (1) Subject to subsection (2), no duty of secrecy or confidentiality or any other restriction on the disclosure of information... affects compliance by an accountable institution, reporting institution, supervisory body, reporting institution, South African Revenue Service or any other person with a provision of this Part.</t>
        </is>
      </c>
    </row>
    <row r="421">
      <c r="A421" t="inlineStr">
        <is>
          <t>South Africa</t>
        </is>
      </c>
      <c r="B421" t="inlineStr">
        <is>
          <t>FICA (Financial Intelligence Centre Act, 38 of 2001</t>
        </is>
      </c>
      <c r="C421" t="inlineStr">
        <is>
          <t>38</t>
        </is>
      </c>
      <c r="D421" s="8" t="inlineStr">
        <is>
          <t>(1) No action, whether criminal  or  civil,  lies  against an accountable institution,</t>
        </is>
      </c>
      <c r="E421" t="inlineStr">
        <is>
          <t>13</t>
        </is>
      </c>
      <c r="F421" t="inlineStr">
        <is>
          <t>Incident Reporting</t>
        </is>
      </c>
      <c r="G421" t="inlineStr">
        <is>
          <t>High</t>
        </is>
      </c>
      <c r="H421" t="inlineStr">
        <is>
          <t>High (explicit)</t>
        </is>
      </c>
      <c r="I421" s="8" t="inlineStr">
        <is>
          <t>Incident Reporting, Breach Notification</t>
        </is>
      </c>
      <c r="J421" s="8" t="inlineStr">
        <is>
          <t>Financial Data</t>
        </is>
      </c>
      <c r="K421" t="inlineStr">
        <is>
          <t>Financial Intelligence Centre (Centre)</t>
        </is>
      </c>
      <c r="L421" s="8" t="inlineStr">
        <is>
          <t>No legal action lies against entities complying with reporting obligations to Centre for money laundering investigations.</t>
        </is>
      </c>
      <c r="M421" s="8" t="inlineStr">
        <is>
          <t>Reporting to Centre for money laundering investigations is protected from legal consequences.</t>
        </is>
      </c>
      <c r="N421" s="8" t="inlineStr">
        <is>
          <t>[Must] No action, whether criminal or civil, lies against an accountable institution, reporting institution, supervisory body, South African Revenue Service or any other person complying in good faith with a provision of this Part</t>
        </is>
      </c>
      <c r="O421" s="8" t="inlineStr">
        <is>
          <t>38. (1) No action, whether criminal or civil, lies against an accountable institution, reporting institution, supervisory body, South African Revenue Service or any other person complying in good faith with a provision of this Part...</t>
        </is>
      </c>
    </row>
    <row r="422">
      <c r="A422" t="inlineStr">
        <is>
          <t>South Africa</t>
        </is>
      </c>
      <c r="B422" t="inlineStr">
        <is>
          <t>FICA (Financial Intelligence Centre Act, 38 of 2001</t>
        </is>
      </c>
      <c r="C422" t="inlineStr">
        <is>
          <t>40</t>
        </is>
      </c>
      <c r="D422" s="8" t="inlineStr">
        <is>
          <t>(1) No person is entitled  to  information held by the  Centre, except-</t>
        </is>
      </c>
      <c r="E422" t="inlineStr">
        <is>
          <t>13–14</t>
        </is>
      </c>
      <c r="F422" t="inlineStr">
        <is>
          <t>Incident Reporting</t>
        </is>
      </c>
      <c r="G422" t="inlineStr">
        <is>
          <t>High</t>
        </is>
      </c>
      <c r="H422" t="inlineStr">
        <is>
          <t>High (explicit)</t>
        </is>
      </c>
      <c r="I422" s="8" t="inlineStr">
        <is>
          <t>Incident Reporting, Breach Notification</t>
        </is>
      </c>
      <c r="J422" s="8" t="inlineStr">
        <is>
          <t>Financial Data</t>
        </is>
      </c>
      <c r="K422" t="inlineStr">
        <is>
          <t>Financial Intelligence Centre (Centre)</t>
        </is>
      </c>
      <c r="L422" s="8" t="inlineStr">
        <is>
          <t>Centre may disclose information to specific entities for money laundering investigations with safeguards.</t>
        </is>
      </c>
      <c r="M422" s="8" t="inlineStr">
        <is>
          <t>Centre may share information with investigating authorities, intelligence services, accountable institutions, and supervisory bodies for money laundering investigations with confidentiality safeguards.</t>
        </is>
      </c>
      <c r="N422" s="8" t="inlineStr">
        <is>
          <t>[Must] No person entitled to information held by Centre except investigating authorities, intelligence services, accountable institutions, supervisory bodies, courts or entities with written agreements</t>
        </is>
      </c>
      <c r="O422" s="8" t="inlineStr">
        <is>
          <t>40. (1) No person is entitled to information held by the Centre, except- (a) an investigating authority inside the Republic... (b) an entity outside the Republic performing similar functions... (c) an accountable institution... (d) a supervisory body... (e) in terms of an order of a court; or (f) in terms of other national legislation.</t>
        </is>
      </c>
    </row>
    <row r="423">
      <c r="A423" t="inlineStr">
        <is>
          <t>South Africa</t>
        </is>
      </c>
      <c r="B423" t="inlineStr">
        <is>
          <t>FICA (Financial Intelligence Centre Act, 38 of 2001</t>
        </is>
      </c>
      <c r="C423" t="inlineStr">
        <is>
          <t>41</t>
        </is>
      </c>
      <c r="D423" s="8" t="inlineStr">
        <is>
          <t>No person may  disclose confidential information  held by or obtained from the</t>
        </is>
      </c>
      <c r="E423" t="inlineStr">
        <is>
          <t>14</t>
        </is>
      </c>
      <c r="F423" t="inlineStr">
        <is>
          <t>Incident Reporting</t>
        </is>
      </c>
      <c r="G423" t="inlineStr">
        <is>
          <t>High</t>
        </is>
      </c>
      <c r="H423" t="inlineStr">
        <is>
          <t>High (explicit)</t>
        </is>
      </c>
      <c r="I423" s="8" t="inlineStr">
        <is>
          <t>Incident Reporting, Breach Notification</t>
        </is>
      </c>
      <c r="J423" s="8" t="inlineStr">
        <is>
          <t>Financial Data</t>
        </is>
      </c>
      <c r="K423" t="inlineStr">
        <is>
          <t>Financial Intelligence Centre (Centre)</t>
        </is>
      </c>
      <c r="L423" s="8" t="inlineStr">
        <is>
          <t>Confidential information held by Centre may not be disclosed except for specific purposes.</t>
        </is>
      </c>
      <c r="M423" s="8" t="inlineStr">
        <is>
          <t>Centre's confidential information may only be disclosed for specific purposes like legal proceedings, compliance with legislation, or with Centre's permission.</t>
        </is>
      </c>
      <c r="N423" s="8" t="inlineStr">
        <is>
          <t>[Must] No person may disclose confidential information held by or obtained from Centre except within scope of powers, for carrying out provisions of Act, with Centre's permission, for legal proceedings, or in terms of court order</t>
        </is>
      </c>
      <c r="O423" s="8" t="inlineStr">
        <is>
          <t>41. No person may disclose confidential information held by or obtained from the Centre except- (a) within the scope of that person's powers and duties in terms of any legislation; (b) for the purpose of carrying out the provisions of this Act; (c) with the permission of the Centre; (d) for the purpose of legal proceedings... (e) in terms of an order of court.</t>
        </is>
      </c>
    </row>
    <row r="424">
      <c r="A424" t="inlineStr">
        <is>
          <t>South Africa</t>
        </is>
      </c>
      <c r="B424" t="inlineStr">
        <is>
          <t>FICA (Financial Intelligence Centre Act, 38 of 2001</t>
        </is>
      </c>
      <c r="C424" t="inlineStr">
        <is>
          <t>42</t>
        </is>
      </c>
      <c r="D424" s="8" t="inlineStr">
        <is>
          <t>(1) An accountable institution must formulate and implement internal rules</t>
        </is>
      </c>
      <c r="E424" t="inlineStr">
        <is>
          <t>14–15</t>
        </is>
      </c>
      <c r="F424" t="inlineStr">
        <is>
          <t>Incident Reporting</t>
        </is>
      </c>
      <c r="G424" t="inlineStr">
        <is>
          <t>High</t>
        </is>
      </c>
      <c r="H424" t="inlineStr">
        <is>
          <t>High (explicit)</t>
        </is>
      </c>
      <c r="I424" s="8" t="inlineStr">
        <is>
          <t>Incident Reporting, Breach Notification</t>
        </is>
      </c>
      <c r="J424" s="8" t="inlineStr">
        <is>
          <t>Financial Data</t>
        </is>
      </c>
      <c r="K424" t="inlineStr">
        <is>
          <t>Financial Intelligence Centre (Centre)</t>
        </is>
      </c>
      <c r="L424" s="8" t="inlineStr">
        <is>
          <t>Accountable institutions must create internal rules for identifying persons, record-keeping, and transaction reporting.</t>
        </is>
      </c>
      <c r="M424" s="8" t="inlineStr">
        <is>
          <t>Accountable institutions must implement internal rules for identifying persons, record-keeping, and transaction reporting to comply with money laundering regulations.</t>
        </is>
      </c>
      <c r="N424" s="8" t="inlineStr">
        <is>
          <t>[Must] Accountable institution must formulate and implement internal rules concerning establishment and verification of identity of persons, information to be kept, manner of keeping records, steps to determine reportable transactions</t>
        </is>
      </c>
      <c r="O424" s="8" t="inlineStr">
        <is>
          <t>42. (1) An accountable institution must formulate and implement internal rules concerning- (a) the establishment and verification of the identity of persons whom the institution must identify in terms of Part 1 of this Chapter; (b) the information of which record must be kept in terms of Part 2 of this Chapter; (c) the manner in which and place at which such records must be kept; (d) the steps to be taken to determine when a transaction is reportable to ensure the institution complies with its duties under this Act; and (e) such other matters as may be prescribed.</t>
        </is>
      </c>
    </row>
    <row r="425">
      <c r="A425" t="inlineStr">
        <is>
          <t>South Africa</t>
        </is>
      </c>
      <c r="B425" t="inlineStr">
        <is>
          <t>FICA (Financial Intelligence Centre Act, 38 of 2001</t>
        </is>
      </c>
      <c r="C425" t="inlineStr">
        <is>
          <t>43</t>
        </is>
      </c>
      <c r="D425" s="8" t="inlineStr">
        <is>
          <t>An accountable institution must-</t>
        </is>
      </c>
      <c r="E425" t="inlineStr">
        <is>
          <t>15</t>
        </is>
      </c>
      <c r="F425" t="inlineStr">
        <is>
          <t>Incident Reporting</t>
        </is>
      </c>
      <c r="G425" t="inlineStr">
        <is>
          <t>High</t>
        </is>
      </c>
      <c r="H425" t="inlineStr">
        <is>
          <t>High (explicit)</t>
        </is>
      </c>
      <c r="I425" s="8" t="inlineStr">
        <is>
          <t>Incident Reporting, Breach Notification</t>
        </is>
      </c>
      <c r="J425" s="8" t="inlineStr">
        <is>
          <t>Financial Data</t>
        </is>
      </c>
      <c r="K425" t="inlineStr">
        <is>
          <t>Financial Intelligence Centre (Centre)</t>
        </is>
      </c>
      <c r="L425" s="8" t="inlineStr">
        <is>
          <t>Accountable institutions must provide training and appoint compliance officers.</t>
        </is>
      </c>
      <c r="M425" s="8" t="inlineStr">
        <is>
          <t>Accountable institutions must train employees and appoint compliance officers to ensure adherence to money laundering regulations.</t>
        </is>
      </c>
      <c r="N425" s="8" t="inlineStr">
        <is>
          <t>[Must] Accountable institution must provide training to employees to enable compliance with provisions of Act and internal rules
[Must] Accountable institution must appoint a person responsible for ensuring compliance with provisions of Act and internal rules</t>
        </is>
      </c>
      <c r="O425" s="8" t="inlineStr">
        <is>
          <t>43. An accountable institution must- (a) provide training to its employees, to enable them to comply with the provisions of this Act and the internal rules applicable to them; (b) appoint a person with the responsibility to ensure compliance by- (i) the employees of the accountable institution with the provisions of this Act and the internal rules applicable to them; (ii) the accountable institution with its obligations under this Act.</t>
        </is>
      </c>
    </row>
    <row r="426">
      <c r="A426" t="inlineStr">
        <is>
          <t>South Africa</t>
        </is>
      </c>
      <c r="B426" t="inlineStr">
        <is>
          <t>FICA (Financial Intelligence Centre Act, 38 of 2001</t>
        </is>
      </c>
      <c r="C426" t="inlineStr">
        <is>
          <t>44</t>
        </is>
      </c>
      <c r="D426" s="8" t="inlineStr">
        <is>
          <t>If the  Centre in the performance of  it,s functions  has  reasonable  grounds</t>
        </is>
      </c>
      <c r="E426" t="inlineStr">
        <is>
          <t>15</t>
        </is>
      </c>
      <c r="F426" t="inlineStr">
        <is>
          <t>Incident Reporting</t>
        </is>
      </c>
      <c r="G426" t="inlineStr">
        <is>
          <t>High</t>
        </is>
      </c>
      <c r="H426" t="inlineStr">
        <is>
          <t>High (explicit)</t>
        </is>
      </c>
      <c r="I426" s="8" t="inlineStr">
        <is>
          <t>Incident Reporting, Breach Notification</t>
        </is>
      </c>
      <c r="J426" s="8" t="inlineStr">
        <is>
          <t>Financial Data</t>
        </is>
      </c>
      <c r="K426" t="inlineStr">
        <is>
          <t>Financial Intelligence Centre (Centre)</t>
        </is>
      </c>
      <c r="L426" s="8" t="inlineStr">
        <is>
          <t>Centre may refer suspected non-compliance to supervisory bodies or investigating authorities.</t>
        </is>
      </c>
      <c r="M426" s="8" t="inlineStr">
        <is>
          <t>Centre may refer suspected money laundering non-compliance to supervisory bodies or investigating authorities for remedial action.</t>
        </is>
      </c>
      <c r="N426" s="8" t="inlineStr">
        <is>
          <t>[May] If Centre has reasonable grounds to suspect non-compliance, may refer matter to relevant investigating authority or supervisory body</t>
        </is>
      </c>
      <c r="O426" s="8" t="inlineStr">
        <is>
          <t>44. If the Centre in the performance of its functions has reasonable grounds to suspect that an accountable institution... has contravened or failed to comply with any provision of this Act... it may, if it considers it appropriate to do so, refer the matter to- (a) a relevant investigating authority; or (b) an appropriate supervisory body or other public body or authority detected by it...</t>
        </is>
      </c>
    </row>
    <row r="427">
      <c r="A427" t="inlineStr">
        <is>
          <t>South Africa</t>
        </is>
      </c>
      <c r="B427" t="inlineStr">
        <is>
          <t>FICA (Financial Intelligence Centre Act, 38 of 2001</t>
        </is>
      </c>
      <c r="C427" t="inlineStr">
        <is>
          <t>45</t>
        </is>
      </c>
      <c r="D427" s="8" t="inlineStr">
        <is>
          <t>(1) Each supervisory body is responsible for supervising compliance with the</t>
        </is>
      </c>
      <c r="E427" t="inlineStr">
        <is>
          <t>15</t>
        </is>
      </c>
      <c r="F427" t="inlineStr">
        <is>
          <t>Incident Reporting</t>
        </is>
      </c>
      <c r="G427" t="inlineStr">
        <is>
          <t>High</t>
        </is>
      </c>
      <c r="H427" t="inlineStr">
        <is>
          <t>High (explicit)</t>
        </is>
      </c>
      <c r="I427" s="8" t="inlineStr">
        <is>
          <t>Incident Reporting, Breach Notification</t>
        </is>
      </c>
      <c r="J427" s="8" t="inlineStr">
        <is>
          <t>Financial Data</t>
        </is>
      </c>
      <c r="K427" t="inlineStr">
        <is>
          <t>Financial Intelligence Centre (Centre)</t>
        </is>
      </c>
      <c r="L427" s="8" t="inlineStr">
        <is>
          <t>Supervisory bodies must investigate Centre referrals and remedy suspected non-compliance.</t>
        </is>
      </c>
      <c r="M427" s="8" t="inlineStr">
        <is>
          <t>Supervisory bodies must investigate Centre referrals and take steps to remedy suspected money laundering non-compliance.</t>
        </is>
      </c>
      <c r="N427" s="8" t="inlineStr">
        <is>
          <t>[Must] Each supervisory body is responsible for supervising compliance with provisions of this Chapter by accountable institutions regulated by it</t>
        </is>
      </c>
      <c r="O427" s="8" t="inlineStr">
        <is>
          <t>45. (1) Each supervisory body is responsible for supervising compliance with the provisions of this Chapter by each accountable institution regulated or supervised by it.</t>
        </is>
      </c>
    </row>
    <row r="428">
      <c r="A428" t="inlineStr">
        <is>
          <t>South Africa</t>
        </is>
      </c>
      <c r="B428" t="inlineStr">
        <is>
          <t>FICA (Financial Intelligence Centre Act, 38 of 2001</t>
        </is>
      </c>
      <c r="C428" t="inlineStr">
        <is>
          <t>46</t>
        </is>
      </c>
      <c r="D428" s="8" t="inlineStr">
        <is>
          <t>(1) An accountable institution  that  performs any act to give effect to a  business</t>
        </is>
      </c>
      <c r="E428" t="inlineStr">
        <is>
          <t>15</t>
        </is>
      </c>
      <c r="F428" t="inlineStr">
        <is>
          <t>Incident Reporting</t>
        </is>
      </c>
      <c r="G428" t="inlineStr">
        <is>
          <t>High</t>
        </is>
      </c>
      <c r="H428" t="inlineStr">
        <is>
          <t>High (explicit)</t>
        </is>
      </c>
      <c r="I428" s="8" t="inlineStr">
        <is>
          <t>Incident Reporting, Breach Notification</t>
        </is>
      </c>
      <c r="J428" s="8" t="inlineStr">
        <is>
          <t>Financial Data</t>
        </is>
      </c>
      <c r="K428" t="inlineStr">
        <is>
          <t>Financial Intelligence Centre (Centre)</t>
        </is>
      </c>
      <c r="L428" s="8" t="inlineStr">
        <is>
          <t>Accountable institutions that perform transactions in contravention of identification requirements are guilty of offences.</t>
        </is>
      </c>
      <c r="M428" s="8" t="inlineStr">
        <is>
          <t>Accountable institutions that fail to identify persons in transactions are subject to offences under this Act.</t>
        </is>
      </c>
      <c r="N428" s="8" t="inlineStr">
        <is>
          <t>[Must] Accountable institution that performs any act to give effect to a business relationship or single transaction in contravention of section 21(1) is guilty of an offence</t>
        </is>
      </c>
      <c r="O428" s="8" t="inlineStr">
        <is>
          <t>46. (1) An accountable institution that performs any act to give effect to a business relationship or single transaction in contravention of section  21(1) is guilty of an offence.</t>
        </is>
      </c>
    </row>
    <row r="429">
      <c r="A429" t="inlineStr">
        <is>
          <t>South Africa</t>
        </is>
      </c>
      <c r="B429" t="inlineStr">
        <is>
          <t>FICA (Financial Intelligence Centre Act, 38 of 2001</t>
        </is>
      </c>
      <c r="C429" t="inlineStr">
        <is>
          <t>47</t>
        </is>
      </c>
      <c r="D429" s="8" t="inlineStr">
        <is>
          <t>An accountable institution  that  fails  tc+-</t>
        </is>
      </c>
      <c r="E429" t="inlineStr">
        <is>
          <t>15</t>
        </is>
      </c>
      <c r="F429" t="inlineStr">
        <is>
          <t>Incident Reporting</t>
        </is>
      </c>
      <c r="G429" t="inlineStr">
        <is>
          <t>High</t>
        </is>
      </c>
      <c r="H429" t="inlineStr">
        <is>
          <t>High (explicit)</t>
        </is>
      </c>
      <c r="I429" s="8" t="inlineStr">
        <is>
          <t>Incident Reporting, Breach Notification</t>
        </is>
      </c>
      <c r="J429" s="8" t="inlineStr">
        <is>
          <t>Financial Data</t>
        </is>
      </c>
      <c r="K429" t="inlineStr">
        <is>
          <t>Financial Intelligence Centre (Centre)</t>
        </is>
      </c>
      <c r="L429" s="8" t="inlineStr">
        <is>
          <t>Accountable institutions that fail to keep records as required are guilty of offences.</t>
        </is>
      </c>
      <c r="M429" s="8" t="inlineStr">
        <is>
          <t>Accountable institutions that fail to maintain records as required by the Act are subject to offences.</t>
        </is>
      </c>
      <c r="N429" s="8" t="inlineStr">
        <is>
          <t>[Must] Accountable institution that fails to keep record of information in terms of section 22(1); or keep such records in accordance with section 23 or 24(1); or comply with section 24(3) is guilty of an offence</t>
        </is>
      </c>
      <c r="O429" s="8" t="inlineStr">
        <is>
          <t>47. An accountable institution that fails to- (a) keep record of information in terms of section 22(1); or (b) keep such records in accordance with section 23 or section 24(1); or (c) comply with the provisions of section 24(3), is guilty of an offence.</t>
        </is>
      </c>
    </row>
    <row r="430">
      <c r="A430" t="inlineStr">
        <is>
          <t>South Africa</t>
        </is>
      </c>
      <c r="B430" t="inlineStr">
        <is>
          <t>FICA (Financial Intelligence Centre Act, 38 of 2001</t>
        </is>
      </c>
      <c r="C430" t="inlineStr">
        <is>
          <t>48</t>
        </is>
      </c>
      <c r="D430" s="8" t="inlineStr">
        <is>
          <t>Any person who wilfully tampers with a  record  kept in terms of section  22 or</t>
        </is>
      </c>
      <c r="E430" t="inlineStr">
        <is>
          <t>15–16</t>
        </is>
      </c>
      <c r="F430" t="inlineStr">
        <is>
          <t>Incident Reporting</t>
        </is>
      </c>
      <c r="G430" t="inlineStr">
        <is>
          <t>High</t>
        </is>
      </c>
      <c r="H430" t="inlineStr">
        <is>
          <t>High (explicit)</t>
        </is>
      </c>
      <c r="I430" s="8" t="inlineStr">
        <is>
          <t>Incident Reporting, Breach Notification</t>
        </is>
      </c>
      <c r="J430" s="8" t="inlineStr">
        <is>
          <t>Financial Data</t>
        </is>
      </c>
      <c r="K430" t="inlineStr">
        <is>
          <t>Financial Intelligence Centre (Centre)</t>
        </is>
      </c>
      <c r="L430" s="8" t="inlineStr">
        <is>
          <t>Wilful tampering or destruction of records is an offence.</t>
        </is>
      </c>
      <c r="M430" s="8" t="inlineStr">
        <is>
          <t>Wilful tampering or destruction of records required by the Act is subject to criminal penalties.</t>
        </is>
      </c>
      <c r="N430" s="8" t="inlineStr">
        <is>
          <t>[Must] Any person who wilfully tampers with a record kept in terms of section 22 or section 24(1), or wilfully destroys such a record, otherwise than in accordance with section 23, is guilty of an offence</t>
        </is>
      </c>
      <c r="O430" s="8" t="inlineStr">
        <is>
          <t>48. Any person who wilfully tampers with a record kept in terms of section 22 or section 24(1), or wilfully destroys such a record, otherwise than in accordance with section 23, is guilty of an offence.</t>
        </is>
      </c>
    </row>
    <row r="431">
      <c r="A431" t="inlineStr">
        <is>
          <t>South Africa</t>
        </is>
      </c>
      <c r="B431" t="inlineStr">
        <is>
          <t>FICA (Financial Intelligence Centre Act, 38 of 2001</t>
        </is>
      </c>
      <c r="C431" t="inlineStr">
        <is>
          <t>49</t>
        </is>
      </c>
      <c r="D431" s="8" t="inlineStr">
        <is>
          <t>An accountable institution that  fails to give  assistance to a  representative of the</t>
        </is>
      </c>
      <c r="E431" t="inlineStr">
        <is>
          <t>16</t>
        </is>
      </c>
      <c r="F431" t="inlineStr">
        <is>
          <t>Incident Reporting</t>
        </is>
      </c>
      <c r="G431" t="inlineStr">
        <is>
          <t>High</t>
        </is>
      </c>
      <c r="H431" t="inlineStr">
        <is>
          <t>High (explicit)</t>
        </is>
      </c>
      <c r="I431" s="8" t="inlineStr">
        <is>
          <t>Incident Reporting, Breach Notification</t>
        </is>
      </c>
      <c r="J431" s="8" t="inlineStr">
        <is>
          <t>Financial Data</t>
        </is>
      </c>
      <c r="K431" t="inlineStr">
        <is>
          <t>Financial Intelligence Centre (Centre)</t>
        </is>
      </c>
      <c r="L431" s="8" t="inlineStr">
        <is>
          <t>Accountable institutions that fail to assist Centre representatives are guilty of offences.</t>
        </is>
      </c>
      <c r="M431" s="8" t="inlineStr">
        <is>
          <t>Accountable institutions that fail to assist Centre representatives with investigations are subject to offences.</t>
        </is>
      </c>
      <c r="N431" s="8" t="inlineStr">
        <is>
          <t>[Must] Accountable institution that fails to give assistance to a representative of the Centre in accordance with section 26(5) is guilty of an offence</t>
        </is>
      </c>
      <c r="O431" s="8" t="inlineStr">
        <is>
          <t>49. An accountable institution that fails to give assistance to a representative of the Centre in accordance with section 26(5), is guilty of an offence.</t>
        </is>
      </c>
    </row>
    <row r="432">
      <c r="A432" t="inlineStr">
        <is>
          <t>South Africa</t>
        </is>
      </c>
      <c r="B432" t="inlineStr">
        <is>
          <t>FICA (Financial Intelligence Centre Act, 38 of 2001</t>
        </is>
      </c>
      <c r="C432" t="inlineStr">
        <is>
          <t>51</t>
        </is>
      </c>
      <c r="D432" s="8" t="inlineStr">
        <is>
          <t>An accountable institution or reporting  institution that fails, within the  prescribed</t>
        </is>
      </c>
      <c r="E432" t="inlineStr">
        <is>
          <t>16</t>
        </is>
      </c>
      <c r="F432" t="inlineStr">
        <is>
          <t>Incident Reporting</t>
        </is>
      </c>
      <c r="G432" t="inlineStr">
        <is>
          <t>High</t>
        </is>
      </c>
      <c r="H432" t="inlineStr">
        <is>
          <t>High (explicit)</t>
        </is>
      </c>
      <c r="I432" s="8" t="inlineStr">
        <is>
          <t>Incident Reporting, Breach Notification</t>
        </is>
      </c>
      <c r="J432" s="8" t="inlineStr">
        <is>
          <t>Financial Data</t>
        </is>
      </c>
      <c r="K432" t="inlineStr">
        <is>
          <t>Financial Intelligence Centre (Centre)</t>
        </is>
      </c>
      <c r="L432" s="8" t="inlineStr">
        <is>
          <t>Accountable institutions that fail to report cash transactions are guilty of offences.</t>
        </is>
      </c>
      <c r="M432" s="8" t="inlineStr">
        <is>
          <t>Accountable institutions that fail to report cash transactions within prescribed periods are subject to offences.</t>
        </is>
      </c>
      <c r="N432" s="8" t="inlineStr">
        <is>
          <t>[Must] Accountable institution or reporting institution that fails, within the prescribed period, to report to the Centre the prescribed information in respect of a cash transaction in accordance with section 28 is guilty of an offence</t>
        </is>
      </c>
      <c r="O432" s="8" t="inlineStr">
        <is>
          <t>51. An accountable institution or reporting institution that fails, within the prescribed period, to report to the Centre the prescribed information in respect of a cash transaction in accordance with section 28, is guilty of an offence.</t>
        </is>
      </c>
    </row>
    <row r="433">
      <c r="A433" t="inlineStr">
        <is>
          <t>South Africa</t>
        </is>
      </c>
      <c r="B433" t="inlineStr">
        <is>
          <t>FICA (Financial Intelligence Centre Act, 38 of 2001</t>
        </is>
      </c>
      <c r="C433" t="inlineStr">
        <is>
          <t>52</t>
        </is>
      </c>
      <c r="D433" s="8" t="inlineStr">
        <is>
          <t>(1) Any  person who  fails, within the: prescribed period, to report to the Centre the</t>
        </is>
      </c>
      <c r="E433" t="inlineStr">
        <is>
          <t>16</t>
        </is>
      </c>
      <c r="F433" t="inlineStr">
        <is>
          <t>Incident Reporting</t>
        </is>
      </c>
      <c r="G433" t="inlineStr">
        <is>
          <t>High</t>
        </is>
      </c>
      <c r="H433" t="inlineStr">
        <is>
          <t>High (explicit)</t>
        </is>
      </c>
      <c r="I433" s="8" t="inlineStr">
        <is>
          <t>Incident Reporting, Breach Notification</t>
        </is>
      </c>
      <c r="J433" s="8" t="inlineStr">
        <is>
          <t>Financial Data</t>
        </is>
      </c>
      <c r="K433" t="inlineStr">
        <is>
          <t>Financial Intelligence Centre (Centre)</t>
        </is>
      </c>
      <c r="L433" s="8" t="inlineStr">
        <is>
          <t>Failure to report suspicious transactions is an offence.</t>
        </is>
      </c>
      <c r="M433" s="8" t="inlineStr">
        <is>
          <t>Failure to report suspicious transactions within prescribed periods is subject to criminal penalties.</t>
        </is>
      </c>
      <c r="N433" s="8" t="inlineStr">
        <is>
          <t>[Must] Any person who fails, within the prescribed period, to report to the Centre the prescribed information in respect of a suspicious or unusual transaction or series of transactions or enquiry in accordance with section 29(1) or (2) is guilty of an offence</t>
        </is>
      </c>
      <c r="O433" s="8" t="inlineStr">
        <is>
          <t>52. (1) Any person who fails, within the prescribed period, to report to the Centre the prescribed information in respect of a suspicious or unusual transaction or series of transactions or enquiry in accordance with section 29(1) or (2), is guilty of an offence.</t>
        </is>
      </c>
    </row>
    <row r="434">
      <c r="A434" t="inlineStr">
        <is>
          <t>South Africa</t>
        </is>
      </c>
      <c r="B434" t="inlineStr">
        <is>
          <t>FICA (Financial Intelligence Centre Act, 38 of 2001</t>
        </is>
      </c>
      <c r="C434" t="inlineStr">
        <is>
          <t>53</t>
        </is>
      </c>
      <c r="D434" s="8" t="inlineStr">
        <is>
          <t>(1) Any  person  referred to  in  section  29(3)  who discloses a  fact or information</t>
        </is>
      </c>
      <c r="E434" t="inlineStr">
        <is>
          <t>16</t>
        </is>
      </c>
      <c r="F434" t="inlineStr">
        <is>
          <t>Incident Reporting</t>
        </is>
      </c>
      <c r="G434" t="inlineStr">
        <is>
          <t>High</t>
        </is>
      </c>
      <c r="H434" t="inlineStr">
        <is>
          <t>High (explicit)</t>
        </is>
      </c>
      <c r="I434" s="8" t="inlineStr">
        <is>
          <t>Incident Reporting, Breach Notification</t>
        </is>
      </c>
      <c r="J434" s="8" t="inlineStr">
        <is>
          <t>Financial Data</t>
        </is>
      </c>
      <c r="K434" t="inlineStr">
        <is>
          <t>Financial Intelligence Centre (Centre)</t>
        </is>
      </c>
      <c r="L434" s="8" t="inlineStr">
        <is>
          <t>Unauthorized disclosure of information to Centre is an offence.</t>
        </is>
      </c>
      <c r="M434" s="8" t="inlineStr">
        <is>
          <t>Unauthorized disclosure of information to Centre is subject to criminal penalties.</t>
        </is>
      </c>
      <c r="N434" s="8" t="inlineStr">
        <is>
          <t>[Must] Any person who discloses a fact or information contemplated in section 29(3) otherwise than in the circumstances or for the purposes authorised in that section is guilty of an offence</t>
        </is>
      </c>
      <c r="O434" s="8" t="inlineStr">
        <is>
          <t>53. (1) Any person referred to in section 29(3) who discloses a fact or information contemplated in that section, otherwise than in the circumstances or for the purposes authorised in that section, is guilty of an offence.</t>
        </is>
      </c>
    </row>
    <row r="435">
      <c r="A435" t="inlineStr">
        <is>
          <t>South Africa</t>
        </is>
      </c>
      <c r="B435" t="inlineStr">
        <is>
          <t>FICA (Financial Intelligence Centre Act, 38 of 2001</t>
        </is>
      </c>
      <c r="C435" t="inlineStr">
        <is>
          <t>54</t>
        </is>
      </c>
      <c r="D435" s="8" t="inlineStr">
        <is>
          <t>Any  person who wilfully fails  to  report  the conveyance of cash  into  or out of the</t>
        </is>
      </c>
      <c r="E435" t="inlineStr">
        <is>
          <t>16</t>
        </is>
      </c>
      <c r="F435" t="inlineStr">
        <is>
          <t>Incident Reporting</t>
        </is>
      </c>
      <c r="G435" t="inlineStr">
        <is>
          <t>High</t>
        </is>
      </c>
      <c r="H435" t="inlineStr">
        <is>
          <t>High (explicit)</t>
        </is>
      </c>
      <c r="I435" s="8" t="inlineStr">
        <is>
          <t>Incident Reporting, Breach Notification</t>
        </is>
      </c>
      <c r="J435" s="8" t="inlineStr">
        <is>
          <t>Financial Data</t>
        </is>
      </c>
      <c r="K435" t="inlineStr">
        <is>
          <t>Financial Intelligence Centre (Centre)</t>
        </is>
      </c>
      <c r="L435" s="8" t="inlineStr">
        <is>
          <t>Wilful failure to report cash conveyance is an offence.</t>
        </is>
      </c>
      <c r="M435" s="8" t="inlineStr">
        <is>
          <t>Wilful failure to report cash conveyance into or out of Republic is subject to criminal penalties.</t>
        </is>
      </c>
      <c r="N435" s="8" t="inlineStr">
        <is>
          <t>[Must] Any person who wilfully fails to report the conveyance of cash into or out of the Republic in accordance with section 30(1) is guilty of an offence</t>
        </is>
      </c>
      <c r="O435" s="8" t="inlineStr">
        <is>
          <t>54. Any person who wilfully fails to report the conveyance of cash into or out of the Republic in accordance with section 30(1), is guilty of an offence.</t>
        </is>
      </c>
    </row>
    <row r="436">
      <c r="A436" t="inlineStr">
        <is>
          <t>South Africa</t>
        </is>
      </c>
      <c r="B436" t="inlineStr">
        <is>
          <t>FICA (Financial Intelligence Centre Act, 38 of 2001</t>
        </is>
      </c>
      <c r="C436" t="inlineStr">
        <is>
          <t>55</t>
        </is>
      </c>
      <c r="D436" s="8" t="inlineStr">
        <is>
          <t>A person referred to in rsection 30(2) who fails to send a report regarding the</t>
        </is>
      </c>
      <c r="E436" t="inlineStr">
        <is>
          <t>16</t>
        </is>
      </c>
      <c r="F436" t="inlineStr">
        <is>
          <t>Incident Reporting</t>
        </is>
      </c>
      <c r="G436" t="inlineStr">
        <is>
          <t>High</t>
        </is>
      </c>
      <c r="H436" t="inlineStr">
        <is>
          <t>High (explicit)</t>
        </is>
      </c>
      <c r="I436" s="8" t="inlineStr">
        <is>
          <t>Incident Reporting, Breach Notification</t>
        </is>
      </c>
      <c r="J436" s="8" t="inlineStr">
        <is>
          <t>Financial Data</t>
        </is>
      </c>
      <c r="K436" t="inlineStr">
        <is>
          <t>Financial Intelligence Centre (Centre)</t>
        </is>
      </c>
      <c r="L436" s="8" t="inlineStr">
        <is>
          <t>Failure to send cash conveyance reports is an offence.</t>
        </is>
      </c>
      <c r="M436" s="8" t="inlineStr">
        <is>
          <t>Failure to send cash conveyance reports to Centre is subject to criminal penalties.</t>
        </is>
      </c>
      <c r="N436" s="8" t="inlineStr">
        <is>
          <t>[Must] A person referred to in section 30(2) who fails to send a report regarding the conveyance of cash to the Centre in accordance with that section is guilty of an offence</t>
        </is>
      </c>
      <c r="O436" s="8" t="inlineStr">
        <is>
          <t>55. A person referred to in section 30(2) who fails to send a report regarding the conveyance of cash to the Centre in accordance with that section, is guilty of an offence.</t>
        </is>
      </c>
    </row>
    <row r="437">
      <c r="A437" t="inlineStr">
        <is>
          <t>South Africa</t>
        </is>
      </c>
      <c r="B437" t="inlineStr">
        <is>
          <t>FICA (Financial Intelligence Centre Act, 38 of 2001</t>
        </is>
      </c>
      <c r="C437" t="inlineStr">
        <is>
          <t>57</t>
        </is>
      </c>
      <c r="D437" s="8" t="inlineStr">
        <is>
          <t>An  accountable institution, reporting, institution or  any other person that fails to</t>
        </is>
      </c>
      <c r="E437" t="inlineStr">
        <is>
          <t>16</t>
        </is>
      </c>
      <c r="F437" t="inlineStr">
        <is>
          <t>Enforcement</t>
        </is>
      </c>
      <c r="G437" t="inlineStr">
        <is>
          <t>High</t>
        </is>
      </c>
      <c r="H437" t="inlineStr">
        <is>
          <t>High (explicit)</t>
        </is>
      </c>
      <c r="I437" s="8" t="inlineStr"/>
      <c r="J437" s="8" t="inlineStr">
        <is>
          <t>Financial Data</t>
        </is>
      </c>
      <c r="K437" t="inlineStr">
        <is>
          <t>Centre</t>
        </is>
      </c>
      <c r="L437" s="8" t="inlineStr">
        <is>
          <t>Accountable institutions failing to comply with Centre's requests are guilty of an offence.</t>
        </is>
      </c>
      <c r="M437" s="8" t="inlineStr">
        <is>
          <t>Offence for non-compliance with Centre's requests; requires adherence to Centre's directives.</t>
        </is>
      </c>
      <c r="N437" s="8" t="inlineStr">
        <is>
          <t>[Must] comply with a request made by Centre or investigating authority acting under authority of an authorised office in terms of section 32(2)</t>
        </is>
      </c>
      <c r="O437" s="8" t="inlineStr">
        <is>
          <t>An accountable institution, reporting, institution or any other person that fails to comply with a request made by Centre or an investigating authority acting under the authority of an authorised office in terms of section 32(2), is guilty of an offence.</t>
        </is>
      </c>
    </row>
    <row r="438">
      <c r="A438" t="inlineStr">
        <is>
          <t>South Africa</t>
        </is>
      </c>
      <c r="B438" t="inlineStr">
        <is>
          <t>FICA (Financial Intelligence Centre Act, 38 of 2001</t>
        </is>
      </c>
      <c r="C438" t="inlineStr">
        <is>
          <t>58</t>
        </is>
      </c>
      <c r="D438" s="8" t="inlineStr">
        <is>
          <t>An  accountable institution that fails 'to comply  with a  direction by the  Centre in</t>
        </is>
      </c>
      <c r="E438" t="inlineStr">
        <is>
          <t>16</t>
        </is>
      </c>
      <c r="F438" t="inlineStr">
        <is>
          <t>Enforcement</t>
        </is>
      </c>
      <c r="G438" t="inlineStr">
        <is>
          <t>High</t>
        </is>
      </c>
      <c r="H438" t="inlineStr">
        <is>
          <t>High (explicit)</t>
        </is>
      </c>
      <c r="I438" s="8" t="inlineStr"/>
      <c r="J438" s="8" t="inlineStr">
        <is>
          <t>Financial Data</t>
        </is>
      </c>
      <c r="K438" t="inlineStr">
        <is>
          <t>Centre</t>
        </is>
      </c>
      <c r="L438" s="8" t="inlineStr">
        <is>
          <t>Accountable institutions failing to comply with Centre's directions are guilty of an offence.</t>
        </is>
      </c>
      <c r="M438" s="8" t="inlineStr">
        <is>
          <t>Offence for non-compliance with Centre's directions; requires adherence to Centre's directives.</t>
        </is>
      </c>
      <c r="N438" s="8" t="inlineStr">
        <is>
          <t>[Must] comply with a direction by Centre in terms of section 34(1)</t>
        </is>
      </c>
      <c r="O438" s="8" t="inlineStr">
        <is>
          <t>An accountable institution that fails to comply with a direction by Centre in terms of section 34(1), is guilty of an offence.</t>
        </is>
      </c>
    </row>
    <row r="439">
      <c r="A439" t="inlineStr">
        <is>
          <t>South Africa</t>
        </is>
      </c>
      <c r="B439" t="inlineStr">
        <is>
          <t>FICA (Financial Intelligence Centre Act, 38 of 2001</t>
        </is>
      </c>
      <c r="C439" t="inlineStr">
        <is>
          <t>60</t>
        </is>
      </c>
      <c r="D439" s="8" t="inlineStr">
        <is>
          <t>(1) Any  person who-</t>
        </is>
      </c>
      <c r="E439" t="inlineStr">
        <is>
          <t>16–17</t>
        </is>
      </c>
      <c r="F439" t="inlineStr">
        <is>
          <t>Enforcement</t>
        </is>
      </c>
      <c r="G439" t="inlineStr">
        <is>
          <t>High</t>
        </is>
      </c>
      <c r="H439" t="inlineStr">
        <is>
          <t>High (explicit)</t>
        </is>
      </c>
      <c r="I439" s="8" t="inlineStr"/>
      <c r="J439" s="8" t="inlineStr">
        <is>
          <t>Financial Data</t>
        </is>
      </c>
      <c r="K439" t="inlineStr">
        <is>
          <t>Centre</t>
        </is>
      </c>
      <c r="L439" s="8" t="inlineStr">
        <is>
          <t>Offences for disclosing, tampering with, or misusing Centre's confidential information.</t>
        </is>
      </c>
      <c r="M439" s="8" t="inlineStr">
        <is>
          <t>Offence for disclosing, tampering with, or misusing Centre's confidential information; requires adherence to Centre's information handling rules.</t>
        </is>
      </c>
      <c r="N439" s="8" t="inlineStr">
        <is>
          <t>[Must Not] disclose confidential information held by or obtained from Centre
[Must Not] wilfully destroy or tamper with information kept by Centre
[Must Not] use information obtained from Centre otherwise than in accordance with section 40</t>
        </is>
      </c>
      <c r="O439" s="8" t="inlineStr">
        <is>
          <t>Any person who discloses confidential information held by or obtained from Centre; wilfully destroys or tampers with information kept by Centre; or uses information obtained from Centre otherwise than in accordance with section 40, is guilty of an offence.</t>
        </is>
      </c>
    </row>
    <row r="440">
      <c r="A440" t="inlineStr">
        <is>
          <t>South Africa</t>
        </is>
      </c>
      <c r="B440" t="inlineStr">
        <is>
          <t>FICA (Financial Intelligence Centre Act, 38 of 2001</t>
        </is>
      </c>
      <c r="C440" t="inlineStr">
        <is>
          <t>62</t>
        </is>
      </c>
      <c r="D440" s="8" t="inlineStr">
        <is>
          <t>An accountable institution that fails to-</t>
        </is>
      </c>
      <c r="E440" t="inlineStr">
        <is>
          <t>17</t>
        </is>
      </c>
      <c r="F440" t="inlineStr">
        <is>
          <t>Enforcement</t>
        </is>
      </c>
      <c r="G440" t="inlineStr">
        <is>
          <t>High</t>
        </is>
      </c>
      <c r="H440" t="inlineStr">
        <is>
          <t>High (explicit)</t>
        </is>
      </c>
      <c r="I440" s="8" t="inlineStr"/>
      <c r="J440" s="8" t="inlineStr">
        <is>
          <t>Financial Data</t>
        </is>
      </c>
      <c r="K440" t="inlineStr">
        <is>
          <t>Centre</t>
        </is>
      </c>
      <c r="L440" s="8" t="inlineStr">
        <is>
          <t>Accountable institutions failing to provide training or appoint compliance officers are guilty of an offence.</t>
        </is>
      </c>
      <c r="M440" s="8" t="inlineStr">
        <is>
          <t>Offence for failing to provide employee training or appoint compliance officers; requires adherence to training and compliance officer requirements.</t>
        </is>
      </c>
      <c r="N440" s="8" t="inlineStr">
        <is>
          <t>[Must] provide training to employees in accordance with section 43(a)
[Must] appoint the person referred to in section 43(b)</t>
        </is>
      </c>
      <c r="O440" s="8" t="inlineStr">
        <is>
          <t>An accountable institution that fails to provide training to its employees in accordance with section 43(a); or appoint the person referred to in section 43(b), is guilty of an offence.</t>
        </is>
      </c>
    </row>
    <row r="441">
      <c r="A441" t="inlineStr">
        <is>
          <t>South Africa</t>
        </is>
      </c>
      <c r="B441" t="inlineStr">
        <is>
          <t>FICA (Financial Intelligence Centre Act, 38 of 2001</t>
        </is>
      </c>
      <c r="C441" t="inlineStr">
        <is>
          <t>63</t>
        </is>
      </c>
      <c r="D441" s="8" t="inlineStr">
        <is>
          <t>Any  person who obstructs, hinders  or  threatens  an official or  representative of the</t>
        </is>
      </c>
      <c r="E441" t="inlineStr">
        <is>
          <t>17</t>
        </is>
      </c>
      <c r="F441" t="inlineStr">
        <is>
          <t>Enforcement</t>
        </is>
      </c>
      <c r="G441" t="inlineStr">
        <is>
          <t>High</t>
        </is>
      </c>
      <c r="H441" t="inlineStr">
        <is>
          <t>High (explicit)</t>
        </is>
      </c>
      <c r="I441" s="8" t="inlineStr"/>
      <c r="J441" s="8" t="inlineStr">
        <is>
          <t>Financial Data</t>
        </is>
      </c>
      <c r="K441" t="inlineStr">
        <is>
          <t>Centre</t>
        </is>
      </c>
      <c r="L441" s="8" t="inlineStr">
        <is>
          <t>Obstructing Centre officials in performing duties is an offence.</t>
        </is>
      </c>
      <c r="M441" s="8" t="inlineStr">
        <is>
          <t>Offence for obstructing Centre officials; requires non-obstruction of Centre officials' duties.</t>
        </is>
      </c>
      <c r="N441" s="8" t="inlineStr">
        <is>
          <t>[Must Not] obstruct, hinder or threaten Centre officials in performance of duties</t>
        </is>
      </c>
      <c r="O441" s="8" t="inlineStr">
        <is>
          <t>Any person who obstructs, hinders or threatens Centre officials in the performance of their duties or exercise of powers in terms of this Act, is guilty of an offence.</t>
        </is>
      </c>
    </row>
    <row r="442">
      <c r="A442" t="inlineStr">
        <is>
          <t>South Africa</t>
        </is>
      </c>
      <c r="B442" t="inlineStr">
        <is>
          <t>FICA (Financial Intelligence Centre Act, 38 of 2001</t>
        </is>
      </c>
      <c r="C442" t="inlineStr">
        <is>
          <t>64</t>
        </is>
      </c>
      <c r="D442" s="8" t="inlineStr">
        <is>
          <t>Any  person who  conducts, or causes  to  be  conducted,  two or more transactions</t>
        </is>
      </c>
      <c r="E442" t="inlineStr">
        <is>
          <t>17</t>
        </is>
      </c>
      <c r="F442" t="inlineStr">
        <is>
          <t>Enforcement</t>
        </is>
      </c>
      <c r="G442" t="inlineStr">
        <is>
          <t>High</t>
        </is>
      </c>
      <c r="H442" t="inlineStr">
        <is>
          <t>High (explicit)</t>
        </is>
      </c>
      <c r="I442" s="8" t="inlineStr"/>
      <c r="J442" s="8" t="inlineStr">
        <is>
          <t>Financial Data</t>
        </is>
      </c>
      <c r="K442" t="inlineStr">
        <is>
          <t>Centre</t>
        </is>
      </c>
      <c r="L442" s="8" t="inlineStr">
        <is>
          <t>Conducting transactions to avoid reporting duties is an offence.</t>
        </is>
      </c>
      <c r="M442" s="8" t="inlineStr">
        <is>
          <t>Offence for conducting transactions to avoid reporting duties; requires full reporting of transactions.</t>
        </is>
      </c>
      <c r="N442" s="8" t="inlineStr">
        <is>
          <t>[Must Not] conduct two or more transactions with purpose to avoid reporting duty under Act</t>
        </is>
      </c>
      <c r="O442" s="8" t="inlineStr">
        <is>
          <t>Any person who conducts, or causes to be conducted, two or more transactions with the purpose, in whole or in part, of avoiding giving rise to a reporting duty under this Act, is guilty of an offence.</t>
        </is>
      </c>
    </row>
    <row r="443">
      <c r="A443" t="inlineStr">
        <is>
          <t>South Africa</t>
        </is>
      </c>
      <c r="B443" t="inlineStr">
        <is>
          <t>FICA (Financial Intelligence Centre Act, 38 of 2001</t>
        </is>
      </c>
      <c r="C443" t="inlineStr">
        <is>
          <t>66</t>
        </is>
      </c>
      <c r="D443" s="8" t="inlineStr">
        <is>
          <t>Any  person who, without  authority ':o do so, wilfully causes  a computer  system</t>
        </is>
      </c>
      <c r="E443" t="inlineStr">
        <is>
          <t>18</t>
        </is>
      </c>
      <c r="F443" t="inlineStr">
        <is>
          <t>Enforcement</t>
        </is>
      </c>
      <c r="G443" t="inlineStr">
        <is>
          <t>High</t>
        </is>
      </c>
      <c r="H443" t="inlineStr">
        <is>
          <t>High (explicit)</t>
        </is>
      </c>
      <c r="I443" s="8" t="inlineStr"/>
      <c r="J443" s="8" t="inlineStr">
        <is>
          <t>Financial Data</t>
        </is>
      </c>
      <c r="K443" t="inlineStr">
        <is>
          <t>Centre</t>
        </is>
      </c>
      <c r="L443" s="8" t="inlineStr">
        <is>
          <t>Unauthorised modification of Centre's computer systems is an offence.</t>
        </is>
      </c>
      <c r="M443" s="8" t="inlineStr">
        <is>
          <t>Offence for unauthorised modification of Centre's computer systems; requires adherence to system integrity.</t>
        </is>
      </c>
      <c r="N443" s="8" t="inlineStr">
        <is>
          <t>[Must Not] without authority to do so, wilfully causes Centre's computer system to be modified, destroyed, erased or operation impaired</t>
        </is>
      </c>
      <c r="O443" s="8" t="inlineStr">
        <is>
          <t>Any person who, without authority to do so, wilfully causes Centre's computer system to be modified, destroyed, erased or operation impaired, is guilty of an offence.</t>
        </is>
      </c>
    </row>
    <row r="444">
      <c r="A444" t="inlineStr">
        <is>
          <t>South Africa</t>
        </is>
      </c>
      <c r="B444" t="inlineStr">
        <is>
          <t>FICA (Financial Intelligence Centre Act, 38 of 2001</t>
        </is>
      </c>
      <c r="C444" t="inlineStr">
        <is>
          <t>67</t>
        </is>
      </c>
      <c r="D444" s="8" t="inlineStr">
        <is>
          <t>For the purposes of sections 65 and 66-</t>
        </is>
      </c>
      <c r="E444" t="inlineStr">
        <is>
          <t>18</t>
        </is>
      </c>
      <c r="F444" t="inlineStr">
        <is>
          <t>Definitions</t>
        </is>
      </c>
      <c r="G444" t="inlineStr">
        <is>
          <t>Low</t>
        </is>
      </c>
      <c r="H444" t="inlineStr">
        <is>
          <t>High (explicit)</t>
        </is>
      </c>
      <c r="I444" s="8" t="inlineStr"/>
      <c r="J444" s="8" t="inlineStr">
        <is>
          <t>Financial Data</t>
        </is>
      </c>
      <c r="K444" t="inlineStr"/>
      <c r="L444" s="8" t="inlineStr">
        <is>
          <t>Defines key terms for computer systems and data handling.</t>
        </is>
      </c>
      <c r="M444" s="8" t="inlineStr">
        <is>
          <t>Defines terms like 'access', 'application', 'computer system', and 'data' for compliance purposes.</t>
        </is>
      </c>
      <c r="N444" s="8" t="inlineStr"/>
      <c r="O444" s="8" t="inlineStr">
        <is>
          <t>For the purposes of sections 65 and 66: 'access' means rendering application or data in a form that enables a person to take account of it; 'application' means set of instructions for computer system; 'computer system' means electronic data processing device; 'data' means representation of information capable of being processed in a computer system.</t>
        </is>
      </c>
    </row>
    <row r="445">
      <c r="A445" t="inlineStr">
        <is>
          <t>South Africa</t>
        </is>
      </c>
      <c r="B445" t="inlineStr">
        <is>
          <t>FICA (Financial Intelligence Centre Act, 38 of 2001</t>
        </is>
      </c>
      <c r="C445" t="inlineStr">
        <is>
          <t>68</t>
        </is>
      </c>
      <c r="D445" s="8" t="inlineStr">
        <is>
          <t>(1) A person convicted of an offence mentioned in this Chapter, other than an</t>
        </is>
      </c>
      <c r="E445" t="inlineStr">
        <is>
          <t>18</t>
        </is>
      </c>
      <c r="F445" t="inlineStr">
        <is>
          <t>Enforcement</t>
        </is>
      </c>
      <c r="G445" t="inlineStr">
        <is>
          <t>High</t>
        </is>
      </c>
      <c r="H445" t="inlineStr">
        <is>
          <t>High (explicit)</t>
        </is>
      </c>
      <c r="I445" s="8" t="inlineStr"/>
      <c r="J445" s="8" t="inlineStr">
        <is>
          <t>Financial Data</t>
        </is>
      </c>
      <c r="K445" t="inlineStr">
        <is>
          <t>Centre</t>
        </is>
      </c>
      <c r="L445" s="8" t="inlineStr">
        <is>
          <t>Penalties for offences under this Act, including imprisonment and fines.</t>
        </is>
      </c>
      <c r="M445" s="8" t="inlineStr">
        <is>
          <t>Penalties for non-compliance: imprisonment up to 15 years or fine up to R10 million for most offences; specific penalties for certain offences.</t>
        </is>
      </c>
      <c r="N445" s="8" t="inlineStr">
        <is>
          <t>[Must] liable to imprisonment for a period not exceeding 15 years or fine not exceeding R10,000,000</t>
        </is>
      </c>
      <c r="O445" s="8" t="inlineStr">
        <is>
          <t>A person convicted of an offence mentioned in this Chapter, other than an offence mentioned in subsection (2), is liable to imprisonment for a period not exceeding 15 years or to a fine not exceeding R10,000,000.</t>
        </is>
      </c>
    </row>
    <row r="446">
      <c r="A446" t="inlineStr">
        <is>
          <t>South Africa</t>
        </is>
      </c>
      <c r="B446" t="inlineStr">
        <is>
          <t>FICA (Financial Intelligence Centre Act, 38 of 2001</t>
        </is>
      </c>
      <c r="C446" t="inlineStr">
        <is>
          <t>69</t>
        </is>
      </c>
      <c r="D446" s="8" t="inlineStr">
        <is>
          <t>If a person who is an employee, director or trustee</t>
        </is>
      </c>
      <c r="E446" t="inlineStr">
        <is>
          <t>18–19</t>
        </is>
      </c>
      <c r="F446" t="inlineStr">
        <is>
          <t>Other</t>
        </is>
      </c>
      <c r="G446" t="inlineStr">
        <is>
          <t>Low</t>
        </is>
      </c>
      <c r="H446" t="inlineStr">
        <is>
          <t>High (explicit)</t>
        </is>
      </c>
      <c r="I446" s="8" t="inlineStr"/>
      <c r="J446" s="8" t="inlineStr">
        <is>
          <t>Financial Data</t>
        </is>
      </c>
      <c r="K446" t="inlineStr">
        <is>
          <t>Centre</t>
        </is>
      </c>
      <c r="L446" s="8" t="inlineStr">
        <is>
          <t>Defences for employees, directors, or trustees of accountable institutions charged with offences.</t>
        </is>
      </c>
      <c r="M446" s="8" t="inlineStr">
        <is>
          <t>Defences for employees/directors/trustees: compliance with internal rules, reporting to responsible person, or reporting to superior.</t>
        </is>
      </c>
      <c r="N446" s="8" t="inlineStr">
        <is>
          <t>[Must] had complied with applicable obligations in internal rules relating to reporting of information
[Must] reported the matter to the person charged with responsibility for compliance
[Must] reported the matter to superior if applicable</t>
        </is>
      </c>
      <c r="O446" s="8" t="inlineStr">
        <is>
          <t>If a person who is an employee, director or trustee of an accountable institution is charged with committing an offence under section 52, that person may raise as a defence the fact that he or she had complied with applicable obligations in internal rules relating to reporting of information; or reported the matter to the person charged with responsibility for compliance; or reported the matter to superior if applicable.</t>
        </is>
      </c>
    </row>
    <row r="447">
      <c r="A447" t="inlineStr">
        <is>
          <t>South Africa</t>
        </is>
      </c>
      <c r="B447" t="inlineStr">
        <is>
          <t>FICA (Financial Intelligence Centre Act, 38 of 2001</t>
        </is>
      </c>
      <c r="C447" t="inlineStr">
        <is>
          <t>70</t>
        </is>
      </c>
      <c r="D447" s="8" t="inlineStr">
        <is>
          <t>t(1) A  police official or person authorised by the  Minister  to  receive  a  report  under</t>
        </is>
      </c>
      <c r="E447" t="inlineStr">
        <is>
          <t>19–20</t>
        </is>
      </c>
      <c r="F447" t="inlineStr">
        <is>
          <t>Enforcement</t>
        </is>
      </c>
      <c r="G447" t="inlineStr">
        <is>
          <t>High</t>
        </is>
      </c>
      <c r="H447" t="inlineStr">
        <is>
          <t>High (explicit)</t>
        </is>
      </c>
      <c r="I447" s="8" t="inlineStr"/>
      <c r="J447" s="8" t="inlineStr">
        <is>
          <t>Financial Data</t>
        </is>
      </c>
      <c r="K447" t="inlineStr">
        <is>
          <t>Police</t>
        </is>
      </c>
      <c r="L447" s="8" t="inlineStr">
        <is>
          <t>Search, seizure, and forfeiture of cash related to financial intelligence.</t>
        </is>
      </c>
      <c r="M447" s="8" t="inlineStr">
        <is>
          <t>Procedures for searching, seizing, and forfeiting cash suspected of being involved in money laundering.</t>
        </is>
      </c>
      <c r="N447" s="8" t="inlineStr">
        <is>
          <t>[Must] search any person, container or other thing in which cash is suspected to be found
[Must] seize any cash suspected to be involved in money laundering
[Must] return seized cash to person within 90 days unless specific conditions apply</t>
        </is>
      </c>
      <c r="O447" s="8" t="inlineStr">
        <is>
          <t>A police official or person authorised by the Minister to receive a report under section 30(1), who has reasonable grounds to suspect that an offence under section 54 has been or is about to be committed, may search any person, container or other thing in which cash is suspected to be found.</t>
        </is>
      </c>
    </row>
    <row r="448">
      <c r="A448" t="inlineStr">
        <is>
          <t>South Africa</t>
        </is>
      </c>
      <c r="B448" t="inlineStr">
        <is>
          <t>FICA (Financial Intelligence Centre Act, 38 of 2001</t>
        </is>
      </c>
      <c r="C448" t="inlineStr">
        <is>
          <t>71</t>
        </is>
      </c>
      <c r="D448" s="8" t="inlineStr">
        <is>
          <t>(1) A  regional court has  penal jurisdiction  to  impose any  penalty  mentioned in</t>
        </is>
      </c>
      <c r="E448" t="inlineStr">
        <is>
          <t>20–21</t>
        </is>
      </c>
      <c r="F448" t="inlineStr">
        <is>
          <t>Enforcement</t>
        </is>
      </c>
      <c r="G448" t="inlineStr">
        <is>
          <t>High</t>
        </is>
      </c>
      <c r="H448" t="inlineStr">
        <is>
          <t>High (explicit)</t>
        </is>
      </c>
      <c r="I448" s="8" t="inlineStr"/>
      <c r="J448" s="8" t="inlineStr">
        <is>
          <t>Financial Data</t>
        </is>
      </c>
      <c r="K448" t="inlineStr">
        <is>
          <t>Courts</t>
        </is>
      </c>
      <c r="L448" s="8" t="inlineStr">
        <is>
          <t>Courts have jurisdiction to impose penalties and forfeiture orders.</t>
        </is>
      </c>
      <c r="M448" s="8" t="inlineStr">
        <is>
          <t>Courts have jurisdiction to impose penalties and forfeiture orders even if amounts exceed their jurisdictional limits.</t>
        </is>
      </c>
      <c r="N448" s="8" t="inlineStr">
        <is>
          <t>[Must] regional court has penal jurisdiction to impose penalties mentioned in section 68(1)
[Must] magistrate's court has penal jurisdiction to impose penalties mentioned in section 68(2)
[Must] magistrate's court or regional court has jurisdiction to make forfeiture orders</t>
        </is>
      </c>
      <c r="O448" s="8" t="inlineStr">
        <is>
          <t>A regional court has penal jurisdiction to impose any penalty mentioned in section 68(1), even though that penalty may exceed the penal jurisdiction of that court.</t>
        </is>
      </c>
    </row>
    <row r="449">
      <c r="A449" t="inlineStr">
        <is>
          <t>South Africa</t>
        </is>
      </c>
      <c r="B449" t="inlineStr">
        <is>
          <t>FICA (Financial Intelligence Centre Act, 38 of 2001</t>
        </is>
      </c>
      <c r="C449" t="inlineStr">
        <is>
          <t>71</t>
        </is>
      </c>
      <c r="D449" s="8" t="inlineStr">
        <is>
          <t>(1) The Minister may, after consulting the Council and the Centre, and on</t>
        </is>
      </c>
      <c r="E449" t="inlineStr">
        <is>
          <t>21</t>
        </is>
      </c>
      <c r="F449" t="inlineStr">
        <is>
          <t>Enforcement</t>
        </is>
      </c>
      <c r="G449" t="inlineStr">
        <is>
          <t>High</t>
        </is>
      </c>
      <c r="H449" t="inlineStr">
        <is>
          <t>High (explicit)</t>
        </is>
      </c>
      <c r="I449" s="8" t="inlineStr"/>
      <c r="J449" s="8" t="inlineStr">
        <is>
          <t>Financial Data</t>
        </is>
      </c>
      <c r="K449" t="inlineStr">
        <is>
          <t>Courts</t>
        </is>
      </c>
      <c r="L449" s="8" t="inlineStr">
        <is>
          <t>Courts have jurisdiction to impose penalties and forfeiture orders.</t>
        </is>
      </c>
      <c r="M449" s="8" t="inlineStr">
        <is>
          <t>Courts have jurisdiction to impose penalties and forfeiture orders even if amounts exceed their jurisdictional limits.</t>
        </is>
      </c>
      <c r="N449" s="8" t="inlineStr">
        <is>
          <t>[Must] regional court has penal jurisdiction to impose penalties mentioned in section 68(1)
[Must] magistrate's court has penal jurisdiction to impose penalties mentioned in section 68(2)
[Must] magistrate's court or regional court has jurisdiction to make forfeiture orders</t>
        </is>
      </c>
      <c r="O449" s="8" t="inlineStr">
        <is>
          <t>A regional court has penal jurisdiction to impose any penalty mentioned in section 68(1), even though that penalty may exceed the penal jurisdiction of that court.</t>
        </is>
      </c>
    </row>
    <row r="450">
      <c r="A450" t="inlineStr">
        <is>
          <t>South Africa</t>
        </is>
      </c>
      <c r="B450" t="inlineStr">
        <is>
          <t>FICA (Financial Intelligence Centre Act, 38 of 2001</t>
        </is>
      </c>
      <c r="C450" t="inlineStr">
        <is>
          <t>72</t>
        </is>
      </c>
      <c r="D450" s="8" t="inlineStr">
        <is>
          <t>This Act does not detract from-</t>
        </is>
      </c>
      <c r="E450" t="inlineStr">
        <is>
          <t>21</t>
        </is>
      </c>
      <c r="F450" t="inlineStr">
        <is>
          <t>Exemptions</t>
        </is>
      </c>
      <c r="G450" t="inlineStr">
        <is>
          <t>Low</t>
        </is>
      </c>
      <c r="H450" t="inlineStr">
        <is>
          <t>High (explicit)</t>
        </is>
      </c>
      <c r="I450" s="8" t="inlineStr"/>
      <c r="J450" s="8" t="inlineStr">
        <is>
          <t>Financial Data</t>
        </is>
      </c>
      <c r="K450" t="inlineStr">
        <is>
          <t>Minister</t>
        </is>
      </c>
      <c r="L450" s="8" t="inlineStr">
        <is>
          <t>Amendments to the list of accountable institutions by the Minister.</t>
        </is>
      </c>
      <c r="M450" s="8" t="inlineStr">
        <is>
          <t>Minister may amend list of accountable institutions by Gazette notice after consulting Council and Centre.</t>
        </is>
      </c>
      <c r="N450" s="8" t="inlineStr">
        <is>
          <t>[Must] amend list of accountable institutions in Schedule 1 by notice in Gazette</t>
        </is>
      </c>
      <c r="O450" s="8" t="inlineStr">
        <is>
          <t>The Minister may, by notice in the Gazette, amend the list of accountable institutions in Schedule 1 to add, delete, or make technical changes to the list after consulting Council and Centre.</t>
        </is>
      </c>
    </row>
    <row r="451">
      <c r="A451" t="inlineStr">
        <is>
          <t>South Africa</t>
        </is>
      </c>
      <c r="B451" t="inlineStr">
        <is>
          <t>FICA (Financial Intelligence Centre Act, 38 of 2001</t>
        </is>
      </c>
      <c r="C451" t="inlineStr">
        <is>
          <t>75</t>
        </is>
      </c>
      <c r="D451" s="8" t="inlineStr">
        <is>
          <t>(1) The Minister may, by notice in the Gazette, amend the list of supervisory</t>
        </is>
      </c>
      <c r="E451" t="inlineStr">
        <is>
          <t>21–22</t>
        </is>
      </c>
      <c r="F451" t="inlineStr">
        <is>
          <t>Other</t>
        </is>
      </c>
      <c r="G451" t="inlineStr">
        <is>
          <t>Unknown</t>
        </is>
      </c>
      <c r="H451" t="inlineStr">
        <is>
          <t>Low</t>
        </is>
      </c>
      <c r="I451" s="8" t="inlineStr"/>
      <c r="J451" s="8" t="inlineStr"/>
      <c r="K451" t="inlineStr"/>
      <c r="L451" s="8" t="inlineStr"/>
      <c r="M451" s="8" t="inlineStr"/>
      <c r="N451" s="8" t="inlineStr"/>
      <c r="O451" s="8" t="inlineStr"/>
    </row>
    <row r="452">
      <c r="A452" t="inlineStr">
        <is>
          <t>South Africa</t>
        </is>
      </c>
      <c r="B452" t="inlineStr">
        <is>
          <t>FICA (Financial Intelligence Centre Act, 38 of 2001</t>
        </is>
      </c>
      <c r="C452" t="inlineStr">
        <is>
          <t>76</t>
        </is>
      </c>
      <c r="D452" s="8" t="inlineStr">
        <is>
          <t>(1) The Minister may, by notice in the Gazette, amend the list of reporting</t>
        </is>
      </c>
      <c r="E452" t="inlineStr">
        <is>
          <t>22</t>
        </is>
      </c>
      <c r="F452" t="inlineStr">
        <is>
          <t>Other</t>
        </is>
      </c>
      <c r="G452" t="inlineStr">
        <is>
          <t>High</t>
        </is>
      </c>
      <c r="H452" t="inlineStr">
        <is>
          <t>High (explicit)</t>
        </is>
      </c>
      <c r="I452" s="8" t="inlineStr"/>
      <c r="J452" s="8" t="inlineStr"/>
      <c r="K452" t="inlineStr">
        <is>
          <t>Minister</t>
        </is>
      </c>
      <c r="L452" s="8" t="inlineStr">
        <is>
          <t>Minister may amend reporting institutions list via Gazette notice with conditions for additions/deletions and parliamentary approval.</t>
        </is>
      </c>
      <c r="M452" s="8" t="inlineStr"/>
      <c r="N452" s="8" t="inlineStr">
        <is>
          <t>[Must] Minister may amend list of reporting institutions by adding or deleting persons/categories
[Must] Minister must give 30 days' written notice to affected person for single case
[Must] Minister must give 60 days' written notice to category of persons for group cases
[Must] Amendments must be approved by Parliament before Gazette publication</t>
        </is>
      </c>
      <c r="O452" s="8" t="inlineStr">
        <is>
          <t>76. (1) The Minister may, by notice in the Gazette, amend the list of reporting institutions in Schedule 3</t>
        </is>
      </c>
    </row>
    <row r="453">
      <c r="A453" t="inlineStr">
        <is>
          <t>South Africa</t>
        </is>
      </c>
      <c r="B453" t="inlineStr">
        <is>
          <t>FICA (Financial Intelligence Centre Act, 38 of 2001</t>
        </is>
      </c>
      <c r="C453" t="inlineStr">
        <is>
          <t>77</t>
        </is>
      </c>
      <c r="D453" s="8" t="inlineStr">
        <is>
          <t>(1) The Minister, after consulting  the  Council and the Centre,  may  make,  repeal</t>
        </is>
      </c>
      <c r="E453" t="inlineStr">
        <is>
          <t>22</t>
        </is>
      </c>
      <c r="F453" t="inlineStr">
        <is>
          <t>Other</t>
        </is>
      </c>
      <c r="G453" t="inlineStr">
        <is>
          <t>High</t>
        </is>
      </c>
      <c r="H453" t="inlineStr">
        <is>
          <t>High (explicit)</t>
        </is>
      </c>
      <c r="I453" s="8" t="inlineStr"/>
      <c r="J453" s="8" t="inlineStr"/>
      <c r="K453" t="inlineStr">
        <is>
          <t>Minister</t>
        </is>
      </c>
      <c r="L453" s="8" t="inlineStr">
        <is>
          <t>Minister may make/repeal/amend regulations after consulting Council and Centre, with specific provisions for different institutions and penalties.</t>
        </is>
      </c>
      <c r="M453" s="8" t="inlineStr"/>
      <c r="N453" s="8" t="inlineStr">
        <is>
          <t>[May] Regulations may differ for different institutions or categories
[May] Regulations may be limited to specific institutions or categories
[May] Regulations may prescribe imprisonment up to 6 months or fine up to R100 000 for contraventions
[Must] Regulations must be reviewed by Council within two years of publication
[Must] Regulations must be tabled in Parliament before Gazette publication</t>
        </is>
      </c>
      <c r="O453" s="8" t="inlineStr">
        <is>
          <t>77. (1) The Minister, after consulting the Council and the Centre, may make, repeal and amend regulations concerning any matter</t>
        </is>
      </c>
    </row>
    <row r="454">
      <c r="A454" t="inlineStr">
        <is>
          <t>South Africa</t>
        </is>
      </c>
      <c r="B454" t="inlineStr">
        <is>
          <t>FICA (Financial Intelligence Centre Act, 38 of 2001</t>
        </is>
      </c>
      <c r="C454" t="inlineStr">
        <is>
          <t>78</t>
        </is>
      </c>
      <c r="D454" s="8" t="inlineStr">
        <is>
          <t>The  Minister, the  Centre or  an employee or representative of the Centre,  or  any</t>
        </is>
      </c>
      <c r="E454" t="inlineStr">
        <is>
          <t>22</t>
        </is>
      </c>
      <c r="F454" t="inlineStr">
        <is>
          <t>Other</t>
        </is>
      </c>
      <c r="G454" t="inlineStr">
        <is>
          <t>Low</t>
        </is>
      </c>
      <c r="H454" t="inlineStr">
        <is>
          <t>High (explicit)</t>
        </is>
      </c>
      <c r="I454" s="8" t="inlineStr"/>
      <c r="J454" s="8" t="inlineStr"/>
      <c r="K454" t="inlineStr"/>
      <c r="L454" s="8" t="inlineStr">
        <is>
          <t>Persons performing functions under the Act are not liable for actions taken in good faith.</t>
        </is>
      </c>
      <c r="M454" s="8" t="inlineStr"/>
      <c r="N454" s="8" t="inlineStr">
        <is>
          <t>[Must Not] Persons performing functions under Act are not liable for actions taken in good faith</t>
        </is>
      </c>
      <c r="O454" s="8" t="inlineStr">
        <is>
          <t>78. The Minister, the Centre or an employee or representative of the Centre, or any other person performing a function or exercising a power in terms of this Act, is not liable for anything done in good faith in terms of or in furthering the objectives of this Act.</t>
        </is>
      </c>
    </row>
    <row r="455">
      <c r="A455" t="inlineStr">
        <is>
          <t>South Africa</t>
        </is>
      </c>
      <c r="B455" t="inlineStr">
        <is>
          <t>FICA (Financial Intelligence Centre Act, 38 of 2001</t>
        </is>
      </c>
      <c r="C455" t="inlineStr">
        <is>
          <t>80</t>
        </is>
      </c>
      <c r="D455" s="8" t="inlineStr">
        <is>
          <t>The footnotes in this Act have been  inserted only  for  ease of reference to relevant  25</t>
        </is>
      </c>
      <c r="E455" t="inlineStr">
        <is>
          <t>22–23</t>
        </is>
      </c>
      <c r="F455" t="inlineStr">
        <is>
          <t>Other</t>
        </is>
      </c>
      <c r="G455" t="inlineStr">
        <is>
          <t>None</t>
        </is>
      </c>
      <c r="H455" t="inlineStr">
        <is>
          <t>High (explicit)</t>
        </is>
      </c>
      <c r="I455" s="8" t="inlineStr"/>
      <c r="J455" s="8" t="inlineStr"/>
      <c r="K455" t="inlineStr"/>
      <c r="L455" s="8" t="inlineStr">
        <is>
          <t>Footnotes in the Act are for reference only and do not have legal force.</t>
        </is>
      </c>
      <c r="M455" s="8" t="inlineStr"/>
      <c r="N455" s="8" t="inlineStr"/>
      <c r="O455" s="8" t="inlineStr">
        <is>
          <t>80. The footnotes in this Act have been inserted only for ease of reference to relevant provisions of the Prevention Act. They are not part of this Act. They do not have the force of law.</t>
        </is>
      </c>
    </row>
    <row r="456">
      <c r="A456" t="inlineStr">
        <is>
          <t>South Africa</t>
        </is>
      </c>
      <c r="B456" t="inlineStr">
        <is>
          <t>FICA (Financial Intelligence Centre Act, 38 of 2001</t>
        </is>
      </c>
      <c r="C456" t="inlineStr">
        <is>
          <t>81</t>
        </is>
      </c>
      <c r="D456" s="8" t="inlineStr">
        <is>
          <t>(1) Until the date refened to in section 82(2), the person designated for the</t>
        </is>
      </c>
      <c r="E456" t="inlineStr">
        <is>
          <t>23</t>
        </is>
      </c>
      <c r="F456" t="inlineStr">
        <is>
          <t>Other</t>
        </is>
      </c>
      <c r="G456" t="inlineStr">
        <is>
          <t>Low</t>
        </is>
      </c>
      <c r="H456" t="inlineStr">
        <is>
          <t>High (explicit)</t>
        </is>
      </c>
      <c r="I456" s="8" t="inlineStr"/>
      <c r="J456" s="8" t="inlineStr"/>
      <c r="K456" t="inlineStr"/>
      <c r="L456" s="8" t="inlineStr">
        <is>
          <t>Designated persons continue to hold office until section 82(2) date, with transitional provisions for pending cases.</t>
        </is>
      </c>
      <c r="M456" s="8" t="inlineStr"/>
      <c r="N456" s="8" t="inlineStr">
        <is>
          <t>[Must] Designated persons continue to hold office as if Act had not been passed
[Must] Pending proceedings under Prevention Act must be dealt with as if Act had not been passed</t>
        </is>
      </c>
      <c r="O456" s="8" t="inlineStr">
        <is>
          <t>81. (1) Until the date referred to in section 82(2), the person designated for the purposes of section 7 of the Prevention Act will be deemed to have been duly designated and will continue to hold office as if this Act had not been passed.</t>
        </is>
      </c>
    </row>
    <row r="457">
      <c r="A457" t="inlineStr">
        <is>
          <t>South Africa</t>
        </is>
      </c>
      <c r="B457" t="inlineStr">
        <is>
          <t>FICA (Financial Intelligence Centre Act, 38 of 2001</t>
        </is>
      </c>
      <c r="C457" t="inlineStr">
        <is>
          <t>82</t>
        </is>
      </c>
      <c r="D457" s="8" t="inlineStr">
        <is>
          <t>(1) This Act is called the Financial Intelligence  Centre  Act, 2001, and  takes effect</t>
        </is>
      </c>
      <c r="E457" t="inlineStr">
        <is>
          <t>23</t>
        </is>
      </c>
      <c r="F457" t="inlineStr">
        <is>
          <t>Other</t>
        </is>
      </c>
      <c r="G457" t="inlineStr">
        <is>
          <t>Low</t>
        </is>
      </c>
      <c r="H457" t="inlineStr">
        <is>
          <t>High (explicit)</t>
        </is>
      </c>
      <c r="I457" s="8" t="inlineStr"/>
      <c r="J457" s="8" t="inlineStr"/>
      <c r="K457" t="inlineStr">
        <is>
          <t>President</t>
        </is>
      </c>
      <c r="L457" s="8" t="inlineStr">
        <is>
          <t>Act takes effect on date fixed by President, with specific transitional provisions for sections.</t>
        </is>
      </c>
      <c r="M457" s="8" t="inlineStr"/>
      <c r="N457" s="8" t="inlineStr">
        <is>
          <t>[Must] Act takes effect on date fixed by President by proclamation
[Must] Section 79 does not take effect before section 29 takes effect
[Must] Section 21(2) takes effect one year after section 21(1) takes effect</t>
        </is>
      </c>
      <c r="O457" s="8" t="inlineStr">
        <is>
          <t>82. (1) This Act is called the Financial Intelligence Centre Act, 2001, and takes effect on a date fixed by the President by proclamation in the Gazette.</t>
        </is>
      </c>
    </row>
    <row r="458">
      <c r="A458" t="inlineStr">
        <is>
          <t>South Africa</t>
        </is>
      </c>
      <c r="B458" t="inlineStr">
        <is>
          <t>FICA (Financial Intelligence Centre Act, 38 of 2001</t>
        </is>
      </c>
      <c r="C458" t="inlineStr">
        <is>
          <t>161</t>
        </is>
      </c>
      <c r="D458" s="8" t="inlineStr">
        <is>
          <t>An  accountable institution that fails to-</t>
        </is>
      </c>
      <c r="E458" t="inlineStr">
        <is>
          <t>17</t>
        </is>
      </c>
      <c r="F458" t="inlineStr">
        <is>
          <t>Enforcement</t>
        </is>
      </c>
      <c r="G458" t="inlineStr">
        <is>
          <t>High</t>
        </is>
      </c>
      <c r="H458" t="inlineStr">
        <is>
          <t>High (explicit)</t>
        </is>
      </c>
      <c r="I458" s="8" t="inlineStr"/>
      <c r="J458" s="8" t="inlineStr">
        <is>
          <t>Financial Data</t>
        </is>
      </c>
      <c r="K458" t="inlineStr">
        <is>
          <t>Centre</t>
        </is>
      </c>
      <c r="L458" s="8" t="inlineStr">
        <is>
          <t>Accountable institutions failing to implement internal rules are guilty of an offence.</t>
        </is>
      </c>
      <c r="M458" s="8" t="inlineStr">
        <is>
          <t>Offence for failing to formulate and implement internal rules; requires adherence to internal rules for compliance.</t>
        </is>
      </c>
      <c r="N458" s="8" t="inlineStr">
        <is>
          <t>[Must] formulate and implement internal rules in accordance with section 42(1)
[Must] make internal rules available to employees in accordance with section 42(3)
[Must] make a copy of internal rules available to Centre or supervisory body in accordance with section 42(4)</t>
        </is>
      </c>
      <c r="O458" s="8" t="inlineStr">
        <is>
          <t>An accountable institution that fails to formulate and implement internal rules in accordance with section 42(1) and make internal rules available to employees in accordance with section 42(3); or make a copy of internal rules available to Centre or supervisory body in accordance with section 42(4), is guilty of an offence.</t>
        </is>
      </c>
    </row>
    <row r="459">
      <c r="A459" t="inlineStr">
        <is>
          <t>South Africa</t>
        </is>
      </c>
      <c r="B459" t="inlineStr">
        <is>
          <t>FICA (Financial Intelligence Centre Act, 38 of 2001</t>
        </is>
      </c>
      <c r="C459" t="inlineStr">
        <is>
          <t>391</t>
        </is>
      </c>
      <c r="D459" s="8" t="inlineStr">
        <is>
          <t>A certificate issued by an official  of the  Centre that information specified in the</t>
        </is>
      </c>
      <c r="E459" t="inlineStr">
        <is>
          <t>13</t>
        </is>
      </c>
      <c r="F459" t="inlineStr">
        <is>
          <t>Incident Reporting</t>
        </is>
      </c>
      <c r="G459" t="inlineStr">
        <is>
          <t>High</t>
        </is>
      </c>
      <c r="H459" t="inlineStr">
        <is>
          <t>High (explicit)</t>
        </is>
      </c>
      <c r="I459" s="8" t="inlineStr">
        <is>
          <t>Incident Reporting, Breach Notification</t>
        </is>
      </c>
      <c r="J459" s="8" t="inlineStr">
        <is>
          <t>Financial Data</t>
        </is>
      </c>
      <c r="K459" t="inlineStr">
        <is>
          <t>Financial Intelligence Centre (Centre)</t>
        </is>
      </c>
      <c r="L459" s="8" t="inlineStr">
        <is>
          <t>Certificate from Centre is admissible as evidence in court for reported money laundering transactions.</t>
        </is>
      </c>
      <c r="M459" s="8" t="inlineStr">
        <is>
          <t>Centre's certificates for reported transactions are admissible evidence in legal proceedings.</t>
        </is>
      </c>
      <c r="N459" s="8" t="inlineStr">
        <is>
          <t>[Must] Certificate issued by Centre that information was reported or sent to Centre in terms of sections 28, 29, 30(2) or 31 is admissible as evidence in court</t>
        </is>
      </c>
      <c r="O459" s="8" t="inlineStr">
        <is>
          <t>391. A certificate issued by an official of the Centre that information specified in the certificate was reported or sent to the Centre in terms of section 28, 29, 30(2) or 31 is, subject to section 38(3), on its mere production in a matter before a court admissible as evidence...</t>
        </is>
      </c>
    </row>
    <row r="460">
      <c r="A460" t="inlineStr">
        <is>
          <t>South Africa</t>
        </is>
      </c>
      <c r="B460" t="inlineStr">
        <is>
          <t>FICA (Financial Intelligence Centre Act, 38 of 2001</t>
        </is>
      </c>
      <c r="C460" t="inlineStr">
        <is>
          <t>615</t>
        </is>
      </c>
      <c r="D460" s="8" t="inlineStr">
        <is>
          <t>(1) Any person  who,  without authority to do so, wilfully  accesses  or causes any 35</t>
        </is>
      </c>
      <c r="E460" t="inlineStr">
        <is>
          <t>17–18</t>
        </is>
      </c>
      <c r="F460" t="inlineStr">
        <is>
          <t>Enforcement</t>
        </is>
      </c>
      <c r="G460" t="inlineStr">
        <is>
          <t>High</t>
        </is>
      </c>
      <c r="H460" t="inlineStr">
        <is>
          <t>High (explicit)</t>
        </is>
      </c>
      <c r="I460" s="8" t="inlineStr"/>
      <c r="J460" s="8" t="inlineStr">
        <is>
          <t>Financial Data</t>
        </is>
      </c>
      <c r="K460" t="inlineStr">
        <is>
          <t>Centre</t>
        </is>
      </c>
      <c r="L460" s="8" t="inlineStr">
        <is>
          <t>Unauthorised access to Centre's computer systems is an offence.</t>
        </is>
      </c>
      <c r="M460" s="8" t="inlineStr">
        <is>
          <t>Offence for unauthorised access to Centre's computer systems; requires adherence to access controls.</t>
        </is>
      </c>
      <c r="N460" s="8" t="inlineStr">
        <is>
          <t>[Must Not] without authority to do so, wilfully accesses or causes any person to access Centre's computer system</t>
        </is>
      </c>
      <c r="O460" s="8" t="inlineStr">
        <is>
          <t>Any person who, without authority to do so, wilfully accesses or causes any other person to access Centre's computer system, is guilty of an offence.</t>
        </is>
      </c>
    </row>
    <row r="461">
      <c r="A461" t="inlineStr">
        <is>
          <t>South Africa</t>
        </is>
      </c>
      <c r="B461" t="inlineStr">
        <is>
          <t>Financial Advisory and Intermediary Services Act (FAIS) 37 of 2002</t>
        </is>
      </c>
      <c r="C461" t="inlineStr">
        <is>
          <t>1</t>
        </is>
      </c>
      <c r="D461" s="8" t="inlineStr">
        <is>
          <t>(1) In this  Act,  unless the context  indicates otherwise-</t>
        </is>
      </c>
      <c r="E461" t="inlineStr">
        <is>
          <t>4–7</t>
        </is>
      </c>
      <c r="F461" t="inlineStr">
        <is>
          <t>Definitions</t>
        </is>
      </c>
      <c r="G461" t="inlineStr">
        <is>
          <t>High</t>
        </is>
      </c>
      <c r="H461" t="inlineStr">
        <is>
          <t>High (explicit)</t>
        </is>
      </c>
      <c r="I461" s="8" t="inlineStr"/>
      <c r="J461" s="8" t="inlineStr">
        <is>
          <t>Financial Data</t>
        </is>
      </c>
      <c r="K461" t="inlineStr"/>
      <c r="L461" s="8" t="inlineStr">
        <is>
          <t>Defines key terms including 'advice', 'financial product', 'financial services provider', and related concepts for regulatory purposes.</t>
        </is>
      </c>
      <c r="M461" s="8" t="inlineStr"/>
      <c r="N461" s="8" t="inlineStr">
        <is>
          <t>[Must] In this Act, unless the context indicates otherwise</t>
        </is>
      </c>
      <c r="O461" s="8" t="inlineStr">
        <is>
          <t>1. (1) In this Act, unless the context indicates otherwise-</t>
        </is>
      </c>
    </row>
    <row r="462">
      <c r="A462" t="inlineStr">
        <is>
          <t>South Africa</t>
        </is>
      </c>
      <c r="B462" t="inlineStr">
        <is>
          <t>Financial Advisory and Intermediary Services Act (FAIS) 37 of 2002</t>
        </is>
      </c>
      <c r="C462" t="inlineStr">
        <is>
          <t>1</t>
        </is>
      </c>
      <c r="D462" s="8" t="inlineStr">
        <is>
          <t>The amendment of section 4</t>
        </is>
      </c>
      <c r="E462" t="inlineStr">
        <is>
          <t>30</t>
        </is>
      </c>
      <c r="F462" t="inlineStr">
        <is>
          <t>Other</t>
        </is>
      </c>
      <c r="G462" t="inlineStr">
        <is>
          <t>High</t>
        </is>
      </c>
      <c r="H462" t="inlineStr">
        <is>
          <t>High (explicit)</t>
        </is>
      </c>
      <c r="I462" s="8" t="inlineStr">
        <is>
          <t>Financial Data</t>
        </is>
      </c>
      <c r="J462" s="8" t="inlineStr">
        <is>
          <t>Financial Data</t>
        </is>
      </c>
      <c r="K462" t="inlineStr"/>
      <c r="L462" s="8" t="inlineStr">
        <is>
          <t>Amends section 10 by substituting paragraphs for stock-brokers and financial instrument traders.</t>
        </is>
      </c>
      <c r="M462" s="8" t="inlineStr"/>
      <c r="N462" s="8" t="inlineStr">
        <is>
          <t>[Must] any stock-broker as defined in section 1 of the Stock Exchanges Control Act, 1985 [or any person contemplated in paragraph (d), (e) or (f) of section 4(1) of that Act]
[Must] any financial instrument trader as defined in section 1 of the Financial Markets Control Act, 1989 [or any person contemplated in paragraph (n), (w) or (h) of section 5(1) of that Act]</t>
        </is>
      </c>
      <c r="O462" s="8" t="inlineStr">
        <is>
          <t>1. The amendment of section 10 by the substitution in subsection (3) for paragraphs (a) and (b) of the following paragraphs: "(a) any stock-broker as defined in section 1 of the Stock Exchanges Control Act, 1985 [or any person contemplated in paragraph (d), (e) or (f) of section 4(1) of that Act]; or (b) any financial instrument trader as defined in section 1 of the Financial Markets Control Act, 1989 (Act 5 of 1989) [or any person contemplated in paragraph (n), (w) or (h) of section 5(1) of that Act]."</t>
        </is>
      </c>
    </row>
    <row r="463">
      <c r="A463" t="inlineStr">
        <is>
          <t>South Africa</t>
        </is>
      </c>
      <c r="B463" t="inlineStr">
        <is>
          <t>Financial Advisory and Intermediary Services Act (FAIS) 37 of 2002</t>
        </is>
      </c>
      <c r="C463" t="inlineStr">
        <is>
          <t>1</t>
        </is>
      </c>
      <c r="D463" s="8" t="inlineStr">
        <is>
          <t>The  amendment of section 5-</t>
        </is>
      </c>
      <c r="E463" t="inlineStr">
        <is>
          <t>33</t>
        </is>
      </c>
      <c r="F463" t="inlineStr">
        <is>
          <t>Other</t>
        </is>
      </c>
      <c r="G463" t="inlineStr">
        <is>
          <t>High</t>
        </is>
      </c>
      <c r="H463" t="inlineStr">
        <is>
          <t>High (explicit)</t>
        </is>
      </c>
      <c r="I463" s="8" t="inlineStr">
        <is>
          <t>Financial Data</t>
        </is>
      </c>
      <c r="J463" s="8" t="inlineStr">
        <is>
          <t>Financial Data</t>
        </is>
      </c>
      <c r="K463" t="inlineStr"/>
      <c r="L463" s="8" t="inlineStr">
        <is>
          <t>Amends section 10 by substituting paragraphs for stock-brokers and financial instrument traders.</t>
        </is>
      </c>
      <c r="M463" s="8" t="inlineStr"/>
      <c r="N463" s="8" t="inlineStr">
        <is>
          <t>[Must] any stock-broker as defined in section 1 of the Stock Exchanges Control Act, 1985 [or any person contemplated in paragraph (d), (e) or (f) of section 4(1) of that Act]
[Must] any financial instrument trader as defined in section 1 of the Financial Markets Control Act, 1989 [or any person contemplated in paragraph (n), (w) or (h) of section 5(1) of that Act]</t>
        </is>
      </c>
      <c r="O463" s="8" t="inlineStr">
        <is>
          <t>1. The amendment of section 10 by the substitution in subsection (3) for paragraphs (a) and (b) of the following paragraphs: "(a) any stock-broker as defined in section 1 of the Stock Exchanges Control Act, 1985 [or any person contemplated in paragraph (d), (e) or (f) of section 4(1) of that Act]; or (b) any financial instrument trader as defined in section 1 of the Financial Markets Control Act, 1989 (Act 5 of 1989) [or any person contemplated in paragraph (n), (w) or (h) of section 5(1) of that Act]."</t>
        </is>
      </c>
    </row>
    <row r="464">
      <c r="A464" t="inlineStr">
        <is>
          <t>South Africa</t>
        </is>
      </c>
      <c r="B464" t="inlineStr">
        <is>
          <t>Financial Advisory and Intermediary Services Act (FAIS) 37 of 2002</t>
        </is>
      </c>
      <c r="C464" t="inlineStr">
        <is>
          <t>1</t>
        </is>
      </c>
      <c r="D464" s="8" t="inlineStr">
        <is>
          <t>The amendment of section 10</t>
        </is>
      </c>
      <c r="E464" t="inlineStr">
        <is>
          <t>37</t>
        </is>
      </c>
      <c r="F464" t="inlineStr">
        <is>
          <t>Other</t>
        </is>
      </c>
      <c r="G464" t="inlineStr">
        <is>
          <t>High</t>
        </is>
      </c>
      <c r="H464" t="inlineStr">
        <is>
          <t>High (explicit)</t>
        </is>
      </c>
      <c r="I464" s="8" t="inlineStr">
        <is>
          <t>Financial Data</t>
        </is>
      </c>
      <c r="J464" s="8" t="inlineStr">
        <is>
          <t>Financial Data</t>
        </is>
      </c>
      <c r="K464" t="inlineStr"/>
      <c r="L464" s="8" t="inlineStr">
        <is>
          <t>Amends section 10 by substituting paragraphs for stock-brokers and financial instrument traders.</t>
        </is>
      </c>
      <c r="M464" s="8" t="inlineStr"/>
      <c r="N464" s="8" t="inlineStr">
        <is>
          <t>[Must] any stock-broker as defined in section 1 of the Stock Exchanges Control Act, 1985 [or any person contemplated in paragraph (d), (e) or (f) of section 4(1) of that Act]
[Must] any financial instrument trader as defined in section 1 of the Financial Markets Control Act, 1989 [or any person contemplated in paragraph (n), (w) or (h) of section 5(1) of that Act]</t>
        </is>
      </c>
      <c r="O464" s="8" t="inlineStr">
        <is>
          <t>1. The amendment of section 10 by the substitution in subsection (3) for paragraphs (a) and (b) of the following paragraphs: "(a) any stock-broker as defined in section 1 of the Stock Exchanges Control Act, 1985 [or any person contemplated in paragraph (d), (e) or (f) of section 4(1) of that Act]; or (b) any financial instrument trader as defined in section 1 of the Financial Markets Control Act, 1989 (Act 5 of 1989) [or any person contemplated in paragraph (n), (w) or (h) of section 5(1) of that Act]."</t>
        </is>
      </c>
    </row>
    <row r="465">
      <c r="A465" t="inlineStr">
        <is>
          <t>South Africa</t>
        </is>
      </c>
      <c r="B465" t="inlineStr">
        <is>
          <t>Financial Advisory and Intermediary Services Act (FAIS) 37 of 2002</t>
        </is>
      </c>
      <c r="C465" t="inlineStr">
        <is>
          <t>2</t>
        </is>
      </c>
      <c r="D465" s="8" t="inlineStr">
        <is>
          <t>The executive  officer  and  deputy executive officer of the  Board  are  respectively  the</t>
        </is>
      </c>
      <c r="E465" t="inlineStr">
        <is>
          <t>7–8</t>
        </is>
      </c>
      <c r="F465" t="inlineStr">
        <is>
          <t>Definitions</t>
        </is>
      </c>
      <c r="G465" t="inlineStr">
        <is>
          <t>High</t>
        </is>
      </c>
      <c r="H465" t="inlineStr">
        <is>
          <t>High (explicit)</t>
        </is>
      </c>
      <c r="I465" s="8" t="inlineStr"/>
      <c r="J465" s="8" t="inlineStr"/>
      <c r="K465" t="inlineStr"/>
      <c r="L465" s="8" t="inlineStr">
        <is>
          <t>Designates the registrar and deputy registrar as the executive and deputy executive officers of the Board.</t>
        </is>
      </c>
      <c r="M465" s="8" t="inlineStr"/>
      <c r="N465" s="8" t="inlineStr">
        <is>
          <t>[Must] The executive officer and deputy executive officer of the Board are respectively the registrar and deputy registrar of financial services providers</t>
        </is>
      </c>
      <c r="O465" s="8" t="inlineStr">
        <is>
          <t>2. The executive officer and deputy executive officer of the Board are respectively the registrar and deputy registrar of financial services providers</t>
        </is>
      </c>
    </row>
    <row r="466">
      <c r="A466" t="inlineStr">
        <is>
          <t>South Africa</t>
        </is>
      </c>
      <c r="B466" t="inlineStr">
        <is>
          <t>Financial Advisory and Intermediary Services Act (FAIS) 37 of 2002</t>
        </is>
      </c>
      <c r="C466" t="inlineStr">
        <is>
          <t>2</t>
        </is>
      </c>
      <c r="D466" s="8" t="inlineStr">
        <is>
          <t>The amendment of section 12</t>
        </is>
      </c>
      <c r="E466" t="inlineStr">
        <is>
          <t>30–31</t>
        </is>
      </c>
      <c r="F466" t="inlineStr">
        <is>
          <t>Other</t>
        </is>
      </c>
      <c r="G466" t="inlineStr">
        <is>
          <t>High</t>
        </is>
      </c>
      <c r="H466" t="inlineStr">
        <is>
          <t>High (explicit)</t>
        </is>
      </c>
      <c r="I466" s="8" t="inlineStr">
        <is>
          <t>Financial Data</t>
        </is>
      </c>
      <c r="J466" s="8" t="inlineStr">
        <is>
          <t>Financial Data</t>
        </is>
      </c>
      <c r="K466" t="inlineStr"/>
      <c r="L466" s="8" t="inlineStr">
        <is>
          <t>Amends section 12 by substituting a paragraph that members must carry on business in accordance with rules and may not effect transactions with persons requiring authorization without verification.</t>
        </is>
      </c>
      <c r="M466" s="8" t="inlineStr"/>
      <c r="N466" s="8" t="inlineStr">
        <is>
          <t>[Must] a member carries on a business contemplated in section 4(1) in accordance with the provisions of the rules
[Must Not] a member may not effect a transaction with a person whom the member reasonably believes requires authorisation as a financial services provider or the status of a representative in terms of the Financial Advisory and Intermediary Services Act, 2001, without having taken reasonable measures to ascertain that such person has the required authorisation or status</t>
        </is>
      </c>
      <c r="O466" s="8" t="inlineStr">
        <is>
          <t>2. The amendment of section 12 by the substitution for paragraph (d) of subsection (1) of the following paragraph: "(d) that a member carries on a business contemplated in section 4(1) in accordance with the provisions of the rules; and a member may not effect a transaction with a person whom the member reasonably believes requires authorisation as a financial services provider or the status of a representative in terms of the Financial Advisory and Intermediary Services Act, 2001, without having taken reasonable measures to ascertain that such person has the required authorisation or status."</t>
        </is>
      </c>
    </row>
    <row r="467">
      <c r="A467" t="inlineStr">
        <is>
          <t>South Africa</t>
        </is>
      </c>
      <c r="B467" t="inlineStr">
        <is>
          <t>Financial Advisory and Intermediary Services Act (FAIS) 37 of 2002</t>
        </is>
      </c>
      <c r="C467" t="inlineStr">
        <is>
          <t>2</t>
        </is>
      </c>
      <c r="D467" s="8" t="inlineStr">
        <is>
          <t>The amendment of sectior</t>
        </is>
      </c>
      <c r="E467" t="inlineStr">
        <is>
          <t>33</t>
        </is>
      </c>
      <c r="F467" t="inlineStr">
        <is>
          <t>Other</t>
        </is>
      </c>
      <c r="G467" t="inlineStr">
        <is>
          <t>High</t>
        </is>
      </c>
      <c r="H467" t="inlineStr">
        <is>
          <t>High (explicit)</t>
        </is>
      </c>
      <c r="I467" s="8" t="inlineStr">
        <is>
          <t>Financial Data</t>
        </is>
      </c>
      <c r="J467" s="8" t="inlineStr">
        <is>
          <t>Financial Data</t>
        </is>
      </c>
      <c r="K467" t="inlineStr"/>
      <c r="L467" s="8" t="inlineStr">
        <is>
          <t>Amends section 12 by substituting a paragraph that members must carry on business in accordance with rules and may not effect transactions with persons requiring authorization without verification.</t>
        </is>
      </c>
      <c r="M467" s="8" t="inlineStr"/>
      <c r="N467" s="8" t="inlineStr">
        <is>
          <t>[Must] a member carries on a business contemplated in section 4(1) in accordance with the provisions of the rules
[Must Not] a member may not effect a transaction with a person whom the member reasonably believes requires authorisation as a financial services provider or the status of a representative in terms of the Financial Advisory and Intermediary Services Act, 2001, without having taken reasonable measures to ascertain that such person has the required authorisation or status</t>
        </is>
      </c>
      <c r="O467" s="8" t="inlineStr">
        <is>
          <t>2. The amendment of section 12 by the substitution for paragraph (d) of subsection (1) of the following paragraph: "(d) that a member carries on a business contemplated in section 4(1) in accordance with the provisions of the rules; and a member may not effect a transaction with a person whom the member reasonably believes requires authorisation as a financial services provider or the status of a representative in terms of the Financial Advisory and Intermediary Services Act, 2001, without having taken reasonable measures to ascertain that such person has the required authorisation or status."</t>
        </is>
      </c>
    </row>
    <row r="468">
      <c r="A468" t="inlineStr">
        <is>
          <t>South Africa</t>
        </is>
      </c>
      <c r="B468" t="inlineStr">
        <is>
          <t>Financial Advisory and Intermediary Services Act (FAIS) 37 of 2002</t>
        </is>
      </c>
      <c r="C468" t="inlineStr">
        <is>
          <t>3</t>
        </is>
      </c>
      <c r="D468" s="8" t="inlineStr">
        <is>
          <t>The  amendment  of section 211</t>
        </is>
      </c>
      <c r="E468" t="inlineStr">
        <is>
          <t>33–34</t>
        </is>
      </c>
      <c r="F468" t="inlineStr">
        <is>
          <t>Other</t>
        </is>
      </c>
      <c r="G468" t="inlineStr">
        <is>
          <t>Unknown</t>
        </is>
      </c>
      <c r="H468" t="inlineStr">
        <is>
          <t>Low</t>
        </is>
      </c>
      <c r="I468" s="8" t="inlineStr"/>
      <c r="J468" s="8" t="inlineStr"/>
      <c r="K468" t="inlineStr"/>
      <c r="L468" s="8" t="inlineStr"/>
      <c r="M468" s="8" t="inlineStr"/>
      <c r="N468" s="8" t="inlineStr"/>
      <c r="O468" s="8" t="inlineStr"/>
    </row>
    <row r="469">
      <c r="A469" t="inlineStr">
        <is>
          <t>South Africa</t>
        </is>
      </c>
      <c r="B469" t="inlineStr">
        <is>
          <t>Financial Advisory and Intermediary Services Act (FAIS) 37 of 2002</t>
        </is>
      </c>
      <c r="C469" t="inlineStr">
        <is>
          <t>4</t>
        </is>
      </c>
      <c r="D469" s="8" t="inlineStr">
        <is>
          <t>(1) When anything is required or permitted to be done by the registrar in terms of</t>
        </is>
      </c>
      <c r="E469" t="inlineStr">
        <is>
          <t>8–9</t>
        </is>
      </c>
      <c r="F469" t="inlineStr">
        <is>
          <t>Cross-border Transfer</t>
        </is>
      </c>
      <c r="G469" t="inlineStr">
        <is>
          <t>High</t>
        </is>
      </c>
      <c r="H469" t="inlineStr">
        <is>
          <t>High (explicit)</t>
        </is>
      </c>
      <c r="I469" s="8" t="inlineStr"/>
      <c r="J469" s="8" t="inlineStr"/>
      <c r="K469" t="inlineStr">
        <is>
          <t>Registrar</t>
        </is>
      </c>
      <c r="L469" s="8" t="inlineStr">
        <is>
          <t>Regulates registrar's powers to extend periods, direct information furnishing, and handle misleading publications.</t>
        </is>
      </c>
      <c r="M469" s="8" t="inlineStr"/>
      <c r="N469" s="8" t="inlineStr">
        <is>
          <t>[Must] When anything is required or permitted to be done by the registrar within a particular period, the registrar may extend it for any sufficient cause
[Must] The registrar may direct an authorised financial services provider or representative to furnish specified information or documents
[Must] If any advertisement, brochure or similar document is misleading, the registrar may direct cessation of publication or changes
[Must] If a person is contravening or failing to comply with the Act, the registrar may direct furnishing information, appearing before the registrar, or making arrangements for obligations
[Must] If significant prejudice or damage to clients has occurred, the registrar may apply to a Court for an order restraining business
[Must] If prejudice or damage may have occurred to a client, the registrar may refer the matter to the Office</t>
        </is>
      </c>
      <c r="O469" s="8" t="inlineStr">
        <is>
          <t>4. (1) When anything is required or permitted to be done by the registrar in terms of this Act within a particular period, the registrar may on application or on own initiative before the expiry of that period, extend it for any sufficient cause.</t>
        </is>
      </c>
    </row>
    <row r="470">
      <c r="A470" t="inlineStr">
        <is>
          <t>South Africa</t>
        </is>
      </c>
      <c r="B470" t="inlineStr">
        <is>
          <t>Financial Advisory and Intermediary Services Act (FAIS) 37 of 2002</t>
        </is>
      </c>
      <c r="C470" t="inlineStr">
        <is>
          <t>4</t>
        </is>
      </c>
      <c r="D470" s="8" t="inlineStr">
        <is>
          <t>The  amendment</t>
        </is>
      </c>
      <c r="E470" t="inlineStr">
        <is>
          <t>31</t>
        </is>
      </c>
      <c r="F470" t="inlineStr">
        <is>
          <t>Other</t>
        </is>
      </c>
      <c r="G470" t="inlineStr">
        <is>
          <t>High</t>
        </is>
      </c>
      <c r="H470" t="inlineStr">
        <is>
          <t>High (explicit)</t>
        </is>
      </c>
      <c r="I470" s="8" t="inlineStr">
        <is>
          <t>Financial Data</t>
        </is>
      </c>
      <c r="J470" s="8" t="inlineStr">
        <is>
          <t>Financial Data</t>
        </is>
      </c>
      <c r="K470" t="inlineStr"/>
      <c r="L470" s="8" t="inlineStr">
        <is>
          <t>Amends section 45 by deleting specific subparagraphs and substituting wording related to financial exchanges and members.</t>
        </is>
      </c>
      <c r="M470" s="8" t="inlineStr"/>
      <c r="N470" s="8" t="inlineStr">
        <is>
          <t>[Must] but who is carrying on the business of a stock exchange or of a member [or of a person requiring approval in terms of section 41 as the case may be]</t>
        </is>
      </c>
      <c r="O470" s="8" t="inlineStr">
        <is>
          <t>4. The amendment of section 45 by the deletion of subparagraph (iii) of paragraph (a) of subsection (1); by the deletion of the word "or" at the end of subparagraph (ii) of paragraph (b) of subsection (1), and of subparagraph (iii) of the said paragraph (b); and by the substitution for the words following on subparagraph (iii) of paragraph (b) of subsection (1) of the following words: "but who is carrying on the business of a stock exchange or of a member [or of a person requiring approval in terms of section 41 as the case may be; and".</t>
        </is>
      </c>
    </row>
    <row r="471">
      <c r="A471" t="inlineStr">
        <is>
          <t>South Africa</t>
        </is>
      </c>
      <c r="B471" t="inlineStr">
        <is>
          <t>Financial Advisory and Intermediary Services Act (FAIS) 37 of 2002</t>
        </is>
      </c>
      <c r="C471" t="inlineStr">
        <is>
          <t>4</t>
        </is>
      </c>
      <c r="D471" s="8" t="inlineStr">
        <is>
          <t>The amendment of section</t>
        </is>
      </c>
      <c r="E471" t="inlineStr">
        <is>
          <t>34</t>
        </is>
      </c>
      <c r="F471" t="inlineStr">
        <is>
          <t>Other</t>
        </is>
      </c>
      <c r="G471" t="inlineStr">
        <is>
          <t>High</t>
        </is>
      </c>
      <c r="H471" t="inlineStr">
        <is>
          <t>High (explicit)</t>
        </is>
      </c>
      <c r="I471" s="8" t="inlineStr">
        <is>
          <t>Financial Data</t>
        </is>
      </c>
      <c r="J471" s="8" t="inlineStr">
        <is>
          <t>Financial Data</t>
        </is>
      </c>
      <c r="K471" t="inlineStr"/>
      <c r="L471" s="8" t="inlineStr">
        <is>
          <t>Amends section 45 by deleting specific subparagraphs and substituting wording related to financial exchanges and members.</t>
        </is>
      </c>
      <c r="M471" s="8" t="inlineStr"/>
      <c r="N471" s="8" t="inlineStr">
        <is>
          <t>[Must] but who is carrying on the business of a stock exchange or of a member [or of a person requiring approval in terms of section 41 as the case may be]</t>
        </is>
      </c>
      <c r="O471" s="8" t="inlineStr">
        <is>
          <t>4. The amendment of section 45 by the deletion of subparagraph (iii) of paragraph (a) of subsection (1); by the deletion of the word "or" at the end of subparagraph (ii) of paragraph (b) of subsection (1), and of subparagraph (iii) of the said paragraph (b); and by the substitution for the words following on subparagraph (iii) of paragraph (b) of subsection (1) of the following words: "but who is carrying on the business of a stock exchange or of a member [or of a person requiring approval in terms of section 41 as the case may be; and".</t>
        </is>
      </c>
    </row>
    <row r="472">
      <c r="A472" t="inlineStr">
        <is>
          <t>South Africa</t>
        </is>
      </c>
      <c r="B472" t="inlineStr">
        <is>
          <t>Financial Advisory and Intermediary Services Act (FAIS) 37 of 2002</t>
        </is>
      </c>
      <c r="C472" t="inlineStr">
        <is>
          <t>5</t>
        </is>
      </c>
      <c r="D472" s="8" t="inlineStr">
        <is>
          <t>( 1 ) There is an Advisory Committee  on Financial  Services  Providers which may on</t>
        </is>
      </c>
      <c r="E472" t="inlineStr">
        <is>
          <t>9</t>
        </is>
      </c>
      <c r="F472" t="inlineStr">
        <is>
          <t>Other</t>
        </is>
      </c>
      <c r="G472" t="inlineStr">
        <is>
          <t>Low</t>
        </is>
      </c>
      <c r="H472" t="inlineStr">
        <is>
          <t>High (explicit)</t>
        </is>
      </c>
      <c r="I472" s="8" t="inlineStr"/>
      <c r="J472" s="8" t="inlineStr"/>
      <c r="K472" t="inlineStr">
        <is>
          <t>Minister</t>
        </is>
      </c>
      <c r="L472" s="8" t="inlineStr">
        <is>
          <t>Advisory Committee on Financial Services Providers may investigate and report on matters relating to financial services providers, consisting of chairperson, members including medical schemes representative, product suppliers, providers, and clients. Members appointed by Minister after consultation with Board.</t>
        </is>
      </c>
      <c r="M472" s="8" t="inlineStr"/>
      <c r="N472" s="8" t="inlineStr">
        <is>
          <t>[Must] Advisory Committee may investigate and report on matters relating to financial services providers
[Must] Advisory Committee consists of chairperson and members including medical schemes representative, product suppliers, financial services providers and clients
[Must] Registrar is a member of Advisory Committee without voting power
[Must] Members hold office for period determined by Minister
[Must] Non-state employees must be paid remuneration and allowances
[Must] Advisory Committee may meet or arrange for performance of functions
[Must] Registrar may submit relevant information to Advisory Committee
[Must] Advisory Committee may call assistance to investigate matters
[Must] Registrar responsible for administrative work
[Must] Expenditure must be paid from Board funds with approval</t>
        </is>
      </c>
      <c r="O472" s="8" t="inlineStr">
        <is>
          <t>5. (1) There is an Advisory Committee on Financial Services Providers which may on its own initiative, or must at the request of the Minister or the registrar, investigate and report or advise on any matter relating to financial services providers.</t>
        </is>
      </c>
    </row>
    <row r="473">
      <c r="A473" t="inlineStr">
        <is>
          <t>South Africa</t>
        </is>
      </c>
      <c r="B473" t="inlineStr">
        <is>
          <t>Financial Advisory and Intermediary Services Act (FAIS) 37 of 2002</t>
        </is>
      </c>
      <c r="C473" t="inlineStr">
        <is>
          <t>6</t>
        </is>
      </c>
      <c r="D473" s="8" t="inlineStr">
        <is>
          <t>( 11 The  Minister may, on  such  conditions as  the Minister may determine (which the</t>
        </is>
      </c>
      <c r="E473" t="inlineStr">
        <is>
          <t>9–10</t>
        </is>
      </c>
      <c r="F473" t="inlineStr">
        <is>
          <t>Other</t>
        </is>
      </c>
      <c r="G473" t="inlineStr">
        <is>
          <t>Low</t>
        </is>
      </c>
      <c r="H473" t="inlineStr">
        <is>
          <t>High (explicit)</t>
        </is>
      </c>
      <c r="I473" s="8" t="inlineStr"/>
      <c r="J473" s="8" t="inlineStr"/>
      <c r="K473" t="inlineStr">
        <is>
          <t>Minister, Board, Registrar</t>
        </is>
      </c>
      <c r="L473" s="8" t="inlineStr">
        <is>
          <t>Minister, Board and registrar may delegate powers to others with conditions, including to National Treasury, other officials, or registrar. Delegations may be amended or withdrawn at any time.</t>
        </is>
      </c>
      <c r="M473" s="8" t="inlineStr"/>
      <c r="N473" s="8" t="inlineStr">
        <is>
          <t>[May] Minister may delegate powers to National Treasury, other officials, or registrar with conditions
[May] Board may delegate powers to chairperson, members, or registrar with conditions
[May] Registrar may delegate powers to other Board members, appointed persons, or recognized bodies
[May] Delegations may be amended or withdrawn at any time</t>
        </is>
      </c>
      <c r="O473" s="8" t="inlineStr">
        <is>
          <t>6. (11) The Minister may, on such conditions as the Minister may determine (which the Minister may at any time thereafter amend or withdraw). delegate any power conferred upon the Minister by this Act, excluding the power to make regulations under section 35.</t>
        </is>
      </c>
    </row>
    <row r="474">
      <c r="A474" t="inlineStr">
        <is>
          <t>South Africa</t>
        </is>
      </c>
      <c r="B474" t="inlineStr">
        <is>
          <t>Financial Advisory and Intermediary Services Act (FAIS) 37 of 2002</t>
        </is>
      </c>
      <c r="C474" t="inlineStr">
        <is>
          <t>6</t>
        </is>
      </c>
      <c r="D474" s="8" t="inlineStr">
        <is>
          <t>The amendment of section 48</t>
        </is>
      </c>
      <c r="E474" t="inlineStr">
        <is>
          <t>31–32</t>
        </is>
      </c>
      <c r="F474" t="inlineStr">
        <is>
          <t>Other</t>
        </is>
      </c>
      <c r="G474" t="inlineStr">
        <is>
          <t>High</t>
        </is>
      </c>
      <c r="H474" t="inlineStr">
        <is>
          <t>High (explicit)</t>
        </is>
      </c>
      <c r="I474" s="8" t="inlineStr">
        <is>
          <t>Financial Data</t>
        </is>
      </c>
      <c r="J474" s="8" t="inlineStr">
        <is>
          <t>Financial Data</t>
        </is>
      </c>
      <c r="K474" t="inlineStr"/>
      <c r="L474" s="8" t="inlineStr">
        <is>
          <t>Amends section 48 by substituting a paragraph that contravenes specific sections of the Act.</t>
        </is>
      </c>
      <c r="M474" s="8" t="inlineStr"/>
      <c r="N474" s="8" t="inlineStr">
        <is>
          <t>[Must Not] contravenes a provision of section 3(1) or (2), 4(1)[or (2)] or 14</t>
        </is>
      </c>
      <c r="O474" s="8" t="inlineStr">
        <is>
          <t>6. The amendment of section 48 by the substitution for paragraph (a) of subsection (1) of the following paragraph: "(a) contravenes a provision of section 3(1) or (2), 4(1)[or (2)] or 14;".</t>
        </is>
      </c>
    </row>
    <row r="475">
      <c r="A475" t="inlineStr">
        <is>
          <t>South Africa</t>
        </is>
      </c>
      <c r="B475" t="inlineStr">
        <is>
          <t>Financial Advisory and Intermediary Services Act (FAIS) 37 of 2002</t>
        </is>
      </c>
      <c r="C475" t="inlineStr">
        <is>
          <t>6</t>
        </is>
      </c>
      <c r="D475" s="8" t="inlineStr">
        <is>
          <t>The amendment of section</t>
        </is>
      </c>
      <c r="E475" t="inlineStr">
        <is>
          <t>34–35</t>
        </is>
      </c>
      <c r="F475" t="inlineStr">
        <is>
          <t>Other</t>
        </is>
      </c>
      <c r="G475" t="inlineStr">
        <is>
          <t>High</t>
        </is>
      </c>
      <c r="H475" t="inlineStr">
        <is>
          <t>High (explicit)</t>
        </is>
      </c>
      <c r="I475" s="8" t="inlineStr">
        <is>
          <t>Financial Data</t>
        </is>
      </c>
      <c r="J475" s="8" t="inlineStr">
        <is>
          <t>Financial Data</t>
        </is>
      </c>
      <c r="K475" t="inlineStr"/>
      <c r="L475" s="8" t="inlineStr">
        <is>
          <t>Amends section 48 by substituting a paragraph that contravenes specific sections of the Act.</t>
        </is>
      </c>
      <c r="M475" s="8" t="inlineStr"/>
      <c r="N475" s="8" t="inlineStr">
        <is>
          <t>[Must Not] contravenes a provision of section 3(1) or (2), 4(1)[or (2)] or 14</t>
        </is>
      </c>
      <c r="O475" s="8" t="inlineStr">
        <is>
          <t>6. The amendment of section 48 by the substitution for paragraph (a) of subsection (1) of the following paragraph: "(a) contravenes a provision of section 3(1) or (2), 4(1)[or (2)] or 14;".</t>
        </is>
      </c>
    </row>
    <row r="476">
      <c r="A476" t="inlineStr">
        <is>
          <t>South Africa</t>
        </is>
      </c>
      <c r="B476" t="inlineStr">
        <is>
          <t>Financial Advisory and Intermediary Services Act (FAIS) 37 of 2002</t>
        </is>
      </c>
      <c r="C476" t="inlineStr">
        <is>
          <t>7</t>
        </is>
      </c>
      <c r="D476" s="8" t="inlineStr">
        <is>
          <t>(1 ) With effect from  a date  determined by the  Minister by notice in the Guzerte. a</t>
        </is>
      </c>
      <c r="E476" t="inlineStr">
        <is>
          <t>10–11</t>
        </is>
      </c>
      <c r="F476" t="inlineStr">
        <is>
          <t>Other</t>
        </is>
      </c>
      <c r="G476" t="inlineStr">
        <is>
          <t>High</t>
        </is>
      </c>
      <c r="H476" t="inlineStr">
        <is>
          <t>High (explicit)</t>
        </is>
      </c>
      <c r="I476" s="8" t="inlineStr"/>
      <c r="J476" s="8" t="inlineStr"/>
      <c r="K476" t="inlineStr"/>
      <c r="L476" s="8" t="inlineStr">
        <is>
          <t>A person may not act as a financial services provider without being issued a licence under section 8. Transactions concluded after the effective date must be between authorized providers and clients.</t>
        </is>
      </c>
      <c r="M476" s="8" t="inlineStr"/>
      <c r="N476" s="8" t="inlineStr">
        <is>
          <t>[Must Not] Person may not act as financial services provider without licence under section 8</t>
        </is>
      </c>
      <c r="O476" s="8" t="inlineStr">
        <is>
          <t>7. (1) With effect from a date determined by the Minister by notice in the Gazette, a person may not act or offer to act as a financial services provider unless such person has been issued with a licence under section 8.</t>
        </is>
      </c>
    </row>
    <row r="477">
      <c r="A477" t="inlineStr">
        <is>
          <t>South Africa</t>
        </is>
      </c>
      <c r="B477" t="inlineStr">
        <is>
          <t>Financial Advisory and Intermediary Services Act (FAIS) 37 of 2002</t>
        </is>
      </c>
      <c r="C477" t="inlineStr">
        <is>
          <t>7</t>
        </is>
      </c>
      <c r="D477" s="8" t="inlineStr">
        <is>
          <t>The substitution of the follow-</t>
        </is>
      </c>
      <c r="E477" t="inlineStr">
        <is>
          <t>32</t>
        </is>
      </c>
      <c r="F477" t="inlineStr">
        <is>
          <t>Other</t>
        </is>
      </c>
      <c r="G477" t="inlineStr">
        <is>
          <t>High</t>
        </is>
      </c>
      <c r="H477" t="inlineStr">
        <is>
          <t>High (explicit)</t>
        </is>
      </c>
      <c r="I477" s="8" t="inlineStr">
        <is>
          <t>Financial Data</t>
        </is>
      </c>
      <c r="J477" s="8" t="inlineStr">
        <is>
          <t>Financial Data</t>
        </is>
      </c>
      <c r="K477" t="inlineStr"/>
      <c r="L477" s="8" t="inlineStr">
        <is>
          <t>Substitutes the heading and subsection for section 50 to define court powers to declare members, officers, or employees disqualified.</t>
        </is>
      </c>
      <c r="M477" s="8" t="inlineStr"/>
      <c r="N477" s="8" t="inlineStr"/>
      <c r="O477" s="8" t="inlineStr">
        <is>
          <t>7. The substitution of the following heading and subsection for the leading and subsection (1) of section 50: "Powers of court to declare member, officer or employee of member disqualified"</t>
        </is>
      </c>
    </row>
    <row r="478">
      <c r="A478" t="inlineStr">
        <is>
          <t>South Africa</t>
        </is>
      </c>
      <c r="B478" t="inlineStr">
        <is>
          <t>Financial Advisory and Intermediary Services Act (FAIS) 37 of 2002</t>
        </is>
      </c>
      <c r="C478" t="inlineStr">
        <is>
          <t>8</t>
        </is>
      </c>
      <c r="D478" s="8" t="inlineStr">
        <is>
          <t>(1) An application for an authorisation referred to in section 7( 1). including an</t>
        </is>
      </c>
      <c r="E478" t="inlineStr">
        <is>
          <t>11–13</t>
        </is>
      </c>
      <c r="F478" t="inlineStr">
        <is>
          <t>Other</t>
        </is>
      </c>
      <c r="G478" t="inlineStr">
        <is>
          <t>High</t>
        </is>
      </c>
      <c r="H478" t="inlineStr">
        <is>
          <t>High (explicit)</t>
        </is>
      </c>
      <c r="I478" s="8" t="inlineStr"/>
      <c r="J478" s="8" t="inlineStr"/>
      <c r="K478" t="inlineStr">
        <is>
          <t>Registrar</t>
        </is>
      </c>
      <c r="L478" s="8" t="inlineStr">
        <is>
          <t>Applications for authorization must be submitted to registrar with information to satisfy fit and proper requirements, including personal character, competence, financial soundness. Registrar may impose conditions on licenses.</t>
        </is>
      </c>
      <c r="M478" s="8" t="inlineStr"/>
      <c r="N478" s="8" t="inlineStr">
        <is>
          <t>[Must] Applications for authorization must be submitted to registrar with information to satisfy fit and proper requirements
[May] Registrar may impose conditions on licenses based on applicant facts, service category, and fit and proper requirements</t>
        </is>
      </c>
      <c r="O478" s="8" t="inlineStr">
        <is>
          <t>8. (1) An application for an authorisation referred to in section 7(1), including an application by an applicant not domiciled in the Republic, must be submitted to the registrar in the form and manner determined by the registrar by notice in the Gazette, and be accompanied by information to satisfy the registrar that the applicant complies with the requirements for fit and proper financial services providers or categories of providers.</t>
        </is>
      </c>
    </row>
    <row r="479">
      <c r="A479" t="inlineStr">
        <is>
          <t>South Africa</t>
        </is>
      </c>
      <c r="B479" t="inlineStr">
        <is>
          <t>Financial Advisory and Intermediary Services Act (FAIS) 37 of 2002</t>
        </is>
      </c>
      <c r="C479" t="inlineStr">
        <is>
          <t>8</t>
        </is>
      </c>
      <c r="D479" s="8" t="inlineStr">
        <is>
          <t>The substitution of the follow.</t>
        </is>
      </c>
      <c r="E479" t="inlineStr">
        <is>
          <t>35–36</t>
        </is>
      </c>
      <c r="F479" t="inlineStr">
        <is>
          <t>Other</t>
        </is>
      </c>
      <c r="G479" t="inlineStr">
        <is>
          <t>High</t>
        </is>
      </c>
      <c r="H479" t="inlineStr">
        <is>
          <t>High (explicit)</t>
        </is>
      </c>
      <c r="I479" s="8" t="inlineStr">
        <is>
          <t>Financial Data</t>
        </is>
      </c>
      <c r="J479" s="8" t="inlineStr">
        <is>
          <t>Financial Data</t>
        </is>
      </c>
      <c r="K479" t="inlineStr"/>
      <c r="L479" s="8" t="inlineStr">
        <is>
          <t>Substitutes the heading and subsection for section 31 to define court powers to declare members, officers, or employees disqualified.</t>
        </is>
      </c>
      <c r="M479" s="8" t="inlineStr"/>
      <c r="N479" s="8" t="inlineStr"/>
      <c r="O479" s="8" t="inlineStr">
        <is>
          <t>8. The substitution of the following heading and subsection for the heading and subsection (1) of section 31: "Power of court to declare member or officer or employee of member disqualified"</t>
        </is>
      </c>
    </row>
    <row r="480">
      <c r="A480" t="inlineStr">
        <is>
          <t>South Africa</t>
        </is>
      </c>
      <c r="B480" t="inlineStr">
        <is>
          <t>Financial Advisory and Intermediary Services Act (FAIS) 37 of 2002</t>
        </is>
      </c>
      <c r="C480" t="inlineStr">
        <is>
          <t>9</t>
        </is>
      </c>
      <c r="D480" s="8" t="inlineStr">
        <is>
          <t>(1 ) The registrar may, subject to subsection (2), at  any  time  suspend  any  licence if</t>
        </is>
      </c>
      <c r="E480" t="inlineStr">
        <is>
          <t>13</t>
        </is>
      </c>
      <c r="F480" t="inlineStr">
        <is>
          <t>Other</t>
        </is>
      </c>
      <c r="G480" t="inlineStr">
        <is>
          <t>High</t>
        </is>
      </c>
      <c r="H480" t="inlineStr">
        <is>
          <t>High (explicit)</t>
        </is>
      </c>
      <c r="I480" s="8" t="inlineStr"/>
      <c r="J480" s="8" t="inlineStr"/>
      <c r="K480" t="inlineStr">
        <is>
          <t>Registrar</t>
        </is>
      </c>
      <c r="L480" s="8" t="inlineStr">
        <is>
          <t>Registrar may suspend a license if licensee no longer meets requirements, after informing licensee and giving opportunity to respond. Suspension may be provisional or final.</t>
        </is>
      </c>
      <c r="M480" s="8" t="inlineStr"/>
      <c r="N480" s="8" t="inlineStr">
        <is>
          <t>[May] Registrar may suspend license if licensee no longer meets requirements
[Must] Registrar must inform licensee of intention to suspend and grounds
[Must] Registrar must give licensee reasonable opportunity to respond</t>
        </is>
      </c>
      <c r="O480" s="8" t="inlineStr">
        <is>
          <t>9. (1) The registrar may, subject to subsection (2), at any time suspend any licence if satisfied on the basis of available facts and information, that the licensee no longer meets the requirements contemplated in section 8</t>
        </is>
      </c>
    </row>
    <row r="481">
      <c r="A481" t="inlineStr">
        <is>
          <t>South Africa</t>
        </is>
      </c>
      <c r="B481" t="inlineStr">
        <is>
          <t>Financial Advisory and Intermediary Services Act (FAIS) 37 of 2002</t>
        </is>
      </c>
      <c r="C481" t="inlineStr">
        <is>
          <t>10</t>
        </is>
      </c>
      <c r="D481" s="8" t="inlineStr">
        <is>
          <t>(1 ) The registrar may at any  time  withdraw  any licence  (including the licence of</t>
        </is>
      </c>
      <c r="E481" t="inlineStr">
        <is>
          <t>13–14</t>
        </is>
      </c>
      <c r="F481" t="inlineStr">
        <is>
          <t>Other</t>
        </is>
      </c>
      <c r="G481" t="inlineStr">
        <is>
          <t>High</t>
        </is>
      </c>
      <c r="H481" t="inlineStr">
        <is>
          <t>High (explicit)</t>
        </is>
      </c>
      <c r="I481" s="8" t="inlineStr"/>
      <c r="J481" s="8" t="inlineStr"/>
      <c r="K481" t="inlineStr">
        <is>
          <t>Registrar</t>
        </is>
      </c>
      <c r="L481" s="8" t="inlineStr">
        <is>
          <t>Registrar may withdraw a license if licensee provided false information or failed to comply with the Act in a material manner. Withdrawn licenses are debarred from reapplying for a period specified by registrar.</t>
        </is>
      </c>
      <c r="M481" s="8" t="inlineStr"/>
      <c r="N481" s="8" t="inlineStr">
        <is>
          <t>[May] Registrar may withdraw license if licensee provided false information or failed to comply with Act in material manner
[Must] Person whose license has been withdrawn is debarred from applying for new license for period specified by registrar</t>
        </is>
      </c>
      <c r="O481" s="8" t="inlineStr">
        <is>
          <t>10. (1) The registrar may at any time withdraw any licence (including the licence of a licensee under provisional or final suspension in terms of section 9), if satisfied on the basis of available facts and information that the licensee- (a) did not, when applying for the licence, make a full disclosure of all relevant information to the registrar, or furnished false or misleading information; or (b) has since such issue contravened or failed to comply with any provision of this Act in a material manner.</t>
        </is>
      </c>
    </row>
    <row r="482">
      <c r="A482" t="inlineStr">
        <is>
          <t>South Africa</t>
        </is>
      </c>
      <c r="B482" t="inlineStr">
        <is>
          <t>Financial Advisory and Intermediary Services Act (FAIS) 37 of 2002</t>
        </is>
      </c>
      <c r="C482" t="inlineStr">
        <is>
          <t>11</t>
        </is>
      </c>
      <c r="D482" s="8" t="inlineStr">
        <is>
          <t>( I ) A  licence lapses--</t>
        </is>
      </c>
      <c r="E482" t="inlineStr">
        <is>
          <t>14</t>
        </is>
      </c>
      <c r="F482" t="inlineStr">
        <is>
          <t>Other</t>
        </is>
      </c>
      <c r="G482" t="inlineStr">
        <is>
          <t>Low</t>
        </is>
      </c>
      <c r="H482" t="inlineStr">
        <is>
          <t>High (explicit)</t>
        </is>
      </c>
      <c r="I482" s="8" t="inlineStr"/>
      <c r="J482" s="8" t="inlineStr"/>
      <c r="K482" t="inlineStr"/>
      <c r="L482" s="8" t="inlineStr">
        <is>
          <t>A license lapses if the licensee becomes permanently incapable of business due to physical/mental disease, serious injury, death, sequestration, dissolution, or voluntary surrender.</t>
        </is>
      </c>
      <c r="M482" s="8" t="inlineStr"/>
      <c r="N482" s="8" t="inlineStr">
        <is>
          <t>[Must] A license lapses where the licensee (natural person) becomes permanently incapable of business due to physical/mental disease, serious injury, death, or sequestration
[Must] A license lapses where the licensee (other person) is finally liquidated or dissolved
[Must] A license lapses where the business becomes dormant
[Must] A license lapses where the licensee voluntarily surrenders the license</t>
        </is>
      </c>
      <c r="O482" s="8" t="inlineStr">
        <is>
          <t>11. (I) A licence lapses-- (la) where the licensee, being a natural person- (i) becomes permanently incapable of carrying on any business due to physical or mental disease or serious injury; (ii) is finally sequestrated; or (iii) dies; (b) where the licensee, being any other person, is finally liquidated or dissolved: (ci where the business of the licensee has become dormant: and (d) in any other case, where the licensee voluntarily and finally surrenders the licence to the registrar.</t>
        </is>
      </c>
    </row>
    <row r="483">
      <c r="A483" t="inlineStr">
        <is>
          <t>South Africa</t>
        </is>
      </c>
      <c r="B483" t="inlineStr">
        <is>
          <t>Financial Advisory and Intermediary Services Act (FAIS) 37 of 2002</t>
        </is>
      </c>
      <c r="C483" t="inlineStr">
        <is>
          <t>12</t>
        </is>
      </c>
      <c r="D483" s="8" t="inlineStr">
        <is>
          <t>Definitions  and  application</t>
        </is>
      </c>
      <c r="E483" t="inlineStr">
        <is>
          <t>2</t>
        </is>
      </c>
      <c r="F483" t="inlineStr">
        <is>
          <t>Definitions</t>
        </is>
      </c>
      <c r="G483" t="inlineStr">
        <is>
          <t>Low</t>
        </is>
      </c>
      <c r="H483" t="inlineStr">
        <is>
          <t>High (explicit)</t>
        </is>
      </c>
      <c r="I483" s="8" t="inlineStr"/>
      <c r="J483" s="8" t="inlineStr"/>
      <c r="K483" t="inlineStr"/>
      <c r="L483" s="8" t="inlineStr">
        <is>
          <t>Defines terms and applies to the Act's administration and authorization of financial services providers.</t>
        </is>
      </c>
      <c r="M483" s="8" t="inlineStr"/>
      <c r="N483" s="8" t="inlineStr"/>
      <c r="O483" s="8" t="inlineStr">
        <is>
          <t>12. Definitions and application</t>
        </is>
      </c>
    </row>
    <row r="484">
      <c r="A484" t="inlineStr">
        <is>
          <t>South Africa</t>
        </is>
      </c>
      <c r="B484" t="inlineStr">
        <is>
          <t>Financial Advisory and Intermediary Services Act (FAIS) 37 of 2002</t>
        </is>
      </c>
      <c r="C484" t="inlineStr">
        <is>
          <t>12</t>
        </is>
      </c>
      <c r="D484" s="8" t="inlineStr">
        <is>
          <t>( 1) The registrar may exempt a  product  supplier  who is authorised or approved</t>
        </is>
      </c>
      <c r="E484" t="inlineStr">
        <is>
          <t>14–15</t>
        </is>
      </c>
      <c r="F484" t="inlineStr">
        <is>
          <t>Exemptions</t>
        </is>
      </c>
      <c r="G484" t="inlineStr">
        <is>
          <t>Medium</t>
        </is>
      </c>
      <c r="H484" t="inlineStr">
        <is>
          <t>High (explicit)</t>
        </is>
      </c>
      <c r="I484" s="8" t="inlineStr"/>
      <c r="J484" s="8" t="inlineStr"/>
      <c r="K484" t="inlineStr">
        <is>
          <t>registrar</t>
        </is>
      </c>
      <c r="L484" s="8" t="inlineStr">
        <is>
          <t>Regulator may exempt product suppliers from submitting some or all information required for authorization, provided they apply for exemption and comply with registrar's requirements.</t>
        </is>
      </c>
      <c r="M484" s="8" t="inlineStr"/>
      <c r="N484" s="8" t="inlineStr">
        <is>
          <t>[May] Regulator may exempt product suppliers from submitting some or all information required for authorization</t>
        </is>
      </c>
      <c r="O484" s="8" t="inlineStr">
        <is>
          <t>12. (1) The registrar may exempt a product supplier who is authorised or approved under a particular law to conduct business as a financial institution and who is required to apply for authorisation under section 8, from submitting some or all of the information otherwise required from an applicant: Provided that the product supplier- (a) applies for exemption when submitting the application: and (b) complies with the requirements of the registrar with regard to information still supplementary to, but separate from, the supplier's authorisation or approval under a particular law as a financial institution.</t>
        </is>
      </c>
    </row>
    <row r="485">
      <c r="A485" t="inlineStr">
        <is>
          <t>South Africa</t>
        </is>
      </c>
      <c r="B485" t="inlineStr">
        <is>
          <t>Financial Advisory and Intermediary Services Act (FAIS) 37 of 2002</t>
        </is>
      </c>
      <c r="C485" t="inlineStr">
        <is>
          <t>14</t>
        </is>
      </c>
      <c r="D485" s="8" t="inlineStr">
        <is>
          <t>(1) An authorised financial services  provider  must ensure that any  representative</t>
        </is>
      </c>
      <c r="E485" t="inlineStr">
        <is>
          <t>15–16</t>
        </is>
      </c>
      <c r="F485" t="inlineStr">
        <is>
          <t>Other</t>
        </is>
      </c>
      <c r="G485" t="inlineStr">
        <is>
          <t>High</t>
        </is>
      </c>
      <c r="H485" t="inlineStr">
        <is>
          <t>High (explicit)</t>
        </is>
      </c>
      <c r="I485" s="8" t="inlineStr"/>
      <c r="J485" s="8" t="inlineStr"/>
      <c r="K485" t="inlineStr">
        <is>
          <t>authorised financial services provider</t>
        </is>
      </c>
      <c r="L485" s="8" t="inlineStr">
        <is>
          <t>Representatives who no longer comply with requirements must be prohibited from rendering services, removed from the register, and any unconcluded business must be properly concluded.</t>
        </is>
      </c>
      <c r="M485" s="8" t="inlineStr">
        <is>
          <t>Requires debarment of representatives who no longer comply with requirements, removal from register, and proper conclusion of unconcluded business.</t>
        </is>
      </c>
      <c r="N485" s="8" t="inlineStr">
        <is>
          <t>[Must] Representatives who no longer comply with requirements must be prohibited from rendering services and have their names removed from the register
[Must] The provider must ensure debarment does not prejudice client interests and properly conclude any unconcluded business</t>
        </is>
      </c>
      <c r="O485" s="8" t="inlineStr">
        <is>
          <t>14. (1) An authorised financial services provider must ensure that any representative of the provider who no longer complies with the requirements referred to in section 13(2)(a) is prohibited by such provider from rendering any new financial service by withdrawing any authority to act on behalf of the provider, and that the representative's name, and the names of the key individuals of the representative, are removed from the register referred to in section 13(3): Provided that any such provider must immediately take steps to ensure that the debarment does not prejudice the interests of clients of the representative, and that any unconcluded business of the representative is properly concluded.</t>
        </is>
      </c>
    </row>
    <row r="486">
      <c r="A486" t="inlineStr">
        <is>
          <t>South Africa</t>
        </is>
      </c>
      <c r="B486" t="inlineStr">
        <is>
          <t>Financial Advisory and Intermediary Services Act (FAIS) 37 of 2002</t>
        </is>
      </c>
      <c r="C486" t="inlineStr">
        <is>
          <t>15</t>
        </is>
      </c>
      <c r="D486" s="8" t="inlineStr">
        <is>
          <t>(1) (a) The registrar  must, after consultation with the Advisory  Committee and</t>
        </is>
      </c>
      <c r="E486" t="inlineStr">
        <is>
          <t>16</t>
        </is>
      </c>
      <c r="F486" t="inlineStr">
        <is>
          <t>Other</t>
        </is>
      </c>
      <c r="G486" t="inlineStr">
        <is>
          <t>High</t>
        </is>
      </c>
      <c r="H486" t="inlineStr">
        <is>
          <t>High (explicit)</t>
        </is>
      </c>
      <c r="I486" s="8" t="inlineStr"/>
      <c r="J486" s="8" t="inlineStr">
        <is>
          <t>Financial Data</t>
        </is>
      </c>
      <c r="K486" t="inlineStr">
        <is>
          <t>registrar</t>
        </is>
      </c>
      <c r="L486" s="8" t="inlineStr">
        <is>
          <t>Regulator must draft, publish, and enforce codes of conduct for financial services providers and representatives, including specific codes for deposit-related services.</t>
        </is>
      </c>
      <c r="M486" s="8" t="inlineStr">
        <is>
          <t>Requires regulator to draft, publish, and enforce codes of conduct for financial services providers and representatives, including specific codes for deposit-related services.</t>
        </is>
      </c>
      <c r="N486" s="8" t="inlineStr">
        <is>
          <t>[Must] Regulator must draft a code of conduct for authorized financial services providers after consultation with Advisory Committee and industry bodies
[Must] Code of conduct must be published by notice in the Gazette and become binding on all authorized providers and representatives
[May] Different codes of conduct may be drafted for different categories of providers and representatives
[Must] A code of conduct must be drafted for deposit-related services with a term not exceeding 12 months</t>
        </is>
      </c>
      <c r="O486" s="8" t="inlineStr">
        <is>
          <t>15. (1) (a) The registrar must, after consultation with the Advisory Committee and with representative bodies of the financial services industry and client and consumer bodies determined by the Advisory Committee, draft a code of conduct for authorized financial services providers. (b) The code must, after consultation, be published by notice in the Gazette and, on any such publication, become binding on all authorized financial services providers and representatives referred to therein.</t>
        </is>
      </c>
    </row>
    <row r="487">
      <c r="A487" t="inlineStr">
        <is>
          <t>South Africa</t>
        </is>
      </c>
      <c r="B487" t="inlineStr">
        <is>
          <t>Financial Advisory and Intermediary Services Act (FAIS) 37 of 2002</t>
        </is>
      </c>
      <c r="C487" t="inlineStr">
        <is>
          <t>16</t>
        </is>
      </c>
      <c r="D487" s="8" t="inlineStr">
        <is>
          <t>( 1 ) A code of conduct must  be  drafted  in such a manner as to  ensure that the clients</t>
        </is>
      </c>
      <c r="E487" t="inlineStr">
        <is>
          <t>16–17</t>
        </is>
      </c>
      <c r="F487" t="inlineStr">
        <is>
          <t>Other</t>
        </is>
      </c>
      <c r="G487" t="inlineStr">
        <is>
          <t>High</t>
        </is>
      </c>
      <c r="H487" t="inlineStr">
        <is>
          <t>High (explicit)</t>
        </is>
      </c>
      <c r="I487" s="8" t="inlineStr"/>
      <c r="J487" s="8" t="inlineStr"/>
      <c r="K487" t="inlineStr">
        <is>
          <t>registrar</t>
        </is>
      </c>
      <c r="L487" s="8" t="inlineStr">
        <is>
          <t>Code of conduct must ensure clients can make informed decisions, have their financial needs satisfied, and comply with statutory and common law requirements.</t>
        </is>
      </c>
      <c r="M487" s="8" t="inlineStr">
        <is>
          <t>Code of conduct must ensure clients can make informed decisions, have their financial needs satisfied, and comply with statutory and common law requirements.</t>
        </is>
      </c>
      <c r="N487" s="8" t="inlineStr">
        <is>
          <t>[Must] Code of conduct must ensure clients can make informed decisions, have their reasonable financial needs satisfied, and authorized providers must act honestly and fairly
[Must] Code of conduct must include provisions for adequate disclosures, record-keeping, avoidance of fraudulent advertising, safe-keeping of funds, and professional indemnity insurance</t>
        </is>
      </c>
      <c r="O487" s="8" t="inlineStr">
        <is>
          <t>16. (1) A code of conduct must be drafted in such a manner as to ensure that the clients being rendered financial services will be able to make informed decisions, that their reasonable financial needs regarding financial products will be appropriately and suitably satisfied and that for those purposes authorized financial services providers and their representatives are obliged by the provisions of such code to - (a) act honestly and fairly, and with due skill, care and diligence, in the interests of clients and the integrity of the financial services industry; (b) have and employ effectively the resources, procedures and appropriate technological systems for the proper performance of professional activities; (c) seek from clients appropriate and available information regarding their financial situations, financial product experience and objectives in connection with the financial service required; (d) act with circumspection and treat clients fairly in a situation of conflicting interests; and (e) comply with all applicable statutory or common law requirements applicable to the conduct of business.</t>
        </is>
      </c>
    </row>
    <row r="488">
      <c r="A488" t="inlineStr">
        <is>
          <t>South Africa</t>
        </is>
      </c>
      <c r="B488" t="inlineStr">
        <is>
          <t>Financial Advisory and Intermediary Services Act (FAIS) 37 of 2002</t>
        </is>
      </c>
      <c r="C488" t="inlineStr">
        <is>
          <t>17</t>
        </is>
      </c>
      <c r="D488" s="8" t="inlineStr">
        <is>
          <t>( I ) (a) Any authorised financial services provider</t>
        </is>
      </c>
      <c r="E488" t="inlineStr">
        <is>
          <t>17</t>
        </is>
      </c>
      <c r="F488" t="inlineStr">
        <is>
          <t>Other</t>
        </is>
      </c>
      <c r="G488" t="inlineStr">
        <is>
          <t>High</t>
        </is>
      </c>
      <c r="H488" t="inlineStr">
        <is>
          <t>High (explicit)</t>
        </is>
      </c>
      <c r="I488" s="8" t="inlineStr"/>
      <c r="J488" s="8" t="inlineStr">
        <is>
          <t>Financial Data</t>
        </is>
      </c>
      <c r="K488" t="inlineStr">
        <is>
          <t>registrar</t>
        </is>
      </c>
      <c r="L488" s="8" t="inlineStr">
        <is>
          <t>Authorized providers must appoint compliance officers to monitor compliance with the Act, submit reports to the registrar, and maintain procedures for compliance.</t>
        </is>
      </c>
      <c r="M488" s="8" t="inlineStr">
        <is>
          <t>Requires appointment of compliance officers to monitor compliance, submit reports to registrar, and maintain procedures for compliance.</t>
        </is>
      </c>
      <c r="N488" s="8" t="inlineStr">
        <is>
          <t>[Must] Authorized providers with more than one key individual or representative must appoint one or more compliance officers to monitor compliance with the Act
[Must] Compliance officers must be approved by the registrar in accordance with criteria and guidelines determined by the Advisory Committee
[Must] Authorized providers must establish and maintain procedures to ensure compliance with the Act
[Must] Compliance officers must submit reports to the registrar in the manner and as determined by the registrar</t>
        </is>
      </c>
      <c r="O488" s="8" t="inlineStr">
        <is>
          <t>17. (1) (a) Any authorized financial services provider with more than one key individual or one or more representatives must, subject to section 35(1)(c), appoint one or more compliance officers to monitor compliance with this Act by the provider and such representative or representatives, particularly in accordance with the procedures contemplated in subsection (3), and to take responsibility for liaison with the registrar. (b) Such person may be a director, member, auditor, trustee, principal officer, public officer or company secretary of any such provider, or any other person with suitable qualifications and experience determined by the registrar by notice in the Gazette, after consultation with the Advisory Committee. (c) The provisions of section 19(5) and (6), relating to an auditor of an authorized financial services provider, apply with the necessary changes to a compliance officer. (2) A compliance officer must be approved by the registrar in accordance with the criteria and guidelines determined by the Advisory Committee. (3) An authorized financial services provider must establish and maintain procedures to be followed by the provider and any representative concerned in order to ensure compliance with this Act. (4) An authorized financial services provider who carries on a business with only one key individual or without any representative must submit reports to the registrar in the manner and as from time to time determined by the registrar by notice in the Gazette for different categories of compliance officers, after consultation with the Advisory Committee.</t>
        </is>
      </c>
    </row>
    <row r="489">
      <c r="A489" t="inlineStr">
        <is>
          <t>South Africa</t>
        </is>
      </c>
      <c r="B489" t="inlineStr">
        <is>
          <t>Financial Advisory and Intermediary Services Act (FAIS) 37 of 2002</t>
        </is>
      </c>
      <c r="C489" t="inlineStr">
        <is>
          <t>18</t>
        </is>
      </c>
      <c r="D489" s="8" t="inlineStr">
        <is>
          <t>An authorised  financial  services  provider  must,  except to the extent exempted by</t>
        </is>
      </c>
      <c r="E489" t="inlineStr">
        <is>
          <t>17</t>
        </is>
      </c>
      <c r="F489" t="inlineStr">
        <is>
          <t>Record Keeping</t>
        </is>
      </c>
      <c r="G489" t="inlineStr">
        <is>
          <t>High</t>
        </is>
      </c>
      <c r="H489" t="inlineStr">
        <is>
          <t>High (explicit)</t>
        </is>
      </c>
      <c r="I489" s="8" t="inlineStr">
        <is>
          <t>Record Keeping</t>
        </is>
      </c>
      <c r="J489" s="8" t="inlineStr"/>
      <c r="K489" t="inlineStr">
        <is>
          <t>registrar</t>
        </is>
      </c>
      <c r="L489" s="8" t="inlineStr">
        <is>
          <t>Providers must maintain records for five years regarding premature cancellations, complaints, compliance, non-compliance, and representative compliance.</t>
        </is>
      </c>
      <c r="M489" s="8" t="inlineStr">
        <is>
          <t>Requires providers to maintain records for five years regarding premature cancellations, complaints, compliance, non-compliance, and representative compliance.</t>
        </is>
      </c>
      <c r="N489" s="8" t="inlineStr">
        <is>
          <t>[Must] Providers must maintain records for a minimum period of five years regarding known premature cancellations of transactions or financial products by clients
[Must] Providers must maintain records for a minimum period of five years regarding complaints received and whether resolved
[Must] Providers must maintain records for a minimum period of five years regarding continued compliance with requirements
[Must] Providers must maintain records for a minimum period of five years regarding cases of non-compliance with the Act and reasons for non-compliance
[Must] Providers must maintain records for a minimum period of five years regarding continued compliance by representatives with requirements</t>
        </is>
      </c>
      <c r="O489" s="8" t="inlineStr">
        <is>
          <t>18. An authorized financial services provider must, except to the extent exempted by the registrar, maintain records for a minimum period of five years regarding- (a) known premature cancellations of transactions or financial products by clients; (b) complaints received together with an indication whether or not any such complaint has been resolved; (c) the continued compliance with the requirements referred to in section 8; (d) cases of non-compliance with this Act, and the reasons for such non-compliance; and (e) the continued compliance by representatives with the requirements referred to in section 13(1) and (2).</t>
        </is>
      </c>
    </row>
    <row r="490">
      <c r="A490" t="inlineStr">
        <is>
          <t>South Africa</t>
        </is>
      </c>
      <c r="B490" t="inlineStr">
        <is>
          <t>Financial Advisory and Intermediary Services Act (FAIS) 37 of 2002</t>
        </is>
      </c>
      <c r="C490" t="inlineStr">
        <is>
          <t>19</t>
        </is>
      </c>
      <c r="D490" s="8" t="inlineStr">
        <is>
          <t>( I ) Except to the  extent exempted by the  registrar. an authorised financial services</t>
        </is>
      </c>
      <c r="E490" t="inlineStr">
        <is>
          <t>17–18</t>
        </is>
      </c>
      <c r="F490" t="inlineStr">
        <is>
          <t>Other</t>
        </is>
      </c>
      <c r="G490" t="inlineStr">
        <is>
          <t>High</t>
        </is>
      </c>
      <c r="H490" t="inlineStr">
        <is>
          <t>High (explicit)</t>
        </is>
      </c>
      <c r="I490" s="8" t="inlineStr"/>
      <c r="J490" s="8" t="inlineStr">
        <is>
          <t>Financial Data</t>
        </is>
      </c>
      <c r="K490" t="inlineStr">
        <is>
          <t>registrar</t>
        </is>
      </c>
      <c r="L490" s="8" t="inlineStr">
        <is>
          <t>Providers must maintain full accounting records, prepare audited financial statements, and submit reports to the registrar.</t>
        </is>
      </c>
      <c r="M490" s="8" t="inlineStr">
        <is>
          <t>Requires providers to maintain full accounting records, prepare audited financial statements, and submit reports to the registrar.</t>
        </is>
      </c>
      <c r="N490" s="8" t="inlineStr">
        <is>
          <t>[Must] Providers must maintain full and proper accounting records on a continual basis, brought up to date monthly
[Must] Providers must annually prepare financial statements reflecting the financial position and results of operations
[Must] Financial statements must be audited and reported on by an external auditor approved by the registrar
[Must] Providers must submit to the registrar a report confirming the amount of money and assets held on behalf of clients
[Must] Providers must ensure that money and assets held on behalf of clients are kept separate from the provider's business</t>
        </is>
      </c>
      <c r="O490" s="8" t="inlineStr">
        <is>
          <t>19. (1) Except to the extent exempted by the registrar, an authorized financial services provider must, in respect of the business carried on by the provider as authorized under the provider's licence- (a) maintain full and proper accounting records on a continual basis, brought up to date monthly; and (b) annually prepare, in respect of the relevant financial year of the provider, financial statements reflecting, with suitable particulars, the financial position of the business as at the last day of the financial year in question, and the results of the operations and cash flow information for the period then ended. (2) (a) An authorized financial services provider must cause the statements referred to in subsection (1)(b) to be audited and reported on by an external auditor approved by the registrar, in order to produce- (i) an audited balance sheet, including such notes thereon or documents attached thereto as may be necessary; (ii) an audited income statement, including such notes thereon or documents attached thereto as may be necessary; and (iii) an audited statement of the source and application of funds. (4) The auditor of an authorized financial services provider must report to and inform the registrar in writing of any irregularity or suspected irregularity in the conduct or the affairs of the authorized financial services provider concerned of which the auditor became aware in performing functions as auditor and which, in the opinion of the auditor, is material.</t>
        </is>
      </c>
    </row>
    <row r="491">
      <c r="A491" t="inlineStr">
        <is>
          <t>South Africa</t>
        </is>
      </c>
      <c r="B491" t="inlineStr">
        <is>
          <t>Financial Advisory and Intermediary Services Act (FAIS) 37 of 2002</t>
        </is>
      </c>
      <c r="C491" t="inlineStr">
        <is>
          <t>20</t>
        </is>
      </c>
      <c r="D491" s="8" t="inlineStr">
        <is>
          <t>(1) There is an office to be known as the</t>
        </is>
      </c>
      <c r="E491" t="inlineStr">
        <is>
          <t>18–19</t>
        </is>
      </c>
      <c r="F491" t="inlineStr">
        <is>
          <t>Other</t>
        </is>
      </c>
      <c r="G491" t="inlineStr">
        <is>
          <t>Medium</t>
        </is>
      </c>
      <c r="H491" t="inlineStr">
        <is>
          <t>High (explicit)</t>
        </is>
      </c>
      <c r="I491" s="8" t="inlineStr"/>
      <c r="J491" s="8" t="inlineStr"/>
      <c r="K491" t="inlineStr">
        <is>
          <t>Board</t>
        </is>
      </c>
      <c r="L491" s="8" t="inlineStr">
        <is>
          <t>Office of the Ombud for Financial Services Providers must consider and dispose of complaints in a procedurally fair, informal, economical and expeditious manner.</t>
        </is>
      </c>
      <c r="M491" s="8" t="inlineStr">
        <is>
          <t>Ombud must consider and dispose of complaints in a procedurally fair, informal, economical and expeditious manner.</t>
        </is>
      </c>
      <c r="N491" s="8" t="inlineStr">
        <is>
          <t>[Must] Ombud must consider and dispose of complaints in a procedurally fair, informal, economical and expeditious manner</t>
        </is>
      </c>
      <c r="O491" s="8" t="inlineStr">
        <is>
          <t>20. (1) There is an office to be known as the Office of the Ombud for Financial Services Providers. (2) The functions of the Office are performed by the Ombud for Financial Services Providers. (3) The objective of the Ombud is to consider and dispose of complaints in a procedurally fair, informal, economical and expeditious manner and by reference to what is equitable in all the circumstances, with due regard to- (a) the contractual arrangement or other legal relationship between the complainant and any other party to the complaint; and (b) the provisions of this Act.</t>
        </is>
      </c>
    </row>
    <row r="492">
      <c r="A492" t="inlineStr">
        <is>
          <t>South Africa</t>
        </is>
      </c>
      <c r="B492" t="inlineStr">
        <is>
          <t>Financial Advisory and Intermediary Services Act (FAIS) 37 of 2002</t>
        </is>
      </c>
      <c r="C492" t="inlineStr">
        <is>
          <t>21</t>
        </is>
      </c>
      <c r="D492" s="8" t="inlineStr">
        <is>
          <t>(1) The  Board,  after  consultation with  the  Advisory  Committee-</t>
        </is>
      </c>
      <c r="E492" t="inlineStr">
        <is>
          <t>19</t>
        </is>
      </c>
      <c r="F492" t="inlineStr">
        <is>
          <t>Other</t>
        </is>
      </c>
      <c r="G492" t="inlineStr">
        <is>
          <t>Unknown</t>
        </is>
      </c>
      <c r="H492" t="inlineStr">
        <is>
          <t>Low</t>
        </is>
      </c>
      <c r="I492" s="8" t="inlineStr"/>
      <c r="J492" s="8" t="inlineStr"/>
      <c r="K492" t="inlineStr"/>
      <c r="L492" s="8" t="inlineStr"/>
      <c r="M492" s="8" t="inlineStr"/>
      <c r="N492" s="8" t="inlineStr"/>
      <c r="O492" s="8" t="inlineStr"/>
    </row>
    <row r="493">
      <c r="A493" t="inlineStr">
        <is>
          <t>South Africa</t>
        </is>
      </c>
      <c r="B493" t="inlineStr">
        <is>
          <t>Financial Advisory and Intermediary Services Act (FAIS) 37 of 2002</t>
        </is>
      </c>
      <c r="C493" t="inlineStr">
        <is>
          <t>22</t>
        </is>
      </c>
      <c r="D493" s="8" t="inlineStr">
        <is>
          <t>(1) The  funds of the Office consist of-</t>
        </is>
      </c>
      <c r="E493" t="inlineStr">
        <is>
          <t>19</t>
        </is>
      </c>
      <c r="F493" t="inlineStr">
        <is>
          <t>Other</t>
        </is>
      </c>
      <c r="G493" t="inlineStr">
        <is>
          <t>High</t>
        </is>
      </c>
      <c r="H493" t="inlineStr">
        <is>
          <t>High (explicit)</t>
        </is>
      </c>
      <c r="I493" s="8" t="inlineStr"/>
      <c r="J493" s="8" t="inlineStr"/>
      <c r="K493" t="inlineStr">
        <is>
          <t>Board</t>
        </is>
      </c>
      <c r="L493" s="8" t="inlineStr">
        <is>
          <t>Office funds must be sourced from Board-approved budget and other sources, deposited in a bank registered under Banks Act, 1990, and used for expenses with possible investment.</t>
        </is>
      </c>
      <c r="M493" s="8" t="inlineStr"/>
      <c r="N493" s="8" t="inlineStr">
        <is>
          <t>[Must] funds provided by the Board on the basis of a budget submitted by the Ombud and approved by the latter
[Must] funds accruing to the Office from any other source
[Must] deposit all funds in an account opened with a bank registered under the Banks Act, 1990
[Must] utilise funds for defrayal of expenses incurred in performance of functions
[May] invest funds not required for immediate use</t>
        </is>
      </c>
      <c r="O493" s="8" t="inlineStr">
        <is>
          <t>22. (1) The funds of the Office consist of- (a) funds provided by the Board on the basis of a budget submitted by the Ombud and approved by the latter; and (b) funds accruing to the Office from any other source. (2) The Ombud must deposit all funds in an account opened with a bank registered under the Banks Act, 1990. (3) The Ombud must utilise such funds for the defrayal of expenses incurred in the performance of functions under this Act, and may invest funds which are not required for immediate use.</t>
        </is>
      </c>
    </row>
    <row r="494">
      <c r="A494" t="inlineStr">
        <is>
          <t>South Africa</t>
        </is>
      </c>
      <c r="B494" t="inlineStr">
        <is>
          <t>Financial Advisory and Intermediary Services Act (FAIS) 37 of 2002</t>
        </is>
      </c>
      <c r="C494" t="inlineStr">
        <is>
          <t>23</t>
        </is>
      </c>
      <c r="D494" s="8" t="inlineStr">
        <is>
          <t>(1) The  Ombud is the  accounting officer in respect of all funds  received  and all</t>
        </is>
      </c>
      <c r="E494" t="inlineStr">
        <is>
          <t>19–20</t>
        </is>
      </c>
      <c r="F494" t="inlineStr">
        <is>
          <t>Other</t>
        </is>
      </c>
      <c r="G494" t="inlineStr">
        <is>
          <t>High</t>
        </is>
      </c>
      <c r="H494" t="inlineStr">
        <is>
          <t>High (explicit)</t>
        </is>
      </c>
      <c r="I494" s="8" t="inlineStr"/>
      <c r="J494" s="8" t="inlineStr"/>
      <c r="K494" t="inlineStr">
        <is>
          <t>Auditor-General</t>
        </is>
      </c>
      <c r="L494" s="8" t="inlineStr">
        <is>
          <t>Ombud must maintain full financial records and prepare annual statements audited by Auditor-General within three months of financial year end.</t>
        </is>
      </c>
      <c r="M494" s="8" t="inlineStr"/>
      <c r="N494" s="8" t="inlineStr">
        <is>
          <t>[Must] keep a full and correct record of all funds received and payments made, and all assets, liabilities and financial transactions
[Must] prepare annual financial statements within three months after financial year end
[Must] have records and financial statements audited by Auditor-General</t>
        </is>
      </c>
      <c r="O494" s="8" t="inlineStr">
        <is>
          <t>23. (1) The Ombud is the accounting officer in respect of all funds received and all payments made in respect of expenses incurred by the Office. (2) The Ombud as accounting officer must- (a) keep a full and correct record of all funds received and payments made and all assets, liabilities and financial transactions of the Office; (b) as soon as is practicable, but not later than three months after the end of every financial year, prepare annual financial statements reflecting, with appropriate particulars, all funds received and payments made during, and all such assets, liabilities and transactions at the end of, the relevant financial year. (3) The records and financial statements mentioned in subsection (2) must be audited by the Auditor-General.</t>
        </is>
      </c>
    </row>
    <row r="495">
      <c r="A495" t="inlineStr">
        <is>
          <t>South Africa</t>
        </is>
      </c>
      <c r="B495" t="inlineStr">
        <is>
          <t>Financial Advisory and Intermediary Services Act (FAIS) 37 of 2002</t>
        </is>
      </c>
      <c r="C495" t="inlineStr">
        <is>
          <t>24</t>
        </is>
      </c>
      <c r="D495" s="8" t="inlineStr">
        <is>
          <t>The  Ombud may for the performance of functions in the Office and as  a  charge</t>
        </is>
      </c>
      <c r="E495" t="inlineStr">
        <is>
          <t>20</t>
        </is>
      </c>
      <c r="F495" t="inlineStr">
        <is>
          <t>Other</t>
        </is>
      </c>
      <c r="G495" t="inlineStr">
        <is>
          <t>High</t>
        </is>
      </c>
      <c r="H495" t="inlineStr">
        <is>
          <t>High (explicit)</t>
        </is>
      </c>
      <c r="I495" s="8" t="inlineStr"/>
      <c r="J495" s="8" t="inlineStr"/>
      <c r="K495" t="inlineStr"/>
      <c r="L495" s="8" t="inlineStr">
        <is>
          <t>Ombud may hire property, enter agreements, insure, employ staff, and do anything necessary for its functions.</t>
        </is>
      </c>
      <c r="M495" s="8" t="inlineStr"/>
      <c r="N495" s="8" t="inlineStr">
        <is>
          <t>[May] hire, purchase or otherwise acquire property
[May] enter into agreements for performance of specific acts or services
[May] insure the Office against loss, damage, risk or liability
[May] employ persons to assist the Ombud, determine terms of appointment, and delegate administrative functions
[May] obtain professional advice as may reasonably be required
[May] do anything necessary or expedient for achievement of Ombud's objectives</t>
        </is>
      </c>
      <c r="O495" s="8" t="inlineStr">
        <is>
          <t>24. The Ombud may for the performance of functions in the Office and as a charge against or for the benefit of the funds of the Office, as the case may be- (a) hire, purchase or otherwise acquire property, and let, sell or otherwise dispose of property so purchased or acquired; (b) enter into an agreement with any person for the performance of any specific act or function or the rendering of specific services; (c) insure the Office against any loss, damage, risk or liability; (d) employ persons to assist the Ombud, determine their terms of appointment and, subject to such conditions as may be determined by the Ombud, delegate or assign to any such employee, including a deputy ombud, any administrative function vesting in the Ombud in terms of this Part; (e) obtain such professional advice as may reasonably be required: and (f) in general, do anything which is necessary or expedient for the achievement of the objective of the Ombud.</t>
        </is>
      </c>
    </row>
    <row r="496">
      <c r="A496" t="inlineStr">
        <is>
          <t>South Africa</t>
        </is>
      </c>
      <c r="B496" t="inlineStr">
        <is>
          <t>Financial Advisory and Intermediary Services Act (FAIS) 37 of 2002</t>
        </is>
      </c>
      <c r="C496" t="inlineStr">
        <is>
          <t>25</t>
        </is>
      </c>
      <c r="D496" s="8" t="inlineStr">
        <is>
          <t>(1) The Office may not be disestablished</t>
        </is>
      </c>
      <c r="E496" t="inlineStr">
        <is>
          <t>20</t>
        </is>
      </c>
      <c r="F496" t="inlineStr">
        <is>
          <t>Other</t>
        </is>
      </c>
      <c r="G496" t="inlineStr">
        <is>
          <t>High</t>
        </is>
      </c>
      <c r="H496" t="inlineStr">
        <is>
          <t>High (explicit)</t>
        </is>
      </c>
      <c r="I496" s="8" t="inlineStr"/>
      <c r="J496" s="8" t="inlineStr"/>
      <c r="K496" t="inlineStr">
        <is>
          <t>Parliament</t>
        </is>
      </c>
      <c r="L496" s="8" t="inlineStr">
        <is>
          <t>Office may not be disestablished or liquidated except by an Act of Parliament.</t>
        </is>
      </c>
      <c r="M496" s="8" t="inlineStr"/>
      <c r="N496" s="8" t="inlineStr">
        <is>
          <t>[Must] Office may not be disestablished or liquidated except by an Act of Parliament</t>
        </is>
      </c>
      <c r="O496" s="8" t="inlineStr">
        <is>
          <t>25. (1) The Office may not be disestablished or liquidated except by an Act of Parliament. (2) In the event of any such disestablishment or liquidation, the surplus assets of the Office (if any) accrue to the Board.</t>
        </is>
      </c>
    </row>
    <row r="497">
      <c r="A497" t="inlineStr">
        <is>
          <t>South Africa</t>
        </is>
      </c>
      <c r="B497" t="inlineStr">
        <is>
          <t>Financial Advisory and Intermediary Services Act (FAIS) 37 of 2002</t>
        </is>
      </c>
      <c r="C497" t="inlineStr">
        <is>
          <t>26</t>
        </is>
      </c>
      <c r="D497" s="8" t="inlineStr">
        <is>
          <t>(1) The  Board may. after  consultation  with  the Advisory Committee.  make rules.</t>
        </is>
      </c>
      <c r="E497" t="inlineStr">
        <is>
          <t>20–21</t>
        </is>
      </c>
      <c r="F497" t="inlineStr">
        <is>
          <t>Other</t>
        </is>
      </c>
      <c r="G497" t="inlineStr">
        <is>
          <t>High</t>
        </is>
      </c>
      <c r="H497" t="inlineStr">
        <is>
          <t>High (explicit)</t>
        </is>
      </c>
      <c r="I497" s="8" t="inlineStr"/>
      <c r="J497" s="8" t="inlineStr"/>
      <c r="K497" t="inlineStr">
        <is>
          <t>Board</t>
        </is>
      </c>
      <c r="L497" s="8" t="inlineStr">
        <is>
          <t>Board may make rules regarding complaints, categories of complainants, complaint types, rights of complainants, and procedures.</t>
        </is>
      </c>
      <c r="M497" s="8" t="inlineStr"/>
      <c r="N497" s="8" t="inlineStr">
        <is>
          <t>[May] Board may make rules including different rules for different categories of complaints
[Must] Board must ensure rules do not detract from Ombud's independence
[Must] Board must publish rules made under subsection (1) in the Gazette</t>
        </is>
      </c>
      <c r="O497" s="8" t="inlineStr">
        <is>
          <t>26. (1) The Board may, after consultation with the Advisory Committee, make rules including different rules in respect of different categories of complaints or investigations by the Ombud, regarding- any matter which is required or permitted under this Act to be regulated by rule; the category of persons qualifying as complainants; the type of complaint justiciable by the Ombud, including a complaint relating to a financial service rendered by a person not authorised as a financial services provider or a person acting on behalf of such first-mentioned person; the rights of complainants in connection with complaints, including the manner of submitting a complaint to the authorised financial services provider or representative concerned; the rights and duties of any such provider or representative on receipt of any complaint, particularly in connection with the furnishing of replies to the complainant; the rights of a complainant to submit a complaint to the Ombud where the complainant is not satisfied with any reply received from the provider or representative concerned; the circumstances under which a complaint may be dismissed without consideration of its merits; the power of the Ombud to fix a time limit for any aspect of the proceedings before the Ombud and to extend a time limit; payment to the Office by the authorised financial services provider or representative involved in any complaint submitted to the Ombud, of case fees in respect of the consideration of the complaint by the Ombud; (c) liaison between the Ombud and the registrar, and administrative duties of those functionaries regarding mutual administrative support, exchange of information and reports, other regular consultations and avoidance of overlapping of their respective functions; and (d) any other administrative or procedural matter necessary or expedient for the better achievement of the objects of this Part, but which is not inconsistent with a provision of this Act. (2) The Board must- (a) ensure that no rule made under subsection (1) detracts from or affects the independence of the Ombud in any material way; (b) publish rules made under subsection (1) in the Gazette.</t>
        </is>
      </c>
    </row>
    <row r="498">
      <c r="A498" t="inlineStr">
        <is>
          <t>South Africa</t>
        </is>
      </c>
      <c r="B498" t="inlineStr">
        <is>
          <t>Financial Advisory and Intermediary Services Act (FAIS) 37 of 2002</t>
        </is>
      </c>
      <c r="C498" t="inlineStr">
        <is>
          <t>27</t>
        </is>
      </c>
      <c r="D498" s="8" t="inlineStr">
        <is>
          <t>(1 ) On submission of a complaint  to  the Office, the Ombud must-</t>
        </is>
      </c>
      <c r="E498" t="inlineStr">
        <is>
          <t>21–22</t>
        </is>
      </c>
      <c r="F498" t="inlineStr">
        <is>
          <t>Other</t>
        </is>
      </c>
      <c r="G498" t="inlineStr">
        <is>
          <t>High</t>
        </is>
      </c>
      <c r="H498" t="inlineStr">
        <is>
          <t>High (explicit)</t>
        </is>
      </c>
      <c r="I498" s="8" t="inlineStr"/>
      <c r="J498" s="8" t="inlineStr"/>
      <c r="K498" t="inlineStr"/>
      <c r="L498" s="8" t="inlineStr">
        <is>
          <t>Ombud must determine complaint eligibility, suspend prescription, and follow specific procedures for investigations.</t>
        </is>
      </c>
      <c r="M498" s="8" t="inlineStr"/>
      <c r="N498" s="8" t="inlineStr">
        <is>
          <t>[Must] determine whether complaint meets requirements of rules
[Must] official receipt of complaint suspends prescription for three years
[Must] decline to investigate complaints where act/omission occurred more than three years before complaint receipt
[Must] decline to investigate complaints where court proceedings have been instituted
[May] may determine complaint should be dealt with by court or other dispute resolution process
[Must] must not proceed with investigation unless all interested parties have been informed
[Must] must provide opportunity for response to complaint
[May] may follow procedures including mediation and allow legal representation
[Must] must explore reasonable prospect of resolving complaint by conciliation
[May] may make recommendations for conciliation with acceptance or rejection</t>
        </is>
      </c>
      <c r="O498" s="8" t="inlineStr">
        <is>
          <t>27. (1) On submission of a complaint to the Office, the Ombud must- (a) determine whether the requirements of the rules contemplated in section 26(1)(a)(iv) have been complied with; (b) otherwise officially receive the complaint if it qualifies as a complaint. (2) Official receipt of a complaint by the Ombud suspends the running of prescription in terms of the Prescription Act, 1969, for the period after such receipt of the complaint until the complaint has either been withdrawn, or determined by the Ombud or the board of appeal, as the case may be. (3) The following jurisdictional provisions apply to the Ombud in respect of the investigation of complaints: (a) (i) The Ombud must decline to investigate any complaint which relates to an act or omission which occurred on or after the date of commencement of this Act but on a date more than three years before the date of receipt of such complaint by the Office. (ii) Where the complainant was unaware of the occurrence of the act or omission contemplated in subparagraph (i), the period of three years commences from the date of the occurrence of the act or omission. (b) The Ombud must decline to investigate any complaint where court proceedings have been instituted. (4) The Ombud must not proceed with investigation unless all interested parties have been informed. (5) The Ombud must provide opportunity for response to complaint. (6) The Ombud may follow procedures including mediation and allow legal representation. (7) The Omb: must explore reasonable prospect of resolving complaint by conciliation.</t>
        </is>
      </c>
    </row>
    <row r="499">
      <c r="A499" t="inlineStr">
        <is>
          <t>South Africa</t>
        </is>
      </c>
      <c r="B499" t="inlineStr">
        <is>
          <t>Financial Advisory and Intermediary Services Act (FAIS) 37 of 2002</t>
        </is>
      </c>
      <c r="C499" t="inlineStr">
        <is>
          <t>28</t>
        </is>
      </c>
      <c r="D499" s="8" t="inlineStr">
        <is>
          <t>(1) The Ombud must in any case where a matter has not been settled or a</t>
        </is>
      </c>
      <c r="E499" t="inlineStr">
        <is>
          <t>22–23</t>
        </is>
      </c>
      <c r="F499" t="inlineStr">
        <is>
          <t>Other</t>
        </is>
      </c>
      <c r="G499" t="inlineStr">
        <is>
          <t>High</t>
        </is>
      </c>
      <c r="H499" t="inlineStr">
        <is>
          <t>High (explicit)</t>
        </is>
      </c>
      <c r="I499" s="8" t="inlineStr"/>
      <c r="J499" s="8" t="inlineStr"/>
      <c r="K499" t="inlineStr"/>
      <c r="L499" s="8" t="inlineStr">
        <is>
          <t>Ombud must issue determinations, send copies to registrar and parties, and determinations are treated as court judgments.</t>
        </is>
      </c>
      <c r="M499" s="8" t="inlineStr"/>
      <c r="N499" s="8" t="inlineStr">
        <is>
          <t>[Must] issue determinations with copies sent to registrar and parties
[Must] determinations are treated as civil judgments of a court
[Must] determinations are only appealable to board of appeal</t>
        </is>
      </c>
      <c r="O499" s="8" t="inlineStr">
        <is>
          <t>28. (1) The Ombud must issue determinations with copies sent to the registrar and all parties concerned with the complaint and, if no notice of appeal to the board of appeal has been lodged within the period required therefor, to the clerk or registrar of court which would have had jurisdiction in the matter had it been heard by a Court. (2) Where a notice of appeal has been lodged, the Ombud must send a copy of the final decision of the board of appeal to any such clerk or registrar. (3) A determination or a final decision of the board of appeal is regarded as a civil judgment of a Court, had the matter in question been heard by a Court, and must be so noted by the clerk or registrar, as the case may be, of that court. (4) A determination is only appealable to the board of appeal if the complexity of the matter or the reasonable likelihood that the board of appeal may reach a different conclusion.</t>
        </is>
      </c>
    </row>
    <row r="500">
      <c r="A500" t="inlineStr">
        <is>
          <t>South Africa</t>
        </is>
      </c>
      <c r="B500" t="inlineStr">
        <is>
          <t>Financial Advisory and Intermediary Services Act (FAIS) 37 of 2002</t>
        </is>
      </c>
      <c r="C500" t="inlineStr">
        <is>
          <t>29</t>
        </is>
      </c>
      <c r="D500" s="8" t="inlineStr">
        <is>
          <t>(1) The  Ombud must keep proper files and  records  in  respect of complaints as well</t>
        </is>
      </c>
      <c r="E500" t="inlineStr">
        <is>
          <t>23</t>
        </is>
      </c>
      <c r="F500" t="inlineStr">
        <is>
          <t>Other</t>
        </is>
      </c>
      <c r="G500" t="inlineStr">
        <is>
          <t>High</t>
        </is>
      </c>
      <c r="H500" t="inlineStr">
        <is>
          <t>High (explicit)</t>
        </is>
      </c>
      <c r="I500" s="8" t="inlineStr"/>
      <c r="J500" s="8" t="inlineStr"/>
      <c r="K500" t="inlineStr"/>
      <c r="L500" s="8" t="inlineStr">
        <is>
          <t>Ombud must keep proper files and records of complaints and determinations, with access for registrar and fee-based public access.</t>
        </is>
      </c>
      <c r="M500" s="8" t="inlineStr"/>
      <c r="N500" s="8" t="inlineStr">
        <is>
          <t>[Must] keep proper files and records of complaints and determinations
[Must] registrar has access to Ombud's files and records for performance of functions
[May] interested persons may obtain copies of records on payment of fee</t>
        </is>
      </c>
      <c r="O500" s="8" t="inlineStr">
        <is>
          <t>29. (1) The Ombud must keep proper files and records in respect of complaints as well as of any determination proceedings conducted in terms of section 28. (2) The registrar has, for the purposes of the performance of the registrar's functions under this or any other law, access to the Ombud's files and records and may without further proof rely on a copy of any record of proceedings signed by the Ombud. (3) Any interested person may, subject to the discretion of the Ombud and applicable rules of confidentiality, obtain a copy of any record on payment of a fee determined by the Ombud.</t>
        </is>
      </c>
    </row>
    <row r="501">
      <c r="A501" t="inlineStr">
        <is>
          <t>South Africa</t>
        </is>
      </c>
      <c r="B501" t="inlineStr">
        <is>
          <t>Financial Advisory and Intermediary Services Act (FAIS) 37 of 2002</t>
        </is>
      </c>
      <c r="C501" t="inlineStr">
        <is>
          <t>30</t>
        </is>
      </c>
      <c r="D501" s="8" t="inlineStr">
        <is>
          <t>(1) The  Ombud must during every year, within six months after the end of the</t>
        </is>
      </c>
      <c r="E501" t="inlineStr">
        <is>
          <t>23</t>
        </is>
      </c>
      <c r="F501" t="inlineStr">
        <is>
          <t>Other</t>
        </is>
      </c>
      <c r="G501" t="inlineStr">
        <is>
          <t>High</t>
        </is>
      </c>
      <c r="H501" t="inlineStr">
        <is>
          <t>High (explicit)</t>
        </is>
      </c>
      <c r="I501" s="8" t="inlineStr"/>
      <c r="J501" s="8" t="inlineStr"/>
      <c r="K501" t="inlineStr"/>
      <c r="L501" s="8" t="inlineStr">
        <is>
          <t>Ombud must submit annual report to Board and Minister within six months after financial year end.</t>
        </is>
      </c>
      <c r="M501" s="8" t="inlineStr"/>
      <c r="N501" s="8" t="inlineStr">
        <is>
          <t>[Must] submit annual report to Board within six months after financial year end
[Must] submit copy of report to Minister</t>
        </is>
      </c>
      <c r="O501" s="8" t="inlineStr">
        <is>
          <t>30. (1) The Ombud must during every year, within six months after the end of the financial year of the Ombud, submit a report to the Board on the affairs and functions of the Ombud during the financial year in question, including the annual financial statements referred to in section 23(2)(6). (2) The Ombud must at the same time submit a copy of the report to the Minister.</t>
        </is>
      </c>
    </row>
    <row r="502">
      <c r="A502" t="inlineStr">
        <is>
          <t>South Africa</t>
        </is>
      </c>
      <c r="B502" t="inlineStr">
        <is>
          <t>Financial Advisory and Intermediary Services Act (FAIS) 37 of 2002</t>
        </is>
      </c>
      <c r="C502" t="inlineStr">
        <is>
          <t>30</t>
        </is>
      </c>
      <c r="D502" s="8" t="inlineStr">
        <is>
          <t>A record  purporting to have</t>
        </is>
      </c>
      <c r="E502" t="inlineStr">
        <is>
          <t>35</t>
        </is>
      </c>
      <c r="F502" t="inlineStr">
        <is>
          <t>Other</t>
        </is>
      </c>
      <c r="G502" t="inlineStr">
        <is>
          <t>Unknown</t>
        </is>
      </c>
      <c r="H502" t="inlineStr">
        <is>
          <t>Low</t>
        </is>
      </c>
      <c r="I502" s="8" t="inlineStr"/>
      <c r="J502" s="8" t="inlineStr"/>
      <c r="K502" t="inlineStr"/>
      <c r="L502" s="8" t="inlineStr"/>
      <c r="M502" s="8" t="inlineStr"/>
      <c r="N502" s="8" t="inlineStr"/>
      <c r="O502" s="8" t="inlineStr"/>
    </row>
    <row r="503">
      <c r="A503" t="inlineStr">
        <is>
          <t>South Africa</t>
        </is>
      </c>
      <c r="B503" t="inlineStr">
        <is>
          <t>Financial Advisory and Intermediary Services Act (FAIS) 37 of 2002</t>
        </is>
      </c>
      <c r="C503" t="inlineStr">
        <is>
          <t>31</t>
        </is>
      </c>
      <c r="D503" s="8" t="inlineStr">
        <is>
          <t>Any person who-</t>
        </is>
      </c>
      <c r="E503" t="inlineStr">
        <is>
          <t>23</t>
        </is>
      </c>
      <c r="F503" t="inlineStr">
        <is>
          <t>Other</t>
        </is>
      </c>
      <c r="G503" t="inlineStr">
        <is>
          <t>High</t>
        </is>
      </c>
      <c r="H503" t="inlineStr">
        <is>
          <t>High (explicit)</t>
        </is>
      </c>
      <c r="I503" s="8" t="inlineStr"/>
      <c r="J503" s="8" t="inlineStr"/>
      <c r="K503" t="inlineStr"/>
      <c r="L503" s="8" t="inlineStr">
        <is>
          <t>Contempt of court or interference with Ombud proceedings is an offence punishable by fine or imprisonment.</t>
        </is>
      </c>
      <c r="M503" s="8" t="inlineStr"/>
      <c r="N503" s="8" t="inlineStr">
        <is>
          <t>[Guilty of offence] commit acts in respect of Ombud or investigations that would constitute contempt of court
[Guilty of offence] anticipate Ombud determination to influence it
[Guilty of offence] wilfully interrupt Ombud proceedings</t>
        </is>
      </c>
      <c r="O503" s="8" t="inlineStr">
        <is>
          <t>31. Any person who- (a) commits any act in respect of the Ombud or an investigation by the Ombud which, if committed in respect of a court of law, would have constituted contempt of court, is guilty of an offence and liable on conviction to any penalty which may be imposed on a conviction of contempt of court; or (b) anticipates a determination of the Ombud in any manner calculated to influence the determination, or wilfully interrupts any proceedings conducted by the Ombud, is guilty of an offence and liable on conviction to a fine or to imprisonment for a period not exceeding one year.</t>
        </is>
      </c>
    </row>
    <row r="504">
      <c r="A504" t="inlineStr">
        <is>
          <t>South Africa</t>
        </is>
      </c>
      <c r="B504" t="inlineStr">
        <is>
          <t>Financial Advisory and Intermediary Services Act (FAIS) 37 of 2002</t>
        </is>
      </c>
      <c r="C504" t="inlineStr">
        <is>
          <t>31</t>
        </is>
      </c>
      <c r="D504" s="8" t="inlineStr">
        <is>
          <t>(1) If a court-</t>
        </is>
      </c>
      <c r="E504" t="inlineStr">
        <is>
          <t>36–37</t>
        </is>
      </c>
      <c r="F504" t="inlineStr">
        <is>
          <t>Other</t>
        </is>
      </c>
      <c r="G504" t="inlineStr">
        <is>
          <t>High</t>
        </is>
      </c>
      <c r="H504" t="inlineStr">
        <is>
          <t>High (explicit)</t>
        </is>
      </c>
      <c r="I504" s="8" t="inlineStr">
        <is>
          <t>Financial Data</t>
        </is>
      </c>
      <c r="J504" s="8" t="inlineStr">
        <is>
          <t>Financial Data</t>
        </is>
      </c>
      <c r="K504" t="inlineStr"/>
      <c r="L504" s="8" t="inlineStr">
        <is>
          <t>Courts may declare members, officers, or employees disqualified for dishonest conduct in financial services.</t>
        </is>
      </c>
      <c r="M504" s="8" t="inlineStr"/>
      <c r="N504" s="8" t="inlineStr">
        <is>
          <t>[Must] the court may declare that member, officer or employee of a member [or person] to be disqualified for an indefinite period or for a period specified by the court, from carrying on the business of a member or from being an officer or employee of a member</t>
        </is>
      </c>
      <c r="O504" s="8" t="inlineStr">
        <is>
          <t>31. (1) If a court convicts a member or officer or employee of a member [or a person approved in terms of section 51 of an offence under this Act or of an offence of which any dishonest act or omission is an element; or finds, in proceedings to which a member or officer or employee of a member [or a person approved in terms of section 51 or such person's officer or employee] is a party or in which such member's, officer's or employee's [or person's] conduct is called in question, that such member, officer or employee [or person] has been guilty of dishonest conduct, the court may (in addition, in a case referred to in paragraph (a) to any sentence it may impose) declare that member, officer or employee of a member [or person] to be disqualified for an indefinite period or for a period specified by the court, from carrying on the business of a member or from being an officer or employee of a member.</t>
        </is>
      </c>
    </row>
    <row r="505">
      <c r="A505" t="inlineStr">
        <is>
          <t>South Africa</t>
        </is>
      </c>
      <c r="B505" t="inlineStr">
        <is>
          <t>Financial Advisory and Intermediary Services Act (FAIS) 37 of 2002</t>
        </is>
      </c>
      <c r="C505" t="inlineStr">
        <is>
          <t>32</t>
        </is>
      </c>
      <c r="D505" s="8" t="inlineStr">
        <is>
          <t>CHAPTER VI</t>
        </is>
      </c>
      <c r="E505" t="inlineStr">
        <is>
          <t>3</t>
        </is>
      </c>
      <c r="F505" t="inlineStr">
        <is>
          <t>Cross-border Transfer</t>
        </is>
      </c>
      <c r="G505" t="inlineStr">
        <is>
          <t>High</t>
        </is>
      </c>
      <c r="H505" t="inlineStr">
        <is>
          <t>Medium (minor interpretation)</t>
        </is>
      </c>
      <c r="I505" s="8" t="inlineStr"/>
      <c r="J505" s="8" t="inlineStr"/>
      <c r="K505" t="inlineStr">
        <is>
          <t>Ombud for Financial Services Providers</t>
        </is>
      </c>
      <c r="L505" s="8" t="inlineStr">
        <is>
          <t>Outlines enforcement mechanisms including ombud office, funding, accountability, and penalties for financial services providers.</t>
        </is>
      </c>
      <c r="M505" s="8" t="inlineStr"/>
      <c r="N505" s="8" t="inlineStr">
        <is>
          <t>[Must] Appointment of Ombud and deputy ombuds
[Must] Funding of Office
[Must] Accountability
[Must] General administrative powers of Ombud
[Must] Disestablishment and liquidation of Office
[Must] Powers of Board
[Must] Receipt of complaints, prescription, jurisdiction and investigation
[Must] Determinations by Ombud
[Must] Record-keeping
[Must] Report of Ombud
[Must] Penalties</t>
        </is>
      </c>
      <c r="O505" s="8" t="inlineStr">
        <is>
          <t>32. CHAPTER VI ENFORCEMENT</t>
        </is>
      </c>
    </row>
    <row r="506">
      <c r="A506" t="inlineStr">
        <is>
          <t>South Africa</t>
        </is>
      </c>
      <c r="B506" t="inlineStr">
        <is>
          <t>Financial Advisory and Intermediary Services Act (FAIS) 37 of 2002</t>
        </is>
      </c>
      <c r="C506" t="inlineStr">
        <is>
          <t>32</t>
        </is>
      </c>
      <c r="D506" s="8" t="inlineStr">
        <is>
          <t>The registrar may take any steps  conducive  to client  education and the promotion</t>
        </is>
      </c>
      <c r="E506" t="inlineStr">
        <is>
          <t>23</t>
        </is>
      </c>
      <c r="F506" t="inlineStr">
        <is>
          <t>Other</t>
        </is>
      </c>
      <c r="G506" t="inlineStr">
        <is>
          <t>High</t>
        </is>
      </c>
      <c r="H506" t="inlineStr">
        <is>
          <t>High (explicit)</t>
        </is>
      </c>
      <c r="I506" s="8" t="inlineStr"/>
      <c r="J506" s="8" t="inlineStr"/>
      <c r="K506" t="inlineStr">
        <is>
          <t>Registrar</t>
        </is>
      </c>
      <c r="L506" s="8" t="inlineStr">
        <is>
          <t>Registrar may take steps to promote client education and awareness of Ombud and enforcement measures.</t>
        </is>
      </c>
      <c r="M506" s="8" t="inlineStr"/>
      <c r="N506" s="8" t="inlineStr">
        <is>
          <t>[May] take steps conducive to client education and promotion of awareness of Ombud and enforcement measures</t>
        </is>
      </c>
      <c r="O506" s="8" t="inlineStr">
        <is>
          <t>32. The registrar may take any steps conducive to client education and the promotion of awareness of the nature and availability of the Ombud and other enforcement measures established by or in terms of this Act, including arrangements with the Ombud, representative bodies of the financial services industry, client and consumer bodies, or product suppliers and authorised financial services providers and their representatives to assist in the disclosure of information to the general public on matters dealt with in this Act.</t>
        </is>
      </c>
    </row>
    <row r="507">
      <c r="A507" t="inlineStr">
        <is>
          <t>South Africa</t>
        </is>
      </c>
      <c r="B507" t="inlineStr">
        <is>
          <t>Financial Advisory and Intermediary Services Act (FAIS) 37 of 2002</t>
        </is>
      </c>
      <c r="C507" t="inlineStr">
        <is>
          <t>33</t>
        </is>
      </c>
      <c r="D507" s="8" t="inlineStr">
        <is>
          <t>(1) The registrar may, when satisfied on the  basis</t>
        </is>
      </c>
      <c r="E507" t="inlineStr">
        <is>
          <t>23–24</t>
        </is>
      </c>
      <c r="F507" t="inlineStr">
        <is>
          <t>Enforcement</t>
        </is>
      </c>
      <c r="G507" t="inlineStr">
        <is>
          <t>High</t>
        </is>
      </c>
      <c r="H507" t="inlineStr">
        <is>
          <t>High (explicit)</t>
        </is>
      </c>
      <c r="I507" s="8" t="inlineStr"/>
      <c r="J507" s="8" t="inlineStr">
        <is>
          <t>Financial Data</t>
        </is>
      </c>
      <c r="K507" t="inlineStr">
        <is>
          <t>Registrar</t>
        </is>
      </c>
      <c r="L507" s="8" t="inlineStr">
        <is>
          <t>Registrar may apply to court for restraining order and remedial steps if person contravenes or fails to comply with Act provisions.</t>
        </is>
      </c>
      <c r="M507" s="8" t="inlineStr">
        <is>
          <t>Registrar can seek court order to restrain contraventions and require remedial actions for affected clients.</t>
        </is>
      </c>
      <c r="N507" s="8" t="inlineStr">
        <is>
          <t>[Must] Registrar may apply to court for restraining order if person contravenes or fails to comply with Act provisions
[Must] Registrar may require remedial steps to rectify consequences of contraventions</t>
        </is>
      </c>
      <c r="O507" s="8" t="inlineStr">
        <is>
          <t>33. (1) The registrar may, when satisfied on the basis of available facts and information that a person has contravened or not complied with any provision of this Act, or is likely so to contravene or not to comply, apply to a Court for an order restraining such person from continuing to commit any such act or omission or from committing it in future, and requiring the person to take such remedial steps as the Court deems necessary to rectify the consequences of the act or omission.</t>
        </is>
      </c>
    </row>
    <row r="508">
      <c r="A508" t="inlineStr">
        <is>
          <t>South Africa</t>
        </is>
      </c>
      <c r="B508" t="inlineStr">
        <is>
          <t>Financial Advisory and Intermediary Services Act (FAIS) 37 of 2002</t>
        </is>
      </c>
      <c r="C508" t="inlineStr">
        <is>
          <t>34</t>
        </is>
      </c>
      <c r="D508" s="8" t="inlineStr">
        <is>
          <t>( I ) Subject to subsections (2) and (3), the  registrar may. after consultation with the</t>
        </is>
      </c>
      <c r="E508" t="inlineStr">
        <is>
          <t>24–25</t>
        </is>
      </c>
      <c r="F508" t="inlineStr">
        <is>
          <t>Enforcement</t>
        </is>
      </c>
      <c r="G508" t="inlineStr">
        <is>
          <t>High</t>
        </is>
      </c>
      <c r="H508" t="inlineStr">
        <is>
          <t>High (explicit)</t>
        </is>
      </c>
      <c r="I508" s="8" t="inlineStr"/>
      <c r="J508" s="8" t="inlineStr"/>
      <c r="K508" t="inlineStr">
        <is>
          <t>Registrar</t>
        </is>
      </c>
      <c r="L508" s="8" t="inlineStr">
        <is>
          <t>Registrar may declare business practices undesirable after consultation with Advisory Committee, subject to specific criteria.</t>
        </is>
      </c>
      <c r="M508" s="8" t="inlineStr">
        <is>
          <t>Registrar can declare business practices undesirable if they harm clients or public, with publication requirements.</t>
        </is>
      </c>
      <c r="N508" s="8" t="inlineStr">
        <is>
          <t>[Must] Registrar may declare business practice undesirable after consultation with Advisory Committee
[Must] Declaration must not harm client relations or unfairly affect clients
[Must] Registrar must publish intention to make declaration with reasons and invite written representations</t>
        </is>
      </c>
      <c r="O508" s="8" t="inlineStr">
        <is>
          <t>34. (1) Subject to subsections (2) and (3), the registrar may, after consultation with the Advisory Committee, by notice in the Gazette declare a particular business practice to be undesirable for all or a category of authorised financial services providers.</t>
        </is>
      </c>
    </row>
    <row r="509">
      <c r="A509" t="inlineStr">
        <is>
          <t>South Africa</t>
        </is>
      </c>
      <c r="B509" t="inlineStr">
        <is>
          <t>Financial Advisory and Intermediary Services Act (FAIS) 37 of 2002</t>
        </is>
      </c>
      <c r="C509" t="inlineStr">
        <is>
          <t>35</t>
        </is>
      </c>
      <c r="D509" s="8" t="inlineStr">
        <is>
          <t>(1 ) The Minister may by notice in the Gazerre, after  consultation  with the registrar 10</t>
        </is>
      </c>
      <c r="E509" t="inlineStr">
        <is>
          <t>25</t>
        </is>
      </c>
      <c r="F509" t="inlineStr">
        <is>
          <t>Other</t>
        </is>
      </c>
      <c r="G509" t="inlineStr">
        <is>
          <t>High</t>
        </is>
      </c>
      <c r="H509" t="inlineStr">
        <is>
          <t>High (explicit)</t>
        </is>
      </c>
      <c r="I509" s="8" t="inlineStr"/>
      <c r="J509" s="8" t="inlineStr"/>
      <c r="K509" t="inlineStr">
        <is>
          <t>Minister</t>
        </is>
      </c>
      <c r="L509" s="8" t="inlineStr">
        <is>
          <t>Minister may make regulations for financial services providers, including prohibitions on unauthorized marketing and advertising.</t>
        </is>
      </c>
      <c r="M509" s="8" t="inlineStr">
        <is>
          <t>Regulations can prohibit unauthorized marketing, advertising, and use of titles indicating authorization.</t>
        </is>
      </c>
      <c r="N509" s="8" t="inlineStr">
        <is>
          <t>[Must] Minister may make regulations for financial services providers
[Must] Regulations may prohibit unauthorized marketing and advertising</t>
        </is>
      </c>
      <c r="O509" s="8" t="inlineStr">
        <is>
          <t>35. (1) The Minister may by notice in the Gazette, after consultation with the registrar and the Advisory Committee, make regulations relating to any matter which is required or permitted to be prescribed under this Act.</t>
        </is>
      </c>
    </row>
    <row r="510">
      <c r="A510" t="inlineStr">
        <is>
          <t>South Africa</t>
        </is>
      </c>
      <c r="B510" t="inlineStr">
        <is>
          <t>Financial Advisory and Intermediary Services Act (FAIS) 37 of 2002</t>
        </is>
      </c>
      <c r="C510" t="inlineStr">
        <is>
          <t>35</t>
        </is>
      </c>
      <c r="D510" s="8" t="inlineStr">
        <is>
          <t>( 1 ) The  plovisions of this Act do not apply to the rendering of financial services</t>
        </is>
      </c>
      <c r="E510" t="inlineStr">
        <is>
          <t>28–29</t>
        </is>
      </c>
      <c r="F510" t="inlineStr">
        <is>
          <t>Exemptions</t>
        </is>
      </c>
      <c r="G510" t="inlineStr">
        <is>
          <t>High</t>
        </is>
      </c>
      <c r="H510" t="inlineStr">
        <is>
          <t>High (explicit)</t>
        </is>
      </c>
      <c r="I510" s="8" t="inlineStr"/>
      <c r="J510" s="8" t="inlineStr">
        <is>
          <t>Financial Data</t>
        </is>
      </c>
      <c r="K510" t="inlineStr"/>
      <c r="L510" s="8" t="inlineStr">
        <is>
          <t>This Act does not apply to financial services provided by certain entities including authorized users, clearing houses, central securities depositories, managers, executors, administrators, trustees, liquidators, and minors under specific conditions.</t>
        </is>
      </c>
      <c r="M510" s="8" t="inlineStr">
        <is>
          <t>Exemptions for specific entities from applying the Act to financial services, relevant for DTIA scope determination.</t>
        </is>
      </c>
      <c r="N510" s="8" t="inlineStr">
        <is>
          <t>[Must Not] The provisions of this Act do not apply to the rendering of financial services</t>
        </is>
      </c>
      <c r="O510" s="8" t="inlineStr">
        <is>
          <t>35. (1) The provisions of this Act do not apply to the rendering of financial services</t>
        </is>
      </c>
    </row>
    <row r="511">
      <c r="A511" t="inlineStr">
        <is>
          <t>South Africa</t>
        </is>
      </c>
      <c r="B511" t="inlineStr">
        <is>
          <t>Financial Advisory and Intermediary Services Act (FAIS) 37 of 2002</t>
        </is>
      </c>
      <c r="C511" t="inlineStr">
        <is>
          <t>36</t>
        </is>
      </c>
      <c r="D511" s="8" t="inlineStr">
        <is>
          <t>Any person w h o -</t>
        </is>
      </c>
      <c r="E511" t="inlineStr">
        <is>
          <t>25</t>
        </is>
      </c>
      <c r="F511" t="inlineStr">
        <is>
          <t>Other</t>
        </is>
      </c>
      <c r="G511" t="inlineStr">
        <is>
          <t>High</t>
        </is>
      </c>
      <c r="H511" t="inlineStr">
        <is>
          <t>High (explicit)</t>
        </is>
      </c>
      <c r="I511" s="8" t="inlineStr"/>
      <c r="J511" s="8" t="inlineStr"/>
      <c r="K511" t="inlineStr"/>
      <c r="L511" s="8" t="inlineStr">
        <is>
          <t>Offence for making misleading statements or concealing material facts in financial services applications.</t>
        </is>
      </c>
      <c r="M511" s="8" t="inlineStr">
        <is>
          <t>False statements in financial services applications constitute offences with penalties.</t>
        </is>
      </c>
      <c r="N511" s="8" t="inlineStr">
        <is>
          <t>[Must] Person guilty of offence if they make misleading, false or deceptive statements or conceal material facts in applications</t>
        </is>
      </c>
      <c r="O511" s="8" t="inlineStr">
        <is>
          <t>36. Any person who (a) contravenes or fails to comply with a provision of section 7(1), 8(8), 13(1), 14(1), 18, 19(2) or 34(4) or (6): or (b) in any application in terms of this Act, deliberately makes a misleading, false or deceptive statement, or conceals any material fact, is guilty of an offence and is on conviction liable to a fine not exceeding R1 000 000 or to imprisonment for a period not exceeding 10 years, or to both such fine and such imprisonment.</t>
        </is>
      </c>
    </row>
    <row r="512">
      <c r="A512" t="inlineStr">
        <is>
          <t>South Africa</t>
        </is>
      </c>
      <c r="B512" t="inlineStr">
        <is>
          <t>Financial Advisory and Intermediary Services Act (FAIS) 37 of 2002</t>
        </is>
      </c>
      <c r="C512" t="inlineStr">
        <is>
          <t>37</t>
        </is>
      </c>
      <c r="D512" s="8" t="inlineStr">
        <is>
          <t>(1) In the consideration of the quantum of any  penalty  under  section 36, the  Court</t>
        </is>
      </c>
      <c r="E512" t="inlineStr">
        <is>
          <t>25–26</t>
        </is>
      </c>
      <c r="F512" t="inlineStr">
        <is>
          <t>Enforcement</t>
        </is>
      </c>
      <c r="G512" t="inlineStr">
        <is>
          <t>High</t>
        </is>
      </c>
      <c r="H512" t="inlineStr">
        <is>
          <t>High (explicit)</t>
        </is>
      </c>
      <c r="I512" s="8" t="inlineStr"/>
      <c r="J512" s="8" t="inlineStr">
        <is>
          <t>Financial Data</t>
        </is>
      </c>
      <c r="K512" t="inlineStr">
        <is>
          <t>Court</t>
        </is>
      </c>
      <c r="L512" s="8" t="inlineStr">
        <is>
          <t>Court must consider penalties from section 36 when determining penalty amounts under section 36.</t>
        </is>
      </c>
      <c r="M512" s="8" t="inlineStr">
        <is>
          <t>Court must consider penalties from section 36 when determining penalty amounts under section 36.</t>
        </is>
      </c>
      <c r="N512" s="8" t="inlineStr">
        <is>
          <t>[Must] Court must consider any award made under section 33 when determining penalty quantum under section 36</t>
        </is>
      </c>
      <c r="O512" s="8" t="inlineStr">
        <is>
          <t>37. (1) In the consideration of the quantum of any penalty under section 36, the Court must take into consideration any award made or to be made under section 33, from the same cause.</t>
        </is>
      </c>
    </row>
    <row r="513">
      <c r="A513" t="inlineStr">
        <is>
          <t>South Africa</t>
        </is>
      </c>
      <c r="B513" t="inlineStr">
        <is>
          <t>Financial Advisory and Intermediary Services Act (FAIS) 37 of 2002</t>
        </is>
      </c>
      <c r="C513" t="inlineStr">
        <is>
          <t>38</t>
        </is>
      </c>
      <c r="D513" s="8" t="inlineStr">
        <is>
          <t>N o -</t>
        </is>
      </c>
      <c r="E513" t="inlineStr">
        <is>
          <t>26</t>
        </is>
      </c>
      <c r="F513" t="inlineStr">
        <is>
          <t>Enforcement</t>
        </is>
      </c>
      <c r="G513" t="inlineStr">
        <is>
          <t>High</t>
        </is>
      </c>
      <c r="H513" t="inlineStr">
        <is>
          <t>High (explicit)</t>
        </is>
      </c>
      <c r="I513" s="8" t="inlineStr"/>
      <c r="J513" s="8" t="inlineStr"/>
      <c r="K513" t="inlineStr">
        <is>
          <t>Registrar</t>
        </is>
      </c>
      <c r="L513" s="8" t="inlineStr">
        <is>
          <t>Voluntary business closures must be approved by registrar to ensure client liabilities are met.</t>
        </is>
      </c>
      <c r="M513" s="8" t="inlineStr">
        <is>
          <t>Business closures must be approved by registrar to ensure client liabilities are met.</t>
        </is>
      </c>
      <c r="N513" s="8" t="inlineStr">
        <is>
          <t>[Must] Voluntary business closures must be approved by registrar to ensure client liabilities are met</t>
        </is>
      </c>
      <c r="O513" s="8" t="inlineStr">
        <is>
          <t>38. No application for the acceptance of the voluntary surrender of the estate in terms of section 3 of the Insolvency Act, 1936, of; special resolution relating to the winding-up, as contemplated in section 349 of the Companies Act, 1973, and registered in terms of that Act, of; written resolution relating to the winding-up, as contemplated in section 67 of the Close Corporations Act, 1984, and registered in terms of that section, of; or voluntary closure of business by any authorised financial services provider, or representative of such provider, and no special resolution in terms of the constitution of such a provider or representative which is not a company, to close its business, have legal force unless a copy or notice thereof has been lodged with the registrar and the registrar has declared that arrangements satisfactory to the registrar have been made to meet all liabilities under transactions entered into with clients prior to sequestration, winding-up or closure.</t>
        </is>
      </c>
    </row>
    <row r="514">
      <c r="A514" t="inlineStr">
        <is>
          <t>South Africa</t>
        </is>
      </c>
      <c r="B514" t="inlineStr">
        <is>
          <t>Financial Advisory and Intermediary Services Act (FAIS) 37 of 2002</t>
        </is>
      </c>
      <c r="C514" t="inlineStr">
        <is>
          <t>39</t>
        </is>
      </c>
      <c r="D514" s="8" t="inlineStr">
        <is>
          <t>Any person who  feels aggrieved by any  decision  by the registrar or the Ombud</t>
        </is>
      </c>
      <c r="E514" t="inlineStr">
        <is>
          <t>26</t>
        </is>
      </c>
      <c r="F514" t="inlineStr">
        <is>
          <t>Enforcement</t>
        </is>
      </c>
      <c r="G514" t="inlineStr">
        <is>
          <t>High</t>
        </is>
      </c>
      <c r="H514" t="inlineStr">
        <is>
          <t>High (explicit)</t>
        </is>
      </c>
      <c r="I514" s="8" t="inlineStr"/>
      <c r="J514" s="8" t="inlineStr"/>
      <c r="K514" t="inlineStr">
        <is>
          <t>Financial Services Board</t>
        </is>
      </c>
      <c r="L514" s="8" t="inlineStr">
        <is>
          <t>Appeal rights for decisions affecting clients by registrar or Ombud.</t>
        </is>
      </c>
      <c r="M514" s="8" t="inlineStr">
        <is>
          <t>Clients can appeal decisions by registrar or Ombud to Financial Services Board Board.</t>
        </is>
      </c>
      <c r="N514" s="8" t="inlineStr">
        <is>
          <t>[Must] Person aggrieved by registrar or Ombud decision may appeal to Financial Services Board Board</t>
        </is>
      </c>
      <c r="O514" s="8" t="inlineStr">
        <is>
          <t>39. Any person who feels aggrieved by any decision by the registrar or the Ombud under this Act which affects that person, may appeal to the board of appeal established by section 26(1) of the Financial Services Board Act, in respect of which section 26 applies with the necessary changes.</t>
        </is>
      </c>
    </row>
    <row r="515">
      <c r="A515" t="inlineStr">
        <is>
          <t>South Africa</t>
        </is>
      </c>
      <c r="B515" t="inlineStr">
        <is>
          <t>Financial Advisory and Intermediary Services Act (FAIS) 37 of 2002</t>
        </is>
      </c>
      <c r="C515" t="inlineStr">
        <is>
          <t>40</t>
        </is>
      </c>
      <c r="D515" s="8" t="inlineStr">
        <is>
          <t>No provision of this Act, and no act performed under or in terms of any such</t>
        </is>
      </c>
      <c r="E515" t="inlineStr">
        <is>
          <t>26</t>
        </is>
      </c>
      <c r="F515" t="inlineStr">
        <is>
          <t>Enforcement</t>
        </is>
      </c>
      <c r="G515" t="inlineStr">
        <is>
          <t>High</t>
        </is>
      </c>
      <c r="H515" t="inlineStr">
        <is>
          <t>High (explicit)</t>
        </is>
      </c>
      <c r="I515" s="8" t="inlineStr"/>
      <c r="J515" s="8" t="inlineStr"/>
      <c r="K515" t="inlineStr"/>
      <c r="L515" s="8" t="inlineStr">
        <is>
          <t>Client rights to legal redress unaffected by this Act.</t>
        </is>
      </c>
      <c r="M515" s="8" t="inlineStr">
        <is>
          <t>Client legal redress rights remain unaffected by this Act.</t>
        </is>
      </c>
      <c r="N515" s="8" t="inlineStr">
        <is>
          <t>[Must] No provision of this Act affects client rights to seek legal redress</t>
        </is>
      </c>
      <c r="O515" s="8" t="inlineStr">
        <is>
          <t>40. No provision of this Act, and no act performed under or in terms of any such provision, may be construed as affecting any right of a client, or other affected person, to seek appropriate legal redress in terms of common law or any other statutory law, and whether relating to civil or criminal matters, in respect of the rendering of any financial service by an authorised financial services provider, or representative of such provider, or any act of a person who is not an authorised financial services provider or a representative of such a provider.</t>
        </is>
      </c>
    </row>
    <row r="516">
      <c r="A516" t="inlineStr">
        <is>
          <t>South Africa</t>
        </is>
      </c>
      <c r="B516" t="inlineStr">
        <is>
          <t>Financial Advisory and Intermediary Services Act (FAIS) 37 of 2002</t>
        </is>
      </c>
      <c r="C516" t="inlineStr">
        <is>
          <t>41</t>
        </is>
      </c>
      <c r="D516" s="8" t="inlineStr">
        <is>
          <t>(1) (a) The Minister  must, after  consultation  with  the registrar, by notice in the</t>
        </is>
      </c>
      <c r="E516" t="inlineStr">
        <is>
          <t>26–27</t>
        </is>
      </c>
      <c r="F516" t="inlineStr">
        <is>
          <t>Other</t>
        </is>
      </c>
      <c r="G516" t="inlineStr">
        <is>
          <t>High</t>
        </is>
      </c>
      <c r="H516" t="inlineStr">
        <is>
          <t>High (explicit)</t>
        </is>
      </c>
      <c r="I516" s="8" t="inlineStr"/>
      <c r="J516" s="8" t="inlineStr">
        <is>
          <t>Financial Data</t>
        </is>
      </c>
      <c r="K516" t="inlineStr">
        <is>
          <t>Minister</t>
        </is>
      </c>
      <c r="L516" s="8" t="inlineStr">
        <is>
          <t>Minister must determine fees for registrar decisions and penalties for non-compliance.</t>
        </is>
      </c>
      <c r="M516" s="8" t="inlineStr">
        <is>
          <t>Fees for registrar decisions must be determined by Minister, with penalties for non-compliance.</t>
        </is>
      </c>
      <c r="N516" s="8" t="inlineStr">
        <is>
          <t>[Must] Minister must determine fees payable to registrar by persons seeking decisions
[Must] Penalties for non-furnished returns may be imposed by registrar</t>
        </is>
      </c>
      <c r="O516" s="8" t="inlineStr">
        <is>
          <t>41. (1) (a) The Minister must, after consultation with the registrar, by notice in the Gazette, determine the fees payable to the registrar by any person, or category of persons, seeking a decision or the performance of any other act by the registrar under this Act and referred to in section 3(1).</t>
        </is>
      </c>
    </row>
    <row r="517">
      <c r="A517" t="inlineStr">
        <is>
          <t>South Africa</t>
        </is>
      </c>
      <c r="B517" t="inlineStr">
        <is>
          <t>Financial Advisory and Intermediary Services Act (FAIS) 37 of 2002</t>
        </is>
      </c>
      <c r="C517" t="inlineStr">
        <is>
          <t>42</t>
        </is>
      </c>
      <c r="D517" s="8" t="inlineStr">
        <is>
          <t>The registrar may disclose information obtained</t>
        </is>
      </c>
      <c r="E517" t="inlineStr">
        <is>
          <t>27</t>
        </is>
      </c>
      <c r="F517" t="inlineStr">
        <is>
          <t>Data Sharing</t>
        </is>
      </c>
      <c r="G517" t="inlineStr">
        <is>
          <t>High</t>
        </is>
      </c>
      <c r="H517" t="inlineStr">
        <is>
          <t>High (explicit)</t>
        </is>
      </c>
      <c r="I517" s="8" t="inlineStr">
        <is>
          <t>Data Sharing</t>
        </is>
      </c>
      <c r="J517" s="8" t="inlineStr"/>
      <c r="K517" t="inlineStr">
        <is>
          <t>Registrar</t>
        </is>
      </c>
      <c r="L517" s="8" t="inlineStr">
        <is>
          <t>Registrar may disclose information to authorities for public interest, with confidentiality conditions.</t>
        </is>
      </c>
      <c r="M517" s="8" t="inlineStr">
        <is>
          <t>Registrar may share client information with regulators and authorities for public interest, with confidentiality conditions.</t>
        </is>
      </c>
      <c r="N517" s="8" t="inlineStr">
        <is>
          <t>[Must] Registrar may disclose information to departments of state or financial regulators for public interest</t>
        </is>
      </c>
      <c r="O517" s="8" t="inlineStr">
        <is>
          <t>42. The registrar may disclose information obtained in the course of performing functions in terms of this Act, unless such disclosure will not be in the public interest, but subject to any guidelines issued by the Board to the registrar.</t>
        </is>
      </c>
    </row>
    <row r="518">
      <c r="A518" t="inlineStr">
        <is>
          <t>South Africa</t>
        </is>
      </c>
      <c r="B518" t="inlineStr">
        <is>
          <t>Financial Advisory and Intermediary Services Act (FAIS) 37 of 2002</t>
        </is>
      </c>
      <c r="C518" t="inlineStr">
        <is>
          <t>43</t>
        </is>
      </c>
      <c r="D518" s="8" t="inlineStr">
        <is>
          <t>The Minister. the  Board or a member  thereof, any  officer or  employee assisting the</t>
        </is>
      </c>
      <c r="E518" t="inlineStr">
        <is>
          <t>27</t>
        </is>
      </c>
      <c r="F518" t="inlineStr">
        <is>
          <t>Other</t>
        </is>
      </c>
      <c r="G518" t="inlineStr">
        <is>
          <t>High</t>
        </is>
      </c>
      <c r="H518" t="inlineStr">
        <is>
          <t>High (explicit)</t>
        </is>
      </c>
      <c r="I518" s="8" t="inlineStr"/>
      <c r="J518" s="8" t="inlineStr">
        <is>
          <t>Financial Data</t>
        </is>
      </c>
      <c r="K518" t="inlineStr">
        <is>
          <t>Minister</t>
        </is>
      </c>
      <c r="L518" s="8" t="inlineStr">
        <is>
          <t>Minister, Board, and employees not liable for losses from lawful actions under this Act.</t>
        </is>
      </c>
      <c r="M518" s="8" t="inlineStr">
        <is>
          <t>Regulators not liable for losses from lawful actions under this Act.</t>
        </is>
      </c>
      <c r="N518" s="8" t="inlineStr">
        <is>
          <t>[Must] Minister, Board, and employees not liable for losses from lawful actions under this Act</t>
        </is>
      </c>
      <c r="O518" s="8" t="inlineStr">
        <is>
          <t>43. The Minister, the Board or a member thereof, any officer or employee assisting the Board, the registrar, the Advisory Committee or any member thereof, the Ombud and any employee in the Office of the Ombud, or other body or person performing any function in terms of this Act, is not liable for any loss sustained by or damage caused to any person as a result of anything done or omitted by any of them in the bona fide exercise of any power or carrying out of any duty or performance of any function under or in terms of a provision of this Act.</t>
        </is>
      </c>
    </row>
    <row r="519">
      <c r="A519" t="inlineStr">
        <is>
          <t>South Africa</t>
        </is>
      </c>
      <c r="B519" t="inlineStr">
        <is>
          <t>Financial Advisory and Intermediary Services Act (FAIS) 37 of 2002</t>
        </is>
      </c>
      <c r="C519" t="inlineStr">
        <is>
          <t>44</t>
        </is>
      </c>
      <c r="D519" s="8" t="inlineStr">
        <is>
          <t>(1 ) The registrar  may on or after  the commencement of this  Act, but prior to the</t>
        </is>
      </c>
      <c r="E519" t="inlineStr">
        <is>
          <t>27–28</t>
        </is>
      </c>
      <c r="F519" t="inlineStr">
        <is>
          <t>Exemptions</t>
        </is>
      </c>
      <c r="G519" t="inlineStr">
        <is>
          <t>High</t>
        </is>
      </c>
      <c r="H519" t="inlineStr">
        <is>
          <t>High (explicit)</t>
        </is>
      </c>
      <c r="I519" s="8" t="inlineStr"/>
      <c r="J519" s="8" t="inlineStr"/>
      <c r="K519" t="inlineStr">
        <is>
          <t>Registrar</t>
        </is>
      </c>
      <c r="L519" s="8" t="inlineStr">
        <is>
          <t>Registrar may exempt persons from provisions if they are already regulated or won't cause hardship.</t>
        </is>
      </c>
      <c r="M519" s="8" t="inlineStr">
        <is>
          <t>Registrar may exempt persons from provisions if they are already regulated or won't cause hardship.</t>
        </is>
      </c>
      <c r="N519" s="8" t="inlineStr">
        <is>
          <t>[Must] Registrar may exempt persons from provisions if they are already partially or wholly regulated by other law
[Must] Exemptions must not cause financial or other hardship to clients</t>
        </is>
      </c>
      <c r="O519" s="8" t="inlineStr">
        <is>
          <t>44. (1) The registrar may on or after the commencement of this Act, but prior to the date determined by the Minister in terms of section 7(1), exempt any person or category of persons from the provisions of that section if the registrar is satisfied that- (a) the rendering of any financial service by the applicant is already partially or wholly regulated by any other law; or (b) the application of the said section to the applicant will cause the applicant or clients of the applicant financial or other hardship or prejudice; and (c) the granting of the exemption will not- (i) conflict with the public interest; (ii) prejudice the interests of clients; and (iii) frustrate the achievement of the objects of this Act.</t>
        </is>
      </c>
    </row>
    <row r="520">
      <c r="A520" t="inlineStr">
        <is>
          <t>South Africa</t>
        </is>
      </c>
      <c r="B520" t="inlineStr">
        <is>
          <t>Financial Advisory and Intermediary Services Act (FAIS) 37 of 2002</t>
        </is>
      </c>
      <c r="C520" t="inlineStr">
        <is>
          <t>46</t>
        </is>
      </c>
      <c r="D520" s="8" t="inlineStr">
        <is>
          <t>This Act is called the Financial Advisory and Intermediary Services Act, 2002, 45</t>
        </is>
      </c>
      <c r="E520" t="inlineStr">
        <is>
          <t>29–30</t>
        </is>
      </c>
      <c r="F520" t="inlineStr">
        <is>
          <t>Other</t>
        </is>
      </c>
      <c r="G520" t="inlineStr">
        <is>
          <t>None</t>
        </is>
      </c>
      <c r="H520" t="inlineStr">
        <is>
          <t>High (explicit)</t>
        </is>
      </c>
      <c r="I520" s="8" t="inlineStr"/>
      <c r="J520" s="8" t="inlineStr"/>
      <c r="K520" t="inlineStr"/>
      <c r="L520" s="8" t="inlineStr">
        <is>
          <t>This Act is called the Financial Advisory and Intermediary Services Act, 2002 and comes into operation on a date fixed by the President by proclamation in the Gazette.</t>
        </is>
      </c>
      <c r="M520" s="8" t="inlineStr"/>
      <c r="N520" s="8" t="inlineStr"/>
      <c r="O520" s="8" t="inlineStr">
        <is>
          <t>46. This Act is called the Financial Advisory and Intermediary Services Act, 2002, 45 and comes into operation on a date fixed by the President by proclamation in the Gazette.</t>
        </is>
      </c>
    </row>
    <row r="521">
      <c r="A521" t="inlineStr">
        <is>
          <t>South Africa</t>
        </is>
      </c>
      <c r="B521" t="inlineStr">
        <is>
          <t>Financial Advisory and Intermediary Services Act (FAIS) 37 of 2002</t>
        </is>
      </c>
      <c r="C521" t="inlineStr">
        <is>
          <t>50</t>
        </is>
      </c>
      <c r="D521" s="8" t="inlineStr">
        <is>
          <t>(1) If a court-</t>
        </is>
      </c>
      <c r="E521" t="inlineStr">
        <is>
          <t>32–33</t>
        </is>
      </c>
      <c r="F521" t="inlineStr">
        <is>
          <t>Other</t>
        </is>
      </c>
      <c r="G521" t="inlineStr">
        <is>
          <t>High</t>
        </is>
      </c>
      <c r="H521" t="inlineStr">
        <is>
          <t>High (explicit)</t>
        </is>
      </c>
      <c r="I521" s="8" t="inlineStr">
        <is>
          <t>Financial Data</t>
        </is>
      </c>
      <c r="J521" s="8" t="inlineStr">
        <is>
          <t>Financial Data</t>
        </is>
      </c>
      <c r="K521" t="inlineStr"/>
      <c r="L521" s="8" t="inlineStr">
        <is>
          <t>Courts may declare members, officers, or employees disqualified for dishonest conduct in financial services.</t>
        </is>
      </c>
      <c r="M521" s="8" t="inlineStr"/>
      <c r="N521" s="8" t="inlineStr">
        <is>
          <t>[Must] the court may declare that member, officer or employee of a member [person or such person's officer or employee] to be disqualified for an indefinite period or for a period specified by the court, from carrying on the business of a member or from being an officer or employee of a member</t>
        </is>
      </c>
      <c r="O521" s="8" t="inlineStr">
        <is>
          <t>50. (1) If a court convicts a member or an officer or employee of a member [or a person approved in terms of section 41 under this Act or of an offence of which any dishonest act or omission is an element; or finds, in proceedings to which a member or an officer or employee of a member [a person approved in terms of section 41 or such person's officer or employee] is a party or in which [his] such member's, officer's or employee's conduct is called in question, that such member, officer or employee has been guilty of dishonest conduct, the court may (in addition, in a case referred to in paragraph (a), to any sentence it may impose) declare that member, officer or employee of a member [person or such person's officer or employee] to be disqualified for an indefinite period or for a period specified by the court, from carrying on the business of a member or from being an officer or employee of a  member.</t>
        </is>
      </c>
    </row>
    <row r="522">
      <c r="A522" t="inlineStr">
        <is>
          <t>South Africa</t>
        </is>
      </c>
      <c r="B522" t="inlineStr">
        <is>
          <t>Financial Advisory and Intermediary Services Act (FAIS) 37 of 2002</t>
        </is>
      </c>
      <c r="C522" t="inlineStr">
        <is>
          <t>1993</t>
        </is>
      </c>
      <c r="D522" s="8" t="inlineStr">
        <is>
          <t>to the extent that such application is regulated in the code of conduct  contemplated</t>
        </is>
      </c>
      <c r="E522" t="inlineStr">
        <is>
          <t>7</t>
        </is>
      </c>
      <c r="F522" t="inlineStr">
        <is>
          <t>Cross-border Transfer</t>
        </is>
      </c>
      <c r="G522" t="inlineStr">
        <is>
          <t>Low</t>
        </is>
      </c>
      <c r="H522" t="inlineStr">
        <is>
          <t>High (explicit)</t>
        </is>
      </c>
      <c r="I522" s="8" t="inlineStr"/>
      <c r="J522" s="8" t="inlineStr"/>
      <c r="K522" t="inlineStr"/>
      <c r="L522" s="8" t="inlineStr">
        <is>
          <t>Applies the Act to natural persons acting within official duties of the State unless otherwise determined by the Minister.</t>
        </is>
      </c>
      <c r="M522" s="8" t="inlineStr"/>
      <c r="N522" s="8" t="inlineStr">
        <is>
          <t>[Must] to the extent that such application is regulated in the code of conduct</t>
        </is>
      </c>
      <c r="O522" s="8" t="inlineStr">
        <is>
          <t>1993. to the extent that such application is regulated in the code of conduct contemplated in section 15(2)(b).</t>
        </is>
      </c>
    </row>
    <row r="523">
      <c r="A523" t="inlineStr">
        <is>
          <t>South Africa</t>
        </is>
      </c>
      <c r="B523" t="inlineStr">
        <is>
          <t>Joint Standard 1 of 2023 - IT Governance and Risk Management</t>
        </is>
      </c>
      <c r="C523" t="inlineStr">
        <is>
          <t>3</t>
        </is>
      </c>
      <c r="D523" s="8" t="inlineStr">
        <is>
          <t>Definitions and interpretation</t>
        </is>
      </c>
      <c r="E523" t="inlineStr">
        <is>
          <t>3–5</t>
        </is>
      </c>
      <c r="F523" t="inlineStr">
        <is>
          <t>Definitions</t>
        </is>
      </c>
      <c r="G523" t="inlineStr">
        <is>
          <t>Low</t>
        </is>
      </c>
      <c r="H523" t="inlineStr">
        <is>
          <t>High (explicit)</t>
        </is>
      </c>
      <c r="I523" s="8" t="inlineStr"/>
      <c r="J523" s="8" t="inlineStr"/>
      <c r="K523" t="inlineStr"/>
      <c r="L523" s="8" t="inlineStr">
        <is>
          <t>Defines key terms including financial institutions, Authorities, fit and proper, and IT-related concepts for the Joint Standard.</t>
        </is>
      </c>
      <c r="M523" s="8" t="inlineStr"/>
      <c r="N523" s="8" t="inlineStr"/>
      <c r="O523" s="8" t="inlineStr">
        <is>
          <t>3. Definitions and interpretation</t>
        </is>
      </c>
    </row>
    <row r="524">
      <c r="A524" t="inlineStr">
        <is>
          <t>South Africa</t>
        </is>
      </c>
      <c r="B524" t="inlineStr">
        <is>
          <t>Joint Standard 1 of 2023 - IT Governance and Risk Management</t>
        </is>
      </c>
      <c r="C524" t="inlineStr">
        <is>
          <t>4</t>
        </is>
      </c>
      <c r="D524" s="8" t="inlineStr">
        <is>
          <t>Application</t>
        </is>
      </c>
      <c r="E524" t="inlineStr">
        <is>
          <t>5</t>
        </is>
      </c>
      <c r="F524" t="inlineStr">
        <is>
          <t>Processing</t>
        </is>
      </c>
      <c r="G524" t="inlineStr">
        <is>
          <t>High</t>
        </is>
      </c>
      <c r="H524" t="inlineStr">
        <is>
          <t>High (explicit)</t>
        </is>
      </c>
      <c r="I524" s="8" t="inlineStr"/>
      <c r="J524" s="8" t="inlineStr">
        <is>
          <t>Financial Data</t>
        </is>
      </c>
      <c r="K524" t="inlineStr"/>
      <c r="L524" s="8" t="inlineStr">
        <is>
          <t>Specifies that financial institutions must mitigate IT risks for all related entities, including foreign branches and subsidiaries, and align requirements with their risk profile.</t>
        </is>
      </c>
      <c r="M524" s="8" t="inlineStr">
        <is>
          <t>Financial institutions must address IT risks for all local and foreign entities under their control, including subsidiaries, to ensure compliance with the Joint Standard.</t>
        </is>
      </c>
      <c r="N524" s="8" t="inlineStr">
        <is>
          <t>[Must] A financial institution that is a bank, or a controlling company must ensure that any risks relating to IT risk from juristic persons and branches structured under the bank or the controlling company (both local and foreign), including all relevant subsidiaries approved in terms of section 52 of the Banks Act, 1990, are catered for and mitigated in the application of the requirements of this Joint Standard.
[Must] A financial institution that is an insurer or a controlling company of an insurance group must ensure that any risks relating to IT from juristic persons structured under the insurer or the controlling company (both local and foreign) and from the insurance group designated under section 10 of the Insurance Act, 2017 are catered for and mitigated in the application of the requirements of this Joint Standard.</t>
        </is>
      </c>
      <c r="O524" s="8" t="inlineStr">
        <is>
          <t>4.1 This Joint Standard applies to financial institutions as defined.</t>
        </is>
      </c>
    </row>
    <row r="525">
      <c r="A525" t="inlineStr">
        <is>
          <t>South Africa</t>
        </is>
      </c>
      <c r="B525" t="inlineStr">
        <is>
          <t>Joint Standard 1 of 2023 - IT Governance and Risk Management</t>
        </is>
      </c>
      <c r="C525" t="inlineStr">
        <is>
          <t>5</t>
        </is>
      </c>
      <c r="D525" s="8" t="inlineStr">
        <is>
          <t>Roles and responsibilities</t>
        </is>
      </c>
      <c r="E525" t="inlineStr">
        <is>
          <t>5–6</t>
        </is>
      </c>
      <c r="F525" t="inlineStr">
        <is>
          <t>Governance</t>
        </is>
      </c>
      <c r="G525" t="inlineStr">
        <is>
          <t>High</t>
        </is>
      </c>
      <c r="H525" t="inlineStr">
        <is>
          <t>High (explicit)</t>
        </is>
      </c>
      <c r="I525" s="8" t="inlineStr"/>
      <c r="J525" s="8" t="inlineStr">
        <is>
          <t>Financial Data</t>
        </is>
      </c>
      <c r="K525" t="inlineStr"/>
      <c r="L525" s="8" t="inlineStr">
        <is>
          <t>Governing body is ultimately responsible for IT compliance, must establish a sound IT risk management framework, and define roles and responsibilities.</t>
        </is>
      </c>
      <c r="M525" s="8" t="inlineStr">
        <is>
          <t>Governing body must ensure IT risk management framework and define roles for IT risk oversight.</t>
        </is>
      </c>
      <c r="N525" s="8" t="inlineStr">
        <is>
          <t>[Must] The governing body is ultimately responsible for ensuring that the financial institution complies with the requirements as set out in this Joint Standard.
[Must] The governing body must ensure, together with senior management, that a sound and robust IT risk management framework and IT strategy is established and maintained.
[Must] The governing body must clearly define the roles and responsibilities of all management, execution, oversight and control functions as well as committees established for the purpose of exercising oversight of IT risks.</t>
        </is>
      </c>
      <c r="O525" s="8" t="inlineStr">
        <is>
          <t>5.1 The governing body is ultimately responsible for ensuring that the financial institution complies with the requirements as set out in this Joint Standard.</t>
        </is>
      </c>
    </row>
    <row r="526">
      <c r="A526" t="inlineStr">
        <is>
          <t>South Africa</t>
        </is>
      </c>
      <c r="B526" t="inlineStr">
        <is>
          <t>Joint Standard 1 of 2023 - IT Governance and Risk Management</t>
        </is>
      </c>
      <c r="C526" t="inlineStr">
        <is>
          <t>6</t>
        </is>
      </c>
      <c r="D526" s="8" t="inlineStr">
        <is>
          <t>IT strategy</t>
        </is>
      </c>
      <c r="E526" t="inlineStr">
        <is>
          <t>6</t>
        </is>
      </c>
      <c r="F526" t="inlineStr">
        <is>
          <t>Other</t>
        </is>
      </c>
      <c r="G526" t="inlineStr">
        <is>
          <t>High</t>
        </is>
      </c>
      <c r="H526" t="inlineStr">
        <is>
          <t>High (explicit)</t>
        </is>
      </c>
      <c r="I526" s="8" t="inlineStr"/>
      <c r="J526" s="8" t="inlineStr">
        <is>
          <t>Financial Data</t>
        </is>
      </c>
      <c r="K526" t="inlineStr"/>
      <c r="L526" s="8" t="inlineStr">
        <is>
          <t>Financial institutions must have IT strategy approved by governing body, aligned with business strategy, and reviewed annually.</t>
        </is>
      </c>
      <c r="M526" s="8" t="inlineStr">
        <is>
          <t>IT strategy must be approved by governing body, aligned with business strategy, and reviewed at least annually.</t>
        </is>
      </c>
      <c r="N526" s="8" t="inlineStr">
        <is>
          <t>[Must] A financial institution must ensure that its IT strategy is approved by the governing body and aligned with its overall business strategy.
[Must] The IT strategy of a financial institution must be reviewed regularly, but at least annually, in consideration of market, industry, technology and other relevant developments.</t>
        </is>
      </c>
      <c r="O526" s="8" t="inlineStr">
        <is>
          <t>6.1 A financial institution must ensure that its IT strategy is approved by the governing body and aligned with its overall business strategy.</t>
        </is>
      </c>
    </row>
    <row r="527">
      <c r="A527" t="inlineStr">
        <is>
          <t>South Africa</t>
        </is>
      </c>
      <c r="B527" t="inlineStr">
        <is>
          <t>Joint Standard 1 of 2023 - IT Governance and Risk Management</t>
        </is>
      </c>
      <c r="C527" t="inlineStr">
        <is>
          <t>7</t>
        </is>
      </c>
      <c r="D527" s="8" t="inlineStr">
        <is>
          <t>IT risk management framework</t>
        </is>
      </c>
      <c r="E527" t="inlineStr">
        <is>
          <t>6–8</t>
        </is>
      </c>
      <c r="F527" t="inlineStr">
        <is>
          <t>Other</t>
        </is>
      </c>
      <c r="G527" t="inlineStr">
        <is>
          <t>High</t>
        </is>
      </c>
      <c r="H527" t="inlineStr">
        <is>
          <t>High (explicit)</t>
        </is>
      </c>
      <c r="I527" s="8" t="inlineStr"/>
      <c r="J527" s="8" t="inlineStr">
        <is>
          <t>Financial Data</t>
        </is>
      </c>
      <c r="K527" t="inlineStr"/>
      <c r="L527" s="8" t="inlineStr">
        <is>
          <t>Financial institutions must establish an IT risk management framework approved by governing body, incorporating policies, risk identification, and monitoring processes.</t>
        </is>
      </c>
      <c r="M527" s="8" t="inlineStr">
        <is>
          <t>Financial institutions must establish an IT risk management framework that includes risk identification, assessment, and monitoring processes.</t>
        </is>
      </c>
      <c r="N527" s="8" t="inlineStr">
        <is>
          <t>[Must] A financial institution must establish an IT risk management framework to manage IT risks in a systematic and consistent manner.
[Must] The IT risk management framework of a financial institution must be approved by the governing body and reviewed regularly, but at least annually.
[Must] The IT risk management framework of a financial institution must, at a minimum, incorporate policies, standards and procedures in managing IT risks and safeguarding IT assets.
[Must] The IT risk management framework must include identification and prioritisation of IT assets.
[Must] The IT risk management framework must include identification and assessment of impact and likelihood of current and emerging threats, risks and vulnerabilities.
[Must] The IT risk management framework must include implementation of appropriate practices and controls to manage risks.
[Must] The IT risk management framework must include periodic updates and monitoring of risk assessments.
[Must] The IT risk management framework must include people management measures for staff, service providers and contractors.</t>
        </is>
      </c>
      <c r="O527" s="8" t="inlineStr">
        <is>
          <t>7.1 A financial institution must establish an IT risk management framework to manage IT risks in a systematic and consistent manner.</t>
        </is>
      </c>
    </row>
    <row r="528">
      <c r="A528" t="inlineStr">
        <is>
          <t>South Africa</t>
        </is>
      </c>
      <c r="B528" t="inlineStr">
        <is>
          <t>Joint Standard 1 of 2023 - IT Governance and Risk Management</t>
        </is>
      </c>
      <c r="C528" t="inlineStr">
        <is>
          <t>8</t>
        </is>
      </c>
      <c r="D528" s="8" t="inlineStr">
        <is>
          <t>Oversight of IT risk management</t>
        </is>
      </c>
      <c r="E528" t="inlineStr">
        <is>
          <t>8</t>
        </is>
      </c>
      <c r="F528" t="inlineStr">
        <is>
          <t>Other</t>
        </is>
      </c>
      <c r="G528" t="inlineStr">
        <is>
          <t>High</t>
        </is>
      </c>
      <c r="H528" t="inlineStr">
        <is>
          <t>High (explicit)</t>
        </is>
      </c>
      <c r="I528" s="8" t="inlineStr"/>
      <c r="J528" s="8" t="inlineStr">
        <is>
          <t>Financial Data</t>
        </is>
      </c>
      <c r="K528" t="inlineStr"/>
      <c r="L528" s="8" t="inlineStr">
        <is>
          <t>Oversight of IT risk management must be incorporated into governance structures and reporting lines to the governing body.</t>
        </is>
      </c>
      <c r="M528" s="8" t="inlineStr">
        <is>
          <t>Oversight of IT risk management must be part of governance structures with reporting lines to the governing body.</t>
        </is>
      </c>
      <c r="N528" s="8" t="inlineStr">
        <is>
          <t>[Must] Oversight of IT risk management must be incorporated into the governance and risk management structures, processes and procedures of a financial institution, including provisions relating to reporting lines to the governing body.</t>
        </is>
      </c>
      <c r="O528" s="8" t="inlineStr">
        <is>
          <t>8.1 Oversight of IT risk management must be incorporated into the governance and risk management structures, processes and procedures of a financial institution, including provisions relating to reporting lines to the governing body.</t>
        </is>
      </c>
    </row>
    <row r="529">
      <c r="A529" t="inlineStr">
        <is>
          <t>South Africa</t>
        </is>
      </c>
      <c r="B529" t="inlineStr">
        <is>
          <t>Joint Standard 1 of 2023 - IT Governance and Risk Management</t>
        </is>
      </c>
      <c r="C529" t="inlineStr">
        <is>
          <t>9</t>
        </is>
      </c>
      <c r="D529" s="8" t="inlineStr">
        <is>
          <t>IT operations</t>
        </is>
      </c>
      <c r="E529" t="inlineStr">
        <is>
          <t>8–9</t>
        </is>
      </c>
      <c r="F529" t="inlineStr">
        <is>
          <t>Other</t>
        </is>
      </c>
      <c r="G529" t="inlineStr">
        <is>
          <t>High</t>
        </is>
      </c>
      <c r="H529" t="inlineStr">
        <is>
          <t>High (explicit)</t>
        </is>
      </c>
      <c r="I529" s="8" t="inlineStr"/>
      <c r="J529" s="8" t="inlineStr">
        <is>
          <t>Financial Data</t>
        </is>
      </c>
      <c r="K529" t="inlineStr"/>
      <c r="L529" s="8" t="inlineStr">
        <is>
          <t>Financial institutions must implement robust IT service management policies, change management, incident handling, and backup procedures.</t>
        </is>
      </c>
      <c r="M529" s="8" t="inlineStr">
        <is>
          <t>Financial institutions must implement IT service management policies, change management, incident handling, and backup procedures.</t>
        </is>
      </c>
      <c r="N529" s="8" t="inlineStr">
        <is>
          <t>[Must] A financial institution must develop a robust set of IT service management policies, standards, processes and procedures (framework) which is essential for supporting IT systems, services and operations, managing changes, incidents and problems as well as ensuring the stability of the production IT environment.
[Must] The IT service management framework must comprise a governance structure for change management, software release management, incident and problem management as well as capacity management.
[Must] A financial institution must manage its IT operations based on documented and implemented policies, processes and procedures.
[Must] A financial institution must maintain efficiency of its IT operations, including, but not limited to the need to consider how to minimise potential incidents arising from the execution of manual tasks.
[Must] A financial institution must implement appropriate logging and monitoring procedures for critical IT operations to allow the detection, analysis and correction of incidents.
[Must] A financial institution must store the configuration of the IT assets and the links and interdependencies between the different IT assets, to enable an appropriate configuration management process.
[Must] A financial institution must implement performance, capacity planning and monitoring processes to prevent, detect and respond to important performance issues of IT systems and IT capacity shortages in a timely manner.
[Must] A financial institution must define and implement IT system backup and restoration procedures to ensure recovery of IT systems as required.
[Must] A financial institution must establish and implement an effective IT change management process to ensure that all changes to IT systems are recorded, tested, assessed, approved, implemented and verified in a controlled manner.
[Must] A financial institution must establish and implement a problem and incident management process to identify, track (including timing), log, categorise and classify incidents according to priority, based on business criticality.</t>
        </is>
      </c>
      <c r="O529" s="8" t="inlineStr">
        <is>
          <t>9.1 A financial institution must develop a robust set of IT service management policies, standards, processes and procedures (framework) which is essential for supporting IT systems, services and operations, managing changes, incidents and problems as well as ensuring the stability of the production IT environment.</t>
        </is>
      </c>
    </row>
    <row r="530">
      <c r="A530" t="inlineStr">
        <is>
          <t>South Africa</t>
        </is>
      </c>
      <c r="B530" t="inlineStr">
        <is>
          <t>Joint Standard 1 of 2023 - IT Governance and Risk Management</t>
        </is>
      </c>
      <c r="C530" t="inlineStr">
        <is>
          <t>10</t>
        </is>
      </c>
      <c r="D530" s="8" t="inlineStr">
        <is>
          <t>Handling of sensitive or confidential information</t>
        </is>
      </c>
      <c r="E530" t="inlineStr">
        <is>
          <t>9–10</t>
        </is>
      </c>
      <c r="F530" t="inlineStr">
        <is>
          <t>Other</t>
        </is>
      </c>
      <c r="G530" t="inlineStr">
        <is>
          <t>High</t>
        </is>
      </c>
      <c r="H530" t="inlineStr">
        <is>
          <t>High (explicit)</t>
        </is>
      </c>
      <c r="I530" s="8" t="inlineStr"/>
      <c r="J530" s="8" t="inlineStr">
        <is>
          <t>Financial Data</t>
        </is>
      </c>
      <c r="K530" t="inlineStr"/>
      <c r="L530" s="8" t="inlineStr">
        <is>
          <t>Financial institutions must protect sensitive information, implement access controls, and ensure data accuracy and compliance with legislation.</t>
        </is>
      </c>
      <c r="M530" s="8" t="inlineStr">
        <is>
          <t>Financial institutions must protect sensitive information, implement access controls, and ensure data accuracy and compliance with legislation.</t>
        </is>
      </c>
      <c r="N530" s="8" t="inlineStr">
        <is>
          <t>[Must] A financial institution must define, document and implement appropriate measures to protect sensitive or confidential information such as customer personal account and transaction data.
[Must] A financial institution must define, document and implement procedures for logical access control (identity and access management).
[Must] A financial institution must implement appropriate measures to address risks of data theft, data loss and data leakage from endpoint devices, customer service locations and call centres.
[Must] A financial institution must ensure that information processed, stored or transmitted between itself and its customers is accurate, reliable and complete.
[Must] A financial institution must conduct independent reviews to assess compliance with the measures implemented.
[Must] A financial institution must ensure that all personal information is processed in accordance with the requirements of all applicable legislation, including the Protection of Personal Information Act, 2013.</t>
        </is>
      </c>
      <c r="O530" s="8" t="inlineStr">
        <is>
          <t>10.1 A financial institution must define, document and implement appropriate measures to - (a) protect sensitive or confidential information such as customer personal account and transaction data which are stored and processed in systems; and (b) mitigate IT risks and protect information assets in accordance with its sensitivity classification.</t>
        </is>
      </c>
    </row>
    <row r="531">
      <c r="A531" t="inlineStr">
        <is>
          <t>South Africa</t>
        </is>
      </c>
      <c r="B531" t="inlineStr">
        <is>
          <t>Joint Standard 1 of 2023 - IT Governance and Risk Management</t>
        </is>
      </c>
      <c r="C531" t="inlineStr">
        <is>
          <t>11</t>
        </is>
      </c>
      <c r="D531" s="8" t="inlineStr">
        <is>
          <t>Risks associated with financial products and financial services</t>
        </is>
      </c>
      <c r="E531" t="inlineStr">
        <is>
          <t>10</t>
        </is>
      </c>
      <c r="F531" t="inlineStr">
        <is>
          <t>Financial Data</t>
        </is>
      </c>
      <c r="G531" t="inlineStr">
        <is>
          <t>High</t>
        </is>
      </c>
      <c r="H531" t="inlineStr">
        <is>
          <t>High (explicit)</t>
        </is>
      </c>
      <c r="I531" s="8" t="inlineStr">
        <is>
          <t>Security</t>
        </is>
      </c>
      <c r="J531" s="8" t="inlineStr">
        <is>
          <t>Financial Data</t>
        </is>
      </c>
      <c r="K531" t="inlineStr">
        <is>
          <t>Financial institutions</t>
        </is>
      </c>
      <c r="L531" s="8" t="inlineStr">
        <is>
          <t>Financial institutions must identify IT risks for financial products/services and implement security controls, system availability, and recovery capabilities proportional to risk exposure.</t>
        </is>
      </c>
      <c r="M531" s="8" t="inlineStr">
        <is>
          <t>Requires financial institutions to assess IT risks for financial products/services and implement proportional security controls, system availability, and recovery capabilities.</t>
        </is>
      </c>
      <c r="N531" s="8" t="inlineStr">
        <is>
          <t>[Must] A financial institution must clearly identify IT risks associated with the types of financial products or financial services being offered, and formulate security controls, system availability and recovery capabilities, which are commensurate with the level of risk exposure for all operations, including the internet-facing operations.</t>
        </is>
      </c>
      <c r="O531" s="8" t="inlineStr">
        <is>
          <t>A financial institution must clearly identify IT risks associated with the types of financial products or financial services being offered, and formulate security controls, system availability and recovery capabilities, which are commensurate with the level of risk exposure for all operations, including the internet-facing operations.</t>
        </is>
      </c>
    </row>
    <row r="532">
      <c r="A532" t="inlineStr">
        <is>
          <t>South Africa</t>
        </is>
      </c>
      <c r="B532" t="inlineStr">
        <is>
          <t>Joint Standard 1 of 2023 - IT Governance and Risk Management</t>
        </is>
      </c>
      <c r="C532" t="inlineStr">
        <is>
          <t>12</t>
        </is>
      </c>
      <c r="D532" s="8" t="inlineStr">
        <is>
          <t>IT programme and/or project management</t>
        </is>
      </c>
      <c r="E532" t="inlineStr">
        <is>
          <t>10–11</t>
        </is>
      </c>
      <c r="F532" t="inlineStr">
        <is>
          <t>Financial Data</t>
        </is>
      </c>
      <c r="G532" t="inlineStr">
        <is>
          <t>High</t>
        </is>
      </c>
      <c r="H532" t="inlineStr">
        <is>
          <t>High (explicit)</t>
        </is>
      </c>
      <c r="I532" s="8" t="inlineStr"/>
      <c r="J532" s="8" t="inlineStr">
        <is>
          <t>Financial Data</t>
        </is>
      </c>
      <c r="K532" t="inlineStr"/>
      <c r="L532" s="8" t="inlineStr">
        <is>
          <t>Financial institutions must develop IT programme/project management frameworks with governance, risk management, and change control processes, ensuring security requirements are independent and approved.</t>
        </is>
      </c>
      <c r="M532" s="8" t="inlineStr">
        <is>
          <t>Requires financial institutions to establish IT programme/project management frameworks with governance, risk assessment, and change control, ensuring security requirements are independent and approved.</t>
        </is>
      </c>
      <c r="N532" s="8" t="inlineStr">
        <is>
          <t>[Must] A financial institution must develop a framework and approach for IT programme and/or project management that incorporates the governance structures, policies and processes, stakeholder engagement, risks and issues management, change control, integration, and cost and benefit realisation.
[Must] A financial institution must establish and implement an IT programme and project management policies, procedures and processes that includes, as a minimum - IT programme and project objectives; roles and responsibilities, including governance and decision-making structures; IT programme and project risk assessment; IT programme and project plan, timeframe and steps; key milestones; and change management requirements.
[Must] A financial institution must ensure that its IT programme and project management policy confirms that IT security requirements are analysed and approved by a function that is independent from the development function.
[Must] A financial institution must identify, monitor and mitigate risks deriving from its portfolio of IT programmes and projects, considering risks that may result from interdependencies between different IT programmes and projects and from dependencies of multiple programmes and projects utilising the same resources and/or expertise.
[Must] A financial institution must ensure that before any acquisition or development of IT systems takes place, the functional and non-functional requirements (including information security requirements) are clearly defined and approved by the relevant governance structure.
[Must] A financial institution must follow its methodology for testing and approval of IT systems prior to implementation into the production environment. This methodology must consider the criticality of business processes and assets. The testing must ensure that new IT systems perform as intended. It must also use test environments that adequately reflect the production environment.
[Must] A financial institution must implement controls in the IT environment to ensure adequate segregation of duties between the pre-production environment that is a mirror of the production environment to mitigate the impact of risks introduced to the production systems.
[Must] A financial institution must implement appropriate measures to protect the integrity of the source codes of IT systems that are developed in-house. In addition, a financial institution must document the development, implementation, operation and/or configuration of the IT systems comprehensively to reduce any unnecessary dependency on subject matter experts.
[Must] A financial institution must ensure that the documentation of the IT system contains, where applicable, user documentation, technical system documentation and operating procedures.
[Must] A financial institution must ensure that processes for acquisition and development of IT systems applied by the department(s) responsible for IT must also apply to IT systems acquired by business functions outside the IT department, using a risk-based approach.
[Must] A financial institution must maintain a register of the critical applications, business functions and processes.</t>
        </is>
      </c>
      <c r="O532" s="8" t="inlineStr">
        <is>
          <t>A financial institution must develop a framework and approach for IT programme and/or project management that incorporates the governance structures, policies and processes, stakeholder engagement, risks and issues management, change control, integration, and cost and benefit realisation.</t>
        </is>
      </c>
    </row>
    <row r="533">
      <c r="A533" t="inlineStr">
        <is>
          <t>South Africa</t>
        </is>
      </c>
      <c r="B533" t="inlineStr">
        <is>
          <t>Joint Standard 1 of 2023 - IT Governance and Risk Management</t>
        </is>
      </c>
      <c r="C533" t="inlineStr">
        <is>
          <t>13</t>
        </is>
      </c>
      <c r="D533" s="8" t="inlineStr">
        <is>
          <t>IT resilience and business continuity</t>
        </is>
      </c>
      <c r="E533" t="inlineStr">
        <is>
          <t>11–13</t>
        </is>
      </c>
      <c r="F533" t="inlineStr">
        <is>
          <t>Financial Data</t>
        </is>
      </c>
      <c r="G533" t="inlineStr">
        <is>
          <t>High</t>
        </is>
      </c>
      <c r="H533" t="inlineStr">
        <is>
          <t>High (explicit)</t>
        </is>
      </c>
      <c r="I533" s="8" t="inlineStr"/>
      <c r="J533" s="8" t="inlineStr">
        <is>
          <t>Financial Data</t>
        </is>
      </c>
      <c r="K533" t="inlineStr"/>
      <c r="L533" s="8" t="inlineStr">
        <is>
          <t>Financial institutions must define recovery priorities, establish disaster recovery sites, implement IT resilience plans, and conduct business impact assessments for critical business functions.</t>
        </is>
      </c>
      <c r="M533" s="8" t="inlineStr">
        <is>
          <t>Requires financial institutions to define recovery priorities, establish disaster recovery sites, implement IT resilience plans, and conduct business impact assessments for critical business functions.</t>
        </is>
      </c>
      <c r="N533" s="8" t="inlineStr">
        <is>
          <t>[Must] A financial institution must define system recovery and business resumption priorities and establish specific Service Level Objectives including RTOs and RPOs for critical services and business processes.
[Must] A financial institution must identify and establish a disaster recovery site(s) that is geographically separate from the primary site to enable the recovery of critical systems and continuation of business operations, should a disruption occur at the primary site.
[Must] A financial institution must establish a sound IT resilience management process to maximise its abilities to provide services on an ongoing basis and to limit losses in the event of severe business disruption in line with any existing requirements issued in terms of a financial sector law and applicable to financial institutions.
[Must] A financial institution must conduct a business impact assessment by analysing its exposure to severe business disruptions and assessing its potential impacts (including on confidentiality, integrity and availability), quantitatively and qualitatively, using internal and/or external data and scenario analysis.
[Must] A business impact assessment referred to in paragraph 13.2 above must also consider the criticality of the identified and classified business functions, supporting processes, third parties and IT assets, and their interdependencies.
[Must] A financial institution must develop a sound IT resilience plan.
[Must] The IT resilience plan must specifically consider risks that could adversely impact IT systems and services.
[Must] The IT resilience plan must support the objective to protect and, if necessary, re-establish the confidentiality, integrity and availability of its business functions, supporting processes and IT assets.
[Must] The IT resilience plan must support critical business functions, business processes, IT assets and its interdependencies (including those provided by third parties, where applicable).
[Must] The IT resilience plan must cater for processes to enable the return to a state of normality in the event of severe business disruption.
[Must] The IT resilience plan must be aligned to the business impact assessment referred to in paragraph 13.2 above, for example, with redundancy of certain critical components to prevent disruptions caused by events impacting those components.
[Must] The IT resilience plan must be tested regularly, but at least annually. Various scenarios, including total shutdown or incapacitation of the primary site as well as component failure at the individual system or application cluster level, must be covered in IT resilience tests.
[Must] The IT resilience plan must be reviewed regularly, but at least annually. The review must be based on, amongst others, testing results, current threat intelligence and lessons learnt from previous events.
[Must] To achieve data centre resilience, a financial institution must assess the redundancy and fault tolerance in areas such as electrical power, air conditioning, fire suppression and data communications, to the extent applicable.
[Must] A financial institution must define, document and implement physical security measures to protect its premises, data centres and sensitive areas from unauthorised access and from environmental hazards.
[Must] A financial institution must test the recovery dependencies between systems. Bilateral or multilateral recovery testing must be conducted where networks and systems are linked to specific service providers, where applicable.</t>
        </is>
      </c>
      <c r="O533" s="8" t="inlineStr">
        <is>
          <t>A financial institution must define system recovery and business resumption priorities and establish specific Service Level Objectives including RTOs and RPOs for critical services and business processes.</t>
        </is>
      </c>
    </row>
    <row r="534">
      <c r="A534" t="inlineStr">
        <is>
          <t>South Africa</t>
        </is>
      </c>
      <c r="B534" t="inlineStr">
        <is>
          <t>Joint Standard 1 of 2023 - IT Governance and Risk Management</t>
        </is>
      </c>
      <c r="C534" t="inlineStr">
        <is>
          <t>14</t>
        </is>
      </c>
      <c r="D534" s="8" t="inlineStr">
        <is>
          <t>IT assurance</t>
        </is>
      </c>
      <c r="E534" t="inlineStr">
        <is>
          <t>13</t>
        </is>
      </c>
      <c r="F534" t="inlineStr">
        <is>
          <t>Financial Data</t>
        </is>
      </c>
      <c r="G534" t="inlineStr">
        <is>
          <t>High</t>
        </is>
      </c>
      <c r="H534" t="inlineStr">
        <is>
          <t>High (explicit)</t>
        </is>
      </c>
      <c r="I534" s="8" t="inlineStr"/>
      <c r="J534" s="8" t="inlineStr">
        <is>
          <t>Financial Data</t>
        </is>
      </c>
      <c r="K534" t="inlineStr"/>
      <c r="L534" s="8" t="inlineStr">
        <is>
          <t>Financial institutions must establish independent IT assurance functions to review compliance with IT policies and procedures and external requirements.</t>
        </is>
      </c>
      <c r="M534" s="8" t="inlineStr">
        <is>
          <t>Requires financial institutions to establish independent IT assurance functions to review compliance with IT policies and procedures and external requirements.</t>
        </is>
      </c>
      <c r="N534" s="8" t="inlineStr">
        <is>
          <t>[Must] The control functions and/or external assurance providers, must, have the capacity to independently review and provide objective assurance of compliance with all IT-related activities as outlined in the financial institution's policies and procedures as well as with external requirements.
[Must] A financial institution must through the control functions or an external assurance provider - establish an organisational structure and reporting lines for IT assurance within the control functions, where appropriate, in a way that preserves the independence and objectivity of the control functions.
[Must] A financial institution must through the control functions or an external assurance provider - determine whether changes in the existing operational environment influence the existing IT controls or require the adoption of additional measures to mitigate the risks involved. These changes must be in accordance with the financial institution's formal change management process.
[Must] A financial institution must through the control functions or an external assurance provider - maintain an IT assurance plan to examine and evaluate the adequacy and effectiveness of the financial institution's IT systems, internal control mechanisms and governance arrangements.</t>
        </is>
      </c>
      <c r="O534" s="8" t="inlineStr">
        <is>
          <t>The control functions and/or external assurance providers, must, have the capacity to independently review and provide objective assurance of compliance with all IT-related activities as outlined in the financial institution's policies and procedures as well as with external requirements.</t>
        </is>
      </c>
    </row>
    <row r="535">
      <c r="A535" t="inlineStr">
        <is>
          <t>South Africa</t>
        </is>
      </c>
      <c r="B535" t="inlineStr">
        <is>
          <t>Joint Standard 1 of 2023 - IT Governance and Risk Management</t>
        </is>
      </c>
      <c r="C535" t="inlineStr">
        <is>
          <t>15</t>
        </is>
      </c>
      <c r="D535" s="8" t="inlineStr">
        <is>
          <t>Notification and reporting requirements</t>
        </is>
      </c>
      <c r="E535" t="inlineStr">
        <is>
          <t>13</t>
        </is>
      </c>
      <c r="F535" t="inlineStr">
        <is>
          <t>Financial Data</t>
        </is>
      </c>
      <c r="G535" t="inlineStr">
        <is>
          <t>High</t>
        </is>
      </c>
      <c r="H535" t="inlineStr">
        <is>
          <t>High (explicit)</t>
        </is>
      </c>
      <c r="I535" s="8" t="inlineStr">
        <is>
          <t>Incident Reporting</t>
        </is>
      </c>
      <c r="J535" s="8" t="inlineStr">
        <is>
          <t>Financial Data</t>
        </is>
      </c>
      <c r="K535" t="inlineStr"/>
      <c r="L535" s="8" t="inlineStr">
        <is>
          <t>Financial institutions must notify the responsible authority of material IT incidents within a determined timeframe after classification.</t>
        </is>
      </c>
      <c r="M535" s="8" t="inlineStr">
        <is>
          <t>Requires financial institutions to notify the responsible authority of material IT incidents within a determined timeframe after classification.</t>
        </is>
      </c>
      <c r="N535" s="8" t="inlineStr">
        <is>
          <t>[Must] A financial institution must notify the responsible authority of the financial sector law in terms of which the financial institution is licensed or registered, in the form and manner determined by the Authorities, of any systems failure, malfunction, delay or other disruptive event, within the determined timeframe, after classifying the event as a material incident.</t>
        </is>
      </c>
      <c r="O535" s="8" t="inlineStr">
        <is>
          <t>A financial institution must notify the responsible authority of the financial sector law in terms of which the financial institution is licensed or registered, in the form and manner determined by the Authorities, of any systems failure, malfunction, delay or other disruptive event, within the determined timeframe, after classifying the event as a material incident.</t>
        </is>
      </c>
    </row>
    <row r="536">
      <c r="A536" t="inlineStr">
        <is>
          <t>South Africa</t>
        </is>
      </c>
      <c r="B536" t="inlineStr">
        <is>
          <t>Joint Standard 1 of 2023 - IT Governance and Risk Management</t>
        </is>
      </c>
      <c r="C536" t="inlineStr">
        <is>
          <t>16</t>
        </is>
      </c>
      <c r="D536" s="8" t="inlineStr">
        <is>
          <t>Short-title</t>
        </is>
      </c>
      <c r="E536" t="inlineStr">
        <is>
          <t>13</t>
        </is>
      </c>
      <c r="F536" t="inlineStr">
        <is>
          <t>Other</t>
        </is>
      </c>
      <c r="G536" t="inlineStr">
        <is>
          <t>None</t>
        </is>
      </c>
      <c r="H536" t="inlineStr">
        <is>
          <t>High (explicit)</t>
        </is>
      </c>
      <c r="I536" s="8" t="inlineStr"/>
      <c r="J536" s="8" t="inlineStr"/>
      <c r="K536" t="inlineStr"/>
      <c r="L536" s="8" t="inlineStr">
        <is>
          <t>Joint Standard is titled 'IT Governance and Risk Management for Financial Institutions, 2023'.</t>
        </is>
      </c>
      <c r="M536" s="8" t="inlineStr"/>
      <c r="N536" s="8" t="inlineStr"/>
      <c r="O536" s="8" t="inlineStr">
        <is>
          <t>This Joint Standard is called ‘IT Governance and Risk Management for Financial Institutions, 2.023'.</t>
        </is>
      </c>
    </row>
    <row r="537">
      <c r="A537" t="inlineStr">
        <is>
          <t>South Africa</t>
        </is>
      </c>
      <c r="B537" t="inlineStr">
        <is>
          <t>Joint Standard 2 of 2024  Cybersecurity &amp; Cyber resilience Requirements</t>
        </is>
      </c>
      <c r="C537" t="inlineStr">
        <is>
          <t>2</t>
        </is>
      </c>
      <c r="D537" s="8" t="inlineStr">
        <is>
          <t>Definitions and interpretation</t>
        </is>
      </c>
      <c r="E537" t="inlineStr">
        <is>
          <t>3–6</t>
        </is>
      </c>
      <c r="F537" t="inlineStr">
        <is>
          <t>Definitions</t>
        </is>
      </c>
      <c r="G537" t="inlineStr">
        <is>
          <t>Medium</t>
        </is>
      </c>
      <c r="H537" t="inlineStr">
        <is>
          <t>High (explicit)</t>
        </is>
      </c>
      <c r="I537" s="8" t="inlineStr">
        <is>
          <t>Definitions</t>
        </is>
      </c>
      <c r="J537" s="8" t="inlineStr">
        <is>
          <t>Personal Information</t>
        </is>
      </c>
      <c r="K537" t="inlineStr"/>
      <c r="L537" s="8" t="inlineStr">
        <is>
          <t>Defines key terms including financial institutions, cyber incident, cybersecurity, and related concepts for the Joint Standard.</t>
        </is>
      </c>
      <c r="M537" s="8" t="inlineStr"/>
      <c r="N537" s="8" t="inlineStr"/>
      <c r="O537" s="8" t="inlineStr">
        <is>
          <t>Definitions and interpretation</t>
        </is>
      </c>
    </row>
    <row r="538">
      <c r="A538" t="inlineStr">
        <is>
          <t>South Africa</t>
        </is>
      </c>
      <c r="B538" t="inlineStr">
        <is>
          <t>Joint Standard 2 of 2024  Cybersecurity &amp; Cyber resilience Requirements</t>
        </is>
      </c>
      <c r="C538" t="inlineStr">
        <is>
          <t>3</t>
        </is>
      </c>
      <c r="D538" s="8" t="inlineStr">
        <is>
          <t>Application</t>
        </is>
      </c>
      <c r="E538" t="inlineStr">
        <is>
          <t>6–7</t>
        </is>
      </c>
      <c r="F538" t="inlineStr">
        <is>
          <t>Application</t>
        </is>
      </c>
      <c r="G538" t="inlineStr">
        <is>
          <t>High</t>
        </is>
      </c>
      <c r="H538" t="inlineStr">
        <is>
          <t>High (explicit)</t>
        </is>
      </c>
      <c r="I538" s="8" t="inlineStr">
        <is>
          <t>Application</t>
        </is>
      </c>
      <c r="J538" s="8" t="inlineStr">
        <is>
          <t>Financial Data</t>
        </is>
      </c>
      <c r="K538" t="inlineStr"/>
      <c r="L538" s="8" t="inlineStr">
        <is>
          <t>Specifies which financial institutions must comply with the Joint Standard and ensures risks from juristic persons and branches are mitigated.</t>
        </is>
      </c>
      <c r="M538" s="8" t="inlineStr">
        <is>
          <t>Financial institutions must address cybersecurity risks from local and foreign juristic persons and branches.</t>
        </is>
      </c>
      <c r="N538" s="8" t="inlineStr">
        <is>
          <t>[Must] A financial institution that is a bank, or a controlling company must ensure that any risks relating to cybersecurity and cyber resilience from juristic persons (both local and foreign) and branches structured under the bank or the controlling company, including all relevant subsidiaries approved in terms of section 52 of the Banks Act, 1990, are catered for and mitigated in the application of the requirements of this Joint Standard.
[Must] A financial institution that is an insurer or the controlling company of an insurance group must ensure that any risks relating to cybersecurity and cyber resilience from juristic persons (both local and foreign) structured under the insurer or the insurance group designated under section 10 of the Insurance Act, 2017, are catered for and mitigated in the application of the requirements of this Joint Standard.</t>
        </is>
      </c>
      <c r="O538" s="8" t="inlineStr">
        <is>
          <t>3.2 A financial institution that is a bank, or a controlling company must ensure that any risks relating to cybersecurity and cyber resilience from juristic persons (both local and foreign) and branches structured under the bank or the controlling company, including all relevant subsidiaries approved in terms of section 52 of the Banks Act, 1990, are catered for and mitigated in the application of the requirements of this Joint Standard.</t>
        </is>
      </c>
    </row>
    <row r="539">
      <c r="A539" t="inlineStr">
        <is>
          <t>South Africa</t>
        </is>
      </c>
      <c r="B539" t="inlineStr">
        <is>
          <t>Joint Standard 2 of 2024  Cybersecurity &amp; Cyber resilience Requirements</t>
        </is>
      </c>
      <c r="C539" t="inlineStr">
        <is>
          <t>4</t>
        </is>
      </c>
      <c r="D539" s="8" t="inlineStr">
        <is>
          <t>Roles and responsibilities</t>
        </is>
      </c>
      <c r="E539" t="inlineStr">
        <is>
          <t>7</t>
        </is>
      </c>
      <c r="F539" t="inlineStr">
        <is>
          <t>Governance</t>
        </is>
      </c>
      <c r="G539" t="inlineStr">
        <is>
          <t>High</t>
        </is>
      </c>
      <c r="H539" t="inlineStr">
        <is>
          <t>High (explicit)</t>
        </is>
      </c>
      <c r="I539" s="8" t="inlineStr">
        <is>
          <t>Governance</t>
        </is>
      </c>
      <c r="J539" s="8" t="inlineStr">
        <is>
          <t>Financial Data</t>
        </is>
      </c>
      <c r="K539" t="inlineStr"/>
      <c r="L539" s="8" t="inlineStr">
        <is>
          <t>Assigns responsibility for cybersecurity strategy and framework to the governing body and senior management.</t>
        </is>
      </c>
      <c r="M539" s="8" t="inlineStr">
        <is>
          <t>Governing body must ensure cybersecurity strategy and framework is established and maintained with senior management.</t>
        </is>
      </c>
      <c r="N539" s="8" t="inlineStr">
        <is>
          <t>[Must] The governing body is ultimately responsible for ensuring that the financial institution complies with the requirements set out in this Joint Standard.
[Must] The governing body must together with senior management, ensure that a sound and robust cybersecurity strategy and framework is established, implemented and maintained.
[Must] The governing body must require management to co-operate with other stakeholders, as relevant and appropriate, in order to enable financial sector cyber resilience.
[Must] The governing body must ensure that roles and responsibilities for security are clearly defined in the contract or Service Level Agreement with third-party service providers.</t>
        </is>
      </c>
      <c r="O539" s="8" t="inlineStr">
        <is>
          <t>4.1 The governing body is ultimately responsible for – ensuring that the financial institution complies with the requirements set out in this Joint Standard; and the oversight of cyber risk management, but may delegate primary oversight activities to an existing or new committee.</t>
        </is>
      </c>
    </row>
    <row r="540">
      <c r="A540" t="inlineStr">
        <is>
          <t>South Africa</t>
        </is>
      </c>
      <c r="B540" t="inlineStr">
        <is>
          <t>Joint Standard 2 of 2024  Cybersecurity &amp; Cyber resilience Requirements</t>
        </is>
      </c>
      <c r="C540" t="inlineStr">
        <is>
          <t>5</t>
        </is>
      </c>
      <c r="D540" s="8" t="inlineStr">
        <is>
          <t>Governance</t>
        </is>
      </c>
      <c r="E540" t="inlineStr">
        <is>
          <t>7–8</t>
        </is>
      </c>
      <c r="F540" t="inlineStr">
        <is>
          <t>Governance</t>
        </is>
      </c>
      <c r="G540" t="inlineStr">
        <is>
          <t>High</t>
        </is>
      </c>
      <c r="H540" t="inlineStr">
        <is>
          <t>High (explicit)</t>
        </is>
      </c>
      <c r="I540" s="8" t="inlineStr">
        <is>
          <t>Governance</t>
        </is>
      </c>
      <c r="J540" s="8" t="inlineStr">
        <is>
          <t>Financial Data</t>
        </is>
      </c>
      <c r="K540" t="inlineStr"/>
      <c r="L540" s="8" t="inlineStr">
        <is>
          <t>Requires clear roles, responsibilities, and independent oversight for cyber risk management within governance structures.</t>
        </is>
      </c>
      <c r="M540" s="8" t="inlineStr">
        <is>
          <t>Financial institutions must define roles, ensure cyber risk management is integrated into governance, and establish a dedicated function with direct reporting to the governing body.</t>
        </is>
      </c>
      <c r="N540" s="8" t="inlineStr">
        <is>
          <t>[Must] clearly define the roles and responsibilities of all management functions (including lines of defence) as well as committees established for the purposes of exercising oversight of cyber risks
[Must] ensure cyber risk management is incorporated into the governance and risk management structures, processes and procedures of a financial institution. Direct reporting line to the governing body should be established in terms of the governance framework; ensure that a function(s) responsible for cyber and information security is established with adequate resources and appropriate authority
[Must] ensure that the oversight of the function(s) referred to in subparagraph 5.1.3 above, including control functions, has access to the governing body and is structured in a manner that ensures adequate segregation of duties and avoids any potential conflicts of interest</t>
        </is>
      </c>
      <c r="O540" s="8" t="inlineStr">
        <is>
          <t>5.1.1 clearly define the roles and responsibilities of all management functions (including lines of defence) as well as committees established for the purposes of exercising oversight of cyber risks</t>
        </is>
      </c>
    </row>
    <row r="541">
      <c r="A541" t="inlineStr">
        <is>
          <t>South Africa</t>
        </is>
      </c>
      <c r="B541" t="inlineStr">
        <is>
          <t>Joint Standard 2 of 2024  Cybersecurity &amp; Cyber resilience Requirements</t>
        </is>
      </c>
      <c r="C541" t="inlineStr">
        <is>
          <t>6</t>
        </is>
      </c>
      <c r="D541" s="8" t="inlineStr">
        <is>
          <t>Cybersecurity strategy and framework</t>
        </is>
      </c>
      <c r="E541" t="inlineStr">
        <is>
          <t>8</t>
        </is>
      </c>
      <c r="F541" t="inlineStr">
        <is>
          <t>Cybersecurity strategy and framework</t>
        </is>
      </c>
      <c r="G541" t="inlineStr">
        <is>
          <t>High</t>
        </is>
      </c>
      <c r="H541" t="inlineStr">
        <is>
          <t>High (explicit)</t>
        </is>
      </c>
      <c r="I541" s="8" t="inlineStr">
        <is>
          <t>Cybersecurity strategy and framework</t>
        </is>
      </c>
      <c r="J541" s="8" t="inlineStr">
        <is>
          <t>Financial Data</t>
        </is>
      </c>
      <c r="K541" t="inlineStr"/>
      <c r="L541" s="8" t="inlineStr">
        <is>
          <t>Requires financial institutions to establish, maintain, and review cybersecurity strategies and frameworks aligned with business objectives.</t>
        </is>
      </c>
      <c r="M541" s="8" t="inlineStr">
        <is>
          <t>Financial institutions must establish and maintain a cybersecurity strategy approved by the governing body, review it annually, and align it with enterprise risk management.</t>
        </is>
      </c>
      <c r="N541" s="8" t="inlineStr">
        <is>
          <t>[Must] establish and maintain a cybersecurity strategy that is approved by the governing body and aligned with its overall business strategy
[Must] review the cybersecurity strategy regularly, but at least annually, to address changes in the cyber threat landscape, allocate resources, identify and remediate gaps, and incorporate lessons learnt
[Must] establish a cybersecurity framework to manage cyber risks
[Must] align its cybersecurity framework with its enterprise risk management framework
[Must] establish cybersecurity policies, standards, processes and procedures that are informed by industry standards and best practices to manage cyber risks and safeguard IT systems and information assets, taking into consideration the evolving technology and cyber threat landscape
[Must] define and reassess regularly business risk tolerance relative to cybersecurity and ensure that it is consistent with the business strategy and risk appetite
[Must] establish metrics to track and manage cybersecurity risks and to inform related reporting from both a technical and business context</t>
        </is>
      </c>
      <c r="O541" s="8" t="inlineStr">
        <is>
          <t>6.1.1 establish and maintain a cybersecurity strategy that is approved by the governing body and aligned with its overall business strategy</t>
        </is>
      </c>
    </row>
    <row r="542">
      <c r="A542" t="inlineStr">
        <is>
          <t>South Africa</t>
        </is>
      </c>
      <c r="B542" t="inlineStr">
        <is>
          <t>Joint Standard 2 of 2024  Cybersecurity &amp; Cyber resilience Requirements</t>
        </is>
      </c>
      <c r="C542" t="inlineStr">
        <is>
          <t>7</t>
        </is>
      </c>
      <c r="D542" s="8" t="inlineStr">
        <is>
          <t>Cybersecurity and cyber resilience fundamentals</t>
        </is>
      </c>
      <c r="E542" t="inlineStr">
        <is>
          <t>8–15</t>
        </is>
      </c>
      <c r="F542" t="inlineStr">
        <is>
          <t>Security</t>
        </is>
      </c>
      <c r="G542" t="inlineStr">
        <is>
          <t>High</t>
        </is>
      </c>
      <c r="H542" t="inlineStr">
        <is>
          <t>High (explicit)</t>
        </is>
      </c>
      <c r="I542" s="8" t="inlineStr">
        <is>
          <t>Learning and Evolving</t>
        </is>
      </c>
      <c r="J542" s="8" t="inlineStr">
        <is>
          <t>Financial Data</t>
        </is>
      </c>
      <c r="K542" t="inlineStr">
        <is>
          <t>Financial institutions</t>
        </is>
      </c>
      <c r="L542" s="8" t="inlineStr">
        <is>
          <t>Financial institutions must implement adaptive cyber resilience capabilities that evolve with cyber threats.</t>
        </is>
      </c>
      <c r="M542" s="8" t="inlineStr">
        <is>
          <t>Requires continuous learning and adaptation to cyber threats through incident lessons and technological developments.</t>
        </is>
      </c>
      <c r="N542" s="8" t="inlineStr">
        <is>
          <t>[Must] implement adaptive cyber resilience capability that learns and evolves with dynamic nature of cyber risks
[Must] systematically identify and distil key lessons from cyber incidents to advance resilience capabilities
[Must] actively monitor technological developments and keep abreast of new cyber risk management processes
[Must] ensure cyber risk management practices go beyond reactive controls to include proactive protection</t>
        </is>
      </c>
      <c r="O542" s="8" t="inlineStr">
        <is>
          <t>Implement an adaptive cyber resilience capability that learns and evolves with the dynamic nature of cyber risks</t>
        </is>
      </c>
    </row>
    <row r="543">
      <c r="A543" t="inlineStr">
        <is>
          <t>South Africa</t>
        </is>
      </c>
      <c r="B543" t="inlineStr">
        <is>
          <t>Joint Standard 2 of 2024  Cybersecurity &amp; Cyber resilience Requirements</t>
        </is>
      </c>
      <c r="C543" t="inlineStr">
        <is>
          <t>8</t>
        </is>
      </c>
      <c r="D543" s="8" t="inlineStr">
        <is>
          <t>Cybersecurity hygiene practices</t>
        </is>
      </c>
      <c r="E543" t="inlineStr">
        <is>
          <t>15–17</t>
        </is>
      </c>
      <c r="F543" t="inlineStr">
        <is>
          <t>Security</t>
        </is>
      </c>
      <c r="G543" t="inlineStr">
        <is>
          <t>High</t>
        </is>
      </c>
      <c r="H543" t="inlineStr">
        <is>
          <t>High (explicit)</t>
        </is>
      </c>
      <c r="I543" s="8" t="inlineStr">
        <is>
          <t>Access Control, User Access Management, Segregation of Duties, Least Privilege</t>
        </is>
      </c>
      <c r="J543" s="8" t="inlineStr">
        <is>
          <t>Personal Information</t>
        </is>
      </c>
      <c r="K543" t="inlineStr">
        <is>
          <t>Authorities</t>
        </is>
      </c>
      <c r="L543" s="8" t="inlineStr">
        <is>
          <t>Financial institutions must implement access control policies, regular reviews, user access management, segregation of duties, least privilege, periodic access reviews, and similar security practices for IT systems and information assets.</t>
        </is>
      </c>
      <c r="M543" s="8" t="inlineStr">
        <is>
          <t>Requires access control policies, regular reviews, user access management, segregation of duties, least privilege, and periodic access reviews for IT systems and information assets.</t>
        </is>
      </c>
      <c r="N543" s="8" t="inlineStr">
        <is>
          <t>[Must] establish a security access control policy and a process to enforce strong password security controls for users' access to IT systems and information assets
[Must] ensure that the security access control policy is reviewed regularly
[Must] establish a user access management process to provision, change and revoke access rights to IT systems and information assets
[Must] apply the principles of ‘segregation of duties' and ‘least privilege' when granting user access to IT systems and information assets
[Must] ensure appropriate parties perform periodic user access reviews to verify the appropriateness of privileges granted to users
[Must] subject third-party service providers and contractors with access to financial institution's IT systems to the same monitoring and access restrictions as employees</t>
        </is>
      </c>
      <c r="O543" s="8" t="inlineStr">
        <is>
          <t>Cybersecurity hygiene practices 8.1 (a) establish a security access control policy and a process to enforce strong password security controls for users' access to IT systems and information assets</t>
        </is>
      </c>
    </row>
    <row r="544">
      <c r="A544" t="inlineStr">
        <is>
          <t>South Africa</t>
        </is>
      </c>
      <c r="B544" t="inlineStr">
        <is>
          <t>Joint Standard 2 of 2024  Cybersecurity &amp; Cyber resilience Requirements</t>
        </is>
      </c>
      <c r="C544" t="inlineStr">
        <is>
          <t>9</t>
        </is>
      </c>
      <c r="D544" s="8" t="inlineStr">
        <is>
          <t>Notifications and regulatory reporting</t>
        </is>
      </c>
      <c r="E544" t="inlineStr">
        <is>
          <t>17</t>
        </is>
      </c>
      <c r="F544" t="inlineStr">
        <is>
          <t>Incident Reporting</t>
        </is>
      </c>
      <c r="G544" t="inlineStr">
        <is>
          <t>High</t>
        </is>
      </c>
      <c r="H544" t="inlineStr">
        <is>
          <t>High (explicit)</t>
        </is>
      </c>
      <c r="I544" s="8" t="inlineStr">
        <is>
          <t>Incident Reporting, Breach Notification</t>
        </is>
      </c>
      <c r="J544" s="8" t="inlineStr">
        <is>
          <t>Personal Information</t>
        </is>
      </c>
      <c r="K544" t="inlineStr">
        <is>
          <t>Authorities</t>
        </is>
      </c>
      <c r="L544" s="8" t="inlineStr">
        <is>
          <t>Financial institutions must notify the responsible authority of material cyber incidents or information security compromises within specified timeframes.</t>
        </is>
      </c>
      <c r="M544" s="8" t="inlineStr">
        <is>
          <t>Requires financial institutions to notify the responsible authority of material cyber incidents or information security compromises.</t>
        </is>
      </c>
      <c r="N544" s="8" t="inlineStr">
        <is>
          <t>[Must] A financial institution must notify the responsible authority in the form and manner determined by the Authorities after classifying the following as a material incident – cyber incidents; or information security compromise
[Must] A financial institution must report such information related to the requirements in this Joint Standard to the Authorities as may be determined by the Authorities</t>
        </is>
      </c>
      <c r="O544" s="8" t="inlineStr">
        <is>
          <t>Notifications and regulatory reporting 9.1 A financial institution must notify the responsible authority in the form and manner determined by the Authorities, after classifying the following as a material incident – cyber incidents; or information security compromise.</t>
        </is>
      </c>
    </row>
    <row r="545">
      <c r="A545" t="inlineStr">
        <is>
          <t>South Africa</t>
        </is>
      </c>
      <c r="B545" t="inlineStr">
        <is>
          <t>Joint Standard 2 of 2024  Cybersecurity &amp; Cyber resilience Requirements</t>
        </is>
      </c>
      <c r="C545" t="inlineStr">
        <is>
          <t>10</t>
        </is>
      </c>
      <c r="D545" s="8" t="inlineStr">
        <is>
          <t>Short title and commencement</t>
        </is>
      </c>
      <c r="E545" t="inlineStr">
        <is>
          <t>17</t>
        </is>
      </c>
      <c r="F545" t="inlineStr">
        <is>
          <t>Other</t>
        </is>
      </c>
      <c r="G545" t="inlineStr">
        <is>
          <t>None</t>
        </is>
      </c>
      <c r="H545" t="inlineStr">
        <is>
          <t>High (explicit)</t>
        </is>
      </c>
      <c r="I545" s="8" t="inlineStr"/>
      <c r="J545" s="8" t="inlineStr"/>
      <c r="K545" t="inlineStr">
        <is>
          <t>Authorities</t>
        </is>
      </c>
      <c r="L545" s="8" t="inlineStr">
        <is>
          <t>This Joint Standard is titled 'Cybersecurity and Cyber Resilience Requirements for Financial Institutions, 2024' and comes into effect on a date to be determined by the Authorities.</t>
        </is>
      </c>
      <c r="M545" s="8" t="inlineStr"/>
      <c r="N545" s="8" t="inlineStr"/>
      <c r="O545" s="8" t="inlineStr">
        <is>
          <t>Short title and commencement 10.1 This Joint Standard is called Cybersecurity and Cyber Resilience Requirements for Financial Institutions, 2024 and comes into effect on the date indicated in paragraph 10.2 below.</t>
        </is>
      </c>
    </row>
    <row r="546">
      <c r="A546" t="inlineStr">
        <is>
          <t>South Africa</t>
        </is>
      </c>
      <c r="B546" t="inlineStr">
        <is>
          <t>PA Directive</t>
        </is>
      </c>
      <c r="C546" t="inlineStr">
        <is>
          <t>1</t>
        </is>
      </c>
      <c r="D546" s="8" t="inlineStr"/>
      <c r="E546" t="inlineStr">
        <is>
          <t>1–2</t>
        </is>
      </c>
      <c r="F546" t="inlineStr">
        <is>
          <t>Cloud Services</t>
        </is>
      </c>
      <c r="G546" t="inlineStr">
        <is>
          <t>High</t>
        </is>
      </c>
      <c r="H546" t="inlineStr">
        <is>
          <t>High (explicit)</t>
        </is>
      </c>
      <c r="I546" s="8" t="inlineStr">
        <is>
          <t>Cloud Services</t>
        </is>
      </c>
      <c r="J546" s="8" t="inlineStr">
        <is>
          <t>Personal Information</t>
        </is>
      </c>
      <c r="K546" t="inlineStr">
        <is>
          <t>Prudential Authority (PA)</t>
        </is>
      </c>
      <c r="L546" s="8" t="inlineStr">
        <is>
          <t>This section clarifies the Prudential Authority's (PA) regulatory stance on cloud computing and data offshoring by banks. It acknowledges that some banks already offshore data through parent organizations and are increasingly adopting cloud computing. The section defines cloud computing as a model for on-demand access to shared computing resources with minimal management effort.</t>
        </is>
      </c>
      <c r="M546" s="8" t="inlineStr">
        <is>
          <t>This section establishes the regulatory context for cloud computing and data offshoring, which directly impacts DTIA requirements for cloud services and cross-border data storage arrangements.</t>
        </is>
      </c>
      <c r="N546" s="8" t="inlineStr">
        <is>
          <t>[Definition] Cloud computing is defined as a model for enabling convenient, on-demand network access to a shared pool of configurable computing resources (e.g. networks, servers, storage facilities, applications and services) that can be rapidly provisioned and released with minimal management effort or service provider interaction.</t>
        </is>
      </c>
      <c r="O546" s="8" t="inlineStr">
        <is>
          <t>1.3.1 Cloud computing is defined as a model for enabling convenient, on-demand network access to a shared pool of configurable computing resources (e.g. networks, servers, storage facilities, applications and services) that can be rapidly provisioned and released with minimal management effort or service provider interaction.</t>
        </is>
      </c>
    </row>
    <row r="547">
      <c r="A547" t="inlineStr">
        <is>
          <t>South Africa</t>
        </is>
      </c>
      <c r="B547" t="inlineStr">
        <is>
          <t>PA Directive</t>
        </is>
      </c>
      <c r="C547" t="inlineStr">
        <is>
          <t>2</t>
        </is>
      </c>
      <c r="D547" s="8" t="inlineStr"/>
      <c r="E547" t="inlineStr">
        <is>
          <t>2–4</t>
        </is>
      </c>
      <c r="F547" t="inlineStr">
        <is>
          <t>Cloud Services</t>
        </is>
      </c>
      <c r="G547" t="inlineStr">
        <is>
          <t>High</t>
        </is>
      </c>
      <c r="H547" t="inlineStr">
        <is>
          <t>High (explicit)</t>
        </is>
      </c>
      <c r="I547" s="8" t="inlineStr">
        <is>
          <t>Cloud Services</t>
        </is>
      </c>
      <c r="J547" s="8" t="inlineStr">
        <is>
          <t>Personal Information</t>
        </is>
      </c>
      <c r="K547" t="inlineStr">
        <is>
          <t>Prudential Authority (PA)</t>
        </is>
      </c>
      <c r="L547" s="8" t="inlineStr">
        <is>
          <t>This section mandates that banks must implement a risk-based approach for cloud computing and data offshoring, aligning with their risk appetite and operational scale. Banks must have a data strategy, governance framework, and clear policies for cloud use or data offshoring. They must assess risks before implementation, ensure compliance with local and foreign regulations, and maintain confidentiality, integrity, and availability of data.</t>
        </is>
      </c>
      <c r="M547" s="8" t="inlineStr">
        <is>
          <t>Banks must establish risk-based controls for cloud and offshoring activities, ensuring data security, regulatory compliance, and continuity of operations across borders.</t>
        </is>
      </c>
      <c r="N547" s="8" t="inlineStr">
        <is>
          <t>[Must] Banks must have in place a formally defined and board approved data strategy and data governance framework.
[Must] Banks that use cloud computing and/or offshore their data must have a clearly defined policy for such activities, which is aligned with its business strategy and linked to its risk appetite.
[Must] Oversight of cloud computing and/or the offshoring of data must be incorporated into the governance structures, processes and procedures within the bank.
[Must] Banks must ensure that their risk and control frameworks, including the application thereof, are designed and operating effectively in order to manage the risks associated with the use of cloud computing and/or the offshoring of data.
[Must] Prior to undertaking a particular cloud computing and/or data offshoring initiative, the bank must assess whether the risk involved is within its risk appetite.
[Must] All strategic investments by the bank, including the use of cloud computing and/or the offshoring of data, must be subjected to appropriate due diligence.
[Must] Banks must take all reasonable measures to ensure the confidentiality, integrity and availability of its data, information technology (IT) applications or systems.
[Must] Banks that use cloud computing and/or offshore their data must ensure that they remain compliant with applicable legislation and regulations, both locally as well as in any country where the cloud services and/or data are hosted.
[Must Not] The use of cloud computing and/or the offshoring of data must not in any way infringe on the bank's supervisors or prevent any regulatory mandated access to information, nor must it impact on its regulators' ability to fulfil their duties.
[Must] Banks must have contingency plans to continue with operations and meet their core obligations, such as regulatory, statutory or otherwise, despite any cloud computing and/or offshoring of data arrangements which may be in place.
[Must] Banks must ensure that their intellectual property rights and contractual rights to data are not compromised, despite any cloud computing and/or offshoring of data arrangements which may be in place. Data must always be in a usable, readable and portable state, even when the contract is terminated.
[Must Not] Any cloud computing and/or offshoring of data arrangements must not impact on banks' ability to conduct forensic audits or investigations.
[Must] All cloud computing and/or offshoring of data arrangements must be contained in a documented, legally binding agreement.</t>
        </is>
      </c>
      <c r="O547" s="8" t="inlineStr">
        <is>
          <t>Banks must have in place a formally defined and board approved data strategy and data governance framework.</t>
        </is>
      </c>
    </row>
    <row r="548">
      <c r="A548" t="inlineStr">
        <is>
          <t>South Africa</t>
        </is>
      </c>
      <c r="B548" t="inlineStr">
        <is>
          <t>PA Directive</t>
        </is>
      </c>
      <c r="C548" t="inlineStr">
        <is>
          <t>3</t>
        </is>
      </c>
      <c r="D548" s="8" t="inlineStr"/>
      <c r="E548" t="inlineStr">
        <is>
          <t>4</t>
        </is>
      </c>
      <c r="F548" t="inlineStr">
        <is>
          <t>Other</t>
        </is>
      </c>
      <c r="G548" t="inlineStr">
        <is>
          <t>Low</t>
        </is>
      </c>
      <c r="H548" t="inlineStr">
        <is>
          <t>High (explicit)</t>
        </is>
      </c>
      <c r="I548" s="8" t="inlineStr">
        <is>
          <t>Record Keeping</t>
        </is>
      </c>
      <c r="J548" s="8" t="inlineStr">
        <is>
          <t>Personal Information</t>
        </is>
      </c>
      <c r="K548" t="inlineStr">
        <is>
          <t>Prudential Authority (PA)</t>
        </is>
      </c>
      <c r="L548" s="8" t="inlineStr">
        <is>
          <t>This section requires banks to provide copies of the directive to their independent auditors and return an acknowledgement of receipt signed by the chief executive officer and auditors to the Prudential Authority. It serves as a procedural step for compliance with the directive.</t>
        </is>
      </c>
      <c r="M548" s="8" t="inlineStr"/>
      <c r="N548" s="8" t="inlineStr">
        <is>
          <t>[Notification] Kindly ensure that a copy of this directive is made available to your institution's independent auditors. The attached acknowledgement of receipt duly completed and signed by both the chief executive officer of the institution and the said auditors should be returned to the PA at the earliest convenience of the aforementioned signatories.</t>
        </is>
      </c>
      <c r="O548" s="8" t="inlineStr">
        <is>
          <t>Kindly ensure that a copy of this directive is made available to your institution's independent auditors.</t>
        </is>
      </c>
    </row>
    <row r="549">
      <c r="A549" t="inlineStr">
        <is>
          <t>South Africa</t>
        </is>
      </c>
      <c r="B549" t="inlineStr">
        <is>
          <t>POPIA_Regulations_-_Dec_2018</t>
        </is>
      </c>
      <c r="C549" t="inlineStr">
        <is>
          <t>1</t>
        </is>
      </c>
      <c r="D549" s="8" t="inlineStr">
        <is>
          <t>In these Regulations, any word or expression to which a meaning has been assigned in</t>
        </is>
      </c>
      <c r="E549" t="inlineStr">
        <is>
          <t>1–2</t>
        </is>
      </c>
      <c r="F549" t="inlineStr">
        <is>
          <t>Definitions</t>
        </is>
      </c>
      <c r="G549" t="inlineStr">
        <is>
          <t>None</t>
        </is>
      </c>
      <c r="H549" t="inlineStr">
        <is>
          <t>High (explicit)</t>
        </is>
      </c>
      <c r="I549" s="8" t="inlineStr"/>
      <c r="J549" s="8" t="inlineStr">
        <is>
          <t>Personal Information</t>
        </is>
      </c>
      <c r="K549" t="inlineStr"/>
      <c r="L549" s="8" t="inlineStr">
        <is>
          <t>Defines key terms including 'data message', 'form(s)', 'signature', 'submit', 'the Act', and 'writing' based on Electronic Communications and Transactions Act, 2002.</t>
        </is>
      </c>
      <c r="M549" s="8" t="inlineStr"/>
      <c r="N549" s="8" t="inlineStr">
        <is>
          <t>[Definition] data message includes a data message as defined in section 1 of the Electronic Communications and Transactions Act, 2002
[Definition] form(s) means a form referred to in the annexures to these Regulations or any form which is substantially similar to that form
[Definition] signature includes an electronic signature as defined in section 1 of the Electronic Communications and Transactions Act, 2002
[Definition] submit means submit by data message, electronic communication, registered post, electronic mail, facsimile, or personal delivery
[Definition] the Act means the Protection of Personal Information Act, 2013
[Definition] writing includes writing as referred to in section 12 of the Electronic Communications and Transactions Act, 2002</t>
        </is>
      </c>
      <c r="O549" s="8" t="inlineStr">
        <is>
          <t>In these Regulations, any word or expression to which a meaning has been assigned in the Act has the meaning so assigned and, unless the context otherwise indicates: "data message" includes a data message as defined in section 1 of the Electronic Communications and Transactions Act, 2002; "form(s)" as referred to in these Regulations, means a form referred to in the annexures to these Regulations or any form which is substantially similar to that form; "signature" includes an electronic signature as defined in section 1 of the Electronic Communications and Transactions Act, 2002; "submit" means submit by (a) data message; (b) electronic communication; (c) registered post; (d) electronic mail; (e) facsimile; and (f) personal delivery; "the Act" means the Protection of Personal Information Act, 2013; and "writing" includes writing as referred to in section 12 of the Electronic Communications and Transactions Act, 2002.</t>
        </is>
      </c>
    </row>
    <row r="550">
      <c r="A550" t="inlineStr">
        <is>
          <t>South Africa</t>
        </is>
      </c>
      <c r="B550" t="inlineStr">
        <is>
          <t>POPIA_Regulations_-_Dec_2018</t>
        </is>
      </c>
      <c r="C550" t="inlineStr">
        <is>
          <t>1</t>
        </is>
      </c>
      <c r="D550" s="8" t="inlineStr">
        <is>
          <t>CONTACT DETAILS</t>
        </is>
      </c>
      <c r="E550" t="inlineStr">
        <is>
          <t>29</t>
        </is>
      </c>
      <c r="F550" t="inlineStr">
        <is>
          <t>Other</t>
        </is>
      </c>
      <c r="G550" t="inlineStr">
        <is>
          <t>Unknown</t>
        </is>
      </c>
      <c r="H550" t="inlineStr">
        <is>
          <t>Low</t>
        </is>
      </c>
      <c r="I550" s="8" t="inlineStr"/>
      <c r="J550" s="8" t="inlineStr"/>
      <c r="K550" t="inlineStr"/>
      <c r="L550" s="8" t="inlineStr"/>
      <c r="M550" s="8" t="inlineStr"/>
      <c r="N550" s="8" t="inlineStr"/>
      <c r="O550" s="8" t="inlineStr"/>
    </row>
    <row r="551">
      <c r="A551" t="inlineStr">
        <is>
          <t>South Africa</t>
        </is>
      </c>
      <c r="B551" t="inlineStr">
        <is>
          <t>POPIA_Regulations_-_Dec_2018</t>
        </is>
      </c>
      <c r="C551" t="inlineStr">
        <is>
          <t>1</t>
        </is>
      </c>
      <c r="D551" s="8" t="inlineStr">
        <is>
          <t>NOTICE OF A DECISION ON AN ASSESSMENT</t>
        </is>
      </c>
      <c r="E551" t="inlineStr">
        <is>
          <t>30–31</t>
        </is>
      </c>
      <c r="F551" t="inlineStr">
        <is>
          <t>Other</t>
        </is>
      </c>
      <c r="G551" t="inlineStr">
        <is>
          <t>Low</t>
        </is>
      </c>
      <c r="H551" t="inlineStr">
        <is>
          <t>High (explicit)</t>
        </is>
      </c>
      <c r="I551" s="8" t="inlineStr"/>
      <c r="J551" s="8" t="inlineStr"/>
      <c r="K551" t="inlineStr">
        <is>
          <t>Information Regulator</t>
        </is>
      </c>
      <c r="L551" s="8" t="inlineStr">
        <is>
          <t>Regulator decides to conduct assessment of information processing compliance with POPIA.</t>
        </is>
      </c>
      <c r="M551" s="8" t="inlineStr">
        <is>
          <t>Regulator conducts assessment of information processing compliance with POPIA.</t>
        </is>
      </c>
      <c r="N551" s="8" t="inlineStr">
        <is>
          <t>[Must] Regulator has decided to conduct an assessment in terms of section 89(1) of the Protection of Personal Information Act 4 of 2013</t>
        </is>
      </c>
      <c r="O551" s="8" t="inlineStr">
        <is>
          <t>The Regulator has decided to conduct an assessment in terms of section 89(1) of the Protection of Personal Information Act 4 of 2013.</t>
        </is>
      </c>
    </row>
    <row r="552">
      <c r="A552" t="inlineStr">
        <is>
          <t>South Africa</t>
        </is>
      </c>
      <c r="B552" t="inlineStr">
        <is>
          <t>POPIA_Regulations_-_Dec_2018</t>
        </is>
      </c>
      <c r="C552" t="inlineStr">
        <is>
          <t>1</t>
        </is>
      </c>
      <c r="D552" s="8" t="inlineStr">
        <is>
          <t>In hierdie Regulasie het enige woord of uitdrukking waaraan ‟n betekenis ingevolge die</t>
        </is>
      </c>
      <c r="E552" t="inlineStr">
        <is>
          <t>45–46</t>
        </is>
      </c>
      <c r="F552" t="inlineStr">
        <is>
          <t>Other</t>
        </is>
      </c>
      <c r="G552" t="inlineStr">
        <is>
          <t>Low</t>
        </is>
      </c>
      <c r="H552" t="inlineStr">
        <is>
          <t>High (explicit)</t>
        </is>
      </c>
      <c r="I552" s="8" t="inlineStr"/>
      <c r="J552" s="8" t="inlineStr"/>
      <c r="K552" t="inlineStr">
        <is>
          <t>Information Regulator</t>
        </is>
      </c>
      <c r="L552" s="8" t="inlineStr">
        <is>
          <t>Regulator decides to conduct assessment of information processing compliance with POPIA.</t>
        </is>
      </c>
      <c r="M552" s="8" t="inlineStr">
        <is>
          <t>Regulator conducts assessment of information processing compliance with POPIA.</t>
        </is>
      </c>
      <c r="N552" s="8" t="inlineStr">
        <is>
          <t>[Must] Regulator has decided to conduct an assessment in terms of section 89(1) of the Protection of Personal Information Act 4 of 2013</t>
        </is>
      </c>
      <c r="O552" s="8" t="inlineStr">
        <is>
          <t>The Regulator has decided to conduct an assessment in terms of section 89(1) of the Protection of Personal Information Act 4 of 2013.</t>
        </is>
      </c>
    </row>
    <row r="553">
      <c r="A553" t="inlineStr">
        <is>
          <t>South Africa</t>
        </is>
      </c>
      <c r="B553" t="inlineStr">
        <is>
          <t>POPIA_Regulations_-_Dec_2018</t>
        </is>
      </c>
      <c r="C553" t="inlineStr">
        <is>
          <t>1</t>
        </is>
      </c>
      <c r="D553" s="8" t="inlineStr">
        <is>
          <t>KONTAKBESONDERHEDE</t>
        </is>
      </c>
      <c r="E553" t="inlineStr">
        <is>
          <t>73</t>
        </is>
      </c>
      <c r="F553" t="inlineStr">
        <is>
          <t>Other</t>
        </is>
      </c>
      <c r="G553" t="inlineStr">
        <is>
          <t>None</t>
        </is>
      </c>
      <c r="H553" t="inlineStr">
        <is>
          <t>High (explicit)</t>
        </is>
      </c>
      <c r="I553" s="8" t="inlineStr"/>
      <c r="J553" s="8" t="inlineStr">
        <is>
          <t>Personal Information</t>
        </is>
      </c>
      <c r="K553" t="inlineStr">
        <is>
          <t>Regulator</t>
        </is>
      </c>
      <c r="L553" s="8" t="inlineStr">
        <is>
          <t>Notification of the audit decision.</t>
        </is>
      </c>
      <c r="M553" s="8" t="inlineStr">
        <is>
          <t>Notification of the audit decision.</t>
        </is>
      </c>
      <c r="N553" s="8" t="inlineStr">
        <is>
          <t>[Must] The regulator has decided to conduct an audit.</t>
        </is>
      </c>
      <c r="O553" s="8" t="inlineStr">
        <is>
          <t>1. KENNISGEWING VAN 'N BESLUIT OOR 'N OUDIT Die Reguleerder het besluit om 'n oudit te doen ingevolge artikel 89(1) van die Wet op Beskerming van Persoonlike Inligting, 2:2013.</t>
        </is>
      </c>
    </row>
    <row r="554">
      <c r="A554" t="inlineStr">
        <is>
          <t>South Africa</t>
        </is>
      </c>
      <c r="B554" t="inlineStr">
        <is>
          <t>POPIA_Regulations_-_Dec_2018</t>
        </is>
      </c>
      <c r="C554" t="inlineStr">
        <is>
          <t>1</t>
        </is>
      </c>
      <c r="D554" s="8" t="inlineStr">
        <is>
          <t>KENNISGEWING VAN 'N BESLUIT OOR 'N OUDIT</t>
        </is>
      </c>
      <c r="E554" t="inlineStr">
        <is>
          <t>74–75</t>
        </is>
      </c>
      <c r="F554" t="inlineStr">
        <is>
          <t>Other</t>
        </is>
      </c>
      <c r="G554" t="inlineStr">
        <is>
          <t>None</t>
        </is>
      </c>
      <c r="H554" t="inlineStr">
        <is>
          <t>High (explicit)</t>
        </is>
      </c>
      <c r="I554" s="8" t="inlineStr"/>
      <c r="J554" s="8" t="inlineStr">
        <is>
          <t>Personal Information</t>
        </is>
      </c>
      <c r="K554" t="inlineStr">
        <is>
          <t>Regulator</t>
        </is>
      </c>
      <c r="L554" s="8" t="inlineStr">
        <is>
          <t>Notification of the audit decision.</t>
        </is>
      </c>
      <c r="M554" s="8" t="inlineStr">
        <is>
          <t>Notification of the audit decision.</t>
        </is>
      </c>
      <c r="N554" s="8" t="inlineStr">
        <is>
          <t>[Must] The regulator has decided to conduct an audit.</t>
        </is>
      </c>
      <c r="O554" s="8" t="inlineStr">
        <is>
          <t>1. KENNISGEWING VAN 'N BESLUIT OOR 'N OUDIT Die Reguleerder het besluit om 'n oudit te doen ingevolge artikel 89(1) van die Wet op Beskerming van Persoonlike Inligting, 2:2013.</t>
        </is>
      </c>
    </row>
    <row r="555">
      <c r="A555" t="inlineStr">
        <is>
          <t>South Africa</t>
        </is>
      </c>
      <c r="B555" t="inlineStr">
        <is>
          <t>POPIA_Regulations_-_Dec_2018</t>
        </is>
      </c>
      <c r="C555" t="inlineStr">
        <is>
          <t>2</t>
        </is>
      </c>
      <c r="D555" s="8" t="inlineStr">
        <is>
          <t>(1) A data subject who wishes to object to the processing of personal information</t>
        </is>
      </c>
      <c r="E555" t="inlineStr">
        <is>
          <t>2</t>
        </is>
      </c>
      <c r="F555" t="inlineStr">
        <is>
          <t>Data Subject Rights</t>
        </is>
      </c>
      <c r="G555" t="inlineStr">
        <is>
          <t>None</t>
        </is>
      </c>
      <c r="H555" t="inlineStr">
        <is>
          <t>High (explicit)</t>
        </is>
      </c>
      <c r="I555" s="8" t="inlineStr"/>
      <c r="J555" s="8" t="inlineStr">
        <is>
          <t>Personal Information</t>
        </is>
      </c>
      <c r="K555" t="inlineStr"/>
      <c r="L555" s="8" t="inlineStr">
        <is>
          <t>Data subjects must submit objections to processing on Form 1 to responsible parties for lawful processing under section 11(3)(a) of the Act.</t>
        </is>
      </c>
      <c r="M555" s="8" t="inlineStr">
        <is>
          <t>Data subjects can object to processing via Form 1; responsible parties must provide reasonable assistance free of charge.</t>
        </is>
      </c>
      <c r="N555" s="8" t="inlineStr">
        <is>
          <t>[Must] A data subject who wishes to object to the processing of personal information in terms of section 11(3)(a) of the Act, must submit the objection to the responsible party on Form 1
[Must] The responsible party, or a designated person, must render such reasonable assistance as is necessary, free of charge, to enable the data subject to make an objection on Form 1</t>
        </is>
      </c>
      <c r="O555" s="8" t="inlineStr">
        <is>
          <t>(1) A data subject who wishes to object to the processing of personal information in terms of section 11(3)(a) of the Act, must submit the objection to the responsible party on Form 1. (2) The responsible party, or a designated person, must render such reasonable assistance as is necessary, free of charge, to enable the data subject to make an objection on Form 1.</t>
        </is>
      </c>
    </row>
    <row r="556">
      <c r="A556" t="inlineStr">
        <is>
          <t>South Africa</t>
        </is>
      </c>
      <c r="B556" t="inlineStr">
        <is>
          <t>POPIA_Regulations_-_Dec_2018</t>
        </is>
      </c>
      <c r="C556" t="inlineStr">
        <is>
          <t>2</t>
        </is>
      </c>
      <c r="D556" s="8" t="inlineStr">
        <is>
          <t>INFORMATION PROCESSING TO BE ASSESSED</t>
        </is>
      </c>
      <c r="E556" t="inlineStr">
        <is>
          <t>29</t>
        </is>
      </c>
      <c r="F556" t="inlineStr">
        <is>
          <t>Other</t>
        </is>
      </c>
      <c r="G556" t="inlineStr">
        <is>
          <t>Unknown</t>
        </is>
      </c>
      <c r="H556" t="inlineStr">
        <is>
          <t>Low</t>
        </is>
      </c>
      <c r="I556" s="8" t="inlineStr"/>
      <c r="J556" s="8" t="inlineStr"/>
      <c r="K556" t="inlineStr"/>
      <c r="L556" s="8" t="inlineStr"/>
      <c r="M556" s="8" t="inlineStr"/>
      <c r="N556" s="8" t="inlineStr"/>
      <c r="O556" s="8" t="inlineStr"/>
    </row>
    <row r="557">
      <c r="A557" t="inlineStr">
        <is>
          <t>South Africa</t>
        </is>
      </c>
      <c r="B557" t="inlineStr">
        <is>
          <t>POPIA_Regulations_-_Dec_2018</t>
        </is>
      </c>
      <c r="C557" t="inlineStr">
        <is>
          <t>2</t>
        </is>
      </c>
      <c r="D557" s="8" t="inlineStr">
        <is>
          <t>INFORMATION PROCESSING TO BE ASSESSED</t>
        </is>
      </c>
      <c r="E557" t="inlineStr">
        <is>
          <t>31</t>
        </is>
      </c>
      <c r="F557" t="inlineStr">
        <is>
          <t>Other</t>
        </is>
      </c>
      <c r="G557" t="inlineStr">
        <is>
          <t>Low</t>
        </is>
      </c>
      <c r="H557" t="inlineStr">
        <is>
          <t>High (explicit)</t>
        </is>
      </c>
      <c r="I557" s="8" t="inlineStr"/>
      <c r="J557" s="8" t="inlineStr"/>
      <c r="K557" t="inlineStr"/>
      <c r="L557" s="8" t="inlineStr">
        <is>
          <t>Information processing to be assessed is specified.</t>
        </is>
      </c>
      <c r="M557" s="8" t="inlineStr">
        <is>
          <t>Information processing to be assessed is specified for compliance with POPIA.</t>
        </is>
      </c>
      <c r="N557" s="8" t="inlineStr">
        <is>
          <t>[Must] Information processing to be assessed is specified</t>
        </is>
      </c>
      <c r="O557" s="8" t="inlineStr">
        <is>
          <t>2. INFORMATION PROCESSING TO BE ASSESSED</t>
        </is>
      </c>
    </row>
    <row r="558">
      <c r="A558" t="inlineStr">
        <is>
          <t>South Africa</t>
        </is>
      </c>
      <c r="B558" t="inlineStr">
        <is>
          <t>POPIA_Regulations_-_Dec_2018</t>
        </is>
      </c>
      <c r="C558" t="inlineStr">
        <is>
          <t>2</t>
        </is>
      </c>
      <c r="D558" s="8" t="inlineStr">
        <is>
          <t>(1)</t>
        </is>
      </c>
      <c r="E558" t="inlineStr">
        <is>
          <t>46</t>
        </is>
      </c>
      <c r="F558" t="inlineStr">
        <is>
          <t>Data Subject Rights</t>
        </is>
      </c>
      <c r="G558" t="inlineStr">
        <is>
          <t>Low</t>
        </is>
      </c>
      <c r="H558" t="inlineStr">
        <is>
          <t>High (explicit)</t>
        </is>
      </c>
      <c r="I558" s="8" t="inlineStr"/>
      <c r="J558" s="8" t="inlineStr">
        <is>
          <t>Personal Information</t>
        </is>
      </c>
      <c r="K558" t="inlineStr">
        <is>
          <t>Responsible party</t>
        </is>
      </c>
      <c r="L558" s="8" t="inlineStr">
        <is>
          <t>Data subjects must submit a complaint form to the responsible party for data processing under Article 11(3)(a) of the Act.</t>
        </is>
      </c>
      <c r="M558" s="8" t="inlineStr">
        <is>
          <t>Data subjects can request correction or deletion of personal information via Form 1; responsible parties must provide reasonable assistance at no cost.</t>
        </is>
      </c>
      <c r="N558" s="8" t="inlineStr">
        <is>
          <t>[Must] Data subject must submit Form 1 to responsible party for data processing under Article 11(3)(a) of the Act
[Must] Responsible party must provide reasonable assistance at no cost for data subject to complete Form 1</t>
        </is>
      </c>
      <c r="O558" s="8" t="inlineStr">
        <is>
          <t>„n Datasubjek wat beswaar wil aanteken teen die verwerking van persoonlike inligting ingevolge artikel 11(3)(a) van die Wet, moet die beswaar op Vorm 1 aan die verantwoordelike party voorlê. Die verantwoordelike party, of ‟n aangewese persoon, moet waar nodig redelike bystand lewer, kosteloos, om die datasubjek in staat te stel om ‟n beswaar op Vorm 1 te maak.</t>
        </is>
      </c>
    </row>
    <row r="559">
      <c r="A559" t="inlineStr">
        <is>
          <t>South Africa</t>
        </is>
      </c>
      <c r="B559" t="inlineStr">
        <is>
          <t>POPIA_Regulations_-_Dec_2018</t>
        </is>
      </c>
      <c r="C559" t="inlineStr">
        <is>
          <t>2</t>
        </is>
      </c>
      <c r="D559" s="8" t="inlineStr">
        <is>
          <t>INLIGTINGSVERWERKING WAT GEOUDITEER MOET WORD</t>
        </is>
      </c>
      <c r="E559" t="inlineStr">
        <is>
          <t>73</t>
        </is>
      </c>
      <c r="F559" t="inlineStr">
        <is>
          <t>Other</t>
        </is>
      </c>
      <c r="G559" t="inlineStr">
        <is>
          <t>None</t>
        </is>
      </c>
      <c r="H559" t="inlineStr">
        <is>
          <t>High (explicit)</t>
        </is>
      </c>
      <c r="I559" s="8" t="inlineStr"/>
      <c r="J559" s="8" t="inlineStr">
        <is>
          <t>Personal Information</t>
        </is>
      </c>
      <c r="K559" t="inlineStr"/>
      <c r="L559" s="8" t="inlineStr">
        <is>
          <t>Information processing that must be audited.</t>
        </is>
      </c>
      <c r="M559" s="8" t="inlineStr">
        <is>
          <t>Information processing that must be audited.</t>
        </is>
      </c>
      <c r="N559" s="8" t="inlineStr">
        <is>
          <t>[Must] Specify information processing that must be audited.</t>
        </is>
      </c>
      <c r="O559" s="8" t="inlineStr">
        <is>
          <t>2. INLIGTINGSVERWERKING WAT GEOUDITEER MOET WORD</t>
        </is>
      </c>
    </row>
    <row r="560">
      <c r="A560" t="inlineStr">
        <is>
          <t>South Africa</t>
        </is>
      </c>
      <c r="B560" t="inlineStr">
        <is>
          <t>POPIA_Regulations_-_Dec_2018</t>
        </is>
      </c>
      <c r="C560" t="inlineStr">
        <is>
          <t>2</t>
        </is>
      </c>
      <c r="D560" s="8" t="inlineStr">
        <is>
          <t>INLIGTINGSVERWERKING WAT GEOUDIT MOET WORD</t>
        </is>
      </c>
      <c r="E560" t="inlineStr">
        <is>
          <t>75</t>
        </is>
      </c>
      <c r="F560" t="inlineStr">
        <is>
          <t>Other</t>
        </is>
      </c>
      <c r="G560" t="inlineStr">
        <is>
          <t>None</t>
        </is>
      </c>
      <c r="H560" t="inlineStr">
        <is>
          <t>High (explicit)</t>
        </is>
      </c>
      <c r="I560" s="8" t="inlineStr"/>
      <c r="J560" s="8" t="inlineStr">
        <is>
          <t>Personal Information</t>
        </is>
      </c>
      <c r="K560" t="inlineStr"/>
      <c r="L560" s="8" t="inlineStr">
        <is>
          <t>Information processing that must be audited.</t>
        </is>
      </c>
      <c r="M560" s="8" t="inlineStr">
        <is>
          <t>Information processing that must be audited.</t>
        </is>
      </c>
      <c r="N560" s="8" t="inlineStr">
        <is>
          <t>[Must] Specify information processing that must be audited.</t>
        </is>
      </c>
      <c r="O560" s="8" t="inlineStr">
        <is>
          <t>2. INLIGTINGSVERWERKING WAT GEOUDITEER MOET WORD</t>
        </is>
      </c>
    </row>
    <row r="561">
      <c r="A561" t="inlineStr">
        <is>
          <t>South Africa</t>
        </is>
      </c>
      <c r="B561" t="inlineStr">
        <is>
          <t>POPIA_Regulations_-_Dec_2018</t>
        </is>
      </c>
      <c r="C561" t="inlineStr">
        <is>
          <t>3</t>
        </is>
      </c>
      <c r="D561" s="8" t="inlineStr">
        <is>
          <t>(1) A data subject who wishes to request a correction or deletion of personal</t>
        </is>
      </c>
      <c r="E561" t="inlineStr">
        <is>
          <t>2–3</t>
        </is>
      </c>
      <c r="F561" t="inlineStr">
        <is>
          <t>Data Subject Rights</t>
        </is>
      </c>
      <c r="G561" t="inlineStr">
        <is>
          <t>None</t>
        </is>
      </c>
      <c r="H561" t="inlineStr">
        <is>
          <t>High (explicit)</t>
        </is>
      </c>
      <c r="I561" s="8" t="inlineStr"/>
      <c r="J561" s="8" t="inlineStr">
        <is>
          <t>Personal Information</t>
        </is>
      </c>
      <c r="K561" t="inlineStr"/>
      <c r="L561" s="8" t="inlineStr">
        <is>
          <t>Data subjects must submit requests for correction or deletion of personal information on Form 2 to responsible parties for lawful processing under section 24(1) of the Act.</t>
        </is>
      </c>
      <c r="M561" s="8" t="inlineStr">
        <is>
          <t>Data subjects can request correction/deletion via Form 2; responsible parties must provide reasonable assistance free of charge.</t>
        </is>
      </c>
      <c r="N561" s="8" t="inlineStr">
        <is>
          <t>[Must] A data subject who wishes to request a correction or deletion of personal information or the destruction or deletion of a record of personal information in terms of section 24(1) of the Act, must submit a request to the responsible party on Form 2
[Must] The responsible party, or a designated person, must render such reasonable assistance, as is necessary free of charge, to enable a data subject to complete Form 2</t>
        </is>
      </c>
      <c r="O561" s="8" t="inlineStr">
        <is>
          <t>(1) A data subject who wishes to request a correction or deletion of personal information or the destruction or deletion of a record of personal information in terms of section 24(1) of the Act, must submit a request to the responsible party on Form 2. (2) The responsible party, or a designated person, must render such reasonable assistance, as is necessary free of charge, to enable a data subject to complete Form 2.</t>
        </is>
      </c>
    </row>
    <row r="562">
      <c r="A562" t="inlineStr">
        <is>
          <t>South Africa</t>
        </is>
      </c>
      <c r="B562" t="inlineStr">
        <is>
          <t>POPIA_Regulations_-_Dec_2018</t>
        </is>
      </c>
      <c r="C562" t="inlineStr">
        <is>
          <t>3</t>
        </is>
      </c>
      <c r="D562" s="8" t="inlineStr">
        <is>
          <t>Complete as is applicable.</t>
        </is>
      </c>
      <c r="E562" t="inlineStr">
        <is>
          <t>9–11</t>
        </is>
      </c>
      <c r="F562" t="inlineStr">
        <is>
          <t>Data Subject Rights</t>
        </is>
      </c>
      <c r="G562" t="inlineStr">
        <is>
          <t>None</t>
        </is>
      </c>
      <c r="H562" t="inlineStr">
        <is>
          <t>High (explicit)</t>
        </is>
      </c>
      <c r="I562" s="8" t="inlineStr"/>
      <c r="J562" s="8" t="inlineStr">
        <is>
          <t>Personal Information</t>
        </is>
      </c>
      <c r="K562" t="inlineStr"/>
      <c r="L562" s="8" t="inlineStr">
        <is>
          <t>Data subjects must submit requests for correction or deletion of personal information on Form 2 to responsible parties for lawful processing under section 24(1) of the Act.</t>
        </is>
      </c>
      <c r="M562" s="8" t="inlineStr">
        <is>
          <t>Data subjects can request correction/deletion via Form 2; responsible parties must provide reasonable assistance free of charge.</t>
        </is>
      </c>
      <c r="N562" s="8" t="inlineStr">
        <is>
          <t>[Must] A data subject who wishes to request a correction or deletion of personal information or the destruction or deletion of a record of personal information in terms of section 24(1) of the Act, must submit a request to the responsible party on Form 2
[Must] The responsible party, or a designated person, must render such reasonable assistance, as is necessary free of charge, to enable a data subject to complete Form 2</t>
        </is>
      </c>
      <c r="O562" s="8" t="inlineStr">
        <is>
          <t>(1) A data subject who wishes to request a correction or deletion of personal information or the destruction or deletion of a record of personal information in terms of section 24(1) of the Act, must submit a request to the responsible party on Form 2. (2) The responsible party, or a designated person, must render such reasonable assistance, as is necessary free of charge, to enable a data subject to complete Form 2.</t>
        </is>
      </c>
    </row>
    <row r="563">
      <c r="A563" t="inlineStr">
        <is>
          <t>South Africa</t>
        </is>
      </c>
      <c r="B563" t="inlineStr">
        <is>
          <t>POPIA_Regulations_-_Dec_2018</t>
        </is>
      </c>
      <c r="C563" t="inlineStr">
        <is>
          <t>3</t>
        </is>
      </c>
      <c r="D563" s="8" t="inlineStr">
        <is>
          <t>Complete as is applicable.</t>
        </is>
      </c>
      <c r="E563" t="inlineStr">
        <is>
          <t>11–17</t>
        </is>
      </c>
      <c r="F563" t="inlineStr">
        <is>
          <t>Data Subject Rights</t>
        </is>
      </c>
      <c r="G563" t="inlineStr">
        <is>
          <t>Low</t>
        </is>
      </c>
      <c r="H563" t="inlineStr">
        <is>
          <t>High (explicit)</t>
        </is>
      </c>
      <c r="I563" s="8" t="inlineStr"/>
      <c r="J563" s="8" t="inlineStr">
        <is>
          <t>Personal Information</t>
        </is>
      </c>
      <c r="K563" t="inlineStr"/>
      <c r="L563" s="8" t="inlineStr">
        <is>
          <t>Provides form for requests to assess compliance with personal information processing.</t>
        </is>
      </c>
      <c r="M563" s="8" t="inlineStr">
        <is>
          <t>Allows entities to request assessments of compliance with personal information processing activities.</t>
        </is>
      </c>
      <c r="N563" s="8" t="inlineStr">
        <is>
          <t>[Must] Provide details of requester, responsible party, and information processing to be assessed</t>
        </is>
      </c>
      <c r="O563" s="8" t="inlineStr">
        <is>
          <t>REQUEST FOR AN ASSESSMENT SECTION 89(1) OF THE PROTECTION OF PERSONAL INFORMATION ACT 4 OF 2013</t>
        </is>
      </c>
    </row>
    <row r="564">
      <c r="A564" t="inlineStr">
        <is>
          <t>South Africa</t>
        </is>
      </c>
      <c r="B564" t="inlineStr">
        <is>
          <t>POPIA_Regulations_-_Dec_2018</t>
        </is>
      </c>
      <c r="C564" t="inlineStr">
        <is>
          <t>3</t>
        </is>
      </c>
      <c r="D564" s="8" t="inlineStr">
        <is>
          <t>Complete as is applicable.</t>
        </is>
      </c>
      <c r="E564" t="inlineStr">
        <is>
          <t>17–29</t>
        </is>
      </c>
      <c r="F564" t="inlineStr">
        <is>
          <t>Data Subject Rights</t>
        </is>
      </c>
      <c r="G564" t="inlineStr">
        <is>
          <t>Low</t>
        </is>
      </c>
      <c r="H564" t="inlineStr">
        <is>
          <t>High (explicit)</t>
        </is>
      </c>
      <c r="I564" s="8" t="inlineStr"/>
      <c r="J564" s="8" t="inlineStr">
        <is>
          <t>Personal Information</t>
        </is>
      </c>
      <c r="K564" t="inlineStr"/>
      <c r="L564" s="8" t="inlineStr">
        <is>
          <t>Provides form for requests to assess compliance with personal information processing.</t>
        </is>
      </c>
      <c r="M564" s="8" t="inlineStr">
        <is>
          <t>Allows entities to request assessments of compliance with personal information processing activities.</t>
        </is>
      </c>
      <c r="N564" s="8" t="inlineStr">
        <is>
          <t>[Must] Provide details of requester, responsible party, and information processing to be assessed</t>
        </is>
      </c>
      <c r="O564" s="8" t="inlineStr">
        <is>
          <t>REQUEST FOR AN ASSESSMENT SECTION 89(1) OF THE PROTECTION OF PERSONAL INFORMATION ACT 4 OF 2013</t>
        </is>
      </c>
    </row>
    <row r="565">
      <c r="A565" t="inlineStr">
        <is>
          <t>South Africa</t>
        </is>
      </c>
      <c r="B565" t="inlineStr">
        <is>
          <t>POPIA_Regulations_-_Dec_2018</t>
        </is>
      </c>
      <c r="C565" t="inlineStr">
        <is>
          <t>3</t>
        </is>
      </c>
      <c r="D565" s="8" t="inlineStr">
        <is>
          <t>PERSONS AFFECTED BY THE RELEVANT INFORMATION PROCESSING PRACTICE/S</t>
        </is>
      </c>
      <c r="E565" t="inlineStr">
        <is>
          <t>29</t>
        </is>
      </c>
      <c r="F565" t="inlineStr">
        <is>
          <t>Data Subject Rights</t>
        </is>
      </c>
      <c r="G565" t="inlineStr">
        <is>
          <t>Low</t>
        </is>
      </c>
      <c r="H565" t="inlineStr">
        <is>
          <t>High (explicit)</t>
        </is>
      </c>
      <c r="I565" s="8" t="inlineStr"/>
      <c r="J565" s="8" t="inlineStr">
        <is>
          <t>Personal Information</t>
        </is>
      </c>
      <c r="K565" t="inlineStr"/>
      <c r="L565" s="8" t="inlineStr">
        <is>
          <t>Provides form for requests to assess compliance with personal information processing.</t>
        </is>
      </c>
      <c r="M565" s="8" t="inlineStr">
        <is>
          <t>Allows entities to request assessments of compliance with personal information processing activities.</t>
        </is>
      </c>
      <c r="N565" s="8" t="inlineStr">
        <is>
          <t>[Must] Provide details of requester, responsible party, and information processing to be assessed</t>
        </is>
      </c>
      <c r="O565" s="8" t="inlineStr">
        <is>
          <t>REQUEST FOR AN ASSESSMENT SECTION 89(1) OF THE PROTECTION OF PERSONAL INFORMATION ACT 4 OF 2013</t>
        </is>
      </c>
    </row>
    <row r="566">
      <c r="A566" t="inlineStr">
        <is>
          <t>South Africa</t>
        </is>
      </c>
      <c r="B566" t="inlineStr">
        <is>
          <t>POPIA_Regulations_-_Dec_2018</t>
        </is>
      </c>
      <c r="C566" t="inlineStr">
        <is>
          <t>3</t>
        </is>
      </c>
      <c r="D566" s="8" t="inlineStr">
        <is>
          <t>PERSONS AFFECTED BY THE RELEVANT INFORMATION PROCESSING PRACTICE/S</t>
        </is>
      </c>
      <c r="E566" t="inlineStr">
        <is>
          <t>31</t>
        </is>
      </c>
      <c r="F566" t="inlineStr">
        <is>
          <t>Other</t>
        </is>
      </c>
      <c r="G566" t="inlineStr">
        <is>
          <t>Low</t>
        </is>
      </c>
      <c r="H566" t="inlineStr">
        <is>
          <t>High (explicit)</t>
        </is>
      </c>
      <c r="I566" s="8" t="inlineStr"/>
      <c r="J566" s="8" t="inlineStr"/>
      <c r="K566" t="inlineStr"/>
      <c r="L566" s="8" t="inlineStr">
        <is>
          <t>Persons affected by relevant information processing practice/s are specified.</t>
        </is>
      </c>
      <c r="M566" s="8" t="inlineStr">
        <is>
          <t>Persons affected by relevant information processing practice/s are specified for compliance with POPIA.</t>
        </is>
      </c>
      <c r="N566" s="8" t="inlineStr">
        <is>
          <t>[Must] Persons affected by relevant information processing practice/s are specified</t>
        </is>
      </c>
      <c r="O566" s="8" t="inlineStr">
        <is>
          <t>3. PERSONS AFFECTED BY THE RELEVANT INFORMATION PROCESSING PRACTICE/S</t>
        </is>
      </c>
    </row>
    <row r="567">
      <c r="A567" t="inlineStr">
        <is>
          <t>South Africa</t>
        </is>
      </c>
      <c r="B567" t="inlineStr">
        <is>
          <t>POPIA_Regulations_-_Dec_2018</t>
        </is>
      </c>
      <c r="C567" t="inlineStr">
        <is>
          <t>3</t>
        </is>
      </c>
      <c r="D567" s="8" t="inlineStr">
        <is>
          <t>(1)</t>
        </is>
      </c>
      <c r="E567" t="inlineStr">
        <is>
          <t>46–47</t>
        </is>
      </c>
      <c r="F567" t="inlineStr">
        <is>
          <t>Data Subject Rights</t>
        </is>
      </c>
      <c r="G567" t="inlineStr">
        <is>
          <t>Low</t>
        </is>
      </c>
      <c r="H567" t="inlineStr">
        <is>
          <t>High (explicit)</t>
        </is>
      </c>
      <c r="I567" s="8" t="inlineStr"/>
      <c r="J567" s="8" t="inlineStr">
        <is>
          <t>Personal Information</t>
        </is>
      </c>
      <c r="K567" t="inlineStr">
        <is>
          <t>Responsible party</t>
        </is>
      </c>
      <c r="L567" s="8" t="inlineStr">
        <is>
          <t>Data subjects must submit a request form to the responsible party for correction or deletion of personal information under Article 24(1) of the Act.</t>
        </is>
      </c>
      <c r="M567" s="8" t="inlineStr">
        <is>
          <t>Data subjects can request correction or deletion of personal information via Form 2; responsible parties must provide reasonable assistance at no cost.</t>
        </is>
      </c>
      <c r="N567" s="8" t="inlineStr">
        <is>
          <t>[Must] Data subject must submit Form 2 to responsible party for correction or deletion of personal information under Article 24(1) of the Act
[Must] Responsible party must provide reasonable assistance at no cost for data subject to complete Form 2</t>
        </is>
      </c>
      <c r="O567" s="8" t="inlineStr">
        <is>
          <t>„n Datasubjek wat ‟n regstelling of skrapping van persoonlike inligting of die vernietiging of skrapping van ‟n rekord van persoonlike inligting ingevolge artikel 24(1) van die Wet wil aansoek doen, moet ‟n versoek op Vorm 2 aan die verantwoordelike party voorlê. Die verantwoordelike party, of ‟n aangewese persoon, moet waar nodig redelike bystand lewer, gratis, sodat ‟n datasubjek Vorm 2 kan invul.</t>
        </is>
      </c>
    </row>
    <row r="568">
      <c r="A568" t="inlineStr">
        <is>
          <t>South Africa</t>
        </is>
      </c>
      <c r="B568" t="inlineStr">
        <is>
          <t>POPIA_Regulations_-_Dec_2018</t>
        </is>
      </c>
      <c r="C568" t="inlineStr">
        <is>
          <t>3</t>
        </is>
      </c>
      <c r="D568" s="8" t="inlineStr">
        <is>
          <t>Vul in waar van toepassing.</t>
        </is>
      </c>
      <c r="E568" t="inlineStr">
        <is>
          <t>53–55</t>
        </is>
      </c>
      <c r="F568" t="inlineStr">
        <is>
          <t>Data Subject Rights</t>
        </is>
      </c>
      <c r="G568" t="inlineStr">
        <is>
          <t>Low</t>
        </is>
      </c>
      <c r="H568" t="inlineStr">
        <is>
          <t>High (explicit)</t>
        </is>
      </c>
      <c r="I568" s="8" t="inlineStr"/>
      <c r="J568" s="8" t="inlineStr">
        <is>
          <t>Personal Information</t>
        </is>
      </c>
      <c r="K568" t="inlineStr">
        <is>
          <t>Responsible party</t>
        </is>
      </c>
      <c r="L568" s="8" t="inlineStr">
        <is>
          <t>Data subjects must submit a request form to the responsible party for correction or deletion of personal information under Article 24(1) of the Act.</t>
        </is>
      </c>
      <c r="M568" s="8" t="inlineStr">
        <is>
          <t>Data subjects can request correction or deletion of personal information via Form 2; responsible parties must provide reasonable assistance at no cost.</t>
        </is>
      </c>
      <c r="N568" s="8" t="inlineStr">
        <is>
          <t>[Must] Data subject must submit Form 2 to responsible party for correction or deletion of personal information under Article 24(1) of the Act
[Must] Responsible party must provide reasonable assistance at no cost for data subject to complete Form 2</t>
        </is>
      </c>
      <c r="O568" s="8" t="inlineStr">
        <is>
          <t>„n Datasubjek wat ‟n regstelling of skrapping van persoonlike inligting of die vernietiging of skrapping van ‟n rekord van persoonlike inligting ingevolge artikel 24(1) van die Wet wil aansoek doen, moet ‟n versoek op Vorm 2 aan die verantwoordelike party voorlê. Die verantwoordelike party, of ‟n aangewese persoon, moet waar nodig redelike bystand lewer, gratis, sodat ‟n datasubjek Vorm 2 kan invul.</t>
        </is>
      </c>
    </row>
    <row r="569">
      <c r="A569" t="inlineStr">
        <is>
          <t>South Africa</t>
        </is>
      </c>
      <c r="B569" t="inlineStr">
        <is>
          <t>POPIA_Regulations_-_Dec_2018</t>
        </is>
      </c>
      <c r="C569" t="inlineStr">
        <is>
          <t>3</t>
        </is>
      </c>
      <c r="D569" s="8" t="inlineStr">
        <is>
          <t>Vul in waar van toepassing.</t>
        </is>
      </c>
      <c r="E569" t="inlineStr">
        <is>
          <t>55–61</t>
        </is>
      </c>
      <c r="F569" t="inlineStr">
        <is>
          <t>Data Subject Rights</t>
        </is>
      </c>
      <c r="G569" t="inlineStr">
        <is>
          <t>Low</t>
        </is>
      </c>
      <c r="H569" t="inlineStr">
        <is>
          <t>High (explicit)</t>
        </is>
      </c>
      <c r="I569" s="8" t="inlineStr"/>
      <c r="J569" s="8" t="inlineStr">
        <is>
          <t>Personal Information</t>
        </is>
      </c>
      <c r="K569" t="inlineStr">
        <is>
          <t>Responsible party</t>
        </is>
      </c>
      <c r="L569" s="8" t="inlineStr">
        <is>
          <t>Data subjects must submit a request form to the responsible party for correction or deletion of personal information under Article 24(1) of the Act.</t>
        </is>
      </c>
      <c r="M569" s="8" t="inlineStr">
        <is>
          <t>Data subjects can request correction or deletion of personal information via Form 2; responsible parties must provide reasonable assistance at no cost.</t>
        </is>
      </c>
      <c r="N569" s="8" t="inlineStr">
        <is>
          <t>[Must] Data subject must submit Form 2 to responsible party for correction or deletion of personal information under Article 24(1) of the Act
[Must] Responsible party must provide reasonable assistance at no cost for data subject to complete Form 2</t>
        </is>
      </c>
      <c r="O569" s="8" t="inlineStr">
        <is>
          <t>„n Datasubjek wat ‟n regstelling of skrapping van persoonlike inligting of die vernietiging of skrapping van ‟n rekord van persoonlike inligting ingevolge artikel 24(1) van die Wet wil aansoek doen, moet ‟n versoek op Vorm 2 aan die verantwoordelike party voorlê. Die verantwoordelike party, of ‟n aangewese persoon, moet waar nodig redelike bystand lewer, gratis, sodat ‟n datasubjek Vorm 2 kan invul.</t>
        </is>
      </c>
    </row>
    <row r="570">
      <c r="A570" t="inlineStr">
        <is>
          <t>South Africa</t>
        </is>
      </c>
      <c r="B570" t="inlineStr">
        <is>
          <t>POPIA_Regulations_-_Dec_2018</t>
        </is>
      </c>
      <c r="C570" t="inlineStr">
        <is>
          <t>3</t>
        </is>
      </c>
      <c r="D570" s="8" t="inlineStr">
        <is>
          <t>Vul in waar van toepassing.</t>
        </is>
      </c>
      <c r="E570" t="inlineStr">
        <is>
          <t>61–73</t>
        </is>
      </c>
      <c r="F570" t="inlineStr">
        <is>
          <t>Other</t>
        </is>
      </c>
      <c r="G570" t="inlineStr">
        <is>
          <t>None</t>
        </is>
      </c>
      <c r="H570" t="inlineStr">
        <is>
          <t>High (explicit)</t>
        </is>
      </c>
      <c r="I570" s="8" t="inlineStr"/>
      <c r="J570" s="8" t="inlineStr">
        <is>
          <t>Personal Information</t>
        </is>
      </c>
      <c r="K570" t="inlineStr"/>
      <c r="L570" s="8" t="inlineStr">
        <is>
          <t>Persons affected by the information processing practice.</t>
        </is>
      </c>
      <c r="M570" s="8" t="inlineStr">
        <is>
          <t>Persons affected by the information processing practice.</t>
        </is>
      </c>
      <c r="N570" s="8" t="inlineStr">
        <is>
          <t>[Must] Identify persons affected by the information processing practice.</t>
        </is>
      </c>
      <c r="O570" s="8" t="inlineStr">
        <is>
          <t>3. PERSONE GERAAK DEUR DIE TERSAAKLIKE INLIGTINGSVERWERKINGSPRAKTYK(E)</t>
        </is>
      </c>
    </row>
    <row r="571">
      <c r="A571" t="inlineStr">
        <is>
          <t>South Africa</t>
        </is>
      </c>
      <c r="B571" t="inlineStr">
        <is>
          <t>POPIA_Regulations_-_Dec_2018</t>
        </is>
      </c>
      <c r="C571" t="inlineStr">
        <is>
          <t>3</t>
        </is>
      </c>
      <c r="D571" s="8" t="inlineStr">
        <is>
          <t>PERSONE GERAAK DEUR DIE TERSAAKLIKE INLIGTINGSVERWERKINGSPRAKTYK(E)</t>
        </is>
      </c>
      <c r="E571" t="inlineStr">
        <is>
          <t>73</t>
        </is>
      </c>
      <c r="F571" t="inlineStr">
        <is>
          <t>Other</t>
        </is>
      </c>
      <c r="G571" t="inlineStr">
        <is>
          <t>None</t>
        </is>
      </c>
      <c r="H571" t="inlineStr">
        <is>
          <t>High (explicit)</t>
        </is>
      </c>
      <c r="I571" s="8" t="inlineStr"/>
      <c r="J571" s="8" t="inlineStr">
        <is>
          <t>Personal Information</t>
        </is>
      </c>
      <c r="K571" t="inlineStr"/>
      <c r="L571" s="8" t="inlineStr">
        <is>
          <t>Persons affected by the information processing practice.</t>
        </is>
      </c>
      <c r="M571" s="8" t="inlineStr">
        <is>
          <t>Persons affected by the information processing practice.</t>
        </is>
      </c>
      <c r="N571" s="8" t="inlineStr">
        <is>
          <t>[Must] Identify persons affected by the information processing practice.</t>
        </is>
      </c>
      <c r="O571" s="8" t="inlineStr">
        <is>
          <t>3. PERSONE GERAAK DEUR DIE TERSAAKLIKE INLIGTINGSVERWERKINGSPRAKTYK(E)</t>
        </is>
      </c>
    </row>
    <row r="572">
      <c r="A572" t="inlineStr">
        <is>
          <t>South Africa</t>
        </is>
      </c>
      <c r="B572" t="inlineStr">
        <is>
          <t>POPIA_Regulations_-_Dec_2018</t>
        </is>
      </c>
      <c r="C572" t="inlineStr">
        <is>
          <t>3</t>
        </is>
      </c>
      <c r="D572" s="8" t="inlineStr">
        <is>
          <t>PERSONE GERAAK DEUR DIE TERSAAKLIKE INLIGTINGSVERWERKINGSPRAKTYK(E)</t>
        </is>
      </c>
      <c r="E572" t="inlineStr">
        <is>
          <t>75</t>
        </is>
      </c>
      <c r="F572" t="inlineStr">
        <is>
          <t>Other</t>
        </is>
      </c>
      <c r="G572" t="inlineStr">
        <is>
          <t>None</t>
        </is>
      </c>
      <c r="H572" t="inlineStr">
        <is>
          <t>High (explicit)</t>
        </is>
      </c>
      <c r="I572" s="8" t="inlineStr"/>
      <c r="J572" s="8" t="inlineStr">
        <is>
          <t>Personal Information</t>
        </is>
      </c>
      <c r="K572" t="inlineStr"/>
      <c r="L572" s="8" t="inlineStr">
        <is>
          <t>Persons affected by the information processing practice.</t>
        </is>
      </c>
      <c r="M572" s="8" t="inlineStr">
        <is>
          <t>Persons affected by the information processing practice.</t>
        </is>
      </c>
      <c r="N572" s="8" t="inlineStr">
        <is>
          <t>[Must] Identify persons affected by the information processing practice.</t>
        </is>
      </c>
      <c r="O572" s="8" t="inlineStr">
        <is>
          <t>3. PERSONE GERAAK DEUR DIE TERSAAKLIKE INLIGTINGSVERWERKINGSPRAKTYK(E)</t>
        </is>
      </c>
    </row>
    <row r="573">
      <c r="A573" t="inlineStr">
        <is>
          <t>South Africa</t>
        </is>
      </c>
      <c r="B573" t="inlineStr">
        <is>
          <t>POPIA_Regulations_-_Dec_2018</t>
        </is>
      </c>
      <c r="C573" t="inlineStr">
        <is>
          <t>4</t>
        </is>
      </c>
      <c r="D573" s="8" t="inlineStr">
        <is>
          <t>(1) An information officer must, in addition to the responsibilities referred to in</t>
        </is>
      </c>
      <c r="E573" t="inlineStr">
        <is>
          <t>3</t>
        </is>
      </c>
      <c r="F573" t="inlineStr">
        <is>
          <t>Governance</t>
        </is>
      </c>
      <c r="G573" t="inlineStr">
        <is>
          <t>None</t>
        </is>
      </c>
      <c r="H573" t="inlineStr">
        <is>
          <t>High (explicit)</t>
        </is>
      </c>
      <c r="I573" s="8" t="inlineStr">
        <is>
          <t>Governance, Record Keeping</t>
        </is>
      </c>
      <c r="J573" s="8" t="inlineStr">
        <is>
          <t>Personal Information</t>
        </is>
      </c>
      <c r="K573" t="inlineStr"/>
      <c r="L573" s="8" t="inlineStr">
        <is>
          <t>Information officers must develop compliance frameworks, conduct impact assessments, maintain manuals, and ensure internal awareness sessions for the Act.</t>
        </is>
      </c>
      <c r="M573" s="8" t="inlineStr">
        <is>
          <t>Information officers must implement compliance frameworks, conduct impact assessments, maintain manuals, and conduct awareness sessions.</t>
        </is>
      </c>
      <c r="N573" s="8" t="inlineStr">
        <is>
          <t>[Must] An information officer must, in addition to the responsibilities referred to in section 55(1) of the Act, ensure that a compliance framework is developed, implemented, monitored and maintained
[Must] An information officer must, in addition to the responsibilities referred to in section 55(1) of the Act, ensure that a personal information impact assessment is done to ensure that adequate measures and standards exist in order to comply with the conditions for the lawful processing of personal information
[Must] An information officer must, in addition to the responsibilities referred to in section 55(1) of the Act, ensure that a manual is developed, monitored, maintained and made available as prescribed in sections 14 and 51 of the Promotion of Access to Information Act, 2000
[Must] An information officer must, in addition to the responsibilities referred to in section 55(1) of the Act, ensure that internal measures are developed together with adequate systems to process requests for information or access thereto
[Must] An information officer must, in addition to the responsibilities referred to in section 55(1) of the Act, ensure that internal awareness sessions are conducted regarding the provisions of the Act, regulations made in terms of the Act, codes of conduct, or information obtained from the Regulator
[Must] The information officer shall upon request by any person, provide copies of the manual to that person upon the payment of a fee to be determined by the Regulator from time to time</t>
        </is>
      </c>
      <c r="O573" s="8" t="inlineStr">
        <is>
          <t>An information officer must, in addition to the responsibilities referred to in section 55(1) of the Act, ensure that- (a) a compliance framework is developed, implemented, monitored and maintained (b) a personal information impact assessment is done to ensure that adequate measures and standards exist in order to comply with the conditions for the lawful processing of personal information; (c) a manual is developed, monitored, maintained and made available as prescribed in sections 14 and 51 of the Promotion of Access to Information Act, 2000; (d) internal measures are developed together with adequate systems to process requests for information or access thereto; and (e) internal awareness sessions are conducted regarding the provisions of the Act, regulations made in terms of the Act, codes of conduct, or information obtained from the Regulator.</t>
        </is>
      </c>
    </row>
    <row r="574">
      <c r="A574" t="inlineStr">
        <is>
          <t>South Africa</t>
        </is>
      </c>
      <c r="B574" t="inlineStr">
        <is>
          <t>POPIA_Regulations_-_Dec_2018</t>
        </is>
      </c>
      <c r="C574" t="inlineStr">
        <is>
          <t>4</t>
        </is>
      </c>
      <c r="D574" s="8" t="inlineStr">
        <is>
          <t>THE REASON WHY AN ASSESSMENT IS REQUESTED</t>
        </is>
      </c>
      <c r="E574" t="inlineStr">
        <is>
          <t>29–30</t>
        </is>
      </c>
      <c r="F574" t="inlineStr">
        <is>
          <t>Other</t>
        </is>
      </c>
      <c r="G574" t="inlineStr">
        <is>
          <t>Unknown</t>
        </is>
      </c>
      <c r="H574" t="inlineStr">
        <is>
          <t>Low</t>
        </is>
      </c>
      <c r="I574" s="8" t="inlineStr"/>
      <c r="J574" s="8" t="inlineStr"/>
      <c r="K574" t="inlineStr"/>
      <c r="L574" s="8" t="inlineStr"/>
      <c r="M574" s="8" t="inlineStr"/>
      <c r="N574" s="8" t="inlineStr"/>
      <c r="O574" s="8" t="inlineStr"/>
    </row>
    <row r="575">
      <c r="A575" t="inlineStr">
        <is>
          <t>South Africa</t>
        </is>
      </c>
      <c r="B575" t="inlineStr">
        <is>
          <t>POPIA_Regulations_-_Dec_2018</t>
        </is>
      </c>
      <c r="C575" t="inlineStr">
        <is>
          <t>4</t>
        </is>
      </c>
      <c r="D575" s="8" t="inlineStr">
        <is>
          <t>THE REASON WHY AN ASSESSMENT IS TO BE CONDUCTED/ NOT TO BE CONDUCTED</t>
        </is>
      </c>
      <c r="E575" t="inlineStr">
        <is>
          <t>31</t>
        </is>
      </c>
      <c r="F575" t="inlineStr">
        <is>
          <t>Other</t>
        </is>
      </c>
      <c r="G575" t="inlineStr">
        <is>
          <t>Low</t>
        </is>
      </c>
      <c r="H575" t="inlineStr">
        <is>
          <t>High (explicit)</t>
        </is>
      </c>
      <c r="I575" s="8" t="inlineStr"/>
      <c r="J575" s="8" t="inlineStr"/>
      <c r="K575" t="inlineStr"/>
      <c r="L575" s="8" t="inlineStr">
        <is>
          <t>Reason for conducting or not conducting assessment is specified.</t>
        </is>
      </c>
      <c r="M575" s="8" t="inlineStr">
        <is>
          <t>Reason for conducting or not conducting assessment is specified for compliance with POPIA.</t>
        </is>
      </c>
      <c r="N575" s="8" t="inlineStr">
        <is>
          <t>[Must] Reason why an assessment is to be conducted/not to be conducted is specified</t>
        </is>
      </c>
      <c r="O575" s="8" t="inlineStr">
        <is>
          <t>4. THE REASON WHY AN ASSESSMENT IS TO BE CONDUCTED/NOT TO BE CONDUCTED</t>
        </is>
      </c>
    </row>
    <row r="576">
      <c r="A576" t="inlineStr">
        <is>
          <t>South Africa</t>
        </is>
      </c>
      <c r="B576" t="inlineStr">
        <is>
          <t>POPIA_Regulations_-_Dec_2018</t>
        </is>
      </c>
      <c r="C576" t="inlineStr">
        <is>
          <t>4</t>
        </is>
      </c>
      <c r="D576" s="8" t="inlineStr">
        <is>
          <t>(1)</t>
        </is>
      </c>
      <c r="E576" t="inlineStr">
        <is>
          <t>47</t>
        </is>
      </c>
      <c r="F576" t="inlineStr">
        <is>
          <t>Governance</t>
        </is>
      </c>
      <c r="G576" t="inlineStr">
        <is>
          <t>Low</t>
        </is>
      </c>
      <c r="H576" t="inlineStr">
        <is>
          <t>High (explicit)</t>
        </is>
      </c>
      <c r="I576" s="8" t="inlineStr">
        <is>
          <t>Governance</t>
        </is>
      </c>
      <c r="J576" s="8" t="inlineStr">
        <is>
          <t>Personal Information</t>
        </is>
      </c>
      <c r="K576" t="inlineStr">
        <is>
          <t>Information officer</t>
        </is>
      </c>
      <c r="L576" s="8" t="inlineStr">
        <is>
          <t>Information officers must develop, implement, monitor and maintain a compliance framework.</t>
        </is>
      </c>
      <c r="M576" s="8" t="inlineStr">
        <is>
          <t>Information officers must establish a compliance framework, conduct impact assessments, develop guidelines, and hold awareness sessions.</t>
        </is>
      </c>
      <c r="N576" s="8" t="inlineStr">
        <is>
          <t>[Must] Information officer must develop, implement, monitor and maintain a compliance framework
[Must] Information officer must conduct personal information impact assessments
[Must] Information officer must develop, monitor, maintain and provide guidelines as per the Access to Information Act
[Must] Information officer must develop internal policies and systems for information requests
[Must] Information officer must hold internal awareness sessions on the Act, regulations, codes of conduct, and regulatory information</t>
        </is>
      </c>
      <c r="O576" s="8" t="inlineStr">
        <is>
          <t>„n Inligtingsbeampte moet, bykomend tot die verantwoordelikhede in artikel 55(1) van die Wet beoog, verseker dat- (a) ‟n voldoeningsraamwerk ontwikkel, geïmplementeer, gemonitor en onderhou word; (b) ‟n persoonlike inligtingsimpakassessering gedoen word om te verseker dat voldoende maatreëls en standaarde bestaan ten einde te voldoen aan die voorwaardes vir die wettige verwerking van persoonlike inligting; (c) ‟n handleiding ontwikkel, gemonitor, onderhou en beskikbaar gestel word soos in artikels 14 en 51 van die Wet op Bevordering van Toegang tot Inligting, 2000 (Wet van 2000), voorgeskryf; (d) interne maatreëls ontwikkel word saam met voldoende stelsels om versoeke om inligting of toegang daartoe te verwerk; en (e) interne bewustheidsessies oor die bepalings van die Wet, regulasies ingevolge die Wet uitgevaardig, gedragskode, of inligting van die Reguleerder verkry, gehou word.</t>
        </is>
      </c>
    </row>
    <row r="577">
      <c r="A577" t="inlineStr">
        <is>
          <t>South Africa</t>
        </is>
      </c>
      <c r="B577" t="inlineStr">
        <is>
          <t>POPIA_Regulations_-_Dec_2018</t>
        </is>
      </c>
      <c r="C577" t="inlineStr">
        <is>
          <t>4</t>
        </is>
      </c>
      <c r="D577" s="8" t="inlineStr">
        <is>
          <t>DIE REDE VIR DIE VERSOEK OM 'N OUDIT</t>
        </is>
      </c>
      <c r="E577" t="inlineStr">
        <is>
          <t>73–74</t>
        </is>
      </c>
      <c r="F577" t="inlineStr">
        <is>
          <t>Other</t>
        </is>
      </c>
      <c r="G577" t="inlineStr">
        <is>
          <t>None</t>
        </is>
      </c>
      <c r="H577" t="inlineStr">
        <is>
          <t>High (explicit)</t>
        </is>
      </c>
      <c r="I577" s="8" t="inlineStr"/>
      <c r="J577" s="8" t="inlineStr">
        <is>
          <t>Personal Information</t>
        </is>
      </c>
      <c r="K577" t="inlineStr"/>
      <c r="L577" s="8" t="inlineStr">
        <is>
          <t>Reasons for the request for an audit.</t>
        </is>
      </c>
      <c r="M577" s="8" t="inlineStr">
        <is>
          <t>Reasons for the request for an audit.</t>
        </is>
      </c>
      <c r="N577" s="8" t="inlineStr">
        <is>
          <t>[Must] State reasons for the request for an audit.</t>
        </is>
      </c>
      <c r="O577" s="8" t="inlineStr">
        <is>
          <t>4. DIE REDE VIR DIE VERSOEK OM 'N OUDIT</t>
        </is>
      </c>
    </row>
    <row r="578">
      <c r="A578" t="inlineStr">
        <is>
          <t>South Africa</t>
        </is>
      </c>
      <c r="B578" t="inlineStr">
        <is>
          <t>POPIA_Regulations_-_Dec_2018</t>
        </is>
      </c>
      <c r="C578" t="inlineStr">
        <is>
          <t>4</t>
        </is>
      </c>
      <c r="D578" s="8" t="inlineStr">
        <is>
          <t>WAAROM 'N OUDIT GEDOEN GAAN WORD/NIE GEDOEN GAAN WORD NIE</t>
        </is>
      </c>
      <c r="E578" t="inlineStr">
        <is>
          <t>75</t>
        </is>
      </c>
      <c r="F578" t="inlineStr">
        <is>
          <t>Other</t>
        </is>
      </c>
      <c r="G578" t="inlineStr">
        <is>
          <t>None</t>
        </is>
      </c>
      <c r="H578" t="inlineStr">
        <is>
          <t>High (explicit)</t>
        </is>
      </c>
      <c r="I578" s="8" t="inlineStr"/>
      <c r="J578" s="8" t="inlineStr">
        <is>
          <t>Personal Information</t>
        </is>
      </c>
      <c r="K578" t="inlineStr"/>
      <c r="L578" s="8" t="inlineStr">
        <is>
          <t>Reasons for the request for an audit.</t>
        </is>
      </c>
      <c r="M578" s="8" t="inlineStr">
        <is>
          <t>Reasons for the request for an audit.</t>
        </is>
      </c>
      <c r="N578" s="8" t="inlineStr">
        <is>
          <t>[Must] State reasons for the request for an audit.</t>
        </is>
      </c>
      <c r="O578" s="8" t="inlineStr">
        <is>
          <t>4. DIE REDE VIR DIE VERSOEK OM 'N OUDIT</t>
        </is>
      </c>
    </row>
    <row r="579">
      <c r="A579" t="inlineStr">
        <is>
          <t>South Africa</t>
        </is>
      </c>
      <c r="B579" t="inlineStr">
        <is>
          <t>POPIA_Regulations_-_Dec_2018</t>
        </is>
      </c>
      <c r="C579" t="inlineStr">
        <is>
          <t>5</t>
        </is>
      </c>
      <c r="D579" s="8" t="inlineStr">
        <is>
          <t>A private or public body which is sufficiently representative of any class of</t>
        </is>
      </c>
      <c r="E579" t="inlineStr">
        <is>
          <t>3–4</t>
        </is>
      </c>
      <c r="F579" t="inlineStr">
        <is>
          <t>Other</t>
        </is>
      </c>
      <c r="G579" t="inlineStr">
        <is>
          <t>None</t>
        </is>
      </c>
      <c r="H579" t="inlineStr">
        <is>
          <t>High (explicit)</t>
        </is>
      </c>
      <c r="I579" s="8" t="inlineStr"/>
      <c r="J579" s="8" t="inlineStr">
        <is>
          <t>Personal Information</t>
        </is>
      </c>
      <c r="K579" t="inlineStr"/>
      <c r="L579" s="8" t="inlineStr">
        <is>
          <t>Private or public bodies can apply for codes of conduct to the Regulator on Form 3 for industry-specific standards.</t>
        </is>
      </c>
      <c r="M579" s="8" t="inlineStr">
        <is>
          <t>Bodies can apply for codes of conduct via Form 3; Regulator may issue codes of conduct.</t>
        </is>
      </c>
      <c r="N579" s="8" t="inlineStr">
        <is>
          <t>[Must] A private or public body which is sufficiently representative of any class of bodies, or of any industry, profession, or vocation that wishes to apply for the issuing of a code of conduct in terms of section 61(1)(b) of the Act, must submit an application to the Regulator on Form 3</t>
        </is>
      </c>
      <c r="O579" s="8" t="inlineStr">
        <is>
          <t>A private or public body which is sufficiently representative of any class of bodies, or of any industry, profession, or vocation that wishes to apply for the issuing of a code of conduct in terms of section 61(1)(b) of the Act, must submit an application to the Regulator on Form 3.</t>
        </is>
      </c>
    </row>
    <row r="580">
      <c r="A580" t="inlineStr">
        <is>
          <t>South Africa</t>
        </is>
      </c>
      <c r="B580" t="inlineStr">
        <is>
          <t>POPIA_Regulations_-_Dec_2018</t>
        </is>
      </c>
      <c r="C580" t="inlineStr">
        <is>
          <t>5</t>
        </is>
      </c>
      <c r="D580" s="8" t="inlineStr">
        <is>
          <t>SPECIFIC ASPECTS OF THE PROCESSING OF INFORMATION THAT THE ASSESSMENT</t>
        </is>
      </c>
      <c r="E580" t="inlineStr">
        <is>
          <t>30</t>
        </is>
      </c>
      <c r="F580" t="inlineStr">
        <is>
          <t>Other</t>
        </is>
      </c>
      <c r="G580" t="inlineStr">
        <is>
          <t>Unknown</t>
        </is>
      </c>
      <c r="H580" t="inlineStr">
        <is>
          <t>Low</t>
        </is>
      </c>
      <c r="I580" s="8" t="inlineStr"/>
      <c r="J580" s="8" t="inlineStr"/>
      <c r="K580" t="inlineStr"/>
      <c r="L580" s="8" t="inlineStr"/>
      <c r="M580" s="8" t="inlineStr"/>
      <c r="N580" s="8" t="inlineStr"/>
      <c r="O580" s="8" t="inlineStr"/>
    </row>
    <row r="581">
      <c r="A581" t="inlineStr">
        <is>
          <t>South Africa</t>
        </is>
      </c>
      <c r="B581" t="inlineStr">
        <is>
          <t>POPIA_Regulations_-_Dec_2018</t>
        </is>
      </c>
      <c r="C581" t="inlineStr">
        <is>
          <t>5</t>
        </is>
      </c>
      <c r="D581" s="8" t="inlineStr">
        <is>
          <t>SPECIFIC ASPECTS OF THE PROCESSING OF INFORMATION THAT THE ASSESSMENT</t>
        </is>
      </c>
      <c r="E581" t="inlineStr">
        <is>
          <t>31–45</t>
        </is>
      </c>
      <c r="F581" t="inlineStr">
        <is>
          <t>Other</t>
        </is>
      </c>
      <c r="G581" t="inlineStr">
        <is>
          <t>Low</t>
        </is>
      </c>
      <c r="H581" t="inlineStr">
        <is>
          <t>High (explicit)</t>
        </is>
      </c>
      <c r="I581" s="8" t="inlineStr"/>
      <c r="J581" s="8" t="inlineStr"/>
      <c r="K581" t="inlineStr"/>
      <c r="L581" s="8" t="inlineStr">
        <is>
          <t>Specific aspects of processing that assessment should address are specified.</t>
        </is>
      </c>
      <c r="M581" s="8" t="inlineStr">
        <is>
          <t>Specific aspects of processing that assessment should address are specified for compliance with POPIA.</t>
        </is>
      </c>
      <c r="N581" s="8" t="inlineStr">
        <is>
          <t>[Must] Specific aspects of processing of information that the assessment should address are specified</t>
        </is>
      </c>
      <c r="O581" s="8" t="inlineStr">
        <is>
          <t>5. SPECIFIC ASPECTS OF THE PROCESSING OF INFORMATION THAT THE ASSESSMENT SHOULD ADDRESS</t>
        </is>
      </c>
    </row>
    <row r="582">
      <c r="A582" t="inlineStr">
        <is>
          <t>South Africa</t>
        </is>
      </c>
      <c r="B582" t="inlineStr">
        <is>
          <t>POPIA_Regulations_-_Dec_2018</t>
        </is>
      </c>
      <c r="C582" t="inlineStr">
        <is>
          <t>5</t>
        </is>
      </c>
      <c r="D582" s="8" t="inlineStr">
        <is>
          <t>‟n Privaat of openbare liggaam wat voldoende verteenwoordigend van enige klas</t>
        </is>
      </c>
      <c r="E582" t="inlineStr">
        <is>
          <t>47–48</t>
        </is>
      </c>
      <c r="F582" t="inlineStr">
        <is>
          <t>Data Subject Rights</t>
        </is>
      </c>
      <c r="G582" t="inlineStr">
        <is>
          <t>Low</t>
        </is>
      </c>
      <c r="H582" t="inlineStr">
        <is>
          <t>High (explicit)</t>
        </is>
      </c>
      <c r="I582" s="8" t="inlineStr"/>
      <c r="J582" s="8" t="inlineStr">
        <is>
          <t>Personal Information</t>
        </is>
      </c>
      <c r="K582" t="inlineStr">
        <is>
          <t>Regulator</t>
        </is>
      </c>
      <c r="L582" s="8" t="inlineStr">
        <is>
          <t>Organizations must submit a request form to the regulator for the issuance of a code of conduct under Article 61(1)(b) of the Act.</t>
        </is>
      </c>
      <c r="M582" s="8" t="inlineStr">
        <is>
          <t>Organizations can request a code of conduct via Form 3; regulator must process the request.</t>
        </is>
      </c>
      <c r="N582" s="8" t="inlineStr">
        <is>
          <t>[Must] Organization must submit Form 3 to regulator for code of conduct under Article 61(1)(b) of the Act</t>
        </is>
      </c>
      <c r="O582" s="8" t="inlineStr">
        <is>
          <t>„n Privaat of openbare liggaam wat voldoende verteenwoordigend van enige klas van liggame, of van enige nywerheid, professie of ambag is wat om die uitreiking van ‟n gedragskode ingevolge artikel 61(1)(b) van die Wet wil aansoek doen, moet ‟n aansoek op Vorm 3 aan die Reguleerder voorlê.</t>
        </is>
      </c>
    </row>
    <row r="583">
      <c r="A583" t="inlineStr">
        <is>
          <t>South Africa</t>
        </is>
      </c>
      <c r="B583" t="inlineStr">
        <is>
          <t>POPIA_Regulations_-_Dec_2018</t>
        </is>
      </c>
      <c r="C583" t="inlineStr">
        <is>
          <t>5</t>
        </is>
      </c>
      <c r="D583" s="8" t="inlineStr">
        <is>
          <t>SPESIFIEKE ASPEKTE VAN DIE VERWERKING VAN INLIGTING WAAROP DIE OUDIT MOET</t>
        </is>
      </c>
      <c r="E583" t="inlineStr">
        <is>
          <t>74</t>
        </is>
      </c>
      <c r="F583" t="inlineStr">
        <is>
          <t>Other</t>
        </is>
      </c>
      <c r="G583" t="inlineStr">
        <is>
          <t>None</t>
        </is>
      </c>
      <c r="H583" t="inlineStr">
        <is>
          <t>High (explicit)</t>
        </is>
      </c>
      <c r="I583" s="8" t="inlineStr"/>
      <c r="J583" s="8" t="inlineStr">
        <is>
          <t>Personal Information</t>
        </is>
      </c>
      <c r="K583" t="inlineStr"/>
      <c r="L583" s="8" t="inlineStr">
        <is>
          <t>Specific aspects of information processing that the audit must cover.</t>
        </is>
      </c>
      <c r="M583" s="8" t="inlineStr">
        <is>
          <t>Specific aspects of information processing that the audit must cover.</t>
        </is>
      </c>
      <c r="N583" s="8" t="inlineStr">
        <is>
          <t>[Must] Specify specific aspects of information processing that the audit must cover.</t>
        </is>
      </c>
      <c r="O583" s="8" t="inlineStr">
        <is>
          <t>5. SPESIFIEKE ASPEKTE VAN DIE VERWERKING VAN INLIGTING WAAROP DIE OUDIT MOET INGAAN</t>
        </is>
      </c>
    </row>
    <row r="584">
      <c r="A584" t="inlineStr">
        <is>
          <t>South Africa</t>
        </is>
      </c>
      <c r="B584" t="inlineStr">
        <is>
          <t>POPIA_Regulations_-_Dec_2018</t>
        </is>
      </c>
      <c r="C584" t="inlineStr">
        <is>
          <t>5</t>
        </is>
      </c>
      <c r="D584" s="8" t="inlineStr">
        <is>
          <t>SPESIFIEKE ASPEKTE VAN DIE VERWERKING VAN INLIGTING WAAROP DIE OUDIT MOET</t>
        </is>
      </c>
      <c r="E584" t="inlineStr">
        <is>
          <t>75–89</t>
        </is>
      </c>
      <c r="F584" t="inlineStr">
        <is>
          <t>Other</t>
        </is>
      </c>
      <c r="G584" t="inlineStr">
        <is>
          <t>None</t>
        </is>
      </c>
      <c r="H584" t="inlineStr">
        <is>
          <t>High (explicit)</t>
        </is>
      </c>
      <c r="I584" s="8" t="inlineStr"/>
      <c r="J584" s="8" t="inlineStr"/>
      <c r="K584" t="inlineStr"/>
      <c r="L584" s="8" t="inlineStr">
        <is>
          <t>Section 5 outlines specific aspects of information processing that the auditor must review.</t>
        </is>
      </c>
      <c r="M584" s="8" t="inlineStr"/>
      <c r="N584" s="8" t="inlineStr"/>
      <c r="O584" s="8" t="inlineStr">
        <is>
          <t>5. SPESIFIEKE ASPEKTE VAN DIE VERWERKING VAN INLIGTING WAAROP DIE OUDIT MOET INGAAN</t>
        </is>
      </c>
    </row>
    <row r="585">
      <c r="A585" t="inlineStr">
        <is>
          <t>South Africa</t>
        </is>
      </c>
      <c r="B585" t="inlineStr">
        <is>
          <t>POPIA_Regulations_-_Dec_2018</t>
        </is>
      </c>
      <c r="C585" t="inlineStr">
        <is>
          <t>6</t>
        </is>
      </c>
      <c r="D585" s="8" t="inlineStr">
        <is>
          <t>A responsible party who wishes to process personal information of a data subject</t>
        </is>
      </c>
      <c r="E585" t="inlineStr">
        <is>
          <t>4</t>
        </is>
      </c>
      <c r="F585" t="inlineStr">
        <is>
          <t>Consent</t>
        </is>
      </c>
      <c r="G585" t="inlineStr">
        <is>
          <t>None</t>
        </is>
      </c>
      <c r="H585" t="inlineStr">
        <is>
          <t>High (explicit)</t>
        </is>
      </c>
      <c r="I585" s="8" t="inlineStr">
        <is>
          <t>Consent</t>
        </is>
      </c>
      <c r="J585" s="8" t="inlineStr">
        <is>
          <t>Personal Information</t>
        </is>
      </c>
      <c r="K585" t="inlineStr"/>
      <c r="L585" s="8" t="inlineStr">
        <is>
          <t>Responsible parties must obtain written consent for direct marketing via electronic communication using Form 4.</t>
        </is>
      </c>
      <c r="M585" s="8" t="inlineStr">
        <is>
          <t>Responsible parties must obtain written consent for direct marketing via Form 4.</t>
        </is>
      </c>
      <c r="N585" s="8" t="inlineStr">
        <is>
          <t>[Must] A responsible party who wishes to process personal information of a data subject for the purpose of direct marketing by electronic communication must in terms of section 69(2) of the Act submit a request for written consent to that data subject on Form 4</t>
        </is>
      </c>
      <c r="O585" s="8" t="inlineStr">
        <is>
          <t>A responsible party who wishes to process personal information of a data subject for the purpose of direct marketing by electronic communication must in terms of section 69(2) of the Act submit a request for written consent to that data subject on Form 4.</t>
        </is>
      </c>
    </row>
    <row r="586">
      <c r="A586" t="inlineStr">
        <is>
          <t>South Africa</t>
        </is>
      </c>
      <c r="B586" t="inlineStr">
        <is>
          <t>POPIA_Regulations_-_Dec_2018</t>
        </is>
      </c>
      <c r="C586" t="inlineStr">
        <is>
          <t>6</t>
        </is>
      </c>
      <c r="D586" s="8" t="inlineStr">
        <is>
          <t>PERIOD</t>
        </is>
      </c>
      <c r="E586" t="inlineStr">
        <is>
          <t>30</t>
        </is>
      </c>
      <c r="F586" t="inlineStr">
        <is>
          <t>Other</t>
        </is>
      </c>
      <c r="G586" t="inlineStr">
        <is>
          <t>Unknown</t>
        </is>
      </c>
      <c r="H586" t="inlineStr">
        <is>
          <t>Low</t>
        </is>
      </c>
      <c r="I586" s="8" t="inlineStr"/>
      <c r="J586" s="8" t="inlineStr"/>
      <c r="K586" t="inlineStr"/>
      <c r="L586" s="8" t="inlineStr"/>
      <c r="M586" s="8" t="inlineStr"/>
      <c r="N586" s="8" t="inlineStr"/>
      <c r="O586" s="8" t="inlineStr"/>
    </row>
    <row r="587">
      <c r="A587" t="inlineStr">
        <is>
          <t>South Africa</t>
        </is>
      </c>
      <c r="B587" t="inlineStr">
        <is>
          <t>POPIA_Regulations_-_Dec_2018</t>
        </is>
      </c>
      <c r="C587" t="inlineStr">
        <is>
          <t>6</t>
        </is>
      </c>
      <c r="D587" s="8" t="inlineStr">
        <is>
          <t>„n Verantwoordelike party wat die persoonlike inligting van ‟n datasubjek wil</t>
        </is>
      </c>
      <c r="E587" t="inlineStr">
        <is>
          <t>48</t>
        </is>
      </c>
      <c r="F587" t="inlineStr">
        <is>
          <t>Data Subject Rights</t>
        </is>
      </c>
      <c r="G587" t="inlineStr">
        <is>
          <t>Low</t>
        </is>
      </c>
      <c r="H587" t="inlineStr">
        <is>
          <t>High (explicit)</t>
        </is>
      </c>
      <c r="I587" s="8" t="inlineStr">
        <is>
          <t>Consent</t>
        </is>
      </c>
      <c r="J587" s="8" t="inlineStr">
        <is>
          <t>Personal Information</t>
        </is>
      </c>
      <c r="K587" t="inlineStr">
        <is>
          <t>Responsible party</t>
        </is>
      </c>
      <c r="L587" s="8" t="inlineStr">
        <is>
          <t>Responsible parties must obtain written consent from data subjects for direct marketing via electronic communication under Article 69(2) of the Act.</t>
        </is>
      </c>
      <c r="M587" s="8" t="inlineStr">
        <is>
          <t>Responsible parties must obtain written consent for direct marketing via Form 4; data subjects must provide consent for electronic communication.</t>
        </is>
      </c>
      <c r="N587" s="8" t="inlineStr">
        <is>
          <t>[Must] Responsible party must obtain written consent from data subject for direct marketing via electronic communication under Article 69(2) of the Act</t>
        </is>
      </c>
      <c r="O587" s="8" t="inlineStr">
        <is>
          <t>„n Verantwoordelike party wat die persoonlike inligting van ‟n datasubjek wil verwerk met die oog op regstreekse bemarking deur elektroniese kommunikasie moet ingevolge artikel 69(2) van die Wet ‟n versoek om skriftelike toestemming op Vorm 4 aan daardie datasubjek voorlê.</t>
        </is>
      </c>
    </row>
    <row r="588">
      <c r="A588" t="inlineStr">
        <is>
          <t>South Africa</t>
        </is>
      </c>
      <c r="B588" t="inlineStr">
        <is>
          <t>POPIA_Regulations_-_Dec_2018</t>
        </is>
      </c>
      <c r="C588" t="inlineStr">
        <is>
          <t>6</t>
        </is>
      </c>
      <c r="D588" s="8" t="inlineStr">
        <is>
          <t>TYDPERK</t>
        </is>
      </c>
      <c r="E588" t="inlineStr">
        <is>
          <t>74</t>
        </is>
      </c>
      <c r="F588" t="inlineStr">
        <is>
          <t>Other</t>
        </is>
      </c>
      <c r="G588" t="inlineStr">
        <is>
          <t>None</t>
        </is>
      </c>
      <c r="H588" t="inlineStr">
        <is>
          <t>High (explicit)</t>
        </is>
      </c>
      <c r="I588" s="8" t="inlineStr"/>
      <c r="J588" s="8" t="inlineStr">
        <is>
          <t>Personal Information</t>
        </is>
      </c>
      <c r="K588" t="inlineStr"/>
      <c r="L588" s="8" t="inlineStr">
        <is>
          <t>Time period for the audit request.</t>
        </is>
      </c>
      <c r="M588" s="8" t="inlineStr">
        <is>
          <t>Time period for the audit request.</t>
        </is>
      </c>
      <c r="N588" s="8" t="inlineStr">
        <is>
          <t>[Must] State the date when the audit request became known.
[Must] Explain the reason for the delay in requesting the audit (if any).</t>
        </is>
      </c>
      <c r="O588" s="8" t="inlineStr">
        <is>
          <t>6. TYDPERK Ek het die eerste keer op die ......... dag van .......... 20..... daarvan bewus geword dat die verwerking van inligting geoudit moet word</t>
        </is>
      </c>
    </row>
    <row r="589">
      <c r="A589" t="inlineStr">
        <is>
          <t>South Africa</t>
        </is>
      </c>
      <c r="B589" t="inlineStr">
        <is>
          <t>POPIA_Regulations_-_Dec_2018</t>
        </is>
      </c>
      <c r="C589" t="inlineStr">
        <is>
          <t>7</t>
        </is>
      </c>
      <c r="D589" s="8" t="inlineStr">
        <is>
          <t>(1)</t>
        </is>
      </c>
      <c r="E589" t="inlineStr">
        <is>
          <t>4</t>
        </is>
      </c>
      <c r="F589" t="inlineStr">
        <is>
          <t>Incident Reporting</t>
        </is>
      </c>
      <c r="G589" t="inlineStr">
        <is>
          <t>None</t>
        </is>
      </c>
      <c r="H589" t="inlineStr">
        <is>
          <t>High (explicit)</t>
        </is>
      </c>
      <c r="I589" s="8" t="inlineStr">
        <is>
          <t>Incident Reporting</t>
        </is>
      </c>
      <c r="J589" s="8" t="inlineStr">
        <is>
          <t>Personal Information</t>
        </is>
      </c>
      <c r="K589" t="inlineStr"/>
      <c r="L589" s="8" t="inlineStr">
        <is>
          <t>Complaints must be submitted to the Regulator on Form 5 for investigation under section 74 of the Act.</t>
        </is>
      </c>
      <c r="M589" s="8" t="inlineStr">
        <is>
          <t>Complaints must be submitted to the Regulator on Form 5; Regulator handles complaints via Form 5.</t>
        </is>
      </c>
      <c r="N589" s="8" t="inlineStr">
        <is>
          <t>[Must] Any person who wishes to submit a complaint contemplated in section 74(1) of the Act must submit such a complaint to the Regulator on Part I of Form 5
[Must] A responsible party or a data subject who wishes to submit a complaint contemplated in section 74(2) of the Act must submit such a complaint to the Regulator on Part II of Form 5</t>
        </is>
      </c>
      <c r="O589" s="8" t="inlineStr">
        <is>
          <t>(1) Any person who wishes to submit a complaint contemplated in section 74(1) of the Act must submit such a complaint to the Regulator on Part I of Form 5. (2) A responsible party or a data subject who wishes to submit a complaint contemplated in section 74(2) of the Act must submit such a complaint to the Regulator on Part II of Form 5.</t>
        </is>
      </c>
    </row>
    <row r="590">
      <c r="A590" t="inlineStr">
        <is>
          <t>South Africa</t>
        </is>
      </c>
      <c r="B590" t="inlineStr">
        <is>
          <t>POPIA_Regulations_-_Dec_2018</t>
        </is>
      </c>
      <c r="C590" t="inlineStr">
        <is>
          <t>7</t>
        </is>
      </c>
      <c r="D590" s="8" t="inlineStr">
        <is>
          <t>DATA SUBJECT PARTICIPATION:</t>
        </is>
      </c>
      <c r="E590" t="inlineStr">
        <is>
          <t>30</t>
        </is>
      </c>
      <c r="F590" t="inlineStr">
        <is>
          <t>Data Subject Rights</t>
        </is>
      </c>
      <c r="G590" t="inlineStr">
        <is>
          <t>Low</t>
        </is>
      </c>
      <c r="H590" t="inlineStr">
        <is>
          <t>High (explicit)</t>
        </is>
      </c>
      <c r="I590" s="8" t="inlineStr"/>
      <c r="J590" s="8" t="inlineStr">
        <is>
          <t>Personal Information</t>
        </is>
      </c>
      <c r="K590" t="inlineStr"/>
      <c r="L590" s="8" t="inlineStr">
        <is>
          <t>Data subject has right to access and correct personal information held by responsible party as per POPIA sections 23 and 24.</t>
        </is>
      </c>
      <c r="M590" s="8" t="inlineStr">
        <is>
          <t>Data subject rights require access and correction of personal information under POPIA sections 23 and 24.</t>
        </is>
      </c>
      <c r="N590" s="8" t="inlineStr">
        <is>
          <t>[Must] Data subject has right to access personal information held by responsible party in terms of section 23 of POPIA
[Must] Data subject has right to request correction of personal information held by responsible party in terms of section 24 of POPIA</t>
        </is>
      </c>
      <c r="O590" s="8" t="inlineStr">
        <is>
          <t>Does the requester: Have the right to access personal information held by the responsible party in terms of section 23 of the Protection of Personal Information Act 4 of 2013: Yes/No/Not applicable. Have to right to request the responsible party to correct personal information in terms of section 24 of the Protection of Personal Information Act 4 of 2013: Yes/No/Not applicable.</t>
        </is>
      </c>
    </row>
    <row r="591">
      <c r="A591" t="inlineStr">
        <is>
          <t>South Africa</t>
        </is>
      </c>
      <c r="B591" t="inlineStr">
        <is>
          <t>POPIA_Regulations_-_Dec_2018</t>
        </is>
      </c>
      <c r="C591" t="inlineStr">
        <is>
          <t>7</t>
        </is>
      </c>
      <c r="D591" s="8" t="inlineStr">
        <is>
          <t>(1)</t>
        </is>
      </c>
      <c r="E591" t="inlineStr">
        <is>
          <t>48</t>
        </is>
      </c>
      <c r="F591" t="inlineStr">
        <is>
          <t>Other</t>
        </is>
      </c>
      <c r="G591" t="inlineStr">
        <is>
          <t>Low</t>
        </is>
      </c>
      <c r="H591" t="inlineStr">
        <is>
          <t>High (explicit)</t>
        </is>
      </c>
      <c r="I591" s="8" t="inlineStr"/>
      <c r="J591" s="8" t="inlineStr">
        <is>
          <t>Personal Information</t>
        </is>
      </c>
      <c r="K591" t="inlineStr">
        <is>
          <t>Regulator</t>
        </is>
      </c>
      <c r="L591" s="8" t="inlineStr">
        <is>
          <t>Complaints must be submitted to the regulator in the form of Form 5.</t>
        </is>
      </c>
      <c r="M591" s="8" t="inlineStr">
        <is>
          <t>Complaints must be filed with the regulator using Form 5; regulator must process complaints.</t>
        </is>
      </c>
      <c r="N591" s="8" t="inlineStr">
        <is>
          <t>[Must] Complainant must submit complaint to regulator on Form 5</t>
        </is>
      </c>
      <c r="O591" s="8" t="inlineStr">
        <is>
          <t>Enigiemand wat ‟n klagte in artikel 74(1) van die Wet bedoel, wil voorlê, moet sodanige klagte op Deel I van Vorm 5 aan die Reguleerder voorlê.</t>
        </is>
      </c>
    </row>
    <row r="592">
      <c r="A592" t="inlineStr">
        <is>
          <t>South Africa</t>
        </is>
      </c>
      <c r="B592" t="inlineStr">
        <is>
          <t>POPIA_Regulations_-_Dec_2018</t>
        </is>
      </c>
      <c r="C592" t="inlineStr">
        <is>
          <t>7</t>
        </is>
      </c>
      <c r="D592" s="8" t="inlineStr">
        <is>
          <t>DATASUBJEK DEELNAME:</t>
        </is>
      </c>
      <c r="E592" t="inlineStr">
        <is>
          <t>74</t>
        </is>
      </c>
      <c r="F592" t="inlineStr">
        <is>
          <t>Other</t>
        </is>
      </c>
      <c r="G592" t="inlineStr">
        <is>
          <t>None</t>
        </is>
      </c>
      <c r="H592" t="inlineStr">
        <is>
          <t>High (explicit)</t>
        </is>
      </c>
      <c r="I592" s="8" t="inlineStr">
        <is>
          <t>Data Sharing, Data Storage</t>
        </is>
      </c>
      <c r="J592" s="8" t="inlineStr">
        <is>
          <t>Personal Information</t>
        </is>
      </c>
      <c r="K592" t="inlineStr"/>
      <c r="L592" s="8" t="inlineStr">
        <is>
          <t>Data subject's participation in the audit request.</t>
        </is>
      </c>
      <c r="M592" s="8" t="inlineStr">
        <is>
          <t>Data subject's participation in the audit request.</t>
        </is>
      </c>
      <c r="N592" s="8" t="inlineStr">
        <is>
          <t>[Must] Indicate whether the data subject has the right to access personal information.
[Must] Indicate whether the data subject has the right to correct personal information.</t>
        </is>
      </c>
      <c r="O592" s="8" t="inlineStr">
        <is>
          <t>7. DATASUBJEK DEELNAME: Het die versoeker: Die reg op toegang tot die persoonlike inligting wat die verantwoordelike party ingevolge artikel 23 van die Wet op Beskerming van Persoonlike Inligting, 2013, hou</t>
        </is>
      </c>
    </row>
    <row r="593">
      <c r="A593" t="inlineStr">
        <is>
          <t>South Africa</t>
        </is>
      </c>
      <c r="B593" t="inlineStr">
        <is>
          <t>POPIA_Regulations_-_Dec_2018</t>
        </is>
      </c>
      <c r="C593" t="inlineStr">
        <is>
          <t>8</t>
        </is>
      </c>
      <c r="D593" s="8" t="inlineStr">
        <is>
          <t>(1)</t>
        </is>
      </c>
      <c r="E593" t="inlineStr">
        <is>
          <t>4–5</t>
        </is>
      </c>
      <c r="F593" t="inlineStr">
        <is>
          <t>Incident Reporting</t>
        </is>
      </c>
      <c r="G593" t="inlineStr">
        <is>
          <t>None</t>
        </is>
      </c>
      <c r="H593" t="inlineStr">
        <is>
          <t>High (explicit)</t>
        </is>
      </c>
      <c r="I593" s="8" t="inlineStr">
        <is>
          <t>Incident Reporting</t>
        </is>
      </c>
      <c r="J593" s="8" t="inlineStr">
        <is>
          <t>Personal Information</t>
        </is>
      </c>
      <c r="K593" t="inlineStr"/>
      <c r="L593" s="8" t="inlineStr">
        <is>
          <t>Regulator must inform data subjects and responsible parties of conciliation meetings and issues during complaint investigations.</t>
        </is>
      </c>
      <c r="M593" s="8" t="inlineStr">
        <is>
          <t>Regulator must inform data subjects and responsible parties of conciliation meetings and issues during investigations.</t>
        </is>
      </c>
      <c r="N593" s="8" t="inlineStr">
        <is>
          <t>[Must] If during the investigation of a complaint the Regulator decides to act as a conciliator in terms of section 76(1)(b) of the Act, and convene a conciliation meeting, the Regulator must, as soon as it is practically possible, inform the data subject and the responsible party implicated in the complaint on Form 6 of the following: (a) the Regulator's decision to act as a conciliator in the matter; and (b) the date, time and place of the conciliation meeting
[May] The Regulator may consolidate separate complaints, which are alleged to relate to the same interference with the protection of personal information by the same responsible party, in order to deal with the complaints in the same conciliation proceedings
[Must] The Regulator must ensure that all persons entitled to attend the conciliation meeting are notified within a reasonable time, of the date, time and place of the meeting
[May] The Regulator may request all the relevant documentation relating to the complaint from the data subject and the responsible party
[May] The Regulator may confer with the parties in person, by electronic communication means, or by any other means as is deemed appropriate
[Must] Where a conciliation meeting fails to take place, the Regulator must arrange for an alternative date and notify the persons entitled to attend the conciliation meeting accordingly
[Must] The Regulator must issue a conciliation certificate on Form 7 within a reasonable time after the date of the conclusion of the conciliation meeting
[Must] If the complaint is not resolved, or either or both of the parties did not attend a conciliation meeting, the Regulator must proceed with the complaint as provided for in terms of section 76 of the Act</t>
        </is>
      </c>
      <c r="O593" s="8" t="inlineStr">
        <is>
          <t>If during the investigation of a complaint the Regulator decides to act as a conciliator in terms of section 76(1)(b) of the Act, and convene a conciliation meeting, the Regulator must, as soon as it is practically possible, inform the data subject and the responsible party implicated in the complaint on Form 6 of the following: (a) the Regulator's decision to act as a conciliator in the matter; and (b) the date, time and place of the conciliation meeting. The Regulator- (a) may consolidate separate complaints, which are alleged to relate to the same interference with the protection of personal information by the same responsible party, in order to deal with the complaints in the same conciliation proceedings; (b) must ensure that all persons entitled to attend the conciliation meeting are notified within a reasonable time, of the date, time and place of the meeting; (c) may request all the relevant documentation relating to the complaint from the data subject and the responsible party; and (d) may confer with the parties in person, by electronic communication means, or by any other means as is deemed appropriate. Where a conciliation meeting fails to take place, the Regulator must arrange for an alternative date and notify the persons entitled to attend the conciliation meeting accordingly. The Regulator must issue a conciliation certificate on Form 7 within a reasonable time after the date of the conclusion of the conciliation meeting. If the complaint is not resolved, or either or both of the parties did not attend a conciliation meeting, the Regulator must proceed with the complaint as provided for in terms of section 76 of the Act.</t>
        </is>
      </c>
    </row>
    <row r="594">
      <c r="A594" t="inlineStr">
        <is>
          <t>South Africa</t>
        </is>
      </c>
      <c r="B594" t="inlineStr">
        <is>
          <t>POPIA_Regulations_-_Dec_2018</t>
        </is>
      </c>
      <c r="C594" t="inlineStr">
        <is>
          <t>8</t>
        </is>
      </c>
      <c r="D594" s="8" t="inlineStr">
        <is>
          <t>(1)</t>
        </is>
      </c>
      <c r="E594" t="inlineStr">
        <is>
          <t>48–49</t>
        </is>
      </c>
      <c r="F594" t="inlineStr">
        <is>
          <t>Other</t>
        </is>
      </c>
      <c r="G594" t="inlineStr">
        <is>
          <t>Low</t>
        </is>
      </c>
      <c r="H594" t="inlineStr">
        <is>
          <t>High (explicit)</t>
        </is>
      </c>
      <c r="I594" s="8" t="inlineStr"/>
      <c r="J594" s="8" t="inlineStr">
        <is>
          <t>Personal Information</t>
        </is>
      </c>
      <c r="K594" t="inlineStr">
        <is>
          <t>Regulator</t>
        </is>
      </c>
      <c r="L594" s="8" t="inlineStr">
        <is>
          <t>Regulator may act as mediator during complaint investigations.</t>
        </is>
      </c>
      <c r="M594" s="8" t="inlineStr">
        <is>
          <t>Regulator may act as mediator during complaint investigations; must inform parties of mediation proceedings.</t>
        </is>
      </c>
      <c r="N594" s="8" t="inlineStr">
        <is>
          <t>[May] Regulator may act as mediator during complaint investigations
[Must] Regulator must inform data subject and responsible party of mediation proceedings</t>
        </is>
      </c>
      <c r="O594" s="8" t="inlineStr">
        <is>
          <t>Indien die Reguleerder tydens die ondersoek van ‟n klagte besluit om ingevolge artikel 76(1)(b) van die Wet as ‟n konsiliator op te tree, en ‟n konsiliasievergadering saamroep, moet die Reguleerder, so gou as prakties moontlik, die datasubjek en die geïmpliseerde verantwoordelike party op Vorm 6 oor die volgende in kennis stel: (a) die Reguleerder se besluit om as ‟n konsiliator in die aangeleentheid op te tree; en (b) die datum, tyd en plek van die konsiliasievergadering.</t>
        </is>
      </c>
    </row>
    <row r="595">
      <c r="A595" t="inlineStr">
        <is>
          <t>South Africa</t>
        </is>
      </c>
      <c r="B595" t="inlineStr">
        <is>
          <t>POPIA_Regulations_-_Dec_2018</t>
        </is>
      </c>
      <c r="C595" t="inlineStr">
        <is>
          <t>9</t>
        </is>
      </c>
      <c r="D595" s="8" t="inlineStr">
        <is>
          <t>(1) If the Regulator intends to investigate any matter contemplated in Chapter 10</t>
        </is>
      </c>
      <c r="E595" t="inlineStr">
        <is>
          <t>5–6</t>
        </is>
      </c>
      <c r="F595" t="inlineStr">
        <is>
          <t>Incident Reporting</t>
        </is>
      </c>
      <c r="G595" t="inlineStr">
        <is>
          <t>None</t>
        </is>
      </c>
      <c r="H595" t="inlineStr">
        <is>
          <t>High (explicit)</t>
        </is>
      </c>
      <c r="I595" s="8" t="inlineStr">
        <is>
          <t>Incident Reporting</t>
        </is>
      </c>
      <c r="J595" s="8" t="inlineStr">
        <is>
          <t>Personal Information</t>
        </is>
      </c>
      <c r="K595" t="inlineStr"/>
      <c r="L595" s="8" t="inlineStr">
        <is>
          <t>Regulator must handle complaints through Form 5 for investigation under section 74 of the Act.</t>
        </is>
      </c>
      <c r="M595" s="8" t="inlineStr">
        <is>
          <t>Complaints must be submitted to the Regulator on Form 5; Regulator handles complaints via Form 5.</t>
        </is>
      </c>
      <c r="N595" s="8" t="inlineStr">
        <is>
          <t>[Must] Any person who wishes to submit a complaint contemplated in section 74(1) of the Act must submit such a complaint to the Regulator on Part I of Form 5
[Must] A responsible party or a data subject who wishes to submit a complaint contemplated in section 74(2) of the Act must submit such a complaint to the Regulator on Part II of Form 5</t>
        </is>
      </c>
      <c r="O595" s="8" t="inlineStr">
        <is>
          <t>(1) Any person who wishes to submit a complaint contemplated in section 74(1) of the Act must submit such a complaint to the Regulator on Part I of Form 5. (2) A responsible party or a data subject who wishes to submit a complaint contemplated in section 74(2) of the Act must submit such a complaint to the Regulator on Part II of Form 5.</t>
        </is>
      </c>
    </row>
    <row r="596">
      <c r="A596" t="inlineStr">
        <is>
          <t>South Africa</t>
        </is>
      </c>
      <c r="B596" t="inlineStr">
        <is>
          <t>POPIA_Regulations_-_Dec_2018</t>
        </is>
      </c>
      <c r="C596" t="inlineStr">
        <is>
          <t>9</t>
        </is>
      </c>
      <c r="D596" s="8" t="inlineStr">
        <is>
          <t>(1)</t>
        </is>
      </c>
      <c r="E596" t="inlineStr">
        <is>
          <t>49–50</t>
        </is>
      </c>
      <c r="F596" t="inlineStr">
        <is>
          <t>Other</t>
        </is>
      </c>
      <c r="G596" t="inlineStr">
        <is>
          <t>Low</t>
        </is>
      </c>
      <c r="H596" t="inlineStr">
        <is>
          <t>High (explicit)</t>
        </is>
      </c>
      <c r="I596" s="8" t="inlineStr"/>
      <c r="J596" s="8" t="inlineStr">
        <is>
          <t>Personal Information</t>
        </is>
      </c>
      <c r="K596" t="inlineStr">
        <is>
          <t>Regulator</t>
        </is>
      </c>
      <c r="L596" s="8" t="inlineStr">
        <is>
          <t>Regulator must notify parties before conducting investigations.</t>
        </is>
      </c>
      <c r="M596" s="8" t="inlineStr">
        <is>
          <t>Regulator must notify parties before conducting investigations; parties must respond to notifications.</t>
        </is>
      </c>
      <c r="N596" s="8" t="inlineStr">
        <is>
          <t>[Must] Regulator must notify parties before conducting investigations
[Must] Regulator must inform responsible party of complaint or investigation subject</t>
        </is>
      </c>
      <c r="O596" s="8" t="inlineStr">
        <is>
          <t>Indien die Reguleerder voornemens is om enige aangeleentheid beoog in Hoofstuk 10 van die Wet beoog, te ondersoek, moet die Reguleerder ingevolge artikel 79 van die Wet die partye op wie die ondersoek betrekking het, op Deel I van Vorm 8 verwittig van sodanige voorneme voordat die ondersoek gedoen word.</t>
        </is>
      </c>
    </row>
    <row r="597">
      <c r="A597" t="inlineStr">
        <is>
          <t>South Africa</t>
        </is>
      </c>
      <c r="B597" t="inlineStr">
        <is>
          <t>POPIA_Regulations_-_Dec_2018</t>
        </is>
      </c>
      <c r="C597" t="inlineStr">
        <is>
          <t>10</t>
        </is>
      </c>
      <c r="D597" s="8" t="inlineStr">
        <is>
          <t>(1) If it appears from a complaint or any written reply to the complaint under</t>
        </is>
      </c>
      <c r="E597" t="inlineStr">
        <is>
          <t>6</t>
        </is>
      </c>
      <c r="F597" t="inlineStr">
        <is>
          <t>Incident Reporting</t>
        </is>
      </c>
      <c r="G597" t="inlineStr">
        <is>
          <t>None</t>
        </is>
      </c>
      <c r="H597" t="inlineStr">
        <is>
          <t>High (explicit)</t>
        </is>
      </c>
      <c r="I597" s="8" t="inlineStr">
        <is>
          <t>Incident Reporting</t>
        </is>
      </c>
      <c r="J597" s="8" t="inlineStr">
        <is>
          <t>Personal Information</t>
        </is>
      </c>
      <c r="K597" t="inlineStr"/>
      <c r="L597" s="8" t="inlineStr">
        <is>
          <t>Regulator must issue conciliation certificates on Form 7 after conciliation meetings.</t>
        </is>
      </c>
      <c r="M597" s="8" t="inlineStr">
        <is>
          <t>Regulator must issue conciliation certificates on Form 7 after conciliation meetings.</t>
        </is>
      </c>
      <c r="N597" s="8" t="inlineStr">
        <is>
          <t>[Must] The Regulator must issue a conciliation certificate on Form 7 within a reasonable time after the date of the conclusion of the conciliation meeting</t>
        </is>
      </c>
      <c r="O597" s="8" t="inlineStr">
        <is>
          <t>The Regulator must issue a conciliation certificate on Form 7 within a reasonable time after the date of the conclusion of the conciliation meeting.</t>
        </is>
      </c>
    </row>
    <row r="598">
      <c r="A598" t="inlineStr">
        <is>
          <t>South Africa</t>
        </is>
      </c>
      <c r="B598" t="inlineStr">
        <is>
          <t>POPIA_Regulations_-_Dec_2018</t>
        </is>
      </c>
      <c r="C598" t="inlineStr">
        <is>
          <t>10</t>
        </is>
      </c>
      <c r="D598" s="8" t="inlineStr">
        <is>
          <t>(1)</t>
        </is>
      </c>
      <c r="E598" t="inlineStr">
        <is>
          <t>50–51</t>
        </is>
      </c>
      <c r="F598" t="inlineStr">
        <is>
          <t>Other</t>
        </is>
      </c>
      <c r="G598" t="inlineStr">
        <is>
          <t>Low</t>
        </is>
      </c>
      <c r="H598" t="inlineStr">
        <is>
          <t>High (explicit)</t>
        </is>
      </c>
      <c r="I598" s="8" t="inlineStr"/>
      <c r="J598" s="8" t="inlineStr">
        <is>
          <t>Personal Information</t>
        </is>
      </c>
      <c r="K598" t="inlineStr">
        <is>
          <t>Regulator</t>
        </is>
      </c>
      <c r="L598" s="8" t="inlineStr">
        <is>
          <t>Regulator may facilitate settlements between parties during complaint investigations.</t>
        </is>
      </c>
      <c r="M598" s="8" t="inlineStr">
        <is>
          <t>Regulator may facilitate settlements between parties; must issue settlement certificates.</t>
        </is>
      </c>
      <c r="N598" s="8" t="inlineStr">
        <is>
          <t>[May] Regulator may facilitate settlements between parties
[Must] Regulator must issue settlement certificate on Form 10</t>
        </is>
      </c>
      <c r="O598" s="8" t="inlineStr">
        <is>
          <t>Indien dit uit ‟n klagte of enige skriftelike antwoord op die klagte kragtens artikel 79(b)(ii) van die Wet of tydens ‟n konsiliasievergadering, voorkom dat dit moontlik kan wees om ‟n skikking tussen die partye en indien gepas, bevredigende versekerings soos beoog in artikel 80 van die Wet, te verkry, kan die Reguleerder persoonlik oorleg pleeg met die partye, per elektroniese kommunikasiemiddele, of per enige ander middele soos gepas geag word om te poog om ‟n skikking te verkry en indien van toepassing, bevredigende versekerings soos beoog in artikel 80 van die Wet.</t>
        </is>
      </c>
    </row>
    <row r="599">
      <c r="A599" t="inlineStr">
        <is>
          <t>South Africa</t>
        </is>
      </c>
      <c r="B599" t="inlineStr">
        <is>
          <t>POPIA_Regulations_-_Dec_2018</t>
        </is>
      </c>
      <c r="C599" t="inlineStr">
        <is>
          <t>11</t>
        </is>
      </c>
      <c r="D599" s="8" t="inlineStr">
        <is>
          <t>(1)</t>
        </is>
      </c>
      <c r="E599" t="inlineStr">
        <is>
          <t>6–7</t>
        </is>
      </c>
      <c r="F599" t="inlineStr">
        <is>
          <t>Incident Reporting</t>
        </is>
      </c>
      <c r="G599" t="inlineStr">
        <is>
          <t>None</t>
        </is>
      </c>
      <c r="H599" t="inlineStr">
        <is>
          <t>High (explicit)</t>
        </is>
      </c>
      <c r="I599" s="8" t="inlineStr">
        <is>
          <t>Incident Reporting</t>
        </is>
      </c>
      <c r="J599" s="8" t="inlineStr">
        <is>
          <t>Personal Information</t>
        </is>
      </c>
      <c r="K599" t="inlineStr"/>
      <c r="L599" s="8" t="inlineStr">
        <is>
          <t>Regulator must handle complaints through Form 5 for investigation under section 74 of the Act.</t>
        </is>
      </c>
      <c r="M599" s="8" t="inlineStr">
        <is>
          <t>Complaints must be submitted to the Regulator on Form 5; Regulator handles complaints via Form 5.</t>
        </is>
      </c>
      <c r="N599" s="8" t="inlineStr">
        <is>
          <t>[Must] Any person who wishes to submit a complaint contemplated in section 74(1) of the Act must submit such a complaint to the Regulator on Part I of Form 5
[Must] A responsible party or a data subject who wishes to submit a complaint contemplated in section 74(2) of the Act must submit such a complaint to the Regulator on Part II of Form 5</t>
        </is>
      </c>
      <c r="O599" s="8" t="inlineStr">
        <is>
          <t>(1) Any person who wishes to submit a complaint contemplated in section 74(1) of the Act must submit such a complaint to the Regulator on Part I of Form 5. (2) A responsible party or a data subject who wishes to submit a complaint contemplated in section 74(2) of the Act must submit such a complaint to the Regulator on Part II of Form 5.</t>
        </is>
      </c>
    </row>
    <row r="600">
      <c r="A600" t="inlineStr">
        <is>
          <t>South Africa</t>
        </is>
      </c>
      <c r="B600" t="inlineStr">
        <is>
          <t>POPIA_Regulations_-_Dec_2018</t>
        </is>
      </c>
      <c r="C600" t="inlineStr">
        <is>
          <t>11</t>
        </is>
      </c>
      <c r="D600" s="8" t="inlineStr">
        <is>
          <t>(1)</t>
        </is>
      </c>
      <c r="E600" t="inlineStr">
        <is>
          <t>51</t>
        </is>
      </c>
      <c r="F600" t="inlineStr">
        <is>
          <t>Other</t>
        </is>
      </c>
      <c r="G600" t="inlineStr">
        <is>
          <t>Low</t>
        </is>
      </c>
      <c r="H600" t="inlineStr">
        <is>
          <t>High (explicit)</t>
        </is>
      </c>
      <c r="I600" s="8" t="inlineStr"/>
      <c r="J600" s="8" t="inlineStr">
        <is>
          <t>Personal Information</t>
        </is>
      </c>
      <c r="K600" t="inlineStr">
        <is>
          <t>Regulator</t>
        </is>
      </c>
      <c r="L600" s="8" t="inlineStr">
        <is>
          <t>Regulator must conduct audits and notify parties of audit findings.</t>
        </is>
      </c>
      <c r="M600" s="8" t="inlineStr">
        <is>
          <t>Regulator must conduct audits; must notify parties of audit findings.</t>
        </is>
      </c>
      <c r="N600" s="8" t="inlineStr">
        <is>
          <t>[Must] Regulator must conduct audits
Regulator must notify parties of audit findings</t>
        </is>
      </c>
      <c r="O600" s="8" t="inlineStr">
        <is>
          <t>„n Versoek om ‟n oudit ingevolge artikel 89(1) van die Wet moet op Deel 1 van Vorm 11 aan die Reguleerder voorgelê word.</t>
        </is>
      </c>
    </row>
    <row r="601">
      <c r="A601" t="inlineStr">
        <is>
          <t>South Africa</t>
        </is>
      </c>
      <c r="B601" t="inlineStr">
        <is>
          <t>POPIA_Regulations_-_Dec_2018</t>
        </is>
      </c>
      <c r="C601" t="inlineStr">
        <is>
          <t>12</t>
        </is>
      </c>
      <c r="D601" s="8" t="inlineStr">
        <is>
          <t>(1)</t>
        </is>
      </c>
      <c r="E601" t="inlineStr">
        <is>
          <t>7–8</t>
        </is>
      </c>
      <c r="F601" t="inlineStr">
        <is>
          <t>Incident Reporting</t>
        </is>
      </c>
      <c r="G601" t="inlineStr">
        <is>
          <t>None</t>
        </is>
      </c>
      <c r="H601" t="inlineStr">
        <is>
          <t>High (explicit)</t>
        </is>
      </c>
      <c r="I601" s="8" t="inlineStr">
        <is>
          <t>Incident Reporting</t>
        </is>
      </c>
      <c r="J601" s="8" t="inlineStr">
        <is>
          <t>Personal Information</t>
        </is>
      </c>
      <c r="K601" t="inlineStr"/>
      <c r="L601" s="8" t="inlineStr">
        <is>
          <t>Regulator must handle complaints through Form 5 for investigation under section 74 of the Act.</t>
        </is>
      </c>
      <c r="M601" s="8" t="inlineStr">
        <is>
          <t>Complaints must be submitted to the Regulator on Form 5; Regulator handles complaints via Form 5.</t>
        </is>
      </c>
      <c r="N601" s="8" t="inlineStr">
        <is>
          <t>[Must] Any person who wishes to submit a complaint contemplated in section 74(1) of the Act must submit such a complaint to the Regulator on Part I of Form 5
[Must] A responsible party or a data subject who wishes to submit a complaint contemplated in section 74(2) of the Act must submit such a complaint to the Regulator on Part II of Form 5</t>
        </is>
      </c>
      <c r="O601" s="8" t="inlineStr">
        <is>
          <t>(1) Any person who wishes to submit a complaint contemplated in section 74(1) of the Act must submit such a complaint to the Regulator on Part I of Form 5. (2) A responsible party or a data subject who wishes to submit a complaint contemplated in section 74(2) of the Act must submit such a complaint to the Regulator on Part II of Form 5.</t>
        </is>
      </c>
    </row>
    <row r="602">
      <c r="A602" t="inlineStr">
        <is>
          <t>South Africa</t>
        </is>
      </c>
      <c r="B602" t="inlineStr">
        <is>
          <t>POPIA_Regulations_-_Dec_2018</t>
        </is>
      </c>
      <c r="C602" t="inlineStr">
        <is>
          <t>12</t>
        </is>
      </c>
      <c r="D602" s="8" t="inlineStr">
        <is>
          <t>(1)</t>
        </is>
      </c>
      <c r="E602" t="inlineStr">
        <is>
          <t>51–52</t>
        </is>
      </c>
      <c r="F602" t="inlineStr">
        <is>
          <t>Other</t>
        </is>
      </c>
      <c r="G602" t="inlineStr">
        <is>
          <t>Low</t>
        </is>
      </c>
      <c r="H602" t="inlineStr">
        <is>
          <t>High (explicit)</t>
        </is>
      </c>
      <c r="I602" s="8" t="inlineStr"/>
      <c r="J602" s="8" t="inlineStr">
        <is>
          <t>Personal Information</t>
        </is>
      </c>
      <c r="K602" t="inlineStr">
        <is>
          <t>Regulator</t>
        </is>
      </c>
      <c r="L602" s="8" t="inlineStr">
        <is>
          <t>Regulator must inform parties of developments during investigations.</t>
        </is>
      </c>
      <c r="M602" s="8" t="inlineStr">
        <is>
          <t>Regulator must inform parties of developments during investigations; must notify parties of investigation outcomes.</t>
        </is>
      </c>
      <c r="N602" s="8" t="inlineStr">
        <is>
          <t>[Must] Regulator must inform parties of developments during investigations
[Must] Regulator must notify parties of investigation outcomes</t>
        </is>
      </c>
      <c r="O602" s="8" t="inlineStr">
        <is>
          <t>Deur die loop van ‟n ondersoek moet die Reguleerder binne ‟n redelike tyd vanaf die datum waarop ‟n besluit geneem of stap gedoen word- (a) die klaer, die datasubjek (indien nie die klaer nie) en die verantwoordelike party ingelig hou van die ontwikkelings in die ondersoek; en (b) die klaer, datasubjek (indien nie klaer nie) en die verantwoordelike party verwittig van die uitslag van die ondersoek.</t>
        </is>
      </c>
    </row>
    <row r="603">
      <c r="A603" t="inlineStr">
        <is>
          <t>South Africa</t>
        </is>
      </c>
      <c r="B603" t="inlineStr">
        <is>
          <t>POPIA_Regulations_-_Dec_2018</t>
        </is>
      </c>
      <c r="C603" t="inlineStr">
        <is>
          <t>13</t>
        </is>
      </c>
      <c r="D603" s="8" t="inlineStr">
        <is>
          <t>These Regulations shall be called the Regulations relating to the Protection of</t>
        </is>
      </c>
      <c r="E603" t="inlineStr">
        <is>
          <t>8–9</t>
        </is>
      </c>
      <c r="F603" t="inlineStr">
        <is>
          <t>Other</t>
        </is>
      </c>
      <c r="G603" t="inlineStr">
        <is>
          <t>Unknown</t>
        </is>
      </c>
      <c r="H603" t="inlineStr">
        <is>
          <t>Low</t>
        </is>
      </c>
      <c r="I603" s="8" t="inlineStr"/>
      <c r="J603" s="8" t="inlineStr"/>
      <c r="K603" t="inlineStr"/>
      <c r="L603" s="8" t="inlineStr"/>
      <c r="M603" s="8" t="inlineStr"/>
      <c r="N603" s="8" t="inlineStr"/>
      <c r="O603" s="8" t="inlineStr"/>
    </row>
    <row r="604">
      <c r="A604" t="inlineStr">
        <is>
          <t>South Africa</t>
        </is>
      </c>
      <c r="B604" t="inlineStr">
        <is>
          <t>POPIA_Regulations_-_Dec_2018</t>
        </is>
      </c>
      <c r="C604" t="inlineStr">
        <is>
          <t>13</t>
        </is>
      </c>
      <c r="D604" s="8" t="inlineStr">
        <is>
          <t>Hierdie Regulasies heet die Regulasies op die Beskerming van Persoonlike Inligting</t>
        </is>
      </c>
      <c r="E604" t="inlineStr">
        <is>
          <t>52–53</t>
        </is>
      </c>
      <c r="F604" t="inlineStr">
        <is>
          <t>Other</t>
        </is>
      </c>
      <c r="G604" t="inlineStr">
        <is>
          <t>Low</t>
        </is>
      </c>
      <c r="H604" t="inlineStr">
        <is>
          <t>High (explicit)</t>
        </is>
      </c>
      <c r="I604" s="8" t="inlineStr"/>
      <c r="J604" s="8" t="inlineStr">
        <is>
          <t>Personal Information</t>
        </is>
      </c>
      <c r="K604" t="inlineStr"/>
      <c r="L604" s="8" t="inlineStr">
        <is>
          <t>Regulations are titled 'Regulations on the Protection of Personal Information' and come into effect upon publication.</t>
        </is>
      </c>
      <c r="M604" s="8" t="inlineStr">
        <is>
          <t>Regulations are titled 'Regulations on the Protection of Personal Information' and come into effect upon publication.</t>
        </is>
      </c>
      <c r="N604" s="8" t="inlineStr"/>
      <c r="O604" s="8" t="inlineStr">
        <is>
          <t>Hierdie Regulasies heet die Regulasies op die Beskerming van Persoonlike Inligting en tree in werking op ‟n datum deur die Reguleerder by proklamasie in die Staatskoerant vasgestel.</t>
        </is>
      </c>
    </row>
    <row r="605">
      <c r="A605" t="inlineStr">
        <is>
          <t>South Africa</t>
        </is>
      </c>
      <c r="B605" t="inlineStr">
        <is>
          <t>South Africa National Cybersecurity Policy Framework (NCPF) 2015</t>
        </is>
      </c>
      <c r="C605" t="inlineStr">
        <is>
          <t>1</t>
        </is>
      </c>
      <c r="D605" s="8" t="inlineStr">
        <is>
          <t>1 . Introduction</t>
        </is>
      </c>
      <c r="E605" t="inlineStr">
        <is>
          <t>10–12</t>
        </is>
      </c>
      <c r="F605" t="inlineStr">
        <is>
          <t>Other</t>
        </is>
      </c>
      <c r="G605" t="inlineStr">
        <is>
          <t>Low</t>
        </is>
      </c>
      <c r="H605" t="inlineStr">
        <is>
          <t>High (explicit)</t>
        </is>
      </c>
      <c r="I605" s="8" t="inlineStr"/>
      <c r="J605" s="8" t="inlineStr"/>
      <c r="K605" t="inlineStr"/>
      <c r="L605" s="8" t="inlineStr">
        <is>
          <t>Introduces South Africa's National Cybersecurity Policy Framework (NCPF) as part of government's outcome-based priorities to enhance safety through cybersecurity measures, recognizing cyber threats' personal, national, and international dimensions.</t>
        </is>
      </c>
      <c r="M605" s="8" t="inlineStr"/>
      <c r="N605" s="8" t="inlineStr"/>
      <c r="O605" s="8" t="inlineStr">
        <is>
          <t>1.1 A number of strategic interventions and tactical interventions have been successfully implemented over the past few years and other interventions are in the process of being implemented within the Justice, Crime Prevention and Security (JCPS) Cluster in the fight against crime with the objective of making South Africa Safe.</t>
        </is>
      </c>
    </row>
    <row r="606">
      <c r="A606" t="inlineStr">
        <is>
          <t>South Africa</t>
        </is>
      </c>
      <c r="B606" t="inlineStr">
        <is>
          <t>South Africa National Cybersecurity Policy Framework (NCPF) 2015</t>
        </is>
      </c>
      <c r="C606" t="inlineStr">
        <is>
          <t>2</t>
        </is>
      </c>
      <c r="D606" s="8" t="inlineStr">
        <is>
          <t>have the potential to impact on our national security and economy.</t>
        </is>
      </c>
      <c r="E606" t="inlineStr">
        <is>
          <t>12–14</t>
        </is>
      </c>
      <c r="F606" t="inlineStr">
        <is>
          <t>Other</t>
        </is>
      </c>
      <c r="G606" t="inlineStr">
        <is>
          <t>Low</t>
        </is>
      </c>
      <c r="H606" t="inlineStr">
        <is>
          <t>High (explicit)</t>
        </is>
      </c>
      <c r="I606" s="8" t="inlineStr"/>
      <c r="J606" s="8" t="inlineStr"/>
      <c r="K606" t="inlineStr"/>
      <c r="L606" s="8" t="inlineStr">
        <is>
          <t>Highlights South Africa's vulnerability to cybercrime, noting phishing and e-crime incidents targeting the country, with the banking sector being especially vulnerable.</t>
        </is>
      </c>
      <c r="M606" s="8" t="inlineStr"/>
      <c r="N606" s="8" t="inlineStr"/>
      <c r="O606" s="8" t="inlineStr">
        <is>
          <t>2.4 Statistics in 2011 indicate that South Africa was in the top three countries that are targeted for phishing purposes, the other countries are the USA and the UK.</t>
        </is>
      </c>
    </row>
    <row r="607">
      <c r="A607" t="inlineStr">
        <is>
          <t>South Africa</t>
        </is>
      </c>
      <c r="B607" t="inlineStr">
        <is>
          <t>South Africa National Cybersecurity Policy Framework (NCPF) 2015</t>
        </is>
      </c>
      <c r="C607" t="inlineStr">
        <is>
          <t>3</t>
        </is>
      </c>
      <c r="D607" s="8" t="inlineStr">
        <is>
          <t>freedom of expression.</t>
        </is>
      </c>
      <c r="E607" t="inlineStr">
        <is>
          <t>14–15</t>
        </is>
      </c>
      <c r="F607" t="inlineStr">
        <is>
          <t>Other</t>
        </is>
      </c>
      <c r="G607" t="inlineStr">
        <is>
          <t>Low</t>
        </is>
      </c>
      <c r="H607" t="inlineStr">
        <is>
          <t>High (explicit)</t>
        </is>
      </c>
      <c r="I607" s="8" t="inlineStr"/>
      <c r="J607" s="8" t="inlineStr"/>
      <c r="K607" t="inlineStr"/>
      <c r="L607" s="8" t="inlineStr">
        <is>
          <t>Outlines the purpose of the NCPF to create a secure cyberspace that protects critical information infrastructure while strengthening shared human values and understanding of cybersecurity.</t>
        </is>
      </c>
      <c r="M607" s="8" t="inlineStr"/>
      <c r="N607" s="8" t="inlineStr"/>
      <c r="O607" s="8" t="inlineStr">
        <is>
          <t>3.1 The purpose of the NCPF is to create a secure, dependable, reliable and trustworthy cyber environment that facilitates the protection of critical information infrastructure whilst strengthening shared human values and understanding of Cybersecurity in support of national security imperatives and the economy.</t>
        </is>
      </c>
    </row>
    <row r="608">
      <c r="A608" t="inlineStr">
        <is>
          <t>South Africa</t>
        </is>
      </c>
      <c r="B608" t="inlineStr">
        <is>
          <t>South Africa National Cybersecurity Policy Framework (NCPF) 2015</t>
        </is>
      </c>
      <c r="C608" t="inlineStr">
        <is>
          <t>4</t>
        </is>
      </c>
      <c r="D608" s="8" t="inlineStr">
        <is>
          <t>Key Objectives of the NCPF</t>
        </is>
      </c>
      <c r="E608" t="inlineStr">
        <is>
          <t>15</t>
        </is>
      </c>
      <c r="F608" t="inlineStr">
        <is>
          <t>Other</t>
        </is>
      </c>
      <c r="G608" t="inlineStr">
        <is>
          <t>Low</t>
        </is>
      </c>
      <c r="H608" t="inlineStr">
        <is>
          <t>High (explicit)</t>
        </is>
      </c>
      <c r="I608" s="8" t="inlineStr"/>
      <c r="J608" s="8" t="inlineStr"/>
      <c r="K608" t="inlineStr"/>
      <c r="L608" s="8" t="inlineStr">
        <is>
          <t>Sets strategic priorities for the NCPF, including centralizing cybersecurity coordination, fostering public-private cooperation, promoting international collaboration, and developing cybersecurity skills.</t>
        </is>
      </c>
      <c r="M608" s="8" t="inlineStr"/>
      <c r="N608" s="8" t="inlineStr"/>
      <c r="O608" s="8" t="inlineStr">
        <is>
          <t>4.1 The NCPF articulates the overall aim and objectives of the South African Government and sets out strategic priorities that will be pursued to achieve these objectives.</t>
        </is>
      </c>
    </row>
    <row r="609">
      <c r="A609" t="inlineStr">
        <is>
          <t>South Africa</t>
        </is>
      </c>
      <c r="B609" t="inlineStr">
        <is>
          <t>South Africa National Cybersecurity Policy Framework (NCPF) 2015</t>
        </is>
      </c>
      <c r="C609" t="inlineStr">
        <is>
          <t>5</t>
        </is>
      </c>
      <c r="D609" s="8" t="inlineStr">
        <is>
          <t>Capacity to Respond to Cybersecurity Imperatives</t>
        </is>
      </c>
      <c r="E609" t="inlineStr">
        <is>
          <t>15–18</t>
        </is>
      </c>
      <c r="F609" t="inlineStr">
        <is>
          <t>Other</t>
        </is>
      </c>
      <c r="G609" t="inlineStr">
        <is>
          <t>Low</t>
        </is>
      </c>
      <c r="H609" t="inlineStr">
        <is>
          <t>High (explicit)</t>
        </is>
      </c>
      <c r="I609" s="8" t="inlineStr"/>
      <c r="J609" s="8" t="inlineStr"/>
      <c r="K609" t="inlineStr"/>
      <c r="L609" s="8" t="inlineStr">
        <is>
          <t>Establishes a Cybersecurity Response Committee to oversee implementation, coordinate cybersecurity activities, and ensure protection of national critical information infrastructure.</t>
        </is>
      </c>
      <c r="M609" s="8" t="inlineStr"/>
      <c r="N609" s="8" t="inlineStr"/>
      <c r="O609" s="8" t="inlineStr">
        <is>
          <t>5.2 A dedicated JCPS Committee will be established within the JCPS Cluster to coordinate Cybersecurity activities, drive the implementation of the NCPF and manage the implementation of Output 8.</t>
        </is>
      </c>
    </row>
    <row r="610">
      <c r="A610" t="inlineStr">
        <is>
          <t>South Africa</t>
        </is>
      </c>
      <c r="B610" t="inlineStr">
        <is>
          <t>South Africa National Cybersecurity Policy Framework (NCPF) 2015</t>
        </is>
      </c>
      <c r="C610" t="inlineStr">
        <is>
          <t>6</t>
        </is>
      </c>
      <c r="D610" s="8" t="inlineStr"/>
      <c r="E610" t="inlineStr">
        <is>
          <t>18–19</t>
        </is>
      </c>
      <c r="F610" t="inlineStr">
        <is>
          <t>Other</t>
        </is>
      </c>
      <c r="G610" t="inlineStr">
        <is>
          <t>Low</t>
        </is>
      </c>
      <c r="H610" t="inlineStr">
        <is>
          <t>High (explicit)</t>
        </is>
      </c>
      <c r="I610" s="8" t="inlineStr"/>
      <c r="J610" s="8" t="inlineStr"/>
      <c r="K610" t="inlineStr">
        <is>
          <t>Department of Telecommunications and Postal Services (DOC)</t>
        </is>
      </c>
      <c r="L610" s="8" t="inlineStr">
        <is>
          <t>Establishes Cybersecurity Hub within DOC to coordinate consultation between public sector, private sector, and civil society on cybersecurity matters.</t>
        </is>
      </c>
      <c r="M610" s="8" t="inlineStr"/>
      <c r="N610" s="8" t="inlineStr">
        <is>
          <t>[Must] Coordinate general Cybersecurity activities, in consultation with JCPS CRC as well as including identifying stakeholders and developing public-private relationships and collaborating with any sector CSIRTs that may be established
[Must] Disseminate relevant information to other sector CSIRTs, vendors, technology experts on Cybersecurity developments
[Must] Provide best practice guidance on ICT security for Government, business and civil society
[Must] Initiate Cybersecurity awareness campaigns
[Must] Promote compliance with standards, procedures and policy developed by the JCPS Cybersecurity Response Committee regarding Cybersecurity matters with a bearing on national security
[Must] Encourage and facilitate the development of appropriate additional sector CSIRTs</t>
        </is>
      </c>
      <c r="O610" s="8" t="inlineStr">
        <is>
          <t>The Cybersecurity Hub will be operated within the DOC in accordance with national security guidelines and standards issued by the JCPS Cybersecurity Response Committee.</t>
        </is>
      </c>
    </row>
    <row r="611">
      <c r="A611" t="inlineStr">
        <is>
          <t>South Africa</t>
        </is>
      </c>
      <c r="B611" t="inlineStr">
        <is>
          <t>South Africa National Cybersecurity Policy Framework (NCPF) 2015</t>
        </is>
      </c>
      <c r="C611" t="inlineStr">
        <is>
          <t>7</t>
        </is>
      </c>
      <c r="D611" s="8" t="inlineStr">
        <is>
          <t>Verification of Information Security Products and Systems</t>
        </is>
      </c>
      <c r="E611" t="inlineStr">
        <is>
          <t>19–20</t>
        </is>
      </c>
      <c r="F611" t="inlineStr">
        <is>
          <t>Other</t>
        </is>
      </c>
      <c r="G611" t="inlineStr">
        <is>
          <t>Low</t>
        </is>
      </c>
      <c r="H611" t="inlineStr">
        <is>
          <t>High (explicit)</t>
        </is>
      </c>
      <c r="I611" s="8" t="inlineStr"/>
      <c r="J611" s="8" t="inlineStr"/>
      <c r="K611" t="inlineStr"/>
      <c r="L611" s="8" t="inlineStr">
        <is>
          <t>Promotes development of National Information Security Verification Framework for assessing and certifying products/systems impacting national security.</t>
        </is>
      </c>
      <c r="M611" s="8" t="inlineStr"/>
      <c r="N611" s="8" t="inlineStr">
        <is>
          <t>[Must] Facilitating effective partnerships between the Republic of South Africa and countries with established capacity to perform information security assessments and certifications
[Must] Facilitating effective partnerships between the Government of South Africa, the private sector, academic and research institutions to ensure capacity for information security assessments and certifications within the borders of the Republic
[Must] Developing National regulations for verification of products and systems with applications in Information Security
[Must] Facilitating effective partnerships among government institutions to ensure solutions are implemented in accordance with certification conditions and legislation
[Must] Establishing a body that will centrally coordinate the required national verification functions</t>
        </is>
      </c>
      <c r="O611" s="8" t="inlineStr">
        <is>
          <t>The NCPF therefore promotes the facilitation by the JCPS Cybersecurity Response Committee and the National Cybersecurity Hub of the development of a National Information Security Verification Framework</t>
        </is>
      </c>
    </row>
    <row r="612">
      <c r="A612" t="inlineStr">
        <is>
          <t>South Africa</t>
        </is>
      </c>
      <c r="B612" t="inlineStr">
        <is>
          <t>South Africa National Cybersecurity Policy Framework (NCPF) 2015</t>
        </is>
      </c>
      <c r="C612" t="inlineStr">
        <is>
          <t>8</t>
        </is>
      </c>
      <c r="D612" s="8" t="inlineStr">
        <is>
          <t>NCII Protection</t>
        </is>
      </c>
      <c r="E612" t="inlineStr">
        <is>
          <t>20–21</t>
        </is>
      </c>
      <c r="F612" t="inlineStr">
        <is>
          <t>Other</t>
        </is>
      </c>
      <c r="G612" t="inlineStr">
        <is>
          <t>High</t>
        </is>
      </c>
      <c r="H612" t="inlineStr">
        <is>
          <t>High (explicit)</t>
        </is>
      </c>
      <c r="I612" s="8" t="inlineStr"/>
      <c r="J612" s="8" t="inlineStr"/>
      <c r="K612" t="inlineStr"/>
      <c r="L612" s="8" t="inlineStr">
        <is>
          <t>Requires identification and protection of National Critical Information Infrastructure (NCII) through regulations and business-government partnerships.</t>
        </is>
      </c>
      <c r="M612" s="8" t="inlineStr"/>
      <c r="N612" s="8" t="inlineStr">
        <is>
          <t>[Must] Developing National Critical Information Infrastructure regulations, relating, inter alia, to: Information Classification and Information Security Policy and Procedures
[Must] Third Party Access to NCII
[Must] Access to and authentication on NCII
[Must] Storage and archiving of critical databases
[Must] Incident management and business continuity
[Must] Physical and technical protection of all NCII</t>
        </is>
      </c>
      <c r="O612" s="8" t="inlineStr">
        <is>
          <t>The NCPF therefore seeks to ensure that appropriate steps are taken to ascertain that all National Critical Information Infrastructure (NCII) are identified and properly protected from a variety of threats.</t>
        </is>
      </c>
    </row>
    <row r="613">
      <c r="A613" t="inlineStr">
        <is>
          <t>South Africa</t>
        </is>
      </c>
      <c r="B613" t="inlineStr">
        <is>
          <t>South Africa National Cybersecurity Policy Framework (NCPF) 2015</t>
        </is>
      </c>
      <c r="C613" t="inlineStr">
        <is>
          <t>9</t>
        </is>
      </c>
      <c r="D613" s="8" t="inlineStr">
        <is>
          <t>Cryptography</t>
        </is>
      </c>
      <c r="E613" t="inlineStr">
        <is>
          <t>21</t>
        </is>
      </c>
      <c r="F613" t="inlineStr">
        <is>
          <t>Other</t>
        </is>
      </c>
      <c r="G613" t="inlineStr">
        <is>
          <t>Low</t>
        </is>
      </c>
      <c r="H613" t="inlineStr">
        <is>
          <t>High (explicit)</t>
        </is>
      </c>
      <c r="I613" s="8" t="inlineStr"/>
      <c r="J613" s="8" t="inlineStr"/>
      <c r="K613" t="inlineStr"/>
      <c r="L613" s="8" t="inlineStr">
        <is>
          <t>Recognizes need to review existing cryptography legislation and develop an integrated regulatory framework.</t>
        </is>
      </c>
      <c r="M613" s="8" t="inlineStr"/>
      <c r="N613" s="8" t="inlineStr">
        <is>
          <t>[Must] Review the existing legislation and regulations thereof
[Must] Develop an integrated regulatory framework for Cryptography for the country</t>
        </is>
      </c>
      <c r="O613" s="8" t="inlineStr">
        <is>
          <t>The NCPF recognises that there is a need to: Review the existing legislation and regulations thereof; and Develop an integrated regulatory framework for Cryptography for the country.</t>
        </is>
      </c>
    </row>
    <row r="614">
      <c r="A614" t="inlineStr">
        <is>
          <t>South Africa</t>
        </is>
      </c>
      <c r="B614" t="inlineStr">
        <is>
          <t>South Africa National Cybersecurity Policy Framework (NCPF) 2015</t>
        </is>
      </c>
      <c r="C614" t="inlineStr">
        <is>
          <t>10</t>
        </is>
      </c>
      <c r="D614" s="8" t="inlineStr"/>
      <c r="E614" t="inlineStr">
        <is>
          <t>21–23</t>
        </is>
      </c>
      <c r="F614" t="inlineStr">
        <is>
          <t>Other</t>
        </is>
      </c>
      <c r="G614" t="inlineStr">
        <is>
          <t>High</t>
        </is>
      </c>
      <c r="H614" t="inlineStr">
        <is>
          <t>High (explicit)</t>
        </is>
      </c>
      <c r="I614" s="8" t="inlineStr"/>
      <c r="J614" s="8" t="inlineStr"/>
      <c r="K614" t="inlineStr"/>
      <c r="L614" s="8" t="inlineStr">
        <is>
          <t>Promotes development of integrated National E-identity and PKI strategy for secure e-government services.</t>
        </is>
      </c>
      <c r="M614" s="8" t="inlineStr"/>
      <c r="N614" s="8" t="inlineStr">
        <is>
          <t>[Must] Promote the development of an integrated National E-identity and PKI strategy</t>
        </is>
      </c>
      <c r="O614" s="8" t="inlineStr">
        <is>
          <t>The NCPF seeks to address the fragmented approach by promoting the development of an integrated National E-identity and PKI strategy.</t>
        </is>
      </c>
    </row>
    <row r="615">
      <c r="A615" t="inlineStr">
        <is>
          <t>South Africa</t>
        </is>
      </c>
      <c r="B615" t="inlineStr">
        <is>
          <t>South Africa National Cybersecurity Policy Framework (NCPF) 2015</t>
        </is>
      </c>
      <c r="C615" t="inlineStr">
        <is>
          <t>11</t>
        </is>
      </c>
      <c r="D615" s="8" t="inlineStr">
        <is>
          <t>1 1 . Promote and Strengthen Local and International Cooperation</t>
        </is>
      </c>
      <c r="E615" t="inlineStr">
        <is>
          <t>23–30</t>
        </is>
      </c>
      <c r="F615" t="inlineStr">
        <is>
          <t>Other</t>
        </is>
      </c>
      <c r="G615" t="inlineStr">
        <is>
          <t>Low</t>
        </is>
      </c>
      <c r="H615" t="inlineStr">
        <is>
          <t>High (explicit)</t>
        </is>
      </c>
      <c r="I615" s="8" t="inlineStr">
        <is>
          <t>Cross-border Transfer, International Processing, Data Storage, Data Residency, Security, Encryption, Access Control, Processing, Collection, Retention, Deletion, Data Sharing, Third Party Processing, Outsourcing, Cloud Services, Incident Reporting, Breach Notification, Consent, Customer Information, Employee Information, Special Personal Information, Children, Financial Data, KYC, AML, Governance, Record Keeping</t>
        </is>
      </c>
      <c r="J615" s="8" t="inlineStr">
        <is>
          <t>Personal Information, Financial Data, Customer Data, Employee Data, Health Data, Children's Data, Biometric Data, Special Personal Information</t>
        </is>
      </c>
      <c r="K615" t="inlineStr"/>
      <c r="L615" s="8" t="inlineStr">
        <is>
          <t>Promotes public-private-civil sector collaboration to enhance cybersecurity through joint knowledge, threat understanding, and trusted forums.</t>
        </is>
      </c>
      <c r="M615" s="8" t="inlineStr"/>
      <c r="N615" s="8" t="inlineStr">
        <is>
          <t>[Must] Promotes public-private-civil sector collaboration to enhance cybersecurity through joint knowledge, threat understanding, and trusted forums.</t>
        </is>
      </c>
      <c r="O615" s="8" t="inlineStr">
        <is>
          <t>11.2.2 The NCPF thus promotes the establishment of collaboration with local stakeholders, with a focus on the following aspects: (a) Inclusion of the industry and creating an enabling environment for a successful partnership; (b) Encouraging private sector groups to address common security interests and collaborate with government including encouraging cooperation among groups from interdependent industries; (c) Bringing private sector and government together in trusted forums; and (d) Creating a common understanding of the threats and vulnerabilities that the country faces and the responses required.</t>
        </is>
      </c>
    </row>
    <row r="616">
      <c r="A616" t="inlineStr">
        <is>
          <t>South Africa</t>
        </is>
      </c>
      <c r="B616" t="inlineStr">
        <is>
          <t>pAYMENT ACT</t>
        </is>
      </c>
      <c r="C616" t="inlineStr">
        <is>
          <t>16</t>
        </is>
      </c>
      <c r="D616" s="8" t="inlineStr">
        <is>
          <t>Short title</t>
        </is>
      </c>
      <c r="E616" t="inlineStr">
        <is>
          <t>2–16</t>
        </is>
      </c>
      <c r="F616" t="inlineStr">
        <is>
          <t>Definitions</t>
        </is>
      </c>
      <c r="G616" t="inlineStr">
        <is>
          <t>High</t>
        </is>
      </c>
      <c r="H616" t="inlineStr">
        <is>
          <t>Medium (merged from chunks)</t>
        </is>
      </c>
      <c r="I616" s="8" t="inlineStr">
        <is>
          <t>Cross-border Transfer, International Processing, Data Storage, Security, Cloud Services, Incident Reporting, Breach Notification, Consent, Customer Information, Employee Information, Special Personal Information, Children, Financial Data, KYC, AML, Governance, Record Keeping</t>
        </is>
      </c>
      <c r="J616" s="8" t="inlineStr">
        <is>
          <t>Financial Data</t>
        </is>
      </c>
      <c r="K616" t="inlineStr">
        <is>
          <t>Reserve Bank</t>
        </is>
      </c>
      <c r="L616" s="8" t="inlineStr">
        <is>
          <t xml:space="preserve">This section defines key terms used throughout the Payment Act, including 'bank', 'Banks Act', 'branch of a foreign institution', 'clear', 'clearing, netting and settlement agreements', and numerous other terms related to payment systems, settlement, and financial institutions. These definitions establish the legal framework for understanding payment mechanisms, system participants, and regulatory obligations within South Africa's financial sector. This section outlines the eligibility criteria for participation in the Reserve Bank settlement system. Participants must be banks, mutual banks, cooperative banks, or branches of foreign institutions that meet specific requirements, including being members of a recognized payment system management body. The Reserve Bank has the authority to designate settlement systems and requires adherence to strict criteria for participation to ensure system integrity and security. This section establishes the short title for the Payment Act, designating it as the 'Payment Act' and specifying that the term 'designated clearing system participant' may be varied or revoked by notice in the Gazette. It also includes a note that subsection (3) was added </t>
        </is>
      </c>
      <c r="M616" s="8" t="inlineStr">
        <is>
          <t>This section establishes eligibility rules for payment system participants, which are relevant to DTIAs as they define who can participate in cross-border payment systems and the regulatory oversight required for such participation. This section establishes a dispute resolution mechanism that could impact data transfer if payment system participants share sensitive financial data across borders. The requirement for consensus and arbitration may influence cross-border data handling practices.</t>
        </is>
      </c>
      <c r="N616" s="8" t="inlineStr">
        <is>
          <t>[Condition] In this Act, unless the context otherwise indicates-
[Definition] 'bank' means a bank as defined in section 1 of the Banks Act
[Definition] 'Banks Act' means the Banks Act, 1990 (Act 94 of 1990)
[Definition] 'branch of a foreign institution' means a branch by means of which a foreign institution conducts the business of a bank in the Republic in terms of a written authorisation granted by the Registrar of Banks in terms of section 18A of the Banks Act
[Definition] 'clear' or 'clearing' means the exchange of payment instructions
[Definition] 'clearing, netting and settlement agreements' means written agreements with regard to clearing, netting or settlement, concluded between clearing system participants or settlement system participants
[Definition] 'clearing system participant' means a bank, a mutual bank, a co-operative bank, a branch of a foreign institution or designated clearing system participant that clears in the manner contemplated in section 4 (2) (d) (i)
[Definition] 'Companies Act' means the Companies Act, 1973 (Act 61 of 1973)
[Definition] 'co-operative bank' has the meaning assigned to it in section 1 of the Co-operative Banks Act, 2007
[Definition] 'Co-operative Banks Act' means the Co-operative Banks Act, 2007
[Definition] 'designated clearing system participant' means a person specified in the notice referred to in section 6 (3) (a)
[Definition] 'designated settlement system' means a settlement system designated in terms of section 4A
[Definition] 'designated settlement system operator' means the person specified in the notice referred to in section 4A (5) as the operator of that system
[Definition] 'designated settlement system participant' means a person that is a participant in the designated settlement system in accordance with the rules governing the operation of the system or a person that is an operator of the designated settlement system
[Definition] 'money' means a banknote or coin issued by the Reserve Bank in terms of section 10 (1) (a) (iii), read with section 14 of the South African Reserve Bank Act
[Definition] 'mutual bank' means a mutual bank as defined in section 1 of the Mutual Banks Act
[Definition] 'Mutual Banks Act' means the Mutual Banks Act, 1993 (Act 124 of 1993)
[Definition] 'netting' means the determination of the nett payment obligations between two or more clearing system participants within a payment clearing house or the determination of the nett settlement obligations between two or more settlement system participants within a settlement system
[Definition] 'payment clearing house (PCH)' means an arrangement between two or more clearing system participants and Reserve Bank settlement system participants, excluding a designated settlement system operator, governing the clearing or netting of payment instructions between those clearing system participants and Reserve Bank settlement system participants
[Definition] 'payment instruction' means an instruction to transfer funds or make a payment
[Definition] 'payment obligation' means an indebtedness that is owed by one clearing system participant or settlement system participant to another clearing system participant or settlement system participant as a result of the clearing of one or more payment instructions
[Definition] 'payment system' means a system that enables payments to be effected or facilitates the circulation of money and includes any instruments and procedures that relate to the system
[Definition] 'payment system management body' means a body recognised by the Reserve Bank in terms of section 3 (1)
[Definition] 'PCH system operator' means a person, other than a designated settlement system operator, that clears on behalf of any two or more Reserve Bank settlement system participants
[Definition] 'person' includes a trust
[Definition] 'Reserve Bank' means the South African Reserve Bank referred to in section 2 of the South African Reserve Bank Act
[Definition] 'Reserve Bank settlement system' means a settlement system established and operated by, or under the control of, the Reserve Bank
[Definition] 'Reserve Bank settlement system participant' means the Reserve Bank, a bank, a mutual bank, a co-operative bank or a branch of a foreign institution, or a designated settlement system operator that participates in the Reserve Bank settlement system
[Definition] 'secondary co-operative bank' means a secondary co-operative bank as defined in section 1 of the Co-operative Banks Act, 2007
[Definition] 'settlement' means the discharge of settlement obligations
[Definition] 'settlement instruction' means an instruction given to a settlement system by a settlement system participant or by a PCH system operator on behalf of a Reserve Bank settlement system participant to effect settlement
[Definition] 'settlement obligation' means an indebtedness that is owed by one settlement system participant to another as a result of one or more settlement instructions
[Definition] 'settlement system' means a system for the discharge of payment or settlement obligations or the discharge of payment and settlement obligations between participants in that system
[Definition] 'settlement system participant' means a Reserve Bank settlement system participant or a designated settlement system participant
[Definition] 'South African Reserve Bank Act' means the South African Reserve Bank Act, 1989 (Act 90 of 1989)
[Definition] 'system operator' means a person, other than a designated settlement system operator, authorised in terms of section 4 (2) (c) to provide services to any two or more persons in respect of payment instructions
[Definition] 'systemic risk' means the risk that failure of one or more settlement system participants, for whatever reason, to meet their payment obligations, including the payment obligations of clearing system participants, or their settlement obligations may result in any or all of the other settlement system participants being unable to meet their respective payment or settlement obligations
[Definition] 'tertiary co-operative bank' means a tertiary co-operative bank as defined in section 1 of the Co-operative Banks Act, 2 007
[Must] No person may participate in the Reserve Bank settlement system unless such person is the Reserve Bank, a bank, a mutual bank, a co-operative bank or a branch of a foreign institution and, in the case where a payment system management body has been recognised by the Reserve Bank as contemplated in subsection (1), such person is a member of the payment system management body so recognised
[Must] No person may be allowed to clear as contemplated in section 4 (2) (d) (i) unless, in the case where a payment system management body has been recognised by the Reserve Bank as contemplated in subsection (1), such person is a member of the payment system management body so recognised
[May] The Reserve Bank may designate a settlement system if such designation is in the interest of the integrity, effectiveness, efficiency or security of the payment system
[May] In considering the designation of any settlement system, the Reserve Bank may require from the settlement system the rules of the settlement system and any additional information it may deem appropriate
[Must] The Reserve Bank must designate a settlement system as a designated settlement system for purposes of this Act by notice in the Gazette and give written notice of such designation to the designated settlement system operator
[Must] The term 'designated clearing system participant' may be varied or revoked by notice in the Gazette.
[Must] The mediator must familiarise themselves with the position held by the Reserve Bank settlement system participant concerned and the Reserve Bank.
[Must] The mediator, the Reserve Bank settlement system participant concerned and the Reserve Bank must discuss the dispute at a meeting attended by them all.
[Must] The Reserve Bank settlement system participant concerned and the Reserve Bank must attempt to settle the dispute by consensus.
[Must] The Reserve Bank settlement system participant concerned and the Reserve Bank must share the mediator's costs equally.
[Must] If consensus is not reached, the dispute must be referred to a single arbitrator agreed upon between the parties or, if no agreement, to an arbitrator appointed by a recognised body.
[Must] The arbitrator must have knowledge of the law and the payment system.
[Must] The Arbitration Act, 1965 applies to the arbitration process with necessary contextual changes.
[Must] The arbitrator's decision is final and binding on the parties.</t>
        </is>
      </c>
      <c r="O616" s="8" t="inlineStr">
        <is>
          <t>In this Act, unless the context otherwise indicates-</t>
        </is>
      </c>
    </row>
    <row r="617">
      <c r="A617" t="inlineStr">
        <is>
          <t>United Kingdom</t>
        </is>
      </c>
      <c r="B617" t="inlineStr">
        <is>
          <t>NIS Regulations 2018 (United Kingdom - Row 25)</t>
        </is>
      </c>
      <c r="C617" t="inlineStr">
        <is>
          <t>9</t>
        </is>
      </c>
      <c r="D617" s="8" t="inlineStr">
        <is>
          <t>The threshold requirement which applies to the essential service of the supply of potable water</t>
        </is>
      </c>
      <c r="E617" t="inlineStr">
        <is>
          <t>54–57</t>
        </is>
      </c>
      <c r="F617" t="inlineStr">
        <is>
          <t>Other</t>
        </is>
      </c>
      <c r="G617" t="inlineStr">
        <is>
          <t>None</t>
        </is>
      </c>
      <c r="H617" t="inlineStr">
        <is>
          <t>High (explicit)</t>
        </is>
      </c>
      <c r="I617" s="8" t="inlineStr"/>
      <c r="J617" s="8" t="inlineStr"/>
      <c r="K617" t="inlineStr"/>
      <c r="L617" s="8" t="inlineStr">
        <is>
          <t>This section defines the threshold requirement for the essential service of potable water supply in the UK, specifying that it applies when water is supplied to 200,000 or more people. The threshold is a quantitative measure used to determine whether a water service qualifies as an essential service under the regulations.</t>
        </is>
      </c>
      <c r="M617" s="8" t="inlineStr"/>
      <c r="N617" s="8" t="inlineStr">
        <is>
          <t>[Definition] The threshold requirement for the essential service of the supply of potable water in the United Kingdom is the supply of water to 200,000 or more people.</t>
        </is>
      </c>
      <c r="O617" s="8" t="inlineStr">
        <is>
          <t>9. The threshold requirement which applies to the essential service of the supply of potable water in the United Kingdom is the supply of water to 200,000 or more people.</t>
        </is>
      </c>
    </row>
    <row r="618">
      <c r="A618" t="inlineStr">
        <is>
          <t>United Kingdom</t>
        </is>
      </c>
      <c r="B618" t="inlineStr">
        <is>
          <t>NIS Regulations 2018 (United Kingdom - Row 25)</t>
        </is>
      </c>
      <c r="C618" t="inlineStr">
        <is>
          <t>13</t>
        </is>
      </c>
      <c r="D618" s="8" t="inlineStr">
        <is>
          <t>The Information Commissioner may give information and assistance to, and otherwise co-</t>
        </is>
      </c>
      <c r="E618" t="inlineStr">
        <is>
          <t>18–54</t>
        </is>
      </c>
      <c r="F618" t="inlineStr">
        <is>
          <t>Enforcement</t>
        </is>
      </c>
      <c r="G618" t="inlineStr">
        <is>
          <t>High</t>
        </is>
      </c>
      <c r="H618" t="inlineStr">
        <is>
          <t>Medium (merged from chunks)</t>
        </is>
      </c>
      <c r="I618" s="8" t="inlineStr">
        <is>
          <t>Access Control, Data Sharing, Security, Cross-border Transfer, International Processing, Data Storage</t>
        </is>
      </c>
      <c r="J618" s="8" t="inlineStr">
        <is>
          <t>Personal Information, Special Personal Information</t>
        </is>
      </c>
      <c r="K618" t="inlineStr">
        <is>
          <t>Information Commissioner</t>
        </is>
      </c>
      <c r="L618" s="8" t="inlineStr">
        <is>
          <t>The Information Commissioner may provide information and assistance to, and cooperate with, public authorities in the EU if it determines that such cooperation would benefit effective supervision of digital service providers (both within and outside the UK), particularly in response to incidents notified under regulation 12(3). This section outlines the Information Commissioner's authority to conduct inspections on behalf of competent authorities, requiring the OES or RDSP to pay reasonable costs, cooperate with inspectors, provide access to premises, allow examination of documents and equipment, and comply with inspector requests. Inspectors may enter premises, secure relevant materials, take statements, conduct tests, and ensure materials are kept secure. The inspector must produce identification and maintain security of removed materials. This section outlines the procedural requirements for serving enforcement notices under the Information Commissioner or relevant competent authority. It mandates that before issuing an enforcement notice, the authority must inform the OES (Organisation for Electronic Services) or RDSP (Regulated Data Service Provider) of the alleged failure and</t>
        </is>
      </c>
      <c r="M618" s="8" t="inlineStr">
        <is>
          <t>This section establishes inspection procedures that may impact data transfer by requiring access to systems and data during audits, potentially affecting cross-border data handling if the OES/RDSP is involved in international data flows. This section establishes the procedural safeguards for enforcement actions, requiring prior notification to OES/RDSPs and consideration of representations before imposing penalties. It directly impacts DTIA by defining the process for addressing non-compliance with data protection obligations across borders. This section is relevant for DTIAs as it establishes</t>
        </is>
      </c>
      <c r="N618" s="8" t="inlineStr">
        <is>
          <t>[Must] The Information Commissioner may give information and assistance to, and otherwise cooperate with, a public authority in the EU if the Information Commissioner considers that to do so would be in the interests of effective supervision of digital service providers (whether inside or outside the United Kingdom), including in the event of an incident notified under regulation 12(3).
[Must] The OES or RDSP must pay the reasonable costs of the inspection if required by the relevant competent authority or Information Commissioner
[Must] The OES or RDSP must co-operate with the inspector
[Must] The OES or RDSP must provide the inspector with access to their premises in accordance with paragraph (5)(a)
[Must] The OES or RDSP must allow the inspector to examine, print, copy or remove any document or information, and examine or remove any material or equipment in accordance with paragraph (5)(d)
[Must] The OES or RDSP must allow the inspector access to any person from whom the inspector seeks relevant information for the purposes of the inspection
[Must Not] The OES or RDSP must not intentionally obstruct an inspector performing their functions
[Must] The OES or RDSP must comply with any request made by, or requirement of, an inspector performing their functions
[May] The inspector may enter premises of an OES or RDSP at any reasonable time if the inspector has reasonable grounds to believe entry may be necessary for the inspection
[Must] The OES or RDSP must leave undisturbed and not dispose of, render inaccessible or alter relevant material, documents, information or equipment for the period necessary for the inspection
[Must] The OES or RDSP must produce and provide the inspector with access to relevant material, documents, information or equipment either immediately or within a specified period
[Must] The inspector must produce proof of identity if requested by any person at the premises
[Must] The inspector must take appropriate and proportionate measures to ensure removed materials are kept secure from unauthorised access, interference and physical damage
[Must] Before serving an enforcement notice, the relevant competent authority or Information Commissioner must inform the OES or RDSP of the alleged failure and how and by when representations may be made.
[May] The relevant competent authority or Information Commissioner may serve an enforcement notice on the OES or RDSP within a reasonable time after informing them of the alleged failure.
[Must] The relevant competent authority or Information Commissioner must have regard to any representations made under paragraph (2A)(b).
[Must] The Information Commissioner may give information and assistance to, and otherwise co-operate with, designated competent authorities for the OES and RDSP.
[Must] The Information Commissioner may give information and assistance to, and otherwise co
[Must] The Information Commissioner may treat certain court judgments as if they were judgments entered in the county court for enforcement purposes in England and Wales, and similarly for Northern Ireland under specific orders.
[Must] For the essential service of electricity supply in Great Britain, electricity undertakings that supply to more than 250,000 final customers or have a generation capacity of 2 gigawatts or more (including affiliated undertakings) are subject to threshold requirements.
[Must] For the essential service of electricity supply in Northern Ireland, holders of supply licences supplying to more than 8,000 consumers or with a generating capacity of 350 megawatts or more are subject to threshold requirements.
[Must] For the essential service of the single electricity market in Northern Ireland, holders of Single Electricity Market operator licences are subject to threshold requirements.
[Must] For the essential service of electricity transmission in Great Britain, transmission system operators with potential to disrupt delivery to more than 250,000 final customers or holders of offshore transmission licences with cumulative capacity of 2 gigawatts or more are subject to threshold requirements.
[Must] For the essential service of electricity distribution in Great Britain, distribution system operators with potential to disrupt delivery to more than 250,000 final customers are subject to threshold requirements.
[Must] For the essential service of oil transmission by pipeline in Great Britain, operators with throughput of more than 500,000 tonnes of crude oil per year are subject to threshold requirements.
[Must] For the essential service of oil transmission by pipeline in Northern Ireland, operators with throughput of more than 50,000 tonnes of crude oil per year are subject to threshold requirements.
[Must] For the essential service of oil processing facilities, operators with throughput of more than 3,000,000 tonnes of oil equivalent per year are subject to threshold requirements.
[Must] For the essential service of crude oil based fuel production, refining, storage, and transmission in Great Britain, operators with capacity exceeding 500,000 tonnes of crude oil based fuel in storage, production, or supply are subject to threshold requirements.
[Must] For the essential service of crude oil based fuel production, refining, storage, and transmission in Northern Ireland, operators with storage capacity exceeding 50,000 tonnes of crude oil based fuel are subject to threshold requirements.
[Definition] has the meaning given by section 90(1) of the Energy Act 2011
[Definition] gas processing facility has the meaning given by section 12(6) of the Gas Act 1995
[Definition] gas processing operation means any of the following operations—
[Definition] oil equivalent means petroleum and, for the purposes of assessments of throughput, where petroleum is in a gaseous state 1,100 cubic meters of this petroleum at a temperature of 15 degrees Celsius and pressure of one atmosphere is counted as equivalent to one tonne
[Definition] oil processing facility means any facility which carries out oil processing operations
[Definition] oil processing operations means any of the following operations—
[Definition] operator means—
[Definition] petroleum has the same meaning as in section 1 of the Petroleum Act 1998
[Definition] petroleum production project means a project carried out by virtue of a licence granted under—
[Definition] piped gas means gas which—
[Definition] pipeline means a pipe or system of pipes for the conveyance of anything
[Definition] production installation has the meaning given by regulation 2(1) of the Offshore Installations (Safety Case) Regulations 2005
[Definition] relevant offshore installation means an offshore installation within the meaning of section 44 of the Petroleum Act 1998 which carries on the activities mentioned in subsection (3)(a) or (c) of that section and is a relevant offshore installation only to the extent it is used to carry on those activities
[Definition] terminal includes—
[Definition] upstream petroleum pipeline means a pipeline or one of a network of pipelines which is—
[Condition] For the essential service of gas supply, supply undertakings that supply gas to more than 250,000 final customers in Great Britain
[Condition] For the essential service of gas supply, the holder of a supply licence under Article 8(1)(c) of the Gas (Northern Ireland) Order 1996 who supplies gas to more than 2,000 customers in Northern Ireland
[Condition] For the essential service of gas transmission, transmission system operators with a potential to disrupt delivery to more than 250,000 final customers in Great Britain
[Condition] For the essential service of gas transmission, holders of interconnector licences where the gas interconnector has the technological capacity to input more than 20 million cubic metres of gas per day to a transmission system
[Condition] For the essential service of gas transmission in Northern Ireland, the holder of a gas conveyance licence under Article 8(1)(a) of the Gas (Northern Ireland) Order 1996
[Condition] For the essential service of gas distribution, distribution system operators with a potential to disrupt delivery to more than 250,000 final customers in Great Britain
[Condition] For the essential service of gas distribution in Northern Ireland, the holder of a licence under Article 8(1)(a) of the Gas (Northern Ireland) Order 1996
[Condition] For the essential service of gas storage facilities, storage system operators where the storage facility has the technological capacity to input more than 20 million cubic metres of gas per day to a transmission system in Great Britain
[Condition] For the essential service of gas storage facilities in Northern Ireland, the holder of a licence under Article 8(1)(b) of the Gas (Northern Ireland) Order 1996
[Condition] For the essential service of LNG facilities, LNG system operators where the LNG facility has the technological capacity to input more than 20 million cubic metres of gas per day to a transmission system in Great Britain
[Condition] For the essential service of LNG facilities in Northern Ireland, the holder of a licence under Article 8(1)(d) of the Gas (Northern Ireland) Order 1996
[Condition] For the essential service of relevant gas processing facilities, operators of facilities with a throughput of more than 3,000,000 tonnes of oil equivalent per year
[Condition] For the essential service of petroleum production projects (other than gas storage), operators of installations or pipelines with a throughput of more than 3,000,000 tonnes of oil equivalent per year
[Must] An operator of vessel traffic services at a port which has annual passenger numbers greater than 10 million
[Must] An operator of vessel traffic services at a port which fulfils at least one of the following criteria—(i) it handles more than fifteen percent of the total roll-on roll-off traffic in the United Kingdom; (ii) it handles more than fifteen percent of the total lift-on lift-off traffic in the United Kingdom; (iii) it handles more than ten percent of the total liquid bulk traffic in the United Kingdom; or (iv) it handles more than twenty percent of the total biomass fuel traffic in the United Kingdom</t>
        </is>
      </c>
      <c r="O618" s="8" t="inlineStr">
        <is>
          <t>The Information Commissioner may give information and assistance to, and otherwise co-operate with, a public authority in the EU if the Information Commissioner considers that to do so would be in the interests of effective supervision of digital service providers (whether inside or outside the United Kingdom), including in the event of an incident notified under regulation 12(3).</t>
        </is>
      </c>
    </row>
    <row r="619">
      <c r="A619" t="inlineStr">
        <is>
          <t>United Kingdom</t>
        </is>
      </c>
      <c r="B619" t="inlineStr">
        <is>
          <t>Privacy and Electronic Communications Regulations (PECR) 2003 (United Kingdom - Row 18)</t>
        </is>
      </c>
      <c r="C619" t="inlineStr">
        <is>
          <t>2003</t>
        </is>
      </c>
      <c r="D619" s="8" t="inlineStr">
        <is>
          <t>Document Generated: 2026-02-10</t>
        </is>
      </c>
      <c r="E619" t="inlineStr">
        <is>
          <t>2–4</t>
        </is>
      </c>
      <c r="F619" t="inlineStr">
        <is>
          <t>Other</t>
        </is>
      </c>
      <c r="G619" t="inlineStr">
        <is>
          <t>Low</t>
        </is>
      </c>
      <c r="H619" t="inlineStr">
        <is>
          <t>High (explicit)</t>
        </is>
      </c>
      <c r="I619" s="8" t="inlineStr">
        <is>
          <t>Cross-border Transfer, Data Sharing, Security</t>
        </is>
      </c>
      <c r="J619" s="8" t="inlineStr">
        <is>
          <t>Personal Information</t>
        </is>
      </c>
      <c r="K619" t="inlineStr">
        <is>
          <t>Regulation 10</t>
        </is>
      </c>
      <c r="L619" s="8" t="inlineStr">
        <is>
          <t>This section mandates that electronic communications service providers must offer users a method to disable calling line identification on a per-call basis and subscribers a method to disable it on a per-line basis. It also requires providers to offer specific facilities for presenting connected line identification or calling line identification when available. The regulation is subject to regulations 15 and 16, which address tracing malicious calls and emergency services.</t>
        </is>
      </c>
      <c r="M619" s="8" t="inlineStr">
        <is>
          <t>This section establishes requirements for controlling calling line identification, which may impact data transfer assessments when handling telecommunications data across borders, particularly regarding user consent mechanisms and data minimization.</t>
        </is>
      </c>
      <c r="N619" s="8" t="inlineStr">
        <is>
          <t>[Must] A provider of a public electronic communications service must provide users with a means of preventing the presentation of calling line identification on a call-by-call basis.
[Must] A provider of a public electronic communications service must provide subscribers with a means of preventing the presentation of such identification on a per-line basis.
[Must] A provider of a public electronic communications service must provide subscribers with certain facilities where facilities enabling the presentation of connected line identification or calling line identification are available.</t>
        </is>
      </c>
      <c r="O619" s="8" t="inlineStr">
        <is>
          <t>Regulation 10 requires a provider of a public electronic communications service to provide users of the service with a means of preventing the presentation of calling line identification on a call-by-call basis, and to provide subscribers to the service with a means of preventing the presentation of such identification on a per-line basis.</t>
        </is>
      </c>
    </row>
    <row r="620">
      <c r="A620" t="inlineStr">
        <is>
          <t>United Kingdom</t>
        </is>
      </c>
      <c r="B620" t="inlineStr">
        <is>
          <t>cbest-implementation-guide (United Kingdom - Row 30)</t>
        </is>
      </c>
      <c r="C620" t="inlineStr">
        <is>
          <t>4</t>
        </is>
      </c>
      <c r="D620" s="8" t="inlineStr">
        <is>
          <t>4: CBEST process</t>
        </is>
      </c>
      <c r="E620" t="inlineStr">
        <is>
          <t>2–59</t>
        </is>
      </c>
      <c r="F620" t="inlineStr">
        <is>
          <t>Cross-border Transfer</t>
        </is>
      </c>
      <c r="G620" t="inlineStr">
        <is>
          <t>High</t>
        </is>
      </c>
      <c r="H620" t="inlineStr">
        <is>
          <t>Medium (merged from chunks)</t>
        </is>
      </c>
      <c r="I620" s="8" t="inlineStr">
        <is>
          <t>Cross-border Transfer, International Processing, Security, Incident Reporting, Breach Notification, Governance, Record Keeping, Data Sharing, Data Storage, Third Party Processing, Cloud Services</t>
        </is>
      </c>
      <c r="J620" s="8" t="inlineStr">
        <is>
          <t>Personal Information, Financial Data, Customer Data, Employee Data</t>
        </is>
      </c>
      <c r="K620" t="inlineStr">
        <is>
          <t>Prudential Regulation Authority (PRA)</t>
        </is>
      </c>
      <c r="L620" s="8" t="inlineStr">
        <is>
          <t>This section outlines the CBEST process framework for financial institutions and financial market infrastructures (FMIs) in the UK. It details the phased approach including initiation, threat intelligence, penetration testing, and closure phases, emphasizing intelligence-led security testing to identify vulnerabilities in critical business services. The process requires collaboration between regulators, firms, and third parties to ensure robust cyber resilience and timely remediation of identified weaknesses. This section details the CBEST (Cybersecurity Best Practices for Financial Services) process framework, requiring a Control Group Co-ordinator (CGC) to oversee implementation. The CGC must ensure essential expertise for CBEST execution, maintain risk management processes, and coordinate with Threat Intelligence Service Providers (TISP) and Penetration Test Service Providers (PTSP). The process spans four phases: Initiation, Threat Intelligence, Penetration Testing, and Closure, with specific deliverables and timelines for each stage. The CGC must also manage risks, ensure confidentiality, and maintain alignment with regulatory requirements throughout the assessment. This secti</t>
        </is>
      </c>
      <c r="M620" s="8" t="inlineStr">
        <is>
          <t>This section describes the CBEST process as a regulatory framework for assessing cyber resilience, which is relevant for DTIAs as it outlines the need for structured security testing and vulnerability management across critical business services. It does not directly address data transfers but informs the broader cybersecurity context. This section establishes the CBEST process structure and risk management framework, which is critical for DTIAs as it mandates specific coordination mechanisms, risk controls, and confidentiality protocols when conducting cross-border cybersecurity assessments i</t>
        </is>
      </c>
      <c r="N620" s="8" t="inlineStr">
        <is>
          <t>[Must] CBEST is a targeted assessment that allows regulators and firms to better understand weaknesses and vulnerabilities and take remedial actions, thereby improving the resilience of systemically important firms and by extension, the wider financial system.
[May] Firms, FMIs or service providers can ask questions or provide feedback on the CBEST process to the PRA at: [email]
[Must] The regulator is responsible for using the deliverables from the CBEST assessment to form a view of the participant's cyber security posture.
[Must] The CBEST participant is the firm/FMI conducting the CBEST assessment.
[Must] The firm/FMI will need to select CG members, this is a team responsible for the management and firm oversight of the CBEST assessment.
[Must] CG must ensure that Control Group Co-ordinator (CGC) provides essential information and knowledge to implement CBEST (e.g., on IBSs, asset processes, etc) usually only one person per system, which is being tested as part of the CBEST
[Must] CG members should have authority to take relevant decisions, but membership is not necessarily limited to roles such as the Chief Operating Officer (COO), Chief Information Officer (CIO), Chief Technology Officer (CTO), Chief Information Security Officer (CISO)
[Must] CG must ensure that all CBEST minimum criteria (Annex A – CBEST minimum criteria) and requirements described in the CBEST Implementation Guide are met during the implementation of the assessment
[Must] An overall project plan must be defined during the Initiation phase and systematically updated during the project
[Must] The TISP must be CBEST accredited (more details in Section 6.4.1)
[Must] The TISP will implement the TI analysis following the best practice described in the CBEST Services Assessment Guide (CBEST (2024b))
[Must] The TISP must complete the following tasks to satisfy the CBEST minimum criteria: the CBEST assessment is conducted in a risk-controlled manner, implementing a risk management process to identify, assess and mitigate risks related to CBEST activity throughout all phases
[Must] The TISP must ensure the secrecy of the CBEST assessment is preserved throughout its duration. If secrecy is compromised, or there is a suspicion that it has been, the CG must report this immediately to the regulator
[Must] The TISP must ensure the scope of the CBEST assessment is representative of the firm/FMI's IBSs. The key systems underpinning the IBSs and compromise actions in scope of CBEST are identified by mean of impact assessment
[Must] The TISP must ensure co-ordination, communication and engagement with and between all external parties (TISP, PTSP, regulator, etc) is effective
[Must] The TISP and PTSP engaged for the assessment must be accredited CBEST service providers (refer to Section 6.4.1)
[Must] Any significant concerns in relation to the project plan (e.g., delays) and the technical execution of Threat Intelligence (TI) and Penetration Testing (PT) phases must be reported to the regulator immediately
[Must] Deliverables must be produced in line with CBEST guidelines/templates and shared with the regulator on a timely and unredacted (unless otherwise required) basis
[Must] The TISP must provide an external threat intelligence assessment of the firm/FMI, which features evidentially supported profiles of cyber threat actors that could be reasonably expected to potentially target the firm/FMI
[Must] The TISP must provide information that potential threat actors could uncover about the IBSs and key systems identified as within the CBEST scope
[Must] The TISP must create threat scenarios based on the outcomes of the targeting assessment and threat intelligence
[Must] The PTSP must complete the Threat Intelligence Maturity Assessment of the firm/FMI's TI function based on the CBEST guidelines
[Must] The PTSP must provide further intelligence and direction during the PT phase and input to the final PT Report, as appropriate
[Must] The PTSP must ensure the TI analysis is aligned to the PT plan during the TI phase
[Must] The PTSP must design and plan the PT execution in line with the target actions agreed in the scope and the threat scenarios identified in the TI phase
[Must] The PTSP must agree a PT risk management process with the firm/FMI in order to run a controlled assessment and minimise the risks inherent in a CBEST assessment
[Must] The PTSP must execute the threat scenarios identified by the TISP and approved by the firm/FMI, using an ethical red teaming testing methodology
[Must] The PTSP must provide regular updates on the key target actions implemented and the results during the PT phase
[Must] The PTSP must complete the Detection &amp; Response (D&amp;R) Capability Assessment (CBEST (2024i)) of the firm/FMI based on the CBEST guidelines
[Must] The PTSP must draft the PT Findings Report in line with the CBEST guidelines
[Must] The PTSP must provide feedback on the CBEST execution during the Debrief session with the regulator
[Must] During Scoping, the regulator will check if the firm/FMI is registered to the NCSC Early Warning Service (EWS) and ask for confirmation that the firm/FMI's data are up to date in the NCSC system
[Must] The CG must ensure the CBEST assessment is conducted in a risk-controlled manner, implementing a risk management process to identify, assess and mitigate risks related to CBEST activity throughout all phases
[Must] The CG must identify, analyse, and manage the risks that could negatively impact the CBEST assessment
[Must] The CG must plan and implement mitigating actions for each risk identified
[Must] The CG must ensure the risks are reduced through advanced planning, clear definition of the scope and predefined escalation procedures
[Must] The CG must look to ensure the risks are reduced through advanced planning, clear definition of the scope and predefined escalation procedures
[Must] The CG must remain in control of CBEST for the whole implementation of the assessment
[Must] The CG can order a temporary halt if concerns are raised over damage (or potential damage) to a system or disruption to an IBS
[Must] The CG must complete a dedicated CBEST risk assessment prior to the CBEST commencing
[Must] The CG must regularly review the identified mitigating measures to ensure they remain appropriate throughout the process
[Must] The CG must assign a project code name (unrelated to the organisation's name) for referencing the organisation within all CBEST communications and documentation
[Must] CBEST deliverables must be managed during their lifecycle to ensure sensitive information is removed before sharing with the regulator
[Must] The CG must ensure that Personally Identifiable Information and technical details (such as Internet Protocols, system names, emails, configuration details, etc) are removed from the reports before sharing with the regulator
[Must] The CG must remove Personally Identifiable Information and technical details (such as Internet Protocols, system names, emails, configuration details) from reports before sharing with the regulator.
[Must] The CG must ensure deliverables shared with the regulator do not contain sensitive information unnecessary for regulatory analysis.
[Must] CBEST activities must be executed on live-production systems unless legal or ethical constraints exist.
[Must] The CG must complete a risk assessment identifying and evaluating risks affecting CBEST.
[Must] The CG must prepare a Privacy Impact Document (PID) covering CBEST governance and risk management arrangements.
[Must] The firm/FMI must sign off on a final Scope Specification for delivery to the regulator.
[Must] The CG must ensure third-party members operate within the same security protocols and confidentiality limitations.
[Must] The regulator and CG must formalize the document (CBEST (2024d)) and agree on compromise actions for testers.
[Must] All compromise actions agreed in the document must be prioritized in the Penetration Test Plan.
[Must] The TISP must produce an IBS-focused Threat Intelligence Plan that is delivered to the firm/FMI and PTSP.
[Must] The TI plan must allow time for deliverable reviews and workshops and make explicit key deliverable handover points.
[Must] If the TISP identifies a major vulnerability or imminent threat that could compromise a scoped IBS, it must disclose this immediately to the CG.
[Must] The CG must remediate any vulnerabilities identified and discuss remediated vulnerabilities with the PTSP to avoid being at a disadvantage during penetration testing.
[Must] The TISP must collect, analyse and disseminate IBS-focused intelligence on relevant threat actors and probable threat scenarios.
[Must] The TISP must develop scenarios based on threat intelligence that map to one or more IBS-supporting systems.
[Must] The CG and PTSP should agree on the best setup, including account profiles and privilege access levels.
[Must] The CG and PTSP should agree on relevant business or operational information needed to simulate scenarios.
[Must] The CG should plan the involvement of staff and third parties to increase the realism of the assessment.
[Must] The CG and PTSP should consider involving staff/third parties and using real user profiles and live devices to reduce detection risk by the SOC.
[Must] Advanced simulations of malicious insiders or supply chain scenarios require detailed planning ahead of execution.
[May] The CG may agree to allow the PTSP to test up to a specific point without causing actual damage.
[Should] Firms should consider exploring scenarios beyond the CBEST assessment scope for future follow-up testing.
[Must] Sufficient time must be budgeted to make the PT as realistic as possible.
[Must] The assessment must cover the end-to-end processes and systems supporting the in-scope IBS, unless otherwise agreed between all parties.
[Must] PTSPs must collaborate with the firm/FMI in refining the PT plan to execute all in-scope scenarios.
[Should] If scenarios are not fully implemented, an extension of the exercise should be considered.
[Must] The CG prepare an initial draft of the Remediation Plan, using the CBEST Remediation Plan Template (CBEST (2024j)) provided by the regulator
[Must] The CG should review and draw upon the evidence, observation and technical findings, as well as the recommendations and remediation proposed by the TISP and PTSP in the Targeting Report, the Threat Intelligence Report and the final Penetration Test Report, respectively
[Must] The draft Remediation Plan should also consider improvement actions in the weakest areas identified in the TIMA and the D&amp;R assessment reports
[Must] The CG and the regulator meet to review the outcome of the assessment and the Remediation Plan prepared by the CG
[Must] The final Remediation Plan should capture the risk and impact assessments completed by the firm/FMI with regards to the technical findings from all CBEST phases and how these translate to business risk and the IBSs
[Must] The final Remediation Plan should cover the governance around the Remediation Plan, input from the Board, senior management, risk owners and risk management functions, and the technical activities agreed with technical leaders and subject matter experts both for tactical and strategic remediation
[Must] The findings and lessons learned from CBEST should be used to inform read-across assessments for areas not in scope of CBEST</t>
        </is>
      </c>
      <c r="O620" s="8" t="inlineStr">
        <is>
          <t>CBEST is a targeted assessment that allows regulators and firms to better understand weaknesses and vulnerabilities and take remedial actions, thereby improving the resilience of systemically important firms and by extension, the wider financial system.</t>
        </is>
      </c>
    </row>
    <row r="621">
      <c r="A621" t="inlineStr">
        <is>
          <t>United Kingdom</t>
        </is>
      </c>
      <c r="B621" t="inlineStr">
        <is>
          <t>computer misuse act (United Kingdom - Row 2)</t>
        </is>
      </c>
      <c r="C621" t="inlineStr">
        <is>
          <t>13</t>
        </is>
      </c>
      <c r="D621" s="8" t="inlineStr">
        <is>
          <t>Proceedings in Scotland.</t>
        </is>
      </c>
      <c r="E621" t="inlineStr">
        <is>
          <t>13–14</t>
        </is>
      </c>
      <c r="F621" t="inlineStr">
        <is>
          <t>Other</t>
        </is>
      </c>
      <c r="G621" t="inlineStr">
        <is>
          <t>Low</t>
        </is>
      </c>
      <c r="H621" t="inlineStr">
        <is>
          <t>High (explicit)</t>
        </is>
      </c>
      <c r="I621" s="8" t="inlineStr">
        <is>
          <t>Cross-border Transfer</t>
        </is>
      </c>
      <c r="J621" s="8" t="inlineStr">
        <is>
          <t>Personal Information</t>
        </is>
      </c>
      <c r="K621" t="inlineStr">
        <is>
          <t>Sheriff</t>
        </is>
      </c>
      <c r="L621" s="8" t="inlineStr">
        <is>
          <t>A sheriff in Scotland may exercise jurisdiction over computer misuse offences if the accused was within the sheriffdom at the time of the unauthorized computer activity or if the computer containing the unauthorized program or data was within the sheriffdom at that time. This applies to offences under sections 1, 2, 3, 3ZA, and 3A. The jurisdictional conditions also extend to cases where the accused is acquitted of an offence but could have been found guilty under section 1, and the offence may be prosecuted in a sheriff court district in Scotland where the person is apprehended or in custody, or as directed by the Lord Advocate.</t>
        </is>
      </c>
      <c r="M621" s="8" t="inlineStr">
        <is>
          <t>This section establishes jurisdictional conditions for computer misuse offences in Scotland, relevant to cross-border data processing where the computer activity occurs outside the jurisdiction but the accused is within Scotland. It affects DTIA by defining when Scottish courts can exercise jurisdiction over offences involving unauthorized computer access.</t>
        </is>
      </c>
      <c r="N621" s="8" t="inlineStr">
        <is>
          <t>[Must] A sheriff shall have jurisdiction in respect of an offence under section 1 or 2 if the accused was in the sheriffdom at the time when he did the act which caused the computer to perform the function
[Must] A sheriff shall have jurisdiction in respect of an offence under section 1 or 2 if any computer containing any program or data to which the accused by doing that act secured or intended to secure unauthorized access was in the sheriffdom at that time
[Must] A sheriff shall have jurisdiction in respect of an offence under section 3 if the accused was in the sheriffdom at the time when he did the unauthorized act (or caused it to be done)
[Must] A sheriff shall have jurisdiction in respect of an offence under section 3 if the unauthorized act was done in relation to a computer in the sheriffdom
[Must] A sheriff shall have jurisdiction in respect of an offence under section 3ZA if the accused was in the sheriffdom at the time when he did the unauthorized act (or caused it to be done)
[Must] A sheriff shall have jurisdiction in respect of an offence under section 3ZA if the computer in relation to which the unauthorized act was done was in the sheriffdom at that time
[Must] A sheriff shall have jurisdiction in respect of an offence under section 3A if the accused was in the sheriffdom at the time when he made, adapted, supplied or offered to supply the article intending it to be used as mentioned in subsection (1) of that section
[Must] A sheriff shall have jurisdiction in respect of an offence under section 3A if the accused was in the sheriffdom at the time when he supplied or offered to supply the article believing that it would be used as mentioned in subsection (2) of that section
[Must] A sheriff shall have jurisdiction in respect of an offence under section 3A if the accused was in the sheriffdom at the time when he obtained the article intending to use it, or with a view to its being supplied for use
[Must] A sheriff shall have jurisdiction in respect of an offence under section 3A if any computer as mentioned in subsection (1)(b), (2)(b) or (2A)(b) of this section was in the sheriffdom at the time the accused carried out the act constituting the offence under section 3A
[Must] Where an offence under section 1, 3, 3ZA or 3A is committed outside Scotland, the person committing the offence may be prosecuted, tried and punished for the offence in any sheriff court district in Scotland in which the person is apprehended or is in custody
[Must] Where an offence under section 1, 3, 3ZA or 3A is committed outside Scotland, the person committing the offence may be prosecuted, tried and punished for the offence in such sheriff court district as the Lord Advocate may direct
[Must] Where an offence under section 1, 3, 3ZA or 3A is committed outside Scotland, the offence is deemed to have been committed in that district for all purposes incidental to or consequential on the trial or punishment</t>
        </is>
      </c>
      <c r="O621" s="8" t="inlineStr">
        <is>
          <t>A sheriff shall have jurisdiction in respect of an offence under section 1 or 2 if the accused was in the sheriffdom at the time when he did the act which caused the computer to perform the function or any computer containing any program or data to which the accused by doing that act secured or intended to secure unauthorised access was in the sheriffdom at that time.</t>
        </is>
      </c>
    </row>
    <row r="622">
      <c r="A622" t="inlineStr">
        <is>
          <t>United Kingdom</t>
        </is>
      </c>
      <c r="B622" t="inlineStr">
        <is>
          <t>computer misuse act (United Kingdom - Row 2)</t>
        </is>
      </c>
      <c r="C622" t="inlineStr">
        <is>
          <t>17</t>
        </is>
      </c>
      <c r="D622" s="8" t="inlineStr">
        <is>
          <t>Interpretation.</t>
        </is>
      </c>
      <c r="E622" t="inlineStr">
        <is>
          <t>17–19</t>
        </is>
      </c>
      <c r="F622" t="inlineStr">
        <is>
          <t>Other</t>
        </is>
      </c>
      <c r="G622" t="inlineStr">
        <is>
          <t>Low</t>
        </is>
      </c>
      <c r="H622" t="inlineStr">
        <is>
          <t>High (explicit)</t>
        </is>
      </c>
      <c r="I622" s="8" t="inlineStr">
        <is>
          <t>Security, Access Control</t>
        </is>
      </c>
      <c r="J622" s="8" t="inlineStr">
        <is>
          <t>Personal Information</t>
        </is>
      </c>
      <c r="K622" t="inlineStr"/>
      <c r="L622" s="8" t="inlineStr">
        <is>
          <t>This section defines key terms for interpreting the Computer Misuse Act, including how a person secures access to computer programs or data, what constitutes using a program, how output is defined, what constitutes unauthorized access, and the scope of references to computers and programs. It clarifies that unauthorized access occurs when a person is not entitled to control access or lacks consent from someone entitled to control access.</t>
        </is>
      </c>
      <c r="M622" s="8" t="inlineStr">
        <is>
          <t>This section provides critical definitions for unauthorized computer access, which is essential for DTIA as it clarifies when data transfers or processing activities constitute unauthorized access across jurisdictions, impacting cross-border data handling compliance.</t>
        </is>
      </c>
      <c r="N622" s="8" t="inlineStr">
        <is>
          <t>[Must] A person secures access to any program or data held in a computer if by causing a computer to perform any function he alters or erases the program or data
[Must] A person secures access to any program or data held in a computer if by causing a computer to perform any function he copies or moves it to any storage medium other than that in which it is held
[Must] A person secures access to any program or data held in a computer if by causing a computer to perform any function he uses it
[Must] A person secures access to any program or data held in a computer if by causing a computer to perform any function he has it output from the computer in which it is held
[Must] For the purposes of subsection (2)(c) a person uses a program if the function he causes the computer to perform causes the program to be executed
[Must] For the purposes of subsection (2)(c) a person uses a program if the function he causes the computer to perform is itself a function of the program
[Must] Access of any kind by any person to any program or data held in a computer is unauthorized if he is not himself entitled to control access of the kind in question to the program or data
[Must] Access of any kind by any person to any program or data held in a computer is unauthorized if he does not have consent to access by him of the kind in question to the program or data from any person who is so entitled</t>
        </is>
      </c>
      <c r="O622" s="8" t="inlineStr">
        <is>
          <t>A person secures access to any program or data held in a computer if by causing a computer to perform any function he alters or erases the program or data, copies or moves it to any storage medium other than that in which it is held, uses it, or has it output from the computer in which it is held.</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53"/>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12" customWidth="1" min="3" max="3"/>
    <col width="60" customWidth="1" min="4" max="4"/>
    <col width="60" customWidth="1" min="5" max="5"/>
    <col width="21" customWidth="1" min="6" max="6"/>
  </cols>
  <sheetData>
    <row r="1">
      <c r="A1" s="9" t="inlineStr">
        <is>
          <t>Country</t>
        </is>
      </c>
      <c r="B1" s="9" t="inlineStr">
        <is>
          <t>Act</t>
        </is>
      </c>
      <c r="C1" s="9" t="inlineStr">
        <is>
          <t>Sections</t>
        </is>
      </c>
      <c r="D1" s="9" t="inlineStr">
        <is>
          <t>Regulators</t>
        </is>
      </c>
      <c r="E1" s="9" t="inlineStr">
        <is>
          <t>Topics</t>
        </is>
      </c>
      <c r="F1" s="9" t="inlineStr">
        <is>
          <t>Financial Relevance</t>
        </is>
      </c>
    </row>
    <row r="2">
      <c r="A2" t="inlineStr">
        <is>
          <t>Australia</t>
        </is>
      </c>
      <c r="B2" t="inlineStr">
        <is>
          <t>C2004A01182 (Australia - Row 25)</t>
        </is>
      </c>
      <c r="C2" t="n">
        <v>1</v>
      </c>
      <c r="D2" t="inlineStr">
        <is>
          <t>Commonwealth Minister</t>
        </is>
      </c>
      <c r="E2" t="inlineStr"/>
      <c r="F2" t="inlineStr"/>
    </row>
    <row r="3">
      <c r="A3" t="inlineStr">
        <is>
          <t>Australia</t>
        </is>
      </c>
      <c r="B3" t="inlineStr">
        <is>
          <t>C2004C01271-1 (Australia - Row 7)</t>
        </is>
      </c>
      <c r="C3" t="n">
        <v>1</v>
      </c>
      <c r="D3" t="inlineStr">
        <is>
          <t>Arts Minister, Commissioner</t>
        </is>
      </c>
      <c r="E3" t="inlineStr"/>
      <c r="F3" t="inlineStr"/>
    </row>
    <row r="4">
      <c r="A4" t="inlineStr">
        <is>
          <t>Australia</t>
        </is>
      </c>
      <c r="B4" t="inlineStr">
        <is>
          <t>C2012C00866 (Australia - Row 12)</t>
        </is>
      </c>
      <c r="C4" t="n">
        <v>4</v>
      </c>
      <c r="D4" t="inlineStr">
        <is>
          <t>Commonwealth, Information Commissioner</t>
        </is>
      </c>
      <c r="E4" t="inlineStr">
        <is>
          <t>Breach Notification, Cross-border Transfer, Data Sharing, Data Storage, Governance, Incident Reporting, International Processing, Record Keeping, Security, Third Party Processing</t>
        </is>
      </c>
      <c r="F4" t="inlineStr">
        <is>
          <t>Medium</t>
        </is>
      </c>
    </row>
    <row r="5">
      <c r="A5" t="inlineStr">
        <is>
          <t>Australia</t>
        </is>
      </c>
      <c r="B5" t="inlineStr">
        <is>
          <t>C2026C00243VOL01 (Australia - Row 14)</t>
        </is>
      </c>
      <c r="C5" t="n">
        <v>1</v>
      </c>
      <c r="D5" t="inlineStr">
        <is>
          <t>Attorney-General</t>
        </is>
      </c>
      <c r="E5" t="inlineStr">
        <is>
          <t>Breach Notification, Cross-border Transfer, Data Storage, Governance, Incident Reporting, International Processing, Record Keeping, Security</t>
        </is>
      </c>
      <c r="F5" t="inlineStr">
        <is>
          <t>Medium</t>
        </is>
      </c>
    </row>
    <row r="6">
      <c r="A6" t="inlineStr">
        <is>
          <t>Australia</t>
        </is>
      </c>
      <c r="B6" t="inlineStr">
        <is>
          <t>Essential Eight explained (November 2023) (Australia - Row 11)</t>
        </is>
      </c>
      <c r="C6" t="n">
        <v>3</v>
      </c>
      <c r="D6" t="inlineStr">
        <is>
          <t>Australian Signals Directorate (ASD)</t>
        </is>
      </c>
      <c r="E6" t="inlineStr">
        <is>
          <t>Processing, Security</t>
        </is>
      </c>
      <c r="F6" t="inlineStr"/>
    </row>
    <row r="7">
      <c r="A7" t="inlineStr">
        <is>
          <t>GDPR</t>
        </is>
      </c>
      <c r="B7" t="inlineStr">
        <is>
          <t>CELEX_32002L0058_EN_TXT (GDPR Row 7)</t>
        </is>
      </c>
      <c r="C7" t="n">
        <v>20</v>
      </c>
      <c r="D7" t="inlineStr"/>
      <c r="E7" t="inlineStr">
        <is>
          <t>Consent, Data Residency, Data Sharing, Data Storage, Security</t>
        </is>
      </c>
      <c r="F7" t="inlineStr">
        <is>
          <t>Low</t>
        </is>
      </c>
    </row>
    <row r="8">
      <c r="A8" t="inlineStr">
        <is>
          <t>GDPR</t>
        </is>
      </c>
      <c r="B8" t="inlineStr">
        <is>
          <t>CELEX_32018L1673_EN_TXT (GDPR - Row 2)</t>
        </is>
      </c>
      <c r="C8" t="n">
        <v>20</v>
      </c>
      <c r="D8" t="inlineStr"/>
      <c r="E8" t="inlineStr">
        <is>
          <t>Governance, Record Keeping</t>
        </is>
      </c>
      <c r="F8" t="inlineStr">
        <is>
          <t>Medium</t>
        </is>
      </c>
    </row>
    <row r="9">
      <c r="A9" t="inlineStr">
        <is>
          <t>GDPR</t>
        </is>
      </c>
      <c r="B9" t="inlineStr">
        <is>
          <t>CELEX_52023PC0360_EN_TXT (GDPR - Row 13)</t>
        </is>
      </c>
      <c r="C9" t="n">
        <v>89</v>
      </c>
      <c r="D9" t="inlineStr">
        <is>
          <t>Competent authority, European Commission</t>
        </is>
      </c>
      <c r="E9" t="inlineStr">
        <is>
          <t>Breach Notification, Cross-border Transfer, Customer Information, Data Sharing, Data Storage, Financial Data, Governance, International Processing, Record Keeping, Security</t>
        </is>
      </c>
      <c r="F9" t="inlineStr">
        <is>
          <t>High</t>
        </is>
      </c>
    </row>
    <row r="10">
      <c r="A10" t="inlineStr">
        <is>
          <t>GDPR</t>
        </is>
      </c>
      <c r="B10" t="inlineStr">
        <is>
          <t>esma_cloud_guidelines (GDPR - Row 8)</t>
        </is>
      </c>
      <c r="C10" t="n">
        <v>45</v>
      </c>
      <c r="D10" t="inlineStr">
        <is>
          <t>Competent Authority, Competent authorities</t>
        </is>
      </c>
      <c r="E10" t="inlineStr">
        <is>
          <t>Access Control, Breach Notification, Cloud Services, Cross-border Transfer, Data Residency, Data Storage, Governance, Incident Reporting, International Processing, Outsourcing, Record Keeping, Security, Third Party Processing</t>
        </is>
      </c>
      <c r="F10" t="inlineStr">
        <is>
          <t>High</t>
        </is>
      </c>
    </row>
    <row r="11">
      <c r="A11" t="inlineStr">
        <is>
          <t>GDPR</t>
        </is>
      </c>
      <c r="B11" t="inlineStr">
        <is>
          <t>Final report on amending GLs on ICT risk and security (GDPR - Row 4)</t>
        </is>
      </c>
      <c r="C11" t="n">
        <v>19</v>
      </c>
      <c r="D11" t="inlineStr"/>
      <c r="E11" t="inlineStr">
        <is>
          <t>Incident Reporting, Security, Third Party Processing</t>
        </is>
      </c>
      <c r="F11" t="inlineStr">
        <is>
          <t>High</t>
        </is>
      </c>
    </row>
    <row r="12">
      <c r="A12" t="inlineStr">
        <is>
          <t>India</t>
        </is>
      </c>
      <c r="B12" t="inlineStr">
        <is>
          <t>Guidelines on Information and Cyber Security (India - Row 8)</t>
        </is>
      </c>
      <c r="C12" t="n">
        <v>2</v>
      </c>
      <c r="D12" t="inlineStr">
        <is>
          <t>IRDAI</t>
        </is>
      </c>
      <c r="E12" t="inlineStr"/>
      <c r="F12" t="inlineStr">
        <is>
          <t>Medium</t>
        </is>
      </c>
    </row>
    <row r="13">
      <c r="A13" t="inlineStr">
        <is>
          <t>India</t>
        </is>
      </c>
      <c r="B13" t="inlineStr">
        <is>
          <t>guidelines-on-cyber-security-and-cyber-resilience-for-regulated-entities-in-ifscs-1-10032025064412 (India - Row 5)</t>
        </is>
      </c>
      <c r="C13" t="n">
        <v>21</v>
      </c>
      <c r="D13" t="inlineStr">
        <is>
          <t>IFSCA</t>
        </is>
      </c>
      <c r="E13" t="inlineStr">
        <is>
          <t>Access Control, Breach Notification, Cross-border Transfer, Data Storage, Governance, Incident Reporting, Record Keeping, Security, Third Party Processing</t>
        </is>
      </c>
      <c r="F13" t="inlineStr">
        <is>
          <t>High</t>
        </is>
      </c>
    </row>
    <row r="14">
      <c r="A14" t="inlineStr">
        <is>
          <t>India</t>
        </is>
      </c>
      <c r="B14" t="inlineStr">
        <is>
          <t>NT75589AC4A988D446CA94182886F6D8EADD (India - Row 13) PROVISIONALLY</t>
        </is>
      </c>
      <c r="C14" t="n">
        <v>1</v>
      </c>
      <c r="D14" t="inlineStr">
        <is>
          <t>Reserve Bank of India</t>
        </is>
      </c>
      <c r="E14" t="inlineStr"/>
      <c r="F14" t="inlineStr"/>
    </row>
    <row r="15">
      <c r="A15" t="inlineStr">
        <is>
          <t>India</t>
        </is>
      </c>
      <c r="B15" t="inlineStr">
        <is>
          <t>RBI Master Direction on Information Technology Framework for NBFC Sector (2017) (India - Row 15)</t>
        </is>
      </c>
      <c r="C15" t="n">
        <v>2</v>
      </c>
      <c r="D15" t="inlineStr">
        <is>
          <t>RBI</t>
        </is>
      </c>
      <c r="E15" t="inlineStr">
        <is>
          <t>AML, Customer Information, KYC</t>
        </is>
      </c>
      <c r="F15" t="inlineStr">
        <is>
          <t>High</t>
        </is>
      </c>
    </row>
    <row r="16">
      <c r="A16" t="inlineStr">
        <is>
          <t>India</t>
        </is>
      </c>
      <c r="B16" t="inlineStr">
        <is>
          <t>RBI Payment Data Localisation Requirement (India - Row 17)</t>
        </is>
      </c>
      <c r="C16" t="n">
        <v>2</v>
      </c>
      <c r="D16" t="inlineStr">
        <is>
          <t>Reserve Bank of India</t>
        </is>
      </c>
      <c r="E16" t="inlineStr">
        <is>
          <t>Cross-border Transfer, Data Storage</t>
        </is>
      </c>
      <c r="F16" t="inlineStr">
        <is>
          <t>High</t>
        </is>
      </c>
    </row>
    <row r="17">
      <c r="A17" t="inlineStr">
        <is>
          <t>Kenya</t>
        </is>
      </c>
      <c r="B17" t="inlineStr">
        <is>
          <t>Capital Markets Act</t>
        </is>
      </c>
      <c r="C17" t="n">
        <v>33</v>
      </c>
      <c r="D17" t="inlineStr">
        <is>
          <t>Authority, Cabinet Secretary, Capital Markets Authority, Capital Markets Tribunal</t>
        </is>
      </c>
      <c r="E17" t="inlineStr">
        <is>
          <t>AML, Access Control, Breach Notification, Children, Cloud Services, Collection, Consent, Cross-border Transfer, Customer Information, Data Sharing, Data Storage, Deletion, Employee Information, Encryption, Financial Data, Governance, Incident Reporting, International Processing, KYC, Outsourcing, Processing, Record Keeping, Retention, Security, Special Personal Information, Third Party Processing</t>
        </is>
      </c>
      <c r="F17" t="inlineStr">
        <is>
          <t>High</t>
        </is>
      </c>
    </row>
    <row r="18">
      <c r="A18" t="inlineStr">
        <is>
          <t>Kenya</t>
        </is>
      </c>
      <c r="B18" t="inlineStr">
        <is>
          <t>GUIDANCE-NOTE-ON-CYBERSECURITY-FOR-THE-BANKING-SECTOR</t>
        </is>
      </c>
      <c r="C18" t="n">
        <v>2</v>
      </c>
      <c r="D18" t="inlineStr">
        <is>
          <t>Central Bank of Kenya (CBK)</t>
        </is>
      </c>
      <c r="E18" t="inlineStr">
        <is>
          <t>Breach Notification, Governance, Incident Reporting, Security, Third Party Processing</t>
        </is>
      </c>
      <c r="F18" t="inlineStr">
        <is>
          <t>High</t>
        </is>
      </c>
    </row>
    <row r="19">
      <c r="A19" t="inlineStr">
        <is>
          <t>Kenya</t>
        </is>
      </c>
      <c r="B19" t="inlineStr">
        <is>
          <t>GuidelinesonCybersecurityforPSPs (Kenya - Row19)</t>
        </is>
      </c>
      <c r="C19" t="n">
        <v>3</v>
      </c>
      <c r="D19" t="inlineStr">
        <is>
          <t>CBK, Central Bank of Kenya (CBK)</t>
        </is>
      </c>
      <c r="E19" t="inlineStr">
        <is>
          <t>Access Control, Breach Notification, Cloud Services, Governance, Incident Reporting, Outsourcing, Security</t>
        </is>
      </c>
      <c r="F19" t="inlineStr">
        <is>
          <t>High</t>
        </is>
      </c>
    </row>
    <row r="20">
      <c r="A20" t="inlineStr">
        <is>
          <t>Kenya</t>
        </is>
      </c>
      <c r="B20" t="inlineStr">
        <is>
          <t>THE-DATA-PROTECTION-COMPLAINTS-HANDLING-AND-ENFORCEMENT (Kenya - Row 15)</t>
        </is>
      </c>
      <c r="C20" t="n">
        <v>21</v>
      </c>
      <c r="D20" t="inlineStr">
        <is>
          <t>Data Commissioner, High Court</t>
        </is>
      </c>
      <c r="E20" t="inlineStr"/>
      <c r="F20" t="inlineStr">
        <is>
          <t>High</t>
        </is>
      </c>
    </row>
    <row r="21">
      <c r="A21" t="inlineStr">
        <is>
          <t>Kenya</t>
        </is>
      </c>
      <c r="B21" t="inlineStr">
        <is>
          <t>THE-DATA-PROTECTION-REGISTRATION-OF-DATA-CONTROLLERS-AND-DATA-PROCESSORS-REGULATIONS-2021 (Kenya = row17)</t>
        </is>
      </c>
      <c r="C21" t="n">
        <v>17</v>
      </c>
      <c r="D21" t="inlineStr">
        <is>
          <t>Data Commissioner</t>
        </is>
      </c>
      <c r="E21" t="inlineStr">
        <is>
          <t>Data Storage, Special Personal Information</t>
        </is>
      </c>
      <c r="F21" t="inlineStr">
        <is>
          <t>High</t>
        </is>
      </c>
    </row>
    <row r="22">
      <c r="A22" t="inlineStr">
        <is>
          <t>Mauritius</t>
        </is>
      </c>
      <c r="B22" t="inlineStr">
        <is>
          <t>code-of-business-conduct_final (Mauritius - Row 14)</t>
        </is>
      </c>
      <c r="C22" t="n">
        <v>4</v>
      </c>
      <c r="D22" t="inlineStr">
        <is>
          <t>Financial Services Commission (FSC)</t>
        </is>
      </c>
      <c r="E22" t="inlineStr"/>
      <c r="F22" t="inlineStr">
        <is>
          <t>High</t>
        </is>
      </c>
    </row>
    <row r="23">
      <c r="A23" t="inlineStr">
        <is>
          <t>Mauritius</t>
        </is>
      </c>
      <c r="B23" t="inlineStr">
        <is>
          <t>code-of-business-conduct_final (Mauritius - Row 18)</t>
        </is>
      </c>
      <c r="C23" t="n">
        <v>4</v>
      </c>
      <c r="D23" t="inlineStr">
        <is>
          <t>Financial Services Commission (FSC)</t>
        </is>
      </c>
      <c r="E23" t="inlineStr">
        <is>
          <t>Customer Information, Governance, Record Keeping</t>
        </is>
      </c>
      <c r="F23" t="inlineStr">
        <is>
          <t>High</t>
        </is>
      </c>
    </row>
    <row r="24">
      <c r="A24" t="inlineStr">
        <is>
          <t>Mauritius</t>
        </is>
      </c>
      <c r="B24" t="inlineStr">
        <is>
          <t>guidelines_on_outsourcing_by_financial_institutions (Mauritius - Row 3)</t>
        </is>
      </c>
      <c r="C24" t="n">
        <v>4</v>
      </c>
      <c r="D24" t="inlineStr">
        <is>
          <t>Bank of Mauritius</t>
        </is>
      </c>
      <c r="E24" t="inlineStr">
        <is>
          <t>Cross-border Transfer, Outsourcing, Security</t>
        </is>
      </c>
      <c r="F24" t="inlineStr">
        <is>
          <t>High</t>
        </is>
      </c>
    </row>
    <row r="25">
      <c r="A25" t="inlineStr">
        <is>
          <t>Mauritius</t>
        </is>
      </c>
      <c r="B25" t="inlineStr">
        <is>
          <t>Mauritius_Emerging_Technologies_Council_Act_2021 (Mauritius - Row 24)</t>
        </is>
      </c>
      <c r="C25" t="n">
        <v>5</v>
      </c>
      <c r="D25" t="inlineStr"/>
      <c r="E25" t="inlineStr">
        <is>
          <t>Governance, Record Keeping</t>
        </is>
      </c>
      <c r="F25" t="inlineStr"/>
    </row>
    <row r="26">
      <c r="A26" t="inlineStr">
        <is>
          <t>Mauritius</t>
        </is>
      </c>
      <c r="B26" t="inlineStr">
        <is>
          <t>National-Identity-Card-Act-Consolidated- (Mauritius - Row 23)</t>
        </is>
      </c>
      <c r="C26" t="n">
        <v>6</v>
      </c>
      <c r="D26" t="inlineStr"/>
      <c r="E26" t="inlineStr">
        <is>
          <t>Data Storage</t>
        </is>
      </c>
      <c r="F26" t="inlineStr"/>
    </row>
    <row r="27">
      <c r="A27" t="inlineStr">
        <is>
          <t>Nigeria</t>
        </is>
      </c>
      <c r="B27" t="inlineStr">
        <is>
          <t>circular on the regulatory framework on open banking in nigeria (Nigeria - Row 8)</t>
        </is>
      </c>
      <c r="C27" t="n">
        <v>1</v>
      </c>
      <c r="D27" t="inlineStr">
        <is>
          <t>Central Bank of Nigeria</t>
        </is>
      </c>
      <c r="E27" t="inlineStr">
        <is>
          <t>AML, Breach Notification, Cloud Services, Consent, Cross-border Transfer, Customer Information, Data Sharing, Data Storage, Financial Data, Governance, Incident Reporting, International Processing, KYC, Record Keeping, Security, Third Party Processing</t>
        </is>
      </c>
      <c r="F27" t="inlineStr">
        <is>
          <t>High</t>
        </is>
      </c>
    </row>
    <row r="28">
      <c r="A28" t="inlineStr">
        <is>
          <t>Nigeria</t>
        </is>
      </c>
      <c r="B28" t="inlineStr">
        <is>
          <t>NCCPolicy_New1 (Nigeria - Row 21)</t>
        </is>
      </c>
      <c r="C28" t="n">
        <v>2</v>
      </c>
      <c r="D28" t="inlineStr">
        <is>
          <t>NITDA</t>
        </is>
      </c>
      <c r="E28" t="inlineStr">
        <is>
          <t>Cloud Services, Data Storage, Financial Data, Governance, Security</t>
        </is>
      </c>
      <c r="F28" t="inlineStr">
        <is>
          <t>High</t>
        </is>
      </c>
    </row>
    <row r="29">
      <c r="A29" t="inlineStr">
        <is>
          <t>Nigeria</t>
        </is>
      </c>
      <c r="B29" t="inlineStr">
        <is>
          <t>NCCPolicy_New1 (Nigeria - Row 23)</t>
        </is>
      </c>
      <c r="C29" t="n">
        <v>2</v>
      </c>
      <c r="D29" t="inlineStr">
        <is>
          <t>NITDA</t>
        </is>
      </c>
      <c r="E29" t="inlineStr">
        <is>
          <t>Cloud Services, Data Storage, Governance, Security</t>
        </is>
      </c>
      <c r="F29" t="inlineStr">
        <is>
          <t>High</t>
        </is>
      </c>
    </row>
    <row r="30">
      <c r="A30" t="inlineStr">
        <is>
          <t>Nigeria</t>
        </is>
      </c>
      <c r="B30" t="inlineStr">
        <is>
          <t>Operational Guidelines for Open Banking in Nigeria (Nigeria - Row 9)</t>
        </is>
      </c>
      <c r="C30" t="n">
        <v>2</v>
      </c>
      <c r="D30" t="inlineStr">
        <is>
          <t>Central Bank of Nigeria</t>
        </is>
      </c>
      <c r="E30" t="inlineStr">
        <is>
          <t>AML, Access Control, Breach Notification, Children, Cloud Services, Collection, Consent, Cross-border Transfer, Customer Information, Data Sharing, Data Storage, Deletion, Employee Information, Encryption, Financial Data, Governance, Incident Reporting, International Processing, KYC, Outsourcing, Processing, Record Keeping, Retention, Security, Special Personal Information, Third Party Processing</t>
        </is>
      </c>
      <c r="F30" t="inlineStr">
        <is>
          <t>High</t>
        </is>
      </c>
    </row>
    <row r="31">
      <c r="A31" t="inlineStr">
        <is>
          <t>Nigeria</t>
        </is>
      </c>
      <c r="B31" t="inlineStr">
        <is>
          <t>REVISED REGULATORY FRAMEWORK FOR BANK VERIFICATION NUMBER (BVN) OPERATIONS AND WATCH-LIST FOR THE NIGERIAN BANKING INDUSTRY 121021 FINAL (Nigeria - Row 11)</t>
        </is>
      </c>
      <c r="C31" t="n">
        <v>1</v>
      </c>
      <c r="D31" t="inlineStr">
        <is>
          <t>Central Bank of Nigeria (CBN)</t>
        </is>
      </c>
      <c r="E31" t="inlineStr">
        <is>
          <t>Access Control, Breach Notification, Cross-border Transfer, Data Residency, Data Sharing, Data Storage, Governance, Incident Reporting, Security</t>
        </is>
      </c>
      <c r="F31" t="inlineStr">
        <is>
          <t>High</t>
        </is>
      </c>
    </row>
    <row r="32">
      <c r="A32" t="inlineStr">
        <is>
          <t>Singapore</t>
        </is>
      </c>
      <c r="B32" t="inlineStr">
        <is>
          <t>A Comprehensive Guide to the Law of Confidence and Breach of Confidence in Singapore_ Insights from [2024] SGCA 16 - IRB Law Singapore (Singapore - Row 33)</t>
        </is>
      </c>
      <c r="C32" t="n">
        <v>2</v>
      </c>
      <c r="D32" t="inlineStr"/>
      <c r="E32" t="inlineStr"/>
      <c r="F32" t="inlineStr"/>
    </row>
    <row r="33">
      <c r="A33" t="inlineStr">
        <is>
          <t>Singapore</t>
        </is>
      </c>
      <c r="B33" t="inlineStr">
        <is>
          <t>Cybersecurity (Provider-Owned Critical Information (Singapore - Row 5 &amp; 6)</t>
        </is>
      </c>
      <c r="C33" t="n">
        <v>2</v>
      </c>
      <c r="D33" t="inlineStr">
        <is>
          <t>Cybersecurity and Data Protection Agency (CSA)</t>
        </is>
      </c>
      <c r="E33" t="inlineStr">
        <is>
          <t>Breach Notification, Cross-border Transfer, Data Storage, Incident Reporting, International Processing, Security</t>
        </is>
      </c>
      <c r="F33" t="inlineStr">
        <is>
          <t>High</t>
        </is>
      </c>
    </row>
    <row r="34">
      <c r="A34" t="inlineStr">
        <is>
          <t>Singapore</t>
        </is>
      </c>
      <c r="B34" t="inlineStr">
        <is>
          <t>ID18_24 (Singapore - Row 12)</t>
        </is>
      </c>
      <c r="C34" t="n">
        <v>1</v>
      </c>
      <c r="D34" t="inlineStr">
        <is>
          <t>Monetary Authority of Singapore (MAS)</t>
        </is>
      </c>
      <c r="E34" t="inlineStr">
        <is>
          <t>Cross-border Transfer, Governance</t>
        </is>
      </c>
      <c r="F34" t="inlineStr">
        <is>
          <t>High</t>
        </is>
      </c>
    </row>
    <row r="35">
      <c r="A35" t="inlineStr">
        <is>
          <t>Singapore</t>
        </is>
      </c>
      <c r="B35" t="inlineStr">
        <is>
          <t>ID18_24-2 (Singapore - Row 21)</t>
        </is>
      </c>
      <c r="C35" t="n">
        <v>1</v>
      </c>
      <c r="D35" t="inlineStr">
        <is>
          <t>Monetary Authority of Singapore (MAS)</t>
        </is>
      </c>
      <c r="E35" t="inlineStr">
        <is>
          <t>Governance, Record Keeping</t>
        </is>
      </c>
      <c r="F35" t="inlineStr">
        <is>
          <t>Medium</t>
        </is>
      </c>
    </row>
    <row r="36">
      <c r="A36" t="inlineStr">
        <is>
          <t>Singapore</t>
        </is>
      </c>
      <c r="B36" t="inlineStr">
        <is>
          <t>MAS Notices 644 655 644A 655A 1114 1118 Cancellation 2024 (Singapore - Row 18)</t>
        </is>
      </c>
      <c r="C36" t="n">
        <v>2</v>
      </c>
      <c r="D36" t="inlineStr">
        <is>
          <t>MAS</t>
        </is>
      </c>
      <c r="E36" t="inlineStr"/>
      <c r="F36" t="inlineStr">
        <is>
          <t>High</t>
        </is>
      </c>
    </row>
    <row r="37">
      <c r="A37" t="inlineStr">
        <is>
          <t>South Africa</t>
        </is>
      </c>
      <c r="B37" t="inlineStr">
        <is>
          <t>1. FSCA Conduct Standard 1 of 2025 - Requirements for FIs providing FE initiatives</t>
        </is>
      </c>
      <c r="C37" t="n">
        <v>5</v>
      </c>
      <c r="D37" t="inlineStr">
        <is>
          <t>Financial Sector Conduct Authority</t>
        </is>
      </c>
      <c r="E37" t="inlineStr">
        <is>
          <t>Breach Notification, Cross-border Transfer, Data Sharing, Data Storage, Governance, Incident Reporting, International Processing, Record Keeping, Security</t>
        </is>
      </c>
      <c r="F37" t="inlineStr">
        <is>
          <t>High</t>
        </is>
      </c>
    </row>
    <row r="38">
      <c r="A38" t="inlineStr">
        <is>
          <t>South Africa</t>
        </is>
      </c>
      <c r="B38" t="inlineStr">
        <is>
          <t>2002-070</t>
        </is>
      </c>
      <c r="C38" t="n">
        <v>4</v>
      </c>
      <c r="D38" t="inlineStr">
        <is>
          <t>Authorised person, Law enforcement agencies, Parliament of the Republic of South Africa</t>
        </is>
      </c>
      <c r="E38" t="inlineStr">
        <is>
          <t>AML, Access Control, Breach Notification, Children, Cloud Services, Collection, Consent, Cross-border Transfer, Customer Information, Data Sharing, Data Storage, Deletion, Employee Information, Encryption, Financial Data, Governance, Incident Reporting, International Processing, KYC, Outsourcing, Processing, Record Keeping, Retention, Security, Special Personal Information, Third Party Processing</t>
        </is>
      </c>
      <c r="F38" t="inlineStr">
        <is>
          <t>High</t>
        </is>
      </c>
    </row>
    <row r="39">
      <c r="A39" t="inlineStr">
        <is>
          <t>South Africa</t>
        </is>
      </c>
      <c r="B39" t="inlineStr">
        <is>
          <t>2024 Open Finance_FSCA Position Paper</t>
        </is>
      </c>
      <c r="C39" t="n">
        <v>14</v>
      </c>
      <c r="D39" t="inlineStr">
        <is>
          <t>FSCA</t>
        </is>
      </c>
      <c r="E39" t="inlineStr">
        <is>
          <t>Consent, Cross-border Transfer, Data Sharing</t>
        </is>
      </c>
      <c r="F39" t="inlineStr">
        <is>
          <t>High</t>
        </is>
      </c>
    </row>
    <row r="40">
      <c r="A40" t="inlineStr">
        <is>
          <t>South Africa</t>
        </is>
      </c>
      <c r="B40" t="inlineStr">
        <is>
          <t>Conduct-Standard-3-of-2020-BANKS-Annexure-A</t>
        </is>
      </c>
      <c r="C40" t="n">
        <v>7</v>
      </c>
      <c r="D40" t="inlineStr">
        <is>
          <t>Financial Sector Conduct Authority, Financial Sector Conduct Authority (FSCA)</t>
        </is>
      </c>
      <c r="E40" t="inlineStr">
        <is>
          <t>Compliance, Customer Information, Fair treatment of financial customers, Governance, Internal Controls, Risk Management, Termination</t>
        </is>
      </c>
      <c r="F40" t="inlineStr">
        <is>
          <t>High</t>
        </is>
      </c>
    </row>
    <row r="41">
      <c r="A41" t="inlineStr">
        <is>
          <t>South Africa</t>
        </is>
      </c>
      <c r="B41" t="inlineStr">
        <is>
          <t>Directive in respect of cybersecurity and cyber-resilisnce within the national payment system</t>
        </is>
      </c>
      <c r="C41" t="n">
        <v>6</v>
      </c>
      <c r="D41" t="inlineStr">
        <is>
          <t>SARB, South African Reserve Bank</t>
        </is>
      </c>
      <c r="E41" t="inlineStr">
        <is>
          <t>Access Control, Breach Notification, Cloud Services, Cross-border Transfer, Data Storage, Incident Reporting, International Processing, Processing, Security, Third Party Processing</t>
        </is>
      </c>
      <c r="F41" t="inlineStr">
        <is>
          <t>High</t>
        </is>
      </c>
    </row>
    <row r="42">
      <c r="A42" t="inlineStr">
        <is>
          <t>South Africa</t>
        </is>
      </c>
      <c r="B42" t="inlineStr">
        <is>
          <t>FICA (Financial Intelligence Centre Act, 38 of 2001</t>
        </is>
      </c>
      <c r="C42" t="n">
        <v>77</v>
      </c>
      <c r="D42" t="inlineStr">
        <is>
          <t>Accountable institutions, Businesses and individuals, Centre, Courts, Financial Intelligence Centre, Financial Intelligence Centre (Centre), Judge, Minister, Police, President</t>
        </is>
      </c>
      <c r="E42" t="inlineStr">
        <is>
          <t>Breach Notification, Cloud Services, Data Sharing, Data Storage, Financial Data, Incident Reporting, Processing, Record Keeping, Retention</t>
        </is>
      </c>
      <c r="F42" t="inlineStr">
        <is>
          <t>High</t>
        </is>
      </c>
    </row>
    <row r="43">
      <c r="A43" t="inlineStr">
        <is>
          <t>South Africa</t>
        </is>
      </c>
      <c r="B43" t="inlineStr">
        <is>
          <t>Financial Advisory and Intermediary Services Act (FAIS) 37 of 2002</t>
        </is>
      </c>
      <c r="C43" t="n">
        <v>62</v>
      </c>
      <c r="D43" t="inlineStr">
        <is>
          <t>Auditor-General, Board, Court, Financial Services Board, Minister, Minister, Board, Registrar, Ombud for Financial Services Providers, Parliament, Registrar, authorised financial services provider, registrar</t>
        </is>
      </c>
      <c r="E43" t="inlineStr">
        <is>
          <t>Data Sharing, Financial Data, Record Keeping</t>
        </is>
      </c>
      <c r="F43" t="inlineStr">
        <is>
          <t>High</t>
        </is>
      </c>
    </row>
    <row r="44">
      <c r="A44" t="inlineStr">
        <is>
          <t>South Africa</t>
        </is>
      </c>
      <c r="B44" t="inlineStr">
        <is>
          <t>Joint Standard 1 of 2023 - IT Governance and Risk Management</t>
        </is>
      </c>
      <c r="C44" t="n">
        <v>14</v>
      </c>
      <c r="D44" t="inlineStr">
        <is>
          <t>Financial institutions</t>
        </is>
      </c>
      <c r="E44" t="inlineStr">
        <is>
          <t>Incident Reporting, Security</t>
        </is>
      </c>
      <c r="F44" t="inlineStr">
        <is>
          <t>High</t>
        </is>
      </c>
    </row>
    <row r="45">
      <c r="A45" t="inlineStr">
        <is>
          <t>South Africa</t>
        </is>
      </c>
      <c r="B45" t="inlineStr">
        <is>
          <t>Joint Standard 2 of 2024  Cybersecurity &amp; Cyber resilience Requirements</t>
        </is>
      </c>
      <c r="C45" t="n">
        <v>9</v>
      </c>
      <c r="D45" t="inlineStr">
        <is>
          <t>Authorities, Financial institutions</t>
        </is>
      </c>
      <c r="E45" t="inlineStr">
        <is>
          <t>Access Control, Application, Breach Notification, Cybersecurity strategy and framework, Definitions, Governance, Incident Reporting, Learning and Evolving, Least Privilege, Segregation of Duties, User Access Management</t>
        </is>
      </c>
      <c r="F45" t="inlineStr">
        <is>
          <t>High</t>
        </is>
      </c>
    </row>
    <row r="46">
      <c r="A46" t="inlineStr">
        <is>
          <t>South Africa</t>
        </is>
      </c>
      <c r="B46" t="inlineStr">
        <is>
          <t>PA Directive</t>
        </is>
      </c>
      <c r="C46" t="n">
        <v>3</v>
      </c>
      <c r="D46" t="inlineStr">
        <is>
          <t>Prudential Authority (PA)</t>
        </is>
      </c>
      <c r="E46" t="inlineStr">
        <is>
          <t>Cloud Services, Record Keeping</t>
        </is>
      </c>
      <c r="F46" t="inlineStr">
        <is>
          <t>High</t>
        </is>
      </c>
    </row>
    <row r="47">
      <c r="A47" t="inlineStr">
        <is>
          <t>South Africa</t>
        </is>
      </c>
      <c r="B47" t="inlineStr">
        <is>
          <t>pAYMENT ACT</t>
        </is>
      </c>
      <c r="C47" t="n">
        <v>1</v>
      </c>
      <c r="D47" t="inlineStr">
        <is>
          <t>Reserve Bank</t>
        </is>
      </c>
      <c r="E47" t="inlineStr">
        <is>
          <t>AML, Breach Notification, Children, Cloud Services, Consent, Cross-border Transfer, Customer Information, Data Storage, Employee Information, Financial Data, Governance, Incident Reporting, International Processing, KYC, Record Keeping, Security, Special Personal Information</t>
        </is>
      </c>
      <c r="F47" t="inlineStr">
        <is>
          <t>High</t>
        </is>
      </c>
    </row>
    <row r="48">
      <c r="A48" t="inlineStr">
        <is>
          <t>South Africa</t>
        </is>
      </c>
      <c r="B48" t="inlineStr">
        <is>
          <t>POPIA_Regulations_-_Dec_2018</t>
        </is>
      </c>
      <c r="C48" t="n">
        <v>56</v>
      </c>
      <c r="D48" t="inlineStr">
        <is>
          <t>Information Regulator, Information officer, Regulator, Responsible party</t>
        </is>
      </c>
      <c r="E48" t="inlineStr">
        <is>
          <t>Consent, Data Sharing, Data Storage, Governance, Incident Reporting, Record Keeping</t>
        </is>
      </c>
      <c r="F48" t="inlineStr">
        <is>
          <t>Low</t>
        </is>
      </c>
    </row>
    <row r="49">
      <c r="A49" t="inlineStr">
        <is>
          <t>South Africa</t>
        </is>
      </c>
      <c r="B49" t="inlineStr">
        <is>
          <t>South Africa National Cybersecurity Policy Framework (NCPF) 2015</t>
        </is>
      </c>
      <c r="C49" t="n">
        <v>11</v>
      </c>
      <c r="D49" t="inlineStr">
        <is>
          <t>Department of Telecommunications and Postal Services (DOC)</t>
        </is>
      </c>
      <c r="E49" t="inlineStr">
        <is>
          <t>AML, Access Control, Breach Notification, Children, Cloud Services, Collection, Consent, Cross-border Transfer, Customer Information, Data Residency, Data Sharing, Data Storage, Deletion, Employee Information, Encryption, Financial Data, Governance, Incident Reporting, International Processing, KYC, Outsourcing, Processing, Record Keeping, Retention, Security, Special Personal Information, Third Party Processing</t>
        </is>
      </c>
      <c r="F49" t="inlineStr">
        <is>
          <t>High</t>
        </is>
      </c>
    </row>
    <row r="50">
      <c r="A50" t="inlineStr">
        <is>
          <t>United Kingdom</t>
        </is>
      </c>
      <c r="B50" t="inlineStr">
        <is>
          <t>cbest-implementation-guide (United Kingdom - Row 30)</t>
        </is>
      </c>
      <c r="C50" t="n">
        <v>1</v>
      </c>
      <c r="D50" t="inlineStr">
        <is>
          <t>Prudential Regulation Authority (PRA)</t>
        </is>
      </c>
      <c r="E50" t="inlineStr">
        <is>
          <t>Breach Notification, Cloud Services, Cross-border Transfer, Data Sharing, Data Storage, Governance, Incident Reporting, International Processing, Record Keeping, Security, Third Party Processing</t>
        </is>
      </c>
      <c r="F50" t="inlineStr">
        <is>
          <t>High</t>
        </is>
      </c>
    </row>
    <row r="51">
      <c r="A51" t="inlineStr">
        <is>
          <t>United Kingdom</t>
        </is>
      </c>
      <c r="B51" t="inlineStr">
        <is>
          <t>computer misuse act (United Kingdom - Row 2)</t>
        </is>
      </c>
      <c r="C51" t="n">
        <v>2</v>
      </c>
      <c r="D51" t="inlineStr">
        <is>
          <t>Sheriff</t>
        </is>
      </c>
      <c r="E51" t="inlineStr">
        <is>
          <t>Access Control, Cross-border Transfer, Security</t>
        </is>
      </c>
      <c r="F51" t="inlineStr">
        <is>
          <t>Low</t>
        </is>
      </c>
    </row>
    <row r="52">
      <c r="A52" t="inlineStr">
        <is>
          <t>United Kingdom</t>
        </is>
      </c>
      <c r="B52" t="inlineStr">
        <is>
          <t>NIS Regulations 2018 (United Kingdom - Row 25)</t>
        </is>
      </c>
      <c r="C52" t="n">
        <v>2</v>
      </c>
      <c r="D52" t="inlineStr">
        <is>
          <t>Information Commissioner</t>
        </is>
      </c>
      <c r="E52" t="inlineStr">
        <is>
          <t>Access Control, Cross-border Transfer, Data Sharing, Data Storage, International Processing, Security</t>
        </is>
      </c>
      <c r="F52" t="inlineStr">
        <is>
          <t>High</t>
        </is>
      </c>
    </row>
    <row r="53">
      <c r="A53" t="inlineStr">
        <is>
          <t>United Kingdom</t>
        </is>
      </c>
      <c r="B53" t="inlineStr">
        <is>
          <t>Privacy and Electronic Communications Regulations (PECR) 2003 (United Kingdom - Row 18)</t>
        </is>
      </c>
      <c r="C53" t="n">
        <v>1</v>
      </c>
      <c r="D53" t="inlineStr">
        <is>
          <t>Regulation 10</t>
        </is>
      </c>
      <c r="E53" t="inlineStr">
        <is>
          <t>Cross-border Transfer, Data Sharing, Security</t>
        </is>
      </c>
      <c r="F53" t="inlineStr">
        <is>
          <t>Low</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C71"/>
  <sheetViews>
    <sheetView workbookViewId="0">
      <pane ySplit="1" topLeftCell="A2" activePane="bottomLeft" state="frozen"/>
      <selection pane="bottomLeft" activeCell="A1" sqref="A1"/>
    </sheetView>
  </sheetViews>
  <sheetFormatPr baseColWidth="8" defaultRowHeight="15"/>
  <cols>
    <col width="60" customWidth="1" min="1" max="1"/>
    <col width="27" customWidth="1" min="2" max="2"/>
    <col width="60" customWidth="1" min="3" max="3"/>
  </cols>
  <sheetData>
    <row r="1">
      <c r="A1" s="9" t="inlineStr">
        <is>
          <t>Authority</t>
        </is>
      </c>
      <c r="B1" s="9" t="inlineStr">
        <is>
          <t>Countries</t>
        </is>
      </c>
      <c r="C1" s="9" t="inlineStr">
        <is>
          <t>Acts</t>
        </is>
      </c>
    </row>
    <row r="2">
      <c r="A2" t="inlineStr">
        <is>
          <t>Accountable institutions</t>
        </is>
      </c>
      <c r="B2" t="inlineStr">
        <is>
          <t>South Africa</t>
        </is>
      </c>
      <c r="C2" t="inlineStr">
        <is>
          <t>FICA (Financial Intelligence Centre Act, 38 of 2001</t>
        </is>
      </c>
    </row>
    <row r="3">
      <c r="A3" t="inlineStr">
        <is>
          <t>Arts Minister, Commissioner</t>
        </is>
      </c>
      <c r="B3" t="inlineStr">
        <is>
          <t>Australia</t>
        </is>
      </c>
      <c r="C3" t="inlineStr">
        <is>
          <t>C2004C01271-1 (Australia - Row 7)</t>
        </is>
      </c>
    </row>
    <row r="4">
      <c r="A4" t="inlineStr">
        <is>
          <t>Attorney-General</t>
        </is>
      </c>
      <c r="B4" t="inlineStr">
        <is>
          <t>Australia</t>
        </is>
      </c>
      <c r="C4" t="inlineStr">
        <is>
          <t>C2026C00243VOL01 (Australia - Row 14)</t>
        </is>
      </c>
    </row>
    <row r="5">
      <c r="A5" t="inlineStr">
        <is>
          <t>Auditor-General</t>
        </is>
      </c>
      <c r="B5" t="inlineStr">
        <is>
          <t>South Africa</t>
        </is>
      </c>
      <c r="C5" t="inlineStr">
        <is>
          <t>Financial Advisory and Intermediary Services Act (FAIS) 37 of 2002</t>
        </is>
      </c>
    </row>
    <row r="6">
      <c r="A6" t="inlineStr">
        <is>
          <t>Australian Signals Directorate (ASD)</t>
        </is>
      </c>
      <c r="B6" t="inlineStr">
        <is>
          <t>Australia</t>
        </is>
      </c>
      <c r="C6" t="inlineStr">
        <is>
          <t>Essential Eight explained (November 2023) (Australia - Row 11)</t>
        </is>
      </c>
    </row>
    <row r="7">
      <c r="A7" t="inlineStr">
        <is>
          <t>Authorised person</t>
        </is>
      </c>
      <c r="B7" t="inlineStr">
        <is>
          <t>South Africa</t>
        </is>
      </c>
      <c r="C7" t="inlineStr">
        <is>
          <t>2002-070</t>
        </is>
      </c>
    </row>
    <row r="8">
      <c r="A8" t="inlineStr">
        <is>
          <t>Authorities</t>
        </is>
      </c>
      <c r="B8" t="inlineStr">
        <is>
          <t>South Africa</t>
        </is>
      </c>
      <c r="C8" t="inlineStr">
        <is>
          <t>Joint Standard 2 of 2024  Cybersecurity &amp; Cyber resilience Requirements</t>
        </is>
      </c>
    </row>
    <row r="9">
      <c r="A9" t="inlineStr">
        <is>
          <t>Authority</t>
        </is>
      </c>
      <c r="B9" t="inlineStr">
        <is>
          <t>Kenya</t>
        </is>
      </c>
      <c r="C9" t="inlineStr">
        <is>
          <t>Capital Markets Act</t>
        </is>
      </c>
    </row>
    <row r="10">
      <c r="A10" t="inlineStr">
        <is>
          <t>Bank of Mauritius</t>
        </is>
      </c>
      <c r="B10" t="inlineStr">
        <is>
          <t>Mauritius</t>
        </is>
      </c>
      <c r="C10" t="inlineStr">
        <is>
          <t>guidelines_on_outsourcing_by_financial_institutions (Mauritius - Row 3)</t>
        </is>
      </c>
    </row>
    <row r="11">
      <c r="A11" t="inlineStr">
        <is>
          <t>Board</t>
        </is>
      </c>
      <c r="B11" t="inlineStr">
        <is>
          <t>South Africa</t>
        </is>
      </c>
      <c r="C11" t="inlineStr">
        <is>
          <t>Financial Advisory and Intermediary Services Act (FAIS) 37 of 2002</t>
        </is>
      </c>
    </row>
    <row r="12">
      <c r="A12" t="inlineStr">
        <is>
          <t>Businesses and individuals</t>
        </is>
      </c>
      <c r="B12" t="inlineStr">
        <is>
          <t>South Africa</t>
        </is>
      </c>
      <c r="C12" t="inlineStr">
        <is>
          <t>FICA (Financial Intelligence Centre Act, 38 of 2001</t>
        </is>
      </c>
    </row>
    <row r="13">
      <c r="A13" t="inlineStr">
        <is>
          <t>CBK</t>
        </is>
      </c>
      <c r="B13" t="inlineStr">
        <is>
          <t>Kenya</t>
        </is>
      </c>
      <c r="C13" t="inlineStr">
        <is>
          <t>GuidelinesonCybersecurityforPSPs (Kenya - Row19)</t>
        </is>
      </c>
    </row>
    <row r="14">
      <c r="A14" t="inlineStr">
        <is>
          <t>Cabinet Secretary</t>
        </is>
      </c>
      <c r="B14" t="inlineStr">
        <is>
          <t>Kenya</t>
        </is>
      </c>
      <c r="C14" t="inlineStr">
        <is>
          <t>Capital Markets Act</t>
        </is>
      </c>
    </row>
    <row r="15">
      <c r="A15" t="inlineStr">
        <is>
          <t>Capital Markets Authority</t>
        </is>
      </c>
      <c r="B15" t="inlineStr">
        <is>
          <t>Kenya</t>
        </is>
      </c>
      <c r="C15" t="inlineStr">
        <is>
          <t>Capital Markets Act</t>
        </is>
      </c>
    </row>
    <row r="16">
      <c r="A16" t="inlineStr">
        <is>
          <t>Capital Markets Tribunal</t>
        </is>
      </c>
      <c r="B16" t="inlineStr">
        <is>
          <t>Kenya</t>
        </is>
      </c>
      <c r="C16" t="inlineStr">
        <is>
          <t>Capital Markets Act</t>
        </is>
      </c>
    </row>
    <row r="17">
      <c r="A17" t="inlineStr">
        <is>
          <t>Central Bank of Kenya (CBK)</t>
        </is>
      </c>
      <c r="B17" t="inlineStr">
        <is>
          <t>Kenya</t>
        </is>
      </c>
      <c r="C17" t="inlineStr">
        <is>
          <t>GUIDANCE-NOTE-ON-CYBERSECURITY-FOR-THE-BANKING-SECTOR, GuidelinesonCybersecurityforPSPs (Kenya - Row19)</t>
        </is>
      </c>
    </row>
    <row r="18">
      <c r="A18" t="inlineStr">
        <is>
          <t>Central Bank of Nigeria</t>
        </is>
      </c>
      <c r="B18" t="inlineStr">
        <is>
          <t>Nigeria</t>
        </is>
      </c>
      <c r="C18" t="inlineStr">
        <is>
          <t>Operational Guidelines for Open Banking in Nigeria (Nigeria - Row 9), circular on the regulatory framework on open banking in nigeria (Nigeria - Row 8)</t>
        </is>
      </c>
    </row>
    <row r="19">
      <c r="A19" t="inlineStr">
        <is>
          <t>Central Bank of Nigeria (CBN)</t>
        </is>
      </c>
      <c r="B19" t="inlineStr">
        <is>
          <t>Nigeria</t>
        </is>
      </c>
      <c r="C19" t="inlineStr">
        <is>
          <t>REVISED REGULATORY FRAMEWORK FOR BANK VERIFICATION NUMBER (BVN) OPERATIONS AND WATCH-LIST FOR THE NIGERIAN BANKING INDUSTRY 121021 FINAL (Nigeria - Row 11)</t>
        </is>
      </c>
    </row>
    <row r="20">
      <c r="A20" t="inlineStr">
        <is>
          <t>Centre</t>
        </is>
      </c>
      <c r="B20" t="inlineStr">
        <is>
          <t>South Africa</t>
        </is>
      </c>
      <c r="C20" t="inlineStr">
        <is>
          <t>FICA (Financial Intelligence Centre Act, 38 of 2001</t>
        </is>
      </c>
    </row>
    <row r="21">
      <c r="A21" t="inlineStr">
        <is>
          <t>Commonwealth</t>
        </is>
      </c>
      <c r="B21" t="inlineStr">
        <is>
          <t>Australia</t>
        </is>
      </c>
      <c r="C21" t="inlineStr">
        <is>
          <t>C2012C00866 (Australia - Row 12)</t>
        </is>
      </c>
    </row>
    <row r="22">
      <c r="A22" t="inlineStr">
        <is>
          <t>Commonwealth Minister</t>
        </is>
      </c>
      <c r="B22" t="inlineStr">
        <is>
          <t>Australia</t>
        </is>
      </c>
      <c r="C22" t="inlineStr">
        <is>
          <t>C2004A01182 (Australia - Row 25)</t>
        </is>
      </c>
    </row>
    <row r="23">
      <c r="A23" t="inlineStr">
        <is>
          <t>Competent Authority</t>
        </is>
      </c>
      <c r="B23" t="inlineStr">
        <is>
          <t>GDPR</t>
        </is>
      </c>
      <c r="C23" t="inlineStr">
        <is>
          <t>esma_cloud_guidelines (GDPR - Row 8)</t>
        </is>
      </c>
    </row>
    <row r="24">
      <c r="A24" t="inlineStr">
        <is>
          <t>Competent authorities</t>
        </is>
      </c>
      <c r="B24" t="inlineStr">
        <is>
          <t>GDPR</t>
        </is>
      </c>
      <c r="C24" t="inlineStr">
        <is>
          <t>esma_cloud_guidelines (GDPR - Row 8)</t>
        </is>
      </c>
    </row>
    <row r="25">
      <c r="A25" t="inlineStr">
        <is>
          <t>Competent authority</t>
        </is>
      </c>
      <c r="B25" t="inlineStr">
        <is>
          <t>GDPR</t>
        </is>
      </c>
      <c r="C25" t="inlineStr">
        <is>
          <t>CELEX_52023PC0360_EN_TXT (GDPR - Row 13)</t>
        </is>
      </c>
    </row>
    <row r="26">
      <c r="A26" t="inlineStr">
        <is>
          <t>Court</t>
        </is>
      </c>
      <c r="B26" t="inlineStr">
        <is>
          <t>South Africa</t>
        </is>
      </c>
      <c r="C26" t="inlineStr">
        <is>
          <t>Financial Advisory and Intermediary Services Act (FAIS) 37 of 2002</t>
        </is>
      </c>
    </row>
    <row r="27">
      <c r="A27" t="inlineStr">
        <is>
          <t>Courts</t>
        </is>
      </c>
      <c r="B27" t="inlineStr">
        <is>
          <t>South Africa</t>
        </is>
      </c>
      <c r="C27" t="inlineStr">
        <is>
          <t>FICA (Financial Intelligence Centre Act, 38 of 2001</t>
        </is>
      </c>
    </row>
    <row r="28">
      <c r="A28" t="inlineStr">
        <is>
          <t>Cybersecurity and Data Protection Agency (CSA)</t>
        </is>
      </c>
      <c r="B28" t="inlineStr">
        <is>
          <t>Singapore</t>
        </is>
      </c>
      <c r="C28" t="inlineStr">
        <is>
          <t>Cybersecurity (Provider-Owned Critical Information (Singapore - Row 5 &amp; 6)</t>
        </is>
      </c>
    </row>
    <row r="29">
      <c r="A29" t="inlineStr">
        <is>
          <t>Data Commissioner</t>
        </is>
      </c>
      <c r="B29" t="inlineStr">
        <is>
          <t>Kenya</t>
        </is>
      </c>
      <c r="C29" t="inlineStr">
        <is>
          <t>THE-DATA-PROTECTION-COMPLAINTS-HANDLING-AND-ENFORCEMENT (Kenya - Row 15), THE-DATA-PROTECTION-REGISTRATION-OF-DATA-CONTROLLERS-AND-DATA-PROCESSORS-REGULATIONS-2021 (Kenya = row17)</t>
        </is>
      </c>
    </row>
    <row r="30">
      <c r="A30" t="inlineStr">
        <is>
          <t>Department of Telecommunications and Postal Services (DOC)</t>
        </is>
      </c>
      <c r="B30" t="inlineStr">
        <is>
          <t>South Africa</t>
        </is>
      </c>
      <c r="C30" t="inlineStr">
        <is>
          <t>South Africa National Cybersecurity Policy Framework (NCPF) 2015</t>
        </is>
      </c>
    </row>
    <row r="31">
      <c r="A31" t="inlineStr">
        <is>
          <t>European Commission</t>
        </is>
      </c>
      <c r="B31" t="inlineStr">
        <is>
          <t>GDPR</t>
        </is>
      </c>
      <c r="C31" t="inlineStr">
        <is>
          <t>CELEX_52023PC0360_EN_TXT (GDPR - Row 13)</t>
        </is>
      </c>
    </row>
    <row r="32">
      <c r="A32" t="inlineStr">
        <is>
          <t>FSCA</t>
        </is>
      </c>
      <c r="B32" t="inlineStr">
        <is>
          <t>South Africa</t>
        </is>
      </c>
      <c r="C32" t="inlineStr">
        <is>
          <t>2024 Open Finance_FSCA Position Paper</t>
        </is>
      </c>
    </row>
    <row r="33">
      <c r="A33" t="inlineStr">
        <is>
          <t>Financial Intelligence Centre</t>
        </is>
      </c>
      <c r="B33" t="inlineStr">
        <is>
          <t>South Africa</t>
        </is>
      </c>
      <c r="C33" t="inlineStr">
        <is>
          <t>FICA (Financial Intelligence Centre Act, 38 of 2001</t>
        </is>
      </c>
    </row>
    <row r="34">
      <c r="A34" t="inlineStr">
        <is>
          <t>Financial Intelligence Centre (Centre)</t>
        </is>
      </c>
      <c r="B34" t="inlineStr">
        <is>
          <t>South Africa</t>
        </is>
      </c>
      <c r="C34" t="inlineStr">
        <is>
          <t>FICA (Financial Intelligence Centre Act, 38 of 2001</t>
        </is>
      </c>
    </row>
    <row r="35">
      <c r="A35" t="inlineStr">
        <is>
          <t>Financial Sector Conduct Authority</t>
        </is>
      </c>
      <c r="B35" t="inlineStr">
        <is>
          <t>South Africa</t>
        </is>
      </c>
      <c r="C35" t="inlineStr">
        <is>
          <t>1. FSCA Conduct Standard 1 of 2025 - Requirements for FIs providing FE initiatives, Conduct-Standard-3-of-2020-BANKS-Annexure-A</t>
        </is>
      </c>
    </row>
    <row r="36">
      <c r="A36" t="inlineStr">
        <is>
          <t>Financial Sector Conduct Authority (FSCA)</t>
        </is>
      </c>
      <c r="B36" t="inlineStr">
        <is>
          <t>South Africa</t>
        </is>
      </c>
      <c r="C36" t="inlineStr">
        <is>
          <t>Conduct-Standard-3-of-2020-BANKS-Annexure-A</t>
        </is>
      </c>
    </row>
    <row r="37">
      <c r="A37" t="inlineStr">
        <is>
          <t>Financial Services Board</t>
        </is>
      </c>
      <c r="B37" t="inlineStr">
        <is>
          <t>South Africa</t>
        </is>
      </c>
      <c r="C37" t="inlineStr">
        <is>
          <t>Financial Advisory and Intermediary Services Act (FAIS) 37 of 2002</t>
        </is>
      </c>
    </row>
    <row r="38">
      <c r="A38" t="inlineStr">
        <is>
          <t>Financial Services Commission (FSC)</t>
        </is>
      </c>
      <c r="B38" t="inlineStr">
        <is>
          <t>Mauritius</t>
        </is>
      </c>
      <c r="C38" t="inlineStr">
        <is>
          <t>code-of-business-conduct_final (Mauritius - Row 14), code-of-business-conduct_final (Mauritius - Row 18)</t>
        </is>
      </c>
    </row>
    <row r="39">
      <c r="A39" t="inlineStr">
        <is>
          <t>Financial institutions</t>
        </is>
      </c>
      <c r="B39" t="inlineStr">
        <is>
          <t>South Africa</t>
        </is>
      </c>
      <c r="C39" t="inlineStr">
        <is>
          <t>Joint Standard 1 of 2023 - IT Governance and Risk Management, Joint Standard 2 of 2024  Cybersecurity &amp; Cyber resilience Requirements</t>
        </is>
      </c>
    </row>
    <row r="40">
      <c r="A40" t="inlineStr">
        <is>
          <t>High Court</t>
        </is>
      </c>
      <c r="B40" t="inlineStr">
        <is>
          <t>Kenya</t>
        </is>
      </c>
      <c r="C40" t="inlineStr">
        <is>
          <t>THE-DATA-PROTECTION-COMPLAINTS-HANDLING-AND-ENFORCEMENT (Kenya - Row 15)</t>
        </is>
      </c>
    </row>
    <row r="41">
      <c r="A41" t="inlineStr">
        <is>
          <t>IFSCA</t>
        </is>
      </c>
      <c r="B41" t="inlineStr">
        <is>
          <t>India</t>
        </is>
      </c>
      <c r="C41" t="inlineStr">
        <is>
          <t>guidelines-on-cyber-security-and-cyber-resilience-for-regulated-entities-in-ifscs-1-10032025064412 (India - Row 5)</t>
        </is>
      </c>
    </row>
    <row r="42">
      <c r="A42" t="inlineStr">
        <is>
          <t>IRDAI</t>
        </is>
      </c>
      <c r="B42" t="inlineStr">
        <is>
          <t>India</t>
        </is>
      </c>
      <c r="C42" t="inlineStr">
        <is>
          <t>Guidelines on Information and Cyber Security (India - Row 8)</t>
        </is>
      </c>
    </row>
    <row r="43">
      <c r="A43" t="inlineStr">
        <is>
          <t>Information Commissioner</t>
        </is>
      </c>
      <c r="B43" t="inlineStr">
        <is>
          <t>Australia, United Kingdom</t>
        </is>
      </c>
      <c r="C43" t="inlineStr">
        <is>
          <t>C2012C00866 (Australia - Row 12), NIS Regulations 2018 (United Kingdom - Row 25)</t>
        </is>
      </c>
    </row>
    <row r="44">
      <c r="A44" t="inlineStr">
        <is>
          <t>Information Regulator</t>
        </is>
      </c>
      <c r="B44" t="inlineStr">
        <is>
          <t>South Africa</t>
        </is>
      </c>
      <c r="C44" t="inlineStr">
        <is>
          <t>POPIA_Regulations_-_Dec_2018</t>
        </is>
      </c>
    </row>
    <row r="45">
      <c r="A45" t="inlineStr">
        <is>
          <t>Information officer</t>
        </is>
      </c>
      <c r="B45" t="inlineStr">
        <is>
          <t>South Africa</t>
        </is>
      </c>
      <c r="C45" t="inlineStr">
        <is>
          <t>POPIA_Regulations_-_Dec_2018</t>
        </is>
      </c>
    </row>
    <row r="46">
      <c r="A46" t="inlineStr">
        <is>
          <t>Judge</t>
        </is>
      </c>
      <c r="B46" t="inlineStr">
        <is>
          <t>South Africa</t>
        </is>
      </c>
      <c r="C46" t="inlineStr">
        <is>
          <t>FICA (Financial Intelligence Centre Act, 38 of 2001</t>
        </is>
      </c>
    </row>
    <row r="47">
      <c r="A47" t="inlineStr">
        <is>
          <t>Law enforcement agencies</t>
        </is>
      </c>
      <c r="B47" t="inlineStr">
        <is>
          <t>South Africa</t>
        </is>
      </c>
      <c r="C47" t="inlineStr">
        <is>
          <t>2002-070</t>
        </is>
      </c>
    </row>
    <row r="48">
      <c r="A48" t="inlineStr">
        <is>
          <t>MAS</t>
        </is>
      </c>
      <c r="B48" t="inlineStr">
        <is>
          <t>Singapore</t>
        </is>
      </c>
      <c r="C48" t="inlineStr">
        <is>
          <t>MAS Notices 644 655 644A 655A 1114 1118 Cancellation 2024 (Singapore - Row 18)</t>
        </is>
      </c>
    </row>
    <row r="49">
      <c r="A49" t="inlineStr">
        <is>
          <t>Minister</t>
        </is>
      </c>
      <c r="B49" t="inlineStr">
        <is>
          <t>South Africa</t>
        </is>
      </c>
      <c r="C49" t="inlineStr">
        <is>
          <t>FICA (Financial Intelligence Centre Act, 38 of 2001, Financial Advisory and Intermediary Services Act (FAIS) 37 of 2002</t>
        </is>
      </c>
    </row>
    <row r="50">
      <c r="A50" t="inlineStr">
        <is>
          <t>Minister, Board, Registrar</t>
        </is>
      </c>
      <c r="B50" t="inlineStr">
        <is>
          <t>South Africa</t>
        </is>
      </c>
      <c r="C50" t="inlineStr">
        <is>
          <t>Financial Advisory and Intermediary Services Act (FAIS) 37 of 2002</t>
        </is>
      </c>
    </row>
    <row r="51">
      <c r="A51" t="inlineStr">
        <is>
          <t>Monetary Authority of Singapore (MAS)</t>
        </is>
      </c>
      <c r="B51" t="inlineStr">
        <is>
          <t>Singapore</t>
        </is>
      </c>
      <c r="C51" t="inlineStr">
        <is>
          <t>ID18_24 (Singapore - Row 12), ID18_24-2 (Singapore - Row 21)</t>
        </is>
      </c>
    </row>
    <row r="52">
      <c r="A52" t="inlineStr">
        <is>
          <t>NITDA</t>
        </is>
      </c>
      <c r="B52" t="inlineStr">
        <is>
          <t>Nigeria</t>
        </is>
      </c>
      <c r="C52" t="inlineStr">
        <is>
          <t>NCCPolicy_New1 (Nigeria - Row 21), NCCPolicy_New1 (Nigeria - Row 23)</t>
        </is>
      </c>
    </row>
    <row r="53">
      <c r="A53" t="inlineStr">
        <is>
          <t>Ombud for Financial Services Providers</t>
        </is>
      </c>
      <c r="B53" t="inlineStr">
        <is>
          <t>South Africa</t>
        </is>
      </c>
      <c r="C53" t="inlineStr">
        <is>
          <t>Financial Advisory and Intermediary Services Act (FAIS) 37 of 2002</t>
        </is>
      </c>
    </row>
    <row r="54">
      <c r="A54" t="inlineStr">
        <is>
          <t>Parliament</t>
        </is>
      </c>
      <c r="B54" t="inlineStr">
        <is>
          <t>South Africa</t>
        </is>
      </c>
      <c r="C54" t="inlineStr">
        <is>
          <t>Financial Advisory and Intermediary Services Act (FAIS) 37 of 2002</t>
        </is>
      </c>
    </row>
    <row r="55">
      <c r="A55" t="inlineStr">
        <is>
          <t>Parliament of the Republic of South Africa</t>
        </is>
      </c>
      <c r="B55" t="inlineStr">
        <is>
          <t>South Africa</t>
        </is>
      </c>
      <c r="C55" t="inlineStr">
        <is>
          <t>2002-070</t>
        </is>
      </c>
    </row>
    <row r="56">
      <c r="A56" t="inlineStr">
        <is>
          <t>Police</t>
        </is>
      </c>
      <c r="B56" t="inlineStr">
        <is>
          <t>South Africa</t>
        </is>
      </c>
      <c r="C56" t="inlineStr">
        <is>
          <t>FICA (Financial Intelligence Centre Act, 38 of 2001</t>
        </is>
      </c>
    </row>
    <row r="57">
      <c r="A57" t="inlineStr">
        <is>
          <t>President</t>
        </is>
      </c>
      <c r="B57" t="inlineStr">
        <is>
          <t>South Africa</t>
        </is>
      </c>
      <c r="C57" t="inlineStr">
        <is>
          <t>FICA (Financial Intelligence Centre Act, 38 of 2001</t>
        </is>
      </c>
    </row>
    <row r="58">
      <c r="A58" t="inlineStr">
        <is>
          <t>Prudential Authority (PA)</t>
        </is>
      </c>
      <c r="B58" t="inlineStr">
        <is>
          <t>South Africa</t>
        </is>
      </c>
      <c r="C58" t="inlineStr">
        <is>
          <t>PA Directive</t>
        </is>
      </c>
    </row>
    <row r="59">
      <c r="A59" t="inlineStr">
        <is>
          <t>Prudential Regulation Authority (PRA)</t>
        </is>
      </c>
      <c r="B59" t="inlineStr">
        <is>
          <t>United Kingdom</t>
        </is>
      </c>
      <c r="C59" t="inlineStr">
        <is>
          <t>cbest-implementation-guide (United Kingdom - Row 30)</t>
        </is>
      </c>
    </row>
    <row r="60">
      <c r="A60" t="inlineStr">
        <is>
          <t>RBI</t>
        </is>
      </c>
      <c r="B60" t="inlineStr">
        <is>
          <t>India</t>
        </is>
      </c>
      <c r="C60" t="inlineStr">
        <is>
          <t>RBI Master Direction on Information Technology Framework for NBFC Sector (2017) (India - Row 15)</t>
        </is>
      </c>
    </row>
    <row r="61">
      <c r="A61" t="inlineStr">
        <is>
          <t>Registrar</t>
        </is>
      </c>
      <c r="B61" t="inlineStr">
        <is>
          <t>South Africa</t>
        </is>
      </c>
      <c r="C61" t="inlineStr">
        <is>
          <t>Financial Advisory and Intermediary Services Act (FAIS) 37 of 2002</t>
        </is>
      </c>
    </row>
    <row r="62">
      <c r="A62" t="inlineStr">
        <is>
          <t>Regulation 10</t>
        </is>
      </c>
      <c r="B62" t="inlineStr">
        <is>
          <t>United Kingdom</t>
        </is>
      </c>
      <c r="C62" t="inlineStr">
        <is>
          <t>Privacy and Electronic Communications Regulations (PECR) 2003 (United Kingdom - Row 18)</t>
        </is>
      </c>
    </row>
    <row r="63">
      <c r="A63" t="inlineStr">
        <is>
          <t>Regulator</t>
        </is>
      </c>
      <c r="B63" t="inlineStr">
        <is>
          <t>South Africa</t>
        </is>
      </c>
      <c r="C63" t="inlineStr">
        <is>
          <t>POPIA_Regulations_-_Dec_2018</t>
        </is>
      </c>
    </row>
    <row r="64">
      <c r="A64" t="inlineStr">
        <is>
          <t>Reserve Bank</t>
        </is>
      </c>
      <c r="B64" t="inlineStr">
        <is>
          <t>South Africa</t>
        </is>
      </c>
      <c r="C64" t="inlineStr">
        <is>
          <t>pAYMENT ACT</t>
        </is>
      </c>
    </row>
    <row r="65">
      <c r="A65" t="inlineStr">
        <is>
          <t>Reserve Bank of India</t>
        </is>
      </c>
      <c r="B65" t="inlineStr">
        <is>
          <t>India</t>
        </is>
      </c>
      <c r="C65" t="inlineStr">
        <is>
          <t>NT75589AC4A988D446CA94182886F6D8EADD (India - Row 13) PROVISIONALLY, RBI Payment Data Localisation Requirement (India - Row 17)</t>
        </is>
      </c>
    </row>
    <row r="66">
      <c r="A66" t="inlineStr">
        <is>
          <t>Responsible party</t>
        </is>
      </c>
      <c r="B66" t="inlineStr">
        <is>
          <t>South Africa</t>
        </is>
      </c>
      <c r="C66" t="inlineStr">
        <is>
          <t>POPIA_Regulations_-_Dec_2018</t>
        </is>
      </c>
    </row>
    <row r="67">
      <c r="A67" t="inlineStr">
        <is>
          <t>SARB</t>
        </is>
      </c>
      <c r="B67" t="inlineStr">
        <is>
          <t>South Africa</t>
        </is>
      </c>
      <c r="C67" t="inlineStr">
        <is>
          <t>Directive in respect of cybersecurity and cyber-resilisnce within the national payment system</t>
        </is>
      </c>
    </row>
    <row r="68">
      <c r="A68" t="inlineStr">
        <is>
          <t>Sheriff</t>
        </is>
      </c>
      <c r="B68" t="inlineStr">
        <is>
          <t>United Kingdom</t>
        </is>
      </c>
      <c r="C68" t="inlineStr">
        <is>
          <t>computer misuse act (United Kingdom - Row 2)</t>
        </is>
      </c>
    </row>
    <row r="69">
      <c r="A69" t="inlineStr">
        <is>
          <t>South African Reserve Bank</t>
        </is>
      </c>
      <c r="B69" t="inlineStr">
        <is>
          <t>South Africa</t>
        </is>
      </c>
      <c r="C69" t="inlineStr">
        <is>
          <t>Directive in respect of cybersecurity and cyber-resilisnce within the national payment system</t>
        </is>
      </c>
    </row>
    <row r="70">
      <c r="A70" t="inlineStr">
        <is>
          <t>authorised financial services provider</t>
        </is>
      </c>
      <c r="B70" t="inlineStr">
        <is>
          <t>South Africa</t>
        </is>
      </c>
      <c r="C70" t="inlineStr">
        <is>
          <t>Financial Advisory and Intermediary Services Act (FAIS) 37 of 2002</t>
        </is>
      </c>
    </row>
    <row r="71">
      <c r="A71" t="inlineStr">
        <is>
          <t>registrar</t>
        </is>
      </c>
      <c r="B71" t="inlineStr">
        <is>
          <t>South Africa</t>
        </is>
      </c>
      <c r="C71" t="inlineStr">
        <is>
          <t>Financial Advisory and Intermediary Services Act (FAIS) 37 of 2002</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40"/>
  <sheetViews>
    <sheetView workbookViewId="0">
      <pane ySplit="1" topLeftCell="A2" activePane="bottomLeft" state="frozen"/>
      <selection pane="bottomLeft" activeCell="A1" sqref="A1"/>
    </sheetView>
  </sheetViews>
  <sheetFormatPr baseColWidth="8" defaultRowHeight="15"/>
  <cols>
    <col width="39" customWidth="1" min="1" max="1"/>
    <col width="12" customWidth="1" min="2" max="2"/>
  </cols>
  <sheetData>
    <row r="1">
      <c r="A1" s="9" t="inlineStr">
        <is>
          <t>Topic</t>
        </is>
      </c>
      <c r="B1" s="9" t="inlineStr">
        <is>
          <t>Sections</t>
        </is>
      </c>
    </row>
    <row r="2">
      <c r="A2" t="inlineStr">
        <is>
          <t>Governance</t>
        </is>
      </c>
      <c r="B2" t="n">
        <v>87</v>
      </c>
    </row>
    <row r="3">
      <c r="A3" t="inlineStr">
        <is>
          <t>Data Storage</t>
        </is>
      </c>
      <c r="B3" t="n">
        <v>82</v>
      </c>
    </row>
    <row r="4">
      <c r="A4" t="inlineStr">
        <is>
          <t>Incident Reporting</t>
        </is>
      </c>
      <c r="B4" t="n">
        <v>78</v>
      </c>
    </row>
    <row r="5">
      <c r="A5" t="inlineStr">
        <is>
          <t>Record Keeping</t>
        </is>
      </c>
      <c r="B5" t="n">
        <v>76</v>
      </c>
    </row>
    <row r="6">
      <c r="A6" t="inlineStr">
        <is>
          <t>Security</t>
        </is>
      </c>
      <c r="B6" t="n">
        <v>75</v>
      </c>
    </row>
    <row r="7">
      <c r="A7" t="inlineStr">
        <is>
          <t>Data Sharing</t>
        </is>
      </c>
      <c r="B7" t="n">
        <v>69</v>
      </c>
    </row>
    <row r="8">
      <c r="A8" t="inlineStr">
        <is>
          <t>Breach Notification</t>
        </is>
      </c>
      <c r="B8" t="n">
        <v>68</v>
      </c>
    </row>
    <row r="9">
      <c r="A9" t="inlineStr">
        <is>
          <t>Financial Data</t>
        </is>
      </c>
      <c r="B9" t="n">
        <v>59</v>
      </c>
    </row>
    <row r="10">
      <c r="A10" t="inlineStr">
        <is>
          <t>Cloud Services</t>
        </is>
      </c>
      <c r="B10" t="n">
        <v>56</v>
      </c>
    </row>
    <row r="11">
      <c r="A11" t="inlineStr">
        <is>
          <t>Cross-border Transfer</t>
        </is>
      </c>
      <c r="B11" t="n">
        <v>55</v>
      </c>
    </row>
    <row r="12">
      <c r="A12" t="inlineStr">
        <is>
          <t>International Processing</t>
        </is>
      </c>
      <c r="B12" t="n">
        <v>45</v>
      </c>
    </row>
    <row r="13">
      <c r="A13" t="inlineStr">
        <is>
          <t>Data Residency</t>
        </is>
      </c>
      <c r="B13" t="n">
        <v>41</v>
      </c>
    </row>
    <row r="14">
      <c r="A14" t="inlineStr">
        <is>
          <t>Third Party Processing</t>
        </is>
      </c>
      <c r="B14" t="n">
        <v>34</v>
      </c>
    </row>
    <row r="15">
      <c r="A15" t="inlineStr">
        <is>
          <t>Outsourcing</t>
        </is>
      </c>
      <c r="B15" t="n">
        <v>32</v>
      </c>
    </row>
    <row r="16">
      <c r="A16" t="inlineStr">
        <is>
          <t>Access Control</t>
        </is>
      </c>
      <c r="B16" t="n">
        <v>30</v>
      </c>
    </row>
    <row r="17">
      <c r="A17" t="inlineStr">
        <is>
          <t>Consent</t>
        </is>
      </c>
      <c r="B17" t="n">
        <v>18</v>
      </c>
    </row>
    <row r="18">
      <c r="A18" t="inlineStr">
        <is>
          <t>Customer Information</t>
        </is>
      </c>
      <c r="B18" t="n">
        <v>18</v>
      </c>
    </row>
    <row r="19">
      <c r="A19" t="inlineStr">
        <is>
          <t>AML</t>
        </is>
      </c>
      <c r="B19" t="n">
        <v>12</v>
      </c>
    </row>
    <row r="20">
      <c r="A20" t="inlineStr">
        <is>
          <t>KYC</t>
        </is>
      </c>
      <c r="B20" t="n">
        <v>11</v>
      </c>
    </row>
    <row r="21">
      <c r="A21" t="inlineStr">
        <is>
          <t>Processing</t>
        </is>
      </c>
      <c r="B21" t="n">
        <v>10</v>
      </c>
    </row>
    <row r="22">
      <c r="A22" t="inlineStr">
        <is>
          <t>Special Personal Information</t>
        </is>
      </c>
      <c r="B22" t="n">
        <v>10</v>
      </c>
    </row>
    <row r="23">
      <c r="A23" t="inlineStr">
        <is>
          <t>Retention</t>
        </is>
      </c>
      <c r="B23" t="n">
        <v>8</v>
      </c>
    </row>
    <row r="24">
      <c r="A24" t="inlineStr">
        <is>
          <t>Employee Information</t>
        </is>
      </c>
      <c r="B24" t="n">
        <v>7</v>
      </c>
    </row>
    <row r="25">
      <c r="A25" t="inlineStr">
        <is>
          <t>Children</t>
        </is>
      </c>
      <c r="B25" t="n">
        <v>6</v>
      </c>
    </row>
    <row r="26">
      <c r="A26" t="inlineStr">
        <is>
          <t>Encryption</t>
        </is>
      </c>
      <c r="B26" t="n">
        <v>5</v>
      </c>
    </row>
    <row r="27">
      <c r="A27" t="inlineStr">
        <is>
          <t>Collection</t>
        </is>
      </c>
      <c r="B27" t="n">
        <v>5</v>
      </c>
    </row>
    <row r="28">
      <c r="A28" t="inlineStr">
        <is>
          <t>Deletion</t>
        </is>
      </c>
      <c r="B28" t="n">
        <v>5</v>
      </c>
    </row>
    <row r="29">
      <c r="A29" t="inlineStr">
        <is>
          <t>Fair treatment of financial customers</t>
        </is>
      </c>
      <c r="B29" t="n">
        <v>1</v>
      </c>
    </row>
    <row r="30">
      <c r="A30" t="inlineStr">
        <is>
          <t>Risk Management</t>
        </is>
      </c>
      <c r="B30" t="n">
        <v>1</v>
      </c>
    </row>
    <row r="31">
      <c r="A31" t="inlineStr">
        <is>
          <t>Compliance</t>
        </is>
      </c>
      <c r="B31" t="n">
        <v>1</v>
      </c>
    </row>
    <row r="32">
      <c r="A32" t="inlineStr">
        <is>
          <t>Internal Controls</t>
        </is>
      </c>
      <c r="B32" t="n">
        <v>1</v>
      </c>
    </row>
    <row r="33">
      <c r="A33" t="inlineStr">
        <is>
          <t>Termination</t>
        </is>
      </c>
      <c r="B33" t="n">
        <v>1</v>
      </c>
    </row>
    <row r="34">
      <c r="A34" t="inlineStr">
        <is>
          <t>Definitions</t>
        </is>
      </c>
      <c r="B34" t="n">
        <v>1</v>
      </c>
    </row>
    <row r="35">
      <c r="A35" t="inlineStr">
        <is>
          <t>Application</t>
        </is>
      </c>
      <c r="B35" t="n">
        <v>1</v>
      </c>
    </row>
    <row r="36">
      <c r="A36" t="inlineStr">
        <is>
          <t>Cybersecurity strategy and framework</t>
        </is>
      </c>
      <c r="B36" t="n">
        <v>1</v>
      </c>
    </row>
    <row r="37">
      <c r="A37" t="inlineStr">
        <is>
          <t>Learning and Evolving</t>
        </is>
      </c>
      <c r="B37" t="n">
        <v>1</v>
      </c>
    </row>
    <row r="38">
      <c r="A38" t="inlineStr">
        <is>
          <t>User Access Management</t>
        </is>
      </c>
      <c r="B38" t="n">
        <v>1</v>
      </c>
    </row>
    <row r="39">
      <c r="A39" t="inlineStr">
        <is>
          <t>Segregation of Duties</t>
        </is>
      </c>
      <c r="B39" t="n">
        <v>1</v>
      </c>
    </row>
    <row r="40">
      <c r="A40" t="inlineStr">
        <is>
          <t>Least Privilege</t>
        </is>
      </c>
      <c r="B40" t="n">
        <v>1</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Country</t>
        </is>
      </c>
      <c r="B1" t="inlineStr">
        <is>
          <t>Category</t>
        </is>
      </c>
      <c r="C1" t="inlineStr">
        <is>
          <t>Topic</t>
        </is>
      </c>
      <c r="D1" t="inlineStr">
        <is>
          <t>Data Type</t>
        </is>
      </c>
      <c r="E1" t="inlineStr">
        <is>
          <t>Financial Relevance</t>
        </is>
      </c>
      <c r="F1" t="inlineStr">
        <is>
          <t>Authority</t>
        </is>
      </c>
    </row>
    <row r="2">
      <c r="A2" t="inlineStr">
        <is>
          <t>All</t>
        </is>
      </c>
      <c r="B2" t="inlineStr">
        <is>
          <t>All</t>
        </is>
      </c>
      <c r="C2" t="inlineStr">
        <is>
          <t>All</t>
        </is>
      </c>
      <c r="D2" t="inlineStr">
        <is>
          <t>All</t>
        </is>
      </c>
      <c r="E2" t="inlineStr">
        <is>
          <t>All</t>
        </is>
      </c>
      <c r="F2" t="inlineStr">
        <is>
          <t>All</t>
        </is>
      </c>
    </row>
    <row r="3">
      <c r="A3" t="inlineStr">
        <is>
          <t>Australia</t>
        </is>
      </c>
      <c r="B3" t="inlineStr">
        <is>
          <t>AML</t>
        </is>
      </c>
      <c r="C3" t="inlineStr">
        <is>
          <t>AML</t>
        </is>
      </c>
      <c r="D3" t="inlineStr">
        <is>
          <t>Biometric Data</t>
        </is>
      </c>
      <c r="E3" t="inlineStr">
        <is>
          <t>High</t>
        </is>
      </c>
      <c r="F3" t="inlineStr">
        <is>
          <t>Accountable institutions</t>
        </is>
      </c>
    </row>
    <row r="4">
      <c r="A4" t="inlineStr">
        <is>
          <t>GDPR</t>
        </is>
      </c>
      <c r="B4" t="inlineStr">
        <is>
          <t>Application</t>
        </is>
      </c>
      <c r="C4" t="inlineStr">
        <is>
          <t>Access Control</t>
        </is>
      </c>
      <c r="D4" t="inlineStr">
        <is>
          <t>Children's Data</t>
        </is>
      </c>
      <c r="E4" t="inlineStr">
        <is>
          <t>Medium</t>
        </is>
      </c>
      <c r="F4" t="inlineStr">
        <is>
          <t>Arts Minister, Commissioner</t>
        </is>
      </c>
    </row>
    <row r="5">
      <c r="A5" t="inlineStr">
        <is>
          <t>India</t>
        </is>
      </c>
      <c r="B5" t="inlineStr">
        <is>
          <t>Cloud Services</t>
        </is>
      </c>
      <c r="C5" t="inlineStr">
        <is>
          <t>Application</t>
        </is>
      </c>
      <c r="D5" t="inlineStr">
        <is>
          <t>Customer Data</t>
        </is>
      </c>
      <c r="E5" t="inlineStr">
        <is>
          <t>Low</t>
        </is>
      </c>
      <c r="F5" t="inlineStr">
        <is>
          <t>Attorney-General</t>
        </is>
      </c>
    </row>
    <row r="6">
      <c r="A6" t="inlineStr">
        <is>
          <t>Kenya</t>
        </is>
      </c>
      <c r="B6" t="inlineStr">
        <is>
          <t>Consent</t>
        </is>
      </c>
      <c r="C6" t="inlineStr">
        <is>
          <t>Breach Notification</t>
        </is>
      </c>
      <c r="D6" t="inlineStr">
        <is>
          <t>Customer Information</t>
        </is>
      </c>
      <c r="E6" t="inlineStr">
        <is>
          <t>None</t>
        </is>
      </c>
      <c r="F6" t="inlineStr">
        <is>
          <t>Auditor-General</t>
        </is>
      </c>
    </row>
    <row r="7">
      <c r="A7" t="inlineStr">
        <is>
          <t>Mauritius</t>
        </is>
      </c>
      <c r="B7" t="inlineStr">
        <is>
          <t>Cross-border Transfer</t>
        </is>
      </c>
      <c r="C7" t="inlineStr">
        <is>
          <t>Children</t>
        </is>
      </c>
      <c r="D7" t="inlineStr">
        <is>
          <t>Employee Data</t>
        </is>
      </c>
      <c r="F7" t="inlineStr">
        <is>
          <t>Australian Signals Directorate (ASD)</t>
        </is>
      </c>
    </row>
    <row r="8">
      <c r="A8" t="inlineStr">
        <is>
          <t>Nigeria</t>
        </is>
      </c>
      <c r="B8" t="inlineStr">
        <is>
          <t>Customer Information</t>
        </is>
      </c>
      <c r="C8" t="inlineStr">
        <is>
          <t>Cloud Services</t>
        </is>
      </c>
      <c r="D8" t="inlineStr">
        <is>
          <t>Financial Data</t>
        </is>
      </c>
      <c r="F8" t="inlineStr">
        <is>
          <t>Authorised person</t>
        </is>
      </c>
    </row>
    <row r="9">
      <c r="A9" t="inlineStr">
        <is>
          <t>Singapore</t>
        </is>
      </c>
      <c r="B9" t="inlineStr">
        <is>
          <t>Cybersecurity strategy and framework</t>
        </is>
      </c>
      <c r="C9" t="inlineStr">
        <is>
          <t>Collection</t>
        </is>
      </c>
      <c r="D9" t="inlineStr">
        <is>
          <t>Health Data</t>
        </is>
      </c>
      <c r="F9" t="inlineStr">
        <is>
          <t>Authorities</t>
        </is>
      </c>
    </row>
    <row r="10">
      <c r="A10" t="inlineStr">
        <is>
          <t>South Africa</t>
        </is>
      </c>
      <c r="B10" t="inlineStr">
        <is>
          <t>Data Collection</t>
        </is>
      </c>
      <c r="C10" t="inlineStr">
        <is>
          <t>Compliance</t>
        </is>
      </c>
      <c r="D10" t="inlineStr">
        <is>
          <t>Personal Information</t>
        </is>
      </c>
      <c r="F10" t="inlineStr">
        <is>
          <t>Authority</t>
        </is>
      </c>
    </row>
    <row r="11">
      <c r="A11" t="inlineStr">
        <is>
          <t>United Kingdom</t>
        </is>
      </c>
      <c r="B11" t="inlineStr">
        <is>
          <t>Data Sharing</t>
        </is>
      </c>
      <c r="C11" t="inlineStr">
        <is>
          <t>Consent</t>
        </is>
      </c>
      <c r="D11" t="inlineStr">
        <is>
          <t>Special Personal Information</t>
        </is>
      </c>
      <c r="F11" t="inlineStr">
        <is>
          <t>Bank of Mauritius</t>
        </is>
      </c>
    </row>
    <row r="12">
      <c r="B12" t="inlineStr">
        <is>
          <t>Data Storage</t>
        </is>
      </c>
      <c r="C12" t="inlineStr">
        <is>
          <t>Cross-border Transfer</t>
        </is>
      </c>
      <c r="F12" t="inlineStr">
        <is>
          <t>Board</t>
        </is>
      </c>
    </row>
    <row r="13">
      <c r="B13" t="inlineStr">
        <is>
          <t>Data Subject Rights</t>
        </is>
      </c>
      <c r="C13" t="inlineStr">
        <is>
          <t>Customer Information</t>
        </is>
      </c>
      <c r="F13" t="inlineStr">
        <is>
          <t>Businesses and individuals</t>
        </is>
      </c>
    </row>
    <row r="14">
      <c r="B14" t="inlineStr">
        <is>
          <t>Definitions</t>
        </is>
      </c>
      <c r="C14" t="inlineStr">
        <is>
          <t>Cybersecurity strategy and framework</t>
        </is>
      </c>
      <c r="F14" t="inlineStr">
        <is>
          <t>CBK</t>
        </is>
      </c>
    </row>
    <row r="15">
      <c r="B15" t="inlineStr">
        <is>
          <t>Enforcement</t>
        </is>
      </c>
      <c r="C15" t="inlineStr">
        <is>
          <t>Data Residency</t>
        </is>
      </c>
      <c r="F15" t="inlineStr">
        <is>
          <t>Cabinet Secretary</t>
        </is>
      </c>
    </row>
    <row r="16">
      <c r="B16" t="inlineStr">
        <is>
          <t>Exemptions</t>
        </is>
      </c>
      <c r="C16" t="inlineStr">
        <is>
          <t>Data Sharing</t>
        </is>
      </c>
      <c r="F16" t="inlineStr">
        <is>
          <t>Capital Markets Authority</t>
        </is>
      </c>
    </row>
    <row r="17">
      <c r="B17" t="inlineStr">
        <is>
          <t>Financial Data</t>
        </is>
      </c>
      <c r="C17" t="inlineStr">
        <is>
          <t>Data Storage</t>
        </is>
      </c>
      <c r="F17" t="inlineStr">
        <is>
          <t>Capital Markets Tribunal</t>
        </is>
      </c>
    </row>
    <row r="18">
      <c r="B18" t="inlineStr">
        <is>
          <t>Governance</t>
        </is>
      </c>
      <c r="C18" t="inlineStr">
        <is>
          <t>Definitions</t>
        </is>
      </c>
      <c r="F18" t="inlineStr">
        <is>
          <t>Central Bank of Kenya (CBK)</t>
        </is>
      </c>
    </row>
    <row r="19">
      <c r="B19" t="inlineStr">
        <is>
          <t>Incident Reporting</t>
        </is>
      </c>
      <c r="C19" t="inlineStr">
        <is>
          <t>Deletion</t>
        </is>
      </c>
      <c r="F19" t="inlineStr">
        <is>
          <t>Central Bank of Nigeria</t>
        </is>
      </c>
    </row>
    <row r="20">
      <c r="B20" t="inlineStr">
        <is>
          <t>KYC</t>
        </is>
      </c>
      <c r="C20" t="inlineStr">
        <is>
          <t>Employee Information</t>
        </is>
      </c>
      <c r="F20" t="inlineStr">
        <is>
          <t>Central Bank of Nigeria (CBN)</t>
        </is>
      </c>
    </row>
    <row r="21">
      <c r="B21" t="inlineStr">
        <is>
          <t>Other</t>
        </is>
      </c>
      <c r="C21" t="inlineStr">
        <is>
          <t>Encryption</t>
        </is>
      </c>
      <c r="F21" t="inlineStr">
        <is>
          <t>Centre</t>
        </is>
      </c>
    </row>
    <row r="22">
      <c r="B22" t="inlineStr">
        <is>
          <t>Processing</t>
        </is>
      </c>
      <c r="C22" t="inlineStr">
        <is>
          <t>Fair treatment of financial customers</t>
        </is>
      </c>
      <c r="F22" t="inlineStr">
        <is>
          <t>Commonwealth</t>
        </is>
      </c>
    </row>
    <row r="23">
      <c r="B23" t="inlineStr">
        <is>
          <t>Record Keeping</t>
        </is>
      </c>
      <c r="C23" t="inlineStr">
        <is>
          <t>Financial Data</t>
        </is>
      </c>
      <c r="F23" t="inlineStr">
        <is>
          <t>Commonwealth Minister</t>
        </is>
      </c>
    </row>
    <row r="24">
      <c r="B24" t="inlineStr">
        <is>
          <t>Regulator Powers</t>
        </is>
      </c>
      <c r="C24" t="inlineStr">
        <is>
          <t>Governance</t>
        </is>
      </c>
      <c r="F24" t="inlineStr">
        <is>
          <t>Competent Authority</t>
        </is>
      </c>
    </row>
    <row r="25">
      <c r="B25" t="inlineStr">
        <is>
          <t>Retention</t>
        </is>
      </c>
      <c r="C25" t="inlineStr">
        <is>
          <t>Incident Reporting</t>
        </is>
      </c>
      <c r="F25" t="inlineStr">
        <is>
          <t>Competent authorities</t>
        </is>
      </c>
    </row>
    <row r="26">
      <c r="B26" t="inlineStr">
        <is>
          <t>Security</t>
        </is>
      </c>
      <c r="C26" t="inlineStr">
        <is>
          <t>Internal Controls</t>
        </is>
      </c>
      <c r="F26" t="inlineStr">
        <is>
          <t>Competent authority</t>
        </is>
      </c>
    </row>
    <row r="27">
      <c r="B27" t="inlineStr">
        <is>
          <t>Third Party Processing</t>
        </is>
      </c>
      <c r="C27" t="inlineStr">
        <is>
          <t>International Processing</t>
        </is>
      </c>
      <c r="F27" t="inlineStr">
        <is>
          <t>Court</t>
        </is>
      </c>
    </row>
    <row r="28">
      <c r="C28" t="inlineStr">
        <is>
          <t>KYC</t>
        </is>
      </c>
      <c r="F28" t="inlineStr">
        <is>
          <t>Courts</t>
        </is>
      </c>
    </row>
    <row r="29">
      <c r="C29" t="inlineStr">
        <is>
          <t>Learning and Evolving</t>
        </is>
      </c>
      <c r="F29" t="inlineStr">
        <is>
          <t>Cybersecurity and Data Protection Agency (CSA)</t>
        </is>
      </c>
    </row>
    <row r="30">
      <c r="C30" t="inlineStr">
        <is>
          <t>Least Privilege</t>
        </is>
      </c>
      <c r="F30" t="inlineStr">
        <is>
          <t>Data Commissioner</t>
        </is>
      </c>
    </row>
    <row r="31">
      <c r="C31" t="inlineStr">
        <is>
          <t>Outsourcing</t>
        </is>
      </c>
      <c r="F31" t="inlineStr">
        <is>
          <t>Department of Telecommunications and Postal Services (DOC)</t>
        </is>
      </c>
    </row>
    <row r="32">
      <c r="C32" t="inlineStr">
        <is>
          <t>Processing</t>
        </is>
      </c>
      <c r="F32" t="inlineStr">
        <is>
          <t>European Commission</t>
        </is>
      </c>
    </row>
    <row r="33">
      <c r="C33" t="inlineStr">
        <is>
          <t>Record Keeping</t>
        </is>
      </c>
      <c r="F33" t="inlineStr">
        <is>
          <t>FSCA</t>
        </is>
      </c>
    </row>
    <row r="34">
      <c r="C34" t="inlineStr">
        <is>
          <t>Retention</t>
        </is>
      </c>
      <c r="F34" t="inlineStr">
        <is>
          <t>Financial Intelligence Centre</t>
        </is>
      </c>
    </row>
    <row r="35">
      <c r="C35" t="inlineStr">
        <is>
          <t>Risk Management</t>
        </is>
      </c>
      <c r="F35" t="inlineStr">
        <is>
          <t>Financial Intelligence Centre (Centre)</t>
        </is>
      </c>
    </row>
    <row r="36">
      <c r="C36" t="inlineStr">
        <is>
          <t>Security</t>
        </is>
      </c>
      <c r="F36" t="inlineStr">
        <is>
          <t>Financial Sector Conduct Authority</t>
        </is>
      </c>
    </row>
    <row r="37">
      <c r="C37" t="inlineStr">
        <is>
          <t>Segregation of Duties</t>
        </is>
      </c>
      <c r="F37" t="inlineStr">
        <is>
          <t>Financial Sector Conduct Authority (FSCA)</t>
        </is>
      </c>
    </row>
    <row r="38">
      <c r="C38" t="inlineStr">
        <is>
          <t>Special Personal Information</t>
        </is>
      </c>
      <c r="F38" t="inlineStr">
        <is>
          <t>Financial Services Board</t>
        </is>
      </c>
    </row>
    <row r="39">
      <c r="C39" t="inlineStr">
        <is>
          <t>Termination</t>
        </is>
      </c>
      <c r="F39" t="inlineStr">
        <is>
          <t>Financial Services Commission (FSC)</t>
        </is>
      </c>
    </row>
    <row r="40">
      <c r="C40" t="inlineStr">
        <is>
          <t>Third Party Processing</t>
        </is>
      </c>
      <c r="F40" t="inlineStr">
        <is>
          <t>Financial institutions</t>
        </is>
      </c>
    </row>
    <row r="41">
      <c r="C41" t="inlineStr">
        <is>
          <t>User Access Management</t>
        </is>
      </c>
      <c r="F41" t="inlineStr">
        <is>
          <t>High Court</t>
        </is>
      </c>
    </row>
    <row r="42">
      <c r="F42" t="inlineStr">
        <is>
          <t>IFSCA</t>
        </is>
      </c>
    </row>
    <row r="43">
      <c r="F43" t="inlineStr">
        <is>
          <t>IRDAI</t>
        </is>
      </c>
    </row>
    <row r="44">
      <c r="F44" t="inlineStr">
        <is>
          <t>Information Commissioner</t>
        </is>
      </c>
    </row>
    <row r="45">
      <c r="F45" t="inlineStr">
        <is>
          <t>Information Regulator</t>
        </is>
      </c>
    </row>
    <row r="46">
      <c r="F46" t="inlineStr">
        <is>
          <t>Information officer</t>
        </is>
      </c>
    </row>
    <row r="47">
      <c r="F47" t="inlineStr">
        <is>
          <t>Judge</t>
        </is>
      </c>
    </row>
    <row r="48">
      <c r="F48" t="inlineStr">
        <is>
          <t>Law enforcement agencies</t>
        </is>
      </c>
    </row>
    <row r="49">
      <c r="F49" t="inlineStr">
        <is>
          <t>MAS</t>
        </is>
      </c>
    </row>
    <row r="50">
      <c r="F50" t="inlineStr">
        <is>
          <t>Minister</t>
        </is>
      </c>
    </row>
    <row r="51">
      <c r="F51" t="inlineStr">
        <is>
          <t>Minister, Board, Registrar</t>
        </is>
      </c>
    </row>
    <row r="52">
      <c r="F52" t="inlineStr">
        <is>
          <t>Monetary Authority of Singapore (MAS)</t>
        </is>
      </c>
    </row>
    <row r="53">
      <c r="F53" t="inlineStr">
        <is>
          <t>NITDA</t>
        </is>
      </c>
    </row>
    <row r="54">
      <c r="F54" t="inlineStr">
        <is>
          <t>Ombud for Financial Services Providers</t>
        </is>
      </c>
    </row>
    <row r="55">
      <c r="F55" t="inlineStr">
        <is>
          <t>Parliament</t>
        </is>
      </c>
    </row>
    <row r="56">
      <c r="F56" t="inlineStr">
        <is>
          <t>Parliament of the Republic of South Africa</t>
        </is>
      </c>
    </row>
    <row r="57">
      <c r="F57" t="inlineStr">
        <is>
          <t>Police</t>
        </is>
      </c>
    </row>
    <row r="58">
      <c r="F58" t="inlineStr">
        <is>
          <t>President</t>
        </is>
      </c>
    </row>
    <row r="59">
      <c r="F59" t="inlineStr">
        <is>
          <t>Prudential Authority (PA)</t>
        </is>
      </c>
    </row>
    <row r="60">
      <c r="F60" t="inlineStr">
        <is>
          <t>Prudential Regulation Authority (PRA)</t>
        </is>
      </c>
    </row>
    <row r="61">
      <c r="F61" t="inlineStr">
        <is>
          <t>RBI</t>
        </is>
      </c>
    </row>
    <row r="62">
      <c r="F62" t="inlineStr">
        <is>
          <t>Registrar</t>
        </is>
      </c>
    </row>
    <row r="63">
      <c r="F63" t="inlineStr">
        <is>
          <t>Regulation 10</t>
        </is>
      </c>
    </row>
    <row r="64">
      <c r="F64" t="inlineStr">
        <is>
          <t>Regulator</t>
        </is>
      </c>
    </row>
    <row r="65">
      <c r="F65" t="inlineStr">
        <is>
          <t>Reserve Bank</t>
        </is>
      </c>
    </row>
    <row r="66">
      <c r="F66" t="inlineStr">
        <is>
          <t>Reserve Bank of India</t>
        </is>
      </c>
    </row>
    <row r="67">
      <c r="F67" t="inlineStr">
        <is>
          <t>Responsible party</t>
        </is>
      </c>
    </row>
    <row r="68">
      <c r="F68" t="inlineStr">
        <is>
          <t>SARB</t>
        </is>
      </c>
    </row>
    <row r="69">
      <c r="F69" t="inlineStr">
        <is>
          <t>Sheriff</t>
        </is>
      </c>
    </row>
    <row r="70">
      <c r="F70" t="inlineStr">
        <is>
          <t>South African Reserve Bank</t>
        </is>
      </c>
    </row>
    <row r="71">
      <c r="F71" t="inlineStr">
        <is>
          <t>authorised financial services provider</t>
        </is>
      </c>
    </row>
    <row r="72">
      <c r="F72" t="inlineStr">
        <is>
          <t>registrar</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22"/>
  <sheetViews>
    <sheetView workbookViewId="0">
      <selection activeCell="A1" sqref="A1"/>
    </sheetView>
  </sheetViews>
  <sheetFormatPr baseColWidth="8" defaultRowHeight="15"/>
  <sheetData>
    <row r="1">
      <c r="A1" t="inlineStr">
        <is>
          <t>match</t>
        </is>
      </c>
      <c r="B1" t="inlineStr">
        <is>
          <t>rank</t>
        </is>
      </c>
      <c r="C1" t="inlineStr">
        <is>
          <t>rankval</t>
        </is>
      </c>
      <c r="D1">
        <f>SUM($A$2:$A$622)</f>
        <v/>
      </c>
    </row>
    <row r="2">
      <c r="A2">
        <f>IF(AND(OR(Query!$B$4="All",'Compliance Database'!$A2=Query!$B$4),OR(Query!$B$5="All",'Compliance Database'!$F2=Query!$B$5),OR(Query!$B$6="All",ISNUMBER(SEARCH(Query!$B$6,'Compliance Database'!$I2))),OR(Query!$B$7="All",ISNUMBER(SEARCH(Query!$B$7,'Compliance Database'!$J2))),OR(Query!$B$8="All",'Compliance Database'!$G2=Query!$B$8),OR(Query!$B$9="All",'Compliance Database'!$K2=Query!$B$9),OR(Query!$B$10="",ISNUMBER(SEARCH(Query!$B$10,'Compliance Database'!$D2&amp;" "&amp;'Compliance Database'!$L2&amp;" "&amp;'Compliance Database'!$M2&amp;" "&amp;'Compliance Database'!$N2&amp;" "&amp;'Compliance Database'!$O2)))),1,0)</f>
        <v/>
      </c>
      <c r="B2">
        <f>IF($A2=1,SUM($A$2:$A2),"")</f>
        <v/>
      </c>
      <c r="C2">
        <f>IF($A2=1,SUM($A$2:$A2),0)</f>
        <v/>
      </c>
    </row>
    <row r="3">
      <c r="A3">
        <f>IF(AND(OR(Query!$B$4="All",'Compliance Database'!$A3=Query!$B$4),OR(Query!$B$5="All",'Compliance Database'!$F3=Query!$B$5),OR(Query!$B$6="All",ISNUMBER(SEARCH(Query!$B$6,'Compliance Database'!$I3))),OR(Query!$B$7="All",ISNUMBER(SEARCH(Query!$B$7,'Compliance Database'!$J3))),OR(Query!$B$8="All",'Compliance Database'!$G3=Query!$B$8),OR(Query!$B$9="All",'Compliance Database'!$K3=Query!$B$9),OR(Query!$B$10="",ISNUMBER(SEARCH(Query!$B$10,'Compliance Database'!$D3&amp;" "&amp;'Compliance Database'!$L3&amp;" "&amp;'Compliance Database'!$M3&amp;" "&amp;'Compliance Database'!$N3&amp;" "&amp;'Compliance Database'!$O3)))),1,0)</f>
        <v/>
      </c>
      <c r="B3">
        <f>IF($A3=1,SUM($A$2:$A3),"")</f>
        <v/>
      </c>
      <c r="C3">
        <f>IF($A3=1,SUM($A$2:$A3),0)</f>
        <v/>
      </c>
    </row>
    <row r="4">
      <c r="A4">
        <f>IF(AND(OR(Query!$B$4="All",'Compliance Database'!$A4=Query!$B$4),OR(Query!$B$5="All",'Compliance Database'!$F4=Query!$B$5),OR(Query!$B$6="All",ISNUMBER(SEARCH(Query!$B$6,'Compliance Database'!$I4))),OR(Query!$B$7="All",ISNUMBER(SEARCH(Query!$B$7,'Compliance Database'!$J4))),OR(Query!$B$8="All",'Compliance Database'!$G4=Query!$B$8),OR(Query!$B$9="All",'Compliance Database'!$K4=Query!$B$9),OR(Query!$B$10="",ISNUMBER(SEARCH(Query!$B$10,'Compliance Database'!$D4&amp;" "&amp;'Compliance Database'!$L4&amp;" "&amp;'Compliance Database'!$M4&amp;" "&amp;'Compliance Database'!$N4&amp;" "&amp;'Compliance Database'!$O4)))),1,0)</f>
        <v/>
      </c>
      <c r="B4">
        <f>IF($A4=1,SUM($A$2:$A4),"")</f>
        <v/>
      </c>
      <c r="C4">
        <f>IF($A4=1,SUM($A$2:$A4),0)</f>
        <v/>
      </c>
    </row>
    <row r="5">
      <c r="A5">
        <f>IF(AND(OR(Query!$B$4="All",'Compliance Database'!$A5=Query!$B$4),OR(Query!$B$5="All",'Compliance Database'!$F5=Query!$B$5),OR(Query!$B$6="All",ISNUMBER(SEARCH(Query!$B$6,'Compliance Database'!$I5))),OR(Query!$B$7="All",ISNUMBER(SEARCH(Query!$B$7,'Compliance Database'!$J5))),OR(Query!$B$8="All",'Compliance Database'!$G5=Query!$B$8),OR(Query!$B$9="All",'Compliance Database'!$K5=Query!$B$9),OR(Query!$B$10="",ISNUMBER(SEARCH(Query!$B$10,'Compliance Database'!$D5&amp;" "&amp;'Compliance Database'!$L5&amp;" "&amp;'Compliance Database'!$M5&amp;" "&amp;'Compliance Database'!$N5&amp;" "&amp;'Compliance Database'!$O5)))),1,0)</f>
        <v/>
      </c>
      <c r="B5">
        <f>IF($A5=1,SUM($A$2:$A5),"")</f>
        <v/>
      </c>
      <c r="C5">
        <f>IF($A5=1,SUM($A$2:$A5),0)</f>
        <v/>
      </c>
    </row>
    <row r="6">
      <c r="A6">
        <f>IF(AND(OR(Query!$B$4="All",'Compliance Database'!$A6=Query!$B$4),OR(Query!$B$5="All",'Compliance Database'!$F6=Query!$B$5),OR(Query!$B$6="All",ISNUMBER(SEARCH(Query!$B$6,'Compliance Database'!$I6))),OR(Query!$B$7="All",ISNUMBER(SEARCH(Query!$B$7,'Compliance Database'!$J6))),OR(Query!$B$8="All",'Compliance Database'!$G6=Query!$B$8),OR(Query!$B$9="All",'Compliance Database'!$K6=Query!$B$9),OR(Query!$B$10="",ISNUMBER(SEARCH(Query!$B$10,'Compliance Database'!$D6&amp;" "&amp;'Compliance Database'!$L6&amp;" "&amp;'Compliance Database'!$M6&amp;" "&amp;'Compliance Database'!$N6&amp;" "&amp;'Compliance Database'!$O6)))),1,0)</f>
        <v/>
      </c>
      <c r="B6">
        <f>IF($A6=1,SUM($A$2:$A6),"")</f>
        <v/>
      </c>
      <c r="C6">
        <f>IF($A6=1,SUM($A$2:$A6),0)</f>
        <v/>
      </c>
    </row>
    <row r="7">
      <c r="A7">
        <f>IF(AND(OR(Query!$B$4="All",'Compliance Database'!$A7=Query!$B$4),OR(Query!$B$5="All",'Compliance Database'!$F7=Query!$B$5),OR(Query!$B$6="All",ISNUMBER(SEARCH(Query!$B$6,'Compliance Database'!$I7))),OR(Query!$B$7="All",ISNUMBER(SEARCH(Query!$B$7,'Compliance Database'!$J7))),OR(Query!$B$8="All",'Compliance Database'!$G7=Query!$B$8),OR(Query!$B$9="All",'Compliance Database'!$K7=Query!$B$9),OR(Query!$B$10="",ISNUMBER(SEARCH(Query!$B$10,'Compliance Database'!$D7&amp;" "&amp;'Compliance Database'!$L7&amp;" "&amp;'Compliance Database'!$M7&amp;" "&amp;'Compliance Database'!$N7&amp;" "&amp;'Compliance Database'!$O7)))),1,0)</f>
        <v/>
      </c>
      <c r="B7">
        <f>IF($A7=1,SUM($A$2:$A7),"")</f>
        <v/>
      </c>
      <c r="C7">
        <f>IF($A7=1,SUM($A$2:$A7),0)</f>
        <v/>
      </c>
    </row>
    <row r="8">
      <c r="A8">
        <f>IF(AND(OR(Query!$B$4="All",'Compliance Database'!$A8=Query!$B$4),OR(Query!$B$5="All",'Compliance Database'!$F8=Query!$B$5),OR(Query!$B$6="All",ISNUMBER(SEARCH(Query!$B$6,'Compliance Database'!$I8))),OR(Query!$B$7="All",ISNUMBER(SEARCH(Query!$B$7,'Compliance Database'!$J8))),OR(Query!$B$8="All",'Compliance Database'!$G8=Query!$B$8),OR(Query!$B$9="All",'Compliance Database'!$K8=Query!$B$9),OR(Query!$B$10="",ISNUMBER(SEARCH(Query!$B$10,'Compliance Database'!$D8&amp;" "&amp;'Compliance Database'!$L8&amp;" "&amp;'Compliance Database'!$M8&amp;" "&amp;'Compliance Database'!$N8&amp;" "&amp;'Compliance Database'!$O8)))),1,0)</f>
        <v/>
      </c>
      <c r="B8">
        <f>IF($A8=1,SUM($A$2:$A8),"")</f>
        <v/>
      </c>
      <c r="C8">
        <f>IF($A8=1,SUM($A$2:$A8),0)</f>
        <v/>
      </c>
    </row>
    <row r="9">
      <c r="A9">
        <f>IF(AND(OR(Query!$B$4="All",'Compliance Database'!$A9=Query!$B$4),OR(Query!$B$5="All",'Compliance Database'!$F9=Query!$B$5),OR(Query!$B$6="All",ISNUMBER(SEARCH(Query!$B$6,'Compliance Database'!$I9))),OR(Query!$B$7="All",ISNUMBER(SEARCH(Query!$B$7,'Compliance Database'!$J9))),OR(Query!$B$8="All",'Compliance Database'!$G9=Query!$B$8),OR(Query!$B$9="All",'Compliance Database'!$K9=Query!$B$9),OR(Query!$B$10="",ISNUMBER(SEARCH(Query!$B$10,'Compliance Database'!$D9&amp;" "&amp;'Compliance Database'!$L9&amp;" "&amp;'Compliance Database'!$M9&amp;" "&amp;'Compliance Database'!$N9&amp;" "&amp;'Compliance Database'!$O9)))),1,0)</f>
        <v/>
      </c>
      <c r="B9">
        <f>IF($A9=1,SUM($A$2:$A9),"")</f>
        <v/>
      </c>
      <c r="C9">
        <f>IF($A9=1,SUM($A$2:$A9),0)</f>
        <v/>
      </c>
    </row>
    <row r="10">
      <c r="A10">
        <f>IF(AND(OR(Query!$B$4="All",'Compliance Database'!$A10=Query!$B$4),OR(Query!$B$5="All",'Compliance Database'!$F10=Query!$B$5),OR(Query!$B$6="All",ISNUMBER(SEARCH(Query!$B$6,'Compliance Database'!$I10))),OR(Query!$B$7="All",ISNUMBER(SEARCH(Query!$B$7,'Compliance Database'!$J10))),OR(Query!$B$8="All",'Compliance Database'!$G10=Query!$B$8),OR(Query!$B$9="All",'Compliance Database'!$K10=Query!$B$9),OR(Query!$B$10="",ISNUMBER(SEARCH(Query!$B$10,'Compliance Database'!$D10&amp;" "&amp;'Compliance Database'!$L10&amp;" "&amp;'Compliance Database'!$M10&amp;" "&amp;'Compliance Database'!$N10&amp;" "&amp;'Compliance Database'!$O10)))),1,0)</f>
        <v/>
      </c>
      <c r="B10">
        <f>IF($A10=1,SUM($A$2:$A10),"")</f>
        <v/>
      </c>
      <c r="C10">
        <f>IF($A10=1,SUM($A$2:$A10),0)</f>
        <v/>
      </c>
    </row>
    <row r="11">
      <c r="A11">
        <f>IF(AND(OR(Query!$B$4="All",'Compliance Database'!$A11=Query!$B$4),OR(Query!$B$5="All",'Compliance Database'!$F11=Query!$B$5),OR(Query!$B$6="All",ISNUMBER(SEARCH(Query!$B$6,'Compliance Database'!$I11))),OR(Query!$B$7="All",ISNUMBER(SEARCH(Query!$B$7,'Compliance Database'!$J11))),OR(Query!$B$8="All",'Compliance Database'!$G11=Query!$B$8),OR(Query!$B$9="All",'Compliance Database'!$K11=Query!$B$9),OR(Query!$B$10="",ISNUMBER(SEARCH(Query!$B$10,'Compliance Database'!$D11&amp;" "&amp;'Compliance Database'!$L11&amp;" "&amp;'Compliance Database'!$M11&amp;" "&amp;'Compliance Database'!$N11&amp;" "&amp;'Compliance Database'!$O11)))),1,0)</f>
        <v/>
      </c>
      <c r="B11">
        <f>IF($A11=1,SUM($A$2:$A11),"")</f>
        <v/>
      </c>
      <c r="C11">
        <f>IF($A11=1,SUM($A$2:$A11),0)</f>
        <v/>
      </c>
    </row>
    <row r="12">
      <c r="A12">
        <f>IF(AND(OR(Query!$B$4="All",'Compliance Database'!$A12=Query!$B$4),OR(Query!$B$5="All",'Compliance Database'!$F12=Query!$B$5),OR(Query!$B$6="All",ISNUMBER(SEARCH(Query!$B$6,'Compliance Database'!$I12))),OR(Query!$B$7="All",ISNUMBER(SEARCH(Query!$B$7,'Compliance Database'!$J12))),OR(Query!$B$8="All",'Compliance Database'!$G12=Query!$B$8),OR(Query!$B$9="All",'Compliance Database'!$K12=Query!$B$9),OR(Query!$B$10="",ISNUMBER(SEARCH(Query!$B$10,'Compliance Database'!$D12&amp;" "&amp;'Compliance Database'!$L12&amp;" "&amp;'Compliance Database'!$M12&amp;" "&amp;'Compliance Database'!$N12&amp;" "&amp;'Compliance Database'!$O12)))),1,0)</f>
        <v/>
      </c>
      <c r="B12">
        <f>IF($A12=1,SUM($A$2:$A12),"")</f>
        <v/>
      </c>
      <c r="C12">
        <f>IF($A12=1,SUM($A$2:$A12),0)</f>
        <v/>
      </c>
    </row>
    <row r="13">
      <c r="A13">
        <f>IF(AND(OR(Query!$B$4="All",'Compliance Database'!$A13=Query!$B$4),OR(Query!$B$5="All",'Compliance Database'!$F13=Query!$B$5),OR(Query!$B$6="All",ISNUMBER(SEARCH(Query!$B$6,'Compliance Database'!$I13))),OR(Query!$B$7="All",ISNUMBER(SEARCH(Query!$B$7,'Compliance Database'!$J13))),OR(Query!$B$8="All",'Compliance Database'!$G13=Query!$B$8),OR(Query!$B$9="All",'Compliance Database'!$K13=Query!$B$9),OR(Query!$B$10="",ISNUMBER(SEARCH(Query!$B$10,'Compliance Database'!$D13&amp;" "&amp;'Compliance Database'!$L13&amp;" "&amp;'Compliance Database'!$M13&amp;" "&amp;'Compliance Database'!$N13&amp;" "&amp;'Compliance Database'!$O13)))),1,0)</f>
        <v/>
      </c>
      <c r="B13">
        <f>IF($A13=1,SUM($A$2:$A13),"")</f>
        <v/>
      </c>
      <c r="C13">
        <f>IF($A13=1,SUM($A$2:$A13),0)</f>
        <v/>
      </c>
    </row>
    <row r="14">
      <c r="A14">
        <f>IF(AND(OR(Query!$B$4="All",'Compliance Database'!$A14=Query!$B$4),OR(Query!$B$5="All",'Compliance Database'!$F14=Query!$B$5),OR(Query!$B$6="All",ISNUMBER(SEARCH(Query!$B$6,'Compliance Database'!$I14))),OR(Query!$B$7="All",ISNUMBER(SEARCH(Query!$B$7,'Compliance Database'!$J14))),OR(Query!$B$8="All",'Compliance Database'!$G14=Query!$B$8),OR(Query!$B$9="All",'Compliance Database'!$K14=Query!$B$9),OR(Query!$B$10="",ISNUMBER(SEARCH(Query!$B$10,'Compliance Database'!$D14&amp;" "&amp;'Compliance Database'!$L14&amp;" "&amp;'Compliance Database'!$M14&amp;" "&amp;'Compliance Database'!$N14&amp;" "&amp;'Compliance Database'!$O14)))),1,0)</f>
        <v/>
      </c>
      <c r="B14">
        <f>IF($A14=1,SUM($A$2:$A14),"")</f>
        <v/>
      </c>
      <c r="C14">
        <f>IF($A14=1,SUM($A$2:$A14),0)</f>
        <v/>
      </c>
    </row>
    <row r="15">
      <c r="A15">
        <f>IF(AND(OR(Query!$B$4="All",'Compliance Database'!$A15=Query!$B$4),OR(Query!$B$5="All",'Compliance Database'!$F15=Query!$B$5),OR(Query!$B$6="All",ISNUMBER(SEARCH(Query!$B$6,'Compliance Database'!$I15))),OR(Query!$B$7="All",ISNUMBER(SEARCH(Query!$B$7,'Compliance Database'!$J15))),OR(Query!$B$8="All",'Compliance Database'!$G15=Query!$B$8),OR(Query!$B$9="All",'Compliance Database'!$K15=Query!$B$9),OR(Query!$B$10="",ISNUMBER(SEARCH(Query!$B$10,'Compliance Database'!$D15&amp;" "&amp;'Compliance Database'!$L15&amp;" "&amp;'Compliance Database'!$M15&amp;" "&amp;'Compliance Database'!$N15&amp;" "&amp;'Compliance Database'!$O15)))),1,0)</f>
        <v/>
      </c>
      <c r="B15">
        <f>IF($A15=1,SUM($A$2:$A15),"")</f>
        <v/>
      </c>
      <c r="C15">
        <f>IF($A15=1,SUM($A$2:$A15),0)</f>
        <v/>
      </c>
    </row>
    <row r="16">
      <c r="A16">
        <f>IF(AND(OR(Query!$B$4="All",'Compliance Database'!$A16=Query!$B$4),OR(Query!$B$5="All",'Compliance Database'!$F16=Query!$B$5),OR(Query!$B$6="All",ISNUMBER(SEARCH(Query!$B$6,'Compliance Database'!$I16))),OR(Query!$B$7="All",ISNUMBER(SEARCH(Query!$B$7,'Compliance Database'!$J16))),OR(Query!$B$8="All",'Compliance Database'!$G16=Query!$B$8),OR(Query!$B$9="All",'Compliance Database'!$K16=Query!$B$9),OR(Query!$B$10="",ISNUMBER(SEARCH(Query!$B$10,'Compliance Database'!$D16&amp;" "&amp;'Compliance Database'!$L16&amp;" "&amp;'Compliance Database'!$M16&amp;" "&amp;'Compliance Database'!$N16&amp;" "&amp;'Compliance Database'!$O16)))),1,0)</f>
        <v/>
      </c>
      <c r="B16">
        <f>IF($A16=1,SUM($A$2:$A16),"")</f>
        <v/>
      </c>
      <c r="C16">
        <f>IF($A16=1,SUM($A$2:$A16),0)</f>
        <v/>
      </c>
    </row>
    <row r="17">
      <c r="A17">
        <f>IF(AND(OR(Query!$B$4="All",'Compliance Database'!$A17=Query!$B$4),OR(Query!$B$5="All",'Compliance Database'!$F17=Query!$B$5),OR(Query!$B$6="All",ISNUMBER(SEARCH(Query!$B$6,'Compliance Database'!$I17))),OR(Query!$B$7="All",ISNUMBER(SEARCH(Query!$B$7,'Compliance Database'!$J17))),OR(Query!$B$8="All",'Compliance Database'!$G17=Query!$B$8),OR(Query!$B$9="All",'Compliance Database'!$K17=Query!$B$9),OR(Query!$B$10="",ISNUMBER(SEARCH(Query!$B$10,'Compliance Database'!$D17&amp;" "&amp;'Compliance Database'!$L17&amp;" "&amp;'Compliance Database'!$M17&amp;" "&amp;'Compliance Database'!$N17&amp;" "&amp;'Compliance Database'!$O17)))),1,0)</f>
        <v/>
      </c>
      <c r="B17">
        <f>IF($A17=1,SUM($A$2:$A17),"")</f>
        <v/>
      </c>
      <c r="C17">
        <f>IF($A17=1,SUM($A$2:$A17),0)</f>
        <v/>
      </c>
    </row>
    <row r="18">
      <c r="A18">
        <f>IF(AND(OR(Query!$B$4="All",'Compliance Database'!$A18=Query!$B$4),OR(Query!$B$5="All",'Compliance Database'!$F18=Query!$B$5),OR(Query!$B$6="All",ISNUMBER(SEARCH(Query!$B$6,'Compliance Database'!$I18))),OR(Query!$B$7="All",ISNUMBER(SEARCH(Query!$B$7,'Compliance Database'!$J18))),OR(Query!$B$8="All",'Compliance Database'!$G18=Query!$B$8),OR(Query!$B$9="All",'Compliance Database'!$K18=Query!$B$9),OR(Query!$B$10="",ISNUMBER(SEARCH(Query!$B$10,'Compliance Database'!$D18&amp;" "&amp;'Compliance Database'!$L18&amp;" "&amp;'Compliance Database'!$M18&amp;" "&amp;'Compliance Database'!$N18&amp;" "&amp;'Compliance Database'!$O18)))),1,0)</f>
        <v/>
      </c>
      <c r="B18">
        <f>IF($A18=1,SUM($A$2:$A18),"")</f>
        <v/>
      </c>
      <c r="C18">
        <f>IF($A18=1,SUM($A$2:$A18),0)</f>
        <v/>
      </c>
    </row>
    <row r="19">
      <c r="A19">
        <f>IF(AND(OR(Query!$B$4="All",'Compliance Database'!$A19=Query!$B$4),OR(Query!$B$5="All",'Compliance Database'!$F19=Query!$B$5),OR(Query!$B$6="All",ISNUMBER(SEARCH(Query!$B$6,'Compliance Database'!$I19))),OR(Query!$B$7="All",ISNUMBER(SEARCH(Query!$B$7,'Compliance Database'!$J19))),OR(Query!$B$8="All",'Compliance Database'!$G19=Query!$B$8),OR(Query!$B$9="All",'Compliance Database'!$K19=Query!$B$9),OR(Query!$B$10="",ISNUMBER(SEARCH(Query!$B$10,'Compliance Database'!$D19&amp;" "&amp;'Compliance Database'!$L19&amp;" "&amp;'Compliance Database'!$M19&amp;" "&amp;'Compliance Database'!$N19&amp;" "&amp;'Compliance Database'!$O19)))),1,0)</f>
        <v/>
      </c>
      <c r="B19">
        <f>IF($A19=1,SUM($A$2:$A19),"")</f>
        <v/>
      </c>
      <c r="C19">
        <f>IF($A19=1,SUM($A$2:$A19),0)</f>
        <v/>
      </c>
    </row>
    <row r="20">
      <c r="A20">
        <f>IF(AND(OR(Query!$B$4="All",'Compliance Database'!$A20=Query!$B$4),OR(Query!$B$5="All",'Compliance Database'!$F20=Query!$B$5),OR(Query!$B$6="All",ISNUMBER(SEARCH(Query!$B$6,'Compliance Database'!$I20))),OR(Query!$B$7="All",ISNUMBER(SEARCH(Query!$B$7,'Compliance Database'!$J20))),OR(Query!$B$8="All",'Compliance Database'!$G20=Query!$B$8),OR(Query!$B$9="All",'Compliance Database'!$K20=Query!$B$9),OR(Query!$B$10="",ISNUMBER(SEARCH(Query!$B$10,'Compliance Database'!$D20&amp;" "&amp;'Compliance Database'!$L20&amp;" "&amp;'Compliance Database'!$M20&amp;" "&amp;'Compliance Database'!$N20&amp;" "&amp;'Compliance Database'!$O20)))),1,0)</f>
        <v/>
      </c>
      <c r="B20">
        <f>IF($A20=1,SUM($A$2:$A20),"")</f>
        <v/>
      </c>
      <c r="C20">
        <f>IF($A20=1,SUM($A$2:$A20),0)</f>
        <v/>
      </c>
    </row>
    <row r="21">
      <c r="A21">
        <f>IF(AND(OR(Query!$B$4="All",'Compliance Database'!$A21=Query!$B$4),OR(Query!$B$5="All",'Compliance Database'!$F21=Query!$B$5),OR(Query!$B$6="All",ISNUMBER(SEARCH(Query!$B$6,'Compliance Database'!$I21))),OR(Query!$B$7="All",ISNUMBER(SEARCH(Query!$B$7,'Compliance Database'!$J21))),OR(Query!$B$8="All",'Compliance Database'!$G21=Query!$B$8),OR(Query!$B$9="All",'Compliance Database'!$K21=Query!$B$9),OR(Query!$B$10="",ISNUMBER(SEARCH(Query!$B$10,'Compliance Database'!$D21&amp;" "&amp;'Compliance Database'!$L21&amp;" "&amp;'Compliance Database'!$M21&amp;" "&amp;'Compliance Database'!$N21&amp;" "&amp;'Compliance Database'!$O21)))),1,0)</f>
        <v/>
      </c>
      <c r="B21">
        <f>IF($A21=1,SUM($A$2:$A21),"")</f>
        <v/>
      </c>
      <c r="C21">
        <f>IF($A21=1,SUM($A$2:$A21),0)</f>
        <v/>
      </c>
    </row>
    <row r="22">
      <c r="A22">
        <f>IF(AND(OR(Query!$B$4="All",'Compliance Database'!$A22=Query!$B$4),OR(Query!$B$5="All",'Compliance Database'!$F22=Query!$B$5),OR(Query!$B$6="All",ISNUMBER(SEARCH(Query!$B$6,'Compliance Database'!$I22))),OR(Query!$B$7="All",ISNUMBER(SEARCH(Query!$B$7,'Compliance Database'!$J22))),OR(Query!$B$8="All",'Compliance Database'!$G22=Query!$B$8),OR(Query!$B$9="All",'Compliance Database'!$K22=Query!$B$9),OR(Query!$B$10="",ISNUMBER(SEARCH(Query!$B$10,'Compliance Database'!$D22&amp;" "&amp;'Compliance Database'!$L22&amp;" "&amp;'Compliance Database'!$M22&amp;" "&amp;'Compliance Database'!$N22&amp;" "&amp;'Compliance Database'!$O22)))),1,0)</f>
        <v/>
      </c>
      <c r="B22">
        <f>IF($A22=1,SUM($A$2:$A22),"")</f>
        <v/>
      </c>
      <c r="C22">
        <f>IF($A22=1,SUM($A$2:$A22),0)</f>
        <v/>
      </c>
    </row>
    <row r="23">
      <c r="A23">
        <f>IF(AND(OR(Query!$B$4="All",'Compliance Database'!$A23=Query!$B$4),OR(Query!$B$5="All",'Compliance Database'!$F23=Query!$B$5),OR(Query!$B$6="All",ISNUMBER(SEARCH(Query!$B$6,'Compliance Database'!$I23))),OR(Query!$B$7="All",ISNUMBER(SEARCH(Query!$B$7,'Compliance Database'!$J23))),OR(Query!$B$8="All",'Compliance Database'!$G23=Query!$B$8),OR(Query!$B$9="All",'Compliance Database'!$K23=Query!$B$9),OR(Query!$B$10="",ISNUMBER(SEARCH(Query!$B$10,'Compliance Database'!$D23&amp;" "&amp;'Compliance Database'!$L23&amp;" "&amp;'Compliance Database'!$M23&amp;" "&amp;'Compliance Database'!$N23&amp;" "&amp;'Compliance Database'!$O23)))),1,0)</f>
        <v/>
      </c>
      <c r="B23">
        <f>IF($A23=1,SUM($A$2:$A23),"")</f>
        <v/>
      </c>
      <c r="C23">
        <f>IF($A23=1,SUM($A$2:$A23),0)</f>
        <v/>
      </c>
    </row>
    <row r="24">
      <c r="A24">
        <f>IF(AND(OR(Query!$B$4="All",'Compliance Database'!$A24=Query!$B$4),OR(Query!$B$5="All",'Compliance Database'!$F24=Query!$B$5),OR(Query!$B$6="All",ISNUMBER(SEARCH(Query!$B$6,'Compliance Database'!$I24))),OR(Query!$B$7="All",ISNUMBER(SEARCH(Query!$B$7,'Compliance Database'!$J24))),OR(Query!$B$8="All",'Compliance Database'!$G24=Query!$B$8),OR(Query!$B$9="All",'Compliance Database'!$K24=Query!$B$9),OR(Query!$B$10="",ISNUMBER(SEARCH(Query!$B$10,'Compliance Database'!$D24&amp;" "&amp;'Compliance Database'!$L24&amp;" "&amp;'Compliance Database'!$M24&amp;" "&amp;'Compliance Database'!$N24&amp;" "&amp;'Compliance Database'!$O24)))),1,0)</f>
        <v/>
      </c>
      <c r="B24">
        <f>IF($A24=1,SUM($A$2:$A24),"")</f>
        <v/>
      </c>
      <c r="C24">
        <f>IF($A24=1,SUM($A$2:$A24),0)</f>
        <v/>
      </c>
    </row>
    <row r="25">
      <c r="A25">
        <f>IF(AND(OR(Query!$B$4="All",'Compliance Database'!$A25=Query!$B$4),OR(Query!$B$5="All",'Compliance Database'!$F25=Query!$B$5),OR(Query!$B$6="All",ISNUMBER(SEARCH(Query!$B$6,'Compliance Database'!$I25))),OR(Query!$B$7="All",ISNUMBER(SEARCH(Query!$B$7,'Compliance Database'!$J25))),OR(Query!$B$8="All",'Compliance Database'!$G25=Query!$B$8),OR(Query!$B$9="All",'Compliance Database'!$K25=Query!$B$9),OR(Query!$B$10="",ISNUMBER(SEARCH(Query!$B$10,'Compliance Database'!$D25&amp;" "&amp;'Compliance Database'!$L25&amp;" "&amp;'Compliance Database'!$M25&amp;" "&amp;'Compliance Database'!$N25&amp;" "&amp;'Compliance Database'!$O25)))),1,0)</f>
        <v/>
      </c>
      <c r="B25">
        <f>IF($A25=1,SUM($A$2:$A25),"")</f>
        <v/>
      </c>
      <c r="C25">
        <f>IF($A25=1,SUM($A$2:$A25),0)</f>
        <v/>
      </c>
    </row>
    <row r="26">
      <c r="A26">
        <f>IF(AND(OR(Query!$B$4="All",'Compliance Database'!$A26=Query!$B$4),OR(Query!$B$5="All",'Compliance Database'!$F26=Query!$B$5),OR(Query!$B$6="All",ISNUMBER(SEARCH(Query!$B$6,'Compliance Database'!$I26))),OR(Query!$B$7="All",ISNUMBER(SEARCH(Query!$B$7,'Compliance Database'!$J26))),OR(Query!$B$8="All",'Compliance Database'!$G26=Query!$B$8),OR(Query!$B$9="All",'Compliance Database'!$K26=Query!$B$9),OR(Query!$B$10="",ISNUMBER(SEARCH(Query!$B$10,'Compliance Database'!$D26&amp;" "&amp;'Compliance Database'!$L26&amp;" "&amp;'Compliance Database'!$M26&amp;" "&amp;'Compliance Database'!$N26&amp;" "&amp;'Compliance Database'!$O26)))),1,0)</f>
        <v/>
      </c>
      <c r="B26">
        <f>IF($A26=1,SUM($A$2:$A26),"")</f>
        <v/>
      </c>
      <c r="C26">
        <f>IF($A26=1,SUM($A$2:$A26),0)</f>
        <v/>
      </c>
    </row>
    <row r="27">
      <c r="A27">
        <f>IF(AND(OR(Query!$B$4="All",'Compliance Database'!$A27=Query!$B$4),OR(Query!$B$5="All",'Compliance Database'!$F27=Query!$B$5),OR(Query!$B$6="All",ISNUMBER(SEARCH(Query!$B$6,'Compliance Database'!$I27))),OR(Query!$B$7="All",ISNUMBER(SEARCH(Query!$B$7,'Compliance Database'!$J27))),OR(Query!$B$8="All",'Compliance Database'!$G27=Query!$B$8),OR(Query!$B$9="All",'Compliance Database'!$K27=Query!$B$9),OR(Query!$B$10="",ISNUMBER(SEARCH(Query!$B$10,'Compliance Database'!$D27&amp;" "&amp;'Compliance Database'!$L27&amp;" "&amp;'Compliance Database'!$M27&amp;" "&amp;'Compliance Database'!$N27&amp;" "&amp;'Compliance Database'!$O27)))),1,0)</f>
        <v/>
      </c>
      <c r="B27">
        <f>IF($A27=1,SUM($A$2:$A27),"")</f>
        <v/>
      </c>
      <c r="C27">
        <f>IF($A27=1,SUM($A$2:$A27),0)</f>
        <v/>
      </c>
    </row>
    <row r="28">
      <c r="A28">
        <f>IF(AND(OR(Query!$B$4="All",'Compliance Database'!$A28=Query!$B$4),OR(Query!$B$5="All",'Compliance Database'!$F28=Query!$B$5),OR(Query!$B$6="All",ISNUMBER(SEARCH(Query!$B$6,'Compliance Database'!$I28))),OR(Query!$B$7="All",ISNUMBER(SEARCH(Query!$B$7,'Compliance Database'!$J28))),OR(Query!$B$8="All",'Compliance Database'!$G28=Query!$B$8),OR(Query!$B$9="All",'Compliance Database'!$K28=Query!$B$9),OR(Query!$B$10="",ISNUMBER(SEARCH(Query!$B$10,'Compliance Database'!$D28&amp;" "&amp;'Compliance Database'!$L28&amp;" "&amp;'Compliance Database'!$M28&amp;" "&amp;'Compliance Database'!$N28&amp;" "&amp;'Compliance Database'!$O28)))),1,0)</f>
        <v/>
      </c>
      <c r="B28">
        <f>IF($A28=1,SUM($A$2:$A28),"")</f>
        <v/>
      </c>
      <c r="C28">
        <f>IF($A28=1,SUM($A$2:$A28),0)</f>
        <v/>
      </c>
    </row>
    <row r="29">
      <c r="A29">
        <f>IF(AND(OR(Query!$B$4="All",'Compliance Database'!$A29=Query!$B$4),OR(Query!$B$5="All",'Compliance Database'!$F29=Query!$B$5),OR(Query!$B$6="All",ISNUMBER(SEARCH(Query!$B$6,'Compliance Database'!$I29))),OR(Query!$B$7="All",ISNUMBER(SEARCH(Query!$B$7,'Compliance Database'!$J29))),OR(Query!$B$8="All",'Compliance Database'!$G29=Query!$B$8),OR(Query!$B$9="All",'Compliance Database'!$K29=Query!$B$9),OR(Query!$B$10="",ISNUMBER(SEARCH(Query!$B$10,'Compliance Database'!$D29&amp;" "&amp;'Compliance Database'!$L29&amp;" "&amp;'Compliance Database'!$M29&amp;" "&amp;'Compliance Database'!$N29&amp;" "&amp;'Compliance Database'!$O29)))),1,0)</f>
        <v/>
      </c>
      <c r="B29">
        <f>IF($A29=1,SUM($A$2:$A29),"")</f>
        <v/>
      </c>
      <c r="C29">
        <f>IF($A29=1,SUM($A$2:$A29),0)</f>
        <v/>
      </c>
    </row>
    <row r="30">
      <c r="A30">
        <f>IF(AND(OR(Query!$B$4="All",'Compliance Database'!$A30=Query!$B$4),OR(Query!$B$5="All",'Compliance Database'!$F30=Query!$B$5),OR(Query!$B$6="All",ISNUMBER(SEARCH(Query!$B$6,'Compliance Database'!$I30))),OR(Query!$B$7="All",ISNUMBER(SEARCH(Query!$B$7,'Compliance Database'!$J30))),OR(Query!$B$8="All",'Compliance Database'!$G30=Query!$B$8),OR(Query!$B$9="All",'Compliance Database'!$K30=Query!$B$9),OR(Query!$B$10="",ISNUMBER(SEARCH(Query!$B$10,'Compliance Database'!$D30&amp;" "&amp;'Compliance Database'!$L30&amp;" "&amp;'Compliance Database'!$M30&amp;" "&amp;'Compliance Database'!$N30&amp;" "&amp;'Compliance Database'!$O30)))),1,0)</f>
        <v/>
      </c>
      <c r="B30">
        <f>IF($A30=1,SUM($A$2:$A30),"")</f>
        <v/>
      </c>
      <c r="C30">
        <f>IF($A30=1,SUM($A$2:$A30),0)</f>
        <v/>
      </c>
    </row>
    <row r="31">
      <c r="A31">
        <f>IF(AND(OR(Query!$B$4="All",'Compliance Database'!$A31=Query!$B$4),OR(Query!$B$5="All",'Compliance Database'!$F31=Query!$B$5),OR(Query!$B$6="All",ISNUMBER(SEARCH(Query!$B$6,'Compliance Database'!$I31))),OR(Query!$B$7="All",ISNUMBER(SEARCH(Query!$B$7,'Compliance Database'!$J31))),OR(Query!$B$8="All",'Compliance Database'!$G31=Query!$B$8),OR(Query!$B$9="All",'Compliance Database'!$K31=Query!$B$9),OR(Query!$B$10="",ISNUMBER(SEARCH(Query!$B$10,'Compliance Database'!$D31&amp;" "&amp;'Compliance Database'!$L31&amp;" "&amp;'Compliance Database'!$M31&amp;" "&amp;'Compliance Database'!$N31&amp;" "&amp;'Compliance Database'!$O31)))),1,0)</f>
        <v/>
      </c>
      <c r="B31">
        <f>IF($A31=1,SUM($A$2:$A31),"")</f>
        <v/>
      </c>
      <c r="C31">
        <f>IF($A31=1,SUM($A$2:$A31),0)</f>
        <v/>
      </c>
    </row>
    <row r="32">
      <c r="A32">
        <f>IF(AND(OR(Query!$B$4="All",'Compliance Database'!$A32=Query!$B$4),OR(Query!$B$5="All",'Compliance Database'!$F32=Query!$B$5),OR(Query!$B$6="All",ISNUMBER(SEARCH(Query!$B$6,'Compliance Database'!$I32))),OR(Query!$B$7="All",ISNUMBER(SEARCH(Query!$B$7,'Compliance Database'!$J32))),OR(Query!$B$8="All",'Compliance Database'!$G32=Query!$B$8),OR(Query!$B$9="All",'Compliance Database'!$K32=Query!$B$9),OR(Query!$B$10="",ISNUMBER(SEARCH(Query!$B$10,'Compliance Database'!$D32&amp;" "&amp;'Compliance Database'!$L32&amp;" "&amp;'Compliance Database'!$M32&amp;" "&amp;'Compliance Database'!$N32&amp;" "&amp;'Compliance Database'!$O32)))),1,0)</f>
        <v/>
      </c>
      <c r="B32">
        <f>IF($A32=1,SUM($A$2:$A32),"")</f>
        <v/>
      </c>
      <c r="C32">
        <f>IF($A32=1,SUM($A$2:$A32),0)</f>
        <v/>
      </c>
    </row>
    <row r="33">
      <c r="A33">
        <f>IF(AND(OR(Query!$B$4="All",'Compliance Database'!$A33=Query!$B$4),OR(Query!$B$5="All",'Compliance Database'!$F33=Query!$B$5),OR(Query!$B$6="All",ISNUMBER(SEARCH(Query!$B$6,'Compliance Database'!$I33))),OR(Query!$B$7="All",ISNUMBER(SEARCH(Query!$B$7,'Compliance Database'!$J33))),OR(Query!$B$8="All",'Compliance Database'!$G33=Query!$B$8),OR(Query!$B$9="All",'Compliance Database'!$K33=Query!$B$9),OR(Query!$B$10="",ISNUMBER(SEARCH(Query!$B$10,'Compliance Database'!$D33&amp;" "&amp;'Compliance Database'!$L33&amp;" "&amp;'Compliance Database'!$M33&amp;" "&amp;'Compliance Database'!$N33&amp;" "&amp;'Compliance Database'!$O33)))),1,0)</f>
        <v/>
      </c>
      <c r="B33">
        <f>IF($A33=1,SUM($A$2:$A33),"")</f>
        <v/>
      </c>
      <c r="C33">
        <f>IF($A33=1,SUM($A$2:$A33),0)</f>
        <v/>
      </c>
    </row>
    <row r="34">
      <c r="A34">
        <f>IF(AND(OR(Query!$B$4="All",'Compliance Database'!$A34=Query!$B$4),OR(Query!$B$5="All",'Compliance Database'!$F34=Query!$B$5),OR(Query!$B$6="All",ISNUMBER(SEARCH(Query!$B$6,'Compliance Database'!$I34))),OR(Query!$B$7="All",ISNUMBER(SEARCH(Query!$B$7,'Compliance Database'!$J34))),OR(Query!$B$8="All",'Compliance Database'!$G34=Query!$B$8),OR(Query!$B$9="All",'Compliance Database'!$K34=Query!$B$9),OR(Query!$B$10="",ISNUMBER(SEARCH(Query!$B$10,'Compliance Database'!$D34&amp;" "&amp;'Compliance Database'!$L34&amp;" "&amp;'Compliance Database'!$M34&amp;" "&amp;'Compliance Database'!$N34&amp;" "&amp;'Compliance Database'!$O34)))),1,0)</f>
        <v/>
      </c>
      <c r="B34">
        <f>IF($A34=1,SUM($A$2:$A34),"")</f>
        <v/>
      </c>
      <c r="C34">
        <f>IF($A34=1,SUM($A$2:$A34),0)</f>
        <v/>
      </c>
    </row>
    <row r="35">
      <c r="A35">
        <f>IF(AND(OR(Query!$B$4="All",'Compliance Database'!$A35=Query!$B$4),OR(Query!$B$5="All",'Compliance Database'!$F35=Query!$B$5),OR(Query!$B$6="All",ISNUMBER(SEARCH(Query!$B$6,'Compliance Database'!$I35))),OR(Query!$B$7="All",ISNUMBER(SEARCH(Query!$B$7,'Compliance Database'!$J35))),OR(Query!$B$8="All",'Compliance Database'!$G35=Query!$B$8),OR(Query!$B$9="All",'Compliance Database'!$K35=Query!$B$9),OR(Query!$B$10="",ISNUMBER(SEARCH(Query!$B$10,'Compliance Database'!$D35&amp;" "&amp;'Compliance Database'!$L35&amp;" "&amp;'Compliance Database'!$M35&amp;" "&amp;'Compliance Database'!$N35&amp;" "&amp;'Compliance Database'!$O35)))),1,0)</f>
        <v/>
      </c>
      <c r="B35">
        <f>IF($A35=1,SUM($A$2:$A35),"")</f>
        <v/>
      </c>
      <c r="C35">
        <f>IF($A35=1,SUM($A$2:$A35),0)</f>
        <v/>
      </c>
    </row>
    <row r="36">
      <c r="A36">
        <f>IF(AND(OR(Query!$B$4="All",'Compliance Database'!$A36=Query!$B$4),OR(Query!$B$5="All",'Compliance Database'!$F36=Query!$B$5),OR(Query!$B$6="All",ISNUMBER(SEARCH(Query!$B$6,'Compliance Database'!$I36))),OR(Query!$B$7="All",ISNUMBER(SEARCH(Query!$B$7,'Compliance Database'!$J36))),OR(Query!$B$8="All",'Compliance Database'!$G36=Query!$B$8),OR(Query!$B$9="All",'Compliance Database'!$K36=Query!$B$9),OR(Query!$B$10="",ISNUMBER(SEARCH(Query!$B$10,'Compliance Database'!$D36&amp;" "&amp;'Compliance Database'!$L36&amp;" "&amp;'Compliance Database'!$M36&amp;" "&amp;'Compliance Database'!$N36&amp;" "&amp;'Compliance Database'!$O36)))),1,0)</f>
        <v/>
      </c>
      <c r="B36">
        <f>IF($A36=1,SUM($A$2:$A36),"")</f>
        <v/>
      </c>
      <c r="C36">
        <f>IF($A36=1,SUM($A$2:$A36),0)</f>
        <v/>
      </c>
    </row>
    <row r="37">
      <c r="A37">
        <f>IF(AND(OR(Query!$B$4="All",'Compliance Database'!$A37=Query!$B$4),OR(Query!$B$5="All",'Compliance Database'!$F37=Query!$B$5),OR(Query!$B$6="All",ISNUMBER(SEARCH(Query!$B$6,'Compliance Database'!$I37))),OR(Query!$B$7="All",ISNUMBER(SEARCH(Query!$B$7,'Compliance Database'!$J37))),OR(Query!$B$8="All",'Compliance Database'!$G37=Query!$B$8),OR(Query!$B$9="All",'Compliance Database'!$K37=Query!$B$9),OR(Query!$B$10="",ISNUMBER(SEARCH(Query!$B$10,'Compliance Database'!$D37&amp;" "&amp;'Compliance Database'!$L37&amp;" "&amp;'Compliance Database'!$M37&amp;" "&amp;'Compliance Database'!$N37&amp;" "&amp;'Compliance Database'!$O37)))),1,0)</f>
        <v/>
      </c>
      <c r="B37">
        <f>IF($A37=1,SUM($A$2:$A37),"")</f>
        <v/>
      </c>
      <c r="C37">
        <f>IF($A37=1,SUM($A$2:$A37),0)</f>
        <v/>
      </c>
    </row>
    <row r="38">
      <c r="A38">
        <f>IF(AND(OR(Query!$B$4="All",'Compliance Database'!$A38=Query!$B$4),OR(Query!$B$5="All",'Compliance Database'!$F38=Query!$B$5),OR(Query!$B$6="All",ISNUMBER(SEARCH(Query!$B$6,'Compliance Database'!$I38))),OR(Query!$B$7="All",ISNUMBER(SEARCH(Query!$B$7,'Compliance Database'!$J38))),OR(Query!$B$8="All",'Compliance Database'!$G38=Query!$B$8),OR(Query!$B$9="All",'Compliance Database'!$K38=Query!$B$9),OR(Query!$B$10="",ISNUMBER(SEARCH(Query!$B$10,'Compliance Database'!$D38&amp;" "&amp;'Compliance Database'!$L38&amp;" "&amp;'Compliance Database'!$M38&amp;" "&amp;'Compliance Database'!$N38&amp;" "&amp;'Compliance Database'!$O38)))),1,0)</f>
        <v/>
      </c>
      <c r="B38">
        <f>IF($A38=1,SUM($A$2:$A38),"")</f>
        <v/>
      </c>
      <c r="C38">
        <f>IF($A38=1,SUM($A$2:$A38),0)</f>
        <v/>
      </c>
    </row>
    <row r="39">
      <c r="A39">
        <f>IF(AND(OR(Query!$B$4="All",'Compliance Database'!$A39=Query!$B$4),OR(Query!$B$5="All",'Compliance Database'!$F39=Query!$B$5),OR(Query!$B$6="All",ISNUMBER(SEARCH(Query!$B$6,'Compliance Database'!$I39))),OR(Query!$B$7="All",ISNUMBER(SEARCH(Query!$B$7,'Compliance Database'!$J39))),OR(Query!$B$8="All",'Compliance Database'!$G39=Query!$B$8),OR(Query!$B$9="All",'Compliance Database'!$K39=Query!$B$9),OR(Query!$B$10="",ISNUMBER(SEARCH(Query!$B$10,'Compliance Database'!$D39&amp;" "&amp;'Compliance Database'!$L39&amp;" "&amp;'Compliance Database'!$M39&amp;" "&amp;'Compliance Database'!$N39&amp;" "&amp;'Compliance Database'!$O39)))),1,0)</f>
        <v/>
      </c>
      <c r="B39">
        <f>IF($A39=1,SUM($A$2:$A39),"")</f>
        <v/>
      </c>
      <c r="C39">
        <f>IF($A39=1,SUM($A$2:$A39),0)</f>
        <v/>
      </c>
    </row>
    <row r="40">
      <c r="A40">
        <f>IF(AND(OR(Query!$B$4="All",'Compliance Database'!$A40=Query!$B$4),OR(Query!$B$5="All",'Compliance Database'!$F40=Query!$B$5),OR(Query!$B$6="All",ISNUMBER(SEARCH(Query!$B$6,'Compliance Database'!$I40))),OR(Query!$B$7="All",ISNUMBER(SEARCH(Query!$B$7,'Compliance Database'!$J40))),OR(Query!$B$8="All",'Compliance Database'!$G40=Query!$B$8),OR(Query!$B$9="All",'Compliance Database'!$K40=Query!$B$9),OR(Query!$B$10="",ISNUMBER(SEARCH(Query!$B$10,'Compliance Database'!$D40&amp;" "&amp;'Compliance Database'!$L40&amp;" "&amp;'Compliance Database'!$M40&amp;" "&amp;'Compliance Database'!$N40&amp;" "&amp;'Compliance Database'!$O40)))),1,0)</f>
        <v/>
      </c>
      <c r="B40">
        <f>IF($A40=1,SUM($A$2:$A40),"")</f>
        <v/>
      </c>
      <c r="C40">
        <f>IF($A40=1,SUM($A$2:$A40),0)</f>
        <v/>
      </c>
    </row>
    <row r="41">
      <c r="A41">
        <f>IF(AND(OR(Query!$B$4="All",'Compliance Database'!$A41=Query!$B$4),OR(Query!$B$5="All",'Compliance Database'!$F41=Query!$B$5),OR(Query!$B$6="All",ISNUMBER(SEARCH(Query!$B$6,'Compliance Database'!$I41))),OR(Query!$B$7="All",ISNUMBER(SEARCH(Query!$B$7,'Compliance Database'!$J41))),OR(Query!$B$8="All",'Compliance Database'!$G41=Query!$B$8),OR(Query!$B$9="All",'Compliance Database'!$K41=Query!$B$9),OR(Query!$B$10="",ISNUMBER(SEARCH(Query!$B$10,'Compliance Database'!$D41&amp;" "&amp;'Compliance Database'!$L41&amp;" "&amp;'Compliance Database'!$M41&amp;" "&amp;'Compliance Database'!$N41&amp;" "&amp;'Compliance Database'!$O41)))),1,0)</f>
        <v/>
      </c>
      <c r="B41">
        <f>IF($A41=1,SUM($A$2:$A41),"")</f>
        <v/>
      </c>
      <c r="C41">
        <f>IF($A41=1,SUM($A$2:$A41),0)</f>
        <v/>
      </c>
    </row>
    <row r="42">
      <c r="A42">
        <f>IF(AND(OR(Query!$B$4="All",'Compliance Database'!$A42=Query!$B$4),OR(Query!$B$5="All",'Compliance Database'!$F42=Query!$B$5),OR(Query!$B$6="All",ISNUMBER(SEARCH(Query!$B$6,'Compliance Database'!$I42))),OR(Query!$B$7="All",ISNUMBER(SEARCH(Query!$B$7,'Compliance Database'!$J42))),OR(Query!$B$8="All",'Compliance Database'!$G42=Query!$B$8),OR(Query!$B$9="All",'Compliance Database'!$K42=Query!$B$9),OR(Query!$B$10="",ISNUMBER(SEARCH(Query!$B$10,'Compliance Database'!$D42&amp;" "&amp;'Compliance Database'!$L42&amp;" "&amp;'Compliance Database'!$M42&amp;" "&amp;'Compliance Database'!$N42&amp;" "&amp;'Compliance Database'!$O42)))),1,0)</f>
        <v/>
      </c>
      <c r="B42">
        <f>IF($A42=1,SUM($A$2:$A42),"")</f>
        <v/>
      </c>
      <c r="C42">
        <f>IF($A42=1,SUM($A$2:$A42),0)</f>
        <v/>
      </c>
    </row>
    <row r="43">
      <c r="A43">
        <f>IF(AND(OR(Query!$B$4="All",'Compliance Database'!$A43=Query!$B$4),OR(Query!$B$5="All",'Compliance Database'!$F43=Query!$B$5),OR(Query!$B$6="All",ISNUMBER(SEARCH(Query!$B$6,'Compliance Database'!$I43))),OR(Query!$B$7="All",ISNUMBER(SEARCH(Query!$B$7,'Compliance Database'!$J43))),OR(Query!$B$8="All",'Compliance Database'!$G43=Query!$B$8),OR(Query!$B$9="All",'Compliance Database'!$K43=Query!$B$9),OR(Query!$B$10="",ISNUMBER(SEARCH(Query!$B$10,'Compliance Database'!$D43&amp;" "&amp;'Compliance Database'!$L43&amp;" "&amp;'Compliance Database'!$M43&amp;" "&amp;'Compliance Database'!$N43&amp;" "&amp;'Compliance Database'!$O43)))),1,0)</f>
        <v/>
      </c>
      <c r="B43">
        <f>IF($A43=1,SUM($A$2:$A43),"")</f>
        <v/>
      </c>
      <c r="C43">
        <f>IF($A43=1,SUM($A$2:$A43),0)</f>
        <v/>
      </c>
    </row>
    <row r="44">
      <c r="A44">
        <f>IF(AND(OR(Query!$B$4="All",'Compliance Database'!$A44=Query!$B$4),OR(Query!$B$5="All",'Compliance Database'!$F44=Query!$B$5),OR(Query!$B$6="All",ISNUMBER(SEARCH(Query!$B$6,'Compliance Database'!$I44))),OR(Query!$B$7="All",ISNUMBER(SEARCH(Query!$B$7,'Compliance Database'!$J44))),OR(Query!$B$8="All",'Compliance Database'!$G44=Query!$B$8),OR(Query!$B$9="All",'Compliance Database'!$K44=Query!$B$9),OR(Query!$B$10="",ISNUMBER(SEARCH(Query!$B$10,'Compliance Database'!$D44&amp;" "&amp;'Compliance Database'!$L44&amp;" "&amp;'Compliance Database'!$M44&amp;" "&amp;'Compliance Database'!$N44&amp;" "&amp;'Compliance Database'!$O44)))),1,0)</f>
        <v/>
      </c>
      <c r="B44">
        <f>IF($A44=1,SUM($A$2:$A44),"")</f>
        <v/>
      </c>
      <c r="C44">
        <f>IF($A44=1,SUM($A$2:$A44),0)</f>
        <v/>
      </c>
    </row>
    <row r="45">
      <c r="A45">
        <f>IF(AND(OR(Query!$B$4="All",'Compliance Database'!$A45=Query!$B$4),OR(Query!$B$5="All",'Compliance Database'!$F45=Query!$B$5),OR(Query!$B$6="All",ISNUMBER(SEARCH(Query!$B$6,'Compliance Database'!$I45))),OR(Query!$B$7="All",ISNUMBER(SEARCH(Query!$B$7,'Compliance Database'!$J45))),OR(Query!$B$8="All",'Compliance Database'!$G45=Query!$B$8),OR(Query!$B$9="All",'Compliance Database'!$K45=Query!$B$9),OR(Query!$B$10="",ISNUMBER(SEARCH(Query!$B$10,'Compliance Database'!$D45&amp;" "&amp;'Compliance Database'!$L45&amp;" "&amp;'Compliance Database'!$M45&amp;" "&amp;'Compliance Database'!$N45&amp;" "&amp;'Compliance Database'!$O45)))),1,0)</f>
        <v/>
      </c>
      <c r="B45">
        <f>IF($A45=1,SUM($A$2:$A45),"")</f>
        <v/>
      </c>
      <c r="C45">
        <f>IF($A45=1,SUM($A$2:$A45),0)</f>
        <v/>
      </c>
    </row>
    <row r="46">
      <c r="A46">
        <f>IF(AND(OR(Query!$B$4="All",'Compliance Database'!$A46=Query!$B$4),OR(Query!$B$5="All",'Compliance Database'!$F46=Query!$B$5),OR(Query!$B$6="All",ISNUMBER(SEARCH(Query!$B$6,'Compliance Database'!$I46))),OR(Query!$B$7="All",ISNUMBER(SEARCH(Query!$B$7,'Compliance Database'!$J46))),OR(Query!$B$8="All",'Compliance Database'!$G46=Query!$B$8),OR(Query!$B$9="All",'Compliance Database'!$K46=Query!$B$9),OR(Query!$B$10="",ISNUMBER(SEARCH(Query!$B$10,'Compliance Database'!$D46&amp;" "&amp;'Compliance Database'!$L46&amp;" "&amp;'Compliance Database'!$M46&amp;" "&amp;'Compliance Database'!$N46&amp;" "&amp;'Compliance Database'!$O46)))),1,0)</f>
        <v/>
      </c>
      <c r="B46">
        <f>IF($A46=1,SUM($A$2:$A46),"")</f>
        <v/>
      </c>
      <c r="C46">
        <f>IF($A46=1,SUM($A$2:$A46),0)</f>
        <v/>
      </c>
    </row>
    <row r="47">
      <c r="A47">
        <f>IF(AND(OR(Query!$B$4="All",'Compliance Database'!$A47=Query!$B$4),OR(Query!$B$5="All",'Compliance Database'!$F47=Query!$B$5),OR(Query!$B$6="All",ISNUMBER(SEARCH(Query!$B$6,'Compliance Database'!$I47))),OR(Query!$B$7="All",ISNUMBER(SEARCH(Query!$B$7,'Compliance Database'!$J47))),OR(Query!$B$8="All",'Compliance Database'!$G47=Query!$B$8),OR(Query!$B$9="All",'Compliance Database'!$K47=Query!$B$9),OR(Query!$B$10="",ISNUMBER(SEARCH(Query!$B$10,'Compliance Database'!$D47&amp;" "&amp;'Compliance Database'!$L47&amp;" "&amp;'Compliance Database'!$M47&amp;" "&amp;'Compliance Database'!$N47&amp;" "&amp;'Compliance Database'!$O47)))),1,0)</f>
        <v/>
      </c>
      <c r="B47">
        <f>IF($A47=1,SUM($A$2:$A47),"")</f>
        <v/>
      </c>
      <c r="C47">
        <f>IF($A47=1,SUM($A$2:$A47),0)</f>
        <v/>
      </c>
    </row>
    <row r="48">
      <c r="A48">
        <f>IF(AND(OR(Query!$B$4="All",'Compliance Database'!$A48=Query!$B$4),OR(Query!$B$5="All",'Compliance Database'!$F48=Query!$B$5),OR(Query!$B$6="All",ISNUMBER(SEARCH(Query!$B$6,'Compliance Database'!$I48))),OR(Query!$B$7="All",ISNUMBER(SEARCH(Query!$B$7,'Compliance Database'!$J48))),OR(Query!$B$8="All",'Compliance Database'!$G48=Query!$B$8),OR(Query!$B$9="All",'Compliance Database'!$K48=Query!$B$9),OR(Query!$B$10="",ISNUMBER(SEARCH(Query!$B$10,'Compliance Database'!$D48&amp;" "&amp;'Compliance Database'!$L48&amp;" "&amp;'Compliance Database'!$M48&amp;" "&amp;'Compliance Database'!$N48&amp;" "&amp;'Compliance Database'!$O48)))),1,0)</f>
        <v/>
      </c>
      <c r="B48">
        <f>IF($A48=1,SUM($A$2:$A48),"")</f>
        <v/>
      </c>
      <c r="C48">
        <f>IF($A48=1,SUM($A$2:$A48),0)</f>
        <v/>
      </c>
    </row>
    <row r="49">
      <c r="A49">
        <f>IF(AND(OR(Query!$B$4="All",'Compliance Database'!$A49=Query!$B$4),OR(Query!$B$5="All",'Compliance Database'!$F49=Query!$B$5),OR(Query!$B$6="All",ISNUMBER(SEARCH(Query!$B$6,'Compliance Database'!$I49))),OR(Query!$B$7="All",ISNUMBER(SEARCH(Query!$B$7,'Compliance Database'!$J49))),OR(Query!$B$8="All",'Compliance Database'!$G49=Query!$B$8),OR(Query!$B$9="All",'Compliance Database'!$K49=Query!$B$9),OR(Query!$B$10="",ISNUMBER(SEARCH(Query!$B$10,'Compliance Database'!$D49&amp;" "&amp;'Compliance Database'!$L49&amp;" "&amp;'Compliance Database'!$M49&amp;" "&amp;'Compliance Database'!$N49&amp;" "&amp;'Compliance Database'!$O49)))),1,0)</f>
        <v/>
      </c>
      <c r="B49">
        <f>IF($A49=1,SUM($A$2:$A49),"")</f>
        <v/>
      </c>
      <c r="C49">
        <f>IF($A49=1,SUM($A$2:$A49),0)</f>
        <v/>
      </c>
    </row>
    <row r="50">
      <c r="A50">
        <f>IF(AND(OR(Query!$B$4="All",'Compliance Database'!$A50=Query!$B$4),OR(Query!$B$5="All",'Compliance Database'!$F50=Query!$B$5),OR(Query!$B$6="All",ISNUMBER(SEARCH(Query!$B$6,'Compliance Database'!$I50))),OR(Query!$B$7="All",ISNUMBER(SEARCH(Query!$B$7,'Compliance Database'!$J50))),OR(Query!$B$8="All",'Compliance Database'!$G50=Query!$B$8),OR(Query!$B$9="All",'Compliance Database'!$K50=Query!$B$9),OR(Query!$B$10="",ISNUMBER(SEARCH(Query!$B$10,'Compliance Database'!$D50&amp;" "&amp;'Compliance Database'!$L50&amp;" "&amp;'Compliance Database'!$M50&amp;" "&amp;'Compliance Database'!$N50&amp;" "&amp;'Compliance Database'!$O50)))),1,0)</f>
        <v/>
      </c>
      <c r="B50">
        <f>IF($A50=1,SUM($A$2:$A50),"")</f>
        <v/>
      </c>
      <c r="C50">
        <f>IF($A50=1,SUM($A$2:$A50),0)</f>
        <v/>
      </c>
    </row>
    <row r="51">
      <c r="A51">
        <f>IF(AND(OR(Query!$B$4="All",'Compliance Database'!$A51=Query!$B$4),OR(Query!$B$5="All",'Compliance Database'!$F51=Query!$B$5),OR(Query!$B$6="All",ISNUMBER(SEARCH(Query!$B$6,'Compliance Database'!$I51))),OR(Query!$B$7="All",ISNUMBER(SEARCH(Query!$B$7,'Compliance Database'!$J51))),OR(Query!$B$8="All",'Compliance Database'!$G51=Query!$B$8),OR(Query!$B$9="All",'Compliance Database'!$K51=Query!$B$9),OR(Query!$B$10="",ISNUMBER(SEARCH(Query!$B$10,'Compliance Database'!$D51&amp;" "&amp;'Compliance Database'!$L51&amp;" "&amp;'Compliance Database'!$M51&amp;" "&amp;'Compliance Database'!$N51&amp;" "&amp;'Compliance Database'!$O51)))),1,0)</f>
        <v/>
      </c>
      <c r="B51">
        <f>IF($A51=1,SUM($A$2:$A51),"")</f>
        <v/>
      </c>
      <c r="C51">
        <f>IF($A51=1,SUM($A$2:$A51),0)</f>
        <v/>
      </c>
    </row>
    <row r="52">
      <c r="A52">
        <f>IF(AND(OR(Query!$B$4="All",'Compliance Database'!$A52=Query!$B$4),OR(Query!$B$5="All",'Compliance Database'!$F52=Query!$B$5),OR(Query!$B$6="All",ISNUMBER(SEARCH(Query!$B$6,'Compliance Database'!$I52))),OR(Query!$B$7="All",ISNUMBER(SEARCH(Query!$B$7,'Compliance Database'!$J52))),OR(Query!$B$8="All",'Compliance Database'!$G52=Query!$B$8),OR(Query!$B$9="All",'Compliance Database'!$K52=Query!$B$9),OR(Query!$B$10="",ISNUMBER(SEARCH(Query!$B$10,'Compliance Database'!$D52&amp;" "&amp;'Compliance Database'!$L52&amp;" "&amp;'Compliance Database'!$M52&amp;" "&amp;'Compliance Database'!$N52&amp;" "&amp;'Compliance Database'!$O52)))),1,0)</f>
        <v/>
      </c>
      <c r="B52">
        <f>IF($A52=1,SUM($A$2:$A52),"")</f>
        <v/>
      </c>
      <c r="C52">
        <f>IF($A52=1,SUM($A$2:$A52),0)</f>
        <v/>
      </c>
    </row>
    <row r="53">
      <c r="A53">
        <f>IF(AND(OR(Query!$B$4="All",'Compliance Database'!$A53=Query!$B$4),OR(Query!$B$5="All",'Compliance Database'!$F53=Query!$B$5),OR(Query!$B$6="All",ISNUMBER(SEARCH(Query!$B$6,'Compliance Database'!$I53))),OR(Query!$B$7="All",ISNUMBER(SEARCH(Query!$B$7,'Compliance Database'!$J53))),OR(Query!$B$8="All",'Compliance Database'!$G53=Query!$B$8),OR(Query!$B$9="All",'Compliance Database'!$K53=Query!$B$9),OR(Query!$B$10="",ISNUMBER(SEARCH(Query!$B$10,'Compliance Database'!$D53&amp;" "&amp;'Compliance Database'!$L53&amp;" "&amp;'Compliance Database'!$M53&amp;" "&amp;'Compliance Database'!$N53&amp;" "&amp;'Compliance Database'!$O53)))),1,0)</f>
        <v/>
      </c>
      <c r="B53">
        <f>IF($A53=1,SUM($A$2:$A53),"")</f>
        <v/>
      </c>
      <c r="C53">
        <f>IF($A53=1,SUM($A$2:$A53),0)</f>
        <v/>
      </c>
    </row>
    <row r="54">
      <c r="A54">
        <f>IF(AND(OR(Query!$B$4="All",'Compliance Database'!$A54=Query!$B$4),OR(Query!$B$5="All",'Compliance Database'!$F54=Query!$B$5),OR(Query!$B$6="All",ISNUMBER(SEARCH(Query!$B$6,'Compliance Database'!$I54))),OR(Query!$B$7="All",ISNUMBER(SEARCH(Query!$B$7,'Compliance Database'!$J54))),OR(Query!$B$8="All",'Compliance Database'!$G54=Query!$B$8),OR(Query!$B$9="All",'Compliance Database'!$K54=Query!$B$9),OR(Query!$B$10="",ISNUMBER(SEARCH(Query!$B$10,'Compliance Database'!$D54&amp;" "&amp;'Compliance Database'!$L54&amp;" "&amp;'Compliance Database'!$M54&amp;" "&amp;'Compliance Database'!$N54&amp;" "&amp;'Compliance Database'!$O54)))),1,0)</f>
        <v/>
      </c>
      <c r="B54">
        <f>IF($A54=1,SUM($A$2:$A54),"")</f>
        <v/>
      </c>
      <c r="C54">
        <f>IF($A54=1,SUM($A$2:$A54),0)</f>
        <v/>
      </c>
    </row>
    <row r="55">
      <c r="A55">
        <f>IF(AND(OR(Query!$B$4="All",'Compliance Database'!$A55=Query!$B$4),OR(Query!$B$5="All",'Compliance Database'!$F55=Query!$B$5),OR(Query!$B$6="All",ISNUMBER(SEARCH(Query!$B$6,'Compliance Database'!$I55))),OR(Query!$B$7="All",ISNUMBER(SEARCH(Query!$B$7,'Compliance Database'!$J55))),OR(Query!$B$8="All",'Compliance Database'!$G55=Query!$B$8),OR(Query!$B$9="All",'Compliance Database'!$K55=Query!$B$9),OR(Query!$B$10="",ISNUMBER(SEARCH(Query!$B$10,'Compliance Database'!$D55&amp;" "&amp;'Compliance Database'!$L55&amp;" "&amp;'Compliance Database'!$M55&amp;" "&amp;'Compliance Database'!$N55&amp;" "&amp;'Compliance Database'!$O55)))),1,0)</f>
        <v/>
      </c>
      <c r="B55">
        <f>IF($A55=1,SUM($A$2:$A55),"")</f>
        <v/>
      </c>
      <c r="C55">
        <f>IF($A55=1,SUM($A$2:$A55),0)</f>
        <v/>
      </c>
    </row>
    <row r="56">
      <c r="A56">
        <f>IF(AND(OR(Query!$B$4="All",'Compliance Database'!$A56=Query!$B$4),OR(Query!$B$5="All",'Compliance Database'!$F56=Query!$B$5),OR(Query!$B$6="All",ISNUMBER(SEARCH(Query!$B$6,'Compliance Database'!$I56))),OR(Query!$B$7="All",ISNUMBER(SEARCH(Query!$B$7,'Compliance Database'!$J56))),OR(Query!$B$8="All",'Compliance Database'!$G56=Query!$B$8),OR(Query!$B$9="All",'Compliance Database'!$K56=Query!$B$9),OR(Query!$B$10="",ISNUMBER(SEARCH(Query!$B$10,'Compliance Database'!$D56&amp;" "&amp;'Compliance Database'!$L56&amp;" "&amp;'Compliance Database'!$M56&amp;" "&amp;'Compliance Database'!$N56&amp;" "&amp;'Compliance Database'!$O56)))),1,0)</f>
        <v/>
      </c>
      <c r="B56">
        <f>IF($A56=1,SUM($A$2:$A56),"")</f>
        <v/>
      </c>
      <c r="C56">
        <f>IF($A56=1,SUM($A$2:$A56),0)</f>
        <v/>
      </c>
    </row>
    <row r="57">
      <c r="A57">
        <f>IF(AND(OR(Query!$B$4="All",'Compliance Database'!$A57=Query!$B$4),OR(Query!$B$5="All",'Compliance Database'!$F57=Query!$B$5),OR(Query!$B$6="All",ISNUMBER(SEARCH(Query!$B$6,'Compliance Database'!$I57))),OR(Query!$B$7="All",ISNUMBER(SEARCH(Query!$B$7,'Compliance Database'!$J57))),OR(Query!$B$8="All",'Compliance Database'!$G57=Query!$B$8),OR(Query!$B$9="All",'Compliance Database'!$K57=Query!$B$9),OR(Query!$B$10="",ISNUMBER(SEARCH(Query!$B$10,'Compliance Database'!$D57&amp;" "&amp;'Compliance Database'!$L57&amp;" "&amp;'Compliance Database'!$M57&amp;" "&amp;'Compliance Database'!$N57&amp;" "&amp;'Compliance Database'!$O57)))),1,0)</f>
        <v/>
      </c>
      <c r="B57">
        <f>IF($A57=1,SUM($A$2:$A57),"")</f>
        <v/>
      </c>
      <c r="C57">
        <f>IF($A57=1,SUM($A$2:$A57),0)</f>
        <v/>
      </c>
    </row>
    <row r="58">
      <c r="A58">
        <f>IF(AND(OR(Query!$B$4="All",'Compliance Database'!$A58=Query!$B$4),OR(Query!$B$5="All",'Compliance Database'!$F58=Query!$B$5),OR(Query!$B$6="All",ISNUMBER(SEARCH(Query!$B$6,'Compliance Database'!$I58))),OR(Query!$B$7="All",ISNUMBER(SEARCH(Query!$B$7,'Compliance Database'!$J58))),OR(Query!$B$8="All",'Compliance Database'!$G58=Query!$B$8),OR(Query!$B$9="All",'Compliance Database'!$K58=Query!$B$9),OR(Query!$B$10="",ISNUMBER(SEARCH(Query!$B$10,'Compliance Database'!$D58&amp;" "&amp;'Compliance Database'!$L58&amp;" "&amp;'Compliance Database'!$M58&amp;" "&amp;'Compliance Database'!$N58&amp;" "&amp;'Compliance Database'!$O58)))),1,0)</f>
        <v/>
      </c>
      <c r="B58">
        <f>IF($A58=1,SUM($A$2:$A58),"")</f>
        <v/>
      </c>
      <c r="C58">
        <f>IF($A58=1,SUM($A$2:$A58),0)</f>
        <v/>
      </c>
    </row>
    <row r="59">
      <c r="A59">
        <f>IF(AND(OR(Query!$B$4="All",'Compliance Database'!$A59=Query!$B$4),OR(Query!$B$5="All",'Compliance Database'!$F59=Query!$B$5),OR(Query!$B$6="All",ISNUMBER(SEARCH(Query!$B$6,'Compliance Database'!$I59))),OR(Query!$B$7="All",ISNUMBER(SEARCH(Query!$B$7,'Compliance Database'!$J59))),OR(Query!$B$8="All",'Compliance Database'!$G59=Query!$B$8),OR(Query!$B$9="All",'Compliance Database'!$K59=Query!$B$9),OR(Query!$B$10="",ISNUMBER(SEARCH(Query!$B$10,'Compliance Database'!$D59&amp;" "&amp;'Compliance Database'!$L59&amp;" "&amp;'Compliance Database'!$M59&amp;" "&amp;'Compliance Database'!$N59&amp;" "&amp;'Compliance Database'!$O59)))),1,0)</f>
        <v/>
      </c>
      <c r="B59">
        <f>IF($A59=1,SUM($A$2:$A59),"")</f>
        <v/>
      </c>
      <c r="C59">
        <f>IF($A59=1,SUM($A$2:$A59),0)</f>
        <v/>
      </c>
    </row>
    <row r="60">
      <c r="A60">
        <f>IF(AND(OR(Query!$B$4="All",'Compliance Database'!$A60=Query!$B$4),OR(Query!$B$5="All",'Compliance Database'!$F60=Query!$B$5),OR(Query!$B$6="All",ISNUMBER(SEARCH(Query!$B$6,'Compliance Database'!$I60))),OR(Query!$B$7="All",ISNUMBER(SEARCH(Query!$B$7,'Compliance Database'!$J60))),OR(Query!$B$8="All",'Compliance Database'!$G60=Query!$B$8),OR(Query!$B$9="All",'Compliance Database'!$K60=Query!$B$9),OR(Query!$B$10="",ISNUMBER(SEARCH(Query!$B$10,'Compliance Database'!$D60&amp;" "&amp;'Compliance Database'!$L60&amp;" "&amp;'Compliance Database'!$M60&amp;" "&amp;'Compliance Database'!$N60&amp;" "&amp;'Compliance Database'!$O60)))),1,0)</f>
        <v/>
      </c>
      <c r="B60">
        <f>IF($A60=1,SUM($A$2:$A60),"")</f>
        <v/>
      </c>
      <c r="C60">
        <f>IF($A60=1,SUM($A$2:$A60),0)</f>
        <v/>
      </c>
    </row>
    <row r="61">
      <c r="A61">
        <f>IF(AND(OR(Query!$B$4="All",'Compliance Database'!$A61=Query!$B$4),OR(Query!$B$5="All",'Compliance Database'!$F61=Query!$B$5),OR(Query!$B$6="All",ISNUMBER(SEARCH(Query!$B$6,'Compliance Database'!$I61))),OR(Query!$B$7="All",ISNUMBER(SEARCH(Query!$B$7,'Compliance Database'!$J61))),OR(Query!$B$8="All",'Compliance Database'!$G61=Query!$B$8),OR(Query!$B$9="All",'Compliance Database'!$K61=Query!$B$9),OR(Query!$B$10="",ISNUMBER(SEARCH(Query!$B$10,'Compliance Database'!$D61&amp;" "&amp;'Compliance Database'!$L61&amp;" "&amp;'Compliance Database'!$M61&amp;" "&amp;'Compliance Database'!$N61&amp;" "&amp;'Compliance Database'!$O61)))),1,0)</f>
        <v/>
      </c>
      <c r="B61">
        <f>IF($A61=1,SUM($A$2:$A61),"")</f>
        <v/>
      </c>
      <c r="C61">
        <f>IF($A61=1,SUM($A$2:$A61),0)</f>
        <v/>
      </c>
    </row>
    <row r="62">
      <c r="A62">
        <f>IF(AND(OR(Query!$B$4="All",'Compliance Database'!$A62=Query!$B$4),OR(Query!$B$5="All",'Compliance Database'!$F62=Query!$B$5),OR(Query!$B$6="All",ISNUMBER(SEARCH(Query!$B$6,'Compliance Database'!$I62))),OR(Query!$B$7="All",ISNUMBER(SEARCH(Query!$B$7,'Compliance Database'!$J62))),OR(Query!$B$8="All",'Compliance Database'!$G62=Query!$B$8),OR(Query!$B$9="All",'Compliance Database'!$K62=Query!$B$9),OR(Query!$B$10="",ISNUMBER(SEARCH(Query!$B$10,'Compliance Database'!$D62&amp;" "&amp;'Compliance Database'!$L62&amp;" "&amp;'Compliance Database'!$M62&amp;" "&amp;'Compliance Database'!$N62&amp;" "&amp;'Compliance Database'!$O62)))),1,0)</f>
        <v/>
      </c>
      <c r="B62">
        <f>IF($A62=1,SUM($A$2:$A62),"")</f>
        <v/>
      </c>
      <c r="C62">
        <f>IF($A62=1,SUM($A$2:$A62),0)</f>
        <v/>
      </c>
    </row>
    <row r="63">
      <c r="A63">
        <f>IF(AND(OR(Query!$B$4="All",'Compliance Database'!$A63=Query!$B$4),OR(Query!$B$5="All",'Compliance Database'!$F63=Query!$B$5),OR(Query!$B$6="All",ISNUMBER(SEARCH(Query!$B$6,'Compliance Database'!$I63))),OR(Query!$B$7="All",ISNUMBER(SEARCH(Query!$B$7,'Compliance Database'!$J63))),OR(Query!$B$8="All",'Compliance Database'!$G63=Query!$B$8),OR(Query!$B$9="All",'Compliance Database'!$K63=Query!$B$9),OR(Query!$B$10="",ISNUMBER(SEARCH(Query!$B$10,'Compliance Database'!$D63&amp;" "&amp;'Compliance Database'!$L63&amp;" "&amp;'Compliance Database'!$M63&amp;" "&amp;'Compliance Database'!$N63&amp;" "&amp;'Compliance Database'!$O63)))),1,0)</f>
        <v/>
      </c>
      <c r="B63">
        <f>IF($A63=1,SUM($A$2:$A63),"")</f>
        <v/>
      </c>
      <c r="C63">
        <f>IF($A63=1,SUM($A$2:$A63),0)</f>
        <v/>
      </c>
    </row>
    <row r="64">
      <c r="A64">
        <f>IF(AND(OR(Query!$B$4="All",'Compliance Database'!$A64=Query!$B$4),OR(Query!$B$5="All",'Compliance Database'!$F64=Query!$B$5),OR(Query!$B$6="All",ISNUMBER(SEARCH(Query!$B$6,'Compliance Database'!$I64))),OR(Query!$B$7="All",ISNUMBER(SEARCH(Query!$B$7,'Compliance Database'!$J64))),OR(Query!$B$8="All",'Compliance Database'!$G64=Query!$B$8),OR(Query!$B$9="All",'Compliance Database'!$K64=Query!$B$9),OR(Query!$B$10="",ISNUMBER(SEARCH(Query!$B$10,'Compliance Database'!$D64&amp;" "&amp;'Compliance Database'!$L64&amp;" "&amp;'Compliance Database'!$M64&amp;" "&amp;'Compliance Database'!$N64&amp;" "&amp;'Compliance Database'!$O64)))),1,0)</f>
        <v/>
      </c>
      <c r="B64">
        <f>IF($A64=1,SUM($A$2:$A64),"")</f>
        <v/>
      </c>
      <c r="C64">
        <f>IF($A64=1,SUM($A$2:$A64),0)</f>
        <v/>
      </c>
    </row>
    <row r="65">
      <c r="A65">
        <f>IF(AND(OR(Query!$B$4="All",'Compliance Database'!$A65=Query!$B$4),OR(Query!$B$5="All",'Compliance Database'!$F65=Query!$B$5),OR(Query!$B$6="All",ISNUMBER(SEARCH(Query!$B$6,'Compliance Database'!$I65))),OR(Query!$B$7="All",ISNUMBER(SEARCH(Query!$B$7,'Compliance Database'!$J65))),OR(Query!$B$8="All",'Compliance Database'!$G65=Query!$B$8),OR(Query!$B$9="All",'Compliance Database'!$K65=Query!$B$9),OR(Query!$B$10="",ISNUMBER(SEARCH(Query!$B$10,'Compliance Database'!$D65&amp;" "&amp;'Compliance Database'!$L65&amp;" "&amp;'Compliance Database'!$M65&amp;" "&amp;'Compliance Database'!$N65&amp;" "&amp;'Compliance Database'!$O65)))),1,0)</f>
        <v/>
      </c>
      <c r="B65">
        <f>IF($A65=1,SUM($A$2:$A65),"")</f>
        <v/>
      </c>
      <c r="C65">
        <f>IF($A65=1,SUM($A$2:$A65),0)</f>
        <v/>
      </c>
    </row>
    <row r="66">
      <c r="A66">
        <f>IF(AND(OR(Query!$B$4="All",'Compliance Database'!$A66=Query!$B$4),OR(Query!$B$5="All",'Compliance Database'!$F66=Query!$B$5),OR(Query!$B$6="All",ISNUMBER(SEARCH(Query!$B$6,'Compliance Database'!$I66))),OR(Query!$B$7="All",ISNUMBER(SEARCH(Query!$B$7,'Compliance Database'!$J66))),OR(Query!$B$8="All",'Compliance Database'!$G66=Query!$B$8),OR(Query!$B$9="All",'Compliance Database'!$K66=Query!$B$9),OR(Query!$B$10="",ISNUMBER(SEARCH(Query!$B$10,'Compliance Database'!$D66&amp;" "&amp;'Compliance Database'!$L66&amp;" "&amp;'Compliance Database'!$M66&amp;" "&amp;'Compliance Database'!$N66&amp;" "&amp;'Compliance Database'!$O66)))),1,0)</f>
        <v/>
      </c>
      <c r="B66">
        <f>IF($A66=1,SUM($A$2:$A66),"")</f>
        <v/>
      </c>
      <c r="C66">
        <f>IF($A66=1,SUM($A$2:$A66),0)</f>
        <v/>
      </c>
    </row>
    <row r="67">
      <c r="A67">
        <f>IF(AND(OR(Query!$B$4="All",'Compliance Database'!$A67=Query!$B$4),OR(Query!$B$5="All",'Compliance Database'!$F67=Query!$B$5),OR(Query!$B$6="All",ISNUMBER(SEARCH(Query!$B$6,'Compliance Database'!$I67))),OR(Query!$B$7="All",ISNUMBER(SEARCH(Query!$B$7,'Compliance Database'!$J67))),OR(Query!$B$8="All",'Compliance Database'!$G67=Query!$B$8),OR(Query!$B$9="All",'Compliance Database'!$K67=Query!$B$9),OR(Query!$B$10="",ISNUMBER(SEARCH(Query!$B$10,'Compliance Database'!$D67&amp;" "&amp;'Compliance Database'!$L67&amp;" "&amp;'Compliance Database'!$M67&amp;" "&amp;'Compliance Database'!$N67&amp;" "&amp;'Compliance Database'!$O67)))),1,0)</f>
        <v/>
      </c>
      <c r="B67">
        <f>IF($A67=1,SUM($A$2:$A67),"")</f>
        <v/>
      </c>
      <c r="C67">
        <f>IF($A67=1,SUM($A$2:$A67),0)</f>
        <v/>
      </c>
    </row>
    <row r="68">
      <c r="A68">
        <f>IF(AND(OR(Query!$B$4="All",'Compliance Database'!$A68=Query!$B$4),OR(Query!$B$5="All",'Compliance Database'!$F68=Query!$B$5),OR(Query!$B$6="All",ISNUMBER(SEARCH(Query!$B$6,'Compliance Database'!$I68))),OR(Query!$B$7="All",ISNUMBER(SEARCH(Query!$B$7,'Compliance Database'!$J68))),OR(Query!$B$8="All",'Compliance Database'!$G68=Query!$B$8),OR(Query!$B$9="All",'Compliance Database'!$K68=Query!$B$9),OR(Query!$B$10="",ISNUMBER(SEARCH(Query!$B$10,'Compliance Database'!$D68&amp;" "&amp;'Compliance Database'!$L68&amp;" "&amp;'Compliance Database'!$M68&amp;" "&amp;'Compliance Database'!$N68&amp;" "&amp;'Compliance Database'!$O68)))),1,0)</f>
        <v/>
      </c>
      <c r="B68">
        <f>IF($A68=1,SUM($A$2:$A68),"")</f>
        <v/>
      </c>
      <c r="C68">
        <f>IF($A68=1,SUM($A$2:$A68),0)</f>
        <v/>
      </c>
    </row>
    <row r="69">
      <c r="A69">
        <f>IF(AND(OR(Query!$B$4="All",'Compliance Database'!$A69=Query!$B$4),OR(Query!$B$5="All",'Compliance Database'!$F69=Query!$B$5),OR(Query!$B$6="All",ISNUMBER(SEARCH(Query!$B$6,'Compliance Database'!$I69))),OR(Query!$B$7="All",ISNUMBER(SEARCH(Query!$B$7,'Compliance Database'!$J69))),OR(Query!$B$8="All",'Compliance Database'!$G69=Query!$B$8),OR(Query!$B$9="All",'Compliance Database'!$K69=Query!$B$9),OR(Query!$B$10="",ISNUMBER(SEARCH(Query!$B$10,'Compliance Database'!$D69&amp;" "&amp;'Compliance Database'!$L69&amp;" "&amp;'Compliance Database'!$M69&amp;" "&amp;'Compliance Database'!$N69&amp;" "&amp;'Compliance Database'!$O69)))),1,0)</f>
        <v/>
      </c>
      <c r="B69">
        <f>IF($A69=1,SUM($A$2:$A69),"")</f>
        <v/>
      </c>
      <c r="C69">
        <f>IF($A69=1,SUM($A$2:$A69),0)</f>
        <v/>
      </c>
    </row>
    <row r="70">
      <c r="A70">
        <f>IF(AND(OR(Query!$B$4="All",'Compliance Database'!$A70=Query!$B$4),OR(Query!$B$5="All",'Compliance Database'!$F70=Query!$B$5),OR(Query!$B$6="All",ISNUMBER(SEARCH(Query!$B$6,'Compliance Database'!$I70))),OR(Query!$B$7="All",ISNUMBER(SEARCH(Query!$B$7,'Compliance Database'!$J70))),OR(Query!$B$8="All",'Compliance Database'!$G70=Query!$B$8),OR(Query!$B$9="All",'Compliance Database'!$K70=Query!$B$9),OR(Query!$B$10="",ISNUMBER(SEARCH(Query!$B$10,'Compliance Database'!$D70&amp;" "&amp;'Compliance Database'!$L70&amp;" "&amp;'Compliance Database'!$M70&amp;" "&amp;'Compliance Database'!$N70&amp;" "&amp;'Compliance Database'!$O70)))),1,0)</f>
        <v/>
      </c>
      <c r="B70">
        <f>IF($A70=1,SUM($A$2:$A70),"")</f>
        <v/>
      </c>
      <c r="C70">
        <f>IF($A70=1,SUM($A$2:$A70),0)</f>
        <v/>
      </c>
    </row>
    <row r="71">
      <c r="A71">
        <f>IF(AND(OR(Query!$B$4="All",'Compliance Database'!$A71=Query!$B$4),OR(Query!$B$5="All",'Compliance Database'!$F71=Query!$B$5),OR(Query!$B$6="All",ISNUMBER(SEARCH(Query!$B$6,'Compliance Database'!$I71))),OR(Query!$B$7="All",ISNUMBER(SEARCH(Query!$B$7,'Compliance Database'!$J71))),OR(Query!$B$8="All",'Compliance Database'!$G71=Query!$B$8),OR(Query!$B$9="All",'Compliance Database'!$K71=Query!$B$9),OR(Query!$B$10="",ISNUMBER(SEARCH(Query!$B$10,'Compliance Database'!$D71&amp;" "&amp;'Compliance Database'!$L71&amp;" "&amp;'Compliance Database'!$M71&amp;" "&amp;'Compliance Database'!$N71&amp;" "&amp;'Compliance Database'!$O71)))),1,0)</f>
        <v/>
      </c>
      <c r="B71">
        <f>IF($A71=1,SUM($A$2:$A71),"")</f>
        <v/>
      </c>
      <c r="C71">
        <f>IF($A71=1,SUM($A$2:$A71),0)</f>
        <v/>
      </c>
    </row>
    <row r="72">
      <c r="A72">
        <f>IF(AND(OR(Query!$B$4="All",'Compliance Database'!$A72=Query!$B$4),OR(Query!$B$5="All",'Compliance Database'!$F72=Query!$B$5),OR(Query!$B$6="All",ISNUMBER(SEARCH(Query!$B$6,'Compliance Database'!$I72))),OR(Query!$B$7="All",ISNUMBER(SEARCH(Query!$B$7,'Compliance Database'!$J72))),OR(Query!$B$8="All",'Compliance Database'!$G72=Query!$B$8),OR(Query!$B$9="All",'Compliance Database'!$K72=Query!$B$9),OR(Query!$B$10="",ISNUMBER(SEARCH(Query!$B$10,'Compliance Database'!$D72&amp;" "&amp;'Compliance Database'!$L72&amp;" "&amp;'Compliance Database'!$M72&amp;" "&amp;'Compliance Database'!$N72&amp;" "&amp;'Compliance Database'!$O72)))),1,0)</f>
        <v/>
      </c>
      <c r="B72">
        <f>IF($A72=1,SUM($A$2:$A72),"")</f>
        <v/>
      </c>
      <c r="C72">
        <f>IF($A72=1,SUM($A$2:$A72),0)</f>
        <v/>
      </c>
    </row>
    <row r="73">
      <c r="A73">
        <f>IF(AND(OR(Query!$B$4="All",'Compliance Database'!$A73=Query!$B$4),OR(Query!$B$5="All",'Compliance Database'!$F73=Query!$B$5),OR(Query!$B$6="All",ISNUMBER(SEARCH(Query!$B$6,'Compliance Database'!$I73))),OR(Query!$B$7="All",ISNUMBER(SEARCH(Query!$B$7,'Compliance Database'!$J73))),OR(Query!$B$8="All",'Compliance Database'!$G73=Query!$B$8),OR(Query!$B$9="All",'Compliance Database'!$K73=Query!$B$9),OR(Query!$B$10="",ISNUMBER(SEARCH(Query!$B$10,'Compliance Database'!$D73&amp;" "&amp;'Compliance Database'!$L73&amp;" "&amp;'Compliance Database'!$M73&amp;" "&amp;'Compliance Database'!$N73&amp;" "&amp;'Compliance Database'!$O73)))),1,0)</f>
        <v/>
      </c>
      <c r="B73">
        <f>IF($A73=1,SUM($A$2:$A73),"")</f>
        <v/>
      </c>
      <c r="C73">
        <f>IF($A73=1,SUM($A$2:$A73),0)</f>
        <v/>
      </c>
    </row>
    <row r="74">
      <c r="A74">
        <f>IF(AND(OR(Query!$B$4="All",'Compliance Database'!$A74=Query!$B$4),OR(Query!$B$5="All",'Compliance Database'!$F74=Query!$B$5),OR(Query!$B$6="All",ISNUMBER(SEARCH(Query!$B$6,'Compliance Database'!$I74))),OR(Query!$B$7="All",ISNUMBER(SEARCH(Query!$B$7,'Compliance Database'!$J74))),OR(Query!$B$8="All",'Compliance Database'!$G74=Query!$B$8),OR(Query!$B$9="All",'Compliance Database'!$K74=Query!$B$9),OR(Query!$B$10="",ISNUMBER(SEARCH(Query!$B$10,'Compliance Database'!$D74&amp;" "&amp;'Compliance Database'!$L74&amp;" "&amp;'Compliance Database'!$M74&amp;" "&amp;'Compliance Database'!$N74&amp;" "&amp;'Compliance Database'!$O74)))),1,0)</f>
        <v/>
      </c>
      <c r="B74">
        <f>IF($A74=1,SUM($A$2:$A74),"")</f>
        <v/>
      </c>
      <c r="C74">
        <f>IF($A74=1,SUM($A$2:$A74),0)</f>
        <v/>
      </c>
    </row>
    <row r="75">
      <c r="A75">
        <f>IF(AND(OR(Query!$B$4="All",'Compliance Database'!$A75=Query!$B$4),OR(Query!$B$5="All",'Compliance Database'!$F75=Query!$B$5),OR(Query!$B$6="All",ISNUMBER(SEARCH(Query!$B$6,'Compliance Database'!$I75))),OR(Query!$B$7="All",ISNUMBER(SEARCH(Query!$B$7,'Compliance Database'!$J75))),OR(Query!$B$8="All",'Compliance Database'!$G75=Query!$B$8),OR(Query!$B$9="All",'Compliance Database'!$K75=Query!$B$9),OR(Query!$B$10="",ISNUMBER(SEARCH(Query!$B$10,'Compliance Database'!$D75&amp;" "&amp;'Compliance Database'!$L75&amp;" "&amp;'Compliance Database'!$M75&amp;" "&amp;'Compliance Database'!$N75&amp;" "&amp;'Compliance Database'!$O75)))),1,0)</f>
        <v/>
      </c>
      <c r="B75">
        <f>IF($A75=1,SUM($A$2:$A75),"")</f>
        <v/>
      </c>
      <c r="C75">
        <f>IF($A75=1,SUM($A$2:$A75),0)</f>
        <v/>
      </c>
    </row>
    <row r="76">
      <c r="A76">
        <f>IF(AND(OR(Query!$B$4="All",'Compliance Database'!$A76=Query!$B$4),OR(Query!$B$5="All",'Compliance Database'!$F76=Query!$B$5),OR(Query!$B$6="All",ISNUMBER(SEARCH(Query!$B$6,'Compliance Database'!$I76))),OR(Query!$B$7="All",ISNUMBER(SEARCH(Query!$B$7,'Compliance Database'!$J76))),OR(Query!$B$8="All",'Compliance Database'!$G76=Query!$B$8),OR(Query!$B$9="All",'Compliance Database'!$K76=Query!$B$9),OR(Query!$B$10="",ISNUMBER(SEARCH(Query!$B$10,'Compliance Database'!$D76&amp;" "&amp;'Compliance Database'!$L76&amp;" "&amp;'Compliance Database'!$M76&amp;" "&amp;'Compliance Database'!$N76&amp;" "&amp;'Compliance Database'!$O76)))),1,0)</f>
        <v/>
      </c>
      <c r="B76">
        <f>IF($A76=1,SUM($A$2:$A76),"")</f>
        <v/>
      </c>
      <c r="C76">
        <f>IF($A76=1,SUM($A$2:$A76),0)</f>
        <v/>
      </c>
    </row>
    <row r="77">
      <c r="A77">
        <f>IF(AND(OR(Query!$B$4="All",'Compliance Database'!$A77=Query!$B$4),OR(Query!$B$5="All",'Compliance Database'!$F77=Query!$B$5),OR(Query!$B$6="All",ISNUMBER(SEARCH(Query!$B$6,'Compliance Database'!$I77))),OR(Query!$B$7="All",ISNUMBER(SEARCH(Query!$B$7,'Compliance Database'!$J77))),OR(Query!$B$8="All",'Compliance Database'!$G77=Query!$B$8),OR(Query!$B$9="All",'Compliance Database'!$K77=Query!$B$9),OR(Query!$B$10="",ISNUMBER(SEARCH(Query!$B$10,'Compliance Database'!$D77&amp;" "&amp;'Compliance Database'!$L77&amp;" "&amp;'Compliance Database'!$M77&amp;" "&amp;'Compliance Database'!$N77&amp;" "&amp;'Compliance Database'!$O77)))),1,0)</f>
        <v/>
      </c>
      <c r="B77">
        <f>IF($A77=1,SUM($A$2:$A77),"")</f>
        <v/>
      </c>
      <c r="C77">
        <f>IF($A77=1,SUM($A$2:$A77),0)</f>
        <v/>
      </c>
    </row>
    <row r="78">
      <c r="A78">
        <f>IF(AND(OR(Query!$B$4="All",'Compliance Database'!$A78=Query!$B$4),OR(Query!$B$5="All",'Compliance Database'!$F78=Query!$B$5),OR(Query!$B$6="All",ISNUMBER(SEARCH(Query!$B$6,'Compliance Database'!$I78))),OR(Query!$B$7="All",ISNUMBER(SEARCH(Query!$B$7,'Compliance Database'!$J78))),OR(Query!$B$8="All",'Compliance Database'!$G78=Query!$B$8),OR(Query!$B$9="All",'Compliance Database'!$K78=Query!$B$9),OR(Query!$B$10="",ISNUMBER(SEARCH(Query!$B$10,'Compliance Database'!$D78&amp;" "&amp;'Compliance Database'!$L78&amp;" "&amp;'Compliance Database'!$M78&amp;" "&amp;'Compliance Database'!$N78&amp;" "&amp;'Compliance Database'!$O78)))),1,0)</f>
        <v/>
      </c>
      <c r="B78">
        <f>IF($A78=1,SUM($A$2:$A78),"")</f>
        <v/>
      </c>
      <c r="C78">
        <f>IF($A78=1,SUM($A$2:$A78),0)</f>
        <v/>
      </c>
    </row>
    <row r="79">
      <c r="A79">
        <f>IF(AND(OR(Query!$B$4="All",'Compliance Database'!$A79=Query!$B$4),OR(Query!$B$5="All",'Compliance Database'!$F79=Query!$B$5),OR(Query!$B$6="All",ISNUMBER(SEARCH(Query!$B$6,'Compliance Database'!$I79))),OR(Query!$B$7="All",ISNUMBER(SEARCH(Query!$B$7,'Compliance Database'!$J79))),OR(Query!$B$8="All",'Compliance Database'!$G79=Query!$B$8),OR(Query!$B$9="All",'Compliance Database'!$K79=Query!$B$9),OR(Query!$B$10="",ISNUMBER(SEARCH(Query!$B$10,'Compliance Database'!$D79&amp;" "&amp;'Compliance Database'!$L79&amp;" "&amp;'Compliance Database'!$M79&amp;" "&amp;'Compliance Database'!$N79&amp;" "&amp;'Compliance Database'!$O79)))),1,0)</f>
        <v/>
      </c>
      <c r="B79">
        <f>IF($A79=1,SUM($A$2:$A79),"")</f>
        <v/>
      </c>
      <c r="C79">
        <f>IF($A79=1,SUM($A$2:$A79),0)</f>
        <v/>
      </c>
    </row>
    <row r="80">
      <c r="A80">
        <f>IF(AND(OR(Query!$B$4="All",'Compliance Database'!$A80=Query!$B$4),OR(Query!$B$5="All",'Compliance Database'!$F80=Query!$B$5),OR(Query!$B$6="All",ISNUMBER(SEARCH(Query!$B$6,'Compliance Database'!$I80))),OR(Query!$B$7="All",ISNUMBER(SEARCH(Query!$B$7,'Compliance Database'!$J80))),OR(Query!$B$8="All",'Compliance Database'!$G80=Query!$B$8),OR(Query!$B$9="All",'Compliance Database'!$K80=Query!$B$9),OR(Query!$B$10="",ISNUMBER(SEARCH(Query!$B$10,'Compliance Database'!$D80&amp;" "&amp;'Compliance Database'!$L80&amp;" "&amp;'Compliance Database'!$M80&amp;" "&amp;'Compliance Database'!$N80&amp;" "&amp;'Compliance Database'!$O80)))),1,0)</f>
        <v/>
      </c>
      <c r="B80">
        <f>IF($A80=1,SUM($A$2:$A80),"")</f>
        <v/>
      </c>
      <c r="C80">
        <f>IF($A80=1,SUM($A$2:$A80),0)</f>
        <v/>
      </c>
    </row>
    <row r="81">
      <c r="A81">
        <f>IF(AND(OR(Query!$B$4="All",'Compliance Database'!$A81=Query!$B$4),OR(Query!$B$5="All",'Compliance Database'!$F81=Query!$B$5),OR(Query!$B$6="All",ISNUMBER(SEARCH(Query!$B$6,'Compliance Database'!$I81))),OR(Query!$B$7="All",ISNUMBER(SEARCH(Query!$B$7,'Compliance Database'!$J81))),OR(Query!$B$8="All",'Compliance Database'!$G81=Query!$B$8),OR(Query!$B$9="All",'Compliance Database'!$K81=Query!$B$9),OR(Query!$B$10="",ISNUMBER(SEARCH(Query!$B$10,'Compliance Database'!$D81&amp;" "&amp;'Compliance Database'!$L81&amp;" "&amp;'Compliance Database'!$M81&amp;" "&amp;'Compliance Database'!$N81&amp;" "&amp;'Compliance Database'!$O81)))),1,0)</f>
        <v/>
      </c>
      <c r="B81">
        <f>IF($A81=1,SUM($A$2:$A81),"")</f>
        <v/>
      </c>
      <c r="C81">
        <f>IF($A81=1,SUM($A$2:$A81),0)</f>
        <v/>
      </c>
    </row>
    <row r="82">
      <c r="A82">
        <f>IF(AND(OR(Query!$B$4="All",'Compliance Database'!$A82=Query!$B$4),OR(Query!$B$5="All",'Compliance Database'!$F82=Query!$B$5),OR(Query!$B$6="All",ISNUMBER(SEARCH(Query!$B$6,'Compliance Database'!$I82))),OR(Query!$B$7="All",ISNUMBER(SEARCH(Query!$B$7,'Compliance Database'!$J82))),OR(Query!$B$8="All",'Compliance Database'!$G82=Query!$B$8),OR(Query!$B$9="All",'Compliance Database'!$K82=Query!$B$9),OR(Query!$B$10="",ISNUMBER(SEARCH(Query!$B$10,'Compliance Database'!$D82&amp;" "&amp;'Compliance Database'!$L82&amp;" "&amp;'Compliance Database'!$M82&amp;" "&amp;'Compliance Database'!$N82&amp;" "&amp;'Compliance Database'!$O82)))),1,0)</f>
        <v/>
      </c>
      <c r="B82">
        <f>IF($A82=1,SUM($A$2:$A82),"")</f>
        <v/>
      </c>
      <c r="C82">
        <f>IF($A82=1,SUM($A$2:$A82),0)</f>
        <v/>
      </c>
    </row>
    <row r="83">
      <c r="A83">
        <f>IF(AND(OR(Query!$B$4="All",'Compliance Database'!$A83=Query!$B$4),OR(Query!$B$5="All",'Compliance Database'!$F83=Query!$B$5),OR(Query!$B$6="All",ISNUMBER(SEARCH(Query!$B$6,'Compliance Database'!$I83))),OR(Query!$B$7="All",ISNUMBER(SEARCH(Query!$B$7,'Compliance Database'!$J83))),OR(Query!$B$8="All",'Compliance Database'!$G83=Query!$B$8),OR(Query!$B$9="All",'Compliance Database'!$K83=Query!$B$9),OR(Query!$B$10="",ISNUMBER(SEARCH(Query!$B$10,'Compliance Database'!$D83&amp;" "&amp;'Compliance Database'!$L83&amp;" "&amp;'Compliance Database'!$M83&amp;" "&amp;'Compliance Database'!$N83&amp;" "&amp;'Compliance Database'!$O83)))),1,0)</f>
        <v/>
      </c>
      <c r="B83">
        <f>IF($A83=1,SUM($A$2:$A83),"")</f>
        <v/>
      </c>
      <c r="C83">
        <f>IF($A83=1,SUM($A$2:$A83),0)</f>
        <v/>
      </c>
    </row>
    <row r="84">
      <c r="A84">
        <f>IF(AND(OR(Query!$B$4="All",'Compliance Database'!$A84=Query!$B$4),OR(Query!$B$5="All",'Compliance Database'!$F84=Query!$B$5),OR(Query!$B$6="All",ISNUMBER(SEARCH(Query!$B$6,'Compliance Database'!$I84))),OR(Query!$B$7="All",ISNUMBER(SEARCH(Query!$B$7,'Compliance Database'!$J84))),OR(Query!$B$8="All",'Compliance Database'!$G84=Query!$B$8),OR(Query!$B$9="All",'Compliance Database'!$K84=Query!$B$9),OR(Query!$B$10="",ISNUMBER(SEARCH(Query!$B$10,'Compliance Database'!$D84&amp;" "&amp;'Compliance Database'!$L84&amp;" "&amp;'Compliance Database'!$M84&amp;" "&amp;'Compliance Database'!$N84&amp;" "&amp;'Compliance Database'!$O84)))),1,0)</f>
        <v/>
      </c>
      <c r="B84">
        <f>IF($A84=1,SUM($A$2:$A84),"")</f>
        <v/>
      </c>
      <c r="C84">
        <f>IF($A84=1,SUM($A$2:$A84),0)</f>
        <v/>
      </c>
    </row>
    <row r="85">
      <c r="A85">
        <f>IF(AND(OR(Query!$B$4="All",'Compliance Database'!$A85=Query!$B$4),OR(Query!$B$5="All",'Compliance Database'!$F85=Query!$B$5),OR(Query!$B$6="All",ISNUMBER(SEARCH(Query!$B$6,'Compliance Database'!$I85))),OR(Query!$B$7="All",ISNUMBER(SEARCH(Query!$B$7,'Compliance Database'!$J85))),OR(Query!$B$8="All",'Compliance Database'!$G85=Query!$B$8),OR(Query!$B$9="All",'Compliance Database'!$K85=Query!$B$9),OR(Query!$B$10="",ISNUMBER(SEARCH(Query!$B$10,'Compliance Database'!$D85&amp;" "&amp;'Compliance Database'!$L85&amp;" "&amp;'Compliance Database'!$M85&amp;" "&amp;'Compliance Database'!$N85&amp;" "&amp;'Compliance Database'!$O85)))),1,0)</f>
        <v/>
      </c>
      <c r="B85">
        <f>IF($A85=1,SUM($A$2:$A85),"")</f>
        <v/>
      </c>
      <c r="C85">
        <f>IF($A85=1,SUM($A$2:$A85),0)</f>
        <v/>
      </c>
    </row>
    <row r="86">
      <c r="A86">
        <f>IF(AND(OR(Query!$B$4="All",'Compliance Database'!$A86=Query!$B$4),OR(Query!$B$5="All",'Compliance Database'!$F86=Query!$B$5),OR(Query!$B$6="All",ISNUMBER(SEARCH(Query!$B$6,'Compliance Database'!$I86))),OR(Query!$B$7="All",ISNUMBER(SEARCH(Query!$B$7,'Compliance Database'!$J86))),OR(Query!$B$8="All",'Compliance Database'!$G86=Query!$B$8),OR(Query!$B$9="All",'Compliance Database'!$K86=Query!$B$9),OR(Query!$B$10="",ISNUMBER(SEARCH(Query!$B$10,'Compliance Database'!$D86&amp;" "&amp;'Compliance Database'!$L86&amp;" "&amp;'Compliance Database'!$M86&amp;" "&amp;'Compliance Database'!$N86&amp;" "&amp;'Compliance Database'!$O86)))),1,0)</f>
        <v/>
      </c>
      <c r="B86">
        <f>IF($A86=1,SUM($A$2:$A86),"")</f>
        <v/>
      </c>
      <c r="C86">
        <f>IF($A86=1,SUM($A$2:$A86),0)</f>
        <v/>
      </c>
    </row>
    <row r="87">
      <c r="A87">
        <f>IF(AND(OR(Query!$B$4="All",'Compliance Database'!$A87=Query!$B$4),OR(Query!$B$5="All",'Compliance Database'!$F87=Query!$B$5),OR(Query!$B$6="All",ISNUMBER(SEARCH(Query!$B$6,'Compliance Database'!$I87))),OR(Query!$B$7="All",ISNUMBER(SEARCH(Query!$B$7,'Compliance Database'!$J87))),OR(Query!$B$8="All",'Compliance Database'!$G87=Query!$B$8),OR(Query!$B$9="All",'Compliance Database'!$K87=Query!$B$9),OR(Query!$B$10="",ISNUMBER(SEARCH(Query!$B$10,'Compliance Database'!$D87&amp;" "&amp;'Compliance Database'!$L87&amp;" "&amp;'Compliance Database'!$M87&amp;" "&amp;'Compliance Database'!$N87&amp;" "&amp;'Compliance Database'!$O87)))),1,0)</f>
        <v/>
      </c>
      <c r="B87">
        <f>IF($A87=1,SUM($A$2:$A87),"")</f>
        <v/>
      </c>
      <c r="C87">
        <f>IF($A87=1,SUM($A$2:$A87),0)</f>
        <v/>
      </c>
    </row>
    <row r="88">
      <c r="A88">
        <f>IF(AND(OR(Query!$B$4="All",'Compliance Database'!$A88=Query!$B$4),OR(Query!$B$5="All",'Compliance Database'!$F88=Query!$B$5),OR(Query!$B$6="All",ISNUMBER(SEARCH(Query!$B$6,'Compliance Database'!$I88))),OR(Query!$B$7="All",ISNUMBER(SEARCH(Query!$B$7,'Compliance Database'!$J88))),OR(Query!$B$8="All",'Compliance Database'!$G88=Query!$B$8),OR(Query!$B$9="All",'Compliance Database'!$K88=Query!$B$9),OR(Query!$B$10="",ISNUMBER(SEARCH(Query!$B$10,'Compliance Database'!$D88&amp;" "&amp;'Compliance Database'!$L88&amp;" "&amp;'Compliance Database'!$M88&amp;" "&amp;'Compliance Database'!$N88&amp;" "&amp;'Compliance Database'!$O88)))),1,0)</f>
        <v/>
      </c>
      <c r="B88">
        <f>IF($A88=1,SUM($A$2:$A88),"")</f>
        <v/>
      </c>
      <c r="C88">
        <f>IF($A88=1,SUM($A$2:$A88),0)</f>
        <v/>
      </c>
    </row>
    <row r="89">
      <c r="A89">
        <f>IF(AND(OR(Query!$B$4="All",'Compliance Database'!$A89=Query!$B$4),OR(Query!$B$5="All",'Compliance Database'!$F89=Query!$B$5),OR(Query!$B$6="All",ISNUMBER(SEARCH(Query!$B$6,'Compliance Database'!$I89))),OR(Query!$B$7="All",ISNUMBER(SEARCH(Query!$B$7,'Compliance Database'!$J89))),OR(Query!$B$8="All",'Compliance Database'!$G89=Query!$B$8),OR(Query!$B$9="All",'Compliance Database'!$K89=Query!$B$9),OR(Query!$B$10="",ISNUMBER(SEARCH(Query!$B$10,'Compliance Database'!$D89&amp;" "&amp;'Compliance Database'!$L89&amp;" "&amp;'Compliance Database'!$M89&amp;" "&amp;'Compliance Database'!$N89&amp;" "&amp;'Compliance Database'!$O89)))),1,0)</f>
        <v/>
      </c>
      <c r="B89">
        <f>IF($A89=1,SUM($A$2:$A89),"")</f>
        <v/>
      </c>
      <c r="C89">
        <f>IF($A89=1,SUM($A$2:$A89),0)</f>
        <v/>
      </c>
    </row>
    <row r="90">
      <c r="A90">
        <f>IF(AND(OR(Query!$B$4="All",'Compliance Database'!$A90=Query!$B$4),OR(Query!$B$5="All",'Compliance Database'!$F90=Query!$B$5),OR(Query!$B$6="All",ISNUMBER(SEARCH(Query!$B$6,'Compliance Database'!$I90))),OR(Query!$B$7="All",ISNUMBER(SEARCH(Query!$B$7,'Compliance Database'!$J90))),OR(Query!$B$8="All",'Compliance Database'!$G90=Query!$B$8),OR(Query!$B$9="All",'Compliance Database'!$K90=Query!$B$9),OR(Query!$B$10="",ISNUMBER(SEARCH(Query!$B$10,'Compliance Database'!$D90&amp;" "&amp;'Compliance Database'!$L90&amp;" "&amp;'Compliance Database'!$M90&amp;" "&amp;'Compliance Database'!$N90&amp;" "&amp;'Compliance Database'!$O90)))),1,0)</f>
        <v/>
      </c>
      <c r="B90">
        <f>IF($A90=1,SUM($A$2:$A90),"")</f>
        <v/>
      </c>
      <c r="C90">
        <f>IF($A90=1,SUM($A$2:$A90),0)</f>
        <v/>
      </c>
    </row>
    <row r="91">
      <c r="A91">
        <f>IF(AND(OR(Query!$B$4="All",'Compliance Database'!$A91=Query!$B$4),OR(Query!$B$5="All",'Compliance Database'!$F91=Query!$B$5),OR(Query!$B$6="All",ISNUMBER(SEARCH(Query!$B$6,'Compliance Database'!$I91))),OR(Query!$B$7="All",ISNUMBER(SEARCH(Query!$B$7,'Compliance Database'!$J91))),OR(Query!$B$8="All",'Compliance Database'!$G91=Query!$B$8),OR(Query!$B$9="All",'Compliance Database'!$K91=Query!$B$9),OR(Query!$B$10="",ISNUMBER(SEARCH(Query!$B$10,'Compliance Database'!$D91&amp;" "&amp;'Compliance Database'!$L91&amp;" "&amp;'Compliance Database'!$M91&amp;" "&amp;'Compliance Database'!$N91&amp;" "&amp;'Compliance Database'!$O91)))),1,0)</f>
        <v/>
      </c>
      <c r="B91">
        <f>IF($A91=1,SUM($A$2:$A91),"")</f>
        <v/>
      </c>
      <c r="C91">
        <f>IF($A91=1,SUM($A$2:$A91),0)</f>
        <v/>
      </c>
    </row>
    <row r="92">
      <c r="A92">
        <f>IF(AND(OR(Query!$B$4="All",'Compliance Database'!$A92=Query!$B$4),OR(Query!$B$5="All",'Compliance Database'!$F92=Query!$B$5),OR(Query!$B$6="All",ISNUMBER(SEARCH(Query!$B$6,'Compliance Database'!$I92))),OR(Query!$B$7="All",ISNUMBER(SEARCH(Query!$B$7,'Compliance Database'!$J92))),OR(Query!$B$8="All",'Compliance Database'!$G92=Query!$B$8),OR(Query!$B$9="All",'Compliance Database'!$K92=Query!$B$9),OR(Query!$B$10="",ISNUMBER(SEARCH(Query!$B$10,'Compliance Database'!$D92&amp;" "&amp;'Compliance Database'!$L92&amp;" "&amp;'Compliance Database'!$M92&amp;" "&amp;'Compliance Database'!$N92&amp;" "&amp;'Compliance Database'!$O92)))),1,0)</f>
        <v/>
      </c>
      <c r="B92">
        <f>IF($A92=1,SUM($A$2:$A92),"")</f>
        <v/>
      </c>
      <c r="C92">
        <f>IF($A92=1,SUM($A$2:$A92),0)</f>
        <v/>
      </c>
    </row>
    <row r="93">
      <c r="A93">
        <f>IF(AND(OR(Query!$B$4="All",'Compliance Database'!$A93=Query!$B$4),OR(Query!$B$5="All",'Compliance Database'!$F93=Query!$B$5),OR(Query!$B$6="All",ISNUMBER(SEARCH(Query!$B$6,'Compliance Database'!$I93))),OR(Query!$B$7="All",ISNUMBER(SEARCH(Query!$B$7,'Compliance Database'!$J93))),OR(Query!$B$8="All",'Compliance Database'!$G93=Query!$B$8),OR(Query!$B$9="All",'Compliance Database'!$K93=Query!$B$9),OR(Query!$B$10="",ISNUMBER(SEARCH(Query!$B$10,'Compliance Database'!$D93&amp;" "&amp;'Compliance Database'!$L93&amp;" "&amp;'Compliance Database'!$M93&amp;" "&amp;'Compliance Database'!$N93&amp;" "&amp;'Compliance Database'!$O93)))),1,0)</f>
        <v/>
      </c>
      <c r="B93">
        <f>IF($A93=1,SUM($A$2:$A93),"")</f>
        <v/>
      </c>
      <c r="C93">
        <f>IF($A93=1,SUM($A$2:$A93),0)</f>
        <v/>
      </c>
    </row>
    <row r="94">
      <c r="A94">
        <f>IF(AND(OR(Query!$B$4="All",'Compliance Database'!$A94=Query!$B$4),OR(Query!$B$5="All",'Compliance Database'!$F94=Query!$B$5),OR(Query!$B$6="All",ISNUMBER(SEARCH(Query!$B$6,'Compliance Database'!$I94))),OR(Query!$B$7="All",ISNUMBER(SEARCH(Query!$B$7,'Compliance Database'!$J94))),OR(Query!$B$8="All",'Compliance Database'!$G94=Query!$B$8),OR(Query!$B$9="All",'Compliance Database'!$K94=Query!$B$9),OR(Query!$B$10="",ISNUMBER(SEARCH(Query!$B$10,'Compliance Database'!$D94&amp;" "&amp;'Compliance Database'!$L94&amp;" "&amp;'Compliance Database'!$M94&amp;" "&amp;'Compliance Database'!$N94&amp;" "&amp;'Compliance Database'!$O94)))),1,0)</f>
        <v/>
      </c>
      <c r="B94">
        <f>IF($A94=1,SUM($A$2:$A94),"")</f>
        <v/>
      </c>
      <c r="C94">
        <f>IF($A94=1,SUM($A$2:$A94),0)</f>
        <v/>
      </c>
    </row>
    <row r="95">
      <c r="A95">
        <f>IF(AND(OR(Query!$B$4="All",'Compliance Database'!$A95=Query!$B$4),OR(Query!$B$5="All",'Compliance Database'!$F95=Query!$B$5),OR(Query!$B$6="All",ISNUMBER(SEARCH(Query!$B$6,'Compliance Database'!$I95))),OR(Query!$B$7="All",ISNUMBER(SEARCH(Query!$B$7,'Compliance Database'!$J95))),OR(Query!$B$8="All",'Compliance Database'!$G95=Query!$B$8),OR(Query!$B$9="All",'Compliance Database'!$K95=Query!$B$9),OR(Query!$B$10="",ISNUMBER(SEARCH(Query!$B$10,'Compliance Database'!$D95&amp;" "&amp;'Compliance Database'!$L95&amp;" "&amp;'Compliance Database'!$M95&amp;" "&amp;'Compliance Database'!$N95&amp;" "&amp;'Compliance Database'!$O95)))),1,0)</f>
        <v/>
      </c>
      <c r="B95">
        <f>IF($A95=1,SUM($A$2:$A95),"")</f>
        <v/>
      </c>
      <c r="C95">
        <f>IF($A95=1,SUM($A$2:$A95),0)</f>
        <v/>
      </c>
    </row>
    <row r="96">
      <c r="A96">
        <f>IF(AND(OR(Query!$B$4="All",'Compliance Database'!$A96=Query!$B$4),OR(Query!$B$5="All",'Compliance Database'!$F96=Query!$B$5),OR(Query!$B$6="All",ISNUMBER(SEARCH(Query!$B$6,'Compliance Database'!$I96))),OR(Query!$B$7="All",ISNUMBER(SEARCH(Query!$B$7,'Compliance Database'!$J96))),OR(Query!$B$8="All",'Compliance Database'!$G96=Query!$B$8),OR(Query!$B$9="All",'Compliance Database'!$K96=Query!$B$9),OR(Query!$B$10="",ISNUMBER(SEARCH(Query!$B$10,'Compliance Database'!$D96&amp;" "&amp;'Compliance Database'!$L96&amp;" "&amp;'Compliance Database'!$M96&amp;" "&amp;'Compliance Database'!$N96&amp;" "&amp;'Compliance Database'!$O96)))),1,0)</f>
        <v/>
      </c>
      <c r="B96">
        <f>IF($A96=1,SUM($A$2:$A96),"")</f>
        <v/>
      </c>
      <c r="C96">
        <f>IF($A96=1,SUM($A$2:$A96),0)</f>
        <v/>
      </c>
    </row>
    <row r="97">
      <c r="A97">
        <f>IF(AND(OR(Query!$B$4="All",'Compliance Database'!$A97=Query!$B$4),OR(Query!$B$5="All",'Compliance Database'!$F97=Query!$B$5),OR(Query!$B$6="All",ISNUMBER(SEARCH(Query!$B$6,'Compliance Database'!$I97))),OR(Query!$B$7="All",ISNUMBER(SEARCH(Query!$B$7,'Compliance Database'!$J97))),OR(Query!$B$8="All",'Compliance Database'!$G97=Query!$B$8),OR(Query!$B$9="All",'Compliance Database'!$K97=Query!$B$9),OR(Query!$B$10="",ISNUMBER(SEARCH(Query!$B$10,'Compliance Database'!$D97&amp;" "&amp;'Compliance Database'!$L97&amp;" "&amp;'Compliance Database'!$M97&amp;" "&amp;'Compliance Database'!$N97&amp;" "&amp;'Compliance Database'!$O97)))),1,0)</f>
        <v/>
      </c>
      <c r="B97">
        <f>IF($A97=1,SUM($A$2:$A97),"")</f>
        <v/>
      </c>
      <c r="C97">
        <f>IF($A97=1,SUM($A$2:$A97),0)</f>
        <v/>
      </c>
    </row>
    <row r="98">
      <c r="A98">
        <f>IF(AND(OR(Query!$B$4="All",'Compliance Database'!$A98=Query!$B$4),OR(Query!$B$5="All",'Compliance Database'!$F98=Query!$B$5),OR(Query!$B$6="All",ISNUMBER(SEARCH(Query!$B$6,'Compliance Database'!$I98))),OR(Query!$B$7="All",ISNUMBER(SEARCH(Query!$B$7,'Compliance Database'!$J98))),OR(Query!$B$8="All",'Compliance Database'!$G98=Query!$B$8),OR(Query!$B$9="All",'Compliance Database'!$K98=Query!$B$9),OR(Query!$B$10="",ISNUMBER(SEARCH(Query!$B$10,'Compliance Database'!$D98&amp;" "&amp;'Compliance Database'!$L98&amp;" "&amp;'Compliance Database'!$M98&amp;" "&amp;'Compliance Database'!$N98&amp;" "&amp;'Compliance Database'!$O98)))),1,0)</f>
        <v/>
      </c>
      <c r="B98">
        <f>IF($A98=1,SUM($A$2:$A98),"")</f>
        <v/>
      </c>
      <c r="C98">
        <f>IF($A98=1,SUM($A$2:$A98),0)</f>
        <v/>
      </c>
    </row>
    <row r="99">
      <c r="A99">
        <f>IF(AND(OR(Query!$B$4="All",'Compliance Database'!$A99=Query!$B$4),OR(Query!$B$5="All",'Compliance Database'!$F99=Query!$B$5),OR(Query!$B$6="All",ISNUMBER(SEARCH(Query!$B$6,'Compliance Database'!$I99))),OR(Query!$B$7="All",ISNUMBER(SEARCH(Query!$B$7,'Compliance Database'!$J99))),OR(Query!$B$8="All",'Compliance Database'!$G99=Query!$B$8),OR(Query!$B$9="All",'Compliance Database'!$K99=Query!$B$9),OR(Query!$B$10="",ISNUMBER(SEARCH(Query!$B$10,'Compliance Database'!$D99&amp;" "&amp;'Compliance Database'!$L99&amp;" "&amp;'Compliance Database'!$M99&amp;" "&amp;'Compliance Database'!$N99&amp;" "&amp;'Compliance Database'!$O99)))),1,0)</f>
        <v/>
      </c>
      <c r="B99">
        <f>IF($A99=1,SUM($A$2:$A99),"")</f>
        <v/>
      </c>
      <c r="C99">
        <f>IF($A99=1,SUM($A$2:$A99),0)</f>
        <v/>
      </c>
    </row>
    <row r="100">
      <c r="A100">
        <f>IF(AND(OR(Query!$B$4="All",'Compliance Database'!$A100=Query!$B$4),OR(Query!$B$5="All",'Compliance Database'!$F100=Query!$B$5),OR(Query!$B$6="All",ISNUMBER(SEARCH(Query!$B$6,'Compliance Database'!$I100))),OR(Query!$B$7="All",ISNUMBER(SEARCH(Query!$B$7,'Compliance Database'!$J100))),OR(Query!$B$8="All",'Compliance Database'!$G100=Query!$B$8),OR(Query!$B$9="All",'Compliance Database'!$K100=Query!$B$9),OR(Query!$B$10="",ISNUMBER(SEARCH(Query!$B$10,'Compliance Database'!$D100&amp;" "&amp;'Compliance Database'!$L100&amp;" "&amp;'Compliance Database'!$M100&amp;" "&amp;'Compliance Database'!$N100&amp;" "&amp;'Compliance Database'!$O100)))),1,0)</f>
        <v/>
      </c>
      <c r="B100">
        <f>IF($A100=1,SUM($A$2:$A100),"")</f>
        <v/>
      </c>
      <c r="C100">
        <f>IF($A100=1,SUM($A$2:$A100),0)</f>
        <v/>
      </c>
    </row>
    <row r="101">
      <c r="A101">
        <f>IF(AND(OR(Query!$B$4="All",'Compliance Database'!$A101=Query!$B$4),OR(Query!$B$5="All",'Compliance Database'!$F101=Query!$B$5),OR(Query!$B$6="All",ISNUMBER(SEARCH(Query!$B$6,'Compliance Database'!$I101))),OR(Query!$B$7="All",ISNUMBER(SEARCH(Query!$B$7,'Compliance Database'!$J101))),OR(Query!$B$8="All",'Compliance Database'!$G101=Query!$B$8),OR(Query!$B$9="All",'Compliance Database'!$K101=Query!$B$9),OR(Query!$B$10="",ISNUMBER(SEARCH(Query!$B$10,'Compliance Database'!$D101&amp;" "&amp;'Compliance Database'!$L101&amp;" "&amp;'Compliance Database'!$M101&amp;" "&amp;'Compliance Database'!$N101&amp;" "&amp;'Compliance Database'!$O101)))),1,0)</f>
        <v/>
      </c>
      <c r="B101">
        <f>IF($A101=1,SUM($A$2:$A101),"")</f>
        <v/>
      </c>
      <c r="C101">
        <f>IF($A101=1,SUM($A$2:$A101),0)</f>
        <v/>
      </c>
    </row>
    <row r="102">
      <c r="A102">
        <f>IF(AND(OR(Query!$B$4="All",'Compliance Database'!$A102=Query!$B$4),OR(Query!$B$5="All",'Compliance Database'!$F102=Query!$B$5),OR(Query!$B$6="All",ISNUMBER(SEARCH(Query!$B$6,'Compliance Database'!$I102))),OR(Query!$B$7="All",ISNUMBER(SEARCH(Query!$B$7,'Compliance Database'!$J102))),OR(Query!$B$8="All",'Compliance Database'!$G102=Query!$B$8),OR(Query!$B$9="All",'Compliance Database'!$K102=Query!$B$9),OR(Query!$B$10="",ISNUMBER(SEARCH(Query!$B$10,'Compliance Database'!$D102&amp;" "&amp;'Compliance Database'!$L102&amp;" "&amp;'Compliance Database'!$M102&amp;" "&amp;'Compliance Database'!$N102&amp;" "&amp;'Compliance Database'!$O102)))),1,0)</f>
        <v/>
      </c>
      <c r="B102">
        <f>IF($A102=1,SUM($A$2:$A102),"")</f>
        <v/>
      </c>
      <c r="C102">
        <f>IF($A102=1,SUM($A$2:$A102),0)</f>
        <v/>
      </c>
    </row>
    <row r="103">
      <c r="A103">
        <f>IF(AND(OR(Query!$B$4="All",'Compliance Database'!$A103=Query!$B$4),OR(Query!$B$5="All",'Compliance Database'!$F103=Query!$B$5),OR(Query!$B$6="All",ISNUMBER(SEARCH(Query!$B$6,'Compliance Database'!$I103))),OR(Query!$B$7="All",ISNUMBER(SEARCH(Query!$B$7,'Compliance Database'!$J103))),OR(Query!$B$8="All",'Compliance Database'!$G103=Query!$B$8),OR(Query!$B$9="All",'Compliance Database'!$K103=Query!$B$9),OR(Query!$B$10="",ISNUMBER(SEARCH(Query!$B$10,'Compliance Database'!$D103&amp;" "&amp;'Compliance Database'!$L103&amp;" "&amp;'Compliance Database'!$M103&amp;" "&amp;'Compliance Database'!$N103&amp;" "&amp;'Compliance Database'!$O103)))),1,0)</f>
        <v/>
      </c>
      <c r="B103">
        <f>IF($A103=1,SUM($A$2:$A103),"")</f>
        <v/>
      </c>
      <c r="C103">
        <f>IF($A103=1,SUM($A$2:$A103),0)</f>
        <v/>
      </c>
    </row>
    <row r="104">
      <c r="A104">
        <f>IF(AND(OR(Query!$B$4="All",'Compliance Database'!$A104=Query!$B$4),OR(Query!$B$5="All",'Compliance Database'!$F104=Query!$B$5),OR(Query!$B$6="All",ISNUMBER(SEARCH(Query!$B$6,'Compliance Database'!$I104))),OR(Query!$B$7="All",ISNUMBER(SEARCH(Query!$B$7,'Compliance Database'!$J104))),OR(Query!$B$8="All",'Compliance Database'!$G104=Query!$B$8),OR(Query!$B$9="All",'Compliance Database'!$K104=Query!$B$9),OR(Query!$B$10="",ISNUMBER(SEARCH(Query!$B$10,'Compliance Database'!$D104&amp;" "&amp;'Compliance Database'!$L104&amp;" "&amp;'Compliance Database'!$M104&amp;" "&amp;'Compliance Database'!$N104&amp;" "&amp;'Compliance Database'!$O104)))),1,0)</f>
        <v/>
      </c>
      <c r="B104">
        <f>IF($A104=1,SUM($A$2:$A104),"")</f>
        <v/>
      </c>
      <c r="C104">
        <f>IF($A104=1,SUM($A$2:$A104),0)</f>
        <v/>
      </c>
    </row>
    <row r="105">
      <c r="A105">
        <f>IF(AND(OR(Query!$B$4="All",'Compliance Database'!$A105=Query!$B$4),OR(Query!$B$5="All",'Compliance Database'!$F105=Query!$B$5),OR(Query!$B$6="All",ISNUMBER(SEARCH(Query!$B$6,'Compliance Database'!$I105))),OR(Query!$B$7="All",ISNUMBER(SEARCH(Query!$B$7,'Compliance Database'!$J105))),OR(Query!$B$8="All",'Compliance Database'!$G105=Query!$B$8),OR(Query!$B$9="All",'Compliance Database'!$K105=Query!$B$9),OR(Query!$B$10="",ISNUMBER(SEARCH(Query!$B$10,'Compliance Database'!$D105&amp;" "&amp;'Compliance Database'!$L105&amp;" "&amp;'Compliance Database'!$M105&amp;" "&amp;'Compliance Database'!$N105&amp;" "&amp;'Compliance Database'!$O105)))),1,0)</f>
        <v/>
      </c>
      <c r="B105">
        <f>IF($A105=1,SUM($A$2:$A105),"")</f>
        <v/>
      </c>
      <c r="C105">
        <f>IF($A105=1,SUM($A$2:$A105),0)</f>
        <v/>
      </c>
    </row>
    <row r="106">
      <c r="A106">
        <f>IF(AND(OR(Query!$B$4="All",'Compliance Database'!$A106=Query!$B$4),OR(Query!$B$5="All",'Compliance Database'!$F106=Query!$B$5),OR(Query!$B$6="All",ISNUMBER(SEARCH(Query!$B$6,'Compliance Database'!$I106))),OR(Query!$B$7="All",ISNUMBER(SEARCH(Query!$B$7,'Compliance Database'!$J106))),OR(Query!$B$8="All",'Compliance Database'!$G106=Query!$B$8),OR(Query!$B$9="All",'Compliance Database'!$K106=Query!$B$9),OR(Query!$B$10="",ISNUMBER(SEARCH(Query!$B$10,'Compliance Database'!$D106&amp;" "&amp;'Compliance Database'!$L106&amp;" "&amp;'Compliance Database'!$M106&amp;" "&amp;'Compliance Database'!$N106&amp;" "&amp;'Compliance Database'!$O106)))),1,0)</f>
        <v/>
      </c>
      <c r="B106">
        <f>IF($A106=1,SUM($A$2:$A106),"")</f>
        <v/>
      </c>
      <c r="C106">
        <f>IF($A106=1,SUM($A$2:$A106),0)</f>
        <v/>
      </c>
    </row>
    <row r="107">
      <c r="A107">
        <f>IF(AND(OR(Query!$B$4="All",'Compliance Database'!$A107=Query!$B$4),OR(Query!$B$5="All",'Compliance Database'!$F107=Query!$B$5),OR(Query!$B$6="All",ISNUMBER(SEARCH(Query!$B$6,'Compliance Database'!$I107))),OR(Query!$B$7="All",ISNUMBER(SEARCH(Query!$B$7,'Compliance Database'!$J107))),OR(Query!$B$8="All",'Compliance Database'!$G107=Query!$B$8),OR(Query!$B$9="All",'Compliance Database'!$K107=Query!$B$9),OR(Query!$B$10="",ISNUMBER(SEARCH(Query!$B$10,'Compliance Database'!$D107&amp;" "&amp;'Compliance Database'!$L107&amp;" "&amp;'Compliance Database'!$M107&amp;" "&amp;'Compliance Database'!$N107&amp;" "&amp;'Compliance Database'!$O107)))),1,0)</f>
        <v/>
      </c>
      <c r="B107">
        <f>IF($A107=1,SUM($A$2:$A107),"")</f>
        <v/>
      </c>
      <c r="C107">
        <f>IF($A107=1,SUM($A$2:$A107),0)</f>
        <v/>
      </c>
    </row>
    <row r="108">
      <c r="A108">
        <f>IF(AND(OR(Query!$B$4="All",'Compliance Database'!$A108=Query!$B$4),OR(Query!$B$5="All",'Compliance Database'!$F108=Query!$B$5),OR(Query!$B$6="All",ISNUMBER(SEARCH(Query!$B$6,'Compliance Database'!$I108))),OR(Query!$B$7="All",ISNUMBER(SEARCH(Query!$B$7,'Compliance Database'!$J108))),OR(Query!$B$8="All",'Compliance Database'!$G108=Query!$B$8),OR(Query!$B$9="All",'Compliance Database'!$K108=Query!$B$9),OR(Query!$B$10="",ISNUMBER(SEARCH(Query!$B$10,'Compliance Database'!$D108&amp;" "&amp;'Compliance Database'!$L108&amp;" "&amp;'Compliance Database'!$M108&amp;" "&amp;'Compliance Database'!$N108&amp;" "&amp;'Compliance Database'!$O108)))),1,0)</f>
        <v/>
      </c>
      <c r="B108">
        <f>IF($A108=1,SUM($A$2:$A108),"")</f>
        <v/>
      </c>
      <c r="C108">
        <f>IF($A108=1,SUM($A$2:$A108),0)</f>
        <v/>
      </c>
    </row>
    <row r="109">
      <c r="A109">
        <f>IF(AND(OR(Query!$B$4="All",'Compliance Database'!$A109=Query!$B$4),OR(Query!$B$5="All",'Compliance Database'!$F109=Query!$B$5),OR(Query!$B$6="All",ISNUMBER(SEARCH(Query!$B$6,'Compliance Database'!$I109))),OR(Query!$B$7="All",ISNUMBER(SEARCH(Query!$B$7,'Compliance Database'!$J109))),OR(Query!$B$8="All",'Compliance Database'!$G109=Query!$B$8),OR(Query!$B$9="All",'Compliance Database'!$K109=Query!$B$9),OR(Query!$B$10="",ISNUMBER(SEARCH(Query!$B$10,'Compliance Database'!$D109&amp;" "&amp;'Compliance Database'!$L109&amp;" "&amp;'Compliance Database'!$M109&amp;" "&amp;'Compliance Database'!$N109&amp;" "&amp;'Compliance Database'!$O109)))),1,0)</f>
        <v/>
      </c>
      <c r="B109">
        <f>IF($A109=1,SUM($A$2:$A109),"")</f>
        <v/>
      </c>
      <c r="C109">
        <f>IF($A109=1,SUM($A$2:$A109),0)</f>
        <v/>
      </c>
    </row>
    <row r="110">
      <c r="A110">
        <f>IF(AND(OR(Query!$B$4="All",'Compliance Database'!$A110=Query!$B$4),OR(Query!$B$5="All",'Compliance Database'!$F110=Query!$B$5),OR(Query!$B$6="All",ISNUMBER(SEARCH(Query!$B$6,'Compliance Database'!$I110))),OR(Query!$B$7="All",ISNUMBER(SEARCH(Query!$B$7,'Compliance Database'!$J110))),OR(Query!$B$8="All",'Compliance Database'!$G110=Query!$B$8),OR(Query!$B$9="All",'Compliance Database'!$K110=Query!$B$9),OR(Query!$B$10="",ISNUMBER(SEARCH(Query!$B$10,'Compliance Database'!$D110&amp;" "&amp;'Compliance Database'!$L110&amp;" "&amp;'Compliance Database'!$M110&amp;" "&amp;'Compliance Database'!$N110&amp;" "&amp;'Compliance Database'!$O110)))),1,0)</f>
        <v/>
      </c>
      <c r="B110">
        <f>IF($A110=1,SUM($A$2:$A110),"")</f>
        <v/>
      </c>
      <c r="C110">
        <f>IF($A110=1,SUM($A$2:$A110),0)</f>
        <v/>
      </c>
    </row>
    <row r="111">
      <c r="A111">
        <f>IF(AND(OR(Query!$B$4="All",'Compliance Database'!$A111=Query!$B$4),OR(Query!$B$5="All",'Compliance Database'!$F111=Query!$B$5),OR(Query!$B$6="All",ISNUMBER(SEARCH(Query!$B$6,'Compliance Database'!$I111))),OR(Query!$B$7="All",ISNUMBER(SEARCH(Query!$B$7,'Compliance Database'!$J111))),OR(Query!$B$8="All",'Compliance Database'!$G111=Query!$B$8),OR(Query!$B$9="All",'Compliance Database'!$K111=Query!$B$9),OR(Query!$B$10="",ISNUMBER(SEARCH(Query!$B$10,'Compliance Database'!$D111&amp;" "&amp;'Compliance Database'!$L111&amp;" "&amp;'Compliance Database'!$M111&amp;" "&amp;'Compliance Database'!$N111&amp;" "&amp;'Compliance Database'!$O111)))),1,0)</f>
        <v/>
      </c>
      <c r="B111">
        <f>IF($A111=1,SUM($A$2:$A111),"")</f>
        <v/>
      </c>
      <c r="C111">
        <f>IF($A111=1,SUM($A$2:$A111),0)</f>
        <v/>
      </c>
    </row>
    <row r="112">
      <c r="A112">
        <f>IF(AND(OR(Query!$B$4="All",'Compliance Database'!$A112=Query!$B$4),OR(Query!$B$5="All",'Compliance Database'!$F112=Query!$B$5),OR(Query!$B$6="All",ISNUMBER(SEARCH(Query!$B$6,'Compliance Database'!$I112))),OR(Query!$B$7="All",ISNUMBER(SEARCH(Query!$B$7,'Compliance Database'!$J112))),OR(Query!$B$8="All",'Compliance Database'!$G112=Query!$B$8),OR(Query!$B$9="All",'Compliance Database'!$K112=Query!$B$9),OR(Query!$B$10="",ISNUMBER(SEARCH(Query!$B$10,'Compliance Database'!$D112&amp;" "&amp;'Compliance Database'!$L112&amp;" "&amp;'Compliance Database'!$M112&amp;" "&amp;'Compliance Database'!$N112&amp;" "&amp;'Compliance Database'!$O112)))),1,0)</f>
        <v/>
      </c>
      <c r="B112">
        <f>IF($A112=1,SUM($A$2:$A112),"")</f>
        <v/>
      </c>
      <c r="C112">
        <f>IF($A112=1,SUM($A$2:$A112),0)</f>
        <v/>
      </c>
    </row>
    <row r="113">
      <c r="A113">
        <f>IF(AND(OR(Query!$B$4="All",'Compliance Database'!$A113=Query!$B$4),OR(Query!$B$5="All",'Compliance Database'!$F113=Query!$B$5),OR(Query!$B$6="All",ISNUMBER(SEARCH(Query!$B$6,'Compliance Database'!$I113))),OR(Query!$B$7="All",ISNUMBER(SEARCH(Query!$B$7,'Compliance Database'!$J113))),OR(Query!$B$8="All",'Compliance Database'!$G113=Query!$B$8),OR(Query!$B$9="All",'Compliance Database'!$K113=Query!$B$9),OR(Query!$B$10="",ISNUMBER(SEARCH(Query!$B$10,'Compliance Database'!$D113&amp;" "&amp;'Compliance Database'!$L113&amp;" "&amp;'Compliance Database'!$M113&amp;" "&amp;'Compliance Database'!$N113&amp;" "&amp;'Compliance Database'!$O113)))),1,0)</f>
        <v/>
      </c>
      <c r="B113">
        <f>IF($A113=1,SUM($A$2:$A113),"")</f>
        <v/>
      </c>
      <c r="C113">
        <f>IF($A113=1,SUM($A$2:$A113),0)</f>
        <v/>
      </c>
    </row>
    <row r="114">
      <c r="A114">
        <f>IF(AND(OR(Query!$B$4="All",'Compliance Database'!$A114=Query!$B$4),OR(Query!$B$5="All",'Compliance Database'!$F114=Query!$B$5),OR(Query!$B$6="All",ISNUMBER(SEARCH(Query!$B$6,'Compliance Database'!$I114))),OR(Query!$B$7="All",ISNUMBER(SEARCH(Query!$B$7,'Compliance Database'!$J114))),OR(Query!$B$8="All",'Compliance Database'!$G114=Query!$B$8),OR(Query!$B$9="All",'Compliance Database'!$K114=Query!$B$9),OR(Query!$B$10="",ISNUMBER(SEARCH(Query!$B$10,'Compliance Database'!$D114&amp;" "&amp;'Compliance Database'!$L114&amp;" "&amp;'Compliance Database'!$M114&amp;" "&amp;'Compliance Database'!$N114&amp;" "&amp;'Compliance Database'!$O114)))),1,0)</f>
        <v/>
      </c>
      <c r="B114">
        <f>IF($A114=1,SUM($A$2:$A114),"")</f>
        <v/>
      </c>
      <c r="C114">
        <f>IF($A114=1,SUM($A$2:$A114),0)</f>
        <v/>
      </c>
    </row>
    <row r="115">
      <c r="A115">
        <f>IF(AND(OR(Query!$B$4="All",'Compliance Database'!$A115=Query!$B$4),OR(Query!$B$5="All",'Compliance Database'!$F115=Query!$B$5),OR(Query!$B$6="All",ISNUMBER(SEARCH(Query!$B$6,'Compliance Database'!$I115))),OR(Query!$B$7="All",ISNUMBER(SEARCH(Query!$B$7,'Compliance Database'!$J115))),OR(Query!$B$8="All",'Compliance Database'!$G115=Query!$B$8),OR(Query!$B$9="All",'Compliance Database'!$K115=Query!$B$9),OR(Query!$B$10="",ISNUMBER(SEARCH(Query!$B$10,'Compliance Database'!$D115&amp;" "&amp;'Compliance Database'!$L115&amp;" "&amp;'Compliance Database'!$M115&amp;" "&amp;'Compliance Database'!$N115&amp;" "&amp;'Compliance Database'!$O115)))),1,0)</f>
        <v/>
      </c>
      <c r="B115">
        <f>IF($A115=1,SUM($A$2:$A115),"")</f>
        <v/>
      </c>
      <c r="C115">
        <f>IF($A115=1,SUM($A$2:$A115),0)</f>
        <v/>
      </c>
    </row>
    <row r="116">
      <c r="A116">
        <f>IF(AND(OR(Query!$B$4="All",'Compliance Database'!$A116=Query!$B$4),OR(Query!$B$5="All",'Compliance Database'!$F116=Query!$B$5),OR(Query!$B$6="All",ISNUMBER(SEARCH(Query!$B$6,'Compliance Database'!$I116))),OR(Query!$B$7="All",ISNUMBER(SEARCH(Query!$B$7,'Compliance Database'!$J116))),OR(Query!$B$8="All",'Compliance Database'!$G116=Query!$B$8),OR(Query!$B$9="All",'Compliance Database'!$K116=Query!$B$9),OR(Query!$B$10="",ISNUMBER(SEARCH(Query!$B$10,'Compliance Database'!$D116&amp;" "&amp;'Compliance Database'!$L116&amp;" "&amp;'Compliance Database'!$M116&amp;" "&amp;'Compliance Database'!$N116&amp;" "&amp;'Compliance Database'!$O116)))),1,0)</f>
        <v/>
      </c>
      <c r="B116">
        <f>IF($A116=1,SUM($A$2:$A116),"")</f>
        <v/>
      </c>
      <c r="C116">
        <f>IF($A116=1,SUM($A$2:$A116),0)</f>
        <v/>
      </c>
    </row>
    <row r="117">
      <c r="A117">
        <f>IF(AND(OR(Query!$B$4="All",'Compliance Database'!$A117=Query!$B$4),OR(Query!$B$5="All",'Compliance Database'!$F117=Query!$B$5),OR(Query!$B$6="All",ISNUMBER(SEARCH(Query!$B$6,'Compliance Database'!$I117))),OR(Query!$B$7="All",ISNUMBER(SEARCH(Query!$B$7,'Compliance Database'!$J117))),OR(Query!$B$8="All",'Compliance Database'!$G117=Query!$B$8),OR(Query!$B$9="All",'Compliance Database'!$K117=Query!$B$9),OR(Query!$B$10="",ISNUMBER(SEARCH(Query!$B$10,'Compliance Database'!$D117&amp;" "&amp;'Compliance Database'!$L117&amp;" "&amp;'Compliance Database'!$M117&amp;" "&amp;'Compliance Database'!$N117&amp;" "&amp;'Compliance Database'!$O117)))),1,0)</f>
        <v/>
      </c>
      <c r="B117">
        <f>IF($A117=1,SUM($A$2:$A117),"")</f>
        <v/>
      </c>
      <c r="C117">
        <f>IF($A117=1,SUM($A$2:$A117),0)</f>
        <v/>
      </c>
    </row>
    <row r="118">
      <c r="A118">
        <f>IF(AND(OR(Query!$B$4="All",'Compliance Database'!$A118=Query!$B$4),OR(Query!$B$5="All",'Compliance Database'!$F118=Query!$B$5),OR(Query!$B$6="All",ISNUMBER(SEARCH(Query!$B$6,'Compliance Database'!$I118))),OR(Query!$B$7="All",ISNUMBER(SEARCH(Query!$B$7,'Compliance Database'!$J118))),OR(Query!$B$8="All",'Compliance Database'!$G118=Query!$B$8),OR(Query!$B$9="All",'Compliance Database'!$K118=Query!$B$9),OR(Query!$B$10="",ISNUMBER(SEARCH(Query!$B$10,'Compliance Database'!$D118&amp;" "&amp;'Compliance Database'!$L118&amp;" "&amp;'Compliance Database'!$M118&amp;" "&amp;'Compliance Database'!$N118&amp;" "&amp;'Compliance Database'!$O118)))),1,0)</f>
        <v/>
      </c>
      <c r="B118">
        <f>IF($A118=1,SUM($A$2:$A118),"")</f>
        <v/>
      </c>
      <c r="C118">
        <f>IF($A118=1,SUM($A$2:$A118),0)</f>
        <v/>
      </c>
    </row>
    <row r="119">
      <c r="A119">
        <f>IF(AND(OR(Query!$B$4="All",'Compliance Database'!$A119=Query!$B$4),OR(Query!$B$5="All",'Compliance Database'!$F119=Query!$B$5),OR(Query!$B$6="All",ISNUMBER(SEARCH(Query!$B$6,'Compliance Database'!$I119))),OR(Query!$B$7="All",ISNUMBER(SEARCH(Query!$B$7,'Compliance Database'!$J119))),OR(Query!$B$8="All",'Compliance Database'!$G119=Query!$B$8),OR(Query!$B$9="All",'Compliance Database'!$K119=Query!$B$9),OR(Query!$B$10="",ISNUMBER(SEARCH(Query!$B$10,'Compliance Database'!$D119&amp;" "&amp;'Compliance Database'!$L119&amp;" "&amp;'Compliance Database'!$M119&amp;" "&amp;'Compliance Database'!$N119&amp;" "&amp;'Compliance Database'!$O119)))),1,0)</f>
        <v/>
      </c>
      <c r="B119">
        <f>IF($A119=1,SUM($A$2:$A119),"")</f>
        <v/>
      </c>
      <c r="C119">
        <f>IF($A119=1,SUM($A$2:$A119),0)</f>
        <v/>
      </c>
    </row>
    <row r="120">
      <c r="A120">
        <f>IF(AND(OR(Query!$B$4="All",'Compliance Database'!$A120=Query!$B$4),OR(Query!$B$5="All",'Compliance Database'!$F120=Query!$B$5),OR(Query!$B$6="All",ISNUMBER(SEARCH(Query!$B$6,'Compliance Database'!$I120))),OR(Query!$B$7="All",ISNUMBER(SEARCH(Query!$B$7,'Compliance Database'!$J120))),OR(Query!$B$8="All",'Compliance Database'!$G120=Query!$B$8),OR(Query!$B$9="All",'Compliance Database'!$K120=Query!$B$9),OR(Query!$B$10="",ISNUMBER(SEARCH(Query!$B$10,'Compliance Database'!$D120&amp;" "&amp;'Compliance Database'!$L120&amp;" "&amp;'Compliance Database'!$M120&amp;" "&amp;'Compliance Database'!$N120&amp;" "&amp;'Compliance Database'!$O120)))),1,0)</f>
        <v/>
      </c>
      <c r="B120">
        <f>IF($A120=1,SUM($A$2:$A120),"")</f>
        <v/>
      </c>
      <c r="C120">
        <f>IF($A120=1,SUM($A$2:$A120),0)</f>
        <v/>
      </c>
    </row>
    <row r="121">
      <c r="A121">
        <f>IF(AND(OR(Query!$B$4="All",'Compliance Database'!$A121=Query!$B$4),OR(Query!$B$5="All",'Compliance Database'!$F121=Query!$B$5),OR(Query!$B$6="All",ISNUMBER(SEARCH(Query!$B$6,'Compliance Database'!$I121))),OR(Query!$B$7="All",ISNUMBER(SEARCH(Query!$B$7,'Compliance Database'!$J121))),OR(Query!$B$8="All",'Compliance Database'!$G121=Query!$B$8),OR(Query!$B$9="All",'Compliance Database'!$K121=Query!$B$9),OR(Query!$B$10="",ISNUMBER(SEARCH(Query!$B$10,'Compliance Database'!$D121&amp;" "&amp;'Compliance Database'!$L121&amp;" "&amp;'Compliance Database'!$M121&amp;" "&amp;'Compliance Database'!$N121&amp;" "&amp;'Compliance Database'!$O121)))),1,0)</f>
        <v/>
      </c>
      <c r="B121">
        <f>IF($A121=1,SUM($A$2:$A121),"")</f>
        <v/>
      </c>
      <c r="C121">
        <f>IF($A121=1,SUM($A$2:$A121),0)</f>
        <v/>
      </c>
    </row>
    <row r="122">
      <c r="A122">
        <f>IF(AND(OR(Query!$B$4="All",'Compliance Database'!$A122=Query!$B$4),OR(Query!$B$5="All",'Compliance Database'!$F122=Query!$B$5),OR(Query!$B$6="All",ISNUMBER(SEARCH(Query!$B$6,'Compliance Database'!$I122))),OR(Query!$B$7="All",ISNUMBER(SEARCH(Query!$B$7,'Compliance Database'!$J122))),OR(Query!$B$8="All",'Compliance Database'!$G122=Query!$B$8),OR(Query!$B$9="All",'Compliance Database'!$K122=Query!$B$9),OR(Query!$B$10="",ISNUMBER(SEARCH(Query!$B$10,'Compliance Database'!$D122&amp;" "&amp;'Compliance Database'!$L122&amp;" "&amp;'Compliance Database'!$M122&amp;" "&amp;'Compliance Database'!$N122&amp;" "&amp;'Compliance Database'!$O122)))),1,0)</f>
        <v/>
      </c>
      <c r="B122">
        <f>IF($A122=1,SUM($A$2:$A122),"")</f>
        <v/>
      </c>
      <c r="C122">
        <f>IF($A122=1,SUM($A$2:$A122),0)</f>
        <v/>
      </c>
    </row>
    <row r="123">
      <c r="A123">
        <f>IF(AND(OR(Query!$B$4="All",'Compliance Database'!$A123=Query!$B$4),OR(Query!$B$5="All",'Compliance Database'!$F123=Query!$B$5),OR(Query!$B$6="All",ISNUMBER(SEARCH(Query!$B$6,'Compliance Database'!$I123))),OR(Query!$B$7="All",ISNUMBER(SEARCH(Query!$B$7,'Compliance Database'!$J123))),OR(Query!$B$8="All",'Compliance Database'!$G123=Query!$B$8),OR(Query!$B$9="All",'Compliance Database'!$K123=Query!$B$9),OR(Query!$B$10="",ISNUMBER(SEARCH(Query!$B$10,'Compliance Database'!$D123&amp;" "&amp;'Compliance Database'!$L123&amp;" "&amp;'Compliance Database'!$M123&amp;" "&amp;'Compliance Database'!$N123&amp;" "&amp;'Compliance Database'!$O123)))),1,0)</f>
        <v/>
      </c>
      <c r="B123">
        <f>IF($A123=1,SUM($A$2:$A123),"")</f>
        <v/>
      </c>
      <c r="C123">
        <f>IF($A123=1,SUM($A$2:$A123),0)</f>
        <v/>
      </c>
    </row>
    <row r="124">
      <c r="A124">
        <f>IF(AND(OR(Query!$B$4="All",'Compliance Database'!$A124=Query!$B$4),OR(Query!$B$5="All",'Compliance Database'!$F124=Query!$B$5),OR(Query!$B$6="All",ISNUMBER(SEARCH(Query!$B$6,'Compliance Database'!$I124))),OR(Query!$B$7="All",ISNUMBER(SEARCH(Query!$B$7,'Compliance Database'!$J124))),OR(Query!$B$8="All",'Compliance Database'!$G124=Query!$B$8),OR(Query!$B$9="All",'Compliance Database'!$K124=Query!$B$9),OR(Query!$B$10="",ISNUMBER(SEARCH(Query!$B$10,'Compliance Database'!$D124&amp;" "&amp;'Compliance Database'!$L124&amp;" "&amp;'Compliance Database'!$M124&amp;" "&amp;'Compliance Database'!$N124&amp;" "&amp;'Compliance Database'!$O124)))),1,0)</f>
        <v/>
      </c>
      <c r="B124">
        <f>IF($A124=1,SUM($A$2:$A124),"")</f>
        <v/>
      </c>
      <c r="C124">
        <f>IF($A124=1,SUM($A$2:$A124),0)</f>
        <v/>
      </c>
    </row>
    <row r="125">
      <c r="A125">
        <f>IF(AND(OR(Query!$B$4="All",'Compliance Database'!$A125=Query!$B$4),OR(Query!$B$5="All",'Compliance Database'!$F125=Query!$B$5),OR(Query!$B$6="All",ISNUMBER(SEARCH(Query!$B$6,'Compliance Database'!$I125))),OR(Query!$B$7="All",ISNUMBER(SEARCH(Query!$B$7,'Compliance Database'!$J125))),OR(Query!$B$8="All",'Compliance Database'!$G125=Query!$B$8),OR(Query!$B$9="All",'Compliance Database'!$K125=Query!$B$9),OR(Query!$B$10="",ISNUMBER(SEARCH(Query!$B$10,'Compliance Database'!$D125&amp;" "&amp;'Compliance Database'!$L125&amp;" "&amp;'Compliance Database'!$M125&amp;" "&amp;'Compliance Database'!$N125&amp;" "&amp;'Compliance Database'!$O125)))),1,0)</f>
        <v/>
      </c>
      <c r="B125">
        <f>IF($A125=1,SUM($A$2:$A125),"")</f>
        <v/>
      </c>
      <c r="C125">
        <f>IF($A125=1,SUM($A$2:$A125),0)</f>
        <v/>
      </c>
    </row>
    <row r="126">
      <c r="A126">
        <f>IF(AND(OR(Query!$B$4="All",'Compliance Database'!$A126=Query!$B$4),OR(Query!$B$5="All",'Compliance Database'!$F126=Query!$B$5),OR(Query!$B$6="All",ISNUMBER(SEARCH(Query!$B$6,'Compliance Database'!$I126))),OR(Query!$B$7="All",ISNUMBER(SEARCH(Query!$B$7,'Compliance Database'!$J126))),OR(Query!$B$8="All",'Compliance Database'!$G126=Query!$B$8),OR(Query!$B$9="All",'Compliance Database'!$K126=Query!$B$9),OR(Query!$B$10="",ISNUMBER(SEARCH(Query!$B$10,'Compliance Database'!$D126&amp;" "&amp;'Compliance Database'!$L126&amp;" "&amp;'Compliance Database'!$M126&amp;" "&amp;'Compliance Database'!$N126&amp;" "&amp;'Compliance Database'!$O126)))),1,0)</f>
        <v/>
      </c>
      <c r="B126">
        <f>IF($A126=1,SUM($A$2:$A126),"")</f>
        <v/>
      </c>
      <c r="C126">
        <f>IF($A126=1,SUM($A$2:$A126),0)</f>
        <v/>
      </c>
    </row>
    <row r="127">
      <c r="A127">
        <f>IF(AND(OR(Query!$B$4="All",'Compliance Database'!$A127=Query!$B$4),OR(Query!$B$5="All",'Compliance Database'!$F127=Query!$B$5),OR(Query!$B$6="All",ISNUMBER(SEARCH(Query!$B$6,'Compliance Database'!$I127))),OR(Query!$B$7="All",ISNUMBER(SEARCH(Query!$B$7,'Compliance Database'!$J127))),OR(Query!$B$8="All",'Compliance Database'!$G127=Query!$B$8),OR(Query!$B$9="All",'Compliance Database'!$K127=Query!$B$9),OR(Query!$B$10="",ISNUMBER(SEARCH(Query!$B$10,'Compliance Database'!$D127&amp;" "&amp;'Compliance Database'!$L127&amp;" "&amp;'Compliance Database'!$M127&amp;" "&amp;'Compliance Database'!$N127&amp;" "&amp;'Compliance Database'!$O127)))),1,0)</f>
        <v/>
      </c>
      <c r="B127">
        <f>IF($A127=1,SUM($A$2:$A127),"")</f>
        <v/>
      </c>
      <c r="C127">
        <f>IF($A127=1,SUM($A$2:$A127),0)</f>
        <v/>
      </c>
    </row>
    <row r="128">
      <c r="A128">
        <f>IF(AND(OR(Query!$B$4="All",'Compliance Database'!$A128=Query!$B$4),OR(Query!$B$5="All",'Compliance Database'!$F128=Query!$B$5),OR(Query!$B$6="All",ISNUMBER(SEARCH(Query!$B$6,'Compliance Database'!$I128))),OR(Query!$B$7="All",ISNUMBER(SEARCH(Query!$B$7,'Compliance Database'!$J128))),OR(Query!$B$8="All",'Compliance Database'!$G128=Query!$B$8),OR(Query!$B$9="All",'Compliance Database'!$K128=Query!$B$9),OR(Query!$B$10="",ISNUMBER(SEARCH(Query!$B$10,'Compliance Database'!$D128&amp;" "&amp;'Compliance Database'!$L128&amp;" "&amp;'Compliance Database'!$M128&amp;" "&amp;'Compliance Database'!$N128&amp;" "&amp;'Compliance Database'!$O128)))),1,0)</f>
        <v/>
      </c>
      <c r="B128">
        <f>IF($A128=1,SUM($A$2:$A128),"")</f>
        <v/>
      </c>
      <c r="C128">
        <f>IF($A128=1,SUM($A$2:$A128),0)</f>
        <v/>
      </c>
    </row>
    <row r="129">
      <c r="A129">
        <f>IF(AND(OR(Query!$B$4="All",'Compliance Database'!$A129=Query!$B$4),OR(Query!$B$5="All",'Compliance Database'!$F129=Query!$B$5),OR(Query!$B$6="All",ISNUMBER(SEARCH(Query!$B$6,'Compliance Database'!$I129))),OR(Query!$B$7="All",ISNUMBER(SEARCH(Query!$B$7,'Compliance Database'!$J129))),OR(Query!$B$8="All",'Compliance Database'!$G129=Query!$B$8),OR(Query!$B$9="All",'Compliance Database'!$K129=Query!$B$9),OR(Query!$B$10="",ISNUMBER(SEARCH(Query!$B$10,'Compliance Database'!$D129&amp;" "&amp;'Compliance Database'!$L129&amp;" "&amp;'Compliance Database'!$M129&amp;" "&amp;'Compliance Database'!$N129&amp;" "&amp;'Compliance Database'!$O129)))),1,0)</f>
        <v/>
      </c>
      <c r="B129">
        <f>IF($A129=1,SUM($A$2:$A129),"")</f>
        <v/>
      </c>
      <c r="C129">
        <f>IF($A129=1,SUM($A$2:$A129),0)</f>
        <v/>
      </c>
    </row>
    <row r="130">
      <c r="A130">
        <f>IF(AND(OR(Query!$B$4="All",'Compliance Database'!$A130=Query!$B$4),OR(Query!$B$5="All",'Compliance Database'!$F130=Query!$B$5),OR(Query!$B$6="All",ISNUMBER(SEARCH(Query!$B$6,'Compliance Database'!$I130))),OR(Query!$B$7="All",ISNUMBER(SEARCH(Query!$B$7,'Compliance Database'!$J130))),OR(Query!$B$8="All",'Compliance Database'!$G130=Query!$B$8),OR(Query!$B$9="All",'Compliance Database'!$K130=Query!$B$9),OR(Query!$B$10="",ISNUMBER(SEARCH(Query!$B$10,'Compliance Database'!$D130&amp;" "&amp;'Compliance Database'!$L130&amp;" "&amp;'Compliance Database'!$M130&amp;" "&amp;'Compliance Database'!$N130&amp;" "&amp;'Compliance Database'!$O130)))),1,0)</f>
        <v/>
      </c>
      <c r="B130">
        <f>IF($A130=1,SUM($A$2:$A130),"")</f>
        <v/>
      </c>
      <c r="C130">
        <f>IF($A130=1,SUM($A$2:$A130),0)</f>
        <v/>
      </c>
    </row>
    <row r="131">
      <c r="A131">
        <f>IF(AND(OR(Query!$B$4="All",'Compliance Database'!$A131=Query!$B$4),OR(Query!$B$5="All",'Compliance Database'!$F131=Query!$B$5),OR(Query!$B$6="All",ISNUMBER(SEARCH(Query!$B$6,'Compliance Database'!$I131))),OR(Query!$B$7="All",ISNUMBER(SEARCH(Query!$B$7,'Compliance Database'!$J131))),OR(Query!$B$8="All",'Compliance Database'!$G131=Query!$B$8),OR(Query!$B$9="All",'Compliance Database'!$K131=Query!$B$9),OR(Query!$B$10="",ISNUMBER(SEARCH(Query!$B$10,'Compliance Database'!$D131&amp;" "&amp;'Compliance Database'!$L131&amp;" "&amp;'Compliance Database'!$M131&amp;" "&amp;'Compliance Database'!$N131&amp;" "&amp;'Compliance Database'!$O131)))),1,0)</f>
        <v/>
      </c>
      <c r="B131">
        <f>IF($A131=1,SUM($A$2:$A131),"")</f>
        <v/>
      </c>
      <c r="C131">
        <f>IF($A131=1,SUM($A$2:$A131),0)</f>
        <v/>
      </c>
    </row>
    <row r="132">
      <c r="A132">
        <f>IF(AND(OR(Query!$B$4="All",'Compliance Database'!$A132=Query!$B$4),OR(Query!$B$5="All",'Compliance Database'!$F132=Query!$B$5),OR(Query!$B$6="All",ISNUMBER(SEARCH(Query!$B$6,'Compliance Database'!$I132))),OR(Query!$B$7="All",ISNUMBER(SEARCH(Query!$B$7,'Compliance Database'!$J132))),OR(Query!$B$8="All",'Compliance Database'!$G132=Query!$B$8),OR(Query!$B$9="All",'Compliance Database'!$K132=Query!$B$9),OR(Query!$B$10="",ISNUMBER(SEARCH(Query!$B$10,'Compliance Database'!$D132&amp;" "&amp;'Compliance Database'!$L132&amp;" "&amp;'Compliance Database'!$M132&amp;" "&amp;'Compliance Database'!$N132&amp;" "&amp;'Compliance Database'!$O132)))),1,0)</f>
        <v/>
      </c>
      <c r="B132">
        <f>IF($A132=1,SUM($A$2:$A132),"")</f>
        <v/>
      </c>
      <c r="C132">
        <f>IF($A132=1,SUM($A$2:$A132),0)</f>
        <v/>
      </c>
    </row>
    <row r="133">
      <c r="A133">
        <f>IF(AND(OR(Query!$B$4="All",'Compliance Database'!$A133=Query!$B$4),OR(Query!$B$5="All",'Compliance Database'!$F133=Query!$B$5),OR(Query!$B$6="All",ISNUMBER(SEARCH(Query!$B$6,'Compliance Database'!$I133))),OR(Query!$B$7="All",ISNUMBER(SEARCH(Query!$B$7,'Compliance Database'!$J133))),OR(Query!$B$8="All",'Compliance Database'!$G133=Query!$B$8),OR(Query!$B$9="All",'Compliance Database'!$K133=Query!$B$9),OR(Query!$B$10="",ISNUMBER(SEARCH(Query!$B$10,'Compliance Database'!$D133&amp;" "&amp;'Compliance Database'!$L133&amp;" "&amp;'Compliance Database'!$M133&amp;" "&amp;'Compliance Database'!$N133&amp;" "&amp;'Compliance Database'!$O133)))),1,0)</f>
        <v/>
      </c>
      <c r="B133">
        <f>IF($A133=1,SUM($A$2:$A133),"")</f>
        <v/>
      </c>
      <c r="C133">
        <f>IF($A133=1,SUM($A$2:$A133),0)</f>
        <v/>
      </c>
    </row>
    <row r="134">
      <c r="A134">
        <f>IF(AND(OR(Query!$B$4="All",'Compliance Database'!$A134=Query!$B$4),OR(Query!$B$5="All",'Compliance Database'!$F134=Query!$B$5),OR(Query!$B$6="All",ISNUMBER(SEARCH(Query!$B$6,'Compliance Database'!$I134))),OR(Query!$B$7="All",ISNUMBER(SEARCH(Query!$B$7,'Compliance Database'!$J134))),OR(Query!$B$8="All",'Compliance Database'!$G134=Query!$B$8),OR(Query!$B$9="All",'Compliance Database'!$K134=Query!$B$9),OR(Query!$B$10="",ISNUMBER(SEARCH(Query!$B$10,'Compliance Database'!$D134&amp;" "&amp;'Compliance Database'!$L134&amp;" "&amp;'Compliance Database'!$M134&amp;" "&amp;'Compliance Database'!$N134&amp;" "&amp;'Compliance Database'!$O134)))),1,0)</f>
        <v/>
      </c>
      <c r="B134">
        <f>IF($A134=1,SUM($A$2:$A134),"")</f>
        <v/>
      </c>
      <c r="C134">
        <f>IF($A134=1,SUM($A$2:$A134),0)</f>
        <v/>
      </c>
    </row>
    <row r="135">
      <c r="A135">
        <f>IF(AND(OR(Query!$B$4="All",'Compliance Database'!$A135=Query!$B$4),OR(Query!$B$5="All",'Compliance Database'!$F135=Query!$B$5),OR(Query!$B$6="All",ISNUMBER(SEARCH(Query!$B$6,'Compliance Database'!$I135))),OR(Query!$B$7="All",ISNUMBER(SEARCH(Query!$B$7,'Compliance Database'!$J135))),OR(Query!$B$8="All",'Compliance Database'!$G135=Query!$B$8),OR(Query!$B$9="All",'Compliance Database'!$K135=Query!$B$9),OR(Query!$B$10="",ISNUMBER(SEARCH(Query!$B$10,'Compliance Database'!$D135&amp;" "&amp;'Compliance Database'!$L135&amp;" "&amp;'Compliance Database'!$M135&amp;" "&amp;'Compliance Database'!$N135&amp;" "&amp;'Compliance Database'!$O135)))),1,0)</f>
        <v/>
      </c>
      <c r="B135">
        <f>IF($A135=1,SUM($A$2:$A135),"")</f>
        <v/>
      </c>
      <c r="C135">
        <f>IF($A135=1,SUM($A$2:$A135),0)</f>
        <v/>
      </c>
    </row>
    <row r="136">
      <c r="A136">
        <f>IF(AND(OR(Query!$B$4="All",'Compliance Database'!$A136=Query!$B$4),OR(Query!$B$5="All",'Compliance Database'!$F136=Query!$B$5),OR(Query!$B$6="All",ISNUMBER(SEARCH(Query!$B$6,'Compliance Database'!$I136))),OR(Query!$B$7="All",ISNUMBER(SEARCH(Query!$B$7,'Compliance Database'!$J136))),OR(Query!$B$8="All",'Compliance Database'!$G136=Query!$B$8),OR(Query!$B$9="All",'Compliance Database'!$K136=Query!$B$9),OR(Query!$B$10="",ISNUMBER(SEARCH(Query!$B$10,'Compliance Database'!$D136&amp;" "&amp;'Compliance Database'!$L136&amp;" "&amp;'Compliance Database'!$M136&amp;" "&amp;'Compliance Database'!$N136&amp;" "&amp;'Compliance Database'!$O136)))),1,0)</f>
        <v/>
      </c>
      <c r="B136">
        <f>IF($A136=1,SUM($A$2:$A136),"")</f>
        <v/>
      </c>
      <c r="C136">
        <f>IF($A136=1,SUM($A$2:$A136),0)</f>
        <v/>
      </c>
    </row>
    <row r="137">
      <c r="A137">
        <f>IF(AND(OR(Query!$B$4="All",'Compliance Database'!$A137=Query!$B$4),OR(Query!$B$5="All",'Compliance Database'!$F137=Query!$B$5),OR(Query!$B$6="All",ISNUMBER(SEARCH(Query!$B$6,'Compliance Database'!$I137))),OR(Query!$B$7="All",ISNUMBER(SEARCH(Query!$B$7,'Compliance Database'!$J137))),OR(Query!$B$8="All",'Compliance Database'!$G137=Query!$B$8),OR(Query!$B$9="All",'Compliance Database'!$K137=Query!$B$9),OR(Query!$B$10="",ISNUMBER(SEARCH(Query!$B$10,'Compliance Database'!$D137&amp;" "&amp;'Compliance Database'!$L137&amp;" "&amp;'Compliance Database'!$M137&amp;" "&amp;'Compliance Database'!$N137&amp;" "&amp;'Compliance Database'!$O137)))),1,0)</f>
        <v/>
      </c>
      <c r="B137">
        <f>IF($A137=1,SUM($A$2:$A137),"")</f>
        <v/>
      </c>
      <c r="C137">
        <f>IF($A137=1,SUM($A$2:$A137),0)</f>
        <v/>
      </c>
    </row>
    <row r="138">
      <c r="A138">
        <f>IF(AND(OR(Query!$B$4="All",'Compliance Database'!$A138=Query!$B$4),OR(Query!$B$5="All",'Compliance Database'!$F138=Query!$B$5),OR(Query!$B$6="All",ISNUMBER(SEARCH(Query!$B$6,'Compliance Database'!$I138))),OR(Query!$B$7="All",ISNUMBER(SEARCH(Query!$B$7,'Compliance Database'!$J138))),OR(Query!$B$8="All",'Compliance Database'!$G138=Query!$B$8),OR(Query!$B$9="All",'Compliance Database'!$K138=Query!$B$9),OR(Query!$B$10="",ISNUMBER(SEARCH(Query!$B$10,'Compliance Database'!$D138&amp;" "&amp;'Compliance Database'!$L138&amp;" "&amp;'Compliance Database'!$M138&amp;" "&amp;'Compliance Database'!$N138&amp;" "&amp;'Compliance Database'!$O138)))),1,0)</f>
        <v/>
      </c>
      <c r="B138">
        <f>IF($A138=1,SUM($A$2:$A138),"")</f>
        <v/>
      </c>
      <c r="C138">
        <f>IF($A138=1,SUM($A$2:$A138),0)</f>
        <v/>
      </c>
    </row>
    <row r="139">
      <c r="A139">
        <f>IF(AND(OR(Query!$B$4="All",'Compliance Database'!$A139=Query!$B$4),OR(Query!$B$5="All",'Compliance Database'!$F139=Query!$B$5),OR(Query!$B$6="All",ISNUMBER(SEARCH(Query!$B$6,'Compliance Database'!$I139))),OR(Query!$B$7="All",ISNUMBER(SEARCH(Query!$B$7,'Compliance Database'!$J139))),OR(Query!$B$8="All",'Compliance Database'!$G139=Query!$B$8),OR(Query!$B$9="All",'Compliance Database'!$K139=Query!$B$9),OR(Query!$B$10="",ISNUMBER(SEARCH(Query!$B$10,'Compliance Database'!$D139&amp;" "&amp;'Compliance Database'!$L139&amp;" "&amp;'Compliance Database'!$M139&amp;" "&amp;'Compliance Database'!$N139&amp;" "&amp;'Compliance Database'!$O139)))),1,0)</f>
        <v/>
      </c>
      <c r="B139">
        <f>IF($A139=1,SUM($A$2:$A139),"")</f>
        <v/>
      </c>
      <c r="C139">
        <f>IF($A139=1,SUM($A$2:$A139),0)</f>
        <v/>
      </c>
    </row>
    <row r="140">
      <c r="A140">
        <f>IF(AND(OR(Query!$B$4="All",'Compliance Database'!$A140=Query!$B$4),OR(Query!$B$5="All",'Compliance Database'!$F140=Query!$B$5),OR(Query!$B$6="All",ISNUMBER(SEARCH(Query!$B$6,'Compliance Database'!$I140))),OR(Query!$B$7="All",ISNUMBER(SEARCH(Query!$B$7,'Compliance Database'!$J140))),OR(Query!$B$8="All",'Compliance Database'!$G140=Query!$B$8),OR(Query!$B$9="All",'Compliance Database'!$K140=Query!$B$9),OR(Query!$B$10="",ISNUMBER(SEARCH(Query!$B$10,'Compliance Database'!$D140&amp;" "&amp;'Compliance Database'!$L140&amp;" "&amp;'Compliance Database'!$M140&amp;" "&amp;'Compliance Database'!$N140&amp;" "&amp;'Compliance Database'!$O140)))),1,0)</f>
        <v/>
      </c>
      <c r="B140">
        <f>IF($A140=1,SUM($A$2:$A140),"")</f>
        <v/>
      </c>
      <c r="C140">
        <f>IF($A140=1,SUM($A$2:$A140),0)</f>
        <v/>
      </c>
    </row>
    <row r="141">
      <c r="A141">
        <f>IF(AND(OR(Query!$B$4="All",'Compliance Database'!$A141=Query!$B$4),OR(Query!$B$5="All",'Compliance Database'!$F141=Query!$B$5),OR(Query!$B$6="All",ISNUMBER(SEARCH(Query!$B$6,'Compliance Database'!$I141))),OR(Query!$B$7="All",ISNUMBER(SEARCH(Query!$B$7,'Compliance Database'!$J141))),OR(Query!$B$8="All",'Compliance Database'!$G141=Query!$B$8),OR(Query!$B$9="All",'Compliance Database'!$K141=Query!$B$9),OR(Query!$B$10="",ISNUMBER(SEARCH(Query!$B$10,'Compliance Database'!$D141&amp;" "&amp;'Compliance Database'!$L141&amp;" "&amp;'Compliance Database'!$M141&amp;" "&amp;'Compliance Database'!$N141&amp;" "&amp;'Compliance Database'!$O141)))),1,0)</f>
        <v/>
      </c>
      <c r="B141">
        <f>IF($A141=1,SUM($A$2:$A141),"")</f>
        <v/>
      </c>
      <c r="C141">
        <f>IF($A141=1,SUM($A$2:$A141),0)</f>
        <v/>
      </c>
    </row>
    <row r="142">
      <c r="A142">
        <f>IF(AND(OR(Query!$B$4="All",'Compliance Database'!$A142=Query!$B$4),OR(Query!$B$5="All",'Compliance Database'!$F142=Query!$B$5),OR(Query!$B$6="All",ISNUMBER(SEARCH(Query!$B$6,'Compliance Database'!$I142))),OR(Query!$B$7="All",ISNUMBER(SEARCH(Query!$B$7,'Compliance Database'!$J142))),OR(Query!$B$8="All",'Compliance Database'!$G142=Query!$B$8),OR(Query!$B$9="All",'Compliance Database'!$K142=Query!$B$9),OR(Query!$B$10="",ISNUMBER(SEARCH(Query!$B$10,'Compliance Database'!$D142&amp;" "&amp;'Compliance Database'!$L142&amp;" "&amp;'Compliance Database'!$M142&amp;" "&amp;'Compliance Database'!$N142&amp;" "&amp;'Compliance Database'!$O142)))),1,0)</f>
        <v/>
      </c>
      <c r="B142">
        <f>IF($A142=1,SUM($A$2:$A142),"")</f>
        <v/>
      </c>
      <c r="C142">
        <f>IF($A142=1,SUM($A$2:$A142),0)</f>
        <v/>
      </c>
    </row>
    <row r="143">
      <c r="A143">
        <f>IF(AND(OR(Query!$B$4="All",'Compliance Database'!$A143=Query!$B$4),OR(Query!$B$5="All",'Compliance Database'!$F143=Query!$B$5),OR(Query!$B$6="All",ISNUMBER(SEARCH(Query!$B$6,'Compliance Database'!$I143))),OR(Query!$B$7="All",ISNUMBER(SEARCH(Query!$B$7,'Compliance Database'!$J143))),OR(Query!$B$8="All",'Compliance Database'!$G143=Query!$B$8),OR(Query!$B$9="All",'Compliance Database'!$K143=Query!$B$9),OR(Query!$B$10="",ISNUMBER(SEARCH(Query!$B$10,'Compliance Database'!$D143&amp;" "&amp;'Compliance Database'!$L143&amp;" "&amp;'Compliance Database'!$M143&amp;" "&amp;'Compliance Database'!$N143&amp;" "&amp;'Compliance Database'!$O143)))),1,0)</f>
        <v/>
      </c>
      <c r="B143">
        <f>IF($A143=1,SUM($A$2:$A143),"")</f>
        <v/>
      </c>
      <c r="C143">
        <f>IF($A143=1,SUM($A$2:$A143),0)</f>
        <v/>
      </c>
    </row>
    <row r="144">
      <c r="A144">
        <f>IF(AND(OR(Query!$B$4="All",'Compliance Database'!$A144=Query!$B$4),OR(Query!$B$5="All",'Compliance Database'!$F144=Query!$B$5),OR(Query!$B$6="All",ISNUMBER(SEARCH(Query!$B$6,'Compliance Database'!$I144))),OR(Query!$B$7="All",ISNUMBER(SEARCH(Query!$B$7,'Compliance Database'!$J144))),OR(Query!$B$8="All",'Compliance Database'!$G144=Query!$B$8),OR(Query!$B$9="All",'Compliance Database'!$K144=Query!$B$9),OR(Query!$B$10="",ISNUMBER(SEARCH(Query!$B$10,'Compliance Database'!$D144&amp;" "&amp;'Compliance Database'!$L144&amp;" "&amp;'Compliance Database'!$M144&amp;" "&amp;'Compliance Database'!$N144&amp;" "&amp;'Compliance Database'!$O144)))),1,0)</f>
        <v/>
      </c>
      <c r="B144">
        <f>IF($A144=1,SUM($A$2:$A144),"")</f>
        <v/>
      </c>
      <c r="C144">
        <f>IF($A144=1,SUM($A$2:$A144),0)</f>
        <v/>
      </c>
    </row>
    <row r="145">
      <c r="A145">
        <f>IF(AND(OR(Query!$B$4="All",'Compliance Database'!$A145=Query!$B$4),OR(Query!$B$5="All",'Compliance Database'!$F145=Query!$B$5),OR(Query!$B$6="All",ISNUMBER(SEARCH(Query!$B$6,'Compliance Database'!$I145))),OR(Query!$B$7="All",ISNUMBER(SEARCH(Query!$B$7,'Compliance Database'!$J145))),OR(Query!$B$8="All",'Compliance Database'!$G145=Query!$B$8),OR(Query!$B$9="All",'Compliance Database'!$K145=Query!$B$9),OR(Query!$B$10="",ISNUMBER(SEARCH(Query!$B$10,'Compliance Database'!$D145&amp;" "&amp;'Compliance Database'!$L145&amp;" "&amp;'Compliance Database'!$M145&amp;" "&amp;'Compliance Database'!$N145&amp;" "&amp;'Compliance Database'!$O145)))),1,0)</f>
        <v/>
      </c>
      <c r="B145">
        <f>IF($A145=1,SUM($A$2:$A145),"")</f>
        <v/>
      </c>
      <c r="C145">
        <f>IF($A145=1,SUM($A$2:$A145),0)</f>
        <v/>
      </c>
    </row>
    <row r="146">
      <c r="A146">
        <f>IF(AND(OR(Query!$B$4="All",'Compliance Database'!$A146=Query!$B$4),OR(Query!$B$5="All",'Compliance Database'!$F146=Query!$B$5),OR(Query!$B$6="All",ISNUMBER(SEARCH(Query!$B$6,'Compliance Database'!$I146))),OR(Query!$B$7="All",ISNUMBER(SEARCH(Query!$B$7,'Compliance Database'!$J146))),OR(Query!$B$8="All",'Compliance Database'!$G146=Query!$B$8),OR(Query!$B$9="All",'Compliance Database'!$K146=Query!$B$9),OR(Query!$B$10="",ISNUMBER(SEARCH(Query!$B$10,'Compliance Database'!$D146&amp;" "&amp;'Compliance Database'!$L146&amp;" "&amp;'Compliance Database'!$M146&amp;" "&amp;'Compliance Database'!$N146&amp;" "&amp;'Compliance Database'!$O146)))),1,0)</f>
        <v/>
      </c>
      <c r="B146">
        <f>IF($A146=1,SUM($A$2:$A146),"")</f>
        <v/>
      </c>
      <c r="C146">
        <f>IF($A146=1,SUM($A$2:$A146),0)</f>
        <v/>
      </c>
    </row>
    <row r="147">
      <c r="A147">
        <f>IF(AND(OR(Query!$B$4="All",'Compliance Database'!$A147=Query!$B$4),OR(Query!$B$5="All",'Compliance Database'!$F147=Query!$B$5),OR(Query!$B$6="All",ISNUMBER(SEARCH(Query!$B$6,'Compliance Database'!$I147))),OR(Query!$B$7="All",ISNUMBER(SEARCH(Query!$B$7,'Compliance Database'!$J147))),OR(Query!$B$8="All",'Compliance Database'!$G147=Query!$B$8),OR(Query!$B$9="All",'Compliance Database'!$K147=Query!$B$9),OR(Query!$B$10="",ISNUMBER(SEARCH(Query!$B$10,'Compliance Database'!$D147&amp;" "&amp;'Compliance Database'!$L147&amp;" "&amp;'Compliance Database'!$M147&amp;" "&amp;'Compliance Database'!$N147&amp;" "&amp;'Compliance Database'!$O147)))),1,0)</f>
        <v/>
      </c>
      <c r="B147">
        <f>IF($A147=1,SUM($A$2:$A147),"")</f>
        <v/>
      </c>
      <c r="C147">
        <f>IF($A147=1,SUM($A$2:$A147),0)</f>
        <v/>
      </c>
    </row>
    <row r="148">
      <c r="A148">
        <f>IF(AND(OR(Query!$B$4="All",'Compliance Database'!$A148=Query!$B$4),OR(Query!$B$5="All",'Compliance Database'!$F148=Query!$B$5),OR(Query!$B$6="All",ISNUMBER(SEARCH(Query!$B$6,'Compliance Database'!$I148))),OR(Query!$B$7="All",ISNUMBER(SEARCH(Query!$B$7,'Compliance Database'!$J148))),OR(Query!$B$8="All",'Compliance Database'!$G148=Query!$B$8),OR(Query!$B$9="All",'Compliance Database'!$K148=Query!$B$9),OR(Query!$B$10="",ISNUMBER(SEARCH(Query!$B$10,'Compliance Database'!$D148&amp;" "&amp;'Compliance Database'!$L148&amp;" "&amp;'Compliance Database'!$M148&amp;" "&amp;'Compliance Database'!$N148&amp;" "&amp;'Compliance Database'!$O148)))),1,0)</f>
        <v/>
      </c>
      <c r="B148">
        <f>IF($A148=1,SUM($A$2:$A148),"")</f>
        <v/>
      </c>
      <c r="C148">
        <f>IF($A148=1,SUM($A$2:$A148),0)</f>
        <v/>
      </c>
    </row>
    <row r="149">
      <c r="A149">
        <f>IF(AND(OR(Query!$B$4="All",'Compliance Database'!$A149=Query!$B$4),OR(Query!$B$5="All",'Compliance Database'!$F149=Query!$B$5),OR(Query!$B$6="All",ISNUMBER(SEARCH(Query!$B$6,'Compliance Database'!$I149))),OR(Query!$B$7="All",ISNUMBER(SEARCH(Query!$B$7,'Compliance Database'!$J149))),OR(Query!$B$8="All",'Compliance Database'!$G149=Query!$B$8),OR(Query!$B$9="All",'Compliance Database'!$K149=Query!$B$9),OR(Query!$B$10="",ISNUMBER(SEARCH(Query!$B$10,'Compliance Database'!$D149&amp;" "&amp;'Compliance Database'!$L149&amp;" "&amp;'Compliance Database'!$M149&amp;" "&amp;'Compliance Database'!$N149&amp;" "&amp;'Compliance Database'!$O149)))),1,0)</f>
        <v/>
      </c>
      <c r="B149">
        <f>IF($A149=1,SUM($A$2:$A149),"")</f>
        <v/>
      </c>
      <c r="C149">
        <f>IF($A149=1,SUM($A$2:$A149),0)</f>
        <v/>
      </c>
    </row>
    <row r="150">
      <c r="A150">
        <f>IF(AND(OR(Query!$B$4="All",'Compliance Database'!$A150=Query!$B$4),OR(Query!$B$5="All",'Compliance Database'!$F150=Query!$B$5),OR(Query!$B$6="All",ISNUMBER(SEARCH(Query!$B$6,'Compliance Database'!$I150))),OR(Query!$B$7="All",ISNUMBER(SEARCH(Query!$B$7,'Compliance Database'!$J150))),OR(Query!$B$8="All",'Compliance Database'!$G150=Query!$B$8),OR(Query!$B$9="All",'Compliance Database'!$K150=Query!$B$9),OR(Query!$B$10="",ISNUMBER(SEARCH(Query!$B$10,'Compliance Database'!$D150&amp;" "&amp;'Compliance Database'!$L150&amp;" "&amp;'Compliance Database'!$M150&amp;" "&amp;'Compliance Database'!$N150&amp;" "&amp;'Compliance Database'!$O150)))),1,0)</f>
        <v/>
      </c>
      <c r="B150">
        <f>IF($A150=1,SUM($A$2:$A150),"")</f>
        <v/>
      </c>
      <c r="C150">
        <f>IF($A150=1,SUM($A$2:$A150),0)</f>
        <v/>
      </c>
    </row>
    <row r="151">
      <c r="A151">
        <f>IF(AND(OR(Query!$B$4="All",'Compliance Database'!$A151=Query!$B$4),OR(Query!$B$5="All",'Compliance Database'!$F151=Query!$B$5),OR(Query!$B$6="All",ISNUMBER(SEARCH(Query!$B$6,'Compliance Database'!$I151))),OR(Query!$B$7="All",ISNUMBER(SEARCH(Query!$B$7,'Compliance Database'!$J151))),OR(Query!$B$8="All",'Compliance Database'!$G151=Query!$B$8),OR(Query!$B$9="All",'Compliance Database'!$K151=Query!$B$9),OR(Query!$B$10="",ISNUMBER(SEARCH(Query!$B$10,'Compliance Database'!$D151&amp;" "&amp;'Compliance Database'!$L151&amp;" "&amp;'Compliance Database'!$M151&amp;" "&amp;'Compliance Database'!$N151&amp;" "&amp;'Compliance Database'!$O151)))),1,0)</f>
        <v/>
      </c>
      <c r="B151">
        <f>IF($A151=1,SUM($A$2:$A151),"")</f>
        <v/>
      </c>
      <c r="C151">
        <f>IF($A151=1,SUM($A$2:$A151),0)</f>
        <v/>
      </c>
    </row>
    <row r="152">
      <c r="A152">
        <f>IF(AND(OR(Query!$B$4="All",'Compliance Database'!$A152=Query!$B$4),OR(Query!$B$5="All",'Compliance Database'!$F152=Query!$B$5),OR(Query!$B$6="All",ISNUMBER(SEARCH(Query!$B$6,'Compliance Database'!$I152))),OR(Query!$B$7="All",ISNUMBER(SEARCH(Query!$B$7,'Compliance Database'!$J152))),OR(Query!$B$8="All",'Compliance Database'!$G152=Query!$B$8),OR(Query!$B$9="All",'Compliance Database'!$K152=Query!$B$9),OR(Query!$B$10="",ISNUMBER(SEARCH(Query!$B$10,'Compliance Database'!$D152&amp;" "&amp;'Compliance Database'!$L152&amp;" "&amp;'Compliance Database'!$M152&amp;" "&amp;'Compliance Database'!$N152&amp;" "&amp;'Compliance Database'!$O152)))),1,0)</f>
        <v/>
      </c>
      <c r="B152">
        <f>IF($A152=1,SUM($A$2:$A152),"")</f>
        <v/>
      </c>
      <c r="C152">
        <f>IF($A152=1,SUM($A$2:$A152),0)</f>
        <v/>
      </c>
    </row>
    <row r="153">
      <c r="A153">
        <f>IF(AND(OR(Query!$B$4="All",'Compliance Database'!$A153=Query!$B$4),OR(Query!$B$5="All",'Compliance Database'!$F153=Query!$B$5),OR(Query!$B$6="All",ISNUMBER(SEARCH(Query!$B$6,'Compliance Database'!$I153))),OR(Query!$B$7="All",ISNUMBER(SEARCH(Query!$B$7,'Compliance Database'!$J153))),OR(Query!$B$8="All",'Compliance Database'!$G153=Query!$B$8),OR(Query!$B$9="All",'Compliance Database'!$K153=Query!$B$9),OR(Query!$B$10="",ISNUMBER(SEARCH(Query!$B$10,'Compliance Database'!$D153&amp;" "&amp;'Compliance Database'!$L153&amp;" "&amp;'Compliance Database'!$M153&amp;" "&amp;'Compliance Database'!$N153&amp;" "&amp;'Compliance Database'!$O153)))),1,0)</f>
        <v/>
      </c>
      <c r="B153">
        <f>IF($A153=1,SUM($A$2:$A153),"")</f>
        <v/>
      </c>
      <c r="C153">
        <f>IF($A153=1,SUM($A$2:$A153),0)</f>
        <v/>
      </c>
    </row>
    <row r="154">
      <c r="A154">
        <f>IF(AND(OR(Query!$B$4="All",'Compliance Database'!$A154=Query!$B$4),OR(Query!$B$5="All",'Compliance Database'!$F154=Query!$B$5),OR(Query!$B$6="All",ISNUMBER(SEARCH(Query!$B$6,'Compliance Database'!$I154))),OR(Query!$B$7="All",ISNUMBER(SEARCH(Query!$B$7,'Compliance Database'!$J154))),OR(Query!$B$8="All",'Compliance Database'!$G154=Query!$B$8),OR(Query!$B$9="All",'Compliance Database'!$K154=Query!$B$9),OR(Query!$B$10="",ISNUMBER(SEARCH(Query!$B$10,'Compliance Database'!$D154&amp;" "&amp;'Compliance Database'!$L154&amp;" "&amp;'Compliance Database'!$M154&amp;" "&amp;'Compliance Database'!$N154&amp;" "&amp;'Compliance Database'!$O154)))),1,0)</f>
        <v/>
      </c>
      <c r="B154">
        <f>IF($A154=1,SUM($A$2:$A154),"")</f>
        <v/>
      </c>
      <c r="C154">
        <f>IF($A154=1,SUM($A$2:$A154),0)</f>
        <v/>
      </c>
    </row>
    <row r="155">
      <c r="A155">
        <f>IF(AND(OR(Query!$B$4="All",'Compliance Database'!$A155=Query!$B$4),OR(Query!$B$5="All",'Compliance Database'!$F155=Query!$B$5),OR(Query!$B$6="All",ISNUMBER(SEARCH(Query!$B$6,'Compliance Database'!$I155))),OR(Query!$B$7="All",ISNUMBER(SEARCH(Query!$B$7,'Compliance Database'!$J155))),OR(Query!$B$8="All",'Compliance Database'!$G155=Query!$B$8),OR(Query!$B$9="All",'Compliance Database'!$K155=Query!$B$9),OR(Query!$B$10="",ISNUMBER(SEARCH(Query!$B$10,'Compliance Database'!$D155&amp;" "&amp;'Compliance Database'!$L155&amp;" "&amp;'Compliance Database'!$M155&amp;" "&amp;'Compliance Database'!$N155&amp;" "&amp;'Compliance Database'!$O155)))),1,0)</f>
        <v/>
      </c>
      <c r="B155">
        <f>IF($A155=1,SUM($A$2:$A155),"")</f>
        <v/>
      </c>
      <c r="C155">
        <f>IF($A155=1,SUM($A$2:$A155),0)</f>
        <v/>
      </c>
    </row>
    <row r="156">
      <c r="A156">
        <f>IF(AND(OR(Query!$B$4="All",'Compliance Database'!$A156=Query!$B$4),OR(Query!$B$5="All",'Compliance Database'!$F156=Query!$B$5),OR(Query!$B$6="All",ISNUMBER(SEARCH(Query!$B$6,'Compliance Database'!$I156))),OR(Query!$B$7="All",ISNUMBER(SEARCH(Query!$B$7,'Compliance Database'!$J156))),OR(Query!$B$8="All",'Compliance Database'!$G156=Query!$B$8),OR(Query!$B$9="All",'Compliance Database'!$K156=Query!$B$9),OR(Query!$B$10="",ISNUMBER(SEARCH(Query!$B$10,'Compliance Database'!$D156&amp;" "&amp;'Compliance Database'!$L156&amp;" "&amp;'Compliance Database'!$M156&amp;" "&amp;'Compliance Database'!$N156&amp;" "&amp;'Compliance Database'!$O156)))),1,0)</f>
        <v/>
      </c>
      <c r="B156">
        <f>IF($A156=1,SUM($A$2:$A156),"")</f>
        <v/>
      </c>
      <c r="C156">
        <f>IF($A156=1,SUM($A$2:$A156),0)</f>
        <v/>
      </c>
    </row>
    <row r="157">
      <c r="A157">
        <f>IF(AND(OR(Query!$B$4="All",'Compliance Database'!$A157=Query!$B$4),OR(Query!$B$5="All",'Compliance Database'!$F157=Query!$B$5),OR(Query!$B$6="All",ISNUMBER(SEARCH(Query!$B$6,'Compliance Database'!$I157))),OR(Query!$B$7="All",ISNUMBER(SEARCH(Query!$B$7,'Compliance Database'!$J157))),OR(Query!$B$8="All",'Compliance Database'!$G157=Query!$B$8),OR(Query!$B$9="All",'Compliance Database'!$K157=Query!$B$9),OR(Query!$B$10="",ISNUMBER(SEARCH(Query!$B$10,'Compliance Database'!$D157&amp;" "&amp;'Compliance Database'!$L157&amp;" "&amp;'Compliance Database'!$M157&amp;" "&amp;'Compliance Database'!$N157&amp;" "&amp;'Compliance Database'!$O157)))),1,0)</f>
        <v/>
      </c>
      <c r="B157">
        <f>IF($A157=1,SUM($A$2:$A157),"")</f>
        <v/>
      </c>
      <c r="C157">
        <f>IF($A157=1,SUM($A$2:$A157),0)</f>
        <v/>
      </c>
    </row>
    <row r="158">
      <c r="A158">
        <f>IF(AND(OR(Query!$B$4="All",'Compliance Database'!$A158=Query!$B$4),OR(Query!$B$5="All",'Compliance Database'!$F158=Query!$B$5),OR(Query!$B$6="All",ISNUMBER(SEARCH(Query!$B$6,'Compliance Database'!$I158))),OR(Query!$B$7="All",ISNUMBER(SEARCH(Query!$B$7,'Compliance Database'!$J158))),OR(Query!$B$8="All",'Compliance Database'!$G158=Query!$B$8),OR(Query!$B$9="All",'Compliance Database'!$K158=Query!$B$9),OR(Query!$B$10="",ISNUMBER(SEARCH(Query!$B$10,'Compliance Database'!$D158&amp;" "&amp;'Compliance Database'!$L158&amp;" "&amp;'Compliance Database'!$M158&amp;" "&amp;'Compliance Database'!$N158&amp;" "&amp;'Compliance Database'!$O158)))),1,0)</f>
        <v/>
      </c>
      <c r="B158">
        <f>IF($A158=1,SUM($A$2:$A158),"")</f>
        <v/>
      </c>
      <c r="C158">
        <f>IF($A158=1,SUM($A$2:$A158),0)</f>
        <v/>
      </c>
    </row>
    <row r="159">
      <c r="A159">
        <f>IF(AND(OR(Query!$B$4="All",'Compliance Database'!$A159=Query!$B$4),OR(Query!$B$5="All",'Compliance Database'!$F159=Query!$B$5),OR(Query!$B$6="All",ISNUMBER(SEARCH(Query!$B$6,'Compliance Database'!$I159))),OR(Query!$B$7="All",ISNUMBER(SEARCH(Query!$B$7,'Compliance Database'!$J159))),OR(Query!$B$8="All",'Compliance Database'!$G159=Query!$B$8),OR(Query!$B$9="All",'Compliance Database'!$K159=Query!$B$9),OR(Query!$B$10="",ISNUMBER(SEARCH(Query!$B$10,'Compliance Database'!$D159&amp;" "&amp;'Compliance Database'!$L159&amp;" "&amp;'Compliance Database'!$M159&amp;" "&amp;'Compliance Database'!$N159&amp;" "&amp;'Compliance Database'!$O159)))),1,0)</f>
        <v/>
      </c>
      <c r="B159">
        <f>IF($A159=1,SUM($A$2:$A159),"")</f>
        <v/>
      </c>
      <c r="C159">
        <f>IF($A159=1,SUM($A$2:$A159),0)</f>
        <v/>
      </c>
    </row>
    <row r="160">
      <c r="A160">
        <f>IF(AND(OR(Query!$B$4="All",'Compliance Database'!$A160=Query!$B$4),OR(Query!$B$5="All",'Compliance Database'!$F160=Query!$B$5),OR(Query!$B$6="All",ISNUMBER(SEARCH(Query!$B$6,'Compliance Database'!$I160))),OR(Query!$B$7="All",ISNUMBER(SEARCH(Query!$B$7,'Compliance Database'!$J160))),OR(Query!$B$8="All",'Compliance Database'!$G160=Query!$B$8),OR(Query!$B$9="All",'Compliance Database'!$K160=Query!$B$9),OR(Query!$B$10="",ISNUMBER(SEARCH(Query!$B$10,'Compliance Database'!$D160&amp;" "&amp;'Compliance Database'!$L160&amp;" "&amp;'Compliance Database'!$M160&amp;" "&amp;'Compliance Database'!$N160&amp;" "&amp;'Compliance Database'!$O160)))),1,0)</f>
        <v/>
      </c>
      <c r="B160">
        <f>IF($A160=1,SUM($A$2:$A160),"")</f>
        <v/>
      </c>
      <c r="C160">
        <f>IF($A160=1,SUM($A$2:$A160),0)</f>
        <v/>
      </c>
    </row>
    <row r="161">
      <c r="A161">
        <f>IF(AND(OR(Query!$B$4="All",'Compliance Database'!$A161=Query!$B$4),OR(Query!$B$5="All",'Compliance Database'!$F161=Query!$B$5),OR(Query!$B$6="All",ISNUMBER(SEARCH(Query!$B$6,'Compliance Database'!$I161))),OR(Query!$B$7="All",ISNUMBER(SEARCH(Query!$B$7,'Compliance Database'!$J161))),OR(Query!$B$8="All",'Compliance Database'!$G161=Query!$B$8),OR(Query!$B$9="All",'Compliance Database'!$K161=Query!$B$9),OR(Query!$B$10="",ISNUMBER(SEARCH(Query!$B$10,'Compliance Database'!$D161&amp;" "&amp;'Compliance Database'!$L161&amp;" "&amp;'Compliance Database'!$M161&amp;" "&amp;'Compliance Database'!$N161&amp;" "&amp;'Compliance Database'!$O161)))),1,0)</f>
        <v/>
      </c>
      <c r="B161">
        <f>IF($A161=1,SUM($A$2:$A161),"")</f>
        <v/>
      </c>
      <c r="C161">
        <f>IF($A161=1,SUM($A$2:$A161),0)</f>
        <v/>
      </c>
    </row>
    <row r="162">
      <c r="A162">
        <f>IF(AND(OR(Query!$B$4="All",'Compliance Database'!$A162=Query!$B$4),OR(Query!$B$5="All",'Compliance Database'!$F162=Query!$B$5),OR(Query!$B$6="All",ISNUMBER(SEARCH(Query!$B$6,'Compliance Database'!$I162))),OR(Query!$B$7="All",ISNUMBER(SEARCH(Query!$B$7,'Compliance Database'!$J162))),OR(Query!$B$8="All",'Compliance Database'!$G162=Query!$B$8),OR(Query!$B$9="All",'Compliance Database'!$K162=Query!$B$9),OR(Query!$B$10="",ISNUMBER(SEARCH(Query!$B$10,'Compliance Database'!$D162&amp;" "&amp;'Compliance Database'!$L162&amp;" "&amp;'Compliance Database'!$M162&amp;" "&amp;'Compliance Database'!$N162&amp;" "&amp;'Compliance Database'!$O162)))),1,0)</f>
        <v/>
      </c>
      <c r="B162">
        <f>IF($A162=1,SUM($A$2:$A162),"")</f>
        <v/>
      </c>
      <c r="C162">
        <f>IF($A162=1,SUM($A$2:$A162),0)</f>
        <v/>
      </c>
    </row>
    <row r="163">
      <c r="A163">
        <f>IF(AND(OR(Query!$B$4="All",'Compliance Database'!$A163=Query!$B$4),OR(Query!$B$5="All",'Compliance Database'!$F163=Query!$B$5),OR(Query!$B$6="All",ISNUMBER(SEARCH(Query!$B$6,'Compliance Database'!$I163))),OR(Query!$B$7="All",ISNUMBER(SEARCH(Query!$B$7,'Compliance Database'!$J163))),OR(Query!$B$8="All",'Compliance Database'!$G163=Query!$B$8),OR(Query!$B$9="All",'Compliance Database'!$K163=Query!$B$9),OR(Query!$B$10="",ISNUMBER(SEARCH(Query!$B$10,'Compliance Database'!$D163&amp;" "&amp;'Compliance Database'!$L163&amp;" "&amp;'Compliance Database'!$M163&amp;" "&amp;'Compliance Database'!$N163&amp;" "&amp;'Compliance Database'!$O163)))),1,0)</f>
        <v/>
      </c>
      <c r="B163">
        <f>IF($A163=1,SUM($A$2:$A163),"")</f>
        <v/>
      </c>
      <c r="C163">
        <f>IF($A163=1,SUM($A$2:$A163),0)</f>
        <v/>
      </c>
    </row>
    <row r="164">
      <c r="A164">
        <f>IF(AND(OR(Query!$B$4="All",'Compliance Database'!$A164=Query!$B$4),OR(Query!$B$5="All",'Compliance Database'!$F164=Query!$B$5),OR(Query!$B$6="All",ISNUMBER(SEARCH(Query!$B$6,'Compliance Database'!$I164))),OR(Query!$B$7="All",ISNUMBER(SEARCH(Query!$B$7,'Compliance Database'!$J164))),OR(Query!$B$8="All",'Compliance Database'!$G164=Query!$B$8),OR(Query!$B$9="All",'Compliance Database'!$K164=Query!$B$9),OR(Query!$B$10="",ISNUMBER(SEARCH(Query!$B$10,'Compliance Database'!$D164&amp;" "&amp;'Compliance Database'!$L164&amp;" "&amp;'Compliance Database'!$M164&amp;" "&amp;'Compliance Database'!$N164&amp;" "&amp;'Compliance Database'!$O164)))),1,0)</f>
        <v/>
      </c>
      <c r="B164">
        <f>IF($A164=1,SUM($A$2:$A164),"")</f>
        <v/>
      </c>
      <c r="C164">
        <f>IF($A164=1,SUM($A$2:$A164),0)</f>
        <v/>
      </c>
    </row>
    <row r="165">
      <c r="A165">
        <f>IF(AND(OR(Query!$B$4="All",'Compliance Database'!$A165=Query!$B$4),OR(Query!$B$5="All",'Compliance Database'!$F165=Query!$B$5),OR(Query!$B$6="All",ISNUMBER(SEARCH(Query!$B$6,'Compliance Database'!$I165))),OR(Query!$B$7="All",ISNUMBER(SEARCH(Query!$B$7,'Compliance Database'!$J165))),OR(Query!$B$8="All",'Compliance Database'!$G165=Query!$B$8),OR(Query!$B$9="All",'Compliance Database'!$K165=Query!$B$9),OR(Query!$B$10="",ISNUMBER(SEARCH(Query!$B$10,'Compliance Database'!$D165&amp;" "&amp;'Compliance Database'!$L165&amp;" "&amp;'Compliance Database'!$M165&amp;" "&amp;'Compliance Database'!$N165&amp;" "&amp;'Compliance Database'!$O165)))),1,0)</f>
        <v/>
      </c>
      <c r="B165">
        <f>IF($A165=1,SUM($A$2:$A165),"")</f>
        <v/>
      </c>
      <c r="C165">
        <f>IF($A165=1,SUM($A$2:$A165),0)</f>
        <v/>
      </c>
    </row>
    <row r="166">
      <c r="A166">
        <f>IF(AND(OR(Query!$B$4="All",'Compliance Database'!$A166=Query!$B$4),OR(Query!$B$5="All",'Compliance Database'!$F166=Query!$B$5),OR(Query!$B$6="All",ISNUMBER(SEARCH(Query!$B$6,'Compliance Database'!$I166))),OR(Query!$B$7="All",ISNUMBER(SEARCH(Query!$B$7,'Compliance Database'!$J166))),OR(Query!$B$8="All",'Compliance Database'!$G166=Query!$B$8),OR(Query!$B$9="All",'Compliance Database'!$K166=Query!$B$9),OR(Query!$B$10="",ISNUMBER(SEARCH(Query!$B$10,'Compliance Database'!$D166&amp;" "&amp;'Compliance Database'!$L166&amp;" "&amp;'Compliance Database'!$M166&amp;" "&amp;'Compliance Database'!$N166&amp;" "&amp;'Compliance Database'!$O166)))),1,0)</f>
        <v/>
      </c>
      <c r="B166">
        <f>IF($A166=1,SUM($A$2:$A166),"")</f>
        <v/>
      </c>
      <c r="C166">
        <f>IF($A166=1,SUM($A$2:$A166),0)</f>
        <v/>
      </c>
    </row>
    <row r="167">
      <c r="A167">
        <f>IF(AND(OR(Query!$B$4="All",'Compliance Database'!$A167=Query!$B$4),OR(Query!$B$5="All",'Compliance Database'!$F167=Query!$B$5),OR(Query!$B$6="All",ISNUMBER(SEARCH(Query!$B$6,'Compliance Database'!$I167))),OR(Query!$B$7="All",ISNUMBER(SEARCH(Query!$B$7,'Compliance Database'!$J167))),OR(Query!$B$8="All",'Compliance Database'!$G167=Query!$B$8),OR(Query!$B$9="All",'Compliance Database'!$K167=Query!$B$9),OR(Query!$B$10="",ISNUMBER(SEARCH(Query!$B$10,'Compliance Database'!$D167&amp;" "&amp;'Compliance Database'!$L167&amp;" "&amp;'Compliance Database'!$M167&amp;" "&amp;'Compliance Database'!$N167&amp;" "&amp;'Compliance Database'!$O167)))),1,0)</f>
        <v/>
      </c>
      <c r="B167">
        <f>IF($A167=1,SUM($A$2:$A167),"")</f>
        <v/>
      </c>
      <c r="C167">
        <f>IF($A167=1,SUM($A$2:$A167),0)</f>
        <v/>
      </c>
    </row>
    <row r="168">
      <c r="A168">
        <f>IF(AND(OR(Query!$B$4="All",'Compliance Database'!$A168=Query!$B$4),OR(Query!$B$5="All",'Compliance Database'!$F168=Query!$B$5),OR(Query!$B$6="All",ISNUMBER(SEARCH(Query!$B$6,'Compliance Database'!$I168))),OR(Query!$B$7="All",ISNUMBER(SEARCH(Query!$B$7,'Compliance Database'!$J168))),OR(Query!$B$8="All",'Compliance Database'!$G168=Query!$B$8),OR(Query!$B$9="All",'Compliance Database'!$K168=Query!$B$9),OR(Query!$B$10="",ISNUMBER(SEARCH(Query!$B$10,'Compliance Database'!$D168&amp;" "&amp;'Compliance Database'!$L168&amp;" "&amp;'Compliance Database'!$M168&amp;" "&amp;'Compliance Database'!$N168&amp;" "&amp;'Compliance Database'!$O168)))),1,0)</f>
        <v/>
      </c>
      <c r="B168">
        <f>IF($A168=1,SUM($A$2:$A168),"")</f>
        <v/>
      </c>
      <c r="C168">
        <f>IF($A168=1,SUM($A$2:$A168),0)</f>
        <v/>
      </c>
    </row>
    <row r="169">
      <c r="A169">
        <f>IF(AND(OR(Query!$B$4="All",'Compliance Database'!$A169=Query!$B$4),OR(Query!$B$5="All",'Compliance Database'!$F169=Query!$B$5),OR(Query!$B$6="All",ISNUMBER(SEARCH(Query!$B$6,'Compliance Database'!$I169))),OR(Query!$B$7="All",ISNUMBER(SEARCH(Query!$B$7,'Compliance Database'!$J169))),OR(Query!$B$8="All",'Compliance Database'!$G169=Query!$B$8),OR(Query!$B$9="All",'Compliance Database'!$K169=Query!$B$9),OR(Query!$B$10="",ISNUMBER(SEARCH(Query!$B$10,'Compliance Database'!$D169&amp;" "&amp;'Compliance Database'!$L169&amp;" "&amp;'Compliance Database'!$M169&amp;" "&amp;'Compliance Database'!$N169&amp;" "&amp;'Compliance Database'!$O169)))),1,0)</f>
        <v/>
      </c>
      <c r="B169">
        <f>IF($A169=1,SUM($A$2:$A169),"")</f>
        <v/>
      </c>
      <c r="C169">
        <f>IF($A169=1,SUM($A$2:$A169),0)</f>
        <v/>
      </c>
    </row>
    <row r="170">
      <c r="A170">
        <f>IF(AND(OR(Query!$B$4="All",'Compliance Database'!$A170=Query!$B$4),OR(Query!$B$5="All",'Compliance Database'!$F170=Query!$B$5),OR(Query!$B$6="All",ISNUMBER(SEARCH(Query!$B$6,'Compliance Database'!$I170))),OR(Query!$B$7="All",ISNUMBER(SEARCH(Query!$B$7,'Compliance Database'!$J170))),OR(Query!$B$8="All",'Compliance Database'!$G170=Query!$B$8),OR(Query!$B$9="All",'Compliance Database'!$K170=Query!$B$9),OR(Query!$B$10="",ISNUMBER(SEARCH(Query!$B$10,'Compliance Database'!$D170&amp;" "&amp;'Compliance Database'!$L170&amp;" "&amp;'Compliance Database'!$M170&amp;" "&amp;'Compliance Database'!$N170&amp;" "&amp;'Compliance Database'!$O170)))),1,0)</f>
        <v/>
      </c>
      <c r="B170">
        <f>IF($A170=1,SUM($A$2:$A170),"")</f>
        <v/>
      </c>
      <c r="C170">
        <f>IF($A170=1,SUM($A$2:$A170),0)</f>
        <v/>
      </c>
    </row>
    <row r="171">
      <c r="A171">
        <f>IF(AND(OR(Query!$B$4="All",'Compliance Database'!$A171=Query!$B$4),OR(Query!$B$5="All",'Compliance Database'!$F171=Query!$B$5),OR(Query!$B$6="All",ISNUMBER(SEARCH(Query!$B$6,'Compliance Database'!$I171))),OR(Query!$B$7="All",ISNUMBER(SEARCH(Query!$B$7,'Compliance Database'!$J171))),OR(Query!$B$8="All",'Compliance Database'!$G171=Query!$B$8),OR(Query!$B$9="All",'Compliance Database'!$K171=Query!$B$9),OR(Query!$B$10="",ISNUMBER(SEARCH(Query!$B$10,'Compliance Database'!$D171&amp;" "&amp;'Compliance Database'!$L171&amp;" "&amp;'Compliance Database'!$M171&amp;" "&amp;'Compliance Database'!$N171&amp;" "&amp;'Compliance Database'!$O171)))),1,0)</f>
        <v/>
      </c>
      <c r="B171">
        <f>IF($A171=1,SUM($A$2:$A171),"")</f>
        <v/>
      </c>
      <c r="C171">
        <f>IF($A171=1,SUM($A$2:$A171),0)</f>
        <v/>
      </c>
    </row>
    <row r="172">
      <c r="A172">
        <f>IF(AND(OR(Query!$B$4="All",'Compliance Database'!$A172=Query!$B$4),OR(Query!$B$5="All",'Compliance Database'!$F172=Query!$B$5),OR(Query!$B$6="All",ISNUMBER(SEARCH(Query!$B$6,'Compliance Database'!$I172))),OR(Query!$B$7="All",ISNUMBER(SEARCH(Query!$B$7,'Compliance Database'!$J172))),OR(Query!$B$8="All",'Compliance Database'!$G172=Query!$B$8),OR(Query!$B$9="All",'Compliance Database'!$K172=Query!$B$9),OR(Query!$B$10="",ISNUMBER(SEARCH(Query!$B$10,'Compliance Database'!$D172&amp;" "&amp;'Compliance Database'!$L172&amp;" "&amp;'Compliance Database'!$M172&amp;" "&amp;'Compliance Database'!$N172&amp;" "&amp;'Compliance Database'!$O172)))),1,0)</f>
        <v/>
      </c>
      <c r="B172">
        <f>IF($A172=1,SUM($A$2:$A172),"")</f>
        <v/>
      </c>
      <c r="C172">
        <f>IF($A172=1,SUM($A$2:$A172),0)</f>
        <v/>
      </c>
    </row>
    <row r="173">
      <c r="A173">
        <f>IF(AND(OR(Query!$B$4="All",'Compliance Database'!$A173=Query!$B$4),OR(Query!$B$5="All",'Compliance Database'!$F173=Query!$B$5),OR(Query!$B$6="All",ISNUMBER(SEARCH(Query!$B$6,'Compliance Database'!$I173))),OR(Query!$B$7="All",ISNUMBER(SEARCH(Query!$B$7,'Compliance Database'!$J173))),OR(Query!$B$8="All",'Compliance Database'!$G173=Query!$B$8),OR(Query!$B$9="All",'Compliance Database'!$K173=Query!$B$9),OR(Query!$B$10="",ISNUMBER(SEARCH(Query!$B$10,'Compliance Database'!$D173&amp;" "&amp;'Compliance Database'!$L173&amp;" "&amp;'Compliance Database'!$M173&amp;" "&amp;'Compliance Database'!$N173&amp;" "&amp;'Compliance Database'!$O173)))),1,0)</f>
        <v/>
      </c>
      <c r="B173">
        <f>IF($A173=1,SUM($A$2:$A173),"")</f>
        <v/>
      </c>
      <c r="C173">
        <f>IF($A173=1,SUM($A$2:$A173),0)</f>
        <v/>
      </c>
    </row>
    <row r="174">
      <c r="A174">
        <f>IF(AND(OR(Query!$B$4="All",'Compliance Database'!$A174=Query!$B$4),OR(Query!$B$5="All",'Compliance Database'!$F174=Query!$B$5),OR(Query!$B$6="All",ISNUMBER(SEARCH(Query!$B$6,'Compliance Database'!$I174))),OR(Query!$B$7="All",ISNUMBER(SEARCH(Query!$B$7,'Compliance Database'!$J174))),OR(Query!$B$8="All",'Compliance Database'!$G174=Query!$B$8),OR(Query!$B$9="All",'Compliance Database'!$K174=Query!$B$9),OR(Query!$B$10="",ISNUMBER(SEARCH(Query!$B$10,'Compliance Database'!$D174&amp;" "&amp;'Compliance Database'!$L174&amp;" "&amp;'Compliance Database'!$M174&amp;" "&amp;'Compliance Database'!$N174&amp;" "&amp;'Compliance Database'!$O174)))),1,0)</f>
        <v/>
      </c>
      <c r="B174">
        <f>IF($A174=1,SUM($A$2:$A174),"")</f>
        <v/>
      </c>
      <c r="C174">
        <f>IF($A174=1,SUM($A$2:$A174),0)</f>
        <v/>
      </c>
    </row>
    <row r="175">
      <c r="A175">
        <f>IF(AND(OR(Query!$B$4="All",'Compliance Database'!$A175=Query!$B$4),OR(Query!$B$5="All",'Compliance Database'!$F175=Query!$B$5),OR(Query!$B$6="All",ISNUMBER(SEARCH(Query!$B$6,'Compliance Database'!$I175))),OR(Query!$B$7="All",ISNUMBER(SEARCH(Query!$B$7,'Compliance Database'!$J175))),OR(Query!$B$8="All",'Compliance Database'!$G175=Query!$B$8),OR(Query!$B$9="All",'Compliance Database'!$K175=Query!$B$9),OR(Query!$B$10="",ISNUMBER(SEARCH(Query!$B$10,'Compliance Database'!$D175&amp;" "&amp;'Compliance Database'!$L175&amp;" "&amp;'Compliance Database'!$M175&amp;" "&amp;'Compliance Database'!$N175&amp;" "&amp;'Compliance Database'!$O175)))),1,0)</f>
        <v/>
      </c>
      <c r="B175">
        <f>IF($A175=1,SUM($A$2:$A175),"")</f>
        <v/>
      </c>
      <c r="C175">
        <f>IF($A175=1,SUM($A$2:$A175),0)</f>
        <v/>
      </c>
    </row>
    <row r="176">
      <c r="A176">
        <f>IF(AND(OR(Query!$B$4="All",'Compliance Database'!$A176=Query!$B$4),OR(Query!$B$5="All",'Compliance Database'!$F176=Query!$B$5),OR(Query!$B$6="All",ISNUMBER(SEARCH(Query!$B$6,'Compliance Database'!$I176))),OR(Query!$B$7="All",ISNUMBER(SEARCH(Query!$B$7,'Compliance Database'!$J176))),OR(Query!$B$8="All",'Compliance Database'!$G176=Query!$B$8),OR(Query!$B$9="All",'Compliance Database'!$K176=Query!$B$9),OR(Query!$B$10="",ISNUMBER(SEARCH(Query!$B$10,'Compliance Database'!$D176&amp;" "&amp;'Compliance Database'!$L176&amp;" "&amp;'Compliance Database'!$M176&amp;" "&amp;'Compliance Database'!$N176&amp;" "&amp;'Compliance Database'!$O176)))),1,0)</f>
        <v/>
      </c>
      <c r="B176">
        <f>IF($A176=1,SUM($A$2:$A176),"")</f>
        <v/>
      </c>
      <c r="C176">
        <f>IF($A176=1,SUM($A$2:$A176),0)</f>
        <v/>
      </c>
    </row>
    <row r="177">
      <c r="A177">
        <f>IF(AND(OR(Query!$B$4="All",'Compliance Database'!$A177=Query!$B$4),OR(Query!$B$5="All",'Compliance Database'!$F177=Query!$B$5),OR(Query!$B$6="All",ISNUMBER(SEARCH(Query!$B$6,'Compliance Database'!$I177))),OR(Query!$B$7="All",ISNUMBER(SEARCH(Query!$B$7,'Compliance Database'!$J177))),OR(Query!$B$8="All",'Compliance Database'!$G177=Query!$B$8),OR(Query!$B$9="All",'Compliance Database'!$K177=Query!$B$9),OR(Query!$B$10="",ISNUMBER(SEARCH(Query!$B$10,'Compliance Database'!$D177&amp;" "&amp;'Compliance Database'!$L177&amp;" "&amp;'Compliance Database'!$M177&amp;" "&amp;'Compliance Database'!$N177&amp;" "&amp;'Compliance Database'!$O177)))),1,0)</f>
        <v/>
      </c>
      <c r="B177">
        <f>IF($A177=1,SUM($A$2:$A177),"")</f>
        <v/>
      </c>
      <c r="C177">
        <f>IF($A177=1,SUM($A$2:$A177),0)</f>
        <v/>
      </c>
    </row>
    <row r="178">
      <c r="A178">
        <f>IF(AND(OR(Query!$B$4="All",'Compliance Database'!$A178=Query!$B$4),OR(Query!$B$5="All",'Compliance Database'!$F178=Query!$B$5),OR(Query!$B$6="All",ISNUMBER(SEARCH(Query!$B$6,'Compliance Database'!$I178))),OR(Query!$B$7="All",ISNUMBER(SEARCH(Query!$B$7,'Compliance Database'!$J178))),OR(Query!$B$8="All",'Compliance Database'!$G178=Query!$B$8),OR(Query!$B$9="All",'Compliance Database'!$K178=Query!$B$9),OR(Query!$B$10="",ISNUMBER(SEARCH(Query!$B$10,'Compliance Database'!$D178&amp;" "&amp;'Compliance Database'!$L178&amp;" "&amp;'Compliance Database'!$M178&amp;" "&amp;'Compliance Database'!$N178&amp;" "&amp;'Compliance Database'!$O178)))),1,0)</f>
        <v/>
      </c>
      <c r="B178">
        <f>IF($A178=1,SUM($A$2:$A178),"")</f>
        <v/>
      </c>
      <c r="C178">
        <f>IF($A178=1,SUM($A$2:$A178),0)</f>
        <v/>
      </c>
    </row>
    <row r="179">
      <c r="A179">
        <f>IF(AND(OR(Query!$B$4="All",'Compliance Database'!$A179=Query!$B$4),OR(Query!$B$5="All",'Compliance Database'!$F179=Query!$B$5),OR(Query!$B$6="All",ISNUMBER(SEARCH(Query!$B$6,'Compliance Database'!$I179))),OR(Query!$B$7="All",ISNUMBER(SEARCH(Query!$B$7,'Compliance Database'!$J179))),OR(Query!$B$8="All",'Compliance Database'!$G179=Query!$B$8),OR(Query!$B$9="All",'Compliance Database'!$K179=Query!$B$9),OR(Query!$B$10="",ISNUMBER(SEARCH(Query!$B$10,'Compliance Database'!$D179&amp;" "&amp;'Compliance Database'!$L179&amp;" "&amp;'Compliance Database'!$M179&amp;" "&amp;'Compliance Database'!$N179&amp;" "&amp;'Compliance Database'!$O179)))),1,0)</f>
        <v/>
      </c>
      <c r="B179">
        <f>IF($A179=1,SUM($A$2:$A179),"")</f>
        <v/>
      </c>
      <c r="C179">
        <f>IF($A179=1,SUM($A$2:$A179),0)</f>
        <v/>
      </c>
    </row>
    <row r="180">
      <c r="A180">
        <f>IF(AND(OR(Query!$B$4="All",'Compliance Database'!$A180=Query!$B$4),OR(Query!$B$5="All",'Compliance Database'!$F180=Query!$B$5),OR(Query!$B$6="All",ISNUMBER(SEARCH(Query!$B$6,'Compliance Database'!$I180))),OR(Query!$B$7="All",ISNUMBER(SEARCH(Query!$B$7,'Compliance Database'!$J180))),OR(Query!$B$8="All",'Compliance Database'!$G180=Query!$B$8),OR(Query!$B$9="All",'Compliance Database'!$K180=Query!$B$9),OR(Query!$B$10="",ISNUMBER(SEARCH(Query!$B$10,'Compliance Database'!$D180&amp;" "&amp;'Compliance Database'!$L180&amp;" "&amp;'Compliance Database'!$M180&amp;" "&amp;'Compliance Database'!$N180&amp;" "&amp;'Compliance Database'!$O180)))),1,0)</f>
        <v/>
      </c>
      <c r="B180">
        <f>IF($A180=1,SUM($A$2:$A180),"")</f>
        <v/>
      </c>
      <c r="C180">
        <f>IF($A180=1,SUM($A$2:$A180),0)</f>
        <v/>
      </c>
    </row>
    <row r="181">
      <c r="A181">
        <f>IF(AND(OR(Query!$B$4="All",'Compliance Database'!$A181=Query!$B$4),OR(Query!$B$5="All",'Compliance Database'!$F181=Query!$B$5),OR(Query!$B$6="All",ISNUMBER(SEARCH(Query!$B$6,'Compliance Database'!$I181))),OR(Query!$B$7="All",ISNUMBER(SEARCH(Query!$B$7,'Compliance Database'!$J181))),OR(Query!$B$8="All",'Compliance Database'!$G181=Query!$B$8),OR(Query!$B$9="All",'Compliance Database'!$K181=Query!$B$9),OR(Query!$B$10="",ISNUMBER(SEARCH(Query!$B$10,'Compliance Database'!$D181&amp;" "&amp;'Compliance Database'!$L181&amp;" "&amp;'Compliance Database'!$M181&amp;" "&amp;'Compliance Database'!$N181&amp;" "&amp;'Compliance Database'!$O181)))),1,0)</f>
        <v/>
      </c>
      <c r="B181">
        <f>IF($A181=1,SUM($A$2:$A181),"")</f>
        <v/>
      </c>
      <c r="C181">
        <f>IF($A181=1,SUM($A$2:$A181),0)</f>
        <v/>
      </c>
    </row>
    <row r="182">
      <c r="A182">
        <f>IF(AND(OR(Query!$B$4="All",'Compliance Database'!$A182=Query!$B$4),OR(Query!$B$5="All",'Compliance Database'!$F182=Query!$B$5),OR(Query!$B$6="All",ISNUMBER(SEARCH(Query!$B$6,'Compliance Database'!$I182))),OR(Query!$B$7="All",ISNUMBER(SEARCH(Query!$B$7,'Compliance Database'!$J182))),OR(Query!$B$8="All",'Compliance Database'!$G182=Query!$B$8),OR(Query!$B$9="All",'Compliance Database'!$K182=Query!$B$9),OR(Query!$B$10="",ISNUMBER(SEARCH(Query!$B$10,'Compliance Database'!$D182&amp;" "&amp;'Compliance Database'!$L182&amp;" "&amp;'Compliance Database'!$M182&amp;" "&amp;'Compliance Database'!$N182&amp;" "&amp;'Compliance Database'!$O182)))),1,0)</f>
        <v/>
      </c>
      <c r="B182">
        <f>IF($A182=1,SUM($A$2:$A182),"")</f>
        <v/>
      </c>
      <c r="C182">
        <f>IF($A182=1,SUM($A$2:$A182),0)</f>
        <v/>
      </c>
    </row>
    <row r="183">
      <c r="A183">
        <f>IF(AND(OR(Query!$B$4="All",'Compliance Database'!$A183=Query!$B$4),OR(Query!$B$5="All",'Compliance Database'!$F183=Query!$B$5),OR(Query!$B$6="All",ISNUMBER(SEARCH(Query!$B$6,'Compliance Database'!$I183))),OR(Query!$B$7="All",ISNUMBER(SEARCH(Query!$B$7,'Compliance Database'!$J183))),OR(Query!$B$8="All",'Compliance Database'!$G183=Query!$B$8),OR(Query!$B$9="All",'Compliance Database'!$K183=Query!$B$9),OR(Query!$B$10="",ISNUMBER(SEARCH(Query!$B$10,'Compliance Database'!$D183&amp;" "&amp;'Compliance Database'!$L183&amp;" "&amp;'Compliance Database'!$M183&amp;" "&amp;'Compliance Database'!$N183&amp;" "&amp;'Compliance Database'!$O183)))),1,0)</f>
        <v/>
      </c>
      <c r="B183">
        <f>IF($A183=1,SUM($A$2:$A183),"")</f>
        <v/>
      </c>
      <c r="C183">
        <f>IF($A183=1,SUM($A$2:$A183),0)</f>
        <v/>
      </c>
    </row>
    <row r="184">
      <c r="A184">
        <f>IF(AND(OR(Query!$B$4="All",'Compliance Database'!$A184=Query!$B$4),OR(Query!$B$5="All",'Compliance Database'!$F184=Query!$B$5),OR(Query!$B$6="All",ISNUMBER(SEARCH(Query!$B$6,'Compliance Database'!$I184))),OR(Query!$B$7="All",ISNUMBER(SEARCH(Query!$B$7,'Compliance Database'!$J184))),OR(Query!$B$8="All",'Compliance Database'!$G184=Query!$B$8),OR(Query!$B$9="All",'Compliance Database'!$K184=Query!$B$9),OR(Query!$B$10="",ISNUMBER(SEARCH(Query!$B$10,'Compliance Database'!$D184&amp;" "&amp;'Compliance Database'!$L184&amp;" "&amp;'Compliance Database'!$M184&amp;" "&amp;'Compliance Database'!$N184&amp;" "&amp;'Compliance Database'!$O184)))),1,0)</f>
        <v/>
      </c>
      <c r="B184">
        <f>IF($A184=1,SUM($A$2:$A184),"")</f>
        <v/>
      </c>
      <c r="C184">
        <f>IF($A184=1,SUM($A$2:$A184),0)</f>
        <v/>
      </c>
    </row>
    <row r="185">
      <c r="A185">
        <f>IF(AND(OR(Query!$B$4="All",'Compliance Database'!$A185=Query!$B$4),OR(Query!$B$5="All",'Compliance Database'!$F185=Query!$B$5),OR(Query!$B$6="All",ISNUMBER(SEARCH(Query!$B$6,'Compliance Database'!$I185))),OR(Query!$B$7="All",ISNUMBER(SEARCH(Query!$B$7,'Compliance Database'!$J185))),OR(Query!$B$8="All",'Compliance Database'!$G185=Query!$B$8),OR(Query!$B$9="All",'Compliance Database'!$K185=Query!$B$9),OR(Query!$B$10="",ISNUMBER(SEARCH(Query!$B$10,'Compliance Database'!$D185&amp;" "&amp;'Compliance Database'!$L185&amp;" "&amp;'Compliance Database'!$M185&amp;" "&amp;'Compliance Database'!$N185&amp;" "&amp;'Compliance Database'!$O185)))),1,0)</f>
        <v/>
      </c>
      <c r="B185">
        <f>IF($A185=1,SUM($A$2:$A185),"")</f>
        <v/>
      </c>
      <c r="C185">
        <f>IF($A185=1,SUM($A$2:$A185),0)</f>
        <v/>
      </c>
    </row>
    <row r="186">
      <c r="A186">
        <f>IF(AND(OR(Query!$B$4="All",'Compliance Database'!$A186=Query!$B$4),OR(Query!$B$5="All",'Compliance Database'!$F186=Query!$B$5),OR(Query!$B$6="All",ISNUMBER(SEARCH(Query!$B$6,'Compliance Database'!$I186))),OR(Query!$B$7="All",ISNUMBER(SEARCH(Query!$B$7,'Compliance Database'!$J186))),OR(Query!$B$8="All",'Compliance Database'!$G186=Query!$B$8),OR(Query!$B$9="All",'Compliance Database'!$K186=Query!$B$9),OR(Query!$B$10="",ISNUMBER(SEARCH(Query!$B$10,'Compliance Database'!$D186&amp;" "&amp;'Compliance Database'!$L186&amp;" "&amp;'Compliance Database'!$M186&amp;" "&amp;'Compliance Database'!$N186&amp;" "&amp;'Compliance Database'!$O186)))),1,0)</f>
        <v/>
      </c>
      <c r="B186">
        <f>IF($A186=1,SUM($A$2:$A186),"")</f>
        <v/>
      </c>
      <c r="C186">
        <f>IF($A186=1,SUM($A$2:$A186),0)</f>
        <v/>
      </c>
    </row>
    <row r="187">
      <c r="A187">
        <f>IF(AND(OR(Query!$B$4="All",'Compliance Database'!$A187=Query!$B$4),OR(Query!$B$5="All",'Compliance Database'!$F187=Query!$B$5),OR(Query!$B$6="All",ISNUMBER(SEARCH(Query!$B$6,'Compliance Database'!$I187))),OR(Query!$B$7="All",ISNUMBER(SEARCH(Query!$B$7,'Compliance Database'!$J187))),OR(Query!$B$8="All",'Compliance Database'!$G187=Query!$B$8),OR(Query!$B$9="All",'Compliance Database'!$K187=Query!$B$9),OR(Query!$B$10="",ISNUMBER(SEARCH(Query!$B$10,'Compliance Database'!$D187&amp;" "&amp;'Compliance Database'!$L187&amp;" "&amp;'Compliance Database'!$M187&amp;" "&amp;'Compliance Database'!$N187&amp;" "&amp;'Compliance Database'!$O187)))),1,0)</f>
        <v/>
      </c>
      <c r="B187">
        <f>IF($A187=1,SUM($A$2:$A187),"")</f>
        <v/>
      </c>
      <c r="C187">
        <f>IF($A187=1,SUM($A$2:$A187),0)</f>
        <v/>
      </c>
    </row>
    <row r="188">
      <c r="A188">
        <f>IF(AND(OR(Query!$B$4="All",'Compliance Database'!$A188=Query!$B$4),OR(Query!$B$5="All",'Compliance Database'!$F188=Query!$B$5),OR(Query!$B$6="All",ISNUMBER(SEARCH(Query!$B$6,'Compliance Database'!$I188))),OR(Query!$B$7="All",ISNUMBER(SEARCH(Query!$B$7,'Compliance Database'!$J188))),OR(Query!$B$8="All",'Compliance Database'!$G188=Query!$B$8),OR(Query!$B$9="All",'Compliance Database'!$K188=Query!$B$9),OR(Query!$B$10="",ISNUMBER(SEARCH(Query!$B$10,'Compliance Database'!$D188&amp;" "&amp;'Compliance Database'!$L188&amp;" "&amp;'Compliance Database'!$M188&amp;" "&amp;'Compliance Database'!$N188&amp;" "&amp;'Compliance Database'!$O188)))),1,0)</f>
        <v/>
      </c>
      <c r="B188">
        <f>IF($A188=1,SUM($A$2:$A188),"")</f>
        <v/>
      </c>
      <c r="C188">
        <f>IF($A188=1,SUM($A$2:$A188),0)</f>
        <v/>
      </c>
    </row>
    <row r="189">
      <c r="A189">
        <f>IF(AND(OR(Query!$B$4="All",'Compliance Database'!$A189=Query!$B$4),OR(Query!$B$5="All",'Compliance Database'!$F189=Query!$B$5),OR(Query!$B$6="All",ISNUMBER(SEARCH(Query!$B$6,'Compliance Database'!$I189))),OR(Query!$B$7="All",ISNUMBER(SEARCH(Query!$B$7,'Compliance Database'!$J189))),OR(Query!$B$8="All",'Compliance Database'!$G189=Query!$B$8),OR(Query!$B$9="All",'Compliance Database'!$K189=Query!$B$9),OR(Query!$B$10="",ISNUMBER(SEARCH(Query!$B$10,'Compliance Database'!$D189&amp;" "&amp;'Compliance Database'!$L189&amp;" "&amp;'Compliance Database'!$M189&amp;" "&amp;'Compliance Database'!$N189&amp;" "&amp;'Compliance Database'!$O189)))),1,0)</f>
        <v/>
      </c>
      <c r="B189">
        <f>IF($A189=1,SUM($A$2:$A189),"")</f>
        <v/>
      </c>
      <c r="C189">
        <f>IF($A189=1,SUM($A$2:$A189),0)</f>
        <v/>
      </c>
    </row>
    <row r="190">
      <c r="A190">
        <f>IF(AND(OR(Query!$B$4="All",'Compliance Database'!$A190=Query!$B$4),OR(Query!$B$5="All",'Compliance Database'!$F190=Query!$B$5),OR(Query!$B$6="All",ISNUMBER(SEARCH(Query!$B$6,'Compliance Database'!$I190))),OR(Query!$B$7="All",ISNUMBER(SEARCH(Query!$B$7,'Compliance Database'!$J190))),OR(Query!$B$8="All",'Compliance Database'!$G190=Query!$B$8),OR(Query!$B$9="All",'Compliance Database'!$K190=Query!$B$9),OR(Query!$B$10="",ISNUMBER(SEARCH(Query!$B$10,'Compliance Database'!$D190&amp;" "&amp;'Compliance Database'!$L190&amp;" "&amp;'Compliance Database'!$M190&amp;" "&amp;'Compliance Database'!$N190&amp;" "&amp;'Compliance Database'!$O190)))),1,0)</f>
        <v/>
      </c>
      <c r="B190">
        <f>IF($A190=1,SUM($A$2:$A190),"")</f>
        <v/>
      </c>
      <c r="C190">
        <f>IF($A190=1,SUM($A$2:$A190),0)</f>
        <v/>
      </c>
    </row>
    <row r="191">
      <c r="A191">
        <f>IF(AND(OR(Query!$B$4="All",'Compliance Database'!$A191=Query!$B$4),OR(Query!$B$5="All",'Compliance Database'!$F191=Query!$B$5),OR(Query!$B$6="All",ISNUMBER(SEARCH(Query!$B$6,'Compliance Database'!$I191))),OR(Query!$B$7="All",ISNUMBER(SEARCH(Query!$B$7,'Compliance Database'!$J191))),OR(Query!$B$8="All",'Compliance Database'!$G191=Query!$B$8),OR(Query!$B$9="All",'Compliance Database'!$K191=Query!$B$9),OR(Query!$B$10="",ISNUMBER(SEARCH(Query!$B$10,'Compliance Database'!$D191&amp;" "&amp;'Compliance Database'!$L191&amp;" "&amp;'Compliance Database'!$M191&amp;" "&amp;'Compliance Database'!$N191&amp;" "&amp;'Compliance Database'!$O191)))),1,0)</f>
        <v/>
      </c>
      <c r="B191">
        <f>IF($A191=1,SUM($A$2:$A191),"")</f>
        <v/>
      </c>
      <c r="C191">
        <f>IF($A191=1,SUM($A$2:$A191),0)</f>
        <v/>
      </c>
    </row>
    <row r="192">
      <c r="A192">
        <f>IF(AND(OR(Query!$B$4="All",'Compliance Database'!$A192=Query!$B$4),OR(Query!$B$5="All",'Compliance Database'!$F192=Query!$B$5),OR(Query!$B$6="All",ISNUMBER(SEARCH(Query!$B$6,'Compliance Database'!$I192))),OR(Query!$B$7="All",ISNUMBER(SEARCH(Query!$B$7,'Compliance Database'!$J192))),OR(Query!$B$8="All",'Compliance Database'!$G192=Query!$B$8),OR(Query!$B$9="All",'Compliance Database'!$K192=Query!$B$9),OR(Query!$B$10="",ISNUMBER(SEARCH(Query!$B$10,'Compliance Database'!$D192&amp;" "&amp;'Compliance Database'!$L192&amp;" "&amp;'Compliance Database'!$M192&amp;" "&amp;'Compliance Database'!$N192&amp;" "&amp;'Compliance Database'!$O192)))),1,0)</f>
        <v/>
      </c>
      <c r="B192">
        <f>IF($A192=1,SUM($A$2:$A192),"")</f>
        <v/>
      </c>
      <c r="C192">
        <f>IF($A192=1,SUM($A$2:$A192),0)</f>
        <v/>
      </c>
    </row>
    <row r="193">
      <c r="A193">
        <f>IF(AND(OR(Query!$B$4="All",'Compliance Database'!$A193=Query!$B$4),OR(Query!$B$5="All",'Compliance Database'!$F193=Query!$B$5),OR(Query!$B$6="All",ISNUMBER(SEARCH(Query!$B$6,'Compliance Database'!$I193))),OR(Query!$B$7="All",ISNUMBER(SEARCH(Query!$B$7,'Compliance Database'!$J193))),OR(Query!$B$8="All",'Compliance Database'!$G193=Query!$B$8),OR(Query!$B$9="All",'Compliance Database'!$K193=Query!$B$9),OR(Query!$B$10="",ISNUMBER(SEARCH(Query!$B$10,'Compliance Database'!$D193&amp;" "&amp;'Compliance Database'!$L193&amp;" "&amp;'Compliance Database'!$M193&amp;" "&amp;'Compliance Database'!$N193&amp;" "&amp;'Compliance Database'!$O193)))),1,0)</f>
        <v/>
      </c>
      <c r="B193">
        <f>IF($A193=1,SUM($A$2:$A193),"")</f>
        <v/>
      </c>
      <c r="C193">
        <f>IF($A193=1,SUM($A$2:$A193),0)</f>
        <v/>
      </c>
    </row>
    <row r="194">
      <c r="A194">
        <f>IF(AND(OR(Query!$B$4="All",'Compliance Database'!$A194=Query!$B$4),OR(Query!$B$5="All",'Compliance Database'!$F194=Query!$B$5),OR(Query!$B$6="All",ISNUMBER(SEARCH(Query!$B$6,'Compliance Database'!$I194))),OR(Query!$B$7="All",ISNUMBER(SEARCH(Query!$B$7,'Compliance Database'!$J194))),OR(Query!$B$8="All",'Compliance Database'!$G194=Query!$B$8),OR(Query!$B$9="All",'Compliance Database'!$K194=Query!$B$9),OR(Query!$B$10="",ISNUMBER(SEARCH(Query!$B$10,'Compliance Database'!$D194&amp;" "&amp;'Compliance Database'!$L194&amp;" "&amp;'Compliance Database'!$M194&amp;" "&amp;'Compliance Database'!$N194&amp;" "&amp;'Compliance Database'!$O194)))),1,0)</f>
        <v/>
      </c>
      <c r="B194">
        <f>IF($A194=1,SUM($A$2:$A194),"")</f>
        <v/>
      </c>
      <c r="C194">
        <f>IF($A194=1,SUM($A$2:$A194),0)</f>
        <v/>
      </c>
    </row>
    <row r="195">
      <c r="A195">
        <f>IF(AND(OR(Query!$B$4="All",'Compliance Database'!$A195=Query!$B$4),OR(Query!$B$5="All",'Compliance Database'!$F195=Query!$B$5),OR(Query!$B$6="All",ISNUMBER(SEARCH(Query!$B$6,'Compliance Database'!$I195))),OR(Query!$B$7="All",ISNUMBER(SEARCH(Query!$B$7,'Compliance Database'!$J195))),OR(Query!$B$8="All",'Compliance Database'!$G195=Query!$B$8),OR(Query!$B$9="All",'Compliance Database'!$K195=Query!$B$9),OR(Query!$B$10="",ISNUMBER(SEARCH(Query!$B$10,'Compliance Database'!$D195&amp;" "&amp;'Compliance Database'!$L195&amp;" "&amp;'Compliance Database'!$M195&amp;" "&amp;'Compliance Database'!$N195&amp;" "&amp;'Compliance Database'!$O195)))),1,0)</f>
        <v/>
      </c>
      <c r="B195">
        <f>IF($A195=1,SUM($A$2:$A195),"")</f>
        <v/>
      </c>
      <c r="C195">
        <f>IF($A195=1,SUM($A$2:$A195),0)</f>
        <v/>
      </c>
    </row>
    <row r="196">
      <c r="A196">
        <f>IF(AND(OR(Query!$B$4="All",'Compliance Database'!$A196=Query!$B$4),OR(Query!$B$5="All",'Compliance Database'!$F196=Query!$B$5),OR(Query!$B$6="All",ISNUMBER(SEARCH(Query!$B$6,'Compliance Database'!$I196))),OR(Query!$B$7="All",ISNUMBER(SEARCH(Query!$B$7,'Compliance Database'!$J196))),OR(Query!$B$8="All",'Compliance Database'!$G196=Query!$B$8),OR(Query!$B$9="All",'Compliance Database'!$K196=Query!$B$9),OR(Query!$B$10="",ISNUMBER(SEARCH(Query!$B$10,'Compliance Database'!$D196&amp;" "&amp;'Compliance Database'!$L196&amp;" "&amp;'Compliance Database'!$M196&amp;" "&amp;'Compliance Database'!$N196&amp;" "&amp;'Compliance Database'!$O196)))),1,0)</f>
        <v/>
      </c>
      <c r="B196">
        <f>IF($A196=1,SUM($A$2:$A196),"")</f>
        <v/>
      </c>
      <c r="C196">
        <f>IF($A196=1,SUM($A$2:$A196),0)</f>
        <v/>
      </c>
    </row>
    <row r="197">
      <c r="A197">
        <f>IF(AND(OR(Query!$B$4="All",'Compliance Database'!$A197=Query!$B$4),OR(Query!$B$5="All",'Compliance Database'!$F197=Query!$B$5),OR(Query!$B$6="All",ISNUMBER(SEARCH(Query!$B$6,'Compliance Database'!$I197))),OR(Query!$B$7="All",ISNUMBER(SEARCH(Query!$B$7,'Compliance Database'!$J197))),OR(Query!$B$8="All",'Compliance Database'!$G197=Query!$B$8),OR(Query!$B$9="All",'Compliance Database'!$K197=Query!$B$9),OR(Query!$B$10="",ISNUMBER(SEARCH(Query!$B$10,'Compliance Database'!$D197&amp;" "&amp;'Compliance Database'!$L197&amp;" "&amp;'Compliance Database'!$M197&amp;" "&amp;'Compliance Database'!$N197&amp;" "&amp;'Compliance Database'!$O197)))),1,0)</f>
        <v/>
      </c>
      <c r="B197">
        <f>IF($A197=1,SUM($A$2:$A197),"")</f>
        <v/>
      </c>
      <c r="C197">
        <f>IF($A197=1,SUM($A$2:$A197),0)</f>
        <v/>
      </c>
    </row>
    <row r="198">
      <c r="A198">
        <f>IF(AND(OR(Query!$B$4="All",'Compliance Database'!$A198=Query!$B$4),OR(Query!$B$5="All",'Compliance Database'!$F198=Query!$B$5),OR(Query!$B$6="All",ISNUMBER(SEARCH(Query!$B$6,'Compliance Database'!$I198))),OR(Query!$B$7="All",ISNUMBER(SEARCH(Query!$B$7,'Compliance Database'!$J198))),OR(Query!$B$8="All",'Compliance Database'!$G198=Query!$B$8),OR(Query!$B$9="All",'Compliance Database'!$K198=Query!$B$9),OR(Query!$B$10="",ISNUMBER(SEARCH(Query!$B$10,'Compliance Database'!$D198&amp;" "&amp;'Compliance Database'!$L198&amp;" "&amp;'Compliance Database'!$M198&amp;" "&amp;'Compliance Database'!$N198&amp;" "&amp;'Compliance Database'!$O198)))),1,0)</f>
        <v/>
      </c>
      <c r="B198">
        <f>IF($A198=1,SUM($A$2:$A198),"")</f>
        <v/>
      </c>
      <c r="C198">
        <f>IF($A198=1,SUM($A$2:$A198),0)</f>
        <v/>
      </c>
    </row>
    <row r="199">
      <c r="A199">
        <f>IF(AND(OR(Query!$B$4="All",'Compliance Database'!$A199=Query!$B$4),OR(Query!$B$5="All",'Compliance Database'!$F199=Query!$B$5),OR(Query!$B$6="All",ISNUMBER(SEARCH(Query!$B$6,'Compliance Database'!$I199))),OR(Query!$B$7="All",ISNUMBER(SEARCH(Query!$B$7,'Compliance Database'!$J199))),OR(Query!$B$8="All",'Compliance Database'!$G199=Query!$B$8),OR(Query!$B$9="All",'Compliance Database'!$K199=Query!$B$9),OR(Query!$B$10="",ISNUMBER(SEARCH(Query!$B$10,'Compliance Database'!$D199&amp;" "&amp;'Compliance Database'!$L199&amp;" "&amp;'Compliance Database'!$M199&amp;" "&amp;'Compliance Database'!$N199&amp;" "&amp;'Compliance Database'!$O199)))),1,0)</f>
        <v/>
      </c>
      <c r="B199">
        <f>IF($A199=1,SUM($A$2:$A199),"")</f>
        <v/>
      </c>
      <c r="C199">
        <f>IF($A199=1,SUM($A$2:$A199),0)</f>
        <v/>
      </c>
    </row>
    <row r="200">
      <c r="A200">
        <f>IF(AND(OR(Query!$B$4="All",'Compliance Database'!$A200=Query!$B$4),OR(Query!$B$5="All",'Compliance Database'!$F200=Query!$B$5),OR(Query!$B$6="All",ISNUMBER(SEARCH(Query!$B$6,'Compliance Database'!$I200))),OR(Query!$B$7="All",ISNUMBER(SEARCH(Query!$B$7,'Compliance Database'!$J200))),OR(Query!$B$8="All",'Compliance Database'!$G200=Query!$B$8),OR(Query!$B$9="All",'Compliance Database'!$K200=Query!$B$9),OR(Query!$B$10="",ISNUMBER(SEARCH(Query!$B$10,'Compliance Database'!$D200&amp;" "&amp;'Compliance Database'!$L200&amp;" "&amp;'Compliance Database'!$M200&amp;" "&amp;'Compliance Database'!$N200&amp;" "&amp;'Compliance Database'!$O200)))),1,0)</f>
        <v/>
      </c>
      <c r="B200">
        <f>IF($A200=1,SUM($A$2:$A200),"")</f>
        <v/>
      </c>
      <c r="C200">
        <f>IF($A200=1,SUM($A$2:$A200),0)</f>
        <v/>
      </c>
    </row>
    <row r="201">
      <c r="A201">
        <f>IF(AND(OR(Query!$B$4="All",'Compliance Database'!$A201=Query!$B$4),OR(Query!$B$5="All",'Compliance Database'!$F201=Query!$B$5),OR(Query!$B$6="All",ISNUMBER(SEARCH(Query!$B$6,'Compliance Database'!$I201))),OR(Query!$B$7="All",ISNUMBER(SEARCH(Query!$B$7,'Compliance Database'!$J201))),OR(Query!$B$8="All",'Compliance Database'!$G201=Query!$B$8),OR(Query!$B$9="All",'Compliance Database'!$K201=Query!$B$9),OR(Query!$B$10="",ISNUMBER(SEARCH(Query!$B$10,'Compliance Database'!$D201&amp;" "&amp;'Compliance Database'!$L201&amp;" "&amp;'Compliance Database'!$M201&amp;" "&amp;'Compliance Database'!$N201&amp;" "&amp;'Compliance Database'!$O201)))),1,0)</f>
        <v/>
      </c>
      <c r="B201">
        <f>IF($A201=1,SUM($A$2:$A201),"")</f>
        <v/>
      </c>
      <c r="C201">
        <f>IF($A201=1,SUM($A$2:$A201),0)</f>
        <v/>
      </c>
    </row>
    <row r="202">
      <c r="A202">
        <f>IF(AND(OR(Query!$B$4="All",'Compliance Database'!$A202=Query!$B$4),OR(Query!$B$5="All",'Compliance Database'!$F202=Query!$B$5),OR(Query!$B$6="All",ISNUMBER(SEARCH(Query!$B$6,'Compliance Database'!$I202))),OR(Query!$B$7="All",ISNUMBER(SEARCH(Query!$B$7,'Compliance Database'!$J202))),OR(Query!$B$8="All",'Compliance Database'!$G202=Query!$B$8),OR(Query!$B$9="All",'Compliance Database'!$K202=Query!$B$9),OR(Query!$B$10="",ISNUMBER(SEARCH(Query!$B$10,'Compliance Database'!$D202&amp;" "&amp;'Compliance Database'!$L202&amp;" "&amp;'Compliance Database'!$M202&amp;" "&amp;'Compliance Database'!$N202&amp;" "&amp;'Compliance Database'!$O202)))),1,0)</f>
        <v/>
      </c>
      <c r="B202">
        <f>IF($A202=1,SUM($A$2:$A202),"")</f>
        <v/>
      </c>
      <c r="C202">
        <f>IF($A202=1,SUM($A$2:$A202),0)</f>
        <v/>
      </c>
    </row>
    <row r="203">
      <c r="A203">
        <f>IF(AND(OR(Query!$B$4="All",'Compliance Database'!$A203=Query!$B$4),OR(Query!$B$5="All",'Compliance Database'!$F203=Query!$B$5),OR(Query!$B$6="All",ISNUMBER(SEARCH(Query!$B$6,'Compliance Database'!$I203))),OR(Query!$B$7="All",ISNUMBER(SEARCH(Query!$B$7,'Compliance Database'!$J203))),OR(Query!$B$8="All",'Compliance Database'!$G203=Query!$B$8),OR(Query!$B$9="All",'Compliance Database'!$K203=Query!$B$9),OR(Query!$B$10="",ISNUMBER(SEARCH(Query!$B$10,'Compliance Database'!$D203&amp;" "&amp;'Compliance Database'!$L203&amp;" "&amp;'Compliance Database'!$M203&amp;" "&amp;'Compliance Database'!$N203&amp;" "&amp;'Compliance Database'!$O203)))),1,0)</f>
        <v/>
      </c>
      <c r="B203">
        <f>IF($A203=1,SUM($A$2:$A203),"")</f>
        <v/>
      </c>
      <c r="C203">
        <f>IF($A203=1,SUM($A$2:$A203),0)</f>
        <v/>
      </c>
    </row>
    <row r="204">
      <c r="A204">
        <f>IF(AND(OR(Query!$B$4="All",'Compliance Database'!$A204=Query!$B$4),OR(Query!$B$5="All",'Compliance Database'!$F204=Query!$B$5),OR(Query!$B$6="All",ISNUMBER(SEARCH(Query!$B$6,'Compliance Database'!$I204))),OR(Query!$B$7="All",ISNUMBER(SEARCH(Query!$B$7,'Compliance Database'!$J204))),OR(Query!$B$8="All",'Compliance Database'!$G204=Query!$B$8),OR(Query!$B$9="All",'Compliance Database'!$K204=Query!$B$9),OR(Query!$B$10="",ISNUMBER(SEARCH(Query!$B$10,'Compliance Database'!$D204&amp;" "&amp;'Compliance Database'!$L204&amp;" "&amp;'Compliance Database'!$M204&amp;" "&amp;'Compliance Database'!$N204&amp;" "&amp;'Compliance Database'!$O204)))),1,0)</f>
        <v/>
      </c>
      <c r="B204">
        <f>IF($A204=1,SUM($A$2:$A204),"")</f>
        <v/>
      </c>
      <c r="C204">
        <f>IF($A204=1,SUM($A$2:$A204),0)</f>
        <v/>
      </c>
    </row>
    <row r="205">
      <c r="A205">
        <f>IF(AND(OR(Query!$B$4="All",'Compliance Database'!$A205=Query!$B$4),OR(Query!$B$5="All",'Compliance Database'!$F205=Query!$B$5),OR(Query!$B$6="All",ISNUMBER(SEARCH(Query!$B$6,'Compliance Database'!$I205))),OR(Query!$B$7="All",ISNUMBER(SEARCH(Query!$B$7,'Compliance Database'!$J205))),OR(Query!$B$8="All",'Compliance Database'!$G205=Query!$B$8),OR(Query!$B$9="All",'Compliance Database'!$K205=Query!$B$9),OR(Query!$B$10="",ISNUMBER(SEARCH(Query!$B$10,'Compliance Database'!$D205&amp;" "&amp;'Compliance Database'!$L205&amp;" "&amp;'Compliance Database'!$M205&amp;" "&amp;'Compliance Database'!$N205&amp;" "&amp;'Compliance Database'!$O205)))),1,0)</f>
        <v/>
      </c>
      <c r="B205">
        <f>IF($A205=1,SUM($A$2:$A205),"")</f>
        <v/>
      </c>
      <c r="C205">
        <f>IF($A205=1,SUM($A$2:$A205),0)</f>
        <v/>
      </c>
    </row>
    <row r="206">
      <c r="A206">
        <f>IF(AND(OR(Query!$B$4="All",'Compliance Database'!$A206=Query!$B$4),OR(Query!$B$5="All",'Compliance Database'!$F206=Query!$B$5),OR(Query!$B$6="All",ISNUMBER(SEARCH(Query!$B$6,'Compliance Database'!$I206))),OR(Query!$B$7="All",ISNUMBER(SEARCH(Query!$B$7,'Compliance Database'!$J206))),OR(Query!$B$8="All",'Compliance Database'!$G206=Query!$B$8),OR(Query!$B$9="All",'Compliance Database'!$K206=Query!$B$9),OR(Query!$B$10="",ISNUMBER(SEARCH(Query!$B$10,'Compliance Database'!$D206&amp;" "&amp;'Compliance Database'!$L206&amp;" "&amp;'Compliance Database'!$M206&amp;" "&amp;'Compliance Database'!$N206&amp;" "&amp;'Compliance Database'!$O206)))),1,0)</f>
        <v/>
      </c>
      <c r="B206">
        <f>IF($A206=1,SUM($A$2:$A206),"")</f>
        <v/>
      </c>
      <c r="C206">
        <f>IF($A206=1,SUM($A$2:$A206),0)</f>
        <v/>
      </c>
    </row>
    <row r="207">
      <c r="A207">
        <f>IF(AND(OR(Query!$B$4="All",'Compliance Database'!$A207=Query!$B$4),OR(Query!$B$5="All",'Compliance Database'!$F207=Query!$B$5),OR(Query!$B$6="All",ISNUMBER(SEARCH(Query!$B$6,'Compliance Database'!$I207))),OR(Query!$B$7="All",ISNUMBER(SEARCH(Query!$B$7,'Compliance Database'!$J207))),OR(Query!$B$8="All",'Compliance Database'!$G207=Query!$B$8),OR(Query!$B$9="All",'Compliance Database'!$K207=Query!$B$9),OR(Query!$B$10="",ISNUMBER(SEARCH(Query!$B$10,'Compliance Database'!$D207&amp;" "&amp;'Compliance Database'!$L207&amp;" "&amp;'Compliance Database'!$M207&amp;" "&amp;'Compliance Database'!$N207&amp;" "&amp;'Compliance Database'!$O207)))),1,0)</f>
        <v/>
      </c>
      <c r="B207">
        <f>IF($A207=1,SUM($A$2:$A207),"")</f>
        <v/>
      </c>
      <c r="C207">
        <f>IF($A207=1,SUM($A$2:$A207),0)</f>
        <v/>
      </c>
    </row>
    <row r="208">
      <c r="A208">
        <f>IF(AND(OR(Query!$B$4="All",'Compliance Database'!$A208=Query!$B$4),OR(Query!$B$5="All",'Compliance Database'!$F208=Query!$B$5),OR(Query!$B$6="All",ISNUMBER(SEARCH(Query!$B$6,'Compliance Database'!$I208))),OR(Query!$B$7="All",ISNUMBER(SEARCH(Query!$B$7,'Compliance Database'!$J208))),OR(Query!$B$8="All",'Compliance Database'!$G208=Query!$B$8),OR(Query!$B$9="All",'Compliance Database'!$K208=Query!$B$9),OR(Query!$B$10="",ISNUMBER(SEARCH(Query!$B$10,'Compliance Database'!$D208&amp;" "&amp;'Compliance Database'!$L208&amp;" "&amp;'Compliance Database'!$M208&amp;" "&amp;'Compliance Database'!$N208&amp;" "&amp;'Compliance Database'!$O208)))),1,0)</f>
        <v/>
      </c>
      <c r="B208">
        <f>IF($A208=1,SUM($A$2:$A208),"")</f>
        <v/>
      </c>
      <c r="C208">
        <f>IF($A208=1,SUM($A$2:$A208),0)</f>
        <v/>
      </c>
    </row>
    <row r="209">
      <c r="A209">
        <f>IF(AND(OR(Query!$B$4="All",'Compliance Database'!$A209=Query!$B$4),OR(Query!$B$5="All",'Compliance Database'!$F209=Query!$B$5),OR(Query!$B$6="All",ISNUMBER(SEARCH(Query!$B$6,'Compliance Database'!$I209))),OR(Query!$B$7="All",ISNUMBER(SEARCH(Query!$B$7,'Compliance Database'!$J209))),OR(Query!$B$8="All",'Compliance Database'!$G209=Query!$B$8),OR(Query!$B$9="All",'Compliance Database'!$K209=Query!$B$9),OR(Query!$B$10="",ISNUMBER(SEARCH(Query!$B$10,'Compliance Database'!$D209&amp;" "&amp;'Compliance Database'!$L209&amp;" "&amp;'Compliance Database'!$M209&amp;" "&amp;'Compliance Database'!$N209&amp;" "&amp;'Compliance Database'!$O209)))),1,0)</f>
        <v/>
      </c>
      <c r="B209">
        <f>IF($A209=1,SUM($A$2:$A209),"")</f>
        <v/>
      </c>
      <c r="C209">
        <f>IF($A209=1,SUM($A$2:$A209),0)</f>
        <v/>
      </c>
    </row>
    <row r="210">
      <c r="A210">
        <f>IF(AND(OR(Query!$B$4="All",'Compliance Database'!$A210=Query!$B$4),OR(Query!$B$5="All",'Compliance Database'!$F210=Query!$B$5),OR(Query!$B$6="All",ISNUMBER(SEARCH(Query!$B$6,'Compliance Database'!$I210))),OR(Query!$B$7="All",ISNUMBER(SEARCH(Query!$B$7,'Compliance Database'!$J210))),OR(Query!$B$8="All",'Compliance Database'!$G210=Query!$B$8),OR(Query!$B$9="All",'Compliance Database'!$K210=Query!$B$9),OR(Query!$B$10="",ISNUMBER(SEARCH(Query!$B$10,'Compliance Database'!$D210&amp;" "&amp;'Compliance Database'!$L210&amp;" "&amp;'Compliance Database'!$M210&amp;" "&amp;'Compliance Database'!$N210&amp;" "&amp;'Compliance Database'!$O210)))),1,0)</f>
        <v/>
      </c>
      <c r="B210">
        <f>IF($A210=1,SUM($A$2:$A210),"")</f>
        <v/>
      </c>
      <c r="C210">
        <f>IF($A210=1,SUM($A$2:$A210),0)</f>
        <v/>
      </c>
    </row>
    <row r="211">
      <c r="A211">
        <f>IF(AND(OR(Query!$B$4="All",'Compliance Database'!$A211=Query!$B$4),OR(Query!$B$5="All",'Compliance Database'!$F211=Query!$B$5),OR(Query!$B$6="All",ISNUMBER(SEARCH(Query!$B$6,'Compliance Database'!$I211))),OR(Query!$B$7="All",ISNUMBER(SEARCH(Query!$B$7,'Compliance Database'!$J211))),OR(Query!$B$8="All",'Compliance Database'!$G211=Query!$B$8),OR(Query!$B$9="All",'Compliance Database'!$K211=Query!$B$9),OR(Query!$B$10="",ISNUMBER(SEARCH(Query!$B$10,'Compliance Database'!$D211&amp;" "&amp;'Compliance Database'!$L211&amp;" "&amp;'Compliance Database'!$M211&amp;" "&amp;'Compliance Database'!$N211&amp;" "&amp;'Compliance Database'!$O211)))),1,0)</f>
        <v/>
      </c>
      <c r="B211">
        <f>IF($A211=1,SUM($A$2:$A211),"")</f>
        <v/>
      </c>
      <c r="C211">
        <f>IF($A211=1,SUM($A$2:$A211),0)</f>
        <v/>
      </c>
    </row>
    <row r="212">
      <c r="A212">
        <f>IF(AND(OR(Query!$B$4="All",'Compliance Database'!$A212=Query!$B$4),OR(Query!$B$5="All",'Compliance Database'!$F212=Query!$B$5),OR(Query!$B$6="All",ISNUMBER(SEARCH(Query!$B$6,'Compliance Database'!$I212))),OR(Query!$B$7="All",ISNUMBER(SEARCH(Query!$B$7,'Compliance Database'!$J212))),OR(Query!$B$8="All",'Compliance Database'!$G212=Query!$B$8),OR(Query!$B$9="All",'Compliance Database'!$K212=Query!$B$9),OR(Query!$B$10="",ISNUMBER(SEARCH(Query!$B$10,'Compliance Database'!$D212&amp;" "&amp;'Compliance Database'!$L212&amp;" "&amp;'Compliance Database'!$M212&amp;" "&amp;'Compliance Database'!$N212&amp;" "&amp;'Compliance Database'!$O212)))),1,0)</f>
        <v/>
      </c>
      <c r="B212">
        <f>IF($A212=1,SUM($A$2:$A212),"")</f>
        <v/>
      </c>
      <c r="C212">
        <f>IF($A212=1,SUM($A$2:$A212),0)</f>
        <v/>
      </c>
    </row>
    <row r="213">
      <c r="A213">
        <f>IF(AND(OR(Query!$B$4="All",'Compliance Database'!$A213=Query!$B$4),OR(Query!$B$5="All",'Compliance Database'!$F213=Query!$B$5),OR(Query!$B$6="All",ISNUMBER(SEARCH(Query!$B$6,'Compliance Database'!$I213))),OR(Query!$B$7="All",ISNUMBER(SEARCH(Query!$B$7,'Compliance Database'!$J213))),OR(Query!$B$8="All",'Compliance Database'!$G213=Query!$B$8),OR(Query!$B$9="All",'Compliance Database'!$K213=Query!$B$9),OR(Query!$B$10="",ISNUMBER(SEARCH(Query!$B$10,'Compliance Database'!$D213&amp;" "&amp;'Compliance Database'!$L213&amp;" "&amp;'Compliance Database'!$M213&amp;" "&amp;'Compliance Database'!$N213&amp;" "&amp;'Compliance Database'!$O213)))),1,0)</f>
        <v/>
      </c>
      <c r="B213">
        <f>IF($A213=1,SUM($A$2:$A213),"")</f>
        <v/>
      </c>
      <c r="C213">
        <f>IF($A213=1,SUM($A$2:$A213),0)</f>
        <v/>
      </c>
    </row>
    <row r="214">
      <c r="A214">
        <f>IF(AND(OR(Query!$B$4="All",'Compliance Database'!$A214=Query!$B$4),OR(Query!$B$5="All",'Compliance Database'!$F214=Query!$B$5),OR(Query!$B$6="All",ISNUMBER(SEARCH(Query!$B$6,'Compliance Database'!$I214))),OR(Query!$B$7="All",ISNUMBER(SEARCH(Query!$B$7,'Compliance Database'!$J214))),OR(Query!$B$8="All",'Compliance Database'!$G214=Query!$B$8),OR(Query!$B$9="All",'Compliance Database'!$K214=Query!$B$9),OR(Query!$B$10="",ISNUMBER(SEARCH(Query!$B$10,'Compliance Database'!$D214&amp;" "&amp;'Compliance Database'!$L214&amp;" "&amp;'Compliance Database'!$M214&amp;" "&amp;'Compliance Database'!$N214&amp;" "&amp;'Compliance Database'!$O214)))),1,0)</f>
        <v/>
      </c>
      <c r="B214">
        <f>IF($A214=1,SUM($A$2:$A214),"")</f>
        <v/>
      </c>
      <c r="C214">
        <f>IF($A214=1,SUM($A$2:$A214),0)</f>
        <v/>
      </c>
    </row>
    <row r="215">
      <c r="A215">
        <f>IF(AND(OR(Query!$B$4="All",'Compliance Database'!$A215=Query!$B$4),OR(Query!$B$5="All",'Compliance Database'!$F215=Query!$B$5),OR(Query!$B$6="All",ISNUMBER(SEARCH(Query!$B$6,'Compliance Database'!$I215))),OR(Query!$B$7="All",ISNUMBER(SEARCH(Query!$B$7,'Compliance Database'!$J215))),OR(Query!$B$8="All",'Compliance Database'!$G215=Query!$B$8),OR(Query!$B$9="All",'Compliance Database'!$K215=Query!$B$9),OR(Query!$B$10="",ISNUMBER(SEARCH(Query!$B$10,'Compliance Database'!$D215&amp;" "&amp;'Compliance Database'!$L215&amp;" "&amp;'Compliance Database'!$M215&amp;" "&amp;'Compliance Database'!$N215&amp;" "&amp;'Compliance Database'!$O215)))),1,0)</f>
        <v/>
      </c>
      <c r="B215">
        <f>IF($A215=1,SUM($A$2:$A215),"")</f>
        <v/>
      </c>
      <c r="C215">
        <f>IF($A215=1,SUM($A$2:$A215),0)</f>
        <v/>
      </c>
    </row>
    <row r="216">
      <c r="A216">
        <f>IF(AND(OR(Query!$B$4="All",'Compliance Database'!$A216=Query!$B$4),OR(Query!$B$5="All",'Compliance Database'!$F216=Query!$B$5),OR(Query!$B$6="All",ISNUMBER(SEARCH(Query!$B$6,'Compliance Database'!$I216))),OR(Query!$B$7="All",ISNUMBER(SEARCH(Query!$B$7,'Compliance Database'!$J216))),OR(Query!$B$8="All",'Compliance Database'!$G216=Query!$B$8),OR(Query!$B$9="All",'Compliance Database'!$K216=Query!$B$9),OR(Query!$B$10="",ISNUMBER(SEARCH(Query!$B$10,'Compliance Database'!$D216&amp;" "&amp;'Compliance Database'!$L216&amp;" "&amp;'Compliance Database'!$M216&amp;" "&amp;'Compliance Database'!$N216&amp;" "&amp;'Compliance Database'!$O216)))),1,0)</f>
        <v/>
      </c>
      <c r="B216">
        <f>IF($A216=1,SUM($A$2:$A216),"")</f>
        <v/>
      </c>
      <c r="C216">
        <f>IF($A216=1,SUM($A$2:$A216),0)</f>
        <v/>
      </c>
    </row>
    <row r="217">
      <c r="A217">
        <f>IF(AND(OR(Query!$B$4="All",'Compliance Database'!$A217=Query!$B$4),OR(Query!$B$5="All",'Compliance Database'!$F217=Query!$B$5),OR(Query!$B$6="All",ISNUMBER(SEARCH(Query!$B$6,'Compliance Database'!$I217))),OR(Query!$B$7="All",ISNUMBER(SEARCH(Query!$B$7,'Compliance Database'!$J217))),OR(Query!$B$8="All",'Compliance Database'!$G217=Query!$B$8),OR(Query!$B$9="All",'Compliance Database'!$K217=Query!$B$9),OR(Query!$B$10="",ISNUMBER(SEARCH(Query!$B$10,'Compliance Database'!$D217&amp;" "&amp;'Compliance Database'!$L217&amp;" "&amp;'Compliance Database'!$M217&amp;" "&amp;'Compliance Database'!$N217&amp;" "&amp;'Compliance Database'!$O217)))),1,0)</f>
        <v/>
      </c>
      <c r="B217">
        <f>IF($A217=1,SUM($A$2:$A217),"")</f>
        <v/>
      </c>
      <c r="C217">
        <f>IF($A217=1,SUM($A$2:$A217),0)</f>
        <v/>
      </c>
    </row>
    <row r="218">
      <c r="A218">
        <f>IF(AND(OR(Query!$B$4="All",'Compliance Database'!$A218=Query!$B$4),OR(Query!$B$5="All",'Compliance Database'!$F218=Query!$B$5),OR(Query!$B$6="All",ISNUMBER(SEARCH(Query!$B$6,'Compliance Database'!$I218))),OR(Query!$B$7="All",ISNUMBER(SEARCH(Query!$B$7,'Compliance Database'!$J218))),OR(Query!$B$8="All",'Compliance Database'!$G218=Query!$B$8),OR(Query!$B$9="All",'Compliance Database'!$K218=Query!$B$9),OR(Query!$B$10="",ISNUMBER(SEARCH(Query!$B$10,'Compliance Database'!$D218&amp;" "&amp;'Compliance Database'!$L218&amp;" "&amp;'Compliance Database'!$M218&amp;" "&amp;'Compliance Database'!$N218&amp;" "&amp;'Compliance Database'!$O218)))),1,0)</f>
        <v/>
      </c>
      <c r="B218">
        <f>IF($A218=1,SUM($A$2:$A218),"")</f>
        <v/>
      </c>
      <c r="C218">
        <f>IF($A218=1,SUM($A$2:$A218),0)</f>
        <v/>
      </c>
    </row>
    <row r="219">
      <c r="A219">
        <f>IF(AND(OR(Query!$B$4="All",'Compliance Database'!$A219=Query!$B$4),OR(Query!$B$5="All",'Compliance Database'!$F219=Query!$B$5),OR(Query!$B$6="All",ISNUMBER(SEARCH(Query!$B$6,'Compliance Database'!$I219))),OR(Query!$B$7="All",ISNUMBER(SEARCH(Query!$B$7,'Compliance Database'!$J219))),OR(Query!$B$8="All",'Compliance Database'!$G219=Query!$B$8),OR(Query!$B$9="All",'Compliance Database'!$K219=Query!$B$9),OR(Query!$B$10="",ISNUMBER(SEARCH(Query!$B$10,'Compliance Database'!$D219&amp;" "&amp;'Compliance Database'!$L219&amp;" "&amp;'Compliance Database'!$M219&amp;" "&amp;'Compliance Database'!$N219&amp;" "&amp;'Compliance Database'!$O219)))),1,0)</f>
        <v/>
      </c>
      <c r="B219">
        <f>IF($A219=1,SUM($A$2:$A219),"")</f>
        <v/>
      </c>
      <c r="C219">
        <f>IF($A219=1,SUM($A$2:$A219),0)</f>
        <v/>
      </c>
    </row>
    <row r="220">
      <c r="A220">
        <f>IF(AND(OR(Query!$B$4="All",'Compliance Database'!$A220=Query!$B$4),OR(Query!$B$5="All",'Compliance Database'!$F220=Query!$B$5),OR(Query!$B$6="All",ISNUMBER(SEARCH(Query!$B$6,'Compliance Database'!$I220))),OR(Query!$B$7="All",ISNUMBER(SEARCH(Query!$B$7,'Compliance Database'!$J220))),OR(Query!$B$8="All",'Compliance Database'!$G220=Query!$B$8),OR(Query!$B$9="All",'Compliance Database'!$K220=Query!$B$9),OR(Query!$B$10="",ISNUMBER(SEARCH(Query!$B$10,'Compliance Database'!$D220&amp;" "&amp;'Compliance Database'!$L220&amp;" "&amp;'Compliance Database'!$M220&amp;" "&amp;'Compliance Database'!$N220&amp;" "&amp;'Compliance Database'!$O220)))),1,0)</f>
        <v/>
      </c>
      <c r="B220">
        <f>IF($A220=1,SUM($A$2:$A220),"")</f>
        <v/>
      </c>
      <c r="C220">
        <f>IF($A220=1,SUM($A$2:$A220),0)</f>
        <v/>
      </c>
    </row>
    <row r="221">
      <c r="A221">
        <f>IF(AND(OR(Query!$B$4="All",'Compliance Database'!$A221=Query!$B$4),OR(Query!$B$5="All",'Compliance Database'!$F221=Query!$B$5),OR(Query!$B$6="All",ISNUMBER(SEARCH(Query!$B$6,'Compliance Database'!$I221))),OR(Query!$B$7="All",ISNUMBER(SEARCH(Query!$B$7,'Compliance Database'!$J221))),OR(Query!$B$8="All",'Compliance Database'!$G221=Query!$B$8),OR(Query!$B$9="All",'Compliance Database'!$K221=Query!$B$9),OR(Query!$B$10="",ISNUMBER(SEARCH(Query!$B$10,'Compliance Database'!$D221&amp;" "&amp;'Compliance Database'!$L221&amp;" "&amp;'Compliance Database'!$M221&amp;" "&amp;'Compliance Database'!$N221&amp;" "&amp;'Compliance Database'!$O221)))),1,0)</f>
        <v/>
      </c>
      <c r="B221">
        <f>IF($A221=1,SUM($A$2:$A221),"")</f>
        <v/>
      </c>
      <c r="C221">
        <f>IF($A221=1,SUM($A$2:$A221),0)</f>
        <v/>
      </c>
    </row>
    <row r="222">
      <c r="A222">
        <f>IF(AND(OR(Query!$B$4="All",'Compliance Database'!$A222=Query!$B$4),OR(Query!$B$5="All",'Compliance Database'!$F222=Query!$B$5),OR(Query!$B$6="All",ISNUMBER(SEARCH(Query!$B$6,'Compliance Database'!$I222))),OR(Query!$B$7="All",ISNUMBER(SEARCH(Query!$B$7,'Compliance Database'!$J222))),OR(Query!$B$8="All",'Compliance Database'!$G222=Query!$B$8),OR(Query!$B$9="All",'Compliance Database'!$K222=Query!$B$9),OR(Query!$B$10="",ISNUMBER(SEARCH(Query!$B$10,'Compliance Database'!$D222&amp;" "&amp;'Compliance Database'!$L222&amp;" "&amp;'Compliance Database'!$M222&amp;" "&amp;'Compliance Database'!$N222&amp;" "&amp;'Compliance Database'!$O222)))),1,0)</f>
        <v/>
      </c>
      <c r="B222">
        <f>IF($A222=1,SUM($A$2:$A222),"")</f>
        <v/>
      </c>
      <c r="C222">
        <f>IF($A222=1,SUM($A$2:$A222),0)</f>
        <v/>
      </c>
    </row>
    <row r="223">
      <c r="A223">
        <f>IF(AND(OR(Query!$B$4="All",'Compliance Database'!$A223=Query!$B$4),OR(Query!$B$5="All",'Compliance Database'!$F223=Query!$B$5),OR(Query!$B$6="All",ISNUMBER(SEARCH(Query!$B$6,'Compliance Database'!$I223))),OR(Query!$B$7="All",ISNUMBER(SEARCH(Query!$B$7,'Compliance Database'!$J223))),OR(Query!$B$8="All",'Compliance Database'!$G223=Query!$B$8),OR(Query!$B$9="All",'Compliance Database'!$K223=Query!$B$9),OR(Query!$B$10="",ISNUMBER(SEARCH(Query!$B$10,'Compliance Database'!$D223&amp;" "&amp;'Compliance Database'!$L223&amp;" "&amp;'Compliance Database'!$M223&amp;" "&amp;'Compliance Database'!$N223&amp;" "&amp;'Compliance Database'!$O223)))),1,0)</f>
        <v/>
      </c>
      <c r="B223">
        <f>IF($A223=1,SUM($A$2:$A223),"")</f>
        <v/>
      </c>
      <c r="C223">
        <f>IF($A223=1,SUM($A$2:$A223),0)</f>
        <v/>
      </c>
    </row>
    <row r="224">
      <c r="A224">
        <f>IF(AND(OR(Query!$B$4="All",'Compliance Database'!$A224=Query!$B$4),OR(Query!$B$5="All",'Compliance Database'!$F224=Query!$B$5),OR(Query!$B$6="All",ISNUMBER(SEARCH(Query!$B$6,'Compliance Database'!$I224))),OR(Query!$B$7="All",ISNUMBER(SEARCH(Query!$B$7,'Compliance Database'!$J224))),OR(Query!$B$8="All",'Compliance Database'!$G224=Query!$B$8),OR(Query!$B$9="All",'Compliance Database'!$K224=Query!$B$9),OR(Query!$B$10="",ISNUMBER(SEARCH(Query!$B$10,'Compliance Database'!$D224&amp;" "&amp;'Compliance Database'!$L224&amp;" "&amp;'Compliance Database'!$M224&amp;" "&amp;'Compliance Database'!$N224&amp;" "&amp;'Compliance Database'!$O224)))),1,0)</f>
        <v/>
      </c>
      <c r="B224">
        <f>IF($A224=1,SUM($A$2:$A224),"")</f>
        <v/>
      </c>
      <c r="C224">
        <f>IF($A224=1,SUM($A$2:$A224),0)</f>
        <v/>
      </c>
    </row>
    <row r="225">
      <c r="A225">
        <f>IF(AND(OR(Query!$B$4="All",'Compliance Database'!$A225=Query!$B$4),OR(Query!$B$5="All",'Compliance Database'!$F225=Query!$B$5),OR(Query!$B$6="All",ISNUMBER(SEARCH(Query!$B$6,'Compliance Database'!$I225))),OR(Query!$B$7="All",ISNUMBER(SEARCH(Query!$B$7,'Compliance Database'!$J225))),OR(Query!$B$8="All",'Compliance Database'!$G225=Query!$B$8),OR(Query!$B$9="All",'Compliance Database'!$K225=Query!$B$9),OR(Query!$B$10="",ISNUMBER(SEARCH(Query!$B$10,'Compliance Database'!$D225&amp;" "&amp;'Compliance Database'!$L225&amp;" "&amp;'Compliance Database'!$M225&amp;" "&amp;'Compliance Database'!$N225&amp;" "&amp;'Compliance Database'!$O225)))),1,0)</f>
        <v/>
      </c>
      <c r="B225">
        <f>IF($A225=1,SUM($A$2:$A225),"")</f>
        <v/>
      </c>
      <c r="C225">
        <f>IF($A225=1,SUM($A$2:$A225),0)</f>
        <v/>
      </c>
    </row>
    <row r="226">
      <c r="A226">
        <f>IF(AND(OR(Query!$B$4="All",'Compliance Database'!$A226=Query!$B$4),OR(Query!$B$5="All",'Compliance Database'!$F226=Query!$B$5),OR(Query!$B$6="All",ISNUMBER(SEARCH(Query!$B$6,'Compliance Database'!$I226))),OR(Query!$B$7="All",ISNUMBER(SEARCH(Query!$B$7,'Compliance Database'!$J226))),OR(Query!$B$8="All",'Compliance Database'!$G226=Query!$B$8),OR(Query!$B$9="All",'Compliance Database'!$K226=Query!$B$9),OR(Query!$B$10="",ISNUMBER(SEARCH(Query!$B$10,'Compliance Database'!$D226&amp;" "&amp;'Compliance Database'!$L226&amp;" "&amp;'Compliance Database'!$M226&amp;" "&amp;'Compliance Database'!$N226&amp;" "&amp;'Compliance Database'!$O226)))),1,0)</f>
        <v/>
      </c>
      <c r="B226">
        <f>IF($A226=1,SUM($A$2:$A226),"")</f>
        <v/>
      </c>
      <c r="C226">
        <f>IF($A226=1,SUM($A$2:$A226),0)</f>
        <v/>
      </c>
    </row>
    <row r="227">
      <c r="A227">
        <f>IF(AND(OR(Query!$B$4="All",'Compliance Database'!$A227=Query!$B$4),OR(Query!$B$5="All",'Compliance Database'!$F227=Query!$B$5),OR(Query!$B$6="All",ISNUMBER(SEARCH(Query!$B$6,'Compliance Database'!$I227))),OR(Query!$B$7="All",ISNUMBER(SEARCH(Query!$B$7,'Compliance Database'!$J227))),OR(Query!$B$8="All",'Compliance Database'!$G227=Query!$B$8),OR(Query!$B$9="All",'Compliance Database'!$K227=Query!$B$9),OR(Query!$B$10="",ISNUMBER(SEARCH(Query!$B$10,'Compliance Database'!$D227&amp;" "&amp;'Compliance Database'!$L227&amp;" "&amp;'Compliance Database'!$M227&amp;" "&amp;'Compliance Database'!$N227&amp;" "&amp;'Compliance Database'!$O227)))),1,0)</f>
        <v/>
      </c>
      <c r="B227">
        <f>IF($A227=1,SUM($A$2:$A227),"")</f>
        <v/>
      </c>
      <c r="C227">
        <f>IF($A227=1,SUM($A$2:$A227),0)</f>
        <v/>
      </c>
    </row>
    <row r="228">
      <c r="A228">
        <f>IF(AND(OR(Query!$B$4="All",'Compliance Database'!$A228=Query!$B$4),OR(Query!$B$5="All",'Compliance Database'!$F228=Query!$B$5),OR(Query!$B$6="All",ISNUMBER(SEARCH(Query!$B$6,'Compliance Database'!$I228))),OR(Query!$B$7="All",ISNUMBER(SEARCH(Query!$B$7,'Compliance Database'!$J228))),OR(Query!$B$8="All",'Compliance Database'!$G228=Query!$B$8),OR(Query!$B$9="All",'Compliance Database'!$K228=Query!$B$9),OR(Query!$B$10="",ISNUMBER(SEARCH(Query!$B$10,'Compliance Database'!$D228&amp;" "&amp;'Compliance Database'!$L228&amp;" "&amp;'Compliance Database'!$M228&amp;" "&amp;'Compliance Database'!$N228&amp;" "&amp;'Compliance Database'!$O228)))),1,0)</f>
        <v/>
      </c>
      <c r="B228">
        <f>IF($A228=1,SUM($A$2:$A228),"")</f>
        <v/>
      </c>
      <c r="C228">
        <f>IF($A228=1,SUM($A$2:$A228),0)</f>
        <v/>
      </c>
    </row>
    <row r="229">
      <c r="A229">
        <f>IF(AND(OR(Query!$B$4="All",'Compliance Database'!$A229=Query!$B$4),OR(Query!$B$5="All",'Compliance Database'!$F229=Query!$B$5),OR(Query!$B$6="All",ISNUMBER(SEARCH(Query!$B$6,'Compliance Database'!$I229))),OR(Query!$B$7="All",ISNUMBER(SEARCH(Query!$B$7,'Compliance Database'!$J229))),OR(Query!$B$8="All",'Compliance Database'!$G229=Query!$B$8),OR(Query!$B$9="All",'Compliance Database'!$K229=Query!$B$9),OR(Query!$B$10="",ISNUMBER(SEARCH(Query!$B$10,'Compliance Database'!$D229&amp;" "&amp;'Compliance Database'!$L229&amp;" "&amp;'Compliance Database'!$M229&amp;" "&amp;'Compliance Database'!$N229&amp;" "&amp;'Compliance Database'!$O229)))),1,0)</f>
        <v/>
      </c>
      <c r="B229">
        <f>IF($A229=1,SUM($A$2:$A229),"")</f>
        <v/>
      </c>
      <c r="C229">
        <f>IF($A229=1,SUM($A$2:$A229),0)</f>
        <v/>
      </c>
    </row>
    <row r="230">
      <c r="A230">
        <f>IF(AND(OR(Query!$B$4="All",'Compliance Database'!$A230=Query!$B$4),OR(Query!$B$5="All",'Compliance Database'!$F230=Query!$B$5),OR(Query!$B$6="All",ISNUMBER(SEARCH(Query!$B$6,'Compliance Database'!$I230))),OR(Query!$B$7="All",ISNUMBER(SEARCH(Query!$B$7,'Compliance Database'!$J230))),OR(Query!$B$8="All",'Compliance Database'!$G230=Query!$B$8),OR(Query!$B$9="All",'Compliance Database'!$K230=Query!$B$9),OR(Query!$B$10="",ISNUMBER(SEARCH(Query!$B$10,'Compliance Database'!$D230&amp;" "&amp;'Compliance Database'!$L230&amp;" "&amp;'Compliance Database'!$M230&amp;" "&amp;'Compliance Database'!$N230&amp;" "&amp;'Compliance Database'!$O230)))),1,0)</f>
        <v/>
      </c>
      <c r="B230">
        <f>IF($A230=1,SUM($A$2:$A230),"")</f>
        <v/>
      </c>
      <c r="C230">
        <f>IF($A230=1,SUM($A$2:$A230),0)</f>
        <v/>
      </c>
    </row>
    <row r="231">
      <c r="A231">
        <f>IF(AND(OR(Query!$B$4="All",'Compliance Database'!$A231=Query!$B$4),OR(Query!$B$5="All",'Compliance Database'!$F231=Query!$B$5),OR(Query!$B$6="All",ISNUMBER(SEARCH(Query!$B$6,'Compliance Database'!$I231))),OR(Query!$B$7="All",ISNUMBER(SEARCH(Query!$B$7,'Compliance Database'!$J231))),OR(Query!$B$8="All",'Compliance Database'!$G231=Query!$B$8),OR(Query!$B$9="All",'Compliance Database'!$K231=Query!$B$9),OR(Query!$B$10="",ISNUMBER(SEARCH(Query!$B$10,'Compliance Database'!$D231&amp;" "&amp;'Compliance Database'!$L231&amp;" "&amp;'Compliance Database'!$M231&amp;" "&amp;'Compliance Database'!$N231&amp;" "&amp;'Compliance Database'!$O231)))),1,0)</f>
        <v/>
      </c>
      <c r="B231">
        <f>IF($A231=1,SUM($A$2:$A231),"")</f>
        <v/>
      </c>
      <c r="C231">
        <f>IF($A231=1,SUM($A$2:$A231),0)</f>
        <v/>
      </c>
    </row>
    <row r="232">
      <c r="A232">
        <f>IF(AND(OR(Query!$B$4="All",'Compliance Database'!$A232=Query!$B$4),OR(Query!$B$5="All",'Compliance Database'!$F232=Query!$B$5),OR(Query!$B$6="All",ISNUMBER(SEARCH(Query!$B$6,'Compliance Database'!$I232))),OR(Query!$B$7="All",ISNUMBER(SEARCH(Query!$B$7,'Compliance Database'!$J232))),OR(Query!$B$8="All",'Compliance Database'!$G232=Query!$B$8),OR(Query!$B$9="All",'Compliance Database'!$K232=Query!$B$9),OR(Query!$B$10="",ISNUMBER(SEARCH(Query!$B$10,'Compliance Database'!$D232&amp;" "&amp;'Compliance Database'!$L232&amp;" "&amp;'Compliance Database'!$M232&amp;" "&amp;'Compliance Database'!$N232&amp;" "&amp;'Compliance Database'!$O232)))),1,0)</f>
        <v/>
      </c>
      <c r="B232">
        <f>IF($A232=1,SUM($A$2:$A232),"")</f>
        <v/>
      </c>
      <c r="C232">
        <f>IF($A232=1,SUM($A$2:$A232),0)</f>
        <v/>
      </c>
    </row>
    <row r="233">
      <c r="A233">
        <f>IF(AND(OR(Query!$B$4="All",'Compliance Database'!$A233=Query!$B$4),OR(Query!$B$5="All",'Compliance Database'!$F233=Query!$B$5),OR(Query!$B$6="All",ISNUMBER(SEARCH(Query!$B$6,'Compliance Database'!$I233))),OR(Query!$B$7="All",ISNUMBER(SEARCH(Query!$B$7,'Compliance Database'!$J233))),OR(Query!$B$8="All",'Compliance Database'!$G233=Query!$B$8),OR(Query!$B$9="All",'Compliance Database'!$K233=Query!$B$9),OR(Query!$B$10="",ISNUMBER(SEARCH(Query!$B$10,'Compliance Database'!$D233&amp;" "&amp;'Compliance Database'!$L233&amp;" "&amp;'Compliance Database'!$M233&amp;" "&amp;'Compliance Database'!$N233&amp;" "&amp;'Compliance Database'!$O233)))),1,0)</f>
        <v/>
      </c>
      <c r="B233">
        <f>IF($A233=1,SUM($A$2:$A233),"")</f>
        <v/>
      </c>
      <c r="C233">
        <f>IF($A233=1,SUM($A$2:$A233),0)</f>
        <v/>
      </c>
    </row>
    <row r="234">
      <c r="A234">
        <f>IF(AND(OR(Query!$B$4="All",'Compliance Database'!$A234=Query!$B$4),OR(Query!$B$5="All",'Compliance Database'!$F234=Query!$B$5),OR(Query!$B$6="All",ISNUMBER(SEARCH(Query!$B$6,'Compliance Database'!$I234))),OR(Query!$B$7="All",ISNUMBER(SEARCH(Query!$B$7,'Compliance Database'!$J234))),OR(Query!$B$8="All",'Compliance Database'!$G234=Query!$B$8),OR(Query!$B$9="All",'Compliance Database'!$K234=Query!$B$9),OR(Query!$B$10="",ISNUMBER(SEARCH(Query!$B$10,'Compliance Database'!$D234&amp;" "&amp;'Compliance Database'!$L234&amp;" "&amp;'Compliance Database'!$M234&amp;" "&amp;'Compliance Database'!$N234&amp;" "&amp;'Compliance Database'!$O234)))),1,0)</f>
        <v/>
      </c>
      <c r="B234">
        <f>IF($A234=1,SUM($A$2:$A234),"")</f>
        <v/>
      </c>
      <c r="C234">
        <f>IF($A234=1,SUM($A$2:$A234),0)</f>
        <v/>
      </c>
    </row>
    <row r="235">
      <c r="A235">
        <f>IF(AND(OR(Query!$B$4="All",'Compliance Database'!$A235=Query!$B$4),OR(Query!$B$5="All",'Compliance Database'!$F235=Query!$B$5),OR(Query!$B$6="All",ISNUMBER(SEARCH(Query!$B$6,'Compliance Database'!$I235))),OR(Query!$B$7="All",ISNUMBER(SEARCH(Query!$B$7,'Compliance Database'!$J235))),OR(Query!$B$8="All",'Compliance Database'!$G235=Query!$B$8),OR(Query!$B$9="All",'Compliance Database'!$K235=Query!$B$9),OR(Query!$B$10="",ISNUMBER(SEARCH(Query!$B$10,'Compliance Database'!$D235&amp;" "&amp;'Compliance Database'!$L235&amp;" "&amp;'Compliance Database'!$M235&amp;" "&amp;'Compliance Database'!$N235&amp;" "&amp;'Compliance Database'!$O235)))),1,0)</f>
        <v/>
      </c>
      <c r="B235">
        <f>IF($A235=1,SUM($A$2:$A235),"")</f>
        <v/>
      </c>
      <c r="C235">
        <f>IF($A235=1,SUM($A$2:$A235),0)</f>
        <v/>
      </c>
    </row>
    <row r="236">
      <c r="A236">
        <f>IF(AND(OR(Query!$B$4="All",'Compliance Database'!$A236=Query!$B$4),OR(Query!$B$5="All",'Compliance Database'!$F236=Query!$B$5),OR(Query!$B$6="All",ISNUMBER(SEARCH(Query!$B$6,'Compliance Database'!$I236))),OR(Query!$B$7="All",ISNUMBER(SEARCH(Query!$B$7,'Compliance Database'!$J236))),OR(Query!$B$8="All",'Compliance Database'!$G236=Query!$B$8),OR(Query!$B$9="All",'Compliance Database'!$K236=Query!$B$9),OR(Query!$B$10="",ISNUMBER(SEARCH(Query!$B$10,'Compliance Database'!$D236&amp;" "&amp;'Compliance Database'!$L236&amp;" "&amp;'Compliance Database'!$M236&amp;" "&amp;'Compliance Database'!$N236&amp;" "&amp;'Compliance Database'!$O236)))),1,0)</f>
        <v/>
      </c>
      <c r="B236">
        <f>IF($A236=1,SUM($A$2:$A236),"")</f>
        <v/>
      </c>
      <c r="C236">
        <f>IF($A236=1,SUM($A$2:$A236),0)</f>
        <v/>
      </c>
    </row>
    <row r="237">
      <c r="A237">
        <f>IF(AND(OR(Query!$B$4="All",'Compliance Database'!$A237=Query!$B$4),OR(Query!$B$5="All",'Compliance Database'!$F237=Query!$B$5),OR(Query!$B$6="All",ISNUMBER(SEARCH(Query!$B$6,'Compliance Database'!$I237))),OR(Query!$B$7="All",ISNUMBER(SEARCH(Query!$B$7,'Compliance Database'!$J237))),OR(Query!$B$8="All",'Compliance Database'!$G237=Query!$B$8),OR(Query!$B$9="All",'Compliance Database'!$K237=Query!$B$9),OR(Query!$B$10="",ISNUMBER(SEARCH(Query!$B$10,'Compliance Database'!$D237&amp;" "&amp;'Compliance Database'!$L237&amp;" "&amp;'Compliance Database'!$M237&amp;" "&amp;'Compliance Database'!$N237&amp;" "&amp;'Compliance Database'!$O237)))),1,0)</f>
        <v/>
      </c>
      <c r="B237">
        <f>IF($A237=1,SUM($A$2:$A237),"")</f>
        <v/>
      </c>
      <c r="C237">
        <f>IF($A237=1,SUM($A$2:$A237),0)</f>
        <v/>
      </c>
    </row>
    <row r="238">
      <c r="A238">
        <f>IF(AND(OR(Query!$B$4="All",'Compliance Database'!$A238=Query!$B$4),OR(Query!$B$5="All",'Compliance Database'!$F238=Query!$B$5),OR(Query!$B$6="All",ISNUMBER(SEARCH(Query!$B$6,'Compliance Database'!$I238))),OR(Query!$B$7="All",ISNUMBER(SEARCH(Query!$B$7,'Compliance Database'!$J238))),OR(Query!$B$8="All",'Compliance Database'!$G238=Query!$B$8),OR(Query!$B$9="All",'Compliance Database'!$K238=Query!$B$9),OR(Query!$B$10="",ISNUMBER(SEARCH(Query!$B$10,'Compliance Database'!$D238&amp;" "&amp;'Compliance Database'!$L238&amp;" "&amp;'Compliance Database'!$M238&amp;" "&amp;'Compliance Database'!$N238&amp;" "&amp;'Compliance Database'!$O238)))),1,0)</f>
        <v/>
      </c>
      <c r="B238">
        <f>IF($A238=1,SUM($A$2:$A238),"")</f>
        <v/>
      </c>
      <c r="C238">
        <f>IF($A238=1,SUM($A$2:$A238),0)</f>
        <v/>
      </c>
    </row>
    <row r="239">
      <c r="A239">
        <f>IF(AND(OR(Query!$B$4="All",'Compliance Database'!$A239=Query!$B$4),OR(Query!$B$5="All",'Compliance Database'!$F239=Query!$B$5),OR(Query!$B$6="All",ISNUMBER(SEARCH(Query!$B$6,'Compliance Database'!$I239))),OR(Query!$B$7="All",ISNUMBER(SEARCH(Query!$B$7,'Compliance Database'!$J239))),OR(Query!$B$8="All",'Compliance Database'!$G239=Query!$B$8),OR(Query!$B$9="All",'Compliance Database'!$K239=Query!$B$9),OR(Query!$B$10="",ISNUMBER(SEARCH(Query!$B$10,'Compliance Database'!$D239&amp;" "&amp;'Compliance Database'!$L239&amp;" "&amp;'Compliance Database'!$M239&amp;" "&amp;'Compliance Database'!$N239&amp;" "&amp;'Compliance Database'!$O239)))),1,0)</f>
        <v/>
      </c>
      <c r="B239">
        <f>IF($A239=1,SUM($A$2:$A239),"")</f>
        <v/>
      </c>
      <c r="C239">
        <f>IF($A239=1,SUM($A$2:$A239),0)</f>
        <v/>
      </c>
    </row>
    <row r="240">
      <c r="A240">
        <f>IF(AND(OR(Query!$B$4="All",'Compliance Database'!$A240=Query!$B$4),OR(Query!$B$5="All",'Compliance Database'!$F240=Query!$B$5),OR(Query!$B$6="All",ISNUMBER(SEARCH(Query!$B$6,'Compliance Database'!$I240))),OR(Query!$B$7="All",ISNUMBER(SEARCH(Query!$B$7,'Compliance Database'!$J240))),OR(Query!$B$8="All",'Compliance Database'!$G240=Query!$B$8),OR(Query!$B$9="All",'Compliance Database'!$K240=Query!$B$9),OR(Query!$B$10="",ISNUMBER(SEARCH(Query!$B$10,'Compliance Database'!$D240&amp;" "&amp;'Compliance Database'!$L240&amp;" "&amp;'Compliance Database'!$M240&amp;" "&amp;'Compliance Database'!$N240&amp;" "&amp;'Compliance Database'!$O240)))),1,0)</f>
        <v/>
      </c>
      <c r="B240">
        <f>IF($A240=1,SUM($A$2:$A240),"")</f>
        <v/>
      </c>
      <c r="C240">
        <f>IF($A240=1,SUM($A$2:$A240),0)</f>
        <v/>
      </c>
    </row>
    <row r="241">
      <c r="A241">
        <f>IF(AND(OR(Query!$B$4="All",'Compliance Database'!$A241=Query!$B$4),OR(Query!$B$5="All",'Compliance Database'!$F241=Query!$B$5),OR(Query!$B$6="All",ISNUMBER(SEARCH(Query!$B$6,'Compliance Database'!$I241))),OR(Query!$B$7="All",ISNUMBER(SEARCH(Query!$B$7,'Compliance Database'!$J241))),OR(Query!$B$8="All",'Compliance Database'!$G241=Query!$B$8),OR(Query!$B$9="All",'Compliance Database'!$K241=Query!$B$9),OR(Query!$B$10="",ISNUMBER(SEARCH(Query!$B$10,'Compliance Database'!$D241&amp;" "&amp;'Compliance Database'!$L241&amp;" "&amp;'Compliance Database'!$M241&amp;" "&amp;'Compliance Database'!$N241&amp;" "&amp;'Compliance Database'!$O241)))),1,0)</f>
        <v/>
      </c>
      <c r="B241">
        <f>IF($A241=1,SUM($A$2:$A241),"")</f>
        <v/>
      </c>
      <c r="C241">
        <f>IF($A241=1,SUM($A$2:$A241),0)</f>
        <v/>
      </c>
    </row>
    <row r="242">
      <c r="A242">
        <f>IF(AND(OR(Query!$B$4="All",'Compliance Database'!$A242=Query!$B$4),OR(Query!$B$5="All",'Compliance Database'!$F242=Query!$B$5),OR(Query!$B$6="All",ISNUMBER(SEARCH(Query!$B$6,'Compliance Database'!$I242))),OR(Query!$B$7="All",ISNUMBER(SEARCH(Query!$B$7,'Compliance Database'!$J242))),OR(Query!$B$8="All",'Compliance Database'!$G242=Query!$B$8),OR(Query!$B$9="All",'Compliance Database'!$K242=Query!$B$9),OR(Query!$B$10="",ISNUMBER(SEARCH(Query!$B$10,'Compliance Database'!$D242&amp;" "&amp;'Compliance Database'!$L242&amp;" "&amp;'Compliance Database'!$M242&amp;" "&amp;'Compliance Database'!$N242&amp;" "&amp;'Compliance Database'!$O242)))),1,0)</f>
        <v/>
      </c>
      <c r="B242">
        <f>IF($A242=1,SUM($A$2:$A242),"")</f>
        <v/>
      </c>
      <c r="C242">
        <f>IF($A242=1,SUM($A$2:$A242),0)</f>
        <v/>
      </c>
    </row>
    <row r="243">
      <c r="A243">
        <f>IF(AND(OR(Query!$B$4="All",'Compliance Database'!$A243=Query!$B$4),OR(Query!$B$5="All",'Compliance Database'!$F243=Query!$B$5),OR(Query!$B$6="All",ISNUMBER(SEARCH(Query!$B$6,'Compliance Database'!$I243))),OR(Query!$B$7="All",ISNUMBER(SEARCH(Query!$B$7,'Compliance Database'!$J243))),OR(Query!$B$8="All",'Compliance Database'!$G243=Query!$B$8),OR(Query!$B$9="All",'Compliance Database'!$K243=Query!$B$9),OR(Query!$B$10="",ISNUMBER(SEARCH(Query!$B$10,'Compliance Database'!$D243&amp;" "&amp;'Compliance Database'!$L243&amp;" "&amp;'Compliance Database'!$M243&amp;" "&amp;'Compliance Database'!$N243&amp;" "&amp;'Compliance Database'!$O243)))),1,0)</f>
        <v/>
      </c>
      <c r="B243">
        <f>IF($A243=1,SUM($A$2:$A243),"")</f>
        <v/>
      </c>
      <c r="C243">
        <f>IF($A243=1,SUM($A$2:$A243),0)</f>
        <v/>
      </c>
    </row>
    <row r="244">
      <c r="A244">
        <f>IF(AND(OR(Query!$B$4="All",'Compliance Database'!$A244=Query!$B$4),OR(Query!$B$5="All",'Compliance Database'!$F244=Query!$B$5),OR(Query!$B$6="All",ISNUMBER(SEARCH(Query!$B$6,'Compliance Database'!$I244))),OR(Query!$B$7="All",ISNUMBER(SEARCH(Query!$B$7,'Compliance Database'!$J244))),OR(Query!$B$8="All",'Compliance Database'!$G244=Query!$B$8),OR(Query!$B$9="All",'Compliance Database'!$K244=Query!$B$9),OR(Query!$B$10="",ISNUMBER(SEARCH(Query!$B$10,'Compliance Database'!$D244&amp;" "&amp;'Compliance Database'!$L244&amp;" "&amp;'Compliance Database'!$M244&amp;" "&amp;'Compliance Database'!$N244&amp;" "&amp;'Compliance Database'!$O244)))),1,0)</f>
        <v/>
      </c>
      <c r="B244">
        <f>IF($A244=1,SUM($A$2:$A244),"")</f>
        <v/>
      </c>
      <c r="C244">
        <f>IF($A244=1,SUM($A$2:$A244),0)</f>
        <v/>
      </c>
    </row>
    <row r="245">
      <c r="A245">
        <f>IF(AND(OR(Query!$B$4="All",'Compliance Database'!$A245=Query!$B$4),OR(Query!$B$5="All",'Compliance Database'!$F245=Query!$B$5),OR(Query!$B$6="All",ISNUMBER(SEARCH(Query!$B$6,'Compliance Database'!$I245))),OR(Query!$B$7="All",ISNUMBER(SEARCH(Query!$B$7,'Compliance Database'!$J245))),OR(Query!$B$8="All",'Compliance Database'!$G245=Query!$B$8),OR(Query!$B$9="All",'Compliance Database'!$K245=Query!$B$9),OR(Query!$B$10="",ISNUMBER(SEARCH(Query!$B$10,'Compliance Database'!$D245&amp;" "&amp;'Compliance Database'!$L245&amp;" "&amp;'Compliance Database'!$M245&amp;" "&amp;'Compliance Database'!$N245&amp;" "&amp;'Compliance Database'!$O245)))),1,0)</f>
        <v/>
      </c>
      <c r="B245">
        <f>IF($A245=1,SUM($A$2:$A245),"")</f>
        <v/>
      </c>
      <c r="C245">
        <f>IF($A245=1,SUM($A$2:$A245),0)</f>
        <v/>
      </c>
    </row>
    <row r="246">
      <c r="A246">
        <f>IF(AND(OR(Query!$B$4="All",'Compliance Database'!$A246=Query!$B$4),OR(Query!$B$5="All",'Compliance Database'!$F246=Query!$B$5),OR(Query!$B$6="All",ISNUMBER(SEARCH(Query!$B$6,'Compliance Database'!$I246))),OR(Query!$B$7="All",ISNUMBER(SEARCH(Query!$B$7,'Compliance Database'!$J246))),OR(Query!$B$8="All",'Compliance Database'!$G246=Query!$B$8),OR(Query!$B$9="All",'Compliance Database'!$K246=Query!$B$9),OR(Query!$B$10="",ISNUMBER(SEARCH(Query!$B$10,'Compliance Database'!$D246&amp;" "&amp;'Compliance Database'!$L246&amp;" "&amp;'Compliance Database'!$M246&amp;" "&amp;'Compliance Database'!$N246&amp;" "&amp;'Compliance Database'!$O246)))),1,0)</f>
        <v/>
      </c>
      <c r="B246">
        <f>IF($A246=1,SUM($A$2:$A246),"")</f>
        <v/>
      </c>
      <c r="C246">
        <f>IF($A246=1,SUM($A$2:$A246),0)</f>
        <v/>
      </c>
    </row>
    <row r="247">
      <c r="A247">
        <f>IF(AND(OR(Query!$B$4="All",'Compliance Database'!$A247=Query!$B$4),OR(Query!$B$5="All",'Compliance Database'!$F247=Query!$B$5),OR(Query!$B$6="All",ISNUMBER(SEARCH(Query!$B$6,'Compliance Database'!$I247))),OR(Query!$B$7="All",ISNUMBER(SEARCH(Query!$B$7,'Compliance Database'!$J247))),OR(Query!$B$8="All",'Compliance Database'!$G247=Query!$B$8),OR(Query!$B$9="All",'Compliance Database'!$K247=Query!$B$9),OR(Query!$B$10="",ISNUMBER(SEARCH(Query!$B$10,'Compliance Database'!$D247&amp;" "&amp;'Compliance Database'!$L247&amp;" "&amp;'Compliance Database'!$M247&amp;" "&amp;'Compliance Database'!$N247&amp;" "&amp;'Compliance Database'!$O247)))),1,0)</f>
        <v/>
      </c>
      <c r="B247">
        <f>IF($A247=1,SUM($A$2:$A247),"")</f>
        <v/>
      </c>
      <c r="C247">
        <f>IF($A247=1,SUM($A$2:$A247),0)</f>
        <v/>
      </c>
    </row>
    <row r="248">
      <c r="A248">
        <f>IF(AND(OR(Query!$B$4="All",'Compliance Database'!$A248=Query!$B$4),OR(Query!$B$5="All",'Compliance Database'!$F248=Query!$B$5),OR(Query!$B$6="All",ISNUMBER(SEARCH(Query!$B$6,'Compliance Database'!$I248))),OR(Query!$B$7="All",ISNUMBER(SEARCH(Query!$B$7,'Compliance Database'!$J248))),OR(Query!$B$8="All",'Compliance Database'!$G248=Query!$B$8),OR(Query!$B$9="All",'Compliance Database'!$K248=Query!$B$9),OR(Query!$B$10="",ISNUMBER(SEARCH(Query!$B$10,'Compliance Database'!$D248&amp;" "&amp;'Compliance Database'!$L248&amp;" "&amp;'Compliance Database'!$M248&amp;" "&amp;'Compliance Database'!$N248&amp;" "&amp;'Compliance Database'!$O248)))),1,0)</f>
        <v/>
      </c>
      <c r="B248">
        <f>IF($A248=1,SUM($A$2:$A248),"")</f>
        <v/>
      </c>
      <c r="C248">
        <f>IF($A248=1,SUM($A$2:$A248),0)</f>
        <v/>
      </c>
    </row>
    <row r="249">
      <c r="A249">
        <f>IF(AND(OR(Query!$B$4="All",'Compliance Database'!$A249=Query!$B$4),OR(Query!$B$5="All",'Compliance Database'!$F249=Query!$B$5),OR(Query!$B$6="All",ISNUMBER(SEARCH(Query!$B$6,'Compliance Database'!$I249))),OR(Query!$B$7="All",ISNUMBER(SEARCH(Query!$B$7,'Compliance Database'!$J249))),OR(Query!$B$8="All",'Compliance Database'!$G249=Query!$B$8),OR(Query!$B$9="All",'Compliance Database'!$K249=Query!$B$9),OR(Query!$B$10="",ISNUMBER(SEARCH(Query!$B$10,'Compliance Database'!$D249&amp;" "&amp;'Compliance Database'!$L249&amp;" "&amp;'Compliance Database'!$M249&amp;" "&amp;'Compliance Database'!$N249&amp;" "&amp;'Compliance Database'!$O249)))),1,0)</f>
        <v/>
      </c>
      <c r="B249">
        <f>IF($A249=1,SUM($A$2:$A249),"")</f>
        <v/>
      </c>
      <c r="C249">
        <f>IF($A249=1,SUM($A$2:$A249),0)</f>
        <v/>
      </c>
    </row>
    <row r="250">
      <c r="A250">
        <f>IF(AND(OR(Query!$B$4="All",'Compliance Database'!$A250=Query!$B$4),OR(Query!$B$5="All",'Compliance Database'!$F250=Query!$B$5),OR(Query!$B$6="All",ISNUMBER(SEARCH(Query!$B$6,'Compliance Database'!$I250))),OR(Query!$B$7="All",ISNUMBER(SEARCH(Query!$B$7,'Compliance Database'!$J250))),OR(Query!$B$8="All",'Compliance Database'!$G250=Query!$B$8),OR(Query!$B$9="All",'Compliance Database'!$K250=Query!$B$9),OR(Query!$B$10="",ISNUMBER(SEARCH(Query!$B$10,'Compliance Database'!$D250&amp;" "&amp;'Compliance Database'!$L250&amp;" "&amp;'Compliance Database'!$M250&amp;" "&amp;'Compliance Database'!$N250&amp;" "&amp;'Compliance Database'!$O250)))),1,0)</f>
        <v/>
      </c>
      <c r="B250">
        <f>IF($A250=1,SUM($A$2:$A250),"")</f>
        <v/>
      </c>
      <c r="C250">
        <f>IF($A250=1,SUM($A$2:$A250),0)</f>
        <v/>
      </c>
    </row>
    <row r="251">
      <c r="A251">
        <f>IF(AND(OR(Query!$B$4="All",'Compliance Database'!$A251=Query!$B$4),OR(Query!$B$5="All",'Compliance Database'!$F251=Query!$B$5),OR(Query!$B$6="All",ISNUMBER(SEARCH(Query!$B$6,'Compliance Database'!$I251))),OR(Query!$B$7="All",ISNUMBER(SEARCH(Query!$B$7,'Compliance Database'!$J251))),OR(Query!$B$8="All",'Compliance Database'!$G251=Query!$B$8),OR(Query!$B$9="All",'Compliance Database'!$K251=Query!$B$9),OR(Query!$B$10="",ISNUMBER(SEARCH(Query!$B$10,'Compliance Database'!$D251&amp;" "&amp;'Compliance Database'!$L251&amp;" "&amp;'Compliance Database'!$M251&amp;" "&amp;'Compliance Database'!$N251&amp;" "&amp;'Compliance Database'!$O251)))),1,0)</f>
        <v/>
      </c>
      <c r="B251">
        <f>IF($A251=1,SUM($A$2:$A251),"")</f>
        <v/>
      </c>
      <c r="C251">
        <f>IF($A251=1,SUM($A$2:$A251),0)</f>
        <v/>
      </c>
    </row>
    <row r="252">
      <c r="A252">
        <f>IF(AND(OR(Query!$B$4="All",'Compliance Database'!$A252=Query!$B$4),OR(Query!$B$5="All",'Compliance Database'!$F252=Query!$B$5),OR(Query!$B$6="All",ISNUMBER(SEARCH(Query!$B$6,'Compliance Database'!$I252))),OR(Query!$B$7="All",ISNUMBER(SEARCH(Query!$B$7,'Compliance Database'!$J252))),OR(Query!$B$8="All",'Compliance Database'!$G252=Query!$B$8),OR(Query!$B$9="All",'Compliance Database'!$K252=Query!$B$9),OR(Query!$B$10="",ISNUMBER(SEARCH(Query!$B$10,'Compliance Database'!$D252&amp;" "&amp;'Compliance Database'!$L252&amp;" "&amp;'Compliance Database'!$M252&amp;" "&amp;'Compliance Database'!$N252&amp;" "&amp;'Compliance Database'!$O252)))),1,0)</f>
        <v/>
      </c>
      <c r="B252">
        <f>IF($A252=1,SUM($A$2:$A252),"")</f>
        <v/>
      </c>
      <c r="C252">
        <f>IF($A252=1,SUM($A$2:$A252),0)</f>
        <v/>
      </c>
    </row>
    <row r="253">
      <c r="A253">
        <f>IF(AND(OR(Query!$B$4="All",'Compliance Database'!$A253=Query!$B$4),OR(Query!$B$5="All",'Compliance Database'!$F253=Query!$B$5),OR(Query!$B$6="All",ISNUMBER(SEARCH(Query!$B$6,'Compliance Database'!$I253))),OR(Query!$B$7="All",ISNUMBER(SEARCH(Query!$B$7,'Compliance Database'!$J253))),OR(Query!$B$8="All",'Compliance Database'!$G253=Query!$B$8),OR(Query!$B$9="All",'Compliance Database'!$K253=Query!$B$9),OR(Query!$B$10="",ISNUMBER(SEARCH(Query!$B$10,'Compliance Database'!$D253&amp;" "&amp;'Compliance Database'!$L253&amp;" "&amp;'Compliance Database'!$M253&amp;" "&amp;'Compliance Database'!$N253&amp;" "&amp;'Compliance Database'!$O253)))),1,0)</f>
        <v/>
      </c>
      <c r="B253">
        <f>IF($A253=1,SUM($A$2:$A253),"")</f>
        <v/>
      </c>
      <c r="C253">
        <f>IF($A253=1,SUM($A$2:$A253),0)</f>
        <v/>
      </c>
    </row>
    <row r="254">
      <c r="A254">
        <f>IF(AND(OR(Query!$B$4="All",'Compliance Database'!$A254=Query!$B$4),OR(Query!$B$5="All",'Compliance Database'!$F254=Query!$B$5),OR(Query!$B$6="All",ISNUMBER(SEARCH(Query!$B$6,'Compliance Database'!$I254))),OR(Query!$B$7="All",ISNUMBER(SEARCH(Query!$B$7,'Compliance Database'!$J254))),OR(Query!$B$8="All",'Compliance Database'!$G254=Query!$B$8),OR(Query!$B$9="All",'Compliance Database'!$K254=Query!$B$9),OR(Query!$B$10="",ISNUMBER(SEARCH(Query!$B$10,'Compliance Database'!$D254&amp;" "&amp;'Compliance Database'!$L254&amp;" "&amp;'Compliance Database'!$M254&amp;" "&amp;'Compliance Database'!$N254&amp;" "&amp;'Compliance Database'!$O254)))),1,0)</f>
        <v/>
      </c>
      <c r="B254">
        <f>IF($A254=1,SUM($A$2:$A254),"")</f>
        <v/>
      </c>
      <c r="C254">
        <f>IF($A254=1,SUM($A$2:$A254),0)</f>
        <v/>
      </c>
    </row>
    <row r="255">
      <c r="A255">
        <f>IF(AND(OR(Query!$B$4="All",'Compliance Database'!$A255=Query!$B$4),OR(Query!$B$5="All",'Compliance Database'!$F255=Query!$B$5),OR(Query!$B$6="All",ISNUMBER(SEARCH(Query!$B$6,'Compliance Database'!$I255))),OR(Query!$B$7="All",ISNUMBER(SEARCH(Query!$B$7,'Compliance Database'!$J255))),OR(Query!$B$8="All",'Compliance Database'!$G255=Query!$B$8),OR(Query!$B$9="All",'Compliance Database'!$K255=Query!$B$9),OR(Query!$B$10="",ISNUMBER(SEARCH(Query!$B$10,'Compliance Database'!$D255&amp;" "&amp;'Compliance Database'!$L255&amp;" "&amp;'Compliance Database'!$M255&amp;" "&amp;'Compliance Database'!$N255&amp;" "&amp;'Compliance Database'!$O255)))),1,0)</f>
        <v/>
      </c>
      <c r="B255">
        <f>IF($A255=1,SUM($A$2:$A255),"")</f>
        <v/>
      </c>
      <c r="C255">
        <f>IF($A255=1,SUM($A$2:$A255),0)</f>
        <v/>
      </c>
    </row>
    <row r="256">
      <c r="A256">
        <f>IF(AND(OR(Query!$B$4="All",'Compliance Database'!$A256=Query!$B$4),OR(Query!$B$5="All",'Compliance Database'!$F256=Query!$B$5),OR(Query!$B$6="All",ISNUMBER(SEARCH(Query!$B$6,'Compliance Database'!$I256))),OR(Query!$B$7="All",ISNUMBER(SEARCH(Query!$B$7,'Compliance Database'!$J256))),OR(Query!$B$8="All",'Compliance Database'!$G256=Query!$B$8),OR(Query!$B$9="All",'Compliance Database'!$K256=Query!$B$9),OR(Query!$B$10="",ISNUMBER(SEARCH(Query!$B$10,'Compliance Database'!$D256&amp;" "&amp;'Compliance Database'!$L256&amp;" "&amp;'Compliance Database'!$M256&amp;" "&amp;'Compliance Database'!$N256&amp;" "&amp;'Compliance Database'!$O256)))),1,0)</f>
        <v/>
      </c>
      <c r="B256">
        <f>IF($A256=1,SUM($A$2:$A256),"")</f>
        <v/>
      </c>
      <c r="C256">
        <f>IF($A256=1,SUM($A$2:$A256),0)</f>
        <v/>
      </c>
    </row>
    <row r="257">
      <c r="A257">
        <f>IF(AND(OR(Query!$B$4="All",'Compliance Database'!$A257=Query!$B$4),OR(Query!$B$5="All",'Compliance Database'!$F257=Query!$B$5),OR(Query!$B$6="All",ISNUMBER(SEARCH(Query!$B$6,'Compliance Database'!$I257))),OR(Query!$B$7="All",ISNUMBER(SEARCH(Query!$B$7,'Compliance Database'!$J257))),OR(Query!$B$8="All",'Compliance Database'!$G257=Query!$B$8),OR(Query!$B$9="All",'Compliance Database'!$K257=Query!$B$9),OR(Query!$B$10="",ISNUMBER(SEARCH(Query!$B$10,'Compliance Database'!$D257&amp;" "&amp;'Compliance Database'!$L257&amp;" "&amp;'Compliance Database'!$M257&amp;" "&amp;'Compliance Database'!$N257&amp;" "&amp;'Compliance Database'!$O257)))),1,0)</f>
        <v/>
      </c>
      <c r="B257">
        <f>IF($A257=1,SUM($A$2:$A257),"")</f>
        <v/>
      </c>
      <c r="C257">
        <f>IF($A257=1,SUM($A$2:$A257),0)</f>
        <v/>
      </c>
    </row>
    <row r="258">
      <c r="A258">
        <f>IF(AND(OR(Query!$B$4="All",'Compliance Database'!$A258=Query!$B$4),OR(Query!$B$5="All",'Compliance Database'!$F258=Query!$B$5),OR(Query!$B$6="All",ISNUMBER(SEARCH(Query!$B$6,'Compliance Database'!$I258))),OR(Query!$B$7="All",ISNUMBER(SEARCH(Query!$B$7,'Compliance Database'!$J258))),OR(Query!$B$8="All",'Compliance Database'!$G258=Query!$B$8),OR(Query!$B$9="All",'Compliance Database'!$K258=Query!$B$9),OR(Query!$B$10="",ISNUMBER(SEARCH(Query!$B$10,'Compliance Database'!$D258&amp;" "&amp;'Compliance Database'!$L258&amp;" "&amp;'Compliance Database'!$M258&amp;" "&amp;'Compliance Database'!$N258&amp;" "&amp;'Compliance Database'!$O258)))),1,0)</f>
        <v/>
      </c>
      <c r="B258">
        <f>IF($A258=1,SUM($A$2:$A258),"")</f>
        <v/>
      </c>
      <c r="C258">
        <f>IF($A258=1,SUM($A$2:$A258),0)</f>
        <v/>
      </c>
    </row>
    <row r="259">
      <c r="A259">
        <f>IF(AND(OR(Query!$B$4="All",'Compliance Database'!$A259=Query!$B$4),OR(Query!$B$5="All",'Compliance Database'!$F259=Query!$B$5),OR(Query!$B$6="All",ISNUMBER(SEARCH(Query!$B$6,'Compliance Database'!$I259))),OR(Query!$B$7="All",ISNUMBER(SEARCH(Query!$B$7,'Compliance Database'!$J259))),OR(Query!$B$8="All",'Compliance Database'!$G259=Query!$B$8),OR(Query!$B$9="All",'Compliance Database'!$K259=Query!$B$9),OR(Query!$B$10="",ISNUMBER(SEARCH(Query!$B$10,'Compliance Database'!$D259&amp;" "&amp;'Compliance Database'!$L259&amp;" "&amp;'Compliance Database'!$M259&amp;" "&amp;'Compliance Database'!$N259&amp;" "&amp;'Compliance Database'!$O259)))),1,0)</f>
        <v/>
      </c>
      <c r="B259">
        <f>IF($A259=1,SUM($A$2:$A259),"")</f>
        <v/>
      </c>
      <c r="C259">
        <f>IF($A259=1,SUM($A$2:$A259),0)</f>
        <v/>
      </c>
    </row>
    <row r="260">
      <c r="A260">
        <f>IF(AND(OR(Query!$B$4="All",'Compliance Database'!$A260=Query!$B$4),OR(Query!$B$5="All",'Compliance Database'!$F260=Query!$B$5),OR(Query!$B$6="All",ISNUMBER(SEARCH(Query!$B$6,'Compliance Database'!$I260))),OR(Query!$B$7="All",ISNUMBER(SEARCH(Query!$B$7,'Compliance Database'!$J260))),OR(Query!$B$8="All",'Compliance Database'!$G260=Query!$B$8),OR(Query!$B$9="All",'Compliance Database'!$K260=Query!$B$9),OR(Query!$B$10="",ISNUMBER(SEARCH(Query!$B$10,'Compliance Database'!$D260&amp;" "&amp;'Compliance Database'!$L260&amp;" "&amp;'Compliance Database'!$M260&amp;" "&amp;'Compliance Database'!$N260&amp;" "&amp;'Compliance Database'!$O260)))),1,0)</f>
        <v/>
      </c>
      <c r="B260">
        <f>IF($A260=1,SUM($A$2:$A260),"")</f>
        <v/>
      </c>
      <c r="C260">
        <f>IF($A260=1,SUM($A$2:$A260),0)</f>
        <v/>
      </c>
    </row>
    <row r="261">
      <c r="A261">
        <f>IF(AND(OR(Query!$B$4="All",'Compliance Database'!$A261=Query!$B$4),OR(Query!$B$5="All",'Compliance Database'!$F261=Query!$B$5),OR(Query!$B$6="All",ISNUMBER(SEARCH(Query!$B$6,'Compliance Database'!$I261))),OR(Query!$B$7="All",ISNUMBER(SEARCH(Query!$B$7,'Compliance Database'!$J261))),OR(Query!$B$8="All",'Compliance Database'!$G261=Query!$B$8),OR(Query!$B$9="All",'Compliance Database'!$K261=Query!$B$9),OR(Query!$B$10="",ISNUMBER(SEARCH(Query!$B$10,'Compliance Database'!$D261&amp;" "&amp;'Compliance Database'!$L261&amp;" "&amp;'Compliance Database'!$M261&amp;" "&amp;'Compliance Database'!$N261&amp;" "&amp;'Compliance Database'!$O261)))),1,0)</f>
        <v/>
      </c>
      <c r="B261">
        <f>IF($A261=1,SUM($A$2:$A261),"")</f>
        <v/>
      </c>
      <c r="C261">
        <f>IF($A261=1,SUM($A$2:$A261),0)</f>
        <v/>
      </c>
    </row>
    <row r="262">
      <c r="A262">
        <f>IF(AND(OR(Query!$B$4="All",'Compliance Database'!$A262=Query!$B$4),OR(Query!$B$5="All",'Compliance Database'!$F262=Query!$B$5),OR(Query!$B$6="All",ISNUMBER(SEARCH(Query!$B$6,'Compliance Database'!$I262))),OR(Query!$B$7="All",ISNUMBER(SEARCH(Query!$B$7,'Compliance Database'!$J262))),OR(Query!$B$8="All",'Compliance Database'!$G262=Query!$B$8),OR(Query!$B$9="All",'Compliance Database'!$K262=Query!$B$9),OR(Query!$B$10="",ISNUMBER(SEARCH(Query!$B$10,'Compliance Database'!$D262&amp;" "&amp;'Compliance Database'!$L262&amp;" "&amp;'Compliance Database'!$M262&amp;" "&amp;'Compliance Database'!$N262&amp;" "&amp;'Compliance Database'!$O262)))),1,0)</f>
        <v/>
      </c>
      <c r="B262">
        <f>IF($A262=1,SUM($A$2:$A262),"")</f>
        <v/>
      </c>
      <c r="C262">
        <f>IF($A262=1,SUM($A$2:$A262),0)</f>
        <v/>
      </c>
    </row>
    <row r="263">
      <c r="A263">
        <f>IF(AND(OR(Query!$B$4="All",'Compliance Database'!$A263=Query!$B$4),OR(Query!$B$5="All",'Compliance Database'!$F263=Query!$B$5),OR(Query!$B$6="All",ISNUMBER(SEARCH(Query!$B$6,'Compliance Database'!$I263))),OR(Query!$B$7="All",ISNUMBER(SEARCH(Query!$B$7,'Compliance Database'!$J263))),OR(Query!$B$8="All",'Compliance Database'!$G263=Query!$B$8),OR(Query!$B$9="All",'Compliance Database'!$K263=Query!$B$9),OR(Query!$B$10="",ISNUMBER(SEARCH(Query!$B$10,'Compliance Database'!$D263&amp;" "&amp;'Compliance Database'!$L263&amp;" "&amp;'Compliance Database'!$M263&amp;" "&amp;'Compliance Database'!$N263&amp;" "&amp;'Compliance Database'!$O263)))),1,0)</f>
        <v/>
      </c>
      <c r="B263">
        <f>IF($A263=1,SUM($A$2:$A263),"")</f>
        <v/>
      </c>
      <c r="C263">
        <f>IF($A263=1,SUM($A$2:$A263),0)</f>
        <v/>
      </c>
    </row>
    <row r="264">
      <c r="A264">
        <f>IF(AND(OR(Query!$B$4="All",'Compliance Database'!$A264=Query!$B$4),OR(Query!$B$5="All",'Compliance Database'!$F264=Query!$B$5),OR(Query!$B$6="All",ISNUMBER(SEARCH(Query!$B$6,'Compliance Database'!$I264))),OR(Query!$B$7="All",ISNUMBER(SEARCH(Query!$B$7,'Compliance Database'!$J264))),OR(Query!$B$8="All",'Compliance Database'!$G264=Query!$B$8),OR(Query!$B$9="All",'Compliance Database'!$K264=Query!$B$9),OR(Query!$B$10="",ISNUMBER(SEARCH(Query!$B$10,'Compliance Database'!$D264&amp;" "&amp;'Compliance Database'!$L264&amp;" "&amp;'Compliance Database'!$M264&amp;" "&amp;'Compliance Database'!$N264&amp;" "&amp;'Compliance Database'!$O264)))),1,0)</f>
        <v/>
      </c>
      <c r="B264">
        <f>IF($A264=1,SUM($A$2:$A264),"")</f>
        <v/>
      </c>
      <c r="C264">
        <f>IF($A264=1,SUM($A$2:$A264),0)</f>
        <v/>
      </c>
    </row>
    <row r="265">
      <c r="A265">
        <f>IF(AND(OR(Query!$B$4="All",'Compliance Database'!$A265=Query!$B$4),OR(Query!$B$5="All",'Compliance Database'!$F265=Query!$B$5),OR(Query!$B$6="All",ISNUMBER(SEARCH(Query!$B$6,'Compliance Database'!$I265))),OR(Query!$B$7="All",ISNUMBER(SEARCH(Query!$B$7,'Compliance Database'!$J265))),OR(Query!$B$8="All",'Compliance Database'!$G265=Query!$B$8),OR(Query!$B$9="All",'Compliance Database'!$K265=Query!$B$9),OR(Query!$B$10="",ISNUMBER(SEARCH(Query!$B$10,'Compliance Database'!$D265&amp;" "&amp;'Compliance Database'!$L265&amp;" "&amp;'Compliance Database'!$M265&amp;" "&amp;'Compliance Database'!$N265&amp;" "&amp;'Compliance Database'!$O265)))),1,0)</f>
        <v/>
      </c>
      <c r="B265">
        <f>IF($A265=1,SUM($A$2:$A265),"")</f>
        <v/>
      </c>
      <c r="C265">
        <f>IF($A265=1,SUM($A$2:$A265),0)</f>
        <v/>
      </c>
    </row>
    <row r="266">
      <c r="A266">
        <f>IF(AND(OR(Query!$B$4="All",'Compliance Database'!$A266=Query!$B$4),OR(Query!$B$5="All",'Compliance Database'!$F266=Query!$B$5),OR(Query!$B$6="All",ISNUMBER(SEARCH(Query!$B$6,'Compliance Database'!$I266))),OR(Query!$B$7="All",ISNUMBER(SEARCH(Query!$B$7,'Compliance Database'!$J266))),OR(Query!$B$8="All",'Compliance Database'!$G266=Query!$B$8),OR(Query!$B$9="All",'Compliance Database'!$K266=Query!$B$9),OR(Query!$B$10="",ISNUMBER(SEARCH(Query!$B$10,'Compliance Database'!$D266&amp;" "&amp;'Compliance Database'!$L266&amp;" "&amp;'Compliance Database'!$M266&amp;" "&amp;'Compliance Database'!$N266&amp;" "&amp;'Compliance Database'!$O266)))),1,0)</f>
        <v/>
      </c>
      <c r="B266">
        <f>IF($A266=1,SUM($A$2:$A266),"")</f>
        <v/>
      </c>
      <c r="C266">
        <f>IF($A266=1,SUM($A$2:$A266),0)</f>
        <v/>
      </c>
    </row>
    <row r="267">
      <c r="A267">
        <f>IF(AND(OR(Query!$B$4="All",'Compliance Database'!$A267=Query!$B$4),OR(Query!$B$5="All",'Compliance Database'!$F267=Query!$B$5),OR(Query!$B$6="All",ISNUMBER(SEARCH(Query!$B$6,'Compliance Database'!$I267))),OR(Query!$B$7="All",ISNUMBER(SEARCH(Query!$B$7,'Compliance Database'!$J267))),OR(Query!$B$8="All",'Compliance Database'!$G267=Query!$B$8),OR(Query!$B$9="All",'Compliance Database'!$K267=Query!$B$9),OR(Query!$B$10="",ISNUMBER(SEARCH(Query!$B$10,'Compliance Database'!$D267&amp;" "&amp;'Compliance Database'!$L267&amp;" "&amp;'Compliance Database'!$M267&amp;" "&amp;'Compliance Database'!$N267&amp;" "&amp;'Compliance Database'!$O267)))),1,0)</f>
        <v/>
      </c>
      <c r="B267">
        <f>IF($A267=1,SUM($A$2:$A267),"")</f>
        <v/>
      </c>
      <c r="C267">
        <f>IF($A267=1,SUM($A$2:$A267),0)</f>
        <v/>
      </c>
    </row>
    <row r="268">
      <c r="A268">
        <f>IF(AND(OR(Query!$B$4="All",'Compliance Database'!$A268=Query!$B$4),OR(Query!$B$5="All",'Compliance Database'!$F268=Query!$B$5),OR(Query!$B$6="All",ISNUMBER(SEARCH(Query!$B$6,'Compliance Database'!$I268))),OR(Query!$B$7="All",ISNUMBER(SEARCH(Query!$B$7,'Compliance Database'!$J268))),OR(Query!$B$8="All",'Compliance Database'!$G268=Query!$B$8),OR(Query!$B$9="All",'Compliance Database'!$K268=Query!$B$9),OR(Query!$B$10="",ISNUMBER(SEARCH(Query!$B$10,'Compliance Database'!$D268&amp;" "&amp;'Compliance Database'!$L268&amp;" "&amp;'Compliance Database'!$M268&amp;" "&amp;'Compliance Database'!$N268&amp;" "&amp;'Compliance Database'!$O268)))),1,0)</f>
        <v/>
      </c>
      <c r="B268">
        <f>IF($A268=1,SUM($A$2:$A268),"")</f>
        <v/>
      </c>
      <c r="C268">
        <f>IF($A268=1,SUM($A$2:$A268),0)</f>
        <v/>
      </c>
    </row>
    <row r="269">
      <c r="A269">
        <f>IF(AND(OR(Query!$B$4="All",'Compliance Database'!$A269=Query!$B$4),OR(Query!$B$5="All",'Compliance Database'!$F269=Query!$B$5),OR(Query!$B$6="All",ISNUMBER(SEARCH(Query!$B$6,'Compliance Database'!$I269))),OR(Query!$B$7="All",ISNUMBER(SEARCH(Query!$B$7,'Compliance Database'!$J269))),OR(Query!$B$8="All",'Compliance Database'!$G269=Query!$B$8),OR(Query!$B$9="All",'Compliance Database'!$K269=Query!$B$9),OR(Query!$B$10="",ISNUMBER(SEARCH(Query!$B$10,'Compliance Database'!$D269&amp;" "&amp;'Compliance Database'!$L269&amp;" "&amp;'Compliance Database'!$M269&amp;" "&amp;'Compliance Database'!$N269&amp;" "&amp;'Compliance Database'!$O269)))),1,0)</f>
        <v/>
      </c>
      <c r="B269">
        <f>IF($A269=1,SUM($A$2:$A269),"")</f>
        <v/>
      </c>
      <c r="C269">
        <f>IF($A269=1,SUM($A$2:$A269),0)</f>
        <v/>
      </c>
    </row>
    <row r="270">
      <c r="A270">
        <f>IF(AND(OR(Query!$B$4="All",'Compliance Database'!$A270=Query!$B$4),OR(Query!$B$5="All",'Compliance Database'!$F270=Query!$B$5),OR(Query!$B$6="All",ISNUMBER(SEARCH(Query!$B$6,'Compliance Database'!$I270))),OR(Query!$B$7="All",ISNUMBER(SEARCH(Query!$B$7,'Compliance Database'!$J270))),OR(Query!$B$8="All",'Compliance Database'!$G270=Query!$B$8),OR(Query!$B$9="All",'Compliance Database'!$K270=Query!$B$9),OR(Query!$B$10="",ISNUMBER(SEARCH(Query!$B$10,'Compliance Database'!$D270&amp;" "&amp;'Compliance Database'!$L270&amp;" "&amp;'Compliance Database'!$M270&amp;" "&amp;'Compliance Database'!$N270&amp;" "&amp;'Compliance Database'!$O270)))),1,0)</f>
        <v/>
      </c>
      <c r="B270">
        <f>IF($A270=1,SUM($A$2:$A270),"")</f>
        <v/>
      </c>
      <c r="C270">
        <f>IF($A270=1,SUM($A$2:$A270),0)</f>
        <v/>
      </c>
    </row>
    <row r="271">
      <c r="A271">
        <f>IF(AND(OR(Query!$B$4="All",'Compliance Database'!$A271=Query!$B$4),OR(Query!$B$5="All",'Compliance Database'!$F271=Query!$B$5),OR(Query!$B$6="All",ISNUMBER(SEARCH(Query!$B$6,'Compliance Database'!$I271))),OR(Query!$B$7="All",ISNUMBER(SEARCH(Query!$B$7,'Compliance Database'!$J271))),OR(Query!$B$8="All",'Compliance Database'!$G271=Query!$B$8),OR(Query!$B$9="All",'Compliance Database'!$K271=Query!$B$9),OR(Query!$B$10="",ISNUMBER(SEARCH(Query!$B$10,'Compliance Database'!$D271&amp;" "&amp;'Compliance Database'!$L271&amp;" "&amp;'Compliance Database'!$M271&amp;" "&amp;'Compliance Database'!$N271&amp;" "&amp;'Compliance Database'!$O271)))),1,0)</f>
        <v/>
      </c>
      <c r="B271">
        <f>IF($A271=1,SUM($A$2:$A271),"")</f>
        <v/>
      </c>
      <c r="C271">
        <f>IF($A271=1,SUM($A$2:$A271),0)</f>
        <v/>
      </c>
    </row>
    <row r="272">
      <c r="A272">
        <f>IF(AND(OR(Query!$B$4="All",'Compliance Database'!$A272=Query!$B$4),OR(Query!$B$5="All",'Compliance Database'!$F272=Query!$B$5),OR(Query!$B$6="All",ISNUMBER(SEARCH(Query!$B$6,'Compliance Database'!$I272))),OR(Query!$B$7="All",ISNUMBER(SEARCH(Query!$B$7,'Compliance Database'!$J272))),OR(Query!$B$8="All",'Compliance Database'!$G272=Query!$B$8),OR(Query!$B$9="All",'Compliance Database'!$K272=Query!$B$9),OR(Query!$B$10="",ISNUMBER(SEARCH(Query!$B$10,'Compliance Database'!$D272&amp;" "&amp;'Compliance Database'!$L272&amp;" "&amp;'Compliance Database'!$M272&amp;" "&amp;'Compliance Database'!$N272&amp;" "&amp;'Compliance Database'!$O272)))),1,0)</f>
        <v/>
      </c>
      <c r="B272">
        <f>IF($A272=1,SUM($A$2:$A272),"")</f>
        <v/>
      </c>
      <c r="C272">
        <f>IF($A272=1,SUM($A$2:$A272),0)</f>
        <v/>
      </c>
    </row>
    <row r="273">
      <c r="A273">
        <f>IF(AND(OR(Query!$B$4="All",'Compliance Database'!$A273=Query!$B$4),OR(Query!$B$5="All",'Compliance Database'!$F273=Query!$B$5),OR(Query!$B$6="All",ISNUMBER(SEARCH(Query!$B$6,'Compliance Database'!$I273))),OR(Query!$B$7="All",ISNUMBER(SEARCH(Query!$B$7,'Compliance Database'!$J273))),OR(Query!$B$8="All",'Compliance Database'!$G273=Query!$B$8),OR(Query!$B$9="All",'Compliance Database'!$K273=Query!$B$9),OR(Query!$B$10="",ISNUMBER(SEARCH(Query!$B$10,'Compliance Database'!$D273&amp;" "&amp;'Compliance Database'!$L273&amp;" "&amp;'Compliance Database'!$M273&amp;" "&amp;'Compliance Database'!$N273&amp;" "&amp;'Compliance Database'!$O273)))),1,0)</f>
        <v/>
      </c>
      <c r="B273">
        <f>IF($A273=1,SUM($A$2:$A273),"")</f>
        <v/>
      </c>
      <c r="C273">
        <f>IF($A273=1,SUM($A$2:$A273),0)</f>
        <v/>
      </c>
    </row>
    <row r="274">
      <c r="A274">
        <f>IF(AND(OR(Query!$B$4="All",'Compliance Database'!$A274=Query!$B$4),OR(Query!$B$5="All",'Compliance Database'!$F274=Query!$B$5),OR(Query!$B$6="All",ISNUMBER(SEARCH(Query!$B$6,'Compliance Database'!$I274))),OR(Query!$B$7="All",ISNUMBER(SEARCH(Query!$B$7,'Compliance Database'!$J274))),OR(Query!$B$8="All",'Compliance Database'!$G274=Query!$B$8),OR(Query!$B$9="All",'Compliance Database'!$K274=Query!$B$9),OR(Query!$B$10="",ISNUMBER(SEARCH(Query!$B$10,'Compliance Database'!$D274&amp;" "&amp;'Compliance Database'!$L274&amp;" "&amp;'Compliance Database'!$M274&amp;" "&amp;'Compliance Database'!$N274&amp;" "&amp;'Compliance Database'!$O274)))),1,0)</f>
        <v/>
      </c>
      <c r="B274">
        <f>IF($A274=1,SUM($A$2:$A274),"")</f>
        <v/>
      </c>
      <c r="C274">
        <f>IF($A274=1,SUM($A$2:$A274),0)</f>
        <v/>
      </c>
    </row>
    <row r="275">
      <c r="A275">
        <f>IF(AND(OR(Query!$B$4="All",'Compliance Database'!$A275=Query!$B$4),OR(Query!$B$5="All",'Compliance Database'!$F275=Query!$B$5),OR(Query!$B$6="All",ISNUMBER(SEARCH(Query!$B$6,'Compliance Database'!$I275))),OR(Query!$B$7="All",ISNUMBER(SEARCH(Query!$B$7,'Compliance Database'!$J275))),OR(Query!$B$8="All",'Compliance Database'!$G275=Query!$B$8),OR(Query!$B$9="All",'Compliance Database'!$K275=Query!$B$9),OR(Query!$B$10="",ISNUMBER(SEARCH(Query!$B$10,'Compliance Database'!$D275&amp;" "&amp;'Compliance Database'!$L275&amp;" "&amp;'Compliance Database'!$M275&amp;" "&amp;'Compliance Database'!$N275&amp;" "&amp;'Compliance Database'!$O275)))),1,0)</f>
        <v/>
      </c>
      <c r="B275">
        <f>IF($A275=1,SUM($A$2:$A275),"")</f>
        <v/>
      </c>
      <c r="C275">
        <f>IF($A275=1,SUM($A$2:$A275),0)</f>
        <v/>
      </c>
    </row>
    <row r="276">
      <c r="A276">
        <f>IF(AND(OR(Query!$B$4="All",'Compliance Database'!$A276=Query!$B$4),OR(Query!$B$5="All",'Compliance Database'!$F276=Query!$B$5),OR(Query!$B$6="All",ISNUMBER(SEARCH(Query!$B$6,'Compliance Database'!$I276))),OR(Query!$B$7="All",ISNUMBER(SEARCH(Query!$B$7,'Compliance Database'!$J276))),OR(Query!$B$8="All",'Compliance Database'!$G276=Query!$B$8),OR(Query!$B$9="All",'Compliance Database'!$K276=Query!$B$9),OR(Query!$B$10="",ISNUMBER(SEARCH(Query!$B$10,'Compliance Database'!$D276&amp;" "&amp;'Compliance Database'!$L276&amp;" "&amp;'Compliance Database'!$M276&amp;" "&amp;'Compliance Database'!$N276&amp;" "&amp;'Compliance Database'!$O276)))),1,0)</f>
        <v/>
      </c>
      <c r="B276">
        <f>IF($A276=1,SUM($A$2:$A276),"")</f>
        <v/>
      </c>
      <c r="C276">
        <f>IF($A276=1,SUM($A$2:$A276),0)</f>
        <v/>
      </c>
    </row>
    <row r="277">
      <c r="A277">
        <f>IF(AND(OR(Query!$B$4="All",'Compliance Database'!$A277=Query!$B$4),OR(Query!$B$5="All",'Compliance Database'!$F277=Query!$B$5),OR(Query!$B$6="All",ISNUMBER(SEARCH(Query!$B$6,'Compliance Database'!$I277))),OR(Query!$B$7="All",ISNUMBER(SEARCH(Query!$B$7,'Compliance Database'!$J277))),OR(Query!$B$8="All",'Compliance Database'!$G277=Query!$B$8),OR(Query!$B$9="All",'Compliance Database'!$K277=Query!$B$9),OR(Query!$B$10="",ISNUMBER(SEARCH(Query!$B$10,'Compliance Database'!$D277&amp;" "&amp;'Compliance Database'!$L277&amp;" "&amp;'Compliance Database'!$M277&amp;" "&amp;'Compliance Database'!$N277&amp;" "&amp;'Compliance Database'!$O277)))),1,0)</f>
        <v/>
      </c>
      <c r="B277">
        <f>IF($A277=1,SUM($A$2:$A277),"")</f>
        <v/>
      </c>
      <c r="C277">
        <f>IF($A277=1,SUM($A$2:$A277),0)</f>
        <v/>
      </c>
    </row>
    <row r="278">
      <c r="A278">
        <f>IF(AND(OR(Query!$B$4="All",'Compliance Database'!$A278=Query!$B$4),OR(Query!$B$5="All",'Compliance Database'!$F278=Query!$B$5),OR(Query!$B$6="All",ISNUMBER(SEARCH(Query!$B$6,'Compliance Database'!$I278))),OR(Query!$B$7="All",ISNUMBER(SEARCH(Query!$B$7,'Compliance Database'!$J278))),OR(Query!$B$8="All",'Compliance Database'!$G278=Query!$B$8),OR(Query!$B$9="All",'Compliance Database'!$K278=Query!$B$9),OR(Query!$B$10="",ISNUMBER(SEARCH(Query!$B$10,'Compliance Database'!$D278&amp;" "&amp;'Compliance Database'!$L278&amp;" "&amp;'Compliance Database'!$M278&amp;" "&amp;'Compliance Database'!$N278&amp;" "&amp;'Compliance Database'!$O278)))),1,0)</f>
        <v/>
      </c>
      <c r="B278">
        <f>IF($A278=1,SUM($A$2:$A278),"")</f>
        <v/>
      </c>
      <c r="C278">
        <f>IF($A278=1,SUM($A$2:$A278),0)</f>
        <v/>
      </c>
    </row>
    <row r="279">
      <c r="A279">
        <f>IF(AND(OR(Query!$B$4="All",'Compliance Database'!$A279=Query!$B$4),OR(Query!$B$5="All",'Compliance Database'!$F279=Query!$B$5),OR(Query!$B$6="All",ISNUMBER(SEARCH(Query!$B$6,'Compliance Database'!$I279))),OR(Query!$B$7="All",ISNUMBER(SEARCH(Query!$B$7,'Compliance Database'!$J279))),OR(Query!$B$8="All",'Compliance Database'!$G279=Query!$B$8),OR(Query!$B$9="All",'Compliance Database'!$K279=Query!$B$9),OR(Query!$B$10="",ISNUMBER(SEARCH(Query!$B$10,'Compliance Database'!$D279&amp;" "&amp;'Compliance Database'!$L279&amp;" "&amp;'Compliance Database'!$M279&amp;" "&amp;'Compliance Database'!$N279&amp;" "&amp;'Compliance Database'!$O279)))),1,0)</f>
        <v/>
      </c>
      <c r="B279">
        <f>IF($A279=1,SUM($A$2:$A279),"")</f>
        <v/>
      </c>
      <c r="C279">
        <f>IF($A279=1,SUM($A$2:$A279),0)</f>
        <v/>
      </c>
    </row>
    <row r="280">
      <c r="A280">
        <f>IF(AND(OR(Query!$B$4="All",'Compliance Database'!$A280=Query!$B$4),OR(Query!$B$5="All",'Compliance Database'!$F280=Query!$B$5),OR(Query!$B$6="All",ISNUMBER(SEARCH(Query!$B$6,'Compliance Database'!$I280))),OR(Query!$B$7="All",ISNUMBER(SEARCH(Query!$B$7,'Compliance Database'!$J280))),OR(Query!$B$8="All",'Compliance Database'!$G280=Query!$B$8),OR(Query!$B$9="All",'Compliance Database'!$K280=Query!$B$9),OR(Query!$B$10="",ISNUMBER(SEARCH(Query!$B$10,'Compliance Database'!$D280&amp;" "&amp;'Compliance Database'!$L280&amp;" "&amp;'Compliance Database'!$M280&amp;" "&amp;'Compliance Database'!$N280&amp;" "&amp;'Compliance Database'!$O280)))),1,0)</f>
        <v/>
      </c>
      <c r="B280">
        <f>IF($A280=1,SUM($A$2:$A280),"")</f>
        <v/>
      </c>
      <c r="C280">
        <f>IF($A280=1,SUM($A$2:$A280),0)</f>
        <v/>
      </c>
    </row>
    <row r="281">
      <c r="A281">
        <f>IF(AND(OR(Query!$B$4="All",'Compliance Database'!$A281=Query!$B$4),OR(Query!$B$5="All",'Compliance Database'!$F281=Query!$B$5),OR(Query!$B$6="All",ISNUMBER(SEARCH(Query!$B$6,'Compliance Database'!$I281))),OR(Query!$B$7="All",ISNUMBER(SEARCH(Query!$B$7,'Compliance Database'!$J281))),OR(Query!$B$8="All",'Compliance Database'!$G281=Query!$B$8),OR(Query!$B$9="All",'Compliance Database'!$K281=Query!$B$9),OR(Query!$B$10="",ISNUMBER(SEARCH(Query!$B$10,'Compliance Database'!$D281&amp;" "&amp;'Compliance Database'!$L281&amp;" "&amp;'Compliance Database'!$M281&amp;" "&amp;'Compliance Database'!$N281&amp;" "&amp;'Compliance Database'!$O281)))),1,0)</f>
        <v/>
      </c>
      <c r="B281">
        <f>IF($A281=1,SUM($A$2:$A281),"")</f>
        <v/>
      </c>
      <c r="C281">
        <f>IF($A281=1,SUM($A$2:$A281),0)</f>
        <v/>
      </c>
    </row>
    <row r="282">
      <c r="A282">
        <f>IF(AND(OR(Query!$B$4="All",'Compliance Database'!$A282=Query!$B$4),OR(Query!$B$5="All",'Compliance Database'!$F282=Query!$B$5),OR(Query!$B$6="All",ISNUMBER(SEARCH(Query!$B$6,'Compliance Database'!$I282))),OR(Query!$B$7="All",ISNUMBER(SEARCH(Query!$B$7,'Compliance Database'!$J282))),OR(Query!$B$8="All",'Compliance Database'!$G282=Query!$B$8),OR(Query!$B$9="All",'Compliance Database'!$K282=Query!$B$9),OR(Query!$B$10="",ISNUMBER(SEARCH(Query!$B$10,'Compliance Database'!$D282&amp;" "&amp;'Compliance Database'!$L282&amp;" "&amp;'Compliance Database'!$M282&amp;" "&amp;'Compliance Database'!$N282&amp;" "&amp;'Compliance Database'!$O282)))),1,0)</f>
        <v/>
      </c>
      <c r="B282">
        <f>IF($A282=1,SUM($A$2:$A282),"")</f>
        <v/>
      </c>
      <c r="C282">
        <f>IF($A282=1,SUM($A$2:$A282),0)</f>
        <v/>
      </c>
    </row>
    <row r="283">
      <c r="A283">
        <f>IF(AND(OR(Query!$B$4="All",'Compliance Database'!$A283=Query!$B$4),OR(Query!$B$5="All",'Compliance Database'!$F283=Query!$B$5),OR(Query!$B$6="All",ISNUMBER(SEARCH(Query!$B$6,'Compliance Database'!$I283))),OR(Query!$B$7="All",ISNUMBER(SEARCH(Query!$B$7,'Compliance Database'!$J283))),OR(Query!$B$8="All",'Compliance Database'!$G283=Query!$B$8),OR(Query!$B$9="All",'Compliance Database'!$K283=Query!$B$9),OR(Query!$B$10="",ISNUMBER(SEARCH(Query!$B$10,'Compliance Database'!$D283&amp;" "&amp;'Compliance Database'!$L283&amp;" "&amp;'Compliance Database'!$M283&amp;" "&amp;'Compliance Database'!$N283&amp;" "&amp;'Compliance Database'!$O283)))),1,0)</f>
        <v/>
      </c>
      <c r="B283">
        <f>IF($A283=1,SUM($A$2:$A283),"")</f>
        <v/>
      </c>
      <c r="C283">
        <f>IF($A283=1,SUM($A$2:$A283),0)</f>
        <v/>
      </c>
    </row>
    <row r="284">
      <c r="A284">
        <f>IF(AND(OR(Query!$B$4="All",'Compliance Database'!$A284=Query!$B$4),OR(Query!$B$5="All",'Compliance Database'!$F284=Query!$B$5),OR(Query!$B$6="All",ISNUMBER(SEARCH(Query!$B$6,'Compliance Database'!$I284))),OR(Query!$B$7="All",ISNUMBER(SEARCH(Query!$B$7,'Compliance Database'!$J284))),OR(Query!$B$8="All",'Compliance Database'!$G284=Query!$B$8),OR(Query!$B$9="All",'Compliance Database'!$K284=Query!$B$9),OR(Query!$B$10="",ISNUMBER(SEARCH(Query!$B$10,'Compliance Database'!$D284&amp;" "&amp;'Compliance Database'!$L284&amp;" "&amp;'Compliance Database'!$M284&amp;" "&amp;'Compliance Database'!$N284&amp;" "&amp;'Compliance Database'!$O284)))),1,0)</f>
        <v/>
      </c>
      <c r="B284">
        <f>IF($A284=1,SUM($A$2:$A284),"")</f>
        <v/>
      </c>
      <c r="C284">
        <f>IF($A284=1,SUM($A$2:$A284),0)</f>
        <v/>
      </c>
    </row>
    <row r="285">
      <c r="A285">
        <f>IF(AND(OR(Query!$B$4="All",'Compliance Database'!$A285=Query!$B$4),OR(Query!$B$5="All",'Compliance Database'!$F285=Query!$B$5),OR(Query!$B$6="All",ISNUMBER(SEARCH(Query!$B$6,'Compliance Database'!$I285))),OR(Query!$B$7="All",ISNUMBER(SEARCH(Query!$B$7,'Compliance Database'!$J285))),OR(Query!$B$8="All",'Compliance Database'!$G285=Query!$B$8),OR(Query!$B$9="All",'Compliance Database'!$K285=Query!$B$9),OR(Query!$B$10="",ISNUMBER(SEARCH(Query!$B$10,'Compliance Database'!$D285&amp;" "&amp;'Compliance Database'!$L285&amp;" "&amp;'Compliance Database'!$M285&amp;" "&amp;'Compliance Database'!$N285&amp;" "&amp;'Compliance Database'!$O285)))),1,0)</f>
        <v/>
      </c>
      <c r="B285">
        <f>IF($A285=1,SUM($A$2:$A285),"")</f>
        <v/>
      </c>
      <c r="C285">
        <f>IF($A285=1,SUM($A$2:$A285),0)</f>
        <v/>
      </c>
    </row>
    <row r="286">
      <c r="A286">
        <f>IF(AND(OR(Query!$B$4="All",'Compliance Database'!$A286=Query!$B$4),OR(Query!$B$5="All",'Compliance Database'!$F286=Query!$B$5),OR(Query!$B$6="All",ISNUMBER(SEARCH(Query!$B$6,'Compliance Database'!$I286))),OR(Query!$B$7="All",ISNUMBER(SEARCH(Query!$B$7,'Compliance Database'!$J286))),OR(Query!$B$8="All",'Compliance Database'!$G286=Query!$B$8),OR(Query!$B$9="All",'Compliance Database'!$K286=Query!$B$9),OR(Query!$B$10="",ISNUMBER(SEARCH(Query!$B$10,'Compliance Database'!$D286&amp;" "&amp;'Compliance Database'!$L286&amp;" "&amp;'Compliance Database'!$M286&amp;" "&amp;'Compliance Database'!$N286&amp;" "&amp;'Compliance Database'!$O286)))),1,0)</f>
        <v/>
      </c>
      <c r="B286">
        <f>IF($A286=1,SUM($A$2:$A286),"")</f>
        <v/>
      </c>
      <c r="C286">
        <f>IF($A286=1,SUM($A$2:$A286),0)</f>
        <v/>
      </c>
    </row>
    <row r="287">
      <c r="A287">
        <f>IF(AND(OR(Query!$B$4="All",'Compliance Database'!$A287=Query!$B$4),OR(Query!$B$5="All",'Compliance Database'!$F287=Query!$B$5),OR(Query!$B$6="All",ISNUMBER(SEARCH(Query!$B$6,'Compliance Database'!$I287))),OR(Query!$B$7="All",ISNUMBER(SEARCH(Query!$B$7,'Compliance Database'!$J287))),OR(Query!$B$8="All",'Compliance Database'!$G287=Query!$B$8),OR(Query!$B$9="All",'Compliance Database'!$K287=Query!$B$9),OR(Query!$B$10="",ISNUMBER(SEARCH(Query!$B$10,'Compliance Database'!$D287&amp;" "&amp;'Compliance Database'!$L287&amp;" "&amp;'Compliance Database'!$M287&amp;" "&amp;'Compliance Database'!$N287&amp;" "&amp;'Compliance Database'!$O287)))),1,0)</f>
        <v/>
      </c>
      <c r="B287">
        <f>IF($A287=1,SUM($A$2:$A287),"")</f>
        <v/>
      </c>
      <c r="C287">
        <f>IF($A287=1,SUM($A$2:$A287),0)</f>
        <v/>
      </c>
    </row>
    <row r="288">
      <c r="A288">
        <f>IF(AND(OR(Query!$B$4="All",'Compliance Database'!$A288=Query!$B$4),OR(Query!$B$5="All",'Compliance Database'!$F288=Query!$B$5),OR(Query!$B$6="All",ISNUMBER(SEARCH(Query!$B$6,'Compliance Database'!$I288))),OR(Query!$B$7="All",ISNUMBER(SEARCH(Query!$B$7,'Compliance Database'!$J288))),OR(Query!$B$8="All",'Compliance Database'!$G288=Query!$B$8),OR(Query!$B$9="All",'Compliance Database'!$K288=Query!$B$9),OR(Query!$B$10="",ISNUMBER(SEARCH(Query!$B$10,'Compliance Database'!$D288&amp;" "&amp;'Compliance Database'!$L288&amp;" "&amp;'Compliance Database'!$M288&amp;" "&amp;'Compliance Database'!$N288&amp;" "&amp;'Compliance Database'!$O288)))),1,0)</f>
        <v/>
      </c>
      <c r="B288">
        <f>IF($A288=1,SUM($A$2:$A288),"")</f>
        <v/>
      </c>
      <c r="C288">
        <f>IF($A288=1,SUM($A$2:$A288),0)</f>
        <v/>
      </c>
    </row>
    <row r="289">
      <c r="A289">
        <f>IF(AND(OR(Query!$B$4="All",'Compliance Database'!$A289=Query!$B$4),OR(Query!$B$5="All",'Compliance Database'!$F289=Query!$B$5),OR(Query!$B$6="All",ISNUMBER(SEARCH(Query!$B$6,'Compliance Database'!$I289))),OR(Query!$B$7="All",ISNUMBER(SEARCH(Query!$B$7,'Compliance Database'!$J289))),OR(Query!$B$8="All",'Compliance Database'!$G289=Query!$B$8),OR(Query!$B$9="All",'Compliance Database'!$K289=Query!$B$9),OR(Query!$B$10="",ISNUMBER(SEARCH(Query!$B$10,'Compliance Database'!$D289&amp;" "&amp;'Compliance Database'!$L289&amp;" "&amp;'Compliance Database'!$M289&amp;" "&amp;'Compliance Database'!$N289&amp;" "&amp;'Compliance Database'!$O289)))),1,0)</f>
        <v/>
      </c>
      <c r="B289">
        <f>IF($A289=1,SUM($A$2:$A289),"")</f>
        <v/>
      </c>
      <c r="C289">
        <f>IF($A289=1,SUM($A$2:$A289),0)</f>
        <v/>
      </c>
    </row>
    <row r="290">
      <c r="A290">
        <f>IF(AND(OR(Query!$B$4="All",'Compliance Database'!$A290=Query!$B$4),OR(Query!$B$5="All",'Compliance Database'!$F290=Query!$B$5),OR(Query!$B$6="All",ISNUMBER(SEARCH(Query!$B$6,'Compliance Database'!$I290))),OR(Query!$B$7="All",ISNUMBER(SEARCH(Query!$B$7,'Compliance Database'!$J290))),OR(Query!$B$8="All",'Compliance Database'!$G290=Query!$B$8),OR(Query!$B$9="All",'Compliance Database'!$K290=Query!$B$9),OR(Query!$B$10="",ISNUMBER(SEARCH(Query!$B$10,'Compliance Database'!$D290&amp;" "&amp;'Compliance Database'!$L290&amp;" "&amp;'Compliance Database'!$M290&amp;" "&amp;'Compliance Database'!$N290&amp;" "&amp;'Compliance Database'!$O290)))),1,0)</f>
        <v/>
      </c>
      <c r="B290">
        <f>IF($A290=1,SUM($A$2:$A290),"")</f>
        <v/>
      </c>
      <c r="C290">
        <f>IF($A290=1,SUM($A$2:$A290),0)</f>
        <v/>
      </c>
    </row>
    <row r="291">
      <c r="A291">
        <f>IF(AND(OR(Query!$B$4="All",'Compliance Database'!$A291=Query!$B$4),OR(Query!$B$5="All",'Compliance Database'!$F291=Query!$B$5),OR(Query!$B$6="All",ISNUMBER(SEARCH(Query!$B$6,'Compliance Database'!$I291))),OR(Query!$B$7="All",ISNUMBER(SEARCH(Query!$B$7,'Compliance Database'!$J291))),OR(Query!$B$8="All",'Compliance Database'!$G291=Query!$B$8),OR(Query!$B$9="All",'Compliance Database'!$K291=Query!$B$9),OR(Query!$B$10="",ISNUMBER(SEARCH(Query!$B$10,'Compliance Database'!$D291&amp;" "&amp;'Compliance Database'!$L291&amp;" "&amp;'Compliance Database'!$M291&amp;" "&amp;'Compliance Database'!$N291&amp;" "&amp;'Compliance Database'!$O291)))),1,0)</f>
        <v/>
      </c>
      <c r="B291">
        <f>IF($A291=1,SUM($A$2:$A291),"")</f>
        <v/>
      </c>
      <c r="C291">
        <f>IF($A291=1,SUM($A$2:$A291),0)</f>
        <v/>
      </c>
    </row>
    <row r="292">
      <c r="A292">
        <f>IF(AND(OR(Query!$B$4="All",'Compliance Database'!$A292=Query!$B$4),OR(Query!$B$5="All",'Compliance Database'!$F292=Query!$B$5),OR(Query!$B$6="All",ISNUMBER(SEARCH(Query!$B$6,'Compliance Database'!$I292))),OR(Query!$B$7="All",ISNUMBER(SEARCH(Query!$B$7,'Compliance Database'!$J292))),OR(Query!$B$8="All",'Compliance Database'!$G292=Query!$B$8),OR(Query!$B$9="All",'Compliance Database'!$K292=Query!$B$9),OR(Query!$B$10="",ISNUMBER(SEARCH(Query!$B$10,'Compliance Database'!$D292&amp;" "&amp;'Compliance Database'!$L292&amp;" "&amp;'Compliance Database'!$M292&amp;" "&amp;'Compliance Database'!$N292&amp;" "&amp;'Compliance Database'!$O292)))),1,0)</f>
        <v/>
      </c>
      <c r="B292">
        <f>IF($A292=1,SUM($A$2:$A292),"")</f>
        <v/>
      </c>
      <c r="C292">
        <f>IF($A292=1,SUM($A$2:$A292),0)</f>
        <v/>
      </c>
    </row>
    <row r="293">
      <c r="A293">
        <f>IF(AND(OR(Query!$B$4="All",'Compliance Database'!$A293=Query!$B$4),OR(Query!$B$5="All",'Compliance Database'!$F293=Query!$B$5),OR(Query!$B$6="All",ISNUMBER(SEARCH(Query!$B$6,'Compliance Database'!$I293))),OR(Query!$B$7="All",ISNUMBER(SEARCH(Query!$B$7,'Compliance Database'!$J293))),OR(Query!$B$8="All",'Compliance Database'!$G293=Query!$B$8),OR(Query!$B$9="All",'Compliance Database'!$K293=Query!$B$9),OR(Query!$B$10="",ISNUMBER(SEARCH(Query!$B$10,'Compliance Database'!$D293&amp;" "&amp;'Compliance Database'!$L293&amp;" "&amp;'Compliance Database'!$M293&amp;" "&amp;'Compliance Database'!$N293&amp;" "&amp;'Compliance Database'!$O293)))),1,0)</f>
        <v/>
      </c>
      <c r="B293">
        <f>IF($A293=1,SUM($A$2:$A293),"")</f>
        <v/>
      </c>
      <c r="C293">
        <f>IF($A293=1,SUM($A$2:$A293),0)</f>
        <v/>
      </c>
    </row>
    <row r="294">
      <c r="A294">
        <f>IF(AND(OR(Query!$B$4="All",'Compliance Database'!$A294=Query!$B$4),OR(Query!$B$5="All",'Compliance Database'!$F294=Query!$B$5),OR(Query!$B$6="All",ISNUMBER(SEARCH(Query!$B$6,'Compliance Database'!$I294))),OR(Query!$B$7="All",ISNUMBER(SEARCH(Query!$B$7,'Compliance Database'!$J294))),OR(Query!$B$8="All",'Compliance Database'!$G294=Query!$B$8),OR(Query!$B$9="All",'Compliance Database'!$K294=Query!$B$9),OR(Query!$B$10="",ISNUMBER(SEARCH(Query!$B$10,'Compliance Database'!$D294&amp;" "&amp;'Compliance Database'!$L294&amp;" "&amp;'Compliance Database'!$M294&amp;" "&amp;'Compliance Database'!$N294&amp;" "&amp;'Compliance Database'!$O294)))),1,0)</f>
        <v/>
      </c>
      <c r="B294">
        <f>IF($A294=1,SUM($A$2:$A294),"")</f>
        <v/>
      </c>
      <c r="C294">
        <f>IF($A294=1,SUM($A$2:$A294),0)</f>
        <v/>
      </c>
    </row>
    <row r="295">
      <c r="A295">
        <f>IF(AND(OR(Query!$B$4="All",'Compliance Database'!$A295=Query!$B$4),OR(Query!$B$5="All",'Compliance Database'!$F295=Query!$B$5),OR(Query!$B$6="All",ISNUMBER(SEARCH(Query!$B$6,'Compliance Database'!$I295))),OR(Query!$B$7="All",ISNUMBER(SEARCH(Query!$B$7,'Compliance Database'!$J295))),OR(Query!$B$8="All",'Compliance Database'!$G295=Query!$B$8),OR(Query!$B$9="All",'Compliance Database'!$K295=Query!$B$9),OR(Query!$B$10="",ISNUMBER(SEARCH(Query!$B$10,'Compliance Database'!$D295&amp;" "&amp;'Compliance Database'!$L295&amp;" "&amp;'Compliance Database'!$M295&amp;" "&amp;'Compliance Database'!$N295&amp;" "&amp;'Compliance Database'!$O295)))),1,0)</f>
        <v/>
      </c>
      <c r="B295">
        <f>IF($A295=1,SUM($A$2:$A295),"")</f>
        <v/>
      </c>
      <c r="C295">
        <f>IF($A295=1,SUM($A$2:$A295),0)</f>
        <v/>
      </c>
    </row>
    <row r="296">
      <c r="A296">
        <f>IF(AND(OR(Query!$B$4="All",'Compliance Database'!$A296=Query!$B$4),OR(Query!$B$5="All",'Compliance Database'!$F296=Query!$B$5),OR(Query!$B$6="All",ISNUMBER(SEARCH(Query!$B$6,'Compliance Database'!$I296))),OR(Query!$B$7="All",ISNUMBER(SEARCH(Query!$B$7,'Compliance Database'!$J296))),OR(Query!$B$8="All",'Compliance Database'!$G296=Query!$B$8),OR(Query!$B$9="All",'Compliance Database'!$K296=Query!$B$9),OR(Query!$B$10="",ISNUMBER(SEARCH(Query!$B$10,'Compliance Database'!$D296&amp;" "&amp;'Compliance Database'!$L296&amp;" "&amp;'Compliance Database'!$M296&amp;" "&amp;'Compliance Database'!$N296&amp;" "&amp;'Compliance Database'!$O296)))),1,0)</f>
        <v/>
      </c>
      <c r="B296">
        <f>IF($A296=1,SUM($A$2:$A296),"")</f>
        <v/>
      </c>
      <c r="C296">
        <f>IF($A296=1,SUM($A$2:$A296),0)</f>
        <v/>
      </c>
    </row>
    <row r="297">
      <c r="A297">
        <f>IF(AND(OR(Query!$B$4="All",'Compliance Database'!$A297=Query!$B$4),OR(Query!$B$5="All",'Compliance Database'!$F297=Query!$B$5),OR(Query!$B$6="All",ISNUMBER(SEARCH(Query!$B$6,'Compliance Database'!$I297))),OR(Query!$B$7="All",ISNUMBER(SEARCH(Query!$B$7,'Compliance Database'!$J297))),OR(Query!$B$8="All",'Compliance Database'!$G297=Query!$B$8),OR(Query!$B$9="All",'Compliance Database'!$K297=Query!$B$9),OR(Query!$B$10="",ISNUMBER(SEARCH(Query!$B$10,'Compliance Database'!$D297&amp;" "&amp;'Compliance Database'!$L297&amp;" "&amp;'Compliance Database'!$M297&amp;" "&amp;'Compliance Database'!$N297&amp;" "&amp;'Compliance Database'!$O297)))),1,0)</f>
        <v/>
      </c>
      <c r="B297">
        <f>IF($A297=1,SUM($A$2:$A297),"")</f>
        <v/>
      </c>
      <c r="C297">
        <f>IF($A297=1,SUM($A$2:$A297),0)</f>
        <v/>
      </c>
    </row>
    <row r="298">
      <c r="A298">
        <f>IF(AND(OR(Query!$B$4="All",'Compliance Database'!$A298=Query!$B$4),OR(Query!$B$5="All",'Compliance Database'!$F298=Query!$B$5),OR(Query!$B$6="All",ISNUMBER(SEARCH(Query!$B$6,'Compliance Database'!$I298))),OR(Query!$B$7="All",ISNUMBER(SEARCH(Query!$B$7,'Compliance Database'!$J298))),OR(Query!$B$8="All",'Compliance Database'!$G298=Query!$B$8),OR(Query!$B$9="All",'Compliance Database'!$K298=Query!$B$9),OR(Query!$B$10="",ISNUMBER(SEARCH(Query!$B$10,'Compliance Database'!$D298&amp;" "&amp;'Compliance Database'!$L298&amp;" "&amp;'Compliance Database'!$M298&amp;" "&amp;'Compliance Database'!$N298&amp;" "&amp;'Compliance Database'!$O298)))),1,0)</f>
        <v/>
      </c>
      <c r="B298">
        <f>IF($A298=1,SUM($A$2:$A298),"")</f>
        <v/>
      </c>
      <c r="C298">
        <f>IF($A298=1,SUM($A$2:$A298),0)</f>
        <v/>
      </c>
    </row>
    <row r="299">
      <c r="A299">
        <f>IF(AND(OR(Query!$B$4="All",'Compliance Database'!$A299=Query!$B$4),OR(Query!$B$5="All",'Compliance Database'!$F299=Query!$B$5),OR(Query!$B$6="All",ISNUMBER(SEARCH(Query!$B$6,'Compliance Database'!$I299))),OR(Query!$B$7="All",ISNUMBER(SEARCH(Query!$B$7,'Compliance Database'!$J299))),OR(Query!$B$8="All",'Compliance Database'!$G299=Query!$B$8),OR(Query!$B$9="All",'Compliance Database'!$K299=Query!$B$9),OR(Query!$B$10="",ISNUMBER(SEARCH(Query!$B$10,'Compliance Database'!$D299&amp;" "&amp;'Compliance Database'!$L299&amp;" "&amp;'Compliance Database'!$M299&amp;" "&amp;'Compliance Database'!$N299&amp;" "&amp;'Compliance Database'!$O299)))),1,0)</f>
        <v/>
      </c>
      <c r="B299">
        <f>IF($A299=1,SUM($A$2:$A299),"")</f>
        <v/>
      </c>
      <c r="C299">
        <f>IF($A299=1,SUM($A$2:$A299),0)</f>
        <v/>
      </c>
    </row>
    <row r="300">
      <c r="A300">
        <f>IF(AND(OR(Query!$B$4="All",'Compliance Database'!$A300=Query!$B$4),OR(Query!$B$5="All",'Compliance Database'!$F300=Query!$B$5),OR(Query!$B$6="All",ISNUMBER(SEARCH(Query!$B$6,'Compliance Database'!$I300))),OR(Query!$B$7="All",ISNUMBER(SEARCH(Query!$B$7,'Compliance Database'!$J300))),OR(Query!$B$8="All",'Compliance Database'!$G300=Query!$B$8),OR(Query!$B$9="All",'Compliance Database'!$K300=Query!$B$9),OR(Query!$B$10="",ISNUMBER(SEARCH(Query!$B$10,'Compliance Database'!$D300&amp;" "&amp;'Compliance Database'!$L300&amp;" "&amp;'Compliance Database'!$M300&amp;" "&amp;'Compliance Database'!$N300&amp;" "&amp;'Compliance Database'!$O300)))),1,0)</f>
        <v/>
      </c>
      <c r="B300">
        <f>IF($A300=1,SUM($A$2:$A300),"")</f>
        <v/>
      </c>
      <c r="C300">
        <f>IF($A300=1,SUM($A$2:$A300),0)</f>
        <v/>
      </c>
    </row>
    <row r="301">
      <c r="A301">
        <f>IF(AND(OR(Query!$B$4="All",'Compliance Database'!$A301=Query!$B$4),OR(Query!$B$5="All",'Compliance Database'!$F301=Query!$B$5),OR(Query!$B$6="All",ISNUMBER(SEARCH(Query!$B$6,'Compliance Database'!$I301))),OR(Query!$B$7="All",ISNUMBER(SEARCH(Query!$B$7,'Compliance Database'!$J301))),OR(Query!$B$8="All",'Compliance Database'!$G301=Query!$B$8),OR(Query!$B$9="All",'Compliance Database'!$K301=Query!$B$9),OR(Query!$B$10="",ISNUMBER(SEARCH(Query!$B$10,'Compliance Database'!$D301&amp;" "&amp;'Compliance Database'!$L301&amp;" "&amp;'Compliance Database'!$M301&amp;" "&amp;'Compliance Database'!$N301&amp;" "&amp;'Compliance Database'!$O301)))),1,0)</f>
        <v/>
      </c>
      <c r="B301">
        <f>IF($A301=1,SUM($A$2:$A301),"")</f>
        <v/>
      </c>
      <c r="C301">
        <f>IF($A301=1,SUM($A$2:$A301),0)</f>
        <v/>
      </c>
    </row>
    <row r="302">
      <c r="A302">
        <f>IF(AND(OR(Query!$B$4="All",'Compliance Database'!$A302=Query!$B$4),OR(Query!$B$5="All",'Compliance Database'!$F302=Query!$B$5),OR(Query!$B$6="All",ISNUMBER(SEARCH(Query!$B$6,'Compliance Database'!$I302))),OR(Query!$B$7="All",ISNUMBER(SEARCH(Query!$B$7,'Compliance Database'!$J302))),OR(Query!$B$8="All",'Compliance Database'!$G302=Query!$B$8),OR(Query!$B$9="All",'Compliance Database'!$K302=Query!$B$9),OR(Query!$B$10="",ISNUMBER(SEARCH(Query!$B$10,'Compliance Database'!$D302&amp;" "&amp;'Compliance Database'!$L302&amp;" "&amp;'Compliance Database'!$M302&amp;" "&amp;'Compliance Database'!$N302&amp;" "&amp;'Compliance Database'!$O302)))),1,0)</f>
        <v/>
      </c>
      <c r="B302">
        <f>IF($A302=1,SUM($A$2:$A302),"")</f>
        <v/>
      </c>
      <c r="C302">
        <f>IF($A302=1,SUM($A$2:$A302),0)</f>
        <v/>
      </c>
    </row>
    <row r="303">
      <c r="A303">
        <f>IF(AND(OR(Query!$B$4="All",'Compliance Database'!$A303=Query!$B$4),OR(Query!$B$5="All",'Compliance Database'!$F303=Query!$B$5),OR(Query!$B$6="All",ISNUMBER(SEARCH(Query!$B$6,'Compliance Database'!$I303))),OR(Query!$B$7="All",ISNUMBER(SEARCH(Query!$B$7,'Compliance Database'!$J303))),OR(Query!$B$8="All",'Compliance Database'!$G303=Query!$B$8),OR(Query!$B$9="All",'Compliance Database'!$K303=Query!$B$9),OR(Query!$B$10="",ISNUMBER(SEARCH(Query!$B$10,'Compliance Database'!$D303&amp;" "&amp;'Compliance Database'!$L303&amp;" "&amp;'Compliance Database'!$M303&amp;" "&amp;'Compliance Database'!$N303&amp;" "&amp;'Compliance Database'!$O303)))),1,0)</f>
        <v/>
      </c>
      <c r="B303">
        <f>IF($A303=1,SUM($A$2:$A303),"")</f>
        <v/>
      </c>
      <c r="C303">
        <f>IF($A303=1,SUM($A$2:$A303),0)</f>
        <v/>
      </c>
    </row>
    <row r="304">
      <c r="A304">
        <f>IF(AND(OR(Query!$B$4="All",'Compliance Database'!$A304=Query!$B$4),OR(Query!$B$5="All",'Compliance Database'!$F304=Query!$B$5),OR(Query!$B$6="All",ISNUMBER(SEARCH(Query!$B$6,'Compliance Database'!$I304))),OR(Query!$B$7="All",ISNUMBER(SEARCH(Query!$B$7,'Compliance Database'!$J304))),OR(Query!$B$8="All",'Compliance Database'!$G304=Query!$B$8),OR(Query!$B$9="All",'Compliance Database'!$K304=Query!$B$9),OR(Query!$B$10="",ISNUMBER(SEARCH(Query!$B$10,'Compliance Database'!$D304&amp;" "&amp;'Compliance Database'!$L304&amp;" "&amp;'Compliance Database'!$M304&amp;" "&amp;'Compliance Database'!$N304&amp;" "&amp;'Compliance Database'!$O304)))),1,0)</f>
        <v/>
      </c>
      <c r="B304">
        <f>IF($A304=1,SUM($A$2:$A304),"")</f>
        <v/>
      </c>
      <c r="C304">
        <f>IF($A304=1,SUM($A$2:$A304),0)</f>
        <v/>
      </c>
    </row>
    <row r="305">
      <c r="A305">
        <f>IF(AND(OR(Query!$B$4="All",'Compliance Database'!$A305=Query!$B$4),OR(Query!$B$5="All",'Compliance Database'!$F305=Query!$B$5),OR(Query!$B$6="All",ISNUMBER(SEARCH(Query!$B$6,'Compliance Database'!$I305))),OR(Query!$B$7="All",ISNUMBER(SEARCH(Query!$B$7,'Compliance Database'!$J305))),OR(Query!$B$8="All",'Compliance Database'!$G305=Query!$B$8),OR(Query!$B$9="All",'Compliance Database'!$K305=Query!$B$9),OR(Query!$B$10="",ISNUMBER(SEARCH(Query!$B$10,'Compliance Database'!$D305&amp;" "&amp;'Compliance Database'!$L305&amp;" "&amp;'Compliance Database'!$M305&amp;" "&amp;'Compliance Database'!$N305&amp;" "&amp;'Compliance Database'!$O305)))),1,0)</f>
        <v/>
      </c>
      <c r="B305">
        <f>IF($A305=1,SUM($A$2:$A305),"")</f>
        <v/>
      </c>
      <c r="C305">
        <f>IF($A305=1,SUM($A$2:$A305),0)</f>
        <v/>
      </c>
    </row>
    <row r="306">
      <c r="A306">
        <f>IF(AND(OR(Query!$B$4="All",'Compliance Database'!$A306=Query!$B$4),OR(Query!$B$5="All",'Compliance Database'!$F306=Query!$B$5),OR(Query!$B$6="All",ISNUMBER(SEARCH(Query!$B$6,'Compliance Database'!$I306))),OR(Query!$B$7="All",ISNUMBER(SEARCH(Query!$B$7,'Compliance Database'!$J306))),OR(Query!$B$8="All",'Compliance Database'!$G306=Query!$B$8),OR(Query!$B$9="All",'Compliance Database'!$K306=Query!$B$9),OR(Query!$B$10="",ISNUMBER(SEARCH(Query!$B$10,'Compliance Database'!$D306&amp;" "&amp;'Compliance Database'!$L306&amp;" "&amp;'Compliance Database'!$M306&amp;" "&amp;'Compliance Database'!$N306&amp;" "&amp;'Compliance Database'!$O306)))),1,0)</f>
        <v/>
      </c>
      <c r="B306">
        <f>IF($A306=1,SUM($A$2:$A306),"")</f>
        <v/>
      </c>
      <c r="C306">
        <f>IF($A306=1,SUM($A$2:$A306),0)</f>
        <v/>
      </c>
    </row>
    <row r="307">
      <c r="A307">
        <f>IF(AND(OR(Query!$B$4="All",'Compliance Database'!$A307=Query!$B$4),OR(Query!$B$5="All",'Compliance Database'!$F307=Query!$B$5),OR(Query!$B$6="All",ISNUMBER(SEARCH(Query!$B$6,'Compliance Database'!$I307))),OR(Query!$B$7="All",ISNUMBER(SEARCH(Query!$B$7,'Compliance Database'!$J307))),OR(Query!$B$8="All",'Compliance Database'!$G307=Query!$B$8),OR(Query!$B$9="All",'Compliance Database'!$K307=Query!$B$9),OR(Query!$B$10="",ISNUMBER(SEARCH(Query!$B$10,'Compliance Database'!$D307&amp;" "&amp;'Compliance Database'!$L307&amp;" "&amp;'Compliance Database'!$M307&amp;" "&amp;'Compliance Database'!$N307&amp;" "&amp;'Compliance Database'!$O307)))),1,0)</f>
        <v/>
      </c>
      <c r="B307">
        <f>IF($A307=1,SUM($A$2:$A307),"")</f>
        <v/>
      </c>
      <c r="C307">
        <f>IF($A307=1,SUM($A$2:$A307),0)</f>
        <v/>
      </c>
    </row>
    <row r="308">
      <c r="A308">
        <f>IF(AND(OR(Query!$B$4="All",'Compliance Database'!$A308=Query!$B$4),OR(Query!$B$5="All",'Compliance Database'!$F308=Query!$B$5),OR(Query!$B$6="All",ISNUMBER(SEARCH(Query!$B$6,'Compliance Database'!$I308))),OR(Query!$B$7="All",ISNUMBER(SEARCH(Query!$B$7,'Compliance Database'!$J308))),OR(Query!$B$8="All",'Compliance Database'!$G308=Query!$B$8),OR(Query!$B$9="All",'Compliance Database'!$K308=Query!$B$9),OR(Query!$B$10="",ISNUMBER(SEARCH(Query!$B$10,'Compliance Database'!$D308&amp;" "&amp;'Compliance Database'!$L308&amp;" "&amp;'Compliance Database'!$M308&amp;" "&amp;'Compliance Database'!$N308&amp;" "&amp;'Compliance Database'!$O308)))),1,0)</f>
        <v/>
      </c>
      <c r="B308">
        <f>IF($A308=1,SUM($A$2:$A308),"")</f>
        <v/>
      </c>
      <c r="C308">
        <f>IF($A308=1,SUM($A$2:$A308),0)</f>
        <v/>
      </c>
    </row>
    <row r="309">
      <c r="A309">
        <f>IF(AND(OR(Query!$B$4="All",'Compliance Database'!$A309=Query!$B$4),OR(Query!$B$5="All",'Compliance Database'!$F309=Query!$B$5),OR(Query!$B$6="All",ISNUMBER(SEARCH(Query!$B$6,'Compliance Database'!$I309))),OR(Query!$B$7="All",ISNUMBER(SEARCH(Query!$B$7,'Compliance Database'!$J309))),OR(Query!$B$8="All",'Compliance Database'!$G309=Query!$B$8),OR(Query!$B$9="All",'Compliance Database'!$K309=Query!$B$9),OR(Query!$B$10="",ISNUMBER(SEARCH(Query!$B$10,'Compliance Database'!$D309&amp;" "&amp;'Compliance Database'!$L309&amp;" "&amp;'Compliance Database'!$M309&amp;" "&amp;'Compliance Database'!$N309&amp;" "&amp;'Compliance Database'!$O309)))),1,0)</f>
        <v/>
      </c>
      <c r="B309">
        <f>IF($A309=1,SUM($A$2:$A309),"")</f>
        <v/>
      </c>
      <c r="C309">
        <f>IF($A309=1,SUM($A$2:$A309),0)</f>
        <v/>
      </c>
    </row>
    <row r="310">
      <c r="A310">
        <f>IF(AND(OR(Query!$B$4="All",'Compliance Database'!$A310=Query!$B$4),OR(Query!$B$5="All",'Compliance Database'!$F310=Query!$B$5),OR(Query!$B$6="All",ISNUMBER(SEARCH(Query!$B$6,'Compliance Database'!$I310))),OR(Query!$B$7="All",ISNUMBER(SEARCH(Query!$B$7,'Compliance Database'!$J310))),OR(Query!$B$8="All",'Compliance Database'!$G310=Query!$B$8),OR(Query!$B$9="All",'Compliance Database'!$K310=Query!$B$9),OR(Query!$B$10="",ISNUMBER(SEARCH(Query!$B$10,'Compliance Database'!$D310&amp;" "&amp;'Compliance Database'!$L310&amp;" "&amp;'Compliance Database'!$M310&amp;" "&amp;'Compliance Database'!$N310&amp;" "&amp;'Compliance Database'!$O310)))),1,0)</f>
        <v/>
      </c>
      <c r="B310">
        <f>IF($A310=1,SUM($A$2:$A310),"")</f>
        <v/>
      </c>
      <c r="C310">
        <f>IF($A310=1,SUM($A$2:$A310),0)</f>
        <v/>
      </c>
    </row>
    <row r="311">
      <c r="A311">
        <f>IF(AND(OR(Query!$B$4="All",'Compliance Database'!$A311=Query!$B$4),OR(Query!$B$5="All",'Compliance Database'!$F311=Query!$B$5),OR(Query!$B$6="All",ISNUMBER(SEARCH(Query!$B$6,'Compliance Database'!$I311))),OR(Query!$B$7="All",ISNUMBER(SEARCH(Query!$B$7,'Compliance Database'!$J311))),OR(Query!$B$8="All",'Compliance Database'!$G311=Query!$B$8),OR(Query!$B$9="All",'Compliance Database'!$K311=Query!$B$9),OR(Query!$B$10="",ISNUMBER(SEARCH(Query!$B$10,'Compliance Database'!$D311&amp;" "&amp;'Compliance Database'!$L311&amp;" "&amp;'Compliance Database'!$M311&amp;" "&amp;'Compliance Database'!$N311&amp;" "&amp;'Compliance Database'!$O311)))),1,0)</f>
        <v/>
      </c>
      <c r="B311">
        <f>IF($A311=1,SUM($A$2:$A311),"")</f>
        <v/>
      </c>
      <c r="C311">
        <f>IF($A311=1,SUM($A$2:$A311),0)</f>
        <v/>
      </c>
    </row>
    <row r="312">
      <c r="A312">
        <f>IF(AND(OR(Query!$B$4="All",'Compliance Database'!$A312=Query!$B$4),OR(Query!$B$5="All",'Compliance Database'!$F312=Query!$B$5),OR(Query!$B$6="All",ISNUMBER(SEARCH(Query!$B$6,'Compliance Database'!$I312))),OR(Query!$B$7="All",ISNUMBER(SEARCH(Query!$B$7,'Compliance Database'!$J312))),OR(Query!$B$8="All",'Compliance Database'!$G312=Query!$B$8),OR(Query!$B$9="All",'Compliance Database'!$K312=Query!$B$9),OR(Query!$B$10="",ISNUMBER(SEARCH(Query!$B$10,'Compliance Database'!$D312&amp;" "&amp;'Compliance Database'!$L312&amp;" "&amp;'Compliance Database'!$M312&amp;" "&amp;'Compliance Database'!$N312&amp;" "&amp;'Compliance Database'!$O312)))),1,0)</f>
        <v/>
      </c>
      <c r="B312">
        <f>IF($A312=1,SUM($A$2:$A312),"")</f>
        <v/>
      </c>
      <c r="C312">
        <f>IF($A312=1,SUM($A$2:$A312),0)</f>
        <v/>
      </c>
    </row>
    <row r="313">
      <c r="A313">
        <f>IF(AND(OR(Query!$B$4="All",'Compliance Database'!$A313=Query!$B$4),OR(Query!$B$5="All",'Compliance Database'!$F313=Query!$B$5),OR(Query!$B$6="All",ISNUMBER(SEARCH(Query!$B$6,'Compliance Database'!$I313))),OR(Query!$B$7="All",ISNUMBER(SEARCH(Query!$B$7,'Compliance Database'!$J313))),OR(Query!$B$8="All",'Compliance Database'!$G313=Query!$B$8),OR(Query!$B$9="All",'Compliance Database'!$K313=Query!$B$9),OR(Query!$B$10="",ISNUMBER(SEARCH(Query!$B$10,'Compliance Database'!$D313&amp;" "&amp;'Compliance Database'!$L313&amp;" "&amp;'Compliance Database'!$M313&amp;" "&amp;'Compliance Database'!$N313&amp;" "&amp;'Compliance Database'!$O313)))),1,0)</f>
        <v/>
      </c>
      <c r="B313">
        <f>IF($A313=1,SUM($A$2:$A313),"")</f>
        <v/>
      </c>
      <c r="C313">
        <f>IF($A313=1,SUM($A$2:$A313),0)</f>
        <v/>
      </c>
    </row>
    <row r="314">
      <c r="A314">
        <f>IF(AND(OR(Query!$B$4="All",'Compliance Database'!$A314=Query!$B$4),OR(Query!$B$5="All",'Compliance Database'!$F314=Query!$B$5),OR(Query!$B$6="All",ISNUMBER(SEARCH(Query!$B$6,'Compliance Database'!$I314))),OR(Query!$B$7="All",ISNUMBER(SEARCH(Query!$B$7,'Compliance Database'!$J314))),OR(Query!$B$8="All",'Compliance Database'!$G314=Query!$B$8),OR(Query!$B$9="All",'Compliance Database'!$K314=Query!$B$9),OR(Query!$B$10="",ISNUMBER(SEARCH(Query!$B$10,'Compliance Database'!$D314&amp;" "&amp;'Compliance Database'!$L314&amp;" "&amp;'Compliance Database'!$M314&amp;" "&amp;'Compliance Database'!$N314&amp;" "&amp;'Compliance Database'!$O314)))),1,0)</f>
        <v/>
      </c>
      <c r="B314">
        <f>IF($A314=1,SUM($A$2:$A314),"")</f>
        <v/>
      </c>
      <c r="C314">
        <f>IF($A314=1,SUM($A$2:$A314),0)</f>
        <v/>
      </c>
    </row>
    <row r="315">
      <c r="A315">
        <f>IF(AND(OR(Query!$B$4="All",'Compliance Database'!$A315=Query!$B$4),OR(Query!$B$5="All",'Compliance Database'!$F315=Query!$B$5),OR(Query!$B$6="All",ISNUMBER(SEARCH(Query!$B$6,'Compliance Database'!$I315))),OR(Query!$B$7="All",ISNUMBER(SEARCH(Query!$B$7,'Compliance Database'!$J315))),OR(Query!$B$8="All",'Compliance Database'!$G315=Query!$B$8),OR(Query!$B$9="All",'Compliance Database'!$K315=Query!$B$9),OR(Query!$B$10="",ISNUMBER(SEARCH(Query!$B$10,'Compliance Database'!$D315&amp;" "&amp;'Compliance Database'!$L315&amp;" "&amp;'Compliance Database'!$M315&amp;" "&amp;'Compliance Database'!$N315&amp;" "&amp;'Compliance Database'!$O315)))),1,0)</f>
        <v/>
      </c>
      <c r="B315">
        <f>IF($A315=1,SUM($A$2:$A315),"")</f>
        <v/>
      </c>
      <c r="C315">
        <f>IF($A315=1,SUM($A$2:$A315),0)</f>
        <v/>
      </c>
    </row>
    <row r="316">
      <c r="A316">
        <f>IF(AND(OR(Query!$B$4="All",'Compliance Database'!$A316=Query!$B$4),OR(Query!$B$5="All",'Compliance Database'!$F316=Query!$B$5),OR(Query!$B$6="All",ISNUMBER(SEARCH(Query!$B$6,'Compliance Database'!$I316))),OR(Query!$B$7="All",ISNUMBER(SEARCH(Query!$B$7,'Compliance Database'!$J316))),OR(Query!$B$8="All",'Compliance Database'!$G316=Query!$B$8),OR(Query!$B$9="All",'Compliance Database'!$K316=Query!$B$9),OR(Query!$B$10="",ISNUMBER(SEARCH(Query!$B$10,'Compliance Database'!$D316&amp;" "&amp;'Compliance Database'!$L316&amp;" "&amp;'Compliance Database'!$M316&amp;" "&amp;'Compliance Database'!$N316&amp;" "&amp;'Compliance Database'!$O316)))),1,0)</f>
        <v/>
      </c>
      <c r="B316">
        <f>IF($A316=1,SUM($A$2:$A316),"")</f>
        <v/>
      </c>
      <c r="C316">
        <f>IF($A316=1,SUM($A$2:$A316),0)</f>
        <v/>
      </c>
    </row>
    <row r="317">
      <c r="A317">
        <f>IF(AND(OR(Query!$B$4="All",'Compliance Database'!$A317=Query!$B$4),OR(Query!$B$5="All",'Compliance Database'!$F317=Query!$B$5),OR(Query!$B$6="All",ISNUMBER(SEARCH(Query!$B$6,'Compliance Database'!$I317))),OR(Query!$B$7="All",ISNUMBER(SEARCH(Query!$B$7,'Compliance Database'!$J317))),OR(Query!$B$8="All",'Compliance Database'!$G317=Query!$B$8),OR(Query!$B$9="All",'Compliance Database'!$K317=Query!$B$9),OR(Query!$B$10="",ISNUMBER(SEARCH(Query!$B$10,'Compliance Database'!$D317&amp;" "&amp;'Compliance Database'!$L317&amp;" "&amp;'Compliance Database'!$M317&amp;" "&amp;'Compliance Database'!$N317&amp;" "&amp;'Compliance Database'!$O317)))),1,0)</f>
        <v/>
      </c>
      <c r="B317">
        <f>IF($A317=1,SUM($A$2:$A317),"")</f>
        <v/>
      </c>
      <c r="C317">
        <f>IF($A317=1,SUM($A$2:$A317),0)</f>
        <v/>
      </c>
    </row>
    <row r="318">
      <c r="A318">
        <f>IF(AND(OR(Query!$B$4="All",'Compliance Database'!$A318=Query!$B$4),OR(Query!$B$5="All",'Compliance Database'!$F318=Query!$B$5),OR(Query!$B$6="All",ISNUMBER(SEARCH(Query!$B$6,'Compliance Database'!$I318))),OR(Query!$B$7="All",ISNUMBER(SEARCH(Query!$B$7,'Compliance Database'!$J318))),OR(Query!$B$8="All",'Compliance Database'!$G318=Query!$B$8),OR(Query!$B$9="All",'Compliance Database'!$K318=Query!$B$9),OR(Query!$B$10="",ISNUMBER(SEARCH(Query!$B$10,'Compliance Database'!$D318&amp;" "&amp;'Compliance Database'!$L318&amp;" "&amp;'Compliance Database'!$M318&amp;" "&amp;'Compliance Database'!$N318&amp;" "&amp;'Compliance Database'!$O318)))),1,0)</f>
        <v/>
      </c>
      <c r="B318">
        <f>IF($A318=1,SUM($A$2:$A318),"")</f>
        <v/>
      </c>
      <c r="C318">
        <f>IF($A318=1,SUM($A$2:$A318),0)</f>
        <v/>
      </c>
    </row>
    <row r="319">
      <c r="A319">
        <f>IF(AND(OR(Query!$B$4="All",'Compliance Database'!$A319=Query!$B$4),OR(Query!$B$5="All",'Compliance Database'!$F319=Query!$B$5),OR(Query!$B$6="All",ISNUMBER(SEARCH(Query!$B$6,'Compliance Database'!$I319))),OR(Query!$B$7="All",ISNUMBER(SEARCH(Query!$B$7,'Compliance Database'!$J319))),OR(Query!$B$8="All",'Compliance Database'!$G319=Query!$B$8),OR(Query!$B$9="All",'Compliance Database'!$K319=Query!$B$9),OR(Query!$B$10="",ISNUMBER(SEARCH(Query!$B$10,'Compliance Database'!$D319&amp;" "&amp;'Compliance Database'!$L319&amp;" "&amp;'Compliance Database'!$M319&amp;" "&amp;'Compliance Database'!$N319&amp;" "&amp;'Compliance Database'!$O319)))),1,0)</f>
        <v/>
      </c>
      <c r="B319">
        <f>IF($A319=1,SUM($A$2:$A319),"")</f>
        <v/>
      </c>
      <c r="C319">
        <f>IF($A319=1,SUM($A$2:$A319),0)</f>
        <v/>
      </c>
    </row>
    <row r="320">
      <c r="A320">
        <f>IF(AND(OR(Query!$B$4="All",'Compliance Database'!$A320=Query!$B$4),OR(Query!$B$5="All",'Compliance Database'!$F320=Query!$B$5),OR(Query!$B$6="All",ISNUMBER(SEARCH(Query!$B$6,'Compliance Database'!$I320))),OR(Query!$B$7="All",ISNUMBER(SEARCH(Query!$B$7,'Compliance Database'!$J320))),OR(Query!$B$8="All",'Compliance Database'!$G320=Query!$B$8),OR(Query!$B$9="All",'Compliance Database'!$K320=Query!$B$9),OR(Query!$B$10="",ISNUMBER(SEARCH(Query!$B$10,'Compliance Database'!$D320&amp;" "&amp;'Compliance Database'!$L320&amp;" "&amp;'Compliance Database'!$M320&amp;" "&amp;'Compliance Database'!$N320&amp;" "&amp;'Compliance Database'!$O320)))),1,0)</f>
        <v/>
      </c>
      <c r="B320">
        <f>IF($A320=1,SUM($A$2:$A320),"")</f>
        <v/>
      </c>
      <c r="C320">
        <f>IF($A320=1,SUM($A$2:$A320),0)</f>
        <v/>
      </c>
    </row>
    <row r="321">
      <c r="A321">
        <f>IF(AND(OR(Query!$B$4="All",'Compliance Database'!$A321=Query!$B$4),OR(Query!$B$5="All",'Compliance Database'!$F321=Query!$B$5),OR(Query!$B$6="All",ISNUMBER(SEARCH(Query!$B$6,'Compliance Database'!$I321))),OR(Query!$B$7="All",ISNUMBER(SEARCH(Query!$B$7,'Compliance Database'!$J321))),OR(Query!$B$8="All",'Compliance Database'!$G321=Query!$B$8),OR(Query!$B$9="All",'Compliance Database'!$K321=Query!$B$9),OR(Query!$B$10="",ISNUMBER(SEARCH(Query!$B$10,'Compliance Database'!$D321&amp;" "&amp;'Compliance Database'!$L321&amp;" "&amp;'Compliance Database'!$M321&amp;" "&amp;'Compliance Database'!$N321&amp;" "&amp;'Compliance Database'!$O321)))),1,0)</f>
        <v/>
      </c>
      <c r="B321">
        <f>IF($A321=1,SUM($A$2:$A321),"")</f>
        <v/>
      </c>
      <c r="C321">
        <f>IF($A321=1,SUM($A$2:$A321),0)</f>
        <v/>
      </c>
    </row>
    <row r="322">
      <c r="A322">
        <f>IF(AND(OR(Query!$B$4="All",'Compliance Database'!$A322=Query!$B$4),OR(Query!$B$5="All",'Compliance Database'!$F322=Query!$B$5),OR(Query!$B$6="All",ISNUMBER(SEARCH(Query!$B$6,'Compliance Database'!$I322))),OR(Query!$B$7="All",ISNUMBER(SEARCH(Query!$B$7,'Compliance Database'!$J322))),OR(Query!$B$8="All",'Compliance Database'!$G322=Query!$B$8),OR(Query!$B$9="All",'Compliance Database'!$K322=Query!$B$9),OR(Query!$B$10="",ISNUMBER(SEARCH(Query!$B$10,'Compliance Database'!$D322&amp;" "&amp;'Compliance Database'!$L322&amp;" "&amp;'Compliance Database'!$M322&amp;" "&amp;'Compliance Database'!$N322&amp;" "&amp;'Compliance Database'!$O322)))),1,0)</f>
        <v/>
      </c>
      <c r="B322">
        <f>IF($A322=1,SUM($A$2:$A322),"")</f>
        <v/>
      </c>
      <c r="C322">
        <f>IF($A322=1,SUM($A$2:$A322),0)</f>
        <v/>
      </c>
    </row>
    <row r="323">
      <c r="A323">
        <f>IF(AND(OR(Query!$B$4="All",'Compliance Database'!$A323=Query!$B$4),OR(Query!$B$5="All",'Compliance Database'!$F323=Query!$B$5),OR(Query!$B$6="All",ISNUMBER(SEARCH(Query!$B$6,'Compliance Database'!$I323))),OR(Query!$B$7="All",ISNUMBER(SEARCH(Query!$B$7,'Compliance Database'!$J323))),OR(Query!$B$8="All",'Compliance Database'!$G323=Query!$B$8),OR(Query!$B$9="All",'Compliance Database'!$K323=Query!$B$9),OR(Query!$B$10="",ISNUMBER(SEARCH(Query!$B$10,'Compliance Database'!$D323&amp;" "&amp;'Compliance Database'!$L323&amp;" "&amp;'Compliance Database'!$M323&amp;" "&amp;'Compliance Database'!$N323&amp;" "&amp;'Compliance Database'!$O323)))),1,0)</f>
        <v/>
      </c>
      <c r="B323">
        <f>IF($A323=1,SUM($A$2:$A323),"")</f>
        <v/>
      </c>
      <c r="C323">
        <f>IF($A323=1,SUM($A$2:$A323),0)</f>
        <v/>
      </c>
    </row>
    <row r="324">
      <c r="A324">
        <f>IF(AND(OR(Query!$B$4="All",'Compliance Database'!$A324=Query!$B$4),OR(Query!$B$5="All",'Compliance Database'!$F324=Query!$B$5),OR(Query!$B$6="All",ISNUMBER(SEARCH(Query!$B$6,'Compliance Database'!$I324))),OR(Query!$B$7="All",ISNUMBER(SEARCH(Query!$B$7,'Compliance Database'!$J324))),OR(Query!$B$8="All",'Compliance Database'!$G324=Query!$B$8),OR(Query!$B$9="All",'Compliance Database'!$K324=Query!$B$9),OR(Query!$B$10="",ISNUMBER(SEARCH(Query!$B$10,'Compliance Database'!$D324&amp;" "&amp;'Compliance Database'!$L324&amp;" "&amp;'Compliance Database'!$M324&amp;" "&amp;'Compliance Database'!$N324&amp;" "&amp;'Compliance Database'!$O324)))),1,0)</f>
        <v/>
      </c>
      <c r="B324">
        <f>IF($A324=1,SUM($A$2:$A324),"")</f>
        <v/>
      </c>
      <c r="C324">
        <f>IF($A324=1,SUM($A$2:$A324),0)</f>
        <v/>
      </c>
    </row>
    <row r="325">
      <c r="A325">
        <f>IF(AND(OR(Query!$B$4="All",'Compliance Database'!$A325=Query!$B$4),OR(Query!$B$5="All",'Compliance Database'!$F325=Query!$B$5),OR(Query!$B$6="All",ISNUMBER(SEARCH(Query!$B$6,'Compliance Database'!$I325))),OR(Query!$B$7="All",ISNUMBER(SEARCH(Query!$B$7,'Compliance Database'!$J325))),OR(Query!$B$8="All",'Compliance Database'!$G325=Query!$B$8),OR(Query!$B$9="All",'Compliance Database'!$K325=Query!$B$9),OR(Query!$B$10="",ISNUMBER(SEARCH(Query!$B$10,'Compliance Database'!$D325&amp;" "&amp;'Compliance Database'!$L325&amp;" "&amp;'Compliance Database'!$M325&amp;" "&amp;'Compliance Database'!$N325&amp;" "&amp;'Compliance Database'!$O325)))),1,0)</f>
        <v/>
      </c>
      <c r="B325">
        <f>IF($A325=1,SUM($A$2:$A325),"")</f>
        <v/>
      </c>
      <c r="C325">
        <f>IF($A325=1,SUM($A$2:$A325),0)</f>
        <v/>
      </c>
    </row>
    <row r="326">
      <c r="A326">
        <f>IF(AND(OR(Query!$B$4="All",'Compliance Database'!$A326=Query!$B$4),OR(Query!$B$5="All",'Compliance Database'!$F326=Query!$B$5),OR(Query!$B$6="All",ISNUMBER(SEARCH(Query!$B$6,'Compliance Database'!$I326))),OR(Query!$B$7="All",ISNUMBER(SEARCH(Query!$B$7,'Compliance Database'!$J326))),OR(Query!$B$8="All",'Compliance Database'!$G326=Query!$B$8),OR(Query!$B$9="All",'Compliance Database'!$K326=Query!$B$9),OR(Query!$B$10="",ISNUMBER(SEARCH(Query!$B$10,'Compliance Database'!$D326&amp;" "&amp;'Compliance Database'!$L326&amp;" "&amp;'Compliance Database'!$M326&amp;" "&amp;'Compliance Database'!$N326&amp;" "&amp;'Compliance Database'!$O326)))),1,0)</f>
        <v/>
      </c>
      <c r="B326">
        <f>IF($A326=1,SUM($A$2:$A326),"")</f>
        <v/>
      </c>
      <c r="C326">
        <f>IF($A326=1,SUM($A$2:$A326),0)</f>
        <v/>
      </c>
    </row>
    <row r="327">
      <c r="A327">
        <f>IF(AND(OR(Query!$B$4="All",'Compliance Database'!$A327=Query!$B$4),OR(Query!$B$5="All",'Compliance Database'!$F327=Query!$B$5),OR(Query!$B$6="All",ISNUMBER(SEARCH(Query!$B$6,'Compliance Database'!$I327))),OR(Query!$B$7="All",ISNUMBER(SEARCH(Query!$B$7,'Compliance Database'!$J327))),OR(Query!$B$8="All",'Compliance Database'!$G327=Query!$B$8),OR(Query!$B$9="All",'Compliance Database'!$K327=Query!$B$9),OR(Query!$B$10="",ISNUMBER(SEARCH(Query!$B$10,'Compliance Database'!$D327&amp;" "&amp;'Compliance Database'!$L327&amp;" "&amp;'Compliance Database'!$M327&amp;" "&amp;'Compliance Database'!$N327&amp;" "&amp;'Compliance Database'!$O327)))),1,0)</f>
        <v/>
      </c>
      <c r="B327">
        <f>IF($A327=1,SUM($A$2:$A327),"")</f>
        <v/>
      </c>
      <c r="C327">
        <f>IF($A327=1,SUM($A$2:$A327),0)</f>
        <v/>
      </c>
    </row>
    <row r="328">
      <c r="A328">
        <f>IF(AND(OR(Query!$B$4="All",'Compliance Database'!$A328=Query!$B$4),OR(Query!$B$5="All",'Compliance Database'!$F328=Query!$B$5),OR(Query!$B$6="All",ISNUMBER(SEARCH(Query!$B$6,'Compliance Database'!$I328))),OR(Query!$B$7="All",ISNUMBER(SEARCH(Query!$B$7,'Compliance Database'!$J328))),OR(Query!$B$8="All",'Compliance Database'!$G328=Query!$B$8),OR(Query!$B$9="All",'Compliance Database'!$K328=Query!$B$9),OR(Query!$B$10="",ISNUMBER(SEARCH(Query!$B$10,'Compliance Database'!$D328&amp;" "&amp;'Compliance Database'!$L328&amp;" "&amp;'Compliance Database'!$M328&amp;" "&amp;'Compliance Database'!$N328&amp;" "&amp;'Compliance Database'!$O328)))),1,0)</f>
        <v/>
      </c>
      <c r="B328">
        <f>IF($A328=1,SUM($A$2:$A328),"")</f>
        <v/>
      </c>
      <c r="C328">
        <f>IF($A328=1,SUM($A$2:$A328),0)</f>
        <v/>
      </c>
    </row>
    <row r="329">
      <c r="A329">
        <f>IF(AND(OR(Query!$B$4="All",'Compliance Database'!$A329=Query!$B$4),OR(Query!$B$5="All",'Compliance Database'!$F329=Query!$B$5),OR(Query!$B$6="All",ISNUMBER(SEARCH(Query!$B$6,'Compliance Database'!$I329))),OR(Query!$B$7="All",ISNUMBER(SEARCH(Query!$B$7,'Compliance Database'!$J329))),OR(Query!$B$8="All",'Compliance Database'!$G329=Query!$B$8),OR(Query!$B$9="All",'Compliance Database'!$K329=Query!$B$9),OR(Query!$B$10="",ISNUMBER(SEARCH(Query!$B$10,'Compliance Database'!$D329&amp;" "&amp;'Compliance Database'!$L329&amp;" "&amp;'Compliance Database'!$M329&amp;" "&amp;'Compliance Database'!$N329&amp;" "&amp;'Compliance Database'!$O329)))),1,0)</f>
        <v/>
      </c>
      <c r="B329">
        <f>IF($A329=1,SUM($A$2:$A329),"")</f>
        <v/>
      </c>
      <c r="C329">
        <f>IF($A329=1,SUM($A$2:$A329),0)</f>
        <v/>
      </c>
    </row>
    <row r="330">
      <c r="A330">
        <f>IF(AND(OR(Query!$B$4="All",'Compliance Database'!$A330=Query!$B$4),OR(Query!$B$5="All",'Compliance Database'!$F330=Query!$B$5),OR(Query!$B$6="All",ISNUMBER(SEARCH(Query!$B$6,'Compliance Database'!$I330))),OR(Query!$B$7="All",ISNUMBER(SEARCH(Query!$B$7,'Compliance Database'!$J330))),OR(Query!$B$8="All",'Compliance Database'!$G330=Query!$B$8),OR(Query!$B$9="All",'Compliance Database'!$K330=Query!$B$9),OR(Query!$B$10="",ISNUMBER(SEARCH(Query!$B$10,'Compliance Database'!$D330&amp;" "&amp;'Compliance Database'!$L330&amp;" "&amp;'Compliance Database'!$M330&amp;" "&amp;'Compliance Database'!$N330&amp;" "&amp;'Compliance Database'!$O330)))),1,0)</f>
        <v/>
      </c>
      <c r="B330">
        <f>IF($A330=1,SUM($A$2:$A330),"")</f>
        <v/>
      </c>
      <c r="C330">
        <f>IF($A330=1,SUM($A$2:$A330),0)</f>
        <v/>
      </c>
    </row>
    <row r="331">
      <c r="A331">
        <f>IF(AND(OR(Query!$B$4="All",'Compliance Database'!$A331=Query!$B$4),OR(Query!$B$5="All",'Compliance Database'!$F331=Query!$B$5),OR(Query!$B$6="All",ISNUMBER(SEARCH(Query!$B$6,'Compliance Database'!$I331))),OR(Query!$B$7="All",ISNUMBER(SEARCH(Query!$B$7,'Compliance Database'!$J331))),OR(Query!$B$8="All",'Compliance Database'!$G331=Query!$B$8),OR(Query!$B$9="All",'Compliance Database'!$K331=Query!$B$9),OR(Query!$B$10="",ISNUMBER(SEARCH(Query!$B$10,'Compliance Database'!$D331&amp;" "&amp;'Compliance Database'!$L331&amp;" "&amp;'Compliance Database'!$M331&amp;" "&amp;'Compliance Database'!$N331&amp;" "&amp;'Compliance Database'!$O331)))),1,0)</f>
        <v/>
      </c>
      <c r="B331">
        <f>IF($A331=1,SUM($A$2:$A331),"")</f>
        <v/>
      </c>
      <c r="C331">
        <f>IF($A331=1,SUM($A$2:$A331),0)</f>
        <v/>
      </c>
    </row>
    <row r="332">
      <c r="A332">
        <f>IF(AND(OR(Query!$B$4="All",'Compliance Database'!$A332=Query!$B$4),OR(Query!$B$5="All",'Compliance Database'!$F332=Query!$B$5),OR(Query!$B$6="All",ISNUMBER(SEARCH(Query!$B$6,'Compliance Database'!$I332))),OR(Query!$B$7="All",ISNUMBER(SEARCH(Query!$B$7,'Compliance Database'!$J332))),OR(Query!$B$8="All",'Compliance Database'!$G332=Query!$B$8),OR(Query!$B$9="All",'Compliance Database'!$K332=Query!$B$9),OR(Query!$B$10="",ISNUMBER(SEARCH(Query!$B$10,'Compliance Database'!$D332&amp;" "&amp;'Compliance Database'!$L332&amp;" "&amp;'Compliance Database'!$M332&amp;" "&amp;'Compliance Database'!$N332&amp;" "&amp;'Compliance Database'!$O332)))),1,0)</f>
        <v/>
      </c>
      <c r="B332">
        <f>IF($A332=1,SUM($A$2:$A332),"")</f>
        <v/>
      </c>
      <c r="C332">
        <f>IF($A332=1,SUM($A$2:$A332),0)</f>
        <v/>
      </c>
    </row>
    <row r="333">
      <c r="A333">
        <f>IF(AND(OR(Query!$B$4="All",'Compliance Database'!$A333=Query!$B$4),OR(Query!$B$5="All",'Compliance Database'!$F333=Query!$B$5),OR(Query!$B$6="All",ISNUMBER(SEARCH(Query!$B$6,'Compliance Database'!$I333))),OR(Query!$B$7="All",ISNUMBER(SEARCH(Query!$B$7,'Compliance Database'!$J333))),OR(Query!$B$8="All",'Compliance Database'!$G333=Query!$B$8),OR(Query!$B$9="All",'Compliance Database'!$K333=Query!$B$9),OR(Query!$B$10="",ISNUMBER(SEARCH(Query!$B$10,'Compliance Database'!$D333&amp;" "&amp;'Compliance Database'!$L333&amp;" "&amp;'Compliance Database'!$M333&amp;" "&amp;'Compliance Database'!$N333&amp;" "&amp;'Compliance Database'!$O333)))),1,0)</f>
        <v/>
      </c>
      <c r="B333">
        <f>IF($A333=1,SUM($A$2:$A333),"")</f>
        <v/>
      </c>
      <c r="C333">
        <f>IF($A333=1,SUM($A$2:$A333),0)</f>
        <v/>
      </c>
    </row>
    <row r="334">
      <c r="A334">
        <f>IF(AND(OR(Query!$B$4="All",'Compliance Database'!$A334=Query!$B$4),OR(Query!$B$5="All",'Compliance Database'!$F334=Query!$B$5),OR(Query!$B$6="All",ISNUMBER(SEARCH(Query!$B$6,'Compliance Database'!$I334))),OR(Query!$B$7="All",ISNUMBER(SEARCH(Query!$B$7,'Compliance Database'!$J334))),OR(Query!$B$8="All",'Compliance Database'!$G334=Query!$B$8),OR(Query!$B$9="All",'Compliance Database'!$K334=Query!$B$9),OR(Query!$B$10="",ISNUMBER(SEARCH(Query!$B$10,'Compliance Database'!$D334&amp;" "&amp;'Compliance Database'!$L334&amp;" "&amp;'Compliance Database'!$M334&amp;" "&amp;'Compliance Database'!$N334&amp;" "&amp;'Compliance Database'!$O334)))),1,0)</f>
        <v/>
      </c>
      <c r="B334">
        <f>IF($A334=1,SUM($A$2:$A334),"")</f>
        <v/>
      </c>
      <c r="C334">
        <f>IF($A334=1,SUM($A$2:$A334),0)</f>
        <v/>
      </c>
    </row>
    <row r="335">
      <c r="A335">
        <f>IF(AND(OR(Query!$B$4="All",'Compliance Database'!$A335=Query!$B$4),OR(Query!$B$5="All",'Compliance Database'!$F335=Query!$B$5),OR(Query!$B$6="All",ISNUMBER(SEARCH(Query!$B$6,'Compliance Database'!$I335))),OR(Query!$B$7="All",ISNUMBER(SEARCH(Query!$B$7,'Compliance Database'!$J335))),OR(Query!$B$8="All",'Compliance Database'!$G335=Query!$B$8),OR(Query!$B$9="All",'Compliance Database'!$K335=Query!$B$9),OR(Query!$B$10="",ISNUMBER(SEARCH(Query!$B$10,'Compliance Database'!$D335&amp;" "&amp;'Compliance Database'!$L335&amp;" "&amp;'Compliance Database'!$M335&amp;" "&amp;'Compliance Database'!$N335&amp;" "&amp;'Compliance Database'!$O335)))),1,0)</f>
        <v/>
      </c>
      <c r="B335">
        <f>IF($A335=1,SUM($A$2:$A335),"")</f>
        <v/>
      </c>
      <c r="C335">
        <f>IF($A335=1,SUM($A$2:$A335),0)</f>
        <v/>
      </c>
    </row>
    <row r="336">
      <c r="A336">
        <f>IF(AND(OR(Query!$B$4="All",'Compliance Database'!$A336=Query!$B$4),OR(Query!$B$5="All",'Compliance Database'!$F336=Query!$B$5),OR(Query!$B$6="All",ISNUMBER(SEARCH(Query!$B$6,'Compliance Database'!$I336))),OR(Query!$B$7="All",ISNUMBER(SEARCH(Query!$B$7,'Compliance Database'!$J336))),OR(Query!$B$8="All",'Compliance Database'!$G336=Query!$B$8),OR(Query!$B$9="All",'Compliance Database'!$K336=Query!$B$9),OR(Query!$B$10="",ISNUMBER(SEARCH(Query!$B$10,'Compliance Database'!$D336&amp;" "&amp;'Compliance Database'!$L336&amp;" "&amp;'Compliance Database'!$M336&amp;" "&amp;'Compliance Database'!$N336&amp;" "&amp;'Compliance Database'!$O336)))),1,0)</f>
        <v/>
      </c>
      <c r="B336">
        <f>IF($A336=1,SUM($A$2:$A336),"")</f>
        <v/>
      </c>
      <c r="C336">
        <f>IF($A336=1,SUM($A$2:$A336),0)</f>
        <v/>
      </c>
    </row>
    <row r="337">
      <c r="A337">
        <f>IF(AND(OR(Query!$B$4="All",'Compliance Database'!$A337=Query!$B$4),OR(Query!$B$5="All",'Compliance Database'!$F337=Query!$B$5),OR(Query!$B$6="All",ISNUMBER(SEARCH(Query!$B$6,'Compliance Database'!$I337))),OR(Query!$B$7="All",ISNUMBER(SEARCH(Query!$B$7,'Compliance Database'!$J337))),OR(Query!$B$8="All",'Compliance Database'!$G337=Query!$B$8),OR(Query!$B$9="All",'Compliance Database'!$K337=Query!$B$9),OR(Query!$B$10="",ISNUMBER(SEARCH(Query!$B$10,'Compliance Database'!$D337&amp;" "&amp;'Compliance Database'!$L337&amp;" "&amp;'Compliance Database'!$M337&amp;" "&amp;'Compliance Database'!$N337&amp;" "&amp;'Compliance Database'!$O337)))),1,0)</f>
        <v/>
      </c>
      <c r="B337">
        <f>IF($A337=1,SUM($A$2:$A337),"")</f>
        <v/>
      </c>
      <c r="C337">
        <f>IF($A337=1,SUM($A$2:$A337),0)</f>
        <v/>
      </c>
    </row>
    <row r="338">
      <c r="A338">
        <f>IF(AND(OR(Query!$B$4="All",'Compliance Database'!$A338=Query!$B$4),OR(Query!$B$5="All",'Compliance Database'!$F338=Query!$B$5),OR(Query!$B$6="All",ISNUMBER(SEARCH(Query!$B$6,'Compliance Database'!$I338))),OR(Query!$B$7="All",ISNUMBER(SEARCH(Query!$B$7,'Compliance Database'!$J338))),OR(Query!$B$8="All",'Compliance Database'!$G338=Query!$B$8),OR(Query!$B$9="All",'Compliance Database'!$K338=Query!$B$9),OR(Query!$B$10="",ISNUMBER(SEARCH(Query!$B$10,'Compliance Database'!$D338&amp;" "&amp;'Compliance Database'!$L338&amp;" "&amp;'Compliance Database'!$M338&amp;" "&amp;'Compliance Database'!$N338&amp;" "&amp;'Compliance Database'!$O338)))),1,0)</f>
        <v/>
      </c>
      <c r="B338">
        <f>IF($A338=1,SUM($A$2:$A338),"")</f>
        <v/>
      </c>
      <c r="C338">
        <f>IF($A338=1,SUM($A$2:$A338),0)</f>
        <v/>
      </c>
    </row>
    <row r="339">
      <c r="A339">
        <f>IF(AND(OR(Query!$B$4="All",'Compliance Database'!$A339=Query!$B$4),OR(Query!$B$5="All",'Compliance Database'!$F339=Query!$B$5),OR(Query!$B$6="All",ISNUMBER(SEARCH(Query!$B$6,'Compliance Database'!$I339))),OR(Query!$B$7="All",ISNUMBER(SEARCH(Query!$B$7,'Compliance Database'!$J339))),OR(Query!$B$8="All",'Compliance Database'!$G339=Query!$B$8),OR(Query!$B$9="All",'Compliance Database'!$K339=Query!$B$9),OR(Query!$B$10="",ISNUMBER(SEARCH(Query!$B$10,'Compliance Database'!$D339&amp;" "&amp;'Compliance Database'!$L339&amp;" "&amp;'Compliance Database'!$M339&amp;" "&amp;'Compliance Database'!$N339&amp;" "&amp;'Compliance Database'!$O339)))),1,0)</f>
        <v/>
      </c>
      <c r="B339">
        <f>IF($A339=1,SUM($A$2:$A339),"")</f>
        <v/>
      </c>
      <c r="C339">
        <f>IF($A339=1,SUM($A$2:$A339),0)</f>
        <v/>
      </c>
    </row>
    <row r="340">
      <c r="A340">
        <f>IF(AND(OR(Query!$B$4="All",'Compliance Database'!$A340=Query!$B$4),OR(Query!$B$5="All",'Compliance Database'!$F340=Query!$B$5),OR(Query!$B$6="All",ISNUMBER(SEARCH(Query!$B$6,'Compliance Database'!$I340))),OR(Query!$B$7="All",ISNUMBER(SEARCH(Query!$B$7,'Compliance Database'!$J340))),OR(Query!$B$8="All",'Compliance Database'!$G340=Query!$B$8),OR(Query!$B$9="All",'Compliance Database'!$K340=Query!$B$9),OR(Query!$B$10="",ISNUMBER(SEARCH(Query!$B$10,'Compliance Database'!$D340&amp;" "&amp;'Compliance Database'!$L340&amp;" "&amp;'Compliance Database'!$M340&amp;" "&amp;'Compliance Database'!$N340&amp;" "&amp;'Compliance Database'!$O340)))),1,0)</f>
        <v/>
      </c>
      <c r="B340">
        <f>IF($A340=1,SUM($A$2:$A340),"")</f>
        <v/>
      </c>
      <c r="C340">
        <f>IF($A340=1,SUM($A$2:$A340),0)</f>
        <v/>
      </c>
    </row>
    <row r="341">
      <c r="A341">
        <f>IF(AND(OR(Query!$B$4="All",'Compliance Database'!$A341=Query!$B$4),OR(Query!$B$5="All",'Compliance Database'!$F341=Query!$B$5),OR(Query!$B$6="All",ISNUMBER(SEARCH(Query!$B$6,'Compliance Database'!$I341))),OR(Query!$B$7="All",ISNUMBER(SEARCH(Query!$B$7,'Compliance Database'!$J341))),OR(Query!$B$8="All",'Compliance Database'!$G341=Query!$B$8),OR(Query!$B$9="All",'Compliance Database'!$K341=Query!$B$9),OR(Query!$B$10="",ISNUMBER(SEARCH(Query!$B$10,'Compliance Database'!$D341&amp;" "&amp;'Compliance Database'!$L341&amp;" "&amp;'Compliance Database'!$M341&amp;" "&amp;'Compliance Database'!$N341&amp;" "&amp;'Compliance Database'!$O341)))),1,0)</f>
        <v/>
      </c>
      <c r="B341">
        <f>IF($A341=1,SUM($A$2:$A341),"")</f>
        <v/>
      </c>
      <c r="C341">
        <f>IF($A341=1,SUM($A$2:$A341),0)</f>
        <v/>
      </c>
    </row>
    <row r="342">
      <c r="A342">
        <f>IF(AND(OR(Query!$B$4="All",'Compliance Database'!$A342=Query!$B$4),OR(Query!$B$5="All",'Compliance Database'!$F342=Query!$B$5),OR(Query!$B$6="All",ISNUMBER(SEARCH(Query!$B$6,'Compliance Database'!$I342))),OR(Query!$B$7="All",ISNUMBER(SEARCH(Query!$B$7,'Compliance Database'!$J342))),OR(Query!$B$8="All",'Compliance Database'!$G342=Query!$B$8),OR(Query!$B$9="All",'Compliance Database'!$K342=Query!$B$9),OR(Query!$B$10="",ISNUMBER(SEARCH(Query!$B$10,'Compliance Database'!$D342&amp;" "&amp;'Compliance Database'!$L342&amp;" "&amp;'Compliance Database'!$M342&amp;" "&amp;'Compliance Database'!$N342&amp;" "&amp;'Compliance Database'!$O342)))),1,0)</f>
        <v/>
      </c>
      <c r="B342">
        <f>IF($A342=1,SUM($A$2:$A342),"")</f>
        <v/>
      </c>
      <c r="C342">
        <f>IF($A342=1,SUM($A$2:$A342),0)</f>
        <v/>
      </c>
    </row>
    <row r="343">
      <c r="A343">
        <f>IF(AND(OR(Query!$B$4="All",'Compliance Database'!$A343=Query!$B$4),OR(Query!$B$5="All",'Compliance Database'!$F343=Query!$B$5),OR(Query!$B$6="All",ISNUMBER(SEARCH(Query!$B$6,'Compliance Database'!$I343))),OR(Query!$B$7="All",ISNUMBER(SEARCH(Query!$B$7,'Compliance Database'!$J343))),OR(Query!$B$8="All",'Compliance Database'!$G343=Query!$B$8),OR(Query!$B$9="All",'Compliance Database'!$K343=Query!$B$9),OR(Query!$B$10="",ISNUMBER(SEARCH(Query!$B$10,'Compliance Database'!$D343&amp;" "&amp;'Compliance Database'!$L343&amp;" "&amp;'Compliance Database'!$M343&amp;" "&amp;'Compliance Database'!$N343&amp;" "&amp;'Compliance Database'!$O343)))),1,0)</f>
        <v/>
      </c>
      <c r="B343">
        <f>IF($A343=1,SUM($A$2:$A343),"")</f>
        <v/>
      </c>
      <c r="C343">
        <f>IF($A343=1,SUM($A$2:$A343),0)</f>
        <v/>
      </c>
    </row>
    <row r="344">
      <c r="A344">
        <f>IF(AND(OR(Query!$B$4="All",'Compliance Database'!$A344=Query!$B$4),OR(Query!$B$5="All",'Compliance Database'!$F344=Query!$B$5),OR(Query!$B$6="All",ISNUMBER(SEARCH(Query!$B$6,'Compliance Database'!$I344))),OR(Query!$B$7="All",ISNUMBER(SEARCH(Query!$B$7,'Compliance Database'!$J344))),OR(Query!$B$8="All",'Compliance Database'!$G344=Query!$B$8),OR(Query!$B$9="All",'Compliance Database'!$K344=Query!$B$9),OR(Query!$B$10="",ISNUMBER(SEARCH(Query!$B$10,'Compliance Database'!$D344&amp;" "&amp;'Compliance Database'!$L344&amp;" "&amp;'Compliance Database'!$M344&amp;" "&amp;'Compliance Database'!$N344&amp;" "&amp;'Compliance Database'!$O344)))),1,0)</f>
        <v/>
      </c>
      <c r="B344">
        <f>IF($A344=1,SUM($A$2:$A344),"")</f>
        <v/>
      </c>
      <c r="C344">
        <f>IF($A344=1,SUM($A$2:$A344),0)</f>
        <v/>
      </c>
    </row>
    <row r="345">
      <c r="A345">
        <f>IF(AND(OR(Query!$B$4="All",'Compliance Database'!$A345=Query!$B$4),OR(Query!$B$5="All",'Compliance Database'!$F345=Query!$B$5),OR(Query!$B$6="All",ISNUMBER(SEARCH(Query!$B$6,'Compliance Database'!$I345))),OR(Query!$B$7="All",ISNUMBER(SEARCH(Query!$B$7,'Compliance Database'!$J345))),OR(Query!$B$8="All",'Compliance Database'!$G345=Query!$B$8),OR(Query!$B$9="All",'Compliance Database'!$K345=Query!$B$9),OR(Query!$B$10="",ISNUMBER(SEARCH(Query!$B$10,'Compliance Database'!$D345&amp;" "&amp;'Compliance Database'!$L345&amp;" "&amp;'Compliance Database'!$M345&amp;" "&amp;'Compliance Database'!$N345&amp;" "&amp;'Compliance Database'!$O345)))),1,0)</f>
        <v/>
      </c>
      <c r="B345">
        <f>IF($A345=1,SUM($A$2:$A345),"")</f>
        <v/>
      </c>
      <c r="C345">
        <f>IF($A345=1,SUM($A$2:$A345),0)</f>
        <v/>
      </c>
    </row>
    <row r="346">
      <c r="A346">
        <f>IF(AND(OR(Query!$B$4="All",'Compliance Database'!$A346=Query!$B$4),OR(Query!$B$5="All",'Compliance Database'!$F346=Query!$B$5),OR(Query!$B$6="All",ISNUMBER(SEARCH(Query!$B$6,'Compliance Database'!$I346))),OR(Query!$B$7="All",ISNUMBER(SEARCH(Query!$B$7,'Compliance Database'!$J346))),OR(Query!$B$8="All",'Compliance Database'!$G346=Query!$B$8),OR(Query!$B$9="All",'Compliance Database'!$K346=Query!$B$9),OR(Query!$B$10="",ISNUMBER(SEARCH(Query!$B$10,'Compliance Database'!$D346&amp;" "&amp;'Compliance Database'!$L346&amp;" "&amp;'Compliance Database'!$M346&amp;" "&amp;'Compliance Database'!$N346&amp;" "&amp;'Compliance Database'!$O346)))),1,0)</f>
        <v/>
      </c>
      <c r="B346">
        <f>IF($A346=1,SUM($A$2:$A346),"")</f>
        <v/>
      </c>
      <c r="C346">
        <f>IF($A346=1,SUM($A$2:$A346),0)</f>
        <v/>
      </c>
    </row>
    <row r="347">
      <c r="A347">
        <f>IF(AND(OR(Query!$B$4="All",'Compliance Database'!$A347=Query!$B$4),OR(Query!$B$5="All",'Compliance Database'!$F347=Query!$B$5),OR(Query!$B$6="All",ISNUMBER(SEARCH(Query!$B$6,'Compliance Database'!$I347))),OR(Query!$B$7="All",ISNUMBER(SEARCH(Query!$B$7,'Compliance Database'!$J347))),OR(Query!$B$8="All",'Compliance Database'!$G347=Query!$B$8),OR(Query!$B$9="All",'Compliance Database'!$K347=Query!$B$9),OR(Query!$B$10="",ISNUMBER(SEARCH(Query!$B$10,'Compliance Database'!$D347&amp;" "&amp;'Compliance Database'!$L347&amp;" "&amp;'Compliance Database'!$M347&amp;" "&amp;'Compliance Database'!$N347&amp;" "&amp;'Compliance Database'!$O347)))),1,0)</f>
        <v/>
      </c>
      <c r="B347">
        <f>IF($A347=1,SUM($A$2:$A347),"")</f>
        <v/>
      </c>
      <c r="C347">
        <f>IF($A347=1,SUM($A$2:$A347),0)</f>
        <v/>
      </c>
    </row>
    <row r="348">
      <c r="A348">
        <f>IF(AND(OR(Query!$B$4="All",'Compliance Database'!$A348=Query!$B$4),OR(Query!$B$5="All",'Compliance Database'!$F348=Query!$B$5),OR(Query!$B$6="All",ISNUMBER(SEARCH(Query!$B$6,'Compliance Database'!$I348))),OR(Query!$B$7="All",ISNUMBER(SEARCH(Query!$B$7,'Compliance Database'!$J348))),OR(Query!$B$8="All",'Compliance Database'!$G348=Query!$B$8),OR(Query!$B$9="All",'Compliance Database'!$K348=Query!$B$9),OR(Query!$B$10="",ISNUMBER(SEARCH(Query!$B$10,'Compliance Database'!$D348&amp;" "&amp;'Compliance Database'!$L348&amp;" "&amp;'Compliance Database'!$M348&amp;" "&amp;'Compliance Database'!$N348&amp;" "&amp;'Compliance Database'!$O348)))),1,0)</f>
        <v/>
      </c>
      <c r="B348">
        <f>IF($A348=1,SUM($A$2:$A348),"")</f>
        <v/>
      </c>
      <c r="C348">
        <f>IF($A348=1,SUM($A$2:$A348),0)</f>
        <v/>
      </c>
    </row>
    <row r="349">
      <c r="A349">
        <f>IF(AND(OR(Query!$B$4="All",'Compliance Database'!$A349=Query!$B$4),OR(Query!$B$5="All",'Compliance Database'!$F349=Query!$B$5),OR(Query!$B$6="All",ISNUMBER(SEARCH(Query!$B$6,'Compliance Database'!$I349))),OR(Query!$B$7="All",ISNUMBER(SEARCH(Query!$B$7,'Compliance Database'!$J349))),OR(Query!$B$8="All",'Compliance Database'!$G349=Query!$B$8),OR(Query!$B$9="All",'Compliance Database'!$K349=Query!$B$9),OR(Query!$B$10="",ISNUMBER(SEARCH(Query!$B$10,'Compliance Database'!$D349&amp;" "&amp;'Compliance Database'!$L349&amp;" "&amp;'Compliance Database'!$M349&amp;" "&amp;'Compliance Database'!$N349&amp;" "&amp;'Compliance Database'!$O349)))),1,0)</f>
        <v/>
      </c>
      <c r="B349">
        <f>IF($A349=1,SUM($A$2:$A349),"")</f>
        <v/>
      </c>
      <c r="C349">
        <f>IF($A349=1,SUM($A$2:$A349),0)</f>
        <v/>
      </c>
    </row>
    <row r="350">
      <c r="A350">
        <f>IF(AND(OR(Query!$B$4="All",'Compliance Database'!$A350=Query!$B$4),OR(Query!$B$5="All",'Compliance Database'!$F350=Query!$B$5),OR(Query!$B$6="All",ISNUMBER(SEARCH(Query!$B$6,'Compliance Database'!$I350))),OR(Query!$B$7="All",ISNUMBER(SEARCH(Query!$B$7,'Compliance Database'!$J350))),OR(Query!$B$8="All",'Compliance Database'!$G350=Query!$B$8),OR(Query!$B$9="All",'Compliance Database'!$K350=Query!$B$9),OR(Query!$B$10="",ISNUMBER(SEARCH(Query!$B$10,'Compliance Database'!$D350&amp;" "&amp;'Compliance Database'!$L350&amp;" "&amp;'Compliance Database'!$M350&amp;" "&amp;'Compliance Database'!$N350&amp;" "&amp;'Compliance Database'!$O350)))),1,0)</f>
        <v/>
      </c>
      <c r="B350">
        <f>IF($A350=1,SUM($A$2:$A350),"")</f>
        <v/>
      </c>
      <c r="C350">
        <f>IF($A350=1,SUM($A$2:$A350),0)</f>
        <v/>
      </c>
    </row>
    <row r="351">
      <c r="A351">
        <f>IF(AND(OR(Query!$B$4="All",'Compliance Database'!$A351=Query!$B$4),OR(Query!$B$5="All",'Compliance Database'!$F351=Query!$B$5),OR(Query!$B$6="All",ISNUMBER(SEARCH(Query!$B$6,'Compliance Database'!$I351))),OR(Query!$B$7="All",ISNUMBER(SEARCH(Query!$B$7,'Compliance Database'!$J351))),OR(Query!$B$8="All",'Compliance Database'!$G351=Query!$B$8),OR(Query!$B$9="All",'Compliance Database'!$K351=Query!$B$9),OR(Query!$B$10="",ISNUMBER(SEARCH(Query!$B$10,'Compliance Database'!$D351&amp;" "&amp;'Compliance Database'!$L351&amp;" "&amp;'Compliance Database'!$M351&amp;" "&amp;'Compliance Database'!$N351&amp;" "&amp;'Compliance Database'!$O351)))),1,0)</f>
        <v/>
      </c>
      <c r="B351">
        <f>IF($A351=1,SUM($A$2:$A351),"")</f>
        <v/>
      </c>
      <c r="C351">
        <f>IF($A351=1,SUM($A$2:$A351),0)</f>
        <v/>
      </c>
    </row>
    <row r="352">
      <c r="A352">
        <f>IF(AND(OR(Query!$B$4="All",'Compliance Database'!$A352=Query!$B$4),OR(Query!$B$5="All",'Compliance Database'!$F352=Query!$B$5),OR(Query!$B$6="All",ISNUMBER(SEARCH(Query!$B$6,'Compliance Database'!$I352))),OR(Query!$B$7="All",ISNUMBER(SEARCH(Query!$B$7,'Compliance Database'!$J352))),OR(Query!$B$8="All",'Compliance Database'!$G352=Query!$B$8),OR(Query!$B$9="All",'Compliance Database'!$K352=Query!$B$9),OR(Query!$B$10="",ISNUMBER(SEARCH(Query!$B$10,'Compliance Database'!$D352&amp;" "&amp;'Compliance Database'!$L352&amp;" "&amp;'Compliance Database'!$M352&amp;" "&amp;'Compliance Database'!$N352&amp;" "&amp;'Compliance Database'!$O352)))),1,0)</f>
        <v/>
      </c>
      <c r="B352">
        <f>IF($A352=1,SUM($A$2:$A352),"")</f>
        <v/>
      </c>
      <c r="C352">
        <f>IF($A352=1,SUM($A$2:$A352),0)</f>
        <v/>
      </c>
    </row>
    <row r="353">
      <c r="A353">
        <f>IF(AND(OR(Query!$B$4="All",'Compliance Database'!$A353=Query!$B$4),OR(Query!$B$5="All",'Compliance Database'!$F353=Query!$B$5),OR(Query!$B$6="All",ISNUMBER(SEARCH(Query!$B$6,'Compliance Database'!$I353))),OR(Query!$B$7="All",ISNUMBER(SEARCH(Query!$B$7,'Compliance Database'!$J353))),OR(Query!$B$8="All",'Compliance Database'!$G353=Query!$B$8),OR(Query!$B$9="All",'Compliance Database'!$K353=Query!$B$9),OR(Query!$B$10="",ISNUMBER(SEARCH(Query!$B$10,'Compliance Database'!$D353&amp;" "&amp;'Compliance Database'!$L353&amp;" "&amp;'Compliance Database'!$M353&amp;" "&amp;'Compliance Database'!$N353&amp;" "&amp;'Compliance Database'!$O353)))),1,0)</f>
        <v/>
      </c>
      <c r="B353">
        <f>IF($A353=1,SUM($A$2:$A353),"")</f>
        <v/>
      </c>
      <c r="C353">
        <f>IF($A353=1,SUM($A$2:$A353),0)</f>
        <v/>
      </c>
    </row>
    <row r="354">
      <c r="A354">
        <f>IF(AND(OR(Query!$B$4="All",'Compliance Database'!$A354=Query!$B$4),OR(Query!$B$5="All",'Compliance Database'!$F354=Query!$B$5),OR(Query!$B$6="All",ISNUMBER(SEARCH(Query!$B$6,'Compliance Database'!$I354))),OR(Query!$B$7="All",ISNUMBER(SEARCH(Query!$B$7,'Compliance Database'!$J354))),OR(Query!$B$8="All",'Compliance Database'!$G354=Query!$B$8),OR(Query!$B$9="All",'Compliance Database'!$K354=Query!$B$9),OR(Query!$B$10="",ISNUMBER(SEARCH(Query!$B$10,'Compliance Database'!$D354&amp;" "&amp;'Compliance Database'!$L354&amp;" "&amp;'Compliance Database'!$M354&amp;" "&amp;'Compliance Database'!$N354&amp;" "&amp;'Compliance Database'!$O354)))),1,0)</f>
        <v/>
      </c>
      <c r="B354">
        <f>IF($A354=1,SUM($A$2:$A354),"")</f>
        <v/>
      </c>
      <c r="C354">
        <f>IF($A354=1,SUM($A$2:$A354),0)</f>
        <v/>
      </c>
    </row>
    <row r="355">
      <c r="A355">
        <f>IF(AND(OR(Query!$B$4="All",'Compliance Database'!$A355=Query!$B$4),OR(Query!$B$5="All",'Compliance Database'!$F355=Query!$B$5),OR(Query!$B$6="All",ISNUMBER(SEARCH(Query!$B$6,'Compliance Database'!$I355))),OR(Query!$B$7="All",ISNUMBER(SEARCH(Query!$B$7,'Compliance Database'!$J355))),OR(Query!$B$8="All",'Compliance Database'!$G355=Query!$B$8),OR(Query!$B$9="All",'Compliance Database'!$K355=Query!$B$9),OR(Query!$B$10="",ISNUMBER(SEARCH(Query!$B$10,'Compliance Database'!$D355&amp;" "&amp;'Compliance Database'!$L355&amp;" "&amp;'Compliance Database'!$M355&amp;" "&amp;'Compliance Database'!$N355&amp;" "&amp;'Compliance Database'!$O355)))),1,0)</f>
        <v/>
      </c>
      <c r="B355">
        <f>IF($A355=1,SUM($A$2:$A355),"")</f>
        <v/>
      </c>
      <c r="C355">
        <f>IF($A355=1,SUM($A$2:$A355),0)</f>
        <v/>
      </c>
    </row>
    <row r="356">
      <c r="A356">
        <f>IF(AND(OR(Query!$B$4="All",'Compliance Database'!$A356=Query!$B$4),OR(Query!$B$5="All",'Compliance Database'!$F356=Query!$B$5),OR(Query!$B$6="All",ISNUMBER(SEARCH(Query!$B$6,'Compliance Database'!$I356))),OR(Query!$B$7="All",ISNUMBER(SEARCH(Query!$B$7,'Compliance Database'!$J356))),OR(Query!$B$8="All",'Compliance Database'!$G356=Query!$B$8),OR(Query!$B$9="All",'Compliance Database'!$K356=Query!$B$9),OR(Query!$B$10="",ISNUMBER(SEARCH(Query!$B$10,'Compliance Database'!$D356&amp;" "&amp;'Compliance Database'!$L356&amp;" "&amp;'Compliance Database'!$M356&amp;" "&amp;'Compliance Database'!$N356&amp;" "&amp;'Compliance Database'!$O356)))),1,0)</f>
        <v/>
      </c>
      <c r="B356">
        <f>IF($A356=1,SUM($A$2:$A356),"")</f>
        <v/>
      </c>
      <c r="C356">
        <f>IF($A356=1,SUM($A$2:$A356),0)</f>
        <v/>
      </c>
    </row>
    <row r="357">
      <c r="A357">
        <f>IF(AND(OR(Query!$B$4="All",'Compliance Database'!$A357=Query!$B$4),OR(Query!$B$5="All",'Compliance Database'!$F357=Query!$B$5),OR(Query!$B$6="All",ISNUMBER(SEARCH(Query!$B$6,'Compliance Database'!$I357))),OR(Query!$B$7="All",ISNUMBER(SEARCH(Query!$B$7,'Compliance Database'!$J357))),OR(Query!$B$8="All",'Compliance Database'!$G357=Query!$B$8),OR(Query!$B$9="All",'Compliance Database'!$K357=Query!$B$9),OR(Query!$B$10="",ISNUMBER(SEARCH(Query!$B$10,'Compliance Database'!$D357&amp;" "&amp;'Compliance Database'!$L357&amp;" "&amp;'Compliance Database'!$M357&amp;" "&amp;'Compliance Database'!$N357&amp;" "&amp;'Compliance Database'!$O357)))),1,0)</f>
        <v/>
      </c>
      <c r="B357">
        <f>IF($A357=1,SUM($A$2:$A357),"")</f>
        <v/>
      </c>
      <c r="C357">
        <f>IF($A357=1,SUM($A$2:$A357),0)</f>
        <v/>
      </c>
    </row>
    <row r="358">
      <c r="A358">
        <f>IF(AND(OR(Query!$B$4="All",'Compliance Database'!$A358=Query!$B$4),OR(Query!$B$5="All",'Compliance Database'!$F358=Query!$B$5),OR(Query!$B$6="All",ISNUMBER(SEARCH(Query!$B$6,'Compliance Database'!$I358))),OR(Query!$B$7="All",ISNUMBER(SEARCH(Query!$B$7,'Compliance Database'!$J358))),OR(Query!$B$8="All",'Compliance Database'!$G358=Query!$B$8),OR(Query!$B$9="All",'Compliance Database'!$K358=Query!$B$9),OR(Query!$B$10="",ISNUMBER(SEARCH(Query!$B$10,'Compliance Database'!$D358&amp;" "&amp;'Compliance Database'!$L358&amp;" "&amp;'Compliance Database'!$M358&amp;" "&amp;'Compliance Database'!$N358&amp;" "&amp;'Compliance Database'!$O358)))),1,0)</f>
        <v/>
      </c>
      <c r="B358">
        <f>IF($A358=1,SUM($A$2:$A358),"")</f>
        <v/>
      </c>
      <c r="C358">
        <f>IF($A358=1,SUM($A$2:$A358),0)</f>
        <v/>
      </c>
    </row>
    <row r="359">
      <c r="A359">
        <f>IF(AND(OR(Query!$B$4="All",'Compliance Database'!$A359=Query!$B$4),OR(Query!$B$5="All",'Compliance Database'!$F359=Query!$B$5),OR(Query!$B$6="All",ISNUMBER(SEARCH(Query!$B$6,'Compliance Database'!$I359))),OR(Query!$B$7="All",ISNUMBER(SEARCH(Query!$B$7,'Compliance Database'!$J359))),OR(Query!$B$8="All",'Compliance Database'!$G359=Query!$B$8),OR(Query!$B$9="All",'Compliance Database'!$K359=Query!$B$9),OR(Query!$B$10="",ISNUMBER(SEARCH(Query!$B$10,'Compliance Database'!$D359&amp;" "&amp;'Compliance Database'!$L359&amp;" "&amp;'Compliance Database'!$M359&amp;" "&amp;'Compliance Database'!$N359&amp;" "&amp;'Compliance Database'!$O359)))),1,0)</f>
        <v/>
      </c>
      <c r="B359">
        <f>IF($A359=1,SUM($A$2:$A359),"")</f>
        <v/>
      </c>
      <c r="C359">
        <f>IF($A359=1,SUM($A$2:$A359),0)</f>
        <v/>
      </c>
    </row>
    <row r="360">
      <c r="A360">
        <f>IF(AND(OR(Query!$B$4="All",'Compliance Database'!$A360=Query!$B$4),OR(Query!$B$5="All",'Compliance Database'!$F360=Query!$B$5),OR(Query!$B$6="All",ISNUMBER(SEARCH(Query!$B$6,'Compliance Database'!$I360))),OR(Query!$B$7="All",ISNUMBER(SEARCH(Query!$B$7,'Compliance Database'!$J360))),OR(Query!$B$8="All",'Compliance Database'!$G360=Query!$B$8),OR(Query!$B$9="All",'Compliance Database'!$K360=Query!$B$9),OR(Query!$B$10="",ISNUMBER(SEARCH(Query!$B$10,'Compliance Database'!$D360&amp;" "&amp;'Compliance Database'!$L360&amp;" "&amp;'Compliance Database'!$M360&amp;" "&amp;'Compliance Database'!$N360&amp;" "&amp;'Compliance Database'!$O360)))),1,0)</f>
        <v/>
      </c>
      <c r="B360">
        <f>IF($A360=1,SUM($A$2:$A360),"")</f>
        <v/>
      </c>
      <c r="C360">
        <f>IF($A360=1,SUM($A$2:$A360),0)</f>
        <v/>
      </c>
    </row>
    <row r="361">
      <c r="A361">
        <f>IF(AND(OR(Query!$B$4="All",'Compliance Database'!$A361=Query!$B$4),OR(Query!$B$5="All",'Compliance Database'!$F361=Query!$B$5),OR(Query!$B$6="All",ISNUMBER(SEARCH(Query!$B$6,'Compliance Database'!$I361))),OR(Query!$B$7="All",ISNUMBER(SEARCH(Query!$B$7,'Compliance Database'!$J361))),OR(Query!$B$8="All",'Compliance Database'!$G361=Query!$B$8),OR(Query!$B$9="All",'Compliance Database'!$K361=Query!$B$9),OR(Query!$B$10="",ISNUMBER(SEARCH(Query!$B$10,'Compliance Database'!$D361&amp;" "&amp;'Compliance Database'!$L361&amp;" "&amp;'Compliance Database'!$M361&amp;" "&amp;'Compliance Database'!$N361&amp;" "&amp;'Compliance Database'!$O361)))),1,0)</f>
        <v/>
      </c>
      <c r="B361">
        <f>IF($A361=1,SUM($A$2:$A361),"")</f>
        <v/>
      </c>
      <c r="C361">
        <f>IF($A361=1,SUM($A$2:$A361),0)</f>
        <v/>
      </c>
    </row>
    <row r="362">
      <c r="A362">
        <f>IF(AND(OR(Query!$B$4="All",'Compliance Database'!$A362=Query!$B$4),OR(Query!$B$5="All",'Compliance Database'!$F362=Query!$B$5),OR(Query!$B$6="All",ISNUMBER(SEARCH(Query!$B$6,'Compliance Database'!$I362))),OR(Query!$B$7="All",ISNUMBER(SEARCH(Query!$B$7,'Compliance Database'!$J362))),OR(Query!$B$8="All",'Compliance Database'!$G362=Query!$B$8),OR(Query!$B$9="All",'Compliance Database'!$K362=Query!$B$9),OR(Query!$B$10="",ISNUMBER(SEARCH(Query!$B$10,'Compliance Database'!$D362&amp;" "&amp;'Compliance Database'!$L362&amp;" "&amp;'Compliance Database'!$M362&amp;" "&amp;'Compliance Database'!$N362&amp;" "&amp;'Compliance Database'!$O362)))),1,0)</f>
        <v/>
      </c>
      <c r="B362">
        <f>IF($A362=1,SUM($A$2:$A362),"")</f>
        <v/>
      </c>
      <c r="C362">
        <f>IF($A362=1,SUM($A$2:$A362),0)</f>
        <v/>
      </c>
    </row>
    <row r="363">
      <c r="A363">
        <f>IF(AND(OR(Query!$B$4="All",'Compliance Database'!$A363=Query!$B$4),OR(Query!$B$5="All",'Compliance Database'!$F363=Query!$B$5),OR(Query!$B$6="All",ISNUMBER(SEARCH(Query!$B$6,'Compliance Database'!$I363))),OR(Query!$B$7="All",ISNUMBER(SEARCH(Query!$B$7,'Compliance Database'!$J363))),OR(Query!$B$8="All",'Compliance Database'!$G363=Query!$B$8),OR(Query!$B$9="All",'Compliance Database'!$K363=Query!$B$9),OR(Query!$B$10="",ISNUMBER(SEARCH(Query!$B$10,'Compliance Database'!$D363&amp;" "&amp;'Compliance Database'!$L363&amp;" "&amp;'Compliance Database'!$M363&amp;" "&amp;'Compliance Database'!$N363&amp;" "&amp;'Compliance Database'!$O363)))),1,0)</f>
        <v/>
      </c>
      <c r="B363">
        <f>IF($A363=1,SUM($A$2:$A363),"")</f>
        <v/>
      </c>
      <c r="C363">
        <f>IF($A363=1,SUM($A$2:$A363),0)</f>
        <v/>
      </c>
    </row>
    <row r="364">
      <c r="A364">
        <f>IF(AND(OR(Query!$B$4="All",'Compliance Database'!$A364=Query!$B$4),OR(Query!$B$5="All",'Compliance Database'!$F364=Query!$B$5),OR(Query!$B$6="All",ISNUMBER(SEARCH(Query!$B$6,'Compliance Database'!$I364))),OR(Query!$B$7="All",ISNUMBER(SEARCH(Query!$B$7,'Compliance Database'!$J364))),OR(Query!$B$8="All",'Compliance Database'!$G364=Query!$B$8),OR(Query!$B$9="All",'Compliance Database'!$K364=Query!$B$9),OR(Query!$B$10="",ISNUMBER(SEARCH(Query!$B$10,'Compliance Database'!$D364&amp;" "&amp;'Compliance Database'!$L364&amp;" "&amp;'Compliance Database'!$M364&amp;" "&amp;'Compliance Database'!$N364&amp;" "&amp;'Compliance Database'!$O364)))),1,0)</f>
        <v/>
      </c>
      <c r="B364">
        <f>IF($A364=1,SUM($A$2:$A364),"")</f>
        <v/>
      </c>
      <c r="C364">
        <f>IF($A364=1,SUM($A$2:$A364),0)</f>
        <v/>
      </c>
    </row>
    <row r="365">
      <c r="A365">
        <f>IF(AND(OR(Query!$B$4="All",'Compliance Database'!$A365=Query!$B$4),OR(Query!$B$5="All",'Compliance Database'!$F365=Query!$B$5),OR(Query!$B$6="All",ISNUMBER(SEARCH(Query!$B$6,'Compliance Database'!$I365))),OR(Query!$B$7="All",ISNUMBER(SEARCH(Query!$B$7,'Compliance Database'!$J365))),OR(Query!$B$8="All",'Compliance Database'!$G365=Query!$B$8),OR(Query!$B$9="All",'Compliance Database'!$K365=Query!$B$9),OR(Query!$B$10="",ISNUMBER(SEARCH(Query!$B$10,'Compliance Database'!$D365&amp;" "&amp;'Compliance Database'!$L365&amp;" "&amp;'Compliance Database'!$M365&amp;" "&amp;'Compliance Database'!$N365&amp;" "&amp;'Compliance Database'!$O365)))),1,0)</f>
        <v/>
      </c>
      <c r="B365">
        <f>IF($A365=1,SUM($A$2:$A365),"")</f>
        <v/>
      </c>
      <c r="C365">
        <f>IF($A365=1,SUM($A$2:$A365),0)</f>
        <v/>
      </c>
    </row>
    <row r="366">
      <c r="A366">
        <f>IF(AND(OR(Query!$B$4="All",'Compliance Database'!$A366=Query!$B$4),OR(Query!$B$5="All",'Compliance Database'!$F366=Query!$B$5),OR(Query!$B$6="All",ISNUMBER(SEARCH(Query!$B$6,'Compliance Database'!$I366))),OR(Query!$B$7="All",ISNUMBER(SEARCH(Query!$B$7,'Compliance Database'!$J366))),OR(Query!$B$8="All",'Compliance Database'!$G366=Query!$B$8),OR(Query!$B$9="All",'Compliance Database'!$K366=Query!$B$9),OR(Query!$B$10="",ISNUMBER(SEARCH(Query!$B$10,'Compliance Database'!$D366&amp;" "&amp;'Compliance Database'!$L366&amp;" "&amp;'Compliance Database'!$M366&amp;" "&amp;'Compliance Database'!$N366&amp;" "&amp;'Compliance Database'!$O366)))),1,0)</f>
        <v/>
      </c>
      <c r="B366">
        <f>IF($A366=1,SUM($A$2:$A366),"")</f>
        <v/>
      </c>
      <c r="C366">
        <f>IF($A366=1,SUM($A$2:$A366),0)</f>
        <v/>
      </c>
    </row>
    <row r="367">
      <c r="A367">
        <f>IF(AND(OR(Query!$B$4="All",'Compliance Database'!$A367=Query!$B$4),OR(Query!$B$5="All",'Compliance Database'!$F367=Query!$B$5),OR(Query!$B$6="All",ISNUMBER(SEARCH(Query!$B$6,'Compliance Database'!$I367))),OR(Query!$B$7="All",ISNUMBER(SEARCH(Query!$B$7,'Compliance Database'!$J367))),OR(Query!$B$8="All",'Compliance Database'!$G367=Query!$B$8),OR(Query!$B$9="All",'Compliance Database'!$K367=Query!$B$9),OR(Query!$B$10="",ISNUMBER(SEARCH(Query!$B$10,'Compliance Database'!$D367&amp;" "&amp;'Compliance Database'!$L367&amp;" "&amp;'Compliance Database'!$M367&amp;" "&amp;'Compliance Database'!$N367&amp;" "&amp;'Compliance Database'!$O367)))),1,0)</f>
        <v/>
      </c>
      <c r="B367">
        <f>IF($A367=1,SUM($A$2:$A367),"")</f>
        <v/>
      </c>
      <c r="C367">
        <f>IF($A367=1,SUM($A$2:$A367),0)</f>
        <v/>
      </c>
    </row>
    <row r="368">
      <c r="A368">
        <f>IF(AND(OR(Query!$B$4="All",'Compliance Database'!$A368=Query!$B$4),OR(Query!$B$5="All",'Compliance Database'!$F368=Query!$B$5),OR(Query!$B$6="All",ISNUMBER(SEARCH(Query!$B$6,'Compliance Database'!$I368))),OR(Query!$B$7="All",ISNUMBER(SEARCH(Query!$B$7,'Compliance Database'!$J368))),OR(Query!$B$8="All",'Compliance Database'!$G368=Query!$B$8),OR(Query!$B$9="All",'Compliance Database'!$K368=Query!$B$9),OR(Query!$B$10="",ISNUMBER(SEARCH(Query!$B$10,'Compliance Database'!$D368&amp;" "&amp;'Compliance Database'!$L368&amp;" "&amp;'Compliance Database'!$M368&amp;" "&amp;'Compliance Database'!$N368&amp;" "&amp;'Compliance Database'!$O368)))),1,0)</f>
        <v/>
      </c>
      <c r="B368">
        <f>IF($A368=1,SUM($A$2:$A368),"")</f>
        <v/>
      </c>
      <c r="C368">
        <f>IF($A368=1,SUM($A$2:$A368),0)</f>
        <v/>
      </c>
    </row>
    <row r="369">
      <c r="A369">
        <f>IF(AND(OR(Query!$B$4="All",'Compliance Database'!$A369=Query!$B$4),OR(Query!$B$5="All",'Compliance Database'!$F369=Query!$B$5),OR(Query!$B$6="All",ISNUMBER(SEARCH(Query!$B$6,'Compliance Database'!$I369))),OR(Query!$B$7="All",ISNUMBER(SEARCH(Query!$B$7,'Compliance Database'!$J369))),OR(Query!$B$8="All",'Compliance Database'!$G369=Query!$B$8),OR(Query!$B$9="All",'Compliance Database'!$K369=Query!$B$9),OR(Query!$B$10="",ISNUMBER(SEARCH(Query!$B$10,'Compliance Database'!$D369&amp;" "&amp;'Compliance Database'!$L369&amp;" "&amp;'Compliance Database'!$M369&amp;" "&amp;'Compliance Database'!$N369&amp;" "&amp;'Compliance Database'!$O369)))),1,0)</f>
        <v/>
      </c>
      <c r="B369">
        <f>IF($A369=1,SUM($A$2:$A369),"")</f>
        <v/>
      </c>
      <c r="C369">
        <f>IF($A369=1,SUM($A$2:$A369),0)</f>
        <v/>
      </c>
    </row>
    <row r="370">
      <c r="A370">
        <f>IF(AND(OR(Query!$B$4="All",'Compliance Database'!$A370=Query!$B$4),OR(Query!$B$5="All",'Compliance Database'!$F370=Query!$B$5),OR(Query!$B$6="All",ISNUMBER(SEARCH(Query!$B$6,'Compliance Database'!$I370))),OR(Query!$B$7="All",ISNUMBER(SEARCH(Query!$B$7,'Compliance Database'!$J370))),OR(Query!$B$8="All",'Compliance Database'!$G370=Query!$B$8),OR(Query!$B$9="All",'Compliance Database'!$K370=Query!$B$9),OR(Query!$B$10="",ISNUMBER(SEARCH(Query!$B$10,'Compliance Database'!$D370&amp;" "&amp;'Compliance Database'!$L370&amp;" "&amp;'Compliance Database'!$M370&amp;" "&amp;'Compliance Database'!$N370&amp;" "&amp;'Compliance Database'!$O370)))),1,0)</f>
        <v/>
      </c>
      <c r="B370">
        <f>IF($A370=1,SUM($A$2:$A370),"")</f>
        <v/>
      </c>
      <c r="C370">
        <f>IF($A370=1,SUM($A$2:$A370),0)</f>
        <v/>
      </c>
    </row>
    <row r="371">
      <c r="A371">
        <f>IF(AND(OR(Query!$B$4="All",'Compliance Database'!$A371=Query!$B$4),OR(Query!$B$5="All",'Compliance Database'!$F371=Query!$B$5),OR(Query!$B$6="All",ISNUMBER(SEARCH(Query!$B$6,'Compliance Database'!$I371))),OR(Query!$B$7="All",ISNUMBER(SEARCH(Query!$B$7,'Compliance Database'!$J371))),OR(Query!$B$8="All",'Compliance Database'!$G371=Query!$B$8),OR(Query!$B$9="All",'Compliance Database'!$K371=Query!$B$9),OR(Query!$B$10="",ISNUMBER(SEARCH(Query!$B$10,'Compliance Database'!$D371&amp;" "&amp;'Compliance Database'!$L371&amp;" "&amp;'Compliance Database'!$M371&amp;" "&amp;'Compliance Database'!$N371&amp;" "&amp;'Compliance Database'!$O371)))),1,0)</f>
        <v/>
      </c>
      <c r="B371">
        <f>IF($A371=1,SUM($A$2:$A371),"")</f>
        <v/>
      </c>
      <c r="C371">
        <f>IF($A371=1,SUM($A$2:$A371),0)</f>
        <v/>
      </c>
    </row>
    <row r="372">
      <c r="A372">
        <f>IF(AND(OR(Query!$B$4="All",'Compliance Database'!$A372=Query!$B$4),OR(Query!$B$5="All",'Compliance Database'!$F372=Query!$B$5),OR(Query!$B$6="All",ISNUMBER(SEARCH(Query!$B$6,'Compliance Database'!$I372))),OR(Query!$B$7="All",ISNUMBER(SEARCH(Query!$B$7,'Compliance Database'!$J372))),OR(Query!$B$8="All",'Compliance Database'!$G372=Query!$B$8),OR(Query!$B$9="All",'Compliance Database'!$K372=Query!$B$9),OR(Query!$B$10="",ISNUMBER(SEARCH(Query!$B$10,'Compliance Database'!$D372&amp;" "&amp;'Compliance Database'!$L372&amp;" "&amp;'Compliance Database'!$M372&amp;" "&amp;'Compliance Database'!$N372&amp;" "&amp;'Compliance Database'!$O372)))),1,0)</f>
        <v/>
      </c>
      <c r="B372">
        <f>IF($A372=1,SUM($A$2:$A372),"")</f>
        <v/>
      </c>
      <c r="C372">
        <f>IF($A372=1,SUM($A$2:$A372),0)</f>
        <v/>
      </c>
    </row>
    <row r="373">
      <c r="A373">
        <f>IF(AND(OR(Query!$B$4="All",'Compliance Database'!$A373=Query!$B$4),OR(Query!$B$5="All",'Compliance Database'!$F373=Query!$B$5),OR(Query!$B$6="All",ISNUMBER(SEARCH(Query!$B$6,'Compliance Database'!$I373))),OR(Query!$B$7="All",ISNUMBER(SEARCH(Query!$B$7,'Compliance Database'!$J373))),OR(Query!$B$8="All",'Compliance Database'!$G373=Query!$B$8),OR(Query!$B$9="All",'Compliance Database'!$K373=Query!$B$9),OR(Query!$B$10="",ISNUMBER(SEARCH(Query!$B$10,'Compliance Database'!$D373&amp;" "&amp;'Compliance Database'!$L373&amp;" "&amp;'Compliance Database'!$M373&amp;" "&amp;'Compliance Database'!$N373&amp;" "&amp;'Compliance Database'!$O373)))),1,0)</f>
        <v/>
      </c>
      <c r="B373">
        <f>IF($A373=1,SUM($A$2:$A373),"")</f>
        <v/>
      </c>
      <c r="C373">
        <f>IF($A373=1,SUM($A$2:$A373),0)</f>
        <v/>
      </c>
    </row>
    <row r="374">
      <c r="A374">
        <f>IF(AND(OR(Query!$B$4="All",'Compliance Database'!$A374=Query!$B$4),OR(Query!$B$5="All",'Compliance Database'!$F374=Query!$B$5),OR(Query!$B$6="All",ISNUMBER(SEARCH(Query!$B$6,'Compliance Database'!$I374))),OR(Query!$B$7="All",ISNUMBER(SEARCH(Query!$B$7,'Compliance Database'!$J374))),OR(Query!$B$8="All",'Compliance Database'!$G374=Query!$B$8),OR(Query!$B$9="All",'Compliance Database'!$K374=Query!$B$9),OR(Query!$B$10="",ISNUMBER(SEARCH(Query!$B$10,'Compliance Database'!$D374&amp;" "&amp;'Compliance Database'!$L374&amp;" "&amp;'Compliance Database'!$M374&amp;" "&amp;'Compliance Database'!$N374&amp;" "&amp;'Compliance Database'!$O374)))),1,0)</f>
        <v/>
      </c>
      <c r="B374">
        <f>IF($A374=1,SUM($A$2:$A374),"")</f>
        <v/>
      </c>
      <c r="C374">
        <f>IF($A374=1,SUM($A$2:$A374),0)</f>
        <v/>
      </c>
    </row>
    <row r="375">
      <c r="A375">
        <f>IF(AND(OR(Query!$B$4="All",'Compliance Database'!$A375=Query!$B$4),OR(Query!$B$5="All",'Compliance Database'!$F375=Query!$B$5),OR(Query!$B$6="All",ISNUMBER(SEARCH(Query!$B$6,'Compliance Database'!$I375))),OR(Query!$B$7="All",ISNUMBER(SEARCH(Query!$B$7,'Compliance Database'!$J375))),OR(Query!$B$8="All",'Compliance Database'!$G375=Query!$B$8),OR(Query!$B$9="All",'Compliance Database'!$K375=Query!$B$9),OR(Query!$B$10="",ISNUMBER(SEARCH(Query!$B$10,'Compliance Database'!$D375&amp;" "&amp;'Compliance Database'!$L375&amp;" "&amp;'Compliance Database'!$M375&amp;" "&amp;'Compliance Database'!$N375&amp;" "&amp;'Compliance Database'!$O375)))),1,0)</f>
        <v/>
      </c>
      <c r="B375">
        <f>IF($A375=1,SUM($A$2:$A375),"")</f>
        <v/>
      </c>
      <c r="C375">
        <f>IF($A375=1,SUM($A$2:$A375),0)</f>
        <v/>
      </c>
    </row>
    <row r="376">
      <c r="A376">
        <f>IF(AND(OR(Query!$B$4="All",'Compliance Database'!$A376=Query!$B$4),OR(Query!$B$5="All",'Compliance Database'!$F376=Query!$B$5),OR(Query!$B$6="All",ISNUMBER(SEARCH(Query!$B$6,'Compliance Database'!$I376))),OR(Query!$B$7="All",ISNUMBER(SEARCH(Query!$B$7,'Compliance Database'!$J376))),OR(Query!$B$8="All",'Compliance Database'!$G376=Query!$B$8),OR(Query!$B$9="All",'Compliance Database'!$K376=Query!$B$9),OR(Query!$B$10="",ISNUMBER(SEARCH(Query!$B$10,'Compliance Database'!$D376&amp;" "&amp;'Compliance Database'!$L376&amp;" "&amp;'Compliance Database'!$M376&amp;" "&amp;'Compliance Database'!$N376&amp;" "&amp;'Compliance Database'!$O376)))),1,0)</f>
        <v/>
      </c>
      <c r="B376">
        <f>IF($A376=1,SUM($A$2:$A376),"")</f>
        <v/>
      </c>
      <c r="C376">
        <f>IF($A376=1,SUM($A$2:$A376),0)</f>
        <v/>
      </c>
    </row>
    <row r="377">
      <c r="A377">
        <f>IF(AND(OR(Query!$B$4="All",'Compliance Database'!$A377=Query!$B$4),OR(Query!$B$5="All",'Compliance Database'!$F377=Query!$B$5),OR(Query!$B$6="All",ISNUMBER(SEARCH(Query!$B$6,'Compliance Database'!$I377))),OR(Query!$B$7="All",ISNUMBER(SEARCH(Query!$B$7,'Compliance Database'!$J377))),OR(Query!$B$8="All",'Compliance Database'!$G377=Query!$B$8),OR(Query!$B$9="All",'Compliance Database'!$K377=Query!$B$9),OR(Query!$B$10="",ISNUMBER(SEARCH(Query!$B$10,'Compliance Database'!$D377&amp;" "&amp;'Compliance Database'!$L377&amp;" "&amp;'Compliance Database'!$M377&amp;" "&amp;'Compliance Database'!$N377&amp;" "&amp;'Compliance Database'!$O377)))),1,0)</f>
        <v/>
      </c>
      <c r="B377">
        <f>IF($A377=1,SUM($A$2:$A377),"")</f>
        <v/>
      </c>
      <c r="C377">
        <f>IF($A377=1,SUM($A$2:$A377),0)</f>
        <v/>
      </c>
    </row>
    <row r="378">
      <c r="A378">
        <f>IF(AND(OR(Query!$B$4="All",'Compliance Database'!$A378=Query!$B$4),OR(Query!$B$5="All",'Compliance Database'!$F378=Query!$B$5),OR(Query!$B$6="All",ISNUMBER(SEARCH(Query!$B$6,'Compliance Database'!$I378))),OR(Query!$B$7="All",ISNUMBER(SEARCH(Query!$B$7,'Compliance Database'!$J378))),OR(Query!$B$8="All",'Compliance Database'!$G378=Query!$B$8),OR(Query!$B$9="All",'Compliance Database'!$K378=Query!$B$9),OR(Query!$B$10="",ISNUMBER(SEARCH(Query!$B$10,'Compliance Database'!$D378&amp;" "&amp;'Compliance Database'!$L378&amp;" "&amp;'Compliance Database'!$M378&amp;" "&amp;'Compliance Database'!$N378&amp;" "&amp;'Compliance Database'!$O378)))),1,0)</f>
        <v/>
      </c>
      <c r="B378">
        <f>IF($A378=1,SUM($A$2:$A378),"")</f>
        <v/>
      </c>
      <c r="C378">
        <f>IF($A378=1,SUM($A$2:$A378),0)</f>
        <v/>
      </c>
    </row>
    <row r="379">
      <c r="A379">
        <f>IF(AND(OR(Query!$B$4="All",'Compliance Database'!$A379=Query!$B$4),OR(Query!$B$5="All",'Compliance Database'!$F379=Query!$B$5),OR(Query!$B$6="All",ISNUMBER(SEARCH(Query!$B$6,'Compliance Database'!$I379))),OR(Query!$B$7="All",ISNUMBER(SEARCH(Query!$B$7,'Compliance Database'!$J379))),OR(Query!$B$8="All",'Compliance Database'!$G379=Query!$B$8),OR(Query!$B$9="All",'Compliance Database'!$K379=Query!$B$9),OR(Query!$B$10="",ISNUMBER(SEARCH(Query!$B$10,'Compliance Database'!$D379&amp;" "&amp;'Compliance Database'!$L379&amp;" "&amp;'Compliance Database'!$M379&amp;" "&amp;'Compliance Database'!$N379&amp;" "&amp;'Compliance Database'!$O379)))),1,0)</f>
        <v/>
      </c>
      <c r="B379">
        <f>IF($A379=1,SUM($A$2:$A379),"")</f>
        <v/>
      </c>
      <c r="C379">
        <f>IF($A379=1,SUM($A$2:$A379),0)</f>
        <v/>
      </c>
    </row>
    <row r="380">
      <c r="A380">
        <f>IF(AND(OR(Query!$B$4="All",'Compliance Database'!$A380=Query!$B$4),OR(Query!$B$5="All",'Compliance Database'!$F380=Query!$B$5),OR(Query!$B$6="All",ISNUMBER(SEARCH(Query!$B$6,'Compliance Database'!$I380))),OR(Query!$B$7="All",ISNUMBER(SEARCH(Query!$B$7,'Compliance Database'!$J380))),OR(Query!$B$8="All",'Compliance Database'!$G380=Query!$B$8),OR(Query!$B$9="All",'Compliance Database'!$K380=Query!$B$9),OR(Query!$B$10="",ISNUMBER(SEARCH(Query!$B$10,'Compliance Database'!$D380&amp;" "&amp;'Compliance Database'!$L380&amp;" "&amp;'Compliance Database'!$M380&amp;" "&amp;'Compliance Database'!$N380&amp;" "&amp;'Compliance Database'!$O380)))),1,0)</f>
        <v/>
      </c>
      <c r="B380">
        <f>IF($A380=1,SUM($A$2:$A380),"")</f>
        <v/>
      </c>
      <c r="C380">
        <f>IF($A380=1,SUM($A$2:$A380),0)</f>
        <v/>
      </c>
    </row>
    <row r="381">
      <c r="A381">
        <f>IF(AND(OR(Query!$B$4="All",'Compliance Database'!$A381=Query!$B$4),OR(Query!$B$5="All",'Compliance Database'!$F381=Query!$B$5),OR(Query!$B$6="All",ISNUMBER(SEARCH(Query!$B$6,'Compliance Database'!$I381))),OR(Query!$B$7="All",ISNUMBER(SEARCH(Query!$B$7,'Compliance Database'!$J381))),OR(Query!$B$8="All",'Compliance Database'!$G381=Query!$B$8),OR(Query!$B$9="All",'Compliance Database'!$K381=Query!$B$9),OR(Query!$B$10="",ISNUMBER(SEARCH(Query!$B$10,'Compliance Database'!$D381&amp;" "&amp;'Compliance Database'!$L381&amp;" "&amp;'Compliance Database'!$M381&amp;" "&amp;'Compliance Database'!$N381&amp;" "&amp;'Compliance Database'!$O381)))),1,0)</f>
        <v/>
      </c>
      <c r="B381">
        <f>IF($A381=1,SUM($A$2:$A381),"")</f>
        <v/>
      </c>
      <c r="C381">
        <f>IF($A381=1,SUM($A$2:$A381),0)</f>
        <v/>
      </c>
    </row>
    <row r="382">
      <c r="A382">
        <f>IF(AND(OR(Query!$B$4="All",'Compliance Database'!$A382=Query!$B$4),OR(Query!$B$5="All",'Compliance Database'!$F382=Query!$B$5),OR(Query!$B$6="All",ISNUMBER(SEARCH(Query!$B$6,'Compliance Database'!$I382))),OR(Query!$B$7="All",ISNUMBER(SEARCH(Query!$B$7,'Compliance Database'!$J382))),OR(Query!$B$8="All",'Compliance Database'!$G382=Query!$B$8),OR(Query!$B$9="All",'Compliance Database'!$K382=Query!$B$9),OR(Query!$B$10="",ISNUMBER(SEARCH(Query!$B$10,'Compliance Database'!$D382&amp;" "&amp;'Compliance Database'!$L382&amp;" "&amp;'Compliance Database'!$M382&amp;" "&amp;'Compliance Database'!$N382&amp;" "&amp;'Compliance Database'!$O382)))),1,0)</f>
        <v/>
      </c>
      <c r="B382">
        <f>IF($A382=1,SUM($A$2:$A382),"")</f>
        <v/>
      </c>
      <c r="C382">
        <f>IF($A382=1,SUM($A$2:$A382),0)</f>
        <v/>
      </c>
    </row>
    <row r="383">
      <c r="A383">
        <f>IF(AND(OR(Query!$B$4="All",'Compliance Database'!$A383=Query!$B$4),OR(Query!$B$5="All",'Compliance Database'!$F383=Query!$B$5),OR(Query!$B$6="All",ISNUMBER(SEARCH(Query!$B$6,'Compliance Database'!$I383))),OR(Query!$B$7="All",ISNUMBER(SEARCH(Query!$B$7,'Compliance Database'!$J383))),OR(Query!$B$8="All",'Compliance Database'!$G383=Query!$B$8),OR(Query!$B$9="All",'Compliance Database'!$K383=Query!$B$9),OR(Query!$B$10="",ISNUMBER(SEARCH(Query!$B$10,'Compliance Database'!$D383&amp;" "&amp;'Compliance Database'!$L383&amp;" "&amp;'Compliance Database'!$M383&amp;" "&amp;'Compliance Database'!$N383&amp;" "&amp;'Compliance Database'!$O383)))),1,0)</f>
        <v/>
      </c>
      <c r="B383">
        <f>IF($A383=1,SUM($A$2:$A383),"")</f>
        <v/>
      </c>
      <c r="C383">
        <f>IF($A383=1,SUM($A$2:$A383),0)</f>
        <v/>
      </c>
    </row>
    <row r="384">
      <c r="A384">
        <f>IF(AND(OR(Query!$B$4="All",'Compliance Database'!$A384=Query!$B$4),OR(Query!$B$5="All",'Compliance Database'!$F384=Query!$B$5),OR(Query!$B$6="All",ISNUMBER(SEARCH(Query!$B$6,'Compliance Database'!$I384))),OR(Query!$B$7="All",ISNUMBER(SEARCH(Query!$B$7,'Compliance Database'!$J384))),OR(Query!$B$8="All",'Compliance Database'!$G384=Query!$B$8),OR(Query!$B$9="All",'Compliance Database'!$K384=Query!$B$9),OR(Query!$B$10="",ISNUMBER(SEARCH(Query!$B$10,'Compliance Database'!$D384&amp;" "&amp;'Compliance Database'!$L384&amp;" "&amp;'Compliance Database'!$M384&amp;" "&amp;'Compliance Database'!$N384&amp;" "&amp;'Compliance Database'!$O384)))),1,0)</f>
        <v/>
      </c>
      <c r="B384">
        <f>IF($A384=1,SUM($A$2:$A384),"")</f>
        <v/>
      </c>
      <c r="C384">
        <f>IF($A384=1,SUM($A$2:$A384),0)</f>
        <v/>
      </c>
    </row>
    <row r="385">
      <c r="A385">
        <f>IF(AND(OR(Query!$B$4="All",'Compliance Database'!$A385=Query!$B$4),OR(Query!$B$5="All",'Compliance Database'!$F385=Query!$B$5),OR(Query!$B$6="All",ISNUMBER(SEARCH(Query!$B$6,'Compliance Database'!$I385))),OR(Query!$B$7="All",ISNUMBER(SEARCH(Query!$B$7,'Compliance Database'!$J385))),OR(Query!$B$8="All",'Compliance Database'!$G385=Query!$B$8),OR(Query!$B$9="All",'Compliance Database'!$K385=Query!$B$9),OR(Query!$B$10="",ISNUMBER(SEARCH(Query!$B$10,'Compliance Database'!$D385&amp;" "&amp;'Compliance Database'!$L385&amp;" "&amp;'Compliance Database'!$M385&amp;" "&amp;'Compliance Database'!$N385&amp;" "&amp;'Compliance Database'!$O385)))),1,0)</f>
        <v/>
      </c>
      <c r="B385">
        <f>IF($A385=1,SUM($A$2:$A385),"")</f>
        <v/>
      </c>
      <c r="C385">
        <f>IF($A385=1,SUM($A$2:$A385),0)</f>
        <v/>
      </c>
    </row>
    <row r="386">
      <c r="A386">
        <f>IF(AND(OR(Query!$B$4="All",'Compliance Database'!$A386=Query!$B$4),OR(Query!$B$5="All",'Compliance Database'!$F386=Query!$B$5),OR(Query!$B$6="All",ISNUMBER(SEARCH(Query!$B$6,'Compliance Database'!$I386))),OR(Query!$B$7="All",ISNUMBER(SEARCH(Query!$B$7,'Compliance Database'!$J386))),OR(Query!$B$8="All",'Compliance Database'!$G386=Query!$B$8),OR(Query!$B$9="All",'Compliance Database'!$K386=Query!$B$9),OR(Query!$B$10="",ISNUMBER(SEARCH(Query!$B$10,'Compliance Database'!$D386&amp;" "&amp;'Compliance Database'!$L386&amp;" "&amp;'Compliance Database'!$M386&amp;" "&amp;'Compliance Database'!$N386&amp;" "&amp;'Compliance Database'!$O386)))),1,0)</f>
        <v/>
      </c>
      <c r="B386">
        <f>IF($A386=1,SUM($A$2:$A386),"")</f>
        <v/>
      </c>
      <c r="C386">
        <f>IF($A386=1,SUM($A$2:$A386),0)</f>
        <v/>
      </c>
    </row>
    <row r="387">
      <c r="A387">
        <f>IF(AND(OR(Query!$B$4="All",'Compliance Database'!$A387=Query!$B$4),OR(Query!$B$5="All",'Compliance Database'!$F387=Query!$B$5),OR(Query!$B$6="All",ISNUMBER(SEARCH(Query!$B$6,'Compliance Database'!$I387))),OR(Query!$B$7="All",ISNUMBER(SEARCH(Query!$B$7,'Compliance Database'!$J387))),OR(Query!$B$8="All",'Compliance Database'!$G387=Query!$B$8),OR(Query!$B$9="All",'Compliance Database'!$K387=Query!$B$9),OR(Query!$B$10="",ISNUMBER(SEARCH(Query!$B$10,'Compliance Database'!$D387&amp;" "&amp;'Compliance Database'!$L387&amp;" "&amp;'Compliance Database'!$M387&amp;" "&amp;'Compliance Database'!$N387&amp;" "&amp;'Compliance Database'!$O387)))),1,0)</f>
        <v/>
      </c>
      <c r="B387">
        <f>IF($A387=1,SUM($A$2:$A387),"")</f>
        <v/>
      </c>
      <c r="C387">
        <f>IF($A387=1,SUM($A$2:$A387),0)</f>
        <v/>
      </c>
    </row>
    <row r="388">
      <c r="A388">
        <f>IF(AND(OR(Query!$B$4="All",'Compliance Database'!$A388=Query!$B$4),OR(Query!$B$5="All",'Compliance Database'!$F388=Query!$B$5),OR(Query!$B$6="All",ISNUMBER(SEARCH(Query!$B$6,'Compliance Database'!$I388))),OR(Query!$B$7="All",ISNUMBER(SEARCH(Query!$B$7,'Compliance Database'!$J388))),OR(Query!$B$8="All",'Compliance Database'!$G388=Query!$B$8),OR(Query!$B$9="All",'Compliance Database'!$K388=Query!$B$9),OR(Query!$B$10="",ISNUMBER(SEARCH(Query!$B$10,'Compliance Database'!$D388&amp;" "&amp;'Compliance Database'!$L388&amp;" "&amp;'Compliance Database'!$M388&amp;" "&amp;'Compliance Database'!$N388&amp;" "&amp;'Compliance Database'!$O388)))),1,0)</f>
        <v/>
      </c>
      <c r="B388">
        <f>IF($A388=1,SUM($A$2:$A388),"")</f>
        <v/>
      </c>
      <c r="C388">
        <f>IF($A388=1,SUM($A$2:$A388),0)</f>
        <v/>
      </c>
    </row>
    <row r="389">
      <c r="A389">
        <f>IF(AND(OR(Query!$B$4="All",'Compliance Database'!$A389=Query!$B$4),OR(Query!$B$5="All",'Compliance Database'!$F389=Query!$B$5),OR(Query!$B$6="All",ISNUMBER(SEARCH(Query!$B$6,'Compliance Database'!$I389))),OR(Query!$B$7="All",ISNUMBER(SEARCH(Query!$B$7,'Compliance Database'!$J389))),OR(Query!$B$8="All",'Compliance Database'!$G389=Query!$B$8),OR(Query!$B$9="All",'Compliance Database'!$K389=Query!$B$9),OR(Query!$B$10="",ISNUMBER(SEARCH(Query!$B$10,'Compliance Database'!$D389&amp;" "&amp;'Compliance Database'!$L389&amp;" "&amp;'Compliance Database'!$M389&amp;" "&amp;'Compliance Database'!$N389&amp;" "&amp;'Compliance Database'!$O389)))),1,0)</f>
        <v/>
      </c>
      <c r="B389">
        <f>IF($A389=1,SUM($A$2:$A389),"")</f>
        <v/>
      </c>
      <c r="C389">
        <f>IF($A389=1,SUM($A$2:$A389),0)</f>
        <v/>
      </c>
    </row>
    <row r="390">
      <c r="A390">
        <f>IF(AND(OR(Query!$B$4="All",'Compliance Database'!$A390=Query!$B$4),OR(Query!$B$5="All",'Compliance Database'!$F390=Query!$B$5),OR(Query!$B$6="All",ISNUMBER(SEARCH(Query!$B$6,'Compliance Database'!$I390))),OR(Query!$B$7="All",ISNUMBER(SEARCH(Query!$B$7,'Compliance Database'!$J390))),OR(Query!$B$8="All",'Compliance Database'!$G390=Query!$B$8),OR(Query!$B$9="All",'Compliance Database'!$K390=Query!$B$9),OR(Query!$B$10="",ISNUMBER(SEARCH(Query!$B$10,'Compliance Database'!$D390&amp;" "&amp;'Compliance Database'!$L390&amp;" "&amp;'Compliance Database'!$M390&amp;" "&amp;'Compliance Database'!$N390&amp;" "&amp;'Compliance Database'!$O390)))),1,0)</f>
        <v/>
      </c>
      <c r="B390">
        <f>IF($A390=1,SUM($A$2:$A390),"")</f>
        <v/>
      </c>
      <c r="C390">
        <f>IF($A390=1,SUM($A$2:$A390),0)</f>
        <v/>
      </c>
    </row>
    <row r="391">
      <c r="A391">
        <f>IF(AND(OR(Query!$B$4="All",'Compliance Database'!$A391=Query!$B$4),OR(Query!$B$5="All",'Compliance Database'!$F391=Query!$B$5),OR(Query!$B$6="All",ISNUMBER(SEARCH(Query!$B$6,'Compliance Database'!$I391))),OR(Query!$B$7="All",ISNUMBER(SEARCH(Query!$B$7,'Compliance Database'!$J391))),OR(Query!$B$8="All",'Compliance Database'!$G391=Query!$B$8),OR(Query!$B$9="All",'Compliance Database'!$K391=Query!$B$9),OR(Query!$B$10="",ISNUMBER(SEARCH(Query!$B$10,'Compliance Database'!$D391&amp;" "&amp;'Compliance Database'!$L391&amp;" "&amp;'Compliance Database'!$M391&amp;" "&amp;'Compliance Database'!$N391&amp;" "&amp;'Compliance Database'!$O391)))),1,0)</f>
        <v/>
      </c>
      <c r="B391">
        <f>IF($A391=1,SUM($A$2:$A391),"")</f>
        <v/>
      </c>
      <c r="C391">
        <f>IF($A391=1,SUM($A$2:$A391),0)</f>
        <v/>
      </c>
    </row>
    <row r="392">
      <c r="A392">
        <f>IF(AND(OR(Query!$B$4="All",'Compliance Database'!$A392=Query!$B$4),OR(Query!$B$5="All",'Compliance Database'!$F392=Query!$B$5),OR(Query!$B$6="All",ISNUMBER(SEARCH(Query!$B$6,'Compliance Database'!$I392))),OR(Query!$B$7="All",ISNUMBER(SEARCH(Query!$B$7,'Compliance Database'!$J392))),OR(Query!$B$8="All",'Compliance Database'!$G392=Query!$B$8),OR(Query!$B$9="All",'Compliance Database'!$K392=Query!$B$9),OR(Query!$B$10="",ISNUMBER(SEARCH(Query!$B$10,'Compliance Database'!$D392&amp;" "&amp;'Compliance Database'!$L392&amp;" "&amp;'Compliance Database'!$M392&amp;" "&amp;'Compliance Database'!$N392&amp;" "&amp;'Compliance Database'!$O392)))),1,0)</f>
        <v/>
      </c>
      <c r="B392">
        <f>IF($A392=1,SUM($A$2:$A392),"")</f>
        <v/>
      </c>
      <c r="C392">
        <f>IF($A392=1,SUM($A$2:$A392),0)</f>
        <v/>
      </c>
    </row>
    <row r="393">
      <c r="A393">
        <f>IF(AND(OR(Query!$B$4="All",'Compliance Database'!$A393=Query!$B$4),OR(Query!$B$5="All",'Compliance Database'!$F393=Query!$B$5),OR(Query!$B$6="All",ISNUMBER(SEARCH(Query!$B$6,'Compliance Database'!$I393))),OR(Query!$B$7="All",ISNUMBER(SEARCH(Query!$B$7,'Compliance Database'!$J393))),OR(Query!$B$8="All",'Compliance Database'!$G393=Query!$B$8),OR(Query!$B$9="All",'Compliance Database'!$K393=Query!$B$9),OR(Query!$B$10="",ISNUMBER(SEARCH(Query!$B$10,'Compliance Database'!$D393&amp;" "&amp;'Compliance Database'!$L393&amp;" "&amp;'Compliance Database'!$M393&amp;" "&amp;'Compliance Database'!$N393&amp;" "&amp;'Compliance Database'!$O393)))),1,0)</f>
        <v/>
      </c>
      <c r="B393">
        <f>IF($A393=1,SUM($A$2:$A393),"")</f>
        <v/>
      </c>
      <c r="C393">
        <f>IF($A393=1,SUM($A$2:$A393),0)</f>
        <v/>
      </c>
    </row>
    <row r="394">
      <c r="A394">
        <f>IF(AND(OR(Query!$B$4="All",'Compliance Database'!$A394=Query!$B$4),OR(Query!$B$5="All",'Compliance Database'!$F394=Query!$B$5),OR(Query!$B$6="All",ISNUMBER(SEARCH(Query!$B$6,'Compliance Database'!$I394))),OR(Query!$B$7="All",ISNUMBER(SEARCH(Query!$B$7,'Compliance Database'!$J394))),OR(Query!$B$8="All",'Compliance Database'!$G394=Query!$B$8),OR(Query!$B$9="All",'Compliance Database'!$K394=Query!$B$9),OR(Query!$B$10="",ISNUMBER(SEARCH(Query!$B$10,'Compliance Database'!$D394&amp;" "&amp;'Compliance Database'!$L394&amp;" "&amp;'Compliance Database'!$M394&amp;" "&amp;'Compliance Database'!$N394&amp;" "&amp;'Compliance Database'!$O394)))),1,0)</f>
        <v/>
      </c>
      <c r="B394">
        <f>IF($A394=1,SUM($A$2:$A394),"")</f>
        <v/>
      </c>
      <c r="C394">
        <f>IF($A394=1,SUM($A$2:$A394),0)</f>
        <v/>
      </c>
    </row>
    <row r="395">
      <c r="A395">
        <f>IF(AND(OR(Query!$B$4="All",'Compliance Database'!$A395=Query!$B$4),OR(Query!$B$5="All",'Compliance Database'!$F395=Query!$B$5),OR(Query!$B$6="All",ISNUMBER(SEARCH(Query!$B$6,'Compliance Database'!$I395))),OR(Query!$B$7="All",ISNUMBER(SEARCH(Query!$B$7,'Compliance Database'!$J395))),OR(Query!$B$8="All",'Compliance Database'!$G395=Query!$B$8),OR(Query!$B$9="All",'Compliance Database'!$K395=Query!$B$9),OR(Query!$B$10="",ISNUMBER(SEARCH(Query!$B$10,'Compliance Database'!$D395&amp;" "&amp;'Compliance Database'!$L395&amp;" "&amp;'Compliance Database'!$M395&amp;" "&amp;'Compliance Database'!$N395&amp;" "&amp;'Compliance Database'!$O395)))),1,0)</f>
        <v/>
      </c>
      <c r="B395">
        <f>IF($A395=1,SUM($A$2:$A395),"")</f>
        <v/>
      </c>
      <c r="C395">
        <f>IF($A395=1,SUM($A$2:$A395),0)</f>
        <v/>
      </c>
    </row>
    <row r="396">
      <c r="A396">
        <f>IF(AND(OR(Query!$B$4="All",'Compliance Database'!$A396=Query!$B$4),OR(Query!$B$5="All",'Compliance Database'!$F396=Query!$B$5),OR(Query!$B$6="All",ISNUMBER(SEARCH(Query!$B$6,'Compliance Database'!$I396))),OR(Query!$B$7="All",ISNUMBER(SEARCH(Query!$B$7,'Compliance Database'!$J396))),OR(Query!$B$8="All",'Compliance Database'!$G396=Query!$B$8),OR(Query!$B$9="All",'Compliance Database'!$K396=Query!$B$9),OR(Query!$B$10="",ISNUMBER(SEARCH(Query!$B$10,'Compliance Database'!$D396&amp;" "&amp;'Compliance Database'!$L396&amp;" "&amp;'Compliance Database'!$M396&amp;" "&amp;'Compliance Database'!$N396&amp;" "&amp;'Compliance Database'!$O396)))),1,0)</f>
        <v/>
      </c>
      <c r="B396">
        <f>IF($A396=1,SUM($A$2:$A396),"")</f>
        <v/>
      </c>
      <c r="C396">
        <f>IF($A396=1,SUM($A$2:$A396),0)</f>
        <v/>
      </c>
    </row>
    <row r="397">
      <c r="A397">
        <f>IF(AND(OR(Query!$B$4="All",'Compliance Database'!$A397=Query!$B$4),OR(Query!$B$5="All",'Compliance Database'!$F397=Query!$B$5),OR(Query!$B$6="All",ISNUMBER(SEARCH(Query!$B$6,'Compliance Database'!$I397))),OR(Query!$B$7="All",ISNUMBER(SEARCH(Query!$B$7,'Compliance Database'!$J397))),OR(Query!$B$8="All",'Compliance Database'!$G397=Query!$B$8),OR(Query!$B$9="All",'Compliance Database'!$K397=Query!$B$9),OR(Query!$B$10="",ISNUMBER(SEARCH(Query!$B$10,'Compliance Database'!$D397&amp;" "&amp;'Compliance Database'!$L397&amp;" "&amp;'Compliance Database'!$M397&amp;" "&amp;'Compliance Database'!$N397&amp;" "&amp;'Compliance Database'!$O397)))),1,0)</f>
        <v/>
      </c>
      <c r="B397">
        <f>IF($A397=1,SUM($A$2:$A397),"")</f>
        <v/>
      </c>
      <c r="C397">
        <f>IF($A397=1,SUM($A$2:$A397),0)</f>
        <v/>
      </c>
    </row>
    <row r="398">
      <c r="A398">
        <f>IF(AND(OR(Query!$B$4="All",'Compliance Database'!$A398=Query!$B$4),OR(Query!$B$5="All",'Compliance Database'!$F398=Query!$B$5),OR(Query!$B$6="All",ISNUMBER(SEARCH(Query!$B$6,'Compliance Database'!$I398))),OR(Query!$B$7="All",ISNUMBER(SEARCH(Query!$B$7,'Compliance Database'!$J398))),OR(Query!$B$8="All",'Compliance Database'!$G398=Query!$B$8),OR(Query!$B$9="All",'Compliance Database'!$K398=Query!$B$9),OR(Query!$B$10="",ISNUMBER(SEARCH(Query!$B$10,'Compliance Database'!$D398&amp;" "&amp;'Compliance Database'!$L398&amp;" "&amp;'Compliance Database'!$M398&amp;" "&amp;'Compliance Database'!$N398&amp;" "&amp;'Compliance Database'!$O398)))),1,0)</f>
        <v/>
      </c>
      <c r="B398">
        <f>IF($A398=1,SUM($A$2:$A398),"")</f>
        <v/>
      </c>
      <c r="C398">
        <f>IF($A398=1,SUM($A$2:$A398),0)</f>
        <v/>
      </c>
    </row>
    <row r="399">
      <c r="A399">
        <f>IF(AND(OR(Query!$B$4="All",'Compliance Database'!$A399=Query!$B$4),OR(Query!$B$5="All",'Compliance Database'!$F399=Query!$B$5),OR(Query!$B$6="All",ISNUMBER(SEARCH(Query!$B$6,'Compliance Database'!$I399))),OR(Query!$B$7="All",ISNUMBER(SEARCH(Query!$B$7,'Compliance Database'!$J399))),OR(Query!$B$8="All",'Compliance Database'!$G399=Query!$B$8),OR(Query!$B$9="All",'Compliance Database'!$K399=Query!$B$9),OR(Query!$B$10="",ISNUMBER(SEARCH(Query!$B$10,'Compliance Database'!$D399&amp;" "&amp;'Compliance Database'!$L399&amp;" "&amp;'Compliance Database'!$M399&amp;" "&amp;'Compliance Database'!$N399&amp;" "&amp;'Compliance Database'!$O399)))),1,0)</f>
        <v/>
      </c>
      <c r="B399">
        <f>IF($A399=1,SUM($A$2:$A399),"")</f>
        <v/>
      </c>
      <c r="C399">
        <f>IF($A399=1,SUM($A$2:$A399),0)</f>
        <v/>
      </c>
    </row>
    <row r="400">
      <c r="A400">
        <f>IF(AND(OR(Query!$B$4="All",'Compliance Database'!$A400=Query!$B$4),OR(Query!$B$5="All",'Compliance Database'!$F400=Query!$B$5),OR(Query!$B$6="All",ISNUMBER(SEARCH(Query!$B$6,'Compliance Database'!$I400))),OR(Query!$B$7="All",ISNUMBER(SEARCH(Query!$B$7,'Compliance Database'!$J400))),OR(Query!$B$8="All",'Compliance Database'!$G400=Query!$B$8),OR(Query!$B$9="All",'Compliance Database'!$K400=Query!$B$9),OR(Query!$B$10="",ISNUMBER(SEARCH(Query!$B$10,'Compliance Database'!$D400&amp;" "&amp;'Compliance Database'!$L400&amp;" "&amp;'Compliance Database'!$M400&amp;" "&amp;'Compliance Database'!$N400&amp;" "&amp;'Compliance Database'!$O400)))),1,0)</f>
        <v/>
      </c>
      <c r="B400">
        <f>IF($A400=1,SUM($A$2:$A400),"")</f>
        <v/>
      </c>
      <c r="C400">
        <f>IF($A400=1,SUM($A$2:$A400),0)</f>
        <v/>
      </c>
    </row>
    <row r="401">
      <c r="A401">
        <f>IF(AND(OR(Query!$B$4="All",'Compliance Database'!$A401=Query!$B$4),OR(Query!$B$5="All",'Compliance Database'!$F401=Query!$B$5),OR(Query!$B$6="All",ISNUMBER(SEARCH(Query!$B$6,'Compliance Database'!$I401))),OR(Query!$B$7="All",ISNUMBER(SEARCH(Query!$B$7,'Compliance Database'!$J401))),OR(Query!$B$8="All",'Compliance Database'!$G401=Query!$B$8),OR(Query!$B$9="All",'Compliance Database'!$K401=Query!$B$9),OR(Query!$B$10="",ISNUMBER(SEARCH(Query!$B$10,'Compliance Database'!$D401&amp;" "&amp;'Compliance Database'!$L401&amp;" "&amp;'Compliance Database'!$M401&amp;" "&amp;'Compliance Database'!$N401&amp;" "&amp;'Compliance Database'!$O401)))),1,0)</f>
        <v/>
      </c>
      <c r="B401">
        <f>IF($A401=1,SUM($A$2:$A401),"")</f>
        <v/>
      </c>
      <c r="C401">
        <f>IF($A401=1,SUM($A$2:$A401),0)</f>
        <v/>
      </c>
    </row>
    <row r="402">
      <c r="A402">
        <f>IF(AND(OR(Query!$B$4="All",'Compliance Database'!$A402=Query!$B$4),OR(Query!$B$5="All",'Compliance Database'!$F402=Query!$B$5),OR(Query!$B$6="All",ISNUMBER(SEARCH(Query!$B$6,'Compliance Database'!$I402))),OR(Query!$B$7="All",ISNUMBER(SEARCH(Query!$B$7,'Compliance Database'!$J402))),OR(Query!$B$8="All",'Compliance Database'!$G402=Query!$B$8),OR(Query!$B$9="All",'Compliance Database'!$K402=Query!$B$9),OR(Query!$B$10="",ISNUMBER(SEARCH(Query!$B$10,'Compliance Database'!$D402&amp;" "&amp;'Compliance Database'!$L402&amp;" "&amp;'Compliance Database'!$M402&amp;" "&amp;'Compliance Database'!$N402&amp;" "&amp;'Compliance Database'!$O402)))),1,0)</f>
        <v/>
      </c>
      <c r="B402">
        <f>IF($A402=1,SUM($A$2:$A402),"")</f>
        <v/>
      </c>
      <c r="C402">
        <f>IF($A402=1,SUM($A$2:$A402),0)</f>
        <v/>
      </c>
    </row>
    <row r="403">
      <c r="A403">
        <f>IF(AND(OR(Query!$B$4="All",'Compliance Database'!$A403=Query!$B$4),OR(Query!$B$5="All",'Compliance Database'!$F403=Query!$B$5),OR(Query!$B$6="All",ISNUMBER(SEARCH(Query!$B$6,'Compliance Database'!$I403))),OR(Query!$B$7="All",ISNUMBER(SEARCH(Query!$B$7,'Compliance Database'!$J403))),OR(Query!$B$8="All",'Compliance Database'!$G403=Query!$B$8),OR(Query!$B$9="All",'Compliance Database'!$K403=Query!$B$9),OR(Query!$B$10="",ISNUMBER(SEARCH(Query!$B$10,'Compliance Database'!$D403&amp;" "&amp;'Compliance Database'!$L403&amp;" "&amp;'Compliance Database'!$M403&amp;" "&amp;'Compliance Database'!$N403&amp;" "&amp;'Compliance Database'!$O403)))),1,0)</f>
        <v/>
      </c>
      <c r="B403">
        <f>IF($A403=1,SUM($A$2:$A403),"")</f>
        <v/>
      </c>
      <c r="C403">
        <f>IF($A403=1,SUM($A$2:$A403),0)</f>
        <v/>
      </c>
    </row>
    <row r="404">
      <c r="A404">
        <f>IF(AND(OR(Query!$B$4="All",'Compliance Database'!$A404=Query!$B$4),OR(Query!$B$5="All",'Compliance Database'!$F404=Query!$B$5),OR(Query!$B$6="All",ISNUMBER(SEARCH(Query!$B$6,'Compliance Database'!$I404))),OR(Query!$B$7="All",ISNUMBER(SEARCH(Query!$B$7,'Compliance Database'!$J404))),OR(Query!$B$8="All",'Compliance Database'!$G404=Query!$B$8),OR(Query!$B$9="All",'Compliance Database'!$K404=Query!$B$9),OR(Query!$B$10="",ISNUMBER(SEARCH(Query!$B$10,'Compliance Database'!$D404&amp;" "&amp;'Compliance Database'!$L404&amp;" "&amp;'Compliance Database'!$M404&amp;" "&amp;'Compliance Database'!$N404&amp;" "&amp;'Compliance Database'!$O404)))),1,0)</f>
        <v/>
      </c>
      <c r="B404">
        <f>IF($A404=1,SUM($A$2:$A404),"")</f>
        <v/>
      </c>
      <c r="C404">
        <f>IF($A404=1,SUM($A$2:$A404),0)</f>
        <v/>
      </c>
    </row>
    <row r="405">
      <c r="A405">
        <f>IF(AND(OR(Query!$B$4="All",'Compliance Database'!$A405=Query!$B$4),OR(Query!$B$5="All",'Compliance Database'!$F405=Query!$B$5),OR(Query!$B$6="All",ISNUMBER(SEARCH(Query!$B$6,'Compliance Database'!$I405))),OR(Query!$B$7="All",ISNUMBER(SEARCH(Query!$B$7,'Compliance Database'!$J405))),OR(Query!$B$8="All",'Compliance Database'!$G405=Query!$B$8),OR(Query!$B$9="All",'Compliance Database'!$K405=Query!$B$9),OR(Query!$B$10="",ISNUMBER(SEARCH(Query!$B$10,'Compliance Database'!$D405&amp;" "&amp;'Compliance Database'!$L405&amp;" "&amp;'Compliance Database'!$M405&amp;" "&amp;'Compliance Database'!$N405&amp;" "&amp;'Compliance Database'!$O405)))),1,0)</f>
        <v/>
      </c>
      <c r="B405">
        <f>IF($A405=1,SUM($A$2:$A405),"")</f>
        <v/>
      </c>
      <c r="C405">
        <f>IF($A405=1,SUM($A$2:$A405),0)</f>
        <v/>
      </c>
    </row>
    <row r="406">
      <c r="A406">
        <f>IF(AND(OR(Query!$B$4="All",'Compliance Database'!$A406=Query!$B$4),OR(Query!$B$5="All",'Compliance Database'!$F406=Query!$B$5),OR(Query!$B$6="All",ISNUMBER(SEARCH(Query!$B$6,'Compliance Database'!$I406))),OR(Query!$B$7="All",ISNUMBER(SEARCH(Query!$B$7,'Compliance Database'!$J406))),OR(Query!$B$8="All",'Compliance Database'!$G406=Query!$B$8),OR(Query!$B$9="All",'Compliance Database'!$K406=Query!$B$9),OR(Query!$B$10="",ISNUMBER(SEARCH(Query!$B$10,'Compliance Database'!$D406&amp;" "&amp;'Compliance Database'!$L406&amp;" "&amp;'Compliance Database'!$M406&amp;" "&amp;'Compliance Database'!$N406&amp;" "&amp;'Compliance Database'!$O406)))),1,0)</f>
        <v/>
      </c>
      <c r="B406">
        <f>IF($A406=1,SUM($A$2:$A406),"")</f>
        <v/>
      </c>
      <c r="C406">
        <f>IF($A406=1,SUM($A$2:$A406),0)</f>
        <v/>
      </c>
    </row>
    <row r="407">
      <c r="A407">
        <f>IF(AND(OR(Query!$B$4="All",'Compliance Database'!$A407=Query!$B$4),OR(Query!$B$5="All",'Compliance Database'!$F407=Query!$B$5),OR(Query!$B$6="All",ISNUMBER(SEARCH(Query!$B$6,'Compliance Database'!$I407))),OR(Query!$B$7="All",ISNUMBER(SEARCH(Query!$B$7,'Compliance Database'!$J407))),OR(Query!$B$8="All",'Compliance Database'!$G407=Query!$B$8),OR(Query!$B$9="All",'Compliance Database'!$K407=Query!$B$9),OR(Query!$B$10="",ISNUMBER(SEARCH(Query!$B$10,'Compliance Database'!$D407&amp;" "&amp;'Compliance Database'!$L407&amp;" "&amp;'Compliance Database'!$M407&amp;" "&amp;'Compliance Database'!$N407&amp;" "&amp;'Compliance Database'!$O407)))),1,0)</f>
        <v/>
      </c>
      <c r="B407">
        <f>IF($A407=1,SUM($A$2:$A407),"")</f>
        <v/>
      </c>
      <c r="C407">
        <f>IF($A407=1,SUM($A$2:$A407),0)</f>
        <v/>
      </c>
    </row>
    <row r="408">
      <c r="A408">
        <f>IF(AND(OR(Query!$B$4="All",'Compliance Database'!$A408=Query!$B$4),OR(Query!$B$5="All",'Compliance Database'!$F408=Query!$B$5),OR(Query!$B$6="All",ISNUMBER(SEARCH(Query!$B$6,'Compliance Database'!$I408))),OR(Query!$B$7="All",ISNUMBER(SEARCH(Query!$B$7,'Compliance Database'!$J408))),OR(Query!$B$8="All",'Compliance Database'!$G408=Query!$B$8),OR(Query!$B$9="All",'Compliance Database'!$K408=Query!$B$9),OR(Query!$B$10="",ISNUMBER(SEARCH(Query!$B$10,'Compliance Database'!$D408&amp;" "&amp;'Compliance Database'!$L408&amp;" "&amp;'Compliance Database'!$M408&amp;" "&amp;'Compliance Database'!$N408&amp;" "&amp;'Compliance Database'!$O408)))),1,0)</f>
        <v/>
      </c>
      <c r="B408">
        <f>IF($A408=1,SUM($A$2:$A408),"")</f>
        <v/>
      </c>
      <c r="C408">
        <f>IF($A408=1,SUM($A$2:$A408),0)</f>
        <v/>
      </c>
    </row>
    <row r="409">
      <c r="A409">
        <f>IF(AND(OR(Query!$B$4="All",'Compliance Database'!$A409=Query!$B$4),OR(Query!$B$5="All",'Compliance Database'!$F409=Query!$B$5),OR(Query!$B$6="All",ISNUMBER(SEARCH(Query!$B$6,'Compliance Database'!$I409))),OR(Query!$B$7="All",ISNUMBER(SEARCH(Query!$B$7,'Compliance Database'!$J409))),OR(Query!$B$8="All",'Compliance Database'!$G409=Query!$B$8),OR(Query!$B$9="All",'Compliance Database'!$K409=Query!$B$9),OR(Query!$B$10="",ISNUMBER(SEARCH(Query!$B$10,'Compliance Database'!$D409&amp;" "&amp;'Compliance Database'!$L409&amp;" "&amp;'Compliance Database'!$M409&amp;" "&amp;'Compliance Database'!$N409&amp;" "&amp;'Compliance Database'!$O409)))),1,0)</f>
        <v/>
      </c>
      <c r="B409">
        <f>IF($A409=1,SUM($A$2:$A409),"")</f>
        <v/>
      </c>
      <c r="C409">
        <f>IF($A409=1,SUM($A$2:$A409),0)</f>
        <v/>
      </c>
    </row>
    <row r="410">
      <c r="A410">
        <f>IF(AND(OR(Query!$B$4="All",'Compliance Database'!$A410=Query!$B$4),OR(Query!$B$5="All",'Compliance Database'!$F410=Query!$B$5),OR(Query!$B$6="All",ISNUMBER(SEARCH(Query!$B$6,'Compliance Database'!$I410))),OR(Query!$B$7="All",ISNUMBER(SEARCH(Query!$B$7,'Compliance Database'!$J410))),OR(Query!$B$8="All",'Compliance Database'!$G410=Query!$B$8),OR(Query!$B$9="All",'Compliance Database'!$K410=Query!$B$9),OR(Query!$B$10="",ISNUMBER(SEARCH(Query!$B$10,'Compliance Database'!$D410&amp;" "&amp;'Compliance Database'!$L410&amp;" "&amp;'Compliance Database'!$M410&amp;" "&amp;'Compliance Database'!$N410&amp;" "&amp;'Compliance Database'!$O410)))),1,0)</f>
        <v/>
      </c>
      <c r="B410">
        <f>IF($A410=1,SUM($A$2:$A410),"")</f>
        <v/>
      </c>
      <c r="C410">
        <f>IF($A410=1,SUM($A$2:$A410),0)</f>
        <v/>
      </c>
    </row>
    <row r="411">
      <c r="A411">
        <f>IF(AND(OR(Query!$B$4="All",'Compliance Database'!$A411=Query!$B$4),OR(Query!$B$5="All",'Compliance Database'!$F411=Query!$B$5),OR(Query!$B$6="All",ISNUMBER(SEARCH(Query!$B$6,'Compliance Database'!$I411))),OR(Query!$B$7="All",ISNUMBER(SEARCH(Query!$B$7,'Compliance Database'!$J411))),OR(Query!$B$8="All",'Compliance Database'!$G411=Query!$B$8),OR(Query!$B$9="All",'Compliance Database'!$K411=Query!$B$9),OR(Query!$B$10="",ISNUMBER(SEARCH(Query!$B$10,'Compliance Database'!$D411&amp;" "&amp;'Compliance Database'!$L411&amp;" "&amp;'Compliance Database'!$M411&amp;" "&amp;'Compliance Database'!$N411&amp;" "&amp;'Compliance Database'!$O411)))),1,0)</f>
        <v/>
      </c>
      <c r="B411">
        <f>IF($A411=1,SUM($A$2:$A411),"")</f>
        <v/>
      </c>
      <c r="C411">
        <f>IF($A411=1,SUM($A$2:$A411),0)</f>
        <v/>
      </c>
    </row>
    <row r="412">
      <c r="A412">
        <f>IF(AND(OR(Query!$B$4="All",'Compliance Database'!$A412=Query!$B$4),OR(Query!$B$5="All",'Compliance Database'!$F412=Query!$B$5),OR(Query!$B$6="All",ISNUMBER(SEARCH(Query!$B$6,'Compliance Database'!$I412))),OR(Query!$B$7="All",ISNUMBER(SEARCH(Query!$B$7,'Compliance Database'!$J412))),OR(Query!$B$8="All",'Compliance Database'!$G412=Query!$B$8),OR(Query!$B$9="All",'Compliance Database'!$K412=Query!$B$9),OR(Query!$B$10="",ISNUMBER(SEARCH(Query!$B$10,'Compliance Database'!$D412&amp;" "&amp;'Compliance Database'!$L412&amp;" "&amp;'Compliance Database'!$M412&amp;" "&amp;'Compliance Database'!$N412&amp;" "&amp;'Compliance Database'!$O412)))),1,0)</f>
        <v/>
      </c>
      <c r="B412">
        <f>IF($A412=1,SUM($A$2:$A412),"")</f>
        <v/>
      </c>
      <c r="C412">
        <f>IF($A412=1,SUM($A$2:$A412),0)</f>
        <v/>
      </c>
    </row>
    <row r="413">
      <c r="A413">
        <f>IF(AND(OR(Query!$B$4="All",'Compliance Database'!$A413=Query!$B$4),OR(Query!$B$5="All",'Compliance Database'!$F413=Query!$B$5),OR(Query!$B$6="All",ISNUMBER(SEARCH(Query!$B$6,'Compliance Database'!$I413))),OR(Query!$B$7="All",ISNUMBER(SEARCH(Query!$B$7,'Compliance Database'!$J413))),OR(Query!$B$8="All",'Compliance Database'!$G413=Query!$B$8),OR(Query!$B$9="All",'Compliance Database'!$K413=Query!$B$9),OR(Query!$B$10="",ISNUMBER(SEARCH(Query!$B$10,'Compliance Database'!$D413&amp;" "&amp;'Compliance Database'!$L413&amp;" "&amp;'Compliance Database'!$M413&amp;" "&amp;'Compliance Database'!$N413&amp;" "&amp;'Compliance Database'!$O413)))),1,0)</f>
        <v/>
      </c>
      <c r="B413">
        <f>IF($A413=1,SUM($A$2:$A413),"")</f>
        <v/>
      </c>
      <c r="C413">
        <f>IF($A413=1,SUM($A$2:$A413),0)</f>
        <v/>
      </c>
    </row>
    <row r="414">
      <c r="A414">
        <f>IF(AND(OR(Query!$B$4="All",'Compliance Database'!$A414=Query!$B$4),OR(Query!$B$5="All",'Compliance Database'!$F414=Query!$B$5),OR(Query!$B$6="All",ISNUMBER(SEARCH(Query!$B$6,'Compliance Database'!$I414))),OR(Query!$B$7="All",ISNUMBER(SEARCH(Query!$B$7,'Compliance Database'!$J414))),OR(Query!$B$8="All",'Compliance Database'!$G414=Query!$B$8),OR(Query!$B$9="All",'Compliance Database'!$K414=Query!$B$9),OR(Query!$B$10="",ISNUMBER(SEARCH(Query!$B$10,'Compliance Database'!$D414&amp;" "&amp;'Compliance Database'!$L414&amp;" "&amp;'Compliance Database'!$M414&amp;" "&amp;'Compliance Database'!$N414&amp;" "&amp;'Compliance Database'!$O414)))),1,0)</f>
        <v/>
      </c>
      <c r="B414">
        <f>IF($A414=1,SUM($A$2:$A414),"")</f>
        <v/>
      </c>
      <c r="C414">
        <f>IF($A414=1,SUM($A$2:$A414),0)</f>
        <v/>
      </c>
    </row>
    <row r="415">
      <c r="A415">
        <f>IF(AND(OR(Query!$B$4="All",'Compliance Database'!$A415=Query!$B$4),OR(Query!$B$5="All",'Compliance Database'!$F415=Query!$B$5),OR(Query!$B$6="All",ISNUMBER(SEARCH(Query!$B$6,'Compliance Database'!$I415))),OR(Query!$B$7="All",ISNUMBER(SEARCH(Query!$B$7,'Compliance Database'!$J415))),OR(Query!$B$8="All",'Compliance Database'!$G415=Query!$B$8),OR(Query!$B$9="All",'Compliance Database'!$K415=Query!$B$9),OR(Query!$B$10="",ISNUMBER(SEARCH(Query!$B$10,'Compliance Database'!$D415&amp;" "&amp;'Compliance Database'!$L415&amp;" "&amp;'Compliance Database'!$M415&amp;" "&amp;'Compliance Database'!$N415&amp;" "&amp;'Compliance Database'!$O415)))),1,0)</f>
        <v/>
      </c>
      <c r="B415">
        <f>IF($A415=1,SUM($A$2:$A415),"")</f>
        <v/>
      </c>
      <c r="C415">
        <f>IF($A415=1,SUM($A$2:$A415),0)</f>
        <v/>
      </c>
    </row>
    <row r="416">
      <c r="A416">
        <f>IF(AND(OR(Query!$B$4="All",'Compliance Database'!$A416=Query!$B$4),OR(Query!$B$5="All",'Compliance Database'!$F416=Query!$B$5),OR(Query!$B$6="All",ISNUMBER(SEARCH(Query!$B$6,'Compliance Database'!$I416))),OR(Query!$B$7="All",ISNUMBER(SEARCH(Query!$B$7,'Compliance Database'!$J416))),OR(Query!$B$8="All",'Compliance Database'!$G416=Query!$B$8),OR(Query!$B$9="All",'Compliance Database'!$K416=Query!$B$9),OR(Query!$B$10="",ISNUMBER(SEARCH(Query!$B$10,'Compliance Database'!$D416&amp;" "&amp;'Compliance Database'!$L416&amp;" "&amp;'Compliance Database'!$M416&amp;" "&amp;'Compliance Database'!$N416&amp;" "&amp;'Compliance Database'!$O416)))),1,0)</f>
        <v/>
      </c>
      <c r="B416">
        <f>IF($A416=1,SUM($A$2:$A416),"")</f>
        <v/>
      </c>
      <c r="C416">
        <f>IF($A416=1,SUM($A$2:$A416),0)</f>
        <v/>
      </c>
    </row>
    <row r="417">
      <c r="A417">
        <f>IF(AND(OR(Query!$B$4="All",'Compliance Database'!$A417=Query!$B$4),OR(Query!$B$5="All",'Compliance Database'!$F417=Query!$B$5),OR(Query!$B$6="All",ISNUMBER(SEARCH(Query!$B$6,'Compliance Database'!$I417))),OR(Query!$B$7="All",ISNUMBER(SEARCH(Query!$B$7,'Compliance Database'!$J417))),OR(Query!$B$8="All",'Compliance Database'!$G417=Query!$B$8),OR(Query!$B$9="All",'Compliance Database'!$K417=Query!$B$9),OR(Query!$B$10="",ISNUMBER(SEARCH(Query!$B$10,'Compliance Database'!$D417&amp;" "&amp;'Compliance Database'!$L417&amp;" "&amp;'Compliance Database'!$M417&amp;" "&amp;'Compliance Database'!$N417&amp;" "&amp;'Compliance Database'!$O417)))),1,0)</f>
        <v/>
      </c>
      <c r="B417">
        <f>IF($A417=1,SUM($A$2:$A417),"")</f>
        <v/>
      </c>
      <c r="C417">
        <f>IF($A417=1,SUM($A$2:$A417),0)</f>
        <v/>
      </c>
    </row>
    <row r="418">
      <c r="A418">
        <f>IF(AND(OR(Query!$B$4="All",'Compliance Database'!$A418=Query!$B$4),OR(Query!$B$5="All",'Compliance Database'!$F418=Query!$B$5),OR(Query!$B$6="All",ISNUMBER(SEARCH(Query!$B$6,'Compliance Database'!$I418))),OR(Query!$B$7="All",ISNUMBER(SEARCH(Query!$B$7,'Compliance Database'!$J418))),OR(Query!$B$8="All",'Compliance Database'!$G418=Query!$B$8),OR(Query!$B$9="All",'Compliance Database'!$K418=Query!$B$9),OR(Query!$B$10="",ISNUMBER(SEARCH(Query!$B$10,'Compliance Database'!$D418&amp;" "&amp;'Compliance Database'!$L418&amp;" "&amp;'Compliance Database'!$M418&amp;" "&amp;'Compliance Database'!$N418&amp;" "&amp;'Compliance Database'!$O418)))),1,0)</f>
        <v/>
      </c>
      <c r="B418">
        <f>IF($A418=1,SUM($A$2:$A418),"")</f>
        <v/>
      </c>
      <c r="C418">
        <f>IF($A418=1,SUM($A$2:$A418),0)</f>
        <v/>
      </c>
    </row>
    <row r="419">
      <c r="A419">
        <f>IF(AND(OR(Query!$B$4="All",'Compliance Database'!$A419=Query!$B$4),OR(Query!$B$5="All",'Compliance Database'!$F419=Query!$B$5),OR(Query!$B$6="All",ISNUMBER(SEARCH(Query!$B$6,'Compliance Database'!$I419))),OR(Query!$B$7="All",ISNUMBER(SEARCH(Query!$B$7,'Compliance Database'!$J419))),OR(Query!$B$8="All",'Compliance Database'!$G419=Query!$B$8),OR(Query!$B$9="All",'Compliance Database'!$K419=Query!$B$9),OR(Query!$B$10="",ISNUMBER(SEARCH(Query!$B$10,'Compliance Database'!$D419&amp;" "&amp;'Compliance Database'!$L419&amp;" "&amp;'Compliance Database'!$M419&amp;" "&amp;'Compliance Database'!$N419&amp;" "&amp;'Compliance Database'!$O419)))),1,0)</f>
        <v/>
      </c>
      <c r="B419">
        <f>IF($A419=1,SUM($A$2:$A419),"")</f>
        <v/>
      </c>
      <c r="C419">
        <f>IF($A419=1,SUM($A$2:$A419),0)</f>
        <v/>
      </c>
    </row>
    <row r="420">
      <c r="A420">
        <f>IF(AND(OR(Query!$B$4="All",'Compliance Database'!$A420=Query!$B$4),OR(Query!$B$5="All",'Compliance Database'!$F420=Query!$B$5),OR(Query!$B$6="All",ISNUMBER(SEARCH(Query!$B$6,'Compliance Database'!$I420))),OR(Query!$B$7="All",ISNUMBER(SEARCH(Query!$B$7,'Compliance Database'!$J420))),OR(Query!$B$8="All",'Compliance Database'!$G420=Query!$B$8),OR(Query!$B$9="All",'Compliance Database'!$K420=Query!$B$9),OR(Query!$B$10="",ISNUMBER(SEARCH(Query!$B$10,'Compliance Database'!$D420&amp;" "&amp;'Compliance Database'!$L420&amp;" "&amp;'Compliance Database'!$M420&amp;" "&amp;'Compliance Database'!$N420&amp;" "&amp;'Compliance Database'!$O420)))),1,0)</f>
        <v/>
      </c>
      <c r="B420">
        <f>IF($A420=1,SUM($A$2:$A420),"")</f>
        <v/>
      </c>
      <c r="C420">
        <f>IF($A420=1,SUM($A$2:$A420),0)</f>
        <v/>
      </c>
    </row>
    <row r="421">
      <c r="A421">
        <f>IF(AND(OR(Query!$B$4="All",'Compliance Database'!$A421=Query!$B$4),OR(Query!$B$5="All",'Compliance Database'!$F421=Query!$B$5),OR(Query!$B$6="All",ISNUMBER(SEARCH(Query!$B$6,'Compliance Database'!$I421))),OR(Query!$B$7="All",ISNUMBER(SEARCH(Query!$B$7,'Compliance Database'!$J421))),OR(Query!$B$8="All",'Compliance Database'!$G421=Query!$B$8),OR(Query!$B$9="All",'Compliance Database'!$K421=Query!$B$9),OR(Query!$B$10="",ISNUMBER(SEARCH(Query!$B$10,'Compliance Database'!$D421&amp;" "&amp;'Compliance Database'!$L421&amp;" "&amp;'Compliance Database'!$M421&amp;" "&amp;'Compliance Database'!$N421&amp;" "&amp;'Compliance Database'!$O421)))),1,0)</f>
        <v/>
      </c>
      <c r="B421">
        <f>IF($A421=1,SUM($A$2:$A421),"")</f>
        <v/>
      </c>
      <c r="C421">
        <f>IF($A421=1,SUM($A$2:$A421),0)</f>
        <v/>
      </c>
    </row>
    <row r="422">
      <c r="A422">
        <f>IF(AND(OR(Query!$B$4="All",'Compliance Database'!$A422=Query!$B$4),OR(Query!$B$5="All",'Compliance Database'!$F422=Query!$B$5),OR(Query!$B$6="All",ISNUMBER(SEARCH(Query!$B$6,'Compliance Database'!$I422))),OR(Query!$B$7="All",ISNUMBER(SEARCH(Query!$B$7,'Compliance Database'!$J422))),OR(Query!$B$8="All",'Compliance Database'!$G422=Query!$B$8),OR(Query!$B$9="All",'Compliance Database'!$K422=Query!$B$9),OR(Query!$B$10="",ISNUMBER(SEARCH(Query!$B$10,'Compliance Database'!$D422&amp;" "&amp;'Compliance Database'!$L422&amp;" "&amp;'Compliance Database'!$M422&amp;" "&amp;'Compliance Database'!$N422&amp;" "&amp;'Compliance Database'!$O422)))),1,0)</f>
        <v/>
      </c>
      <c r="B422">
        <f>IF($A422=1,SUM($A$2:$A422),"")</f>
        <v/>
      </c>
      <c r="C422">
        <f>IF($A422=1,SUM($A$2:$A422),0)</f>
        <v/>
      </c>
    </row>
    <row r="423">
      <c r="A423">
        <f>IF(AND(OR(Query!$B$4="All",'Compliance Database'!$A423=Query!$B$4),OR(Query!$B$5="All",'Compliance Database'!$F423=Query!$B$5),OR(Query!$B$6="All",ISNUMBER(SEARCH(Query!$B$6,'Compliance Database'!$I423))),OR(Query!$B$7="All",ISNUMBER(SEARCH(Query!$B$7,'Compliance Database'!$J423))),OR(Query!$B$8="All",'Compliance Database'!$G423=Query!$B$8),OR(Query!$B$9="All",'Compliance Database'!$K423=Query!$B$9),OR(Query!$B$10="",ISNUMBER(SEARCH(Query!$B$10,'Compliance Database'!$D423&amp;" "&amp;'Compliance Database'!$L423&amp;" "&amp;'Compliance Database'!$M423&amp;" "&amp;'Compliance Database'!$N423&amp;" "&amp;'Compliance Database'!$O423)))),1,0)</f>
        <v/>
      </c>
      <c r="B423">
        <f>IF($A423=1,SUM($A$2:$A423),"")</f>
        <v/>
      </c>
      <c r="C423">
        <f>IF($A423=1,SUM($A$2:$A423),0)</f>
        <v/>
      </c>
    </row>
    <row r="424">
      <c r="A424">
        <f>IF(AND(OR(Query!$B$4="All",'Compliance Database'!$A424=Query!$B$4),OR(Query!$B$5="All",'Compliance Database'!$F424=Query!$B$5),OR(Query!$B$6="All",ISNUMBER(SEARCH(Query!$B$6,'Compliance Database'!$I424))),OR(Query!$B$7="All",ISNUMBER(SEARCH(Query!$B$7,'Compliance Database'!$J424))),OR(Query!$B$8="All",'Compliance Database'!$G424=Query!$B$8),OR(Query!$B$9="All",'Compliance Database'!$K424=Query!$B$9),OR(Query!$B$10="",ISNUMBER(SEARCH(Query!$B$10,'Compliance Database'!$D424&amp;" "&amp;'Compliance Database'!$L424&amp;" "&amp;'Compliance Database'!$M424&amp;" "&amp;'Compliance Database'!$N424&amp;" "&amp;'Compliance Database'!$O424)))),1,0)</f>
        <v/>
      </c>
      <c r="B424">
        <f>IF($A424=1,SUM($A$2:$A424),"")</f>
        <v/>
      </c>
      <c r="C424">
        <f>IF($A424=1,SUM($A$2:$A424),0)</f>
        <v/>
      </c>
    </row>
    <row r="425">
      <c r="A425">
        <f>IF(AND(OR(Query!$B$4="All",'Compliance Database'!$A425=Query!$B$4),OR(Query!$B$5="All",'Compliance Database'!$F425=Query!$B$5),OR(Query!$B$6="All",ISNUMBER(SEARCH(Query!$B$6,'Compliance Database'!$I425))),OR(Query!$B$7="All",ISNUMBER(SEARCH(Query!$B$7,'Compliance Database'!$J425))),OR(Query!$B$8="All",'Compliance Database'!$G425=Query!$B$8),OR(Query!$B$9="All",'Compliance Database'!$K425=Query!$B$9),OR(Query!$B$10="",ISNUMBER(SEARCH(Query!$B$10,'Compliance Database'!$D425&amp;" "&amp;'Compliance Database'!$L425&amp;" "&amp;'Compliance Database'!$M425&amp;" "&amp;'Compliance Database'!$N425&amp;" "&amp;'Compliance Database'!$O425)))),1,0)</f>
        <v/>
      </c>
      <c r="B425">
        <f>IF($A425=1,SUM($A$2:$A425),"")</f>
        <v/>
      </c>
      <c r="C425">
        <f>IF($A425=1,SUM($A$2:$A425),0)</f>
        <v/>
      </c>
    </row>
    <row r="426">
      <c r="A426">
        <f>IF(AND(OR(Query!$B$4="All",'Compliance Database'!$A426=Query!$B$4),OR(Query!$B$5="All",'Compliance Database'!$F426=Query!$B$5),OR(Query!$B$6="All",ISNUMBER(SEARCH(Query!$B$6,'Compliance Database'!$I426))),OR(Query!$B$7="All",ISNUMBER(SEARCH(Query!$B$7,'Compliance Database'!$J426))),OR(Query!$B$8="All",'Compliance Database'!$G426=Query!$B$8),OR(Query!$B$9="All",'Compliance Database'!$K426=Query!$B$9),OR(Query!$B$10="",ISNUMBER(SEARCH(Query!$B$10,'Compliance Database'!$D426&amp;" "&amp;'Compliance Database'!$L426&amp;" "&amp;'Compliance Database'!$M426&amp;" "&amp;'Compliance Database'!$N426&amp;" "&amp;'Compliance Database'!$O426)))),1,0)</f>
        <v/>
      </c>
      <c r="B426">
        <f>IF($A426=1,SUM($A$2:$A426),"")</f>
        <v/>
      </c>
      <c r="C426">
        <f>IF($A426=1,SUM($A$2:$A426),0)</f>
        <v/>
      </c>
    </row>
    <row r="427">
      <c r="A427">
        <f>IF(AND(OR(Query!$B$4="All",'Compliance Database'!$A427=Query!$B$4),OR(Query!$B$5="All",'Compliance Database'!$F427=Query!$B$5),OR(Query!$B$6="All",ISNUMBER(SEARCH(Query!$B$6,'Compliance Database'!$I427))),OR(Query!$B$7="All",ISNUMBER(SEARCH(Query!$B$7,'Compliance Database'!$J427))),OR(Query!$B$8="All",'Compliance Database'!$G427=Query!$B$8),OR(Query!$B$9="All",'Compliance Database'!$K427=Query!$B$9),OR(Query!$B$10="",ISNUMBER(SEARCH(Query!$B$10,'Compliance Database'!$D427&amp;" "&amp;'Compliance Database'!$L427&amp;" "&amp;'Compliance Database'!$M427&amp;" "&amp;'Compliance Database'!$N427&amp;" "&amp;'Compliance Database'!$O427)))),1,0)</f>
        <v/>
      </c>
      <c r="B427">
        <f>IF($A427=1,SUM($A$2:$A427),"")</f>
        <v/>
      </c>
      <c r="C427">
        <f>IF($A427=1,SUM($A$2:$A427),0)</f>
        <v/>
      </c>
    </row>
    <row r="428">
      <c r="A428">
        <f>IF(AND(OR(Query!$B$4="All",'Compliance Database'!$A428=Query!$B$4),OR(Query!$B$5="All",'Compliance Database'!$F428=Query!$B$5),OR(Query!$B$6="All",ISNUMBER(SEARCH(Query!$B$6,'Compliance Database'!$I428))),OR(Query!$B$7="All",ISNUMBER(SEARCH(Query!$B$7,'Compliance Database'!$J428))),OR(Query!$B$8="All",'Compliance Database'!$G428=Query!$B$8),OR(Query!$B$9="All",'Compliance Database'!$K428=Query!$B$9),OR(Query!$B$10="",ISNUMBER(SEARCH(Query!$B$10,'Compliance Database'!$D428&amp;" "&amp;'Compliance Database'!$L428&amp;" "&amp;'Compliance Database'!$M428&amp;" "&amp;'Compliance Database'!$N428&amp;" "&amp;'Compliance Database'!$O428)))),1,0)</f>
        <v/>
      </c>
      <c r="B428">
        <f>IF($A428=1,SUM($A$2:$A428),"")</f>
        <v/>
      </c>
      <c r="C428">
        <f>IF($A428=1,SUM($A$2:$A428),0)</f>
        <v/>
      </c>
    </row>
    <row r="429">
      <c r="A429">
        <f>IF(AND(OR(Query!$B$4="All",'Compliance Database'!$A429=Query!$B$4),OR(Query!$B$5="All",'Compliance Database'!$F429=Query!$B$5),OR(Query!$B$6="All",ISNUMBER(SEARCH(Query!$B$6,'Compliance Database'!$I429))),OR(Query!$B$7="All",ISNUMBER(SEARCH(Query!$B$7,'Compliance Database'!$J429))),OR(Query!$B$8="All",'Compliance Database'!$G429=Query!$B$8),OR(Query!$B$9="All",'Compliance Database'!$K429=Query!$B$9),OR(Query!$B$10="",ISNUMBER(SEARCH(Query!$B$10,'Compliance Database'!$D429&amp;" "&amp;'Compliance Database'!$L429&amp;" "&amp;'Compliance Database'!$M429&amp;" "&amp;'Compliance Database'!$N429&amp;" "&amp;'Compliance Database'!$O429)))),1,0)</f>
        <v/>
      </c>
      <c r="B429">
        <f>IF($A429=1,SUM($A$2:$A429),"")</f>
        <v/>
      </c>
      <c r="C429">
        <f>IF($A429=1,SUM($A$2:$A429),0)</f>
        <v/>
      </c>
    </row>
    <row r="430">
      <c r="A430">
        <f>IF(AND(OR(Query!$B$4="All",'Compliance Database'!$A430=Query!$B$4),OR(Query!$B$5="All",'Compliance Database'!$F430=Query!$B$5),OR(Query!$B$6="All",ISNUMBER(SEARCH(Query!$B$6,'Compliance Database'!$I430))),OR(Query!$B$7="All",ISNUMBER(SEARCH(Query!$B$7,'Compliance Database'!$J430))),OR(Query!$B$8="All",'Compliance Database'!$G430=Query!$B$8),OR(Query!$B$9="All",'Compliance Database'!$K430=Query!$B$9),OR(Query!$B$10="",ISNUMBER(SEARCH(Query!$B$10,'Compliance Database'!$D430&amp;" "&amp;'Compliance Database'!$L430&amp;" "&amp;'Compliance Database'!$M430&amp;" "&amp;'Compliance Database'!$N430&amp;" "&amp;'Compliance Database'!$O430)))),1,0)</f>
        <v/>
      </c>
      <c r="B430">
        <f>IF($A430=1,SUM($A$2:$A430),"")</f>
        <v/>
      </c>
      <c r="C430">
        <f>IF($A430=1,SUM($A$2:$A430),0)</f>
        <v/>
      </c>
    </row>
    <row r="431">
      <c r="A431">
        <f>IF(AND(OR(Query!$B$4="All",'Compliance Database'!$A431=Query!$B$4),OR(Query!$B$5="All",'Compliance Database'!$F431=Query!$B$5),OR(Query!$B$6="All",ISNUMBER(SEARCH(Query!$B$6,'Compliance Database'!$I431))),OR(Query!$B$7="All",ISNUMBER(SEARCH(Query!$B$7,'Compliance Database'!$J431))),OR(Query!$B$8="All",'Compliance Database'!$G431=Query!$B$8),OR(Query!$B$9="All",'Compliance Database'!$K431=Query!$B$9),OR(Query!$B$10="",ISNUMBER(SEARCH(Query!$B$10,'Compliance Database'!$D431&amp;" "&amp;'Compliance Database'!$L431&amp;" "&amp;'Compliance Database'!$M431&amp;" "&amp;'Compliance Database'!$N431&amp;" "&amp;'Compliance Database'!$O431)))),1,0)</f>
        <v/>
      </c>
      <c r="B431">
        <f>IF($A431=1,SUM($A$2:$A431),"")</f>
        <v/>
      </c>
      <c r="C431">
        <f>IF($A431=1,SUM($A$2:$A431),0)</f>
        <v/>
      </c>
    </row>
    <row r="432">
      <c r="A432">
        <f>IF(AND(OR(Query!$B$4="All",'Compliance Database'!$A432=Query!$B$4),OR(Query!$B$5="All",'Compliance Database'!$F432=Query!$B$5),OR(Query!$B$6="All",ISNUMBER(SEARCH(Query!$B$6,'Compliance Database'!$I432))),OR(Query!$B$7="All",ISNUMBER(SEARCH(Query!$B$7,'Compliance Database'!$J432))),OR(Query!$B$8="All",'Compliance Database'!$G432=Query!$B$8),OR(Query!$B$9="All",'Compliance Database'!$K432=Query!$B$9),OR(Query!$B$10="",ISNUMBER(SEARCH(Query!$B$10,'Compliance Database'!$D432&amp;" "&amp;'Compliance Database'!$L432&amp;" "&amp;'Compliance Database'!$M432&amp;" "&amp;'Compliance Database'!$N432&amp;" "&amp;'Compliance Database'!$O432)))),1,0)</f>
        <v/>
      </c>
      <c r="B432">
        <f>IF($A432=1,SUM($A$2:$A432),"")</f>
        <v/>
      </c>
      <c r="C432">
        <f>IF($A432=1,SUM($A$2:$A432),0)</f>
        <v/>
      </c>
    </row>
    <row r="433">
      <c r="A433">
        <f>IF(AND(OR(Query!$B$4="All",'Compliance Database'!$A433=Query!$B$4),OR(Query!$B$5="All",'Compliance Database'!$F433=Query!$B$5),OR(Query!$B$6="All",ISNUMBER(SEARCH(Query!$B$6,'Compliance Database'!$I433))),OR(Query!$B$7="All",ISNUMBER(SEARCH(Query!$B$7,'Compliance Database'!$J433))),OR(Query!$B$8="All",'Compliance Database'!$G433=Query!$B$8),OR(Query!$B$9="All",'Compliance Database'!$K433=Query!$B$9),OR(Query!$B$10="",ISNUMBER(SEARCH(Query!$B$10,'Compliance Database'!$D433&amp;" "&amp;'Compliance Database'!$L433&amp;" "&amp;'Compliance Database'!$M433&amp;" "&amp;'Compliance Database'!$N433&amp;" "&amp;'Compliance Database'!$O433)))),1,0)</f>
        <v/>
      </c>
      <c r="B433">
        <f>IF($A433=1,SUM($A$2:$A433),"")</f>
        <v/>
      </c>
      <c r="C433">
        <f>IF($A433=1,SUM($A$2:$A433),0)</f>
        <v/>
      </c>
    </row>
    <row r="434">
      <c r="A434">
        <f>IF(AND(OR(Query!$B$4="All",'Compliance Database'!$A434=Query!$B$4),OR(Query!$B$5="All",'Compliance Database'!$F434=Query!$B$5),OR(Query!$B$6="All",ISNUMBER(SEARCH(Query!$B$6,'Compliance Database'!$I434))),OR(Query!$B$7="All",ISNUMBER(SEARCH(Query!$B$7,'Compliance Database'!$J434))),OR(Query!$B$8="All",'Compliance Database'!$G434=Query!$B$8),OR(Query!$B$9="All",'Compliance Database'!$K434=Query!$B$9),OR(Query!$B$10="",ISNUMBER(SEARCH(Query!$B$10,'Compliance Database'!$D434&amp;" "&amp;'Compliance Database'!$L434&amp;" "&amp;'Compliance Database'!$M434&amp;" "&amp;'Compliance Database'!$N434&amp;" "&amp;'Compliance Database'!$O434)))),1,0)</f>
        <v/>
      </c>
      <c r="B434">
        <f>IF($A434=1,SUM($A$2:$A434),"")</f>
        <v/>
      </c>
      <c r="C434">
        <f>IF($A434=1,SUM($A$2:$A434),0)</f>
        <v/>
      </c>
    </row>
    <row r="435">
      <c r="A435">
        <f>IF(AND(OR(Query!$B$4="All",'Compliance Database'!$A435=Query!$B$4),OR(Query!$B$5="All",'Compliance Database'!$F435=Query!$B$5),OR(Query!$B$6="All",ISNUMBER(SEARCH(Query!$B$6,'Compliance Database'!$I435))),OR(Query!$B$7="All",ISNUMBER(SEARCH(Query!$B$7,'Compliance Database'!$J435))),OR(Query!$B$8="All",'Compliance Database'!$G435=Query!$B$8),OR(Query!$B$9="All",'Compliance Database'!$K435=Query!$B$9),OR(Query!$B$10="",ISNUMBER(SEARCH(Query!$B$10,'Compliance Database'!$D435&amp;" "&amp;'Compliance Database'!$L435&amp;" "&amp;'Compliance Database'!$M435&amp;" "&amp;'Compliance Database'!$N435&amp;" "&amp;'Compliance Database'!$O435)))),1,0)</f>
        <v/>
      </c>
      <c r="B435">
        <f>IF($A435=1,SUM($A$2:$A435),"")</f>
        <v/>
      </c>
      <c r="C435">
        <f>IF($A435=1,SUM($A$2:$A435),0)</f>
        <v/>
      </c>
    </row>
    <row r="436">
      <c r="A436">
        <f>IF(AND(OR(Query!$B$4="All",'Compliance Database'!$A436=Query!$B$4),OR(Query!$B$5="All",'Compliance Database'!$F436=Query!$B$5),OR(Query!$B$6="All",ISNUMBER(SEARCH(Query!$B$6,'Compliance Database'!$I436))),OR(Query!$B$7="All",ISNUMBER(SEARCH(Query!$B$7,'Compliance Database'!$J436))),OR(Query!$B$8="All",'Compliance Database'!$G436=Query!$B$8),OR(Query!$B$9="All",'Compliance Database'!$K436=Query!$B$9),OR(Query!$B$10="",ISNUMBER(SEARCH(Query!$B$10,'Compliance Database'!$D436&amp;" "&amp;'Compliance Database'!$L436&amp;" "&amp;'Compliance Database'!$M436&amp;" "&amp;'Compliance Database'!$N436&amp;" "&amp;'Compliance Database'!$O436)))),1,0)</f>
        <v/>
      </c>
      <c r="B436">
        <f>IF($A436=1,SUM($A$2:$A436),"")</f>
        <v/>
      </c>
      <c r="C436">
        <f>IF($A436=1,SUM($A$2:$A436),0)</f>
        <v/>
      </c>
    </row>
    <row r="437">
      <c r="A437">
        <f>IF(AND(OR(Query!$B$4="All",'Compliance Database'!$A437=Query!$B$4),OR(Query!$B$5="All",'Compliance Database'!$F437=Query!$B$5),OR(Query!$B$6="All",ISNUMBER(SEARCH(Query!$B$6,'Compliance Database'!$I437))),OR(Query!$B$7="All",ISNUMBER(SEARCH(Query!$B$7,'Compliance Database'!$J437))),OR(Query!$B$8="All",'Compliance Database'!$G437=Query!$B$8),OR(Query!$B$9="All",'Compliance Database'!$K437=Query!$B$9),OR(Query!$B$10="",ISNUMBER(SEARCH(Query!$B$10,'Compliance Database'!$D437&amp;" "&amp;'Compliance Database'!$L437&amp;" "&amp;'Compliance Database'!$M437&amp;" "&amp;'Compliance Database'!$N437&amp;" "&amp;'Compliance Database'!$O437)))),1,0)</f>
        <v/>
      </c>
      <c r="B437">
        <f>IF($A437=1,SUM($A$2:$A437),"")</f>
        <v/>
      </c>
      <c r="C437">
        <f>IF($A437=1,SUM($A$2:$A437),0)</f>
        <v/>
      </c>
    </row>
    <row r="438">
      <c r="A438">
        <f>IF(AND(OR(Query!$B$4="All",'Compliance Database'!$A438=Query!$B$4),OR(Query!$B$5="All",'Compliance Database'!$F438=Query!$B$5),OR(Query!$B$6="All",ISNUMBER(SEARCH(Query!$B$6,'Compliance Database'!$I438))),OR(Query!$B$7="All",ISNUMBER(SEARCH(Query!$B$7,'Compliance Database'!$J438))),OR(Query!$B$8="All",'Compliance Database'!$G438=Query!$B$8),OR(Query!$B$9="All",'Compliance Database'!$K438=Query!$B$9),OR(Query!$B$10="",ISNUMBER(SEARCH(Query!$B$10,'Compliance Database'!$D438&amp;" "&amp;'Compliance Database'!$L438&amp;" "&amp;'Compliance Database'!$M438&amp;" "&amp;'Compliance Database'!$N438&amp;" "&amp;'Compliance Database'!$O438)))),1,0)</f>
        <v/>
      </c>
      <c r="B438">
        <f>IF($A438=1,SUM($A$2:$A438),"")</f>
        <v/>
      </c>
      <c r="C438">
        <f>IF($A438=1,SUM($A$2:$A438),0)</f>
        <v/>
      </c>
    </row>
    <row r="439">
      <c r="A439">
        <f>IF(AND(OR(Query!$B$4="All",'Compliance Database'!$A439=Query!$B$4),OR(Query!$B$5="All",'Compliance Database'!$F439=Query!$B$5),OR(Query!$B$6="All",ISNUMBER(SEARCH(Query!$B$6,'Compliance Database'!$I439))),OR(Query!$B$7="All",ISNUMBER(SEARCH(Query!$B$7,'Compliance Database'!$J439))),OR(Query!$B$8="All",'Compliance Database'!$G439=Query!$B$8),OR(Query!$B$9="All",'Compliance Database'!$K439=Query!$B$9),OR(Query!$B$10="",ISNUMBER(SEARCH(Query!$B$10,'Compliance Database'!$D439&amp;" "&amp;'Compliance Database'!$L439&amp;" "&amp;'Compliance Database'!$M439&amp;" "&amp;'Compliance Database'!$N439&amp;" "&amp;'Compliance Database'!$O439)))),1,0)</f>
        <v/>
      </c>
      <c r="B439">
        <f>IF($A439=1,SUM($A$2:$A439),"")</f>
        <v/>
      </c>
      <c r="C439">
        <f>IF($A439=1,SUM($A$2:$A439),0)</f>
        <v/>
      </c>
    </row>
    <row r="440">
      <c r="A440">
        <f>IF(AND(OR(Query!$B$4="All",'Compliance Database'!$A440=Query!$B$4),OR(Query!$B$5="All",'Compliance Database'!$F440=Query!$B$5),OR(Query!$B$6="All",ISNUMBER(SEARCH(Query!$B$6,'Compliance Database'!$I440))),OR(Query!$B$7="All",ISNUMBER(SEARCH(Query!$B$7,'Compliance Database'!$J440))),OR(Query!$B$8="All",'Compliance Database'!$G440=Query!$B$8),OR(Query!$B$9="All",'Compliance Database'!$K440=Query!$B$9),OR(Query!$B$10="",ISNUMBER(SEARCH(Query!$B$10,'Compliance Database'!$D440&amp;" "&amp;'Compliance Database'!$L440&amp;" "&amp;'Compliance Database'!$M440&amp;" "&amp;'Compliance Database'!$N440&amp;" "&amp;'Compliance Database'!$O440)))),1,0)</f>
        <v/>
      </c>
      <c r="B440">
        <f>IF($A440=1,SUM($A$2:$A440),"")</f>
        <v/>
      </c>
      <c r="C440">
        <f>IF($A440=1,SUM($A$2:$A440),0)</f>
        <v/>
      </c>
    </row>
    <row r="441">
      <c r="A441">
        <f>IF(AND(OR(Query!$B$4="All",'Compliance Database'!$A441=Query!$B$4),OR(Query!$B$5="All",'Compliance Database'!$F441=Query!$B$5),OR(Query!$B$6="All",ISNUMBER(SEARCH(Query!$B$6,'Compliance Database'!$I441))),OR(Query!$B$7="All",ISNUMBER(SEARCH(Query!$B$7,'Compliance Database'!$J441))),OR(Query!$B$8="All",'Compliance Database'!$G441=Query!$B$8),OR(Query!$B$9="All",'Compliance Database'!$K441=Query!$B$9),OR(Query!$B$10="",ISNUMBER(SEARCH(Query!$B$10,'Compliance Database'!$D441&amp;" "&amp;'Compliance Database'!$L441&amp;" "&amp;'Compliance Database'!$M441&amp;" "&amp;'Compliance Database'!$N441&amp;" "&amp;'Compliance Database'!$O441)))),1,0)</f>
        <v/>
      </c>
      <c r="B441">
        <f>IF($A441=1,SUM($A$2:$A441),"")</f>
        <v/>
      </c>
      <c r="C441">
        <f>IF($A441=1,SUM($A$2:$A441),0)</f>
        <v/>
      </c>
    </row>
    <row r="442">
      <c r="A442">
        <f>IF(AND(OR(Query!$B$4="All",'Compliance Database'!$A442=Query!$B$4),OR(Query!$B$5="All",'Compliance Database'!$F442=Query!$B$5),OR(Query!$B$6="All",ISNUMBER(SEARCH(Query!$B$6,'Compliance Database'!$I442))),OR(Query!$B$7="All",ISNUMBER(SEARCH(Query!$B$7,'Compliance Database'!$J442))),OR(Query!$B$8="All",'Compliance Database'!$G442=Query!$B$8),OR(Query!$B$9="All",'Compliance Database'!$K442=Query!$B$9),OR(Query!$B$10="",ISNUMBER(SEARCH(Query!$B$10,'Compliance Database'!$D442&amp;" "&amp;'Compliance Database'!$L442&amp;" "&amp;'Compliance Database'!$M442&amp;" "&amp;'Compliance Database'!$N442&amp;" "&amp;'Compliance Database'!$O442)))),1,0)</f>
        <v/>
      </c>
      <c r="B442">
        <f>IF($A442=1,SUM($A$2:$A442),"")</f>
        <v/>
      </c>
      <c r="C442">
        <f>IF($A442=1,SUM($A$2:$A442),0)</f>
        <v/>
      </c>
    </row>
    <row r="443">
      <c r="A443">
        <f>IF(AND(OR(Query!$B$4="All",'Compliance Database'!$A443=Query!$B$4),OR(Query!$B$5="All",'Compliance Database'!$F443=Query!$B$5),OR(Query!$B$6="All",ISNUMBER(SEARCH(Query!$B$6,'Compliance Database'!$I443))),OR(Query!$B$7="All",ISNUMBER(SEARCH(Query!$B$7,'Compliance Database'!$J443))),OR(Query!$B$8="All",'Compliance Database'!$G443=Query!$B$8),OR(Query!$B$9="All",'Compliance Database'!$K443=Query!$B$9),OR(Query!$B$10="",ISNUMBER(SEARCH(Query!$B$10,'Compliance Database'!$D443&amp;" "&amp;'Compliance Database'!$L443&amp;" "&amp;'Compliance Database'!$M443&amp;" "&amp;'Compliance Database'!$N443&amp;" "&amp;'Compliance Database'!$O443)))),1,0)</f>
        <v/>
      </c>
      <c r="B443">
        <f>IF($A443=1,SUM($A$2:$A443),"")</f>
        <v/>
      </c>
      <c r="C443">
        <f>IF($A443=1,SUM($A$2:$A443),0)</f>
        <v/>
      </c>
    </row>
    <row r="444">
      <c r="A444">
        <f>IF(AND(OR(Query!$B$4="All",'Compliance Database'!$A444=Query!$B$4),OR(Query!$B$5="All",'Compliance Database'!$F444=Query!$B$5),OR(Query!$B$6="All",ISNUMBER(SEARCH(Query!$B$6,'Compliance Database'!$I444))),OR(Query!$B$7="All",ISNUMBER(SEARCH(Query!$B$7,'Compliance Database'!$J444))),OR(Query!$B$8="All",'Compliance Database'!$G444=Query!$B$8),OR(Query!$B$9="All",'Compliance Database'!$K444=Query!$B$9),OR(Query!$B$10="",ISNUMBER(SEARCH(Query!$B$10,'Compliance Database'!$D444&amp;" "&amp;'Compliance Database'!$L444&amp;" "&amp;'Compliance Database'!$M444&amp;" "&amp;'Compliance Database'!$N444&amp;" "&amp;'Compliance Database'!$O444)))),1,0)</f>
        <v/>
      </c>
      <c r="B444">
        <f>IF($A444=1,SUM($A$2:$A444),"")</f>
        <v/>
      </c>
      <c r="C444">
        <f>IF($A444=1,SUM($A$2:$A444),0)</f>
        <v/>
      </c>
    </row>
    <row r="445">
      <c r="A445">
        <f>IF(AND(OR(Query!$B$4="All",'Compliance Database'!$A445=Query!$B$4),OR(Query!$B$5="All",'Compliance Database'!$F445=Query!$B$5),OR(Query!$B$6="All",ISNUMBER(SEARCH(Query!$B$6,'Compliance Database'!$I445))),OR(Query!$B$7="All",ISNUMBER(SEARCH(Query!$B$7,'Compliance Database'!$J445))),OR(Query!$B$8="All",'Compliance Database'!$G445=Query!$B$8),OR(Query!$B$9="All",'Compliance Database'!$K445=Query!$B$9),OR(Query!$B$10="",ISNUMBER(SEARCH(Query!$B$10,'Compliance Database'!$D445&amp;" "&amp;'Compliance Database'!$L445&amp;" "&amp;'Compliance Database'!$M445&amp;" "&amp;'Compliance Database'!$N445&amp;" "&amp;'Compliance Database'!$O445)))),1,0)</f>
        <v/>
      </c>
      <c r="B445">
        <f>IF($A445=1,SUM($A$2:$A445),"")</f>
        <v/>
      </c>
      <c r="C445">
        <f>IF($A445=1,SUM($A$2:$A445),0)</f>
        <v/>
      </c>
    </row>
    <row r="446">
      <c r="A446">
        <f>IF(AND(OR(Query!$B$4="All",'Compliance Database'!$A446=Query!$B$4),OR(Query!$B$5="All",'Compliance Database'!$F446=Query!$B$5),OR(Query!$B$6="All",ISNUMBER(SEARCH(Query!$B$6,'Compliance Database'!$I446))),OR(Query!$B$7="All",ISNUMBER(SEARCH(Query!$B$7,'Compliance Database'!$J446))),OR(Query!$B$8="All",'Compliance Database'!$G446=Query!$B$8),OR(Query!$B$9="All",'Compliance Database'!$K446=Query!$B$9),OR(Query!$B$10="",ISNUMBER(SEARCH(Query!$B$10,'Compliance Database'!$D446&amp;" "&amp;'Compliance Database'!$L446&amp;" "&amp;'Compliance Database'!$M446&amp;" "&amp;'Compliance Database'!$N446&amp;" "&amp;'Compliance Database'!$O446)))),1,0)</f>
        <v/>
      </c>
      <c r="B446">
        <f>IF($A446=1,SUM($A$2:$A446),"")</f>
        <v/>
      </c>
      <c r="C446">
        <f>IF($A446=1,SUM($A$2:$A446),0)</f>
        <v/>
      </c>
    </row>
    <row r="447">
      <c r="A447">
        <f>IF(AND(OR(Query!$B$4="All",'Compliance Database'!$A447=Query!$B$4),OR(Query!$B$5="All",'Compliance Database'!$F447=Query!$B$5),OR(Query!$B$6="All",ISNUMBER(SEARCH(Query!$B$6,'Compliance Database'!$I447))),OR(Query!$B$7="All",ISNUMBER(SEARCH(Query!$B$7,'Compliance Database'!$J447))),OR(Query!$B$8="All",'Compliance Database'!$G447=Query!$B$8),OR(Query!$B$9="All",'Compliance Database'!$K447=Query!$B$9),OR(Query!$B$10="",ISNUMBER(SEARCH(Query!$B$10,'Compliance Database'!$D447&amp;" "&amp;'Compliance Database'!$L447&amp;" "&amp;'Compliance Database'!$M447&amp;" "&amp;'Compliance Database'!$N447&amp;" "&amp;'Compliance Database'!$O447)))),1,0)</f>
        <v/>
      </c>
      <c r="B447">
        <f>IF($A447=1,SUM($A$2:$A447),"")</f>
        <v/>
      </c>
      <c r="C447">
        <f>IF($A447=1,SUM($A$2:$A447),0)</f>
        <v/>
      </c>
    </row>
    <row r="448">
      <c r="A448">
        <f>IF(AND(OR(Query!$B$4="All",'Compliance Database'!$A448=Query!$B$4),OR(Query!$B$5="All",'Compliance Database'!$F448=Query!$B$5),OR(Query!$B$6="All",ISNUMBER(SEARCH(Query!$B$6,'Compliance Database'!$I448))),OR(Query!$B$7="All",ISNUMBER(SEARCH(Query!$B$7,'Compliance Database'!$J448))),OR(Query!$B$8="All",'Compliance Database'!$G448=Query!$B$8),OR(Query!$B$9="All",'Compliance Database'!$K448=Query!$B$9),OR(Query!$B$10="",ISNUMBER(SEARCH(Query!$B$10,'Compliance Database'!$D448&amp;" "&amp;'Compliance Database'!$L448&amp;" "&amp;'Compliance Database'!$M448&amp;" "&amp;'Compliance Database'!$N448&amp;" "&amp;'Compliance Database'!$O448)))),1,0)</f>
        <v/>
      </c>
      <c r="B448">
        <f>IF($A448=1,SUM($A$2:$A448),"")</f>
        <v/>
      </c>
      <c r="C448">
        <f>IF($A448=1,SUM($A$2:$A448),0)</f>
        <v/>
      </c>
    </row>
    <row r="449">
      <c r="A449">
        <f>IF(AND(OR(Query!$B$4="All",'Compliance Database'!$A449=Query!$B$4),OR(Query!$B$5="All",'Compliance Database'!$F449=Query!$B$5),OR(Query!$B$6="All",ISNUMBER(SEARCH(Query!$B$6,'Compliance Database'!$I449))),OR(Query!$B$7="All",ISNUMBER(SEARCH(Query!$B$7,'Compliance Database'!$J449))),OR(Query!$B$8="All",'Compliance Database'!$G449=Query!$B$8),OR(Query!$B$9="All",'Compliance Database'!$K449=Query!$B$9),OR(Query!$B$10="",ISNUMBER(SEARCH(Query!$B$10,'Compliance Database'!$D449&amp;" "&amp;'Compliance Database'!$L449&amp;" "&amp;'Compliance Database'!$M449&amp;" "&amp;'Compliance Database'!$N449&amp;" "&amp;'Compliance Database'!$O449)))),1,0)</f>
        <v/>
      </c>
      <c r="B449">
        <f>IF($A449=1,SUM($A$2:$A449),"")</f>
        <v/>
      </c>
      <c r="C449">
        <f>IF($A449=1,SUM($A$2:$A449),0)</f>
        <v/>
      </c>
    </row>
    <row r="450">
      <c r="A450">
        <f>IF(AND(OR(Query!$B$4="All",'Compliance Database'!$A450=Query!$B$4),OR(Query!$B$5="All",'Compliance Database'!$F450=Query!$B$5),OR(Query!$B$6="All",ISNUMBER(SEARCH(Query!$B$6,'Compliance Database'!$I450))),OR(Query!$B$7="All",ISNUMBER(SEARCH(Query!$B$7,'Compliance Database'!$J450))),OR(Query!$B$8="All",'Compliance Database'!$G450=Query!$B$8),OR(Query!$B$9="All",'Compliance Database'!$K450=Query!$B$9),OR(Query!$B$10="",ISNUMBER(SEARCH(Query!$B$10,'Compliance Database'!$D450&amp;" "&amp;'Compliance Database'!$L450&amp;" "&amp;'Compliance Database'!$M450&amp;" "&amp;'Compliance Database'!$N450&amp;" "&amp;'Compliance Database'!$O450)))),1,0)</f>
        <v/>
      </c>
      <c r="B450">
        <f>IF($A450=1,SUM($A$2:$A450),"")</f>
        <v/>
      </c>
      <c r="C450">
        <f>IF($A450=1,SUM($A$2:$A450),0)</f>
        <v/>
      </c>
    </row>
    <row r="451">
      <c r="A451">
        <f>IF(AND(OR(Query!$B$4="All",'Compliance Database'!$A451=Query!$B$4),OR(Query!$B$5="All",'Compliance Database'!$F451=Query!$B$5),OR(Query!$B$6="All",ISNUMBER(SEARCH(Query!$B$6,'Compliance Database'!$I451))),OR(Query!$B$7="All",ISNUMBER(SEARCH(Query!$B$7,'Compliance Database'!$J451))),OR(Query!$B$8="All",'Compliance Database'!$G451=Query!$B$8),OR(Query!$B$9="All",'Compliance Database'!$K451=Query!$B$9),OR(Query!$B$10="",ISNUMBER(SEARCH(Query!$B$10,'Compliance Database'!$D451&amp;" "&amp;'Compliance Database'!$L451&amp;" "&amp;'Compliance Database'!$M451&amp;" "&amp;'Compliance Database'!$N451&amp;" "&amp;'Compliance Database'!$O451)))),1,0)</f>
        <v/>
      </c>
      <c r="B451">
        <f>IF($A451=1,SUM($A$2:$A451),"")</f>
        <v/>
      </c>
      <c r="C451">
        <f>IF($A451=1,SUM($A$2:$A451),0)</f>
        <v/>
      </c>
    </row>
    <row r="452">
      <c r="A452">
        <f>IF(AND(OR(Query!$B$4="All",'Compliance Database'!$A452=Query!$B$4),OR(Query!$B$5="All",'Compliance Database'!$F452=Query!$B$5),OR(Query!$B$6="All",ISNUMBER(SEARCH(Query!$B$6,'Compliance Database'!$I452))),OR(Query!$B$7="All",ISNUMBER(SEARCH(Query!$B$7,'Compliance Database'!$J452))),OR(Query!$B$8="All",'Compliance Database'!$G452=Query!$B$8),OR(Query!$B$9="All",'Compliance Database'!$K452=Query!$B$9),OR(Query!$B$10="",ISNUMBER(SEARCH(Query!$B$10,'Compliance Database'!$D452&amp;" "&amp;'Compliance Database'!$L452&amp;" "&amp;'Compliance Database'!$M452&amp;" "&amp;'Compliance Database'!$N452&amp;" "&amp;'Compliance Database'!$O452)))),1,0)</f>
        <v/>
      </c>
      <c r="B452">
        <f>IF($A452=1,SUM($A$2:$A452),"")</f>
        <v/>
      </c>
      <c r="C452">
        <f>IF($A452=1,SUM($A$2:$A452),0)</f>
        <v/>
      </c>
    </row>
    <row r="453">
      <c r="A453">
        <f>IF(AND(OR(Query!$B$4="All",'Compliance Database'!$A453=Query!$B$4),OR(Query!$B$5="All",'Compliance Database'!$F453=Query!$B$5),OR(Query!$B$6="All",ISNUMBER(SEARCH(Query!$B$6,'Compliance Database'!$I453))),OR(Query!$B$7="All",ISNUMBER(SEARCH(Query!$B$7,'Compliance Database'!$J453))),OR(Query!$B$8="All",'Compliance Database'!$G453=Query!$B$8),OR(Query!$B$9="All",'Compliance Database'!$K453=Query!$B$9),OR(Query!$B$10="",ISNUMBER(SEARCH(Query!$B$10,'Compliance Database'!$D453&amp;" "&amp;'Compliance Database'!$L453&amp;" "&amp;'Compliance Database'!$M453&amp;" "&amp;'Compliance Database'!$N453&amp;" "&amp;'Compliance Database'!$O453)))),1,0)</f>
        <v/>
      </c>
      <c r="B453">
        <f>IF($A453=1,SUM($A$2:$A453),"")</f>
        <v/>
      </c>
      <c r="C453">
        <f>IF($A453=1,SUM($A$2:$A453),0)</f>
        <v/>
      </c>
    </row>
    <row r="454">
      <c r="A454">
        <f>IF(AND(OR(Query!$B$4="All",'Compliance Database'!$A454=Query!$B$4),OR(Query!$B$5="All",'Compliance Database'!$F454=Query!$B$5),OR(Query!$B$6="All",ISNUMBER(SEARCH(Query!$B$6,'Compliance Database'!$I454))),OR(Query!$B$7="All",ISNUMBER(SEARCH(Query!$B$7,'Compliance Database'!$J454))),OR(Query!$B$8="All",'Compliance Database'!$G454=Query!$B$8),OR(Query!$B$9="All",'Compliance Database'!$K454=Query!$B$9),OR(Query!$B$10="",ISNUMBER(SEARCH(Query!$B$10,'Compliance Database'!$D454&amp;" "&amp;'Compliance Database'!$L454&amp;" "&amp;'Compliance Database'!$M454&amp;" "&amp;'Compliance Database'!$N454&amp;" "&amp;'Compliance Database'!$O454)))),1,0)</f>
        <v/>
      </c>
      <c r="B454">
        <f>IF($A454=1,SUM($A$2:$A454),"")</f>
        <v/>
      </c>
      <c r="C454">
        <f>IF($A454=1,SUM($A$2:$A454),0)</f>
        <v/>
      </c>
    </row>
    <row r="455">
      <c r="A455">
        <f>IF(AND(OR(Query!$B$4="All",'Compliance Database'!$A455=Query!$B$4),OR(Query!$B$5="All",'Compliance Database'!$F455=Query!$B$5),OR(Query!$B$6="All",ISNUMBER(SEARCH(Query!$B$6,'Compliance Database'!$I455))),OR(Query!$B$7="All",ISNUMBER(SEARCH(Query!$B$7,'Compliance Database'!$J455))),OR(Query!$B$8="All",'Compliance Database'!$G455=Query!$B$8),OR(Query!$B$9="All",'Compliance Database'!$K455=Query!$B$9),OR(Query!$B$10="",ISNUMBER(SEARCH(Query!$B$10,'Compliance Database'!$D455&amp;" "&amp;'Compliance Database'!$L455&amp;" "&amp;'Compliance Database'!$M455&amp;" "&amp;'Compliance Database'!$N455&amp;" "&amp;'Compliance Database'!$O455)))),1,0)</f>
        <v/>
      </c>
      <c r="B455">
        <f>IF($A455=1,SUM($A$2:$A455),"")</f>
        <v/>
      </c>
      <c r="C455">
        <f>IF($A455=1,SUM($A$2:$A455),0)</f>
        <v/>
      </c>
    </row>
    <row r="456">
      <c r="A456">
        <f>IF(AND(OR(Query!$B$4="All",'Compliance Database'!$A456=Query!$B$4),OR(Query!$B$5="All",'Compliance Database'!$F456=Query!$B$5),OR(Query!$B$6="All",ISNUMBER(SEARCH(Query!$B$6,'Compliance Database'!$I456))),OR(Query!$B$7="All",ISNUMBER(SEARCH(Query!$B$7,'Compliance Database'!$J456))),OR(Query!$B$8="All",'Compliance Database'!$G456=Query!$B$8),OR(Query!$B$9="All",'Compliance Database'!$K456=Query!$B$9),OR(Query!$B$10="",ISNUMBER(SEARCH(Query!$B$10,'Compliance Database'!$D456&amp;" "&amp;'Compliance Database'!$L456&amp;" "&amp;'Compliance Database'!$M456&amp;" "&amp;'Compliance Database'!$N456&amp;" "&amp;'Compliance Database'!$O456)))),1,0)</f>
        <v/>
      </c>
      <c r="B456">
        <f>IF($A456=1,SUM($A$2:$A456),"")</f>
        <v/>
      </c>
      <c r="C456">
        <f>IF($A456=1,SUM($A$2:$A456),0)</f>
        <v/>
      </c>
    </row>
    <row r="457">
      <c r="A457">
        <f>IF(AND(OR(Query!$B$4="All",'Compliance Database'!$A457=Query!$B$4),OR(Query!$B$5="All",'Compliance Database'!$F457=Query!$B$5),OR(Query!$B$6="All",ISNUMBER(SEARCH(Query!$B$6,'Compliance Database'!$I457))),OR(Query!$B$7="All",ISNUMBER(SEARCH(Query!$B$7,'Compliance Database'!$J457))),OR(Query!$B$8="All",'Compliance Database'!$G457=Query!$B$8),OR(Query!$B$9="All",'Compliance Database'!$K457=Query!$B$9),OR(Query!$B$10="",ISNUMBER(SEARCH(Query!$B$10,'Compliance Database'!$D457&amp;" "&amp;'Compliance Database'!$L457&amp;" "&amp;'Compliance Database'!$M457&amp;" "&amp;'Compliance Database'!$N457&amp;" "&amp;'Compliance Database'!$O457)))),1,0)</f>
        <v/>
      </c>
      <c r="B457">
        <f>IF($A457=1,SUM($A$2:$A457),"")</f>
        <v/>
      </c>
      <c r="C457">
        <f>IF($A457=1,SUM($A$2:$A457),0)</f>
        <v/>
      </c>
    </row>
    <row r="458">
      <c r="A458">
        <f>IF(AND(OR(Query!$B$4="All",'Compliance Database'!$A458=Query!$B$4),OR(Query!$B$5="All",'Compliance Database'!$F458=Query!$B$5),OR(Query!$B$6="All",ISNUMBER(SEARCH(Query!$B$6,'Compliance Database'!$I458))),OR(Query!$B$7="All",ISNUMBER(SEARCH(Query!$B$7,'Compliance Database'!$J458))),OR(Query!$B$8="All",'Compliance Database'!$G458=Query!$B$8),OR(Query!$B$9="All",'Compliance Database'!$K458=Query!$B$9),OR(Query!$B$10="",ISNUMBER(SEARCH(Query!$B$10,'Compliance Database'!$D458&amp;" "&amp;'Compliance Database'!$L458&amp;" "&amp;'Compliance Database'!$M458&amp;" "&amp;'Compliance Database'!$N458&amp;" "&amp;'Compliance Database'!$O458)))),1,0)</f>
        <v/>
      </c>
      <c r="B458">
        <f>IF($A458=1,SUM($A$2:$A458),"")</f>
        <v/>
      </c>
      <c r="C458">
        <f>IF($A458=1,SUM($A$2:$A458),0)</f>
        <v/>
      </c>
    </row>
    <row r="459">
      <c r="A459">
        <f>IF(AND(OR(Query!$B$4="All",'Compliance Database'!$A459=Query!$B$4),OR(Query!$B$5="All",'Compliance Database'!$F459=Query!$B$5),OR(Query!$B$6="All",ISNUMBER(SEARCH(Query!$B$6,'Compliance Database'!$I459))),OR(Query!$B$7="All",ISNUMBER(SEARCH(Query!$B$7,'Compliance Database'!$J459))),OR(Query!$B$8="All",'Compliance Database'!$G459=Query!$B$8),OR(Query!$B$9="All",'Compliance Database'!$K459=Query!$B$9),OR(Query!$B$10="",ISNUMBER(SEARCH(Query!$B$10,'Compliance Database'!$D459&amp;" "&amp;'Compliance Database'!$L459&amp;" "&amp;'Compliance Database'!$M459&amp;" "&amp;'Compliance Database'!$N459&amp;" "&amp;'Compliance Database'!$O459)))),1,0)</f>
        <v/>
      </c>
      <c r="B459">
        <f>IF($A459=1,SUM($A$2:$A459),"")</f>
        <v/>
      </c>
      <c r="C459">
        <f>IF($A459=1,SUM($A$2:$A459),0)</f>
        <v/>
      </c>
    </row>
    <row r="460">
      <c r="A460">
        <f>IF(AND(OR(Query!$B$4="All",'Compliance Database'!$A460=Query!$B$4),OR(Query!$B$5="All",'Compliance Database'!$F460=Query!$B$5),OR(Query!$B$6="All",ISNUMBER(SEARCH(Query!$B$6,'Compliance Database'!$I460))),OR(Query!$B$7="All",ISNUMBER(SEARCH(Query!$B$7,'Compliance Database'!$J460))),OR(Query!$B$8="All",'Compliance Database'!$G460=Query!$B$8),OR(Query!$B$9="All",'Compliance Database'!$K460=Query!$B$9),OR(Query!$B$10="",ISNUMBER(SEARCH(Query!$B$10,'Compliance Database'!$D460&amp;" "&amp;'Compliance Database'!$L460&amp;" "&amp;'Compliance Database'!$M460&amp;" "&amp;'Compliance Database'!$N460&amp;" "&amp;'Compliance Database'!$O460)))),1,0)</f>
        <v/>
      </c>
      <c r="B460">
        <f>IF($A460=1,SUM($A$2:$A460),"")</f>
        <v/>
      </c>
      <c r="C460">
        <f>IF($A460=1,SUM($A$2:$A460),0)</f>
        <v/>
      </c>
    </row>
    <row r="461">
      <c r="A461">
        <f>IF(AND(OR(Query!$B$4="All",'Compliance Database'!$A461=Query!$B$4),OR(Query!$B$5="All",'Compliance Database'!$F461=Query!$B$5),OR(Query!$B$6="All",ISNUMBER(SEARCH(Query!$B$6,'Compliance Database'!$I461))),OR(Query!$B$7="All",ISNUMBER(SEARCH(Query!$B$7,'Compliance Database'!$J461))),OR(Query!$B$8="All",'Compliance Database'!$G461=Query!$B$8),OR(Query!$B$9="All",'Compliance Database'!$K461=Query!$B$9),OR(Query!$B$10="",ISNUMBER(SEARCH(Query!$B$10,'Compliance Database'!$D461&amp;" "&amp;'Compliance Database'!$L461&amp;" "&amp;'Compliance Database'!$M461&amp;" "&amp;'Compliance Database'!$N461&amp;" "&amp;'Compliance Database'!$O461)))),1,0)</f>
        <v/>
      </c>
      <c r="B461">
        <f>IF($A461=1,SUM($A$2:$A461),"")</f>
        <v/>
      </c>
      <c r="C461">
        <f>IF($A461=1,SUM($A$2:$A461),0)</f>
        <v/>
      </c>
    </row>
    <row r="462">
      <c r="A462">
        <f>IF(AND(OR(Query!$B$4="All",'Compliance Database'!$A462=Query!$B$4),OR(Query!$B$5="All",'Compliance Database'!$F462=Query!$B$5),OR(Query!$B$6="All",ISNUMBER(SEARCH(Query!$B$6,'Compliance Database'!$I462))),OR(Query!$B$7="All",ISNUMBER(SEARCH(Query!$B$7,'Compliance Database'!$J462))),OR(Query!$B$8="All",'Compliance Database'!$G462=Query!$B$8),OR(Query!$B$9="All",'Compliance Database'!$K462=Query!$B$9),OR(Query!$B$10="",ISNUMBER(SEARCH(Query!$B$10,'Compliance Database'!$D462&amp;" "&amp;'Compliance Database'!$L462&amp;" "&amp;'Compliance Database'!$M462&amp;" "&amp;'Compliance Database'!$N462&amp;" "&amp;'Compliance Database'!$O462)))),1,0)</f>
        <v/>
      </c>
      <c r="B462">
        <f>IF($A462=1,SUM($A$2:$A462),"")</f>
        <v/>
      </c>
      <c r="C462">
        <f>IF($A462=1,SUM($A$2:$A462),0)</f>
        <v/>
      </c>
    </row>
    <row r="463">
      <c r="A463">
        <f>IF(AND(OR(Query!$B$4="All",'Compliance Database'!$A463=Query!$B$4),OR(Query!$B$5="All",'Compliance Database'!$F463=Query!$B$5),OR(Query!$B$6="All",ISNUMBER(SEARCH(Query!$B$6,'Compliance Database'!$I463))),OR(Query!$B$7="All",ISNUMBER(SEARCH(Query!$B$7,'Compliance Database'!$J463))),OR(Query!$B$8="All",'Compliance Database'!$G463=Query!$B$8),OR(Query!$B$9="All",'Compliance Database'!$K463=Query!$B$9),OR(Query!$B$10="",ISNUMBER(SEARCH(Query!$B$10,'Compliance Database'!$D463&amp;" "&amp;'Compliance Database'!$L463&amp;" "&amp;'Compliance Database'!$M463&amp;" "&amp;'Compliance Database'!$N463&amp;" "&amp;'Compliance Database'!$O463)))),1,0)</f>
        <v/>
      </c>
      <c r="B463">
        <f>IF($A463=1,SUM($A$2:$A463),"")</f>
        <v/>
      </c>
      <c r="C463">
        <f>IF($A463=1,SUM($A$2:$A463),0)</f>
        <v/>
      </c>
    </row>
    <row r="464">
      <c r="A464">
        <f>IF(AND(OR(Query!$B$4="All",'Compliance Database'!$A464=Query!$B$4),OR(Query!$B$5="All",'Compliance Database'!$F464=Query!$B$5),OR(Query!$B$6="All",ISNUMBER(SEARCH(Query!$B$6,'Compliance Database'!$I464))),OR(Query!$B$7="All",ISNUMBER(SEARCH(Query!$B$7,'Compliance Database'!$J464))),OR(Query!$B$8="All",'Compliance Database'!$G464=Query!$B$8),OR(Query!$B$9="All",'Compliance Database'!$K464=Query!$B$9),OR(Query!$B$10="",ISNUMBER(SEARCH(Query!$B$10,'Compliance Database'!$D464&amp;" "&amp;'Compliance Database'!$L464&amp;" "&amp;'Compliance Database'!$M464&amp;" "&amp;'Compliance Database'!$N464&amp;" "&amp;'Compliance Database'!$O464)))),1,0)</f>
        <v/>
      </c>
      <c r="B464">
        <f>IF($A464=1,SUM($A$2:$A464),"")</f>
        <v/>
      </c>
      <c r="C464">
        <f>IF($A464=1,SUM($A$2:$A464),0)</f>
        <v/>
      </c>
    </row>
    <row r="465">
      <c r="A465">
        <f>IF(AND(OR(Query!$B$4="All",'Compliance Database'!$A465=Query!$B$4),OR(Query!$B$5="All",'Compliance Database'!$F465=Query!$B$5),OR(Query!$B$6="All",ISNUMBER(SEARCH(Query!$B$6,'Compliance Database'!$I465))),OR(Query!$B$7="All",ISNUMBER(SEARCH(Query!$B$7,'Compliance Database'!$J465))),OR(Query!$B$8="All",'Compliance Database'!$G465=Query!$B$8),OR(Query!$B$9="All",'Compliance Database'!$K465=Query!$B$9),OR(Query!$B$10="",ISNUMBER(SEARCH(Query!$B$10,'Compliance Database'!$D465&amp;" "&amp;'Compliance Database'!$L465&amp;" "&amp;'Compliance Database'!$M465&amp;" "&amp;'Compliance Database'!$N465&amp;" "&amp;'Compliance Database'!$O465)))),1,0)</f>
        <v/>
      </c>
      <c r="B465">
        <f>IF($A465=1,SUM($A$2:$A465),"")</f>
        <v/>
      </c>
      <c r="C465">
        <f>IF($A465=1,SUM($A$2:$A465),0)</f>
        <v/>
      </c>
    </row>
    <row r="466">
      <c r="A466">
        <f>IF(AND(OR(Query!$B$4="All",'Compliance Database'!$A466=Query!$B$4),OR(Query!$B$5="All",'Compliance Database'!$F466=Query!$B$5),OR(Query!$B$6="All",ISNUMBER(SEARCH(Query!$B$6,'Compliance Database'!$I466))),OR(Query!$B$7="All",ISNUMBER(SEARCH(Query!$B$7,'Compliance Database'!$J466))),OR(Query!$B$8="All",'Compliance Database'!$G466=Query!$B$8),OR(Query!$B$9="All",'Compliance Database'!$K466=Query!$B$9),OR(Query!$B$10="",ISNUMBER(SEARCH(Query!$B$10,'Compliance Database'!$D466&amp;" "&amp;'Compliance Database'!$L466&amp;" "&amp;'Compliance Database'!$M466&amp;" "&amp;'Compliance Database'!$N466&amp;" "&amp;'Compliance Database'!$O466)))),1,0)</f>
        <v/>
      </c>
      <c r="B466">
        <f>IF($A466=1,SUM($A$2:$A466),"")</f>
        <v/>
      </c>
      <c r="C466">
        <f>IF($A466=1,SUM($A$2:$A466),0)</f>
        <v/>
      </c>
    </row>
    <row r="467">
      <c r="A467">
        <f>IF(AND(OR(Query!$B$4="All",'Compliance Database'!$A467=Query!$B$4),OR(Query!$B$5="All",'Compliance Database'!$F467=Query!$B$5),OR(Query!$B$6="All",ISNUMBER(SEARCH(Query!$B$6,'Compliance Database'!$I467))),OR(Query!$B$7="All",ISNUMBER(SEARCH(Query!$B$7,'Compliance Database'!$J467))),OR(Query!$B$8="All",'Compliance Database'!$G467=Query!$B$8),OR(Query!$B$9="All",'Compliance Database'!$K467=Query!$B$9),OR(Query!$B$10="",ISNUMBER(SEARCH(Query!$B$10,'Compliance Database'!$D467&amp;" "&amp;'Compliance Database'!$L467&amp;" "&amp;'Compliance Database'!$M467&amp;" "&amp;'Compliance Database'!$N467&amp;" "&amp;'Compliance Database'!$O467)))),1,0)</f>
        <v/>
      </c>
      <c r="B467">
        <f>IF($A467=1,SUM($A$2:$A467),"")</f>
        <v/>
      </c>
      <c r="C467">
        <f>IF($A467=1,SUM($A$2:$A467),0)</f>
        <v/>
      </c>
    </row>
    <row r="468">
      <c r="A468">
        <f>IF(AND(OR(Query!$B$4="All",'Compliance Database'!$A468=Query!$B$4),OR(Query!$B$5="All",'Compliance Database'!$F468=Query!$B$5),OR(Query!$B$6="All",ISNUMBER(SEARCH(Query!$B$6,'Compliance Database'!$I468))),OR(Query!$B$7="All",ISNUMBER(SEARCH(Query!$B$7,'Compliance Database'!$J468))),OR(Query!$B$8="All",'Compliance Database'!$G468=Query!$B$8),OR(Query!$B$9="All",'Compliance Database'!$K468=Query!$B$9),OR(Query!$B$10="",ISNUMBER(SEARCH(Query!$B$10,'Compliance Database'!$D468&amp;" "&amp;'Compliance Database'!$L468&amp;" "&amp;'Compliance Database'!$M468&amp;" "&amp;'Compliance Database'!$N468&amp;" "&amp;'Compliance Database'!$O468)))),1,0)</f>
        <v/>
      </c>
      <c r="B468">
        <f>IF($A468=1,SUM($A$2:$A468),"")</f>
        <v/>
      </c>
      <c r="C468">
        <f>IF($A468=1,SUM($A$2:$A468),0)</f>
        <v/>
      </c>
    </row>
    <row r="469">
      <c r="A469">
        <f>IF(AND(OR(Query!$B$4="All",'Compliance Database'!$A469=Query!$B$4),OR(Query!$B$5="All",'Compliance Database'!$F469=Query!$B$5),OR(Query!$B$6="All",ISNUMBER(SEARCH(Query!$B$6,'Compliance Database'!$I469))),OR(Query!$B$7="All",ISNUMBER(SEARCH(Query!$B$7,'Compliance Database'!$J469))),OR(Query!$B$8="All",'Compliance Database'!$G469=Query!$B$8),OR(Query!$B$9="All",'Compliance Database'!$K469=Query!$B$9),OR(Query!$B$10="",ISNUMBER(SEARCH(Query!$B$10,'Compliance Database'!$D469&amp;" "&amp;'Compliance Database'!$L469&amp;" "&amp;'Compliance Database'!$M469&amp;" "&amp;'Compliance Database'!$N469&amp;" "&amp;'Compliance Database'!$O469)))),1,0)</f>
        <v/>
      </c>
      <c r="B469">
        <f>IF($A469=1,SUM($A$2:$A469),"")</f>
        <v/>
      </c>
      <c r="C469">
        <f>IF($A469=1,SUM($A$2:$A469),0)</f>
        <v/>
      </c>
    </row>
    <row r="470">
      <c r="A470">
        <f>IF(AND(OR(Query!$B$4="All",'Compliance Database'!$A470=Query!$B$4),OR(Query!$B$5="All",'Compliance Database'!$F470=Query!$B$5),OR(Query!$B$6="All",ISNUMBER(SEARCH(Query!$B$6,'Compliance Database'!$I470))),OR(Query!$B$7="All",ISNUMBER(SEARCH(Query!$B$7,'Compliance Database'!$J470))),OR(Query!$B$8="All",'Compliance Database'!$G470=Query!$B$8),OR(Query!$B$9="All",'Compliance Database'!$K470=Query!$B$9),OR(Query!$B$10="",ISNUMBER(SEARCH(Query!$B$10,'Compliance Database'!$D470&amp;" "&amp;'Compliance Database'!$L470&amp;" "&amp;'Compliance Database'!$M470&amp;" "&amp;'Compliance Database'!$N470&amp;" "&amp;'Compliance Database'!$O470)))),1,0)</f>
        <v/>
      </c>
      <c r="B470">
        <f>IF($A470=1,SUM($A$2:$A470),"")</f>
        <v/>
      </c>
      <c r="C470">
        <f>IF($A470=1,SUM($A$2:$A470),0)</f>
        <v/>
      </c>
    </row>
    <row r="471">
      <c r="A471">
        <f>IF(AND(OR(Query!$B$4="All",'Compliance Database'!$A471=Query!$B$4),OR(Query!$B$5="All",'Compliance Database'!$F471=Query!$B$5),OR(Query!$B$6="All",ISNUMBER(SEARCH(Query!$B$6,'Compliance Database'!$I471))),OR(Query!$B$7="All",ISNUMBER(SEARCH(Query!$B$7,'Compliance Database'!$J471))),OR(Query!$B$8="All",'Compliance Database'!$G471=Query!$B$8),OR(Query!$B$9="All",'Compliance Database'!$K471=Query!$B$9),OR(Query!$B$10="",ISNUMBER(SEARCH(Query!$B$10,'Compliance Database'!$D471&amp;" "&amp;'Compliance Database'!$L471&amp;" "&amp;'Compliance Database'!$M471&amp;" "&amp;'Compliance Database'!$N471&amp;" "&amp;'Compliance Database'!$O471)))),1,0)</f>
        <v/>
      </c>
      <c r="B471">
        <f>IF($A471=1,SUM($A$2:$A471),"")</f>
        <v/>
      </c>
      <c r="C471">
        <f>IF($A471=1,SUM($A$2:$A471),0)</f>
        <v/>
      </c>
    </row>
    <row r="472">
      <c r="A472">
        <f>IF(AND(OR(Query!$B$4="All",'Compliance Database'!$A472=Query!$B$4),OR(Query!$B$5="All",'Compliance Database'!$F472=Query!$B$5),OR(Query!$B$6="All",ISNUMBER(SEARCH(Query!$B$6,'Compliance Database'!$I472))),OR(Query!$B$7="All",ISNUMBER(SEARCH(Query!$B$7,'Compliance Database'!$J472))),OR(Query!$B$8="All",'Compliance Database'!$G472=Query!$B$8),OR(Query!$B$9="All",'Compliance Database'!$K472=Query!$B$9),OR(Query!$B$10="",ISNUMBER(SEARCH(Query!$B$10,'Compliance Database'!$D472&amp;" "&amp;'Compliance Database'!$L472&amp;" "&amp;'Compliance Database'!$M472&amp;" "&amp;'Compliance Database'!$N472&amp;" "&amp;'Compliance Database'!$O472)))),1,0)</f>
        <v/>
      </c>
      <c r="B472">
        <f>IF($A472=1,SUM($A$2:$A472),"")</f>
        <v/>
      </c>
      <c r="C472">
        <f>IF($A472=1,SUM($A$2:$A472),0)</f>
        <v/>
      </c>
    </row>
    <row r="473">
      <c r="A473">
        <f>IF(AND(OR(Query!$B$4="All",'Compliance Database'!$A473=Query!$B$4),OR(Query!$B$5="All",'Compliance Database'!$F473=Query!$B$5),OR(Query!$B$6="All",ISNUMBER(SEARCH(Query!$B$6,'Compliance Database'!$I473))),OR(Query!$B$7="All",ISNUMBER(SEARCH(Query!$B$7,'Compliance Database'!$J473))),OR(Query!$B$8="All",'Compliance Database'!$G473=Query!$B$8),OR(Query!$B$9="All",'Compliance Database'!$K473=Query!$B$9),OR(Query!$B$10="",ISNUMBER(SEARCH(Query!$B$10,'Compliance Database'!$D473&amp;" "&amp;'Compliance Database'!$L473&amp;" "&amp;'Compliance Database'!$M473&amp;" "&amp;'Compliance Database'!$N473&amp;" "&amp;'Compliance Database'!$O473)))),1,0)</f>
        <v/>
      </c>
      <c r="B473">
        <f>IF($A473=1,SUM($A$2:$A473),"")</f>
        <v/>
      </c>
      <c r="C473">
        <f>IF($A473=1,SUM($A$2:$A473),0)</f>
        <v/>
      </c>
    </row>
    <row r="474">
      <c r="A474">
        <f>IF(AND(OR(Query!$B$4="All",'Compliance Database'!$A474=Query!$B$4),OR(Query!$B$5="All",'Compliance Database'!$F474=Query!$B$5),OR(Query!$B$6="All",ISNUMBER(SEARCH(Query!$B$6,'Compliance Database'!$I474))),OR(Query!$B$7="All",ISNUMBER(SEARCH(Query!$B$7,'Compliance Database'!$J474))),OR(Query!$B$8="All",'Compliance Database'!$G474=Query!$B$8),OR(Query!$B$9="All",'Compliance Database'!$K474=Query!$B$9),OR(Query!$B$10="",ISNUMBER(SEARCH(Query!$B$10,'Compliance Database'!$D474&amp;" "&amp;'Compliance Database'!$L474&amp;" "&amp;'Compliance Database'!$M474&amp;" "&amp;'Compliance Database'!$N474&amp;" "&amp;'Compliance Database'!$O474)))),1,0)</f>
        <v/>
      </c>
      <c r="B474">
        <f>IF($A474=1,SUM($A$2:$A474),"")</f>
        <v/>
      </c>
      <c r="C474">
        <f>IF($A474=1,SUM($A$2:$A474),0)</f>
        <v/>
      </c>
    </row>
    <row r="475">
      <c r="A475">
        <f>IF(AND(OR(Query!$B$4="All",'Compliance Database'!$A475=Query!$B$4),OR(Query!$B$5="All",'Compliance Database'!$F475=Query!$B$5),OR(Query!$B$6="All",ISNUMBER(SEARCH(Query!$B$6,'Compliance Database'!$I475))),OR(Query!$B$7="All",ISNUMBER(SEARCH(Query!$B$7,'Compliance Database'!$J475))),OR(Query!$B$8="All",'Compliance Database'!$G475=Query!$B$8),OR(Query!$B$9="All",'Compliance Database'!$K475=Query!$B$9),OR(Query!$B$10="",ISNUMBER(SEARCH(Query!$B$10,'Compliance Database'!$D475&amp;" "&amp;'Compliance Database'!$L475&amp;" "&amp;'Compliance Database'!$M475&amp;" "&amp;'Compliance Database'!$N475&amp;" "&amp;'Compliance Database'!$O475)))),1,0)</f>
        <v/>
      </c>
      <c r="B475">
        <f>IF($A475=1,SUM($A$2:$A475),"")</f>
        <v/>
      </c>
      <c r="C475">
        <f>IF($A475=1,SUM($A$2:$A475),0)</f>
        <v/>
      </c>
    </row>
    <row r="476">
      <c r="A476">
        <f>IF(AND(OR(Query!$B$4="All",'Compliance Database'!$A476=Query!$B$4),OR(Query!$B$5="All",'Compliance Database'!$F476=Query!$B$5),OR(Query!$B$6="All",ISNUMBER(SEARCH(Query!$B$6,'Compliance Database'!$I476))),OR(Query!$B$7="All",ISNUMBER(SEARCH(Query!$B$7,'Compliance Database'!$J476))),OR(Query!$B$8="All",'Compliance Database'!$G476=Query!$B$8),OR(Query!$B$9="All",'Compliance Database'!$K476=Query!$B$9),OR(Query!$B$10="",ISNUMBER(SEARCH(Query!$B$10,'Compliance Database'!$D476&amp;" "&amp;'Compliance Database'!$L476&amp;" "&amp;'Compliance Database'!$M476&amp;" "&amp;'Compliance Database'!$N476&amp;" "&amp;'Compliance Database'!$O476)))),1,0)</f>
        <v/>
      </c>
      <c r="B476">
        <f>IF($A476=1,SUM($A$2:$A476),"")</f>
        <v/>
      </c>
      <c r="C476">
        <f>IF($A476=1,SUM($A$2:$A476),0)</f>
        <v/>
      </c>
    </row>
    <row r="477">
      <c r="A477">
        <f>IF(AND(OR(Query!$B$4="All",'Compliance Database'!$A477=Query!$B$4),OR(Query!$B$5="All",'Compliance Database'!$F477=Query!$B$5),OR(Query!$B$6="All",ISNUMBER(SEARCH(Query!$B$6,'Compliance Database'!$I477))),OR(Query!$B$7="All",ISNUMBER(SEARCH(Query!$B$7,'Compliance Database'!$J477))),OR(Query!$B$8="All",'Compliance Database'!$G477=Query!$B$8),OR(Query!$B$9="All",'Compliance Database'!$K477=Query!$B$9),OR(Query!$B$10="",ISNUMBER(SEARCH(Query!$B$10,'Compliance Database'!$D477&amp;" "&amp;'Compliance Database'!$L477&amp;" "&amp;'Compliance Database'!$M477&amp;" "&amp;'Compliance Database'!$N477&amp;" "&amp;'Compliance Database'!$O477)))),1,0)</f>
        <v/>
      </c>
      <c r="B477">
        <f>IF($A477=1,SUM($A$2:$A477),"")</f>
        <v/>
      </c>
      <c r="C477">
        <f>IF($A477=1,SUM($A$2:$A477),0)</f>
        <v/>
      </c>
    </row>
    <row r="478">
      <c r="A478">
        <f>IF(AND(OR(Query!$B$4="All",'Compliance Database'!$A478=Query!$B$4),OR(Query!$B$5="All",'Compliance Database'!$F478=Query!$B$5),OR(Query!$B$6="All",ISNUMBER(SEARCH(Query!$B$6,'Compliance Database'!$I478))),OR(Query!$B$7="All",ISNUMBER(SEARCH(Query!$B$7,'Compliance Database'!$J478))),OR(Query!$B$8="All",'Compliance Database'!$G478=Query!$B$8),OR(Query!$B$9="All",'Compliance Database'!$K478=Query!$B$9),OR(Query!$B$10="",ISNUMBER(SEARCH(Query!$B$10,'Compliance Database'!$D478&amp;" "&amp;'Compliance Database'!$L478&amp;" "&amp;'Compliance Database'!$M478&amp;" "&amp;'Compliance Database'!$N478&amp;" "&amp;'Compliance Database'!$O478)))),1,0)</f>
        <v/>
      </c>
      <c r="B478">
        <f>IF($A478=1,SUM($A$2:$A478),"")</f>
        <v/>
      </c>
      <c r="C478">
        <f>IF($A478=1,SUM($A$2:$A478),0)</f>
        <v/>
      </c>
    </row>
    <row r="479">
      <c r="A479">
        <f>IF(AND(OR(Query!$B$4="All",'Compliance Database'!$A479=Query!$B$4),OR(Query!$B$5="All",'Compliance Database'!$F479=Query!$B$5),OR(Query!$B$6="All",ISNUMBER(SEARCH(Query!$B$6,'Compliance Database'!$I479))),OR(Query!$B$7="All",ISNUMBER(SEARCH(Query!$B$7,'Compliance Database'!$J479))),OR(Query!$B$8="All",'Compliance Database'!$G479=Query!$B$8),OR(Query!$B$9="All",'Compliance Database'!$K479=Query!$B$9),OR(Query!$B$10="",ISNUMBER(SEARCH(Query!$B$10,'Compliance Database'!$D479&amp;" "&amp;'Compliance Database'!$L479&amp;" "&amp;'Compliance Database'!$M479&amp;" "&amp;'Compliance Database'!$N479&amp;" "&amp;'Compliance Database'!$O479)))),1,0)</f>
        <v/>
      </c>
      <c r="B479">
        <f>IF($A479=1,SUM($A$2:$A479),"")</f>
        <v/>
      </c>
      <c r="C479">
        <f>IF($A479=1,SUM($A$2:$A479),0)</f>
        <v/>
      </c>
    </row>
    <row r="480">
      <c r="A480">
        <f>IF(AND(OR(Query!$B$4="All",'Compliance Database'!$A480=Query!$B$4),OR(Query!$B$5="All",'Compliance Database'!$F480=Query!$B$5),OR(Query!$B$6="All",ISNUMBER(SEARCH(Query!$B$6,'Compliance Database'!$I480))),OR(Query!$B$7="All",ISNUMBER(SEARCH(Query!$B$7,'Compliance Database'!$J480))),OR(Query!$B$8="All",'Compliance Database'!$G480=Query!$B$8),OR(Query!$B$9="All",'Compliance Database'!$K480=Query!$B$9),OR(Query!$B$10="",ISNUMBER(SEARCH(Query!$B$10,'Compliance Database'!$D480&amp;" "&amp;'Compliance Database'!$L480&amp;" "&amp;'Compliance Database'!$M480&amp;" "&amp;'Compliance Database'!$N480&amp;" "&amp;'Compliance Database'!$O480)))),1,0)</f>
        <v/>
      </c>
      <c r="B480">
        <f>IF($A480=1,SUM($A$2:$A480),"")</f>
        <v/>
      </c>
      <c r="C480">
        <f>IF($A480=1,SUM($A$2:$A480),0)</f>
        <v/>
      </c>
    </row>
    <row r="481">
      <c r="A481">
        <f>IF(AND(OR(Query!$B$4="All",'Compliance Database'!$A481=Query!$B$4),OR(Query!$B$5="All",'Compliance Database'!$F481=Query!$B$5),OR(Query!$B$6="All",ISNUMBER(SEARCH(Query!$B$6,'Compliance Database'!$I481))),OR(Query!$B$7="All",ISNUMBER(SEARCH(Query!$B$7,'Compliance Database'!$J481))),OR(Query!$B$8="All",'Compliance Database'!$G481=Query!$B$8),OR(Query!$B$9="All",'Compliance Database'!$K481=Query!$B$9),OR(Query!$B$10="",ISNUMBER(SEARCH(Query!$B$10,'Compliance Database'!$D481&amp;" "&amp;'Compliance Database'!$L481&amp;" "&amp;'Compliance Database'!$M481&amp;" "&amp;'Compliance Database'!$N481&amp;" "&amp;'Compliance Database'!$O481)))),1,0)</f>
        <v/>
      </c>
      <c r="B481">
        <f>IF($A481=1,SUM($A$2:$A481),"")</f>
        <v/>
      </c>
      <c r="C481">
        <f>IF($A481=1,SUM($A$2:$A481),0)</f>
        <v/>
      </c>
    </row>
    <row r="482">
      <c r="A482">
        <f>IF(AND(OR(Query!$B$4="All",'Compliance Database'!$A482=Query!$B$4),OR(Query!$B$5="All",'Compliance Database'!$F482=Query!$B$5),OR(Query!$B$6="All",ISNUMBER(SEARCH(Query!$B$6,'Compliance Database'!$I482))),OR(Query!$B$7="All",ISNUMBER(SEARCH(Query!$B$7,'Compliance Database'!$J482))),OR(Query!$B$8="All",'Compliance Database'!$G482=Query!$B$8),OR(Query!$B$9="All",'Compliance Database'!$K482=Query!$B$9),OR(Query!$B$10="",ISNUMBER(SEARCH(Query!$B$10,'Compliance Database'!$D482&amp;" "&amp;'Compliance Database'!$L482&amp;" "&amp;'Compliance Database'!$M482&amp;" "&amp;'Compliance Database'!$N482&amp;" "&amp;'Compliance Database'!$O482)))),1,0)</f>
        <v/>
      </c>
      <c r="B482">
        <f>IF($A482=1,SUM($A$2:$A482),"")</f>
        <v/>
      </c>
      <c r="C482">
        <f>IF($A482=1,SUM($A$2:$A482),0)</f>
        <v/>
      </c>
    </row>
    <row r="483">
      <c r="A483">
        <f>IF(AND(OR(Query!$B$4="All",'Compliance Database'!$A483=Query!$B$4),OR(Query!$B$5="All",'Compliance Database'!$F483=Query!$B$5),OR(Query!$B$6="All",ISNUMBER(SEARCH(Query!$B$6,'Compliance Database'!$I483))),OR(Query!$B$7="All",ISNUMBER(SEARCH(Query!$B$7,'Compliance Database'!$J483))),OR(Query!$B$8="All",'Compliance Database'!$G483=Query!$B$8),OR(Query!$B$9="All",'Compliance Database'!$K483=Query!$B$9),OR(Query!$B$10="",ISNUMBER(SEARCH(Query!$B$10,'Compliance Database'!$D483&amp;" "&amp;'Compliance Database'!$L483&amp;" "&amp;'Compliance Database'!$M483&amp;" "&amp;'Compliance Database'!$N483&amp;" "&amp;'Compliance Database'!$O483)))),1,0)</f>
        <v/>
      </c>
      <c r="B483">
        <f>IF($A483=1,SUM($A$2:$A483),"")</f>
        <v/>
      </c>
      <c r="C483">
        <f>IF($A483=1,SUM($A$2:$A483),0)</f>
        <v/>
      </c>
    </row>
    <row r="484">
      <c r="A484">
        <f>IF(AND(OR(Query!$B$4="All",'Compliance Database'!$A484=Query!$B$4),OR(Query!$B$5="All",'Compliance Database'!$F484=Query!$B$5),OR(Query!$B$6="All",ISNUMBER(SEARCH(Query!$B$6,'Compliance Database'!$I484))),OR(Query!$B$7="All",ISNUMBER(SEARCH(Query!$B$7,'Compliance Database'!$J484))),OR(Query!$B$8="All",'Compliance Database'!$G484=Query!$B$8),OR(Query!$B$9="All",'Compliance Database'!$K484=Query!$B$9),OR(Query!$B$10="",ISNUMBER(SEARCH(Query!$B$10,'Compliance Database'!$D484&amp;" "&amp;'Compliance Database'!$L484&amp;" "&amp;'Compliance Database'!$M484&amp;" "&amp;'Compliance Database'!$N484&amp;" "&amp;'Compliance Database'!$O484)))),1,0)</f>
        <v/>
      </c>
      <c r="B484">
        <f>IF($A484=1,SUM($A$2:$A484),"")</f>
        <v/>
      </c>
      <c r="C484">
        <f>IF($A484=1,SUM($A$2:$A484),0)</f>
        <v/>
      </c>
    </row>
    <row r="485">
      <c r="A485">
        <f>IF(AND(OR(Query!$B$4="All",'Compliance Database'!$A485=Query!$B$4),OR(Query!$B$5="All",'Compliance Database'!$F485=Query!$B$5),OR(Query!$B$6="All",ISNUMBER(SEARCH(Query!$B$6,'Compliance Database'!$I485))),OR(Query!$B$7="All",ISNUMBER(SEARCH(Query!$B$7,'Compliance Database'!$J485))),OR(Query!$B$8="All",'Compliance Database'!$G485=Query!$B$8),OR(Query!$B$9="All",'Compliance Database'!$K485=Query!$B$9),OR(Query!$B$10="",ISNUMBER(SEARCH(Query!$B$10,'Compliance Database'!$D485&amp;" "&amp;'Compliance Database'!$L485&amp;" "&amp;'Compliance Database'!$M485&amp;" "&amp;'Compliance Database'!$N485&amp;" "&amp;'Compliance Database'!$O485)))),1,0)</f>
        <v/>
      </c>
      <c r="B485">
        <f>IF($A485=1,SUM($A$2:$A485),"")</f>
        <v/>
      </c>
      <c r="C485">
        <f>IF($A485=1,SUM($A$2:$A485),0)</f>
        <v/>
      </c>
    </row>
    <row r="486">
      <c r="A486">
        <f>IF(AND(OR(Query!$B$4="All",'Compliance Database'!$A486=Query!$B$4),OR(Query!$B$5="All",'Compliance Database'!$F486=Query!$B$5),OR(Query!$B$6="All",ISNUMBER(SEARCH(Query!$B$6,'Compliance Database'!$I486))),OR(Query!$B$7="All",ISNUMBER(SEARCH(Query!$B$7,'Compliance Database'!$J486))),OR(Query!$B$8="All",'Compliance Database'!$G486=Query!$B$8),OR(Query!$B$9="All",'Compliance Database'!$K486=Query!$B$9),OR(Query!$B$10="",ISNUMBER(SEARCH(Query!$B$10,'Compliance Database'!$D486&amp;" "&amp;'Compliance Database'!$L486&amp;" "&amp;'Compliance Database'!$M486&amp;" "&amp;'Compliance Database'!$N486&amp;" "&amp;'Compliance Database'!$O486)))),1,0)</f>
        <v/>
      </c>
      <c r="B486">
        <f>IF($A486=1,SUM($A$2:$A486),"")</f>
        <v/>
      </c>
      <c r="C486">
        <f>IF($A486=1,SUM($A$2:$A486),0)</f>
        <v/>
      </c>
    </row>
    <row r="487">
      <c r="A487">
        <f>IF(AND(OR(Query!$B$4="All",'Compliance Database'!$A487=Query!$B$4),OR(Query!$B$5="All",'Compliance Database'!$F487=Query!$B$5),OR(Query!$B$6="All",ISNUMBER(SEARCH(Query!$B$6,'Compliance Database'!$I487))),OR(Query!$B$7="All",ISNUMBER(SEARCH(Query!$B$7,'Compliance Database'!$J487))),OR(Query!$B$8="All",'Compliance Database'!$G487=Query!$B$8),OR(Query!$B$9="All",'Compliance Database'!$K487=Query!$B$9),OR(Query!$B$10="",ISNUMBER(SEARCH(Query!$B$10,'Compliance Database'!$D487&amp;" "&amp;'Compliance Database'!$L487&amp;" "&amp;'Compliance Database'!$M487&amp;" "&amp;'Compliance Database'!$N487&amp;" "&amp;'Compliance Database'!$O487)))),1,0)</f>
        <v/>
      </c>
      <c r="B487">
        <f>IF($A487=1,SUM($A$2:$A487),"")</f>
        <v/>
      </c>
      <c r="C487">
        <f>IF($A487=1,SUM($A$2:$A487),0)</f>
        <v/>
      </c>
    </row>
    <row r="488">
      <c r="A488">
        <f>IF(AND(OR(Query!$B$4="All",'Compliance Database'!$A488=Query!$B$4),OR(Query!$B$5="All",'Compliance Database'!$F488=Query!$B$5),OR(Query!$B$6="All",ISNUMBER(SEARCH(Query!$B$6,'Compliance Database'!$I488))),OR(Query!$B$7="All",ISNUMBER(SEARCH(Query!$B$7,'Compliance Database'!$J488))),OR(Query!$B$8="All",'Compliance Database'!$G488=Query!$B$8),OR(Query!$B$9="All",'Compliance Database'!$K488=Query!$B$9),OR(Query!$B$10="",ISNUMBER(SEARCH(Query!$B$10,'Compliance Database'!$D488&amp;" "&amp;'Compliance Database'!$L488&amp;" "&amp;'Compliance Database'!$M488&amp;" "&amp;'Compliance Database'!$N488&amp;" "&amp;'Compliance Database'!$O488)))),1,0)</f>
        <v/>
      </c>
      <c r="B488">
        <f>IF($A488=1,SUM($A$2:$A488),"")</f>
        <v/>
      </c>
      <c r="C488">
        <f>IF($A488=1,SUM($A$2:$A488),0)</f>
        <v/>
      </c>
    </row>
    <row r="489">
      <c r="A489">
        <f>IF(AND(OR(Query!$B$4="All",'Compliance Database'!$A489=Query!$B$4),OR(Query!$B$5="All",'Compliance Database'!$F489=Query!$B$5),OR(Query!$B$6="All",ISNUMBER(SEARCH(Query!$B$6,'Compliance Database'!$I489))),OR(Query!$B$7="All",ISNUMBER(SEARCH(Query!$B$7,'Compliance Database'!$J489))),OR(Query!$B$8="All",'Compliance Database'!$G489=Query!$B$8),OR(Query!$B$9="All",'Compliance Database'!$K489=Query!$B$9),OR(Query!$B$10="",ISNUMBER(SEARCH(Query!$B$10,'Compliance Database'!$D489&amp;" "&amp;'Compliance Database'!$L489&amp;" "&amp;'Compliance Database'!$M489&amp;" "&amp;'Compliance Database'!$N489&amp;" "&amp;'Compliance Database'!$O489)))),1,0)</f>
        <v/>
      </c>
      <c r="B489">
        <f>IF($A489=1,SUM($A$2:$A489),"")</f>
        <v/>
      </c>
      <c r="C489">
        <f>IF($A489=1,SUM($A$2:$A489),0)</f>
        <v/>
      </c>
    </row>
    <row r="490">
      <c r="A490">
        <f>IF(AND(OR(Query!$B$4="All",'Compliance Database'!$A490=Query!$B$4),OR(Query!$B$5="All",'Compliance Database'!$F490=Query!$B$5),OR(Query!$B$6="All",ISNUMBER(SEARCH(Query!$B$6,'Compliance Database'!$I490))),OR(Query!$B$7="All",ISNUMBER(SEARCH(Query!$B$7,'Compliance Database'!$J490))),OR(Query!$B$8="All",'Compliance Database'!$G490=Query!$B$8),OR(Query!$B$9="All",'Compliance Database'!$K490=Query!$B$9),OR(Query!$B$10="",ISNUMBER(SEARCH(Query!$B$10,'Compliance Database'!$D490&amp;" "&amp;'Compliance Database'!$L490&amp;" "&amp;'Compliance Database'!$M490&amp;" "&amp;'Compliance Database'!$N490&amp;" "&amp;'Compliance Database'!$O490)))),1,0)</f>
        <v/>
      </c>
      <c r="B490">
        <f>IF($A490=1,SUM($A$2:$A490),"")</f>
        <v/>
      </c>
      <c r="C490">
        <f>IF($A490=1,SUM($A$2:$A490),0)</f>
        <v/>
      </c>
    </row>
    <row r="491">
      <c r="A491">
        <f>IF(AND(OR(Query!$B$4="All",'Compliance Database'!$A491=Query!$B$4),OR(Query!$B$5="All",'Compliance Database'!$F491=Query!$B$5),OR(Query!$B$6="All",ISNUMBER(SEARCH(Query!$B$6,'Compliance Database'!$I491))),OR(Query!$B$7="All",ISNUMBER(SEARCH(Query!$B$7,'Compliance Database'!$J491))),OR(Query!$B$8="All",'Compliance Database'!$G491=Query!$B$8),OR(Query!$B$9="All",'Compliance Database'!$K491=Query!$B$9),OR(Query!$B$10="",ISNUMBER(SEARCH(Query!$B$10,'Compliance Database'!$D491&amp;" "&amp;'Compliance Database'!$L491&amp;" "&amp;'Compliance Database'!$M491&amp;" "&amp;'Compliance Database'!$N491&amp;" "&amp;'Compliance Database'!$O491)))),1,0)</f>
        <v/>
      </c>
      <c r="B491">
        <f>IF($A491=1,SUM($A$2:$A491),"")</f>
        <v/>
      </c>
      <c r="C491">
        <f>IF($A491=1,SUM($A$2:$A491),0)</f>
        <v/>
      </c>
    </row>
    <row r="492">
      <c r="A492">
        <f>IF(AND(OR(Query!$B$4="All",'Compliance Database'!$A492=Query!$B$4),OR(Query!$B$5="All",'Compliance Database'!$F492=Query!$B$5),OR(Query!$B$6="All",ISNUMBER(SEARCH(Query!$B$6,'Compliance Database'!$I492))),OR(Query!$B$7="All",ISNUMBER(SEARCH(Query!$B$7,'Compliance Database'!$J492))),OR(Query!$B$8="All",'Compliance Database'!$G492=Query!$B$8),OR(Query!$B$9="All",'Compliance Database'!$K492=Query!$B$9),OR(Query!$B$10="",ISNUMBER(SEARCH(Query!$B$10,'Compliance Database'!$D492&amp;" "&amp;'Compliance Database'!$L492&amp;" "&amp;'Compliance Database'!$M492&amp;" "&amp;'Compliance Database'!$N492&amp;" "&amp;'Compliance Database'!$O492)))),1,0)</f>
        <v/>
      </c>
      <c r="B492">
        <f>IF($A492=1,SUM($A$2:$A492),"")</f>
        <v/>
      </c>
      <c r="C492">
        <f>IF($A492=1,SUM($A$2:$A492),0)</f>
        <v/>
      </c>
    </row>
    <row r="493">
      <c r="A493">
        <f>IF(AND(OR(Query!$B$4="All",'Compliance Database'!$A493=Query!$B$4),OR(Query!$B$5="All",'Compliance Database'!$F493=Query!$B$5),OR(Query!$B$6="All",ISNUMBER(SEARCH(Query!$B$6,'Compliance Database'!$I493))),OR(Query!$B$7="All",ISNUMBER(SEARCH(Query!$B$7,'Compliance Database'!$J493))),OR(Query!$B$8="All",'Compliance Database'!$G493=Query!$B$8),OR(Query!$B$9="All",'Compliance Database'!$K493=Query!$B$9),OR(Query!$B$10="",ISNUMBER(SEARCH(Query!$B$10,'Compliance Database'!$D493&amp;" "&amp;'Compliance Database'!$L493&amp;" "&amp;'Compliance Database'!$M493&amp;" "&amp;'Compliance Database'!$N493&amp;" "&amp;'Compliance Database'!$O493)))),1,0)</f>
        <v/>
      </c>
      <c r="B493">
        <f>IF($A493=1,SUM($A$2:$A493),"")</f>
        <v/>
      </c>
      <c r="C493">
        <f>IF($A493=1,SUM($A$2:$A493),0)</f>
        <v/>
      </c>
    </row>
    <row r="494">
      <c r="A494">
        <f>IF(AND(OR(Query!$B$4="All",'Compliance Database'!$A494=Query!$B$4),OR(Query!$B$5="All",'Compliance Database'!$F494=Query!$B$5),OR(Query!$B$6="All",ISNUMBER(SEARCH(Query!$B$6,'Compliance Database'!$I494))),OR(Query!$B$7="All",ISNUMBER(SEARCH(Query!$B$7,'Compliance Database'!$J494))),OR(Query!$B$8="All",'Compliance Database'!$G494=Query!$B$8),OR(Query!$B$9="All",'Compliance Database'!$K494=Query!$B$9),OR(Query!$B$10="",ISNUMBER(SEARCH(Query!$B$10,'Compliance Database'!$D494&amp;" "&amp;'Compliance Database'!$L494&amp;" "&amp;'Compliance Database'!$M494&amp;" "&amp;'Compliance Database'!$N494&amp;" "&amp;'Compliance Database'!$O494)))),1,0)</f>
        <v/>
      </c>
      <c r="B494">
        <f>IF($A494=1,SUM($A$2:$A494),"")</f>
        <v/>
      </c>
      <c r="C494">
        <f>IF($A494=1,SUM($A$2:$A494),0)</f>
        <v/>
      </c>
    </row>
    <row r="495">
      <c r="A495">
        <f>IF(AND(OR(Query!$B$4="All",'Compliance Database'!$A495=Query!$B$4),OR(Query!$B$5="All",'Compliance Database'!$F495=Query!$B$5),OR(Query!$B$6="All",ISNUMBER(SEARCH(Query!$B$6,'Compliance Database'!$I495))),OR(Query!$B$7="All",ISNUMBER(SEARCH(Query!$B$7,'Compliance Database'!$J495))),OR(Query!$B$8="All",'Compliance Database'!$G495=Query!$B$8),OR(Query!$B$9="All",'Compliance Database'!$K495=Query!$B$9),OR(Query!$B$10="",ISNUMBER(SEARCH(Query!$B$10,'Compliance Database'!$D495&amp;" "&amp;'Compliance Database'!$L495&amp;" "&amp;'Compliance Database'!$M495&amp;" "&amp;'Compliance Database'!$N495&amp;" "&amp;'Compliance Database'!$O495)))),1,0)</f>
        <v/>
      </c>
      <c r="B495">
        <f>IF($A495=1,SUM($A$2:$A495),"")</f>
        <v/>
      </c>
      <c r="C495">
        <f>IF($A495=1,SUM($A$2:$A495),0)</f>
        <v/>
      </c>
    </row>
    <row r="496">
      <c r="A496">
        <f>IF(AND(OR(Query!$B$4="All",'Compliance Database'!$A496=Query!$B$4),OR(Query!$B$5="All",'Compliance Database'!$F496=Query!$B$5),OR(Query!$B$6="All",ISNUMBER(SEARCH(Query!$B$6,'Compliance Database'!$I496))),OR(Query!$B$7="All",ISNUMBER(SEARCH(Query!$B$7,'Compliance Database'!$J496))),OR(Query!$B$8="All",'Compliance Database'!$G496=Query!$B$8),OR(Query!$B$9="All",'Compliance Database'!$K496=Query!$B$9),OR(Query!$B$10="",ISNUMBER(SEARCH(Query!$B$10,'Compliance Database'!$D496&amp;" "&amp;'Compliance Database'!$L496&amp;" "&amp;'Compliance Database'!$M496&amp;" "&amp;'Compliance Database'!$N496&amp;" "&amp;'Compliance Database'!$O496)))),1,0)</f>
        <v/>
      </c>
      <c r="B496">
        <f>IF($A496=1,SUM($A$2:$A496),"")</f>
        <v/>
      </c>
      <c r="C496">
        <f>IF($A496=1,SUM($A$2:$A496),0)</f>
        <v/>
      </c>
    </row>
    <row r="497">
      <c r="A497">
        <f>IF(AND(OR(Query!$B$4="All",'Compliance Database'!$A497=Query!$B$4),OR(Query!$B$5="All",'Compliance Database'!$F497=Query!$B$5),OR(Query!$B$6="All",ISNUMBER(SEARCH(Query!$B$6,'Compliance Database'!$I497))),OR(Query!$B$7="All",ISNUMBER(SEARCH(Query!$B$7,'Compliance Database'!$J497))),OR(Query!$B$8="All",'Compliance Database'!$G497=Query!$B$8),OR(Query!$B$9="All",'Compliance Database'!$K497=Query!$B$9),OR(Query!$B$10="",ISNUMBER(SEARCH(Query!$B$10,'Compliance Database'!$D497&amp;" "&amp;'Compliance Database'!$L497&amp;" "&amp;'Compliance Database'!$M497&amp;" "&amp;'Compliance Database'!$N497&amp;" "&amp;'Compliance Database'!$O497)))),1,0)</f>
        <v/>
      </c>
      <c r="B497">
        <f>IF($A497=1,SUM($A$2:$A497),"")</f>
        <v/>
      </c>
      <c r="C497">
        <f>IF($A497=1,SUM($A$2:$A497),0)</f>
        <v/>
      </c>
    </row>
    <row r="498">
      <c r="A498">
        <f>IF(AND(OR(Query!$B$4="All",'Compliance Database'!$A498=Query!$B$4),OR(Query!$B$5="All",'Compliance Database'!$F498=Query!$B$5),OR(Query!$B$6="All",ISNUMBER(SEARCH(Query!$B$6,'Compliance Database'!$I498))),OR(Query!$B$7="All",ISNUMBER(SEARCH(Query!$B$7,'Compliance Database'!$J498))),OR(Query!$B$8="All",'Compliance Database'!$G498=Query!$B$8),OR(Query!$B$9="All",'Compliance Database'!$K498=Query!$B$9),OR(Query!$B$10="",ISNUMBER(SEARCH(Query!$B$10,'Compliance Database'!$D498&amp;" "&amp;'Compliance Database'!$L498&amp;" "&amp;'Compliance Database'!$M498&amp;" "&amp;'Compliance Database'!$N498&amp;" "&amp;'Compliance Database'!$O498)))),1,0)</f>
        <v/>
      </c>
      <c r="B498">
        <f>IF($A498=1,SUM($A$2:$A498),"")</f>
        <v/>
      </c>
      <c r="C498">
        <f>IF($A498=1,SUM($A$2:$A498),0)</f>
        <v/>
      </c>
    </row>
    <row r="499">
      <c r="A499">
        <f>IF(AND(OR(Query!$B$4="All",'Compliance Database'!$A499=Query!$B$4),OR(Query!$B$5="All",'Compliance Database'!$F499=Query!$B$5),OR(Query!$B$6="All",ISNUMBER(SEARCH(Query!$B$6,'Compliance Database'!$I499))),OR(Query!$B$7="All",ISNUMBER(SEARCH(Query!$B$7,'Compliance Database'!$J499))),OR(Query!$B$8="All",'Compliance Database'!$G499=Query!$B$8),OR(Query!$B$9="All",'Compliance Database'!$K499=Query!$B$9),OR(Query!$B$10="",ISNUMBER(SEARCH(Query!$B$10,'Compliance Database'!$D499&amp;" "&amp;'Compliance Database'!$L499&amp;" "&amp;'Compliance Database'!$M499&amp;" "&amp;'Compliance Database'!$N499&amp;" "&amp;'Compliance Database'!$O499)))),1,0)</f>
        <v/>
      </c>
      <c r="B499">
        <f>IF($A499=1,SUM($A$2:$A499),"")</f>
        <v/>
      </c>
      <c r="C499">
        <f>IF($A499=1,SUM($A$2:$A499),0)</f>
        <v/>
      </c>
    </row>
    <row r="500">
      <c r="A500">
        <f>IF(AND(OR(Query!$B$4="All",'Compliance Database'!$A500=Query!$B$4),OR(Query!$B$5="All",'Compliance Database'!$F500=Query!$B$5),OR(Query!$B$6="All",ISNUMBER(SEARCH(Query!$B$6,'Compliance Database'!$I500))),OR(Query!$B$7="All",ISNUMBER(SEARCH(Query!$B$7,'Compliance Database'!$J500))),OR(Query!$B$8="All",'Compliance Database'!$G500=Query!$B$8),OR(Query!$B$9="All",'Compliance Database'!$K500=Query!$B$9),OR(Query!$B$10="",ISNUMBER(SEARCH(Query!$B$10,'Compliance Database'!$D500&amp;" "&amp;'Compliance Database'!$L500&amp;" "&amp;'Compliance Database'!$M500&amp;" "&amp;'Compliance Database'!$N500&amp;" "&amp;'Compliance Database'!$O500)))),1,0)</f>
        <v/>
      </c>
      <c r="B500">
        <f>IF($A500=1,SUM($A$2:$A500),"")</f>
        <v/>
      </c>
      <c r="C500">
        <f>IF($A500=1,SUM($A$2:$A500),0)</f>
        <v/>
      </c>
    </row>
    <row r="501">
      <c r="A501">
        <f>IF(AND(OR(Query!$B$4="All",'Compliance Database'!$A501=Query!$B$4),OR(Query!$B$5="All",'Compliance Database'!$F501=Query!$B$5),OR(Query!$B$6="All",ISNUMBER(SEARCH(Query!$B$6,'Compliance Database'!$I501))),OR(Query!$B$7="All",ISNUMBER(SEARCH(Query!$B$7,'Compliance Database'!$J501))),OR(Query!$B$8="All",'Compliance Database'!$G501=Query!$B$8),OR(Query!$B$9="All",'Compliance Database'!$K501=Query!$B$9),OR(Query!$B$10="",ISNUMBER(SEARCH(Query!$B$10,'Compliance Database'!$D501&amp;" "&amp;'Compliance Database'!$L501&amp;" "&amp;'Compliance Database'!$M501&amp;" "&amp;'Compliance Database'!$N501&amp;" "&amp;'Compliance Database'!$O501)))),1,0)</f>
        <v/>
      </c>
      <c r="B501">
        <f>IF($A501=1,SUM($A$2:$A501),"")</f>
        <v/>
      </c>
      <c r="C501">
        <f>IF($A501=1,SUM($A$2:$A501),0)</f>
        <v/>
      </c>
    </row>
    <row r="502">
      <c r="A502">
        <f>IF(AND(OR(Query!$B$4="All",'Compliance Database'!$A502=Query!$B$4),OR(Query!$B$5="All",'Compliance Database'!$F502=Query!$B$5),OR(Query!$B$6="All",ISNUMBER(SEARCH(Query!$B$6,'Compliance Database'!$I502))),OR(Query!$B$7="All",ISNUMBER(SEARCH(Query!$B$7,'Compliance Database'!$J502))),OR(Query!$B$8="All",'Compliance Database'!$G502=Query!$B$8),OR(Query!$B$9="All",'Compliance Database'!$K502=Query!$B$9),OR(Query!$B$10="",ISNUMBER(SEARCH(Query!$B$10,'Compliance Database'!$D502&amp;" "&amp;'Compliance Database'!$L502&amp;" "&amp;'Compliance Database'!$M502&amp;" "&amp;'Compliance Database'!$N502&amp;" "&amp;'Compliance Database'!$O502)))),1,0)</f>
        <v/>
      </c>
      <c r="B502">
        <f>IF($A502=1,SUM($A$2:$A502),"")</f>
        <v/>
      </c>
      <c r="C502">
        <f>IF($A502=1,SUM($A$2:$A502),0)</f>
        <v/>
      </c>
    </row>
    <row r="503">
      <c r="A503">
        <f>IF(AND(OR(Query!$B$4="All",'Compliance Database'!$A503=Query!$B$4),OR(Query!$B$5="All",'Compliance Database'!$F503=Query!$B$5),OR(Query!$B$6="All",ISNUMBER(SEARCH(Query!$B$6,'Compliance Database'!$I503))),OR(Query!$B$7="All",ISNUMBER(SEARCH(Query!$B$7,'Compliance Database'!$J503))),OR(Query!$B$8="All",'Compliance Database'!$G503=Query!$B$8),OR(Query!$B$9="All",'Compliance Database'!$K503=Query!$B$9),OR(Query!$B$10="",ISNUMBER(SEARCH(Query!$B$10,'Compliance Database'!$D503&amp;" "&amp;'Compliance Database'!$L503&amp;" "&amp;'Compliance Database'!$M503&amp;" "&amp;'Compliance Database'!$N503&amp;" "&amp;'Compliance Database'!$O503)))),1,0)</f>
        <v/>
      </c>
      <c r="B503">
        <f>IF($A503=1,SUM($A$2:$A503),"")</f>
        <v/>
      </c>
      <c r="C503">
        <f>IF($A503=1,SUM($A$2:$A503),0)</f>
        <v/>
      </c>
    </row>
    <row r="504">
      <c r="A504">
        <f>IF(AND(OR(Query!$B$4="All",'Compliance Database'!$A504=Query!$B$4),OR(Query!$B$5="All",'Compliance Database'!$F504=Query!$B$5),OR(Query!$B$6="All",ISNUMBER(SEARCH(Query!$B$6,'Compliance Database'!$I504))),OR(Query!$B$7="All",ISNUMBER(SEARCH(Query!$B$7,'Compliance Database'!$J504))),OR(Query!$B$8="All",'Compliance Database'!$G504=Query!$B$8),OR(Query!$B$9="All",'Compliance Database'!$K504=Query!$B$9),OR(Query!$B$10="",ISNUMBER(SEARCH(Query!$B$10,'Compliance Database'!$D504&amp;" "&amp;'Compliance Database'!$L504&amp;" "&amp;'Compliance Database'!$M504&amp;" "&amp;'Compliance Database'!$N504&amp;" "&amp;'Compliance Database'!$O504)))),1,0)</f>
        <v/>
      </c>
      <c r="B504">
        <f>IF($A504=1,SUM($A$2:$A504),"")</f>
        <v/>
      </c>
      <c r="C504">
        <f>IF($A504=1,SUM($A$2:$A504),0)</f>
        <v/>
      </c>
    </row>
    <row r="505">
      <c r="A505">
        <f>IF(AND(OR(Query!$B$4="All",'Compliance Database'!$A505=Query!$B$4),OR(Query!$B$5="All",'Compliance Database'!$F505=Query!$B$5),OR(Query!$B$6="All",ISNUMBER(SEARCH(Query!$B$6,'Compliance Database'!$I505))),OR(Query!$B$7="All",ISNUMBER(SEARCH(Query!$B$7,'Compliance Database'!$J505))),OR(Query!$B$8="All",'Compliance Database'!$G505=Query!$B$8),OR(Query!$B$9="All",'Compliance Database'!$K505=Query!$B$9),OR(Query!$B$10="",ISNUMBER(SEARCH(Query!$B$10,'Compliance Database'!$D505&amp;" "&amp;'Compliance Database'!$L505&amp;" "&amp;'Compliance Database'!$M505&amp;" "&amp;'Compliance Database'!$N505&amp;" "&amp;'Compliance Database'!$O505)))),1,0)</f>
        <v/>
      </c>
      <c r="B505">
        <f>IF($A505=1,SUM($A$2:$A505),"")</f>
        <v/>
      </c>
      <c r="C505">
        <f>IF($A505=1,SUM($A$2:$A505),0)</f>
        <v/>
      </c>
    </row>
    <row r="506">
      <c r="A506">
        <f>IF(AND(OR(Query!$B$4="All",'Compliance Database'!$A506=Query!$B$4),OR(Query!$B$5="All",'Compliance Database'!$F506=Query!$B$5),OR(Query!$B$6="All",ISNUMBER(SEARCH(Query!$B$6,'Compliance Database'!$I506))),OR(Query!$B$7="All",ISNUMBER(SEARCH(Query!$B$7,'Compliance Database'!$J506))),OR(Query!$B$8="All",'Compliance Database'!$G506=Query!$B$8),OR(Query!$B$9="All",'Compliance Database'!$K506=Query!$B$9),OR(Query!$B$10="",ISNUMBER(SEARCH(Query!$B$10,'Compliance Database'!$D506&amp;" "&amp;'Compliance Database'!$L506&amp;" "&amp;'Compliance Database'!$M506&amp;" "&amp;'Compliance Database'!$N506&amp;" "&amp;'Compliance Database'!$O506)))),1,0)</f>
        <v/>
      </c>
      <c r="B506">
        <f>IF($A506=1,SUM($A$2:$A506),"")</f>
        <v/>
      </c>
      <c r="C506">
        <f>IF($A506=1,SUM($A$2:$A506),0)</f>
        <v/>
      </c>
    </row>
    <row r="507">
      <c r="A507">
        <f>IF(AND(OR(Query!$B$4="All",'Compliance Database'!$A507=Query!$B$4),OR(Query!$B$5="All",'Compliance Database'!$F507=Query!$B$5),OR(Query!$B$6="All",ISNUMBER(SEARCH(Query!$B$6,'Compliance Database'!$I507))),OR(Query!$B$7="All",ISNUMBER(SEARCH(Query!$B$7,'Compliance Database'!$J507))),OR(Query!$B$8="All",'Compliance Database'!$G507=Query!$B$8),OR(Query!$B$9="All",'Compliance Database'!$K507=Query!$B$9),OR(Query!$B$10="",ISNUMBER(SEARCH(Query!$B$10,'Compliance Database'!$D507&amp;" "&amp;'Compliance Database'!$L507&amp;" "&amp;'Compliance Database'!$M507&amp;" "&amp;'Compliance Database'!$N507&amp;" "&amp;'Compliance Database'!$O507)))),1,0)</f>
        <v/>
      </c>
      <c r="B507">
        <f>IF($A507=1,SUM($A$2:$A507),"")</f>
        <v/>
      </c>
      <c r="C507">
        <f>IF($A507=1,SUM($A$2:$A507),0)</f>
        <v/>
      </c>
    </row>
    <row r="508">
      <c r="A508">
        <f>IF(AND(OR(Query!$B$4="All",'Compliance Database'!$A508=Query!$B$4),OR(Query!$B$5="All",'Compliance Database'!$F508=Query!$B$5),OR(Query!$B$6="All",ISNUMBER(SEARCH(Query!$B$6,'Compliance Database'!$I508))),OR(Query!$B$7="All",ISNUMBER(SEARCH(Query!$B$7,'Compliance Database'!$J508))),OR(Query!$B$8="All",'Compliance Database'!$G508=Query!$B$8),OR(Query!$B$9="All",'Compliance Database'!$K508=Query!$B$9),OR(Query!$B$10="",ISNUMBER(SEARCH(Query!$B$10,'Compliance Database'!$D508&amp;" "&amp;'Compliance Database'!$L508&amp;" "&amp;'Compliance Database'!$M508&amp;" "&amp;'Compliance Database'!$N508&amp;" "&amp;'Compliance Database'!$O508)))),1,0)</f>
        <v/>
      </c>
      <c r="B508">
        <f>IF($A508=1,SUM($A$2:$A508),"")</f>
        <v/>
      </c>
      <c r="C508">
        <f>IF($A508=1,SUM($A$2:$A508),0)</f>
        <v/>
      </c>
    </row>
    <row r="509">
      <c r="A509">
        <f>IF(AND(OR(Query!$B$4="All",'Compliance Database'!$A509=Query!$B$4),OR(Query!$B$5="All",'Compliance Database'!$F509=Query!$B$5),OR(Query!$B$6="All",ISNUMBER(SEARCH(Query!$B$6,'Compliance Database'!$I509))),OR(Query!$B$7="All",ISNUMBER(SEARCH(Query!$B$7,'Compliance Database'!$J509))),OR(Query!$B$8="All",'Compliance Database'!$G509=Query!$B$8),OR(Query!$B$9="All",'Compliance Database'!$K509=Query!$B$9),OR(Query!$B$10="",ISNUMBER(SEARCH(Query!$B$10,'Compliance Database'!$D509&amp;" "&amp;'Compliance Database'!$L509&amp;" "&amp;'Compliance Database'!$M509&amp;" "&amp;'Compliance Database'!$N509&amp;" "&amp;'Compliance Database'!$O509)))),1,0)</f>
        <v/>
      </c>
      <c r="B509">
        <f>IF($A509=1,SUM($A$2:$A509),"")</f>
        <v/>
      </c>
      <c r="C509">
        <f>IF($A509=1,SUM($A$2:$A509),0)</f>
        <v/>
      </c>
    </row>
    <row r="510">
      <c r="A510">
        <f>IF(AND(OR(Query!$B$4="All",'Compliance Database'!$A510=Query!$B$4),OR(Query!$B$5="All",'Compliance Database'!$F510=Query!$B$5),OR(Query!$B$6="All",ISNUMBER(SEARCH(Query!$B$6,'Compliance Database'!$I510))),OR(Query!$B$7="All",ISNUMBER(SEARCH(Query!$B$7,'Compliance Database'!$J510))),OR(Query!$B$8="All",'Compliance Database'!$G510=Query!$B$8),OR(Query!$B$9="All",'Compliance Database'!$K510=Query!$B$9),OR(Query!$B$10="",ISNUMBER(SEARCH(Query!$B$10,'Compliance Database'!$D510&amp;" "&amp;'Compliance Database'!$L510&amp;" "&amp;'Compliance Database'!$M510&amp;" "&amp;'Compliance Database'!$N510&amp;" "&amp;'Compliance Database'!$O510)))),1,0)</f>
        <v/>
      </c>
      <c r="B510">
        <f>IF($A510=1,SUM($A$2:$A510),"")</f>
        <v/>
      </c>
      <c r="C510">
        <f>IF($A510=1,SUM($A$2:$A510),0)</f>
        <v/>
      </c>
    </row>
    <row r="511">
      <c r="A511">
        <f>IF(AND(OR(Query!$B$4="All",'Compliance Database'!$A511=Query!$B$4),OR(Query!$B$5="All",'Compliance Database'!$F511=Query!$B$5),OR(Query!$B$6="All",ISNUMBER(SEARCH(Query!$B$6,'Compliance Database'!$I511))),OR(Query!$B$7="All",ISNUMBER(SEARCH(Query!$B$7,'Compliance Database'!$J511))),OR(Query!$B$8="All",'Compliance Database'!$G511=Query!$B$8),OR(Query!$B$9="All",'Compliance Database'!$K511=Query!$B$9),OR(Query!$B$10="",ISNUMBER(SEARCH(Query!$B$10,'Compliance Database'!$D511&amp;" "&amp;'Compliance Database'!$L511&amp;" "&amp;'Compliance Database'!$M511&amp;" "&amp;'Compliance Database'!$N511&amp;" "&amp;'Compliance Database'!$O511)))),1,0)</f>
        <v/>
      </c>
      <c r="B511">
        <f>IF($A511=1,SUM($A$2:$A511),"")</f>
        <v/>
      </c>
      <c r="C511">
        <f>IF($A511=1,SUM($A$2:$A511),0)</f>
        <v/>
      </c>
    </row>
    <row r="512">
      <c r="A512">
        <f>IF(AND(OR(Query!$B$4="All",'Compliance Database'!$A512=Query!$B$4),OR(Query!$B$5="All",'Compliance Database'!$F512=Query!$B$5),OR(Query!$B$6="All",ISNUMBER(SEARCH(Query!$B$6,'Compliance Database'!$I512))),OR(Query!$B$7="All",ISNUMBER(SEARCH(Query!$B$7,'Compliance Database'!$J512))),OR(Query!$B$8="All",'Compliance Database'!$G512=Query!$B$8),OR(Query!$B$9="All",'Compliance Database'!$K512=Query!$B$9),OR(Query!$B$10="",ISNUMBER(SEARCH(Query!$B$10,'Compliance Database'!$D512&amp;" "&amp;'Compliance Database'!$L512&amp;" "&amp;'Compliance Database'!$M512&amp;" "&amp;'Compliance Database'!$N512&amp;" "&amp;'Compliance Database'!$O512)))),1,0)</f>
        <v/>
      </c>
      <c r="B512">
        <f>IF($A512=1,SUM($A$2:$A512),"")</f>
        <v/>
      </c>
      <c r="C512">
        <f>IF($A512=1,SUM($A$2:$A512),0)</f>
        <v/>
      </c>
    </row>
    <row r="513">
      <c r="A513">
        <f>IF(AND(OR(Query!$B$4="All",'Compliance Database'!$A513=Query!$B$4),OR(Query!$B$5="All",'Compliance Database'!$F513=Query!$B$5),OR(Query!$B$6="All",ISNUMBER(SEARCH(Query!$B$6,'Compliance Database'!$I513))),OR(Query!$B$7="All",ISNUMBER(SEARCH(Query!$B$7,'Compliance Database'!$J513))),OR(Query!$B$8="All",'Compliance Database'!$G513=Query!$B$8),OR(Query!$B$9="All",'Compliance Database'!$K513=Query!$B$9),OR(Query!$B$10="",ISNUMBER(SEARCH(Query!$B$10,'Compliance Database'!$D513&amp;" "&amp;'Compliance Database'!$L513&amp;" "&amp;'Compliance Database'!$M513&amp;" "&amp;'Compliance Database'!$N513&amp;" "&amp;'Compliance Database'!$O513)))),1,0)</f>
        <v/>
      </c>
      <c r="B513">
        <f>IF($A513=1,SUM($A$2:$A513),"")</f>
        <v/>
      </c>
      <c r="C513">
        <f>IF($A513=1,SUM($A$2:$A513),0)</f>
        <v/>
      </c>
    </row>
    <row r="514">
      <c r="A514">
        <f>IF(AND(OR(Query!$B$4="All",'Compliance Database'!$A514=Query!$B$4),OR(Query!$B$5="All",'Compliance Database'!$F514=Query!$B$5),OR(Query!$B$6="All",ISNUMBER(SEARCH(Query!$B$6,'Compliance Database'!$I514))),OR(Query!$B$7="All",ISNUMBER(SEARCH(Query!$B$7,'Compliance Database'!$J514))),OR(Query!$B$8="All",'Compliance Database'!$G514=Query!$B$8),OR(Query!$B$9="All",'Compliance Database'!$K514=Query!$B$9),OR(Query!$B$10="",ISNUMBER(SEARCH(Query!$B$10,'Compliance Database'!$D514&amp;" "&amp;'Compliance Database'!$L514&amp;" "&amp;'Compliance Database'!$M514&amp;" "&amp;'Compliance Database'!$N514&amp;" "&amp;'Compliance Database'!$O514)))),1,0)</f>
        <v/>
      </c>
      <c r="B514">
        <f>IF($A514=1,SUM($A$2:$A514),"")</f>
        <v/>
      </c>
      <c r="C514">
        <f>IF($A514=1,SUM($A$2:$A514),0)</f>
        <v/>
      </c>
    </row>
    <row r="515">
      <c r="A515">
        <f>IF(AND(OR(Query!$B$4="All",'Compliance Database'!$A515=Query!$B$4),OR(Query!$B$5="All",'Compliance Database'!$F515=Query!$B$5),OR(Query!$B$6="All",ISNUMBER(SEARCH(Query!$B$6,'Compliance Database'!$I515))),OR(Query!$B$7="All",ISNUMBER(SEARCH(Query!$B$7,'Compliance Database'!$J515))),OR(Query!$B$8="All",'Compliance Database'!$G515=Query!$B$8),OR(Query!$B$9="All",'Compliance Database'!$K515=Query!$B$9),OR(Query!$B$10="",ISNUMBER(SEARCH(Query!$B$10,'Compliance Database'!$D515&amp;" "&amp;'Compliance Database'!$L515&amp;" "&amp;'Compliance Database'!$M515&amp;" "&amp;'Compliance Database'!$N515&amp;" "&amp;'Compliance Database'!$O515)))),1,0)</f>
        <v/>
      </c>
      <c r="B515">
        <f>IF($A515=1,SUM($A$2:$A515),"")</f>
        <v/>
      </c>
      <c r="C515">
        <f>IF($A515=1,SUM($A$2:$A515),0)</f>
        <v/>
      </c>
    </row>
    <row r="516">
      <c r="A516">
        <f>IF(AND(OR(Query!$B$4="All",'Compliance Database'!$A516=Query!$B$4),OR(Query!$B$5="All",'Compliance Database'!$F516=Query!$B$5),OR(Query!$B$6="All",ISNUMBER(SEARCH(Query!$B$6,'Compliance Database'!$I516))),OR(Query!$B$7="All",ISNUMBER(SEARCH(Query!$B$7,'Compliance Database'!$J516))),OR(Query!$B$8="All",'Compliance Database'!$G516=Query!$B$8),OR(Query!$B$9="All",'Compliance Database'!$K516=Query!$B$9),OR(Query!$B$10="",ISNUMBER(SEARCH(Query!$B$10,'Compliance Database'!$D516&amp;" "&amp;'Compliance Database'!$L516&amp;" "&amp;'Compliance Database'!$M516&amp;" "&amp;'Compliance Database'!$N516&amp;" "&amp;'Compliance Database'!$O516)))),1,0)</f>
        <v/>
      </c>
      <c r="B516">
        <f>IF($A516=1,SUM($A$2:$A516),"")</f>
        <v/>
      </c>
      <c r="C516">
        <f>IF($A516=1,SUM($A$2:$A516),0)</f>
        <v/>
      </c>
    </row>
    <row r="517">
      <c r="A517">
        <f>IF(AND(OR(Query!$B$4="All",'Compliance Database'!$A517=Query!$B$4),OR(Query!$B$5="All",'Compliance Database'!$F517=Query!$B$5),OR(Query!$B$6="All",ISNUMBER(SEARCH(Query!$B$6,'Compliance Database'!$I517))),OR(Query!$B$7="All",ISNUMBER(SEARCH(Query!$B$7,'Compliance Database'!$J517))),OR(Query!$B$8="All",'Compliance Database'!$G517=Query!$B$8),OR(Query!$B$9="All",'Compliance Database'!$K517=Query!$B$9),OR(Query!$B$10="",ISNUMBER(SEARCH(Query!$B$10,'Compliance Database'!$D517&amp;" "&amp;'Compliance Database'!$L517&amp;" "&amp;'Compliance Database'!$M517&amp;" "&amp;'Compliance Database'!$N517&amp;" "&amp;'Compliance Database'!$O517)))),1,0)</f>
        <v/>
      </c>
      <c r="B517">
        <f>IF($A517=1,SUM($A$2:$A517),"")</f>
        <v/>
      </c>
      <c r="C517">
        <f>IF($A517=1,SUM($A$2:$A517),0)</f>
        <v/>
      </c>
    </row>
    <row r="518">
      <c r="A518">
        <f>IF(AND(OR(Query!$B$4="All",'Compliance Database'!$A518=Query!$B$4),OR(Query!$B$5="All",'Compliance Database'!$F518=Query!$B$5),OR(Query!$B$6="All",ISNUMBER(SEARCH(Query!$B$6,'Compliance Database'!$I518))),OR(Query!$B$7="All",ISNUMBER(SEARCH(Query!$B$7,'Compliance Database'!$J518))),OR(Query!$B$8="All",'Compliance Database'!$G518=Query!$B$8),OR(Query!$B$9="All",'Compliance Database'!$K518=Query!$B$9),OR(Query!$B$10="",ISNUMBER(SEARCH(Query!$B$10,'Compliance Database'!$D518&amp;" "&amp;'Compliance Database'!$L518&amp;" "&amp;'Compliance Database'!$M518&amp;" "&amp;'Compliance Database'!$N518&amp;" "&amp;'Compliance Database'!$O518)))),1,0)</f>
        <v/>
      </c>
      <c r="B518">
        <f>IF($A518=1,SUM($A$2:$A518),"")</f>
        <v/>
      </c>
      <c r="C518">
        <f>IF($A518=1,SUM($A$2:$A518),0)</f>
        <v/>
      </c>
    </row>
    <row r="519">
      <c r="A519">
        <f>IF(AND(OR(Query!$B$4="All",'Compliance Database'!$A519=Query!$B$4),OR(Query!$B$5="All",'Compliance Database'!$F519=Query!$B$5),OR(Query!$B$6="All",ISNUMBER(SEARCH(Query!$B$6,'Compliance Database'!$I519))),OR(Query!$B$7="All",ISNUMBER(SEARCH(Query!$B$7,'Compliance Database'!$J519))),OR(Query!$B$8="All",'Compliance Database'!$G519=Query!$B$8),OR(Query!$B$9="All",'Compliance Database'!$K519=Query!$B$9),OR(Query!$B$10="",ISNUMBER(SEARCH(Query!$B$10,'Compliance Database'!$D519&amp;" "&amp;'Compliance Database'!$L519&amp;" "&amp;'Compliance Database'!$M519&amp;" "&amp;'Compliance Database'!$N519&amp;" "&amp;'Compliance Database'!$O519)))),1,0)</f>
        <v/>
      </c>
      <c r="B519">
        <f>IF($A519=1,SUM($A$2:$A519),"")</f>
        <v/>
      </c>
      <c r="C519">
        <f>IF($A519=1,SUM($A$2:$A519),0)</f>
        <v/>
      </c>
    </row>
    <row r="520">
      <c r="A520">
        <f>IF(AND(OR(Query!$B$4="All",'Compliance Database'!$A520=Query!$B$4),OR(Query!$B$5="All",'Compliance Database'!$F520=Query!$B$5),OR(Query!$B$6="All",ISNUMBER(SEARCH(Query!$B$6,'Compliance Database'!$I520))),OR(Query!$B$7="All",ISNUMBER(SEARCH(Query!$B$7,'Compliance Database'!$J520))),OR(Query!$B$8="All",'Compliance Database'!$G520=Query!$B$8),OR(Query!$B$9="All",'Compliance Database'!$K520=Query!$B$9),OR(Query!$B$10="",ISNUMBER(SEARCH(Query!$B$10,'Compliance Database'!$D520&amp;" "&amp;'Compliance Database'!$L520&amp;" "&amp;'Compliance Database'!$M520&amp;" "&amp;'Compliance Database'!$N520&amp;" "&amp;'Compliance Database'!$O520)))),1,0)</f>
        <v/>
      </c>
      <c r="B520">
        <f>IF($A520=1,SUM($A$2:$A520),"")</f>
        <v/>
      </c>
      <c r="C520">
        <f>IF($A520=1,SUM($A$2:$A520),0)</f>
        <v/>
      </c>
    </row>
    <row r="521">
      <c r="A521">
        <f>IF(AND(OR(Query!$B$4="All",'Compliance Database'!$A521=Query!$B$4),OR(Query!$B$5="All",'Compliance Database'!$F521=Query!$B$5),OR(Query!$B$6="All",ISNUMBER(SEARCH(Query!$B$6,'Compliance Database'!$I521))),OR(Query!$B$7="All",ISNUMBER(SEARCH(Query!$B$7,'Compliance Database'!$J521))),OR(Query!$B$8="All",'Compliance Database'!$G521=Query!$B$8),OR(Query!$B$9="All",'Compliance Database'!$K521=Query!$B$9),OR(Query!$B$10="",ISNUMBER(SEARCH(Query!$B$10,'Compliance Database'!$D521&amp;" "&amp;'Compliance Database'!$L521&amp;" "&amp;'Compliance Database'!$M521&amp;" "&amp;'Compliance Database'!$N521&amp;" "&amp;'Compliance Database'!$O521)))),1,0)</f>
        <v/>
      </c>
      <c r="B521">
        <f>IF($A521=1,SUM($A$2:$A521),"")</f>
        <v/>
      </c>
      <c r="C521">
        <f>IF($A521=1,SUM($A$2:$A521),0)</f>
        <v/>
      </c>
    </row>
    <row r="522">
      <c r="A522">
        <f>IF(AND(OR(Query!$B$4="All",'Compliance Database'!$A522=Query!$B$4),OR(Query!$B$5="All",'Compliance Database'!$F522=Query!$B$5),OR(Query!$B$6="All",ISNUMBER(SEARCH(Query!$B$6,'Compliance Database'!$I522))),OR(Query!$B$7="All",ISNUMBER(SEARCH(Query!$B$7,'Compliance Database'!$J522))),OR(Query!$B$8="All",'Compliance Database'!$G522=Query!$B$8),OR(Query!$B$9="All",'Compliance Database'!$K522=Query!$B$9),OR(Query!$B$10="",ISNUMBER(SEARCH(Query!$B$10,'Compliance Database'!$D522&amp;" "&amp;'Compliance Database'!$L522&amp;" "&amp;'Compliance Database'!$M522&amp;" "&amp;'Compliance Database'!$N522&amp;" "&amp;'Compliance Database'!$O522)))),1,0)</f>
        <v/>
      </c>
      <c r="B522">
        <f>IF($A522=1,SUM($A$2:$A522),"")</f>
        <v/>
      </c>
      <c r="C522">
        <f>IF($A522=1,SUM($A$2:$A522),0)</f>
        <v/>
      </c>
    </row>
    <row r="523">
      <c r="A523">
        <f>IF(AND(OR(Query!$B$4="All",'Compliance Database'!$A523=Query!$B$4),OR(Query!$B$5="All",'Compliance Database'!$F523=Query!$B$5),OR(Query!$B$6="All",ISNUMBER(SEARCH(Query!$B$6,'Compliance Database'!$I523))),OR(Query!$B$7="All",ISNUMBER(SEARCH(Query!$B$7,'Compliance Database'!$J523))),OR(Query!$B$8="All",'Compliance Database'!$G523=Query!$B$8),OR(Query!$B$9="All",'Compliance Database'!$K523=Query!$B$9),OR(Query!$B$10="",ISNUMBER(SEARCH(Query!$B$10,'Compliance Database'!$D523&amp;" "&amp;'Compliance Database'!$L523&amp;" "&amp;'Compliance Database'!$M523&amp;" "&amp;'Compliance Database'!$N523&amp;" "&amp;'Compliance Database'!$O523)))),1,0)</f>
        <v/>
      </c>
      <c r="B523">
        <f>IF($A523=1,SUM($A$2:$A523),"")</f>
        <v/>
      </c>
      <c r="C523">
        <f>IF($A523=1,SUM($A$2:$A523),0)</f>
        <v/>
      </c>
    </row>
    <row r="524">
      <c r="A524">
        <f>IF(AND(OR(Query!$B$4="All",'Compliance Database'!$A524=Query!$B$4),OR(Query!$B$5="All",'Compliance Database'!$F524=Query!$B$5),OR(Query!$B$6="All",ISNUMBER(SEARCH(Query!$B$6,'Compliance Database'!$I524))),OR(Query!$B$7="All",ISNUMBER(SEARCH(Query!$B$7,'Compliance Database'!$J524))),OR(Query!$B$8="All",'Compliance Database'!$G524=Query!$B$8),OR(Query!$B$9="All",'Compliance Database'!$K524=Query!$B$9),OR(Query!$B$10="",ISNUMBER(SEARCH(Query!$B$10,'Compliance Database'!$D524&amp;" "&amp;'Compliance Database'!$L524&amp;" "&amp;'Compliance Database'!$M524&amp;" "&amp;'Compliance Database'!$N524&amp;" "&amp;'Compliance Database'!$O524)))),1,0)</f>
        <v/>
      </c>
      <c r="B524">
        <f>IF($A524=1,SUM($A$2:$A524),"")</f>
        <v/>
      </c>
      <c r="C524">
        <f>IF($A524=1,SUM($A$2:$A524),0)</f>
        <v/>
      </c>
    </row>
    <row r="525">
      <c r="A525">
        <f>IF(AND(OR(Query!$B$4="All",'Compliance Database'!$A525=Query!$B$4),OR(Query!$B$5="All",'Compliance Database'!$F525=Query!$B$5),OR(Query!$B$6="All",ISNUMBER(SEARCH(Query!$B$6,'Compliance Database'!$I525))),OR(Query!$B$7="All",ISNUMBER(SEARCH(Query!$B$7,'Compliance Database'!$J525))),OR(Query!$B$8="All",'Compliance Database'!$G525=Query!$B$8),OR(Query!$B$9="All",'Compliance Database'!$K525=Query!$B$9),OR(Query!$B$10="",ISNUMBER(SEARCH(Query!$B$10,'Compliance Database'!$D525&amp;" "&amp;'Compliance Database'!$L525&amp;" "&amp;'Compliance Database'!$M525&amp;" "&amp;'Compliance Database'!$N525&amp;" "&amp;'Compliance Database'!$O525)))),1,0)</f>
        <v/>
      </c>
      <c r="B525">
        <f>IF($A525=1,SUM($A$2:$A525),"")</f>
        <v/>
      </c>
      <c r="C525">
        <f>IF($A525=1,SUM($A$2:$A525),0)</f>
        <v/>
      </c>
    </row>
    <row r="526">
      <c r="A526">
        <f>IF(AND(OR(Query!$B$4="All",'Compliance Database'!$A526=Query!$B$4),OR(Query!$B$5="All",'Compliance Database'!$F526=Query!$B$5),OR(Query!$B$6="All",ISNUMBER(SEARCH(Query!$B$6,'Compliance Database'!$I526))),OR(Query!$B$7="All",ISNUMBER(SEARCH(Query!$B$7,'Compliance Database'!$J526))),OR(Query!$B$8="All",'Compliance Database'!$G526=Query!$B$8),OR(Query!$B$9="All",'Compliance Database'!$K526=Query!$B$9),OR(Query!$B$10="",ISNUMBER(SEARCH(Query!$B$10,'Compliance Database'!$D526&amp;" "&amp;'Compliance Database'!$L526&amp;" "&amp;'Compliance Database'!$M526&amp;" "&amp;'Compliance Database'!$N526&amp;" "&amp;'Compliance Database'!$O526)))),1,0)</f>
        <v/>
      </c>
      <c r="B526">
        <f>IF($A526=1,SUM($A$2:$A526),"")</f>
        <v/>
      </c>
      <c r="C526">
        <f>IF($A526=1,SUM($A$2:$A526),0)</f>
        <v/>
      </c>
    </row>
    <row r="527">
      <c r="A527">
        <f>IF(AND(OR(Query!$B$4="All",'Compliance Database'!$A527=Query!$B$4),OR(Query!$B$5="All",'Compliance Database'!$F527=Query!$B$5),OR(Query!$B$6="All",ISNUMBER(SEARCH(Query!$B$6,'Compliance Database'!$I527))),OR(Query!$B$7="All",ISNUMBER(SEARCH(Query!$B$7,'Compliance Database'!$J527))),OR(Query!$B$8="All",'Compliance Database'!$G527=Query!$B$8),OR(Query!$B$9="All",'Compliance Database'!$K527=Query!$B$9),OR(Query!$B$10="",ISNUMBER(SEARCH(Query!$B$10,'Compliance Database'!$D527&amp;" "&amp;'Compliance Database'!$L527&amp;" "&amp;'Compliance Database'!$M527&amp;" "&amp;'Compliance Database'!$N527&amp;" "&amp;'Compliance Database'!$O527)))),1,0)</f>
        <v/>
      </c>
      <c r="B527">
        <f>IF($A527=1,SUM($A$2:$A527),"")</f>
        <v/>
      </c>
      <c r="C527">
        <f>IF($A527=1,SUM($A$2:$A527),0)</f>
        <v/>
      </c>
    </row>
    <row r="528">
      <c r="A528">
        <f>IF(AND(OR(Query!$B$4="All",'Compliance Database'!$A528=Query!$B$4),OR(Query!$B$5="All",'Compliance Database'!$F528=Query!$B$5),OR(Query!$B$6="All",ISNUMBER(SEARCH(Query!$B$6,'Compliance Database'!$I528))),OR(Query!$B$7="All",ISNUMBER(SEARCH(Query!$B$7,'Compliance Database'!$J528))),OR(Query!$B$8="All",'Compliance Database'!$G528=Query!$B$8),OR(Query!$B$9="All",'Compliance Database'!$K528=Query!$B$9),OR(Query!$B$10="",ISNUMBER(SEARCH(Query!$B$10,'Compliance Database'!$D528&amp;" "&amp;'Compliance Database'!$L528&amp;" "&amp;'Compliance Database'!$M528&amp;" "&amp;'Compliance Database'!$N528&amp;" "&amp;'Compliance Database'!$O528)))),1,0)</f>
        <v/>
      </c>
      <c r="B528">
        <f>IF($A528=1,SUM($A$2:$A528),"")</f>
        <v/>
      </c>
      <c r="C528">
        <f>IF($A528=1,SUM($A$2:$A528),0)</f>
        <v/>
      </c>
    </row>
    <row r="529">
      <c r="A529">
        <f>IF(AND(OR(Query!$B$4="All",'Compliance Database'!$A529=Query!$B$4),OR(Query!$B$5="All",'Compliance Database'!$F529=Query!$B$5),OR(Query!$B$6="All",ISNUMBER(SEARCH(Query!$B$6,'Compliance Database'!$I529))),OR(Query!$B$7="All",ISNUMBER(SEARCH(Query!$B$7,'Compliance Database'!$J529))),OR(Query!$B$8="All",'Compliance Database'!$G529=Query!$B$8),OR(Query!$B$9="All",'Compliance Database'!$K529=Query!$B$9),OR(Query!$B$10="",ISNUMBER(SEARCH(Query!$B$10,'Compliance Database'!$D529&amp;" "&amp;'Compliance Database'!$L529&amp;" "&amp;'Compliance Database'!$M529&amp;" "&amp;'Compliance Database'!$N529&amp;" "&amp;'Compliance Database'!$O529)))),1,0)</f>
        <v/>
      </c>
      <c r="B529">
        <f>IF($A529=1,SUM($A$2:$A529),"")</f>
        <v/>
      </c>
      <c r="C529">
        <f>IF($A529=1,SUM($A$2:$A529),0)</f>
        <v/>
      </c>
    </row>
    <row r="530">
      <c r="A530">
        <f>IF(AND(OR(Query!$B$4="All",'Compliance Database'!$A530=Query!$B$4),OR(Query!$B$5="All",'Compliance Database'!$F530=Query!$B$5),OR(Query!$B$6="All",ISNUMBER(SEARCH(Query!$B$6,'Compliance Database'!$I530))),OR(Query!$B$7="All",ISNUMBER(SEARCH(Query!$B$7,'Compliance Database'!$J530))),OR(Query!$B$8="All",'Compliance Database'!$G530=Query!$B$8),OR(Query!$B$9="All",'Compliance Database'!$K530=Query!$B$9),OR(Query!$B$10="",ISNUMBER(SEARCH(Query!$B$10,'Compliance Database'!$D530&amp;" "&amp;'Compliance Database'!$L530&amp;" "&amp;'Compliance Database'!$M530&amp;" "&amp;'Compliance Database'!$N530&amp;" "&amp;'Compliance Database'!$O530)))),1,0)</f>
        <v/>
      </c>
      <c r="B530">
        <f>IF($A530=1,SUM($A$2:$A530),"")</f>
        <v/>
      </c>
      <c r="C530">
        <f>IF($A530=1,SUM($A$2:$A530),0)</f>
        <v/>
      </c>
    </row>
    <row r="531">
      <c r="A531">
        <f>IF(AND(OR(Query!$B$4="All",'Compliance Database'!$A531=Query!$B$4),OR(Query!$B$5="All",'Compliance Database'!$F531=Query!$B$5),OR(Query!$B$6="All",ISNUMBER(SEARCH(Query!$B$6,'Compliance Database'!$I531))),OR(Query!$B$7="All",ISNUMBER(SEARCH(Query!$B$7,'Compliance Database'!$J531))),OR(Query!$B$8="All",'Compliance Database'!$G531=Query!$B$8),OR(Query!$B$9="All",'Compliance Database'!$K531=Query!$B$9),OR(Query!$B$10="",ISNUMBER(SEARCH(Query!$B$10,'Compliance Database'!$D531&amp;" "&amp;'Compliance Database'!$L531&amp;" "&amp;'Compliance Database'!$M531&amp;" "&amp;'Compliance Database'!$N531&amp;" "&amp;'Compliance Database'!$O531)))),1,0)</f>
        <v/>
      </c>
      <c r="B531">
        <f>IF($A531=1,SUM($A$2:$A531),"")</f>
        <v/>
      </c>
      <c r="C531">
        <f>IF($A531=1,SUM($A$2:$A531),0)</f>
        <v/>
      </c>
    </row>
    <row r="532">
      <c r="A532">
        <f>IF(AND(OR(Query!$B$4="All",'Compliance Database'!$A532=Query!$B$4),OR(Query!$B$5="All",'Compliance Database'!$F532=Query!$B$5),OR(Query!$B$6="All",ISNUMBER(SEARCH(Query!$B$6,'Compliance Database'!$I532))),OR(Query!$B$7="All",ISNUMBER(SEARCH(Query!$B$7,'Compliance Database'!$J532))),OR(Query!$B$8="All",'Compliance Database'!$G532=Query!$B$8),OR(Query!$B$9="All",'Compliance Database'!$K532=Query!$B$9),OR(Query!$B$10="",ISNUMBER(SEARCH(Query!$B$10,'Compliance Database'!$D532&amp;" "&amp;'Compliance Database'!$L532&amp;" "&amp;'Compliance Database'!$M532&amp;" "&amp;'Compliance Database'!$N532&amp;" "&amp;'Compliance Database'!$O532)))),1,0)</f>
        <v/>
      </c>
      <c r="B532">
        <f>IF($A532=1,SUM($A$2:$A532),"")</f>
        <v/>
      </c>
      <c r="C532">
        <f>IF($A532=1,SUM($A$2:$A532),0)</f>
        <v/>
      </c>
    </row>
    <row r="533">
      <c r="A533">
        <f>IF(AND(OR(Query!$B$4="All",'Compliance Database'!$A533=Query!$B$4),OR(Query!$B$5="All",'Compliance Database'!$F533=Query!$B$5),OR(Query!$B$6="All",ISNUMBER(SEARCH(Query!$B$6,'Compliance Database'!$I533))),OR(Query!$B$7="All",ISNUMBER(SEARCH(Query!$B$7,'Compliance Database'!$J533))),OR(Query!$B$8="All",'Compliance Database'!$G533=Query!$B$8),OR(Query!$B$9="All",'Compliance Database'!$K533=Query!$B$9),OR(Query!$B$10="",ISNUMBER(SEARCH(Query!$B$10,'Compliance Database'!$D533&amp;" "&amp;'Compliance Database'!$L533&amp;" "&amp;'Compliance Database'!$M533&amp;" "&amp;'Compliance Database'!$N533&amp;" "&amp;'Compliance Database'!$O533)))),1,0)</f>
        <v/>
      </c>
      <c r="B533">
        <f>IF($A533=1,SUM($A$2:$A533),"")</f>
        <v/>
      </c>
      <c r="C533">
        <f>IF($A533=1,SUM($A$2:$A533),0)</f>
        <v/>
      </c>
    </row>
    <row r="534">
      <c r="A534">
        <f>IF(AND(OR(Query!$B$4="All",'Compliance Database'!$A534=Query!$B$4),OR(Query!$B$5="All",'Compliance Database'!$F534=Query!$B$5),OR(Query!$B$6="All",ISNUMBER(SEARCH(Query!$B$6,'Compliance Database'!$I534))),OR(Query!$B$7="All",ISNUMBER(SEARCH(Query!$B$7,'Compliance Database'!$J534))),OR(Query!$B$8="All",'Compliance Database'!$G534=Query!$B$8),OR(Query!$B$9="All",'Compliance Database'!$K534=Query!$B$9),OR(Query!$B$10="",ISNUMBER(SEARCH(Query!$B$10,'Compliance Database'!$D534&amp;" "&amp;'Compliance Database'!$L534&amp;" "&amp;'Compliance Database'!$M534&amp;" "&amp;'Compliance Database'!$N534&amp;" "&amp;'Compliance Database'!$O534)))),1,0)</f>
        <v/>
      </c>
      <c r="B534">
        <f>IF($A534=1,SUM($A$2:$A534),"")</f>
        <v/>
      </c>
      <c r="C534">
        <f>IF($A534=1,SUM($A$2:$A534),0)</f>
        <v/>
      </c>
    </row>
    <row r="535">
      <c r="A535">
        <f>IF(AND(OR(Query!$B$4="All",'Compliance Database'!$A535=Query!$B$4),OR(Query!$B$5="All",'Compliance Database'!$F535=Query!$B$5),OR(Query!$B$6="All",ISNUMBER(SEARCH(Query!$B$6,'Compliance Database'!$I535))),OR(Query!$B$7="All",ISNUMBER(SEARCH(Query!$B$7,'Compliance Database'!$J535))),OR(Query!$B$8="All",'Compliance Database'!$G535=Query!$B$8),OR(Query!$B$9="All",'Compliance Database'!$K535=Query!$B$9),OR(Query!$B$10="",ISNUMBER(SEARCH(Query!$B$10,'Compliance Database'!$D535&amp;" "&amp;'Compliance Database'!$L535&amp;" "&amp;'Compliance Database'!$M535&amp;" "&amp;'Compliance Database'!$N535&amp;" "&amp;'Compliance Database'!$O535)))),1,0)</f>
        <v/>
      </c>
      <c r="B535">
        <f>IF($A535=1,SUM($A$2:$A535),"")</f>
        <v/>
      </c>
      <c r="C535">
        <f>IF($A535=1,SUM($A$2:$A535),0)</f>
        <v/>
      </c>
    </row>
    <row r="536">
      <c r="A536">
        <f>IF(AND(OR(Query!$B$4="All",'Compliance Database'!$A536=Query!$B$4),OR(Query!$B$5="All",'Compliance Database'!$F536=Query!$B$5),OR(Query!$B$6="All",ISNUMBER(SEARCH(Query!$B$6,'Compliance Database'!$I536))),OR(Query!$B$7="All",ISNUMBER(SEARCH(Query!$B$7,'Compliance Database'!$J536))),OR(Query!$B$8="All",'Compliance Database'!$G536=Query!$B$8),OR(Query!$B$9="All",'Compliance Database'!$K536=Query!$B$9),OR(Query!$B$10="",ISNUMBER(SEARCH(Query!$B$10,'Compliance Database'!$D536&amp;" "&amp;'Compliance Database'!$L536&amp;" "&amp;'Compliance Database'!$M536&amp;" "&amp;'Compliance Database'!$N536&amp;" "&amp;'Compliance Database'!$O536)))),1,0)</f>
        <v/>
      </c>
      <c r="B536">
        <f>IF($A536=1,SUM($A$2:$A536),"")</f>
        <v/>
      </c>
      <c r="C536">
        <f>IF($A536=1,SUM($A$2:$A536),0)</f>
        <v/>
      </c>
    </row>
    <row r="537">
      <c r="A537">
        <f>IF(AND(OR(Query!$B$4="All",'Compliance Database'!$A537=Query!$B$4),OR(Query!$B$5="All",'Compliance Database'!$F537=Query!$B$5),OR(Query!$B$6="All",ISNUMBER(SEARCH(Query!$B$6,'Compliance Database'!$I537))),OR(Query!$B$7="All",ISNUMBER(SEARCH(Query!$B$7,'Compliance Database'!$J537))),OR(Query!$B$8="All",'Compliance Database'!$G537=Query!$B$8),OR(Query!$B$9="All",'Compliance Database'!$K537=Query!$B$9),OR(Query!$B$10="",ISNUMBER(SEARCH(Query!$B$10,'Compliance Database'!$D537&amp;" "&amp;'Compliance Database'!$L537&amp;" "&amp;'Compliance Database'!$M537&amp;" "&amp;'Compliance Database'!$N537&amp;" "&amp;'Compliance Database'!$O537)))),1,0)</f>
        <v/>
      </c>
      <c r="B537">
        <f>IF($A537=1,SUM($A$2:$A537),"")</f>
        <v/>
      </c>
      <c r="C537">
        <f>IF($A537=1,SUM($A$2:$A537),0)</f>
        <v/>
      </c>
    </row>
    <row r="538">
      <c r="A538">
        <f>IF(AND(OR(Query!$B$4="All",'Compliance Database'!$A538=Query!$B$4),OR(Query!$B$5="All",'Compliance Database'!$F538=Query!$B$5),OR(Query!$B$6="All",ISNUMBER(SEARCH(Query!$B$6,'Compliance Database'!$I538))),OR(Query!$B$7="All",ISNUMBER(SEARCH(Query!$B$7,'Compliance Database'!$J538))),OR(Query!$B$8="All",'Compliance Database'!$G538=Query!$B$8),OR(Query!$B$9="All",'Compliance Database'!$K538=Query!$B$9),OR(Query!$B$10="",ISNUMBER(SEARCH(Query!$B$10,'Compliance Database'!$D538&amp;" "&amp;'Compliance Database'!$L538&amp;" "&amp;'Compliance Database'!$M538&amp;" "&amp;'Compliance Database'!$N538&amp;" "&amp;'Compliance Database'!$O538)))),1,0)</f>
        <v/>
      </c>
      <c r="B538">
        <f>IF($A538=1,SUM($A$2:$A538),"")</f>
        <v/>
      </c>
      <c r="C538">
        <f>IF($A538=1,SUM($A$2:$A538),0)</f>
        <v/>
      </c>
    </row>
    <row r="539">
      <c r="A539">
        <f>IF(AND(OR(Query!$B$4="All",'Compliance Database'!$A539=Query!$B$4),OR(Query!$B$5="All",'Compliance Database'!$F539=Query!$B$5),OR(Query!$B$6="All",ISNUMBER(SEARCH(Query!$B$6,'Compliance Database'!$I539))),OR(Query!$B$7="All",ISNUMBER(SEARCH(Query!$B$7,'Compliance Database'!$J539))),OR(Query!$B$8="All",'Compliance Database'!$G539=Query!$B$8),OR(Query!$B$9="All",'Compliance Database'!$K539=Query!$B$9),OR(Query!$B$10="",ISNUMBER(SEARCH(Query!$B$10,'Compliance Database'!$D539&amp;" "&amp;'Compliance Database'!$L539&amp;" "&amp;'Compliance Database'!$M539&amp;" "&amp;'Compliance Database'!$N539&amp;" "&amp;'Compliance Database'!$O539)))),1,0)</f>
        <v/>
      </c>
      <c r="B539">
        <f>IF($A539=1,SUM($A$2:$A539),"")</f>
        <v/>
      </c>
      <c r="C539">
        <f>IF($A539=1,SUM($A$2:$A539),0)</f>
        <v/>
      </c>
    </row>
    <row r="540">
      <c r="A540">
        <f>IF(AND(OR(Query!$B$4="All",'Compliance Database'!$A540=Query!$B$4),OR(Query!$B$5="All",'Compliance Database'!$F540=Query!$B$5),OR(Query!$B$6="All",ISNUMBER(SEARCH(Query!$B$6,'Compliance Database'!$I540))),OR(Query!$B$7="All",ISNUMBER(SEARCH(Query!$B$7,'Compliance Database'!$J540))),OR(Query!$B$8="All",'Compliance Database'!$G540=Query!$B$8),OR(Query!$B$9="All",'Compliance Database'!$K540=Query!$B$9),OR(Query!$B$10="",ISNUMBER(SEARCH(Query!$B$10,'Compliance Database'!$D540&amp;" "&amp;'Compliance Database'!$L540&amp;" "&amp;'Compliance Database'!$M540&amp;" "&amp;'Compliance Database'!$N540&amp;" "&amp;'Compliance Database'!$O540)))),1,0)</f>
        <v/>
      </c>
      <c r="B540">
        <f>IF($A540=1,SUM($A$2:$A540),"")</f>
        <v/>
      </c>
      <c r="C540">
        <f>IF($A540=1,SUM($A$2:$A540),0)</f>
        <v/>
      </c>
    </row>
    <row r="541">
      <c r="A541">
        <f>IF(AND(OR(Query!$B$4="All",'Compliance Database'!$A541=Query!$B$4),OR(Query!$B$5="All",'Compliance Database'!$F541=Query!$B$5),OR(Query!$B$6="All",ISNUMBER(SEARCH(Query!$B$6,'Compliance Database'!$I541))),OR(Query!$B$7="All",ISNUMBER(SEARCH(Query!$B$7,'Compliance Database'!$J541))),OR(Query!$B$8="All",'Compliance Database'!$G541=Query!$B$8),OR(Query!$B$9="All",'Compliance Database'!$K541=Query!$B$9),OR(Query!$B$10="",ISNUMBER(SEARCH(Query!$B$10,'Compliance Database'!$D541&amp;" "&amp;'Compliance Database'!$L541&amp;" "&amp;'Compliance Database'!$M541&amp;" "&amp;'Compliance Database'!$N541&amp;" "&amp;'Compliance Database'!$O541)))),1,0)</f>
        <v/>
      </c>
      <c r="B541">
        <f>IF($A541=1,SUM($A$2:$A541),"")</f>
        <v/>
      </c>
      <c r="C541">
        <f>IF($A541=1,SUM($A$2:$A541),0)</f>
        <v/>
      </c>
    </row>
    <row r="542">
      <c r="A542">
        <f>IF(AND(OR(Query!$B$4="All",'Compliance Database'!$A542=Query!$B$4),OR(Query!$B$5="All",'Compliance Database'!$F542=Query!$B$5),OR(Query!$B$6="All",ISNUMBER(SEARCH(Query!$B$6,'Compliance Database'!$I542))),OR(Query!$B$7="All",ISNUMBER(SEARCH(Query!$B$7,'Compliance Database'!$J542))),OR(Query!$B$8="All",'Compliance Database'!$G542=Query!$B$8),OR(Query!$B$9="All",'Compliance Database'!$K542=Query!$B$9),OR(Query!$B$10="",ISNUMBER(SEARCH(Query!$B$10,'Compliance Database'!$D542&amp;" "&amp;'Compliance Database'!$L542&amp;" "&amp;'Compliance Database'!$M542&amp;" "&amp;'Compliance Database'!$N542&amp;" "&amp;'Compliance Database'!$O542)))),1,0)</f>
        <v/>
      </c>
      <c r="B542">
        <f>IF($A542=1,SUM($A$2:$A542),"")</f>
        <v/>
      </c>
      <c r="C542">
        <f>IF($A542=1,SUM($A$2:$A542),0)</f>
        <v/>
      </c>
    </row>
    <row r="543">
      <c r="A543">
        <f>IF(AND(OR(Query!$B$4="All",'Compliance Database'!$A543=Query!$B$4),OR(Query!$B$5="All",'Compliance Database'!$F543=Query!$B$5),OR(Query!$B$6="All",ISNUMBER(SEARCH(Query!$B$6,'Compliance Database'!$I543))),OR(Query!$B$7="All",ISNUMBER(SEARCH(Query!$B$7,'Compliance Database'!$J543))),OR(Query!$B$8="All",'Compliance Database'!$G543=Query!$B$8),OR(Query!$B$9="All",'Compliance Database'!$K543=Query!$B$9),OR(Query!$B$10="",ISNUMBER(SEARCH(Query!$B$10,'Compliance Database'!$D543&amp;" "&amp;'Compliance Database'!$L543&amp;" "&amp;'Compliance Database'!$M543&amp;" "&amp;'Compliance Database'!$N543&amp;" "&amp;'Compliance Database'!$O543)))),1,0)</f>
        <v/>
      </c>
      <c r="B543">
        <f>IF($A543=1,SUM($A$2:$A543),"")</f>
        <v/>
      </c>
      <c r="C543">
        <f>IF($A543=1,SUM($A$2:$A543),0)</f>
        <v/>
      </c>
    </row>
    <row r="544">
      <c r="A544">
        <f>IF(AND(OR(Query!$B$4="All",'Compliance Database'!$A544=Query!$B$4),OR(Query!$B$5="All",'Compliance Database'!$F544=Query!$B$5),OR(Query!$B$6="All",ISNUMBER(SEARCH(Query!$B$6,'Compliance Database'!$I544))),OR(Query!$B$7="All",ISNUMBER(SEARCH(Query!$B$7,'Compliance Database'!$J544))),OR(Query!$B$8="All",'Compliance Database'!$G544=Query!$B$8),OR(Query!$B$9="All",'Compliance Database'!$K544=Query!$B$9),OR(Query!$B$10="",ISNUMBER(SEARCH(Query!$B$10,'Compliance Database'!$D544&amp;" "&amp;'Compliance Database'!$L544&amp;" "&amp;'Compliance Database'!$M544&amp;" "&amp;'Compliance Database'!$N544&amp;" "&amp;'Compliance Database'!$O544)))),1,0)</f>
        <v/>
      </c>
      <c r="B544">
        <f>IF($A544=1,SUM($A$2:$A544),"")</f>
        <v/>
      </c>
      <c r="C544">
        <f>IF($A544=1,SUM($A$2:$A544),0)</f>
        <v/>
      </c>
    </row>
    <row r="545">
      <c r="A545">
        <f>IF(AND(OR(Query!$B$4="All",'Compliance Database'!$A545=Query!$B$4),OR(Query!$B$5="All",'Compliance Database'!$F545=Query!$B$5),OR(Query!$B$6="All",ISNUMBER(SEARCH(Query!$B$6,'Compliance Database'!$I545))),OR(Query!$B$7="All",ISNUMBER(SEARCH(Query!$B$7,'Compliance Database'!$J545))),OR(Query!$B$8="All",'Compliance Database'!$G545=Query!$B$8),OR(Query!$B$9="All",'Compliance Database'!$K545=Query!$B$9),OR(Query!$B$10="",ISNUMBER(SEARCH(Query!$B$10,'Compliance Database'!$D545&amp;" "&amp;'Compliance Database'!$L545&amp;" "&amp;'Compliance Database'!$M545&amp;" "&amp;'Compliance Database'!$N545&amp;" "&amp;'Compliance Database'!$O545)))),1,0)</f>
        <v/>
      </c>
      <c r="B545">
        <f>IF($A545=1,SUM($A$2:$A545),"")</f>
        <v/>
      </c>
      <c r="C545">
        <f>IF($A545=1,SUM($A$2:$A545),0)</f>
        <v/>
      </c>
    </row>
    <row r="546">
      <c r="A546">
        <f>IF(AND(OR(Query!$B$4="All",'Compliance Database'!$A546=Query!$B$4),OR(Query!$B$5="All",'Compliance Database'!$F546=Query!$B$5),OR(Query!$B$6="All",ISNUMBER(SEARCH(Query!$B$6,'Compliance Database'!$I546))),OR(Query!$B$7="All",ISNUMBER(SEARCH(Query!$B$7,'Compliance Database'!$J546))),OR(Query!$B$8="All",'Compliance Database'!$G546=Query!$B$8),OR(Query!$B$9="All",'Compliance Database'!$K546=Query!$B$9),OR(Query!$B$10="",ISNUMBER(SEARCH(Query!$B$10,'Compliance Database'!$D546&amp;" "&amp;'Compliance Database'!$L546&amp;" "&amp;'Compliance Database'!$M546&amp;" "&amp;'Compliance Database'!$N546&amp;" "&amp;'Compliance Database'!$O546)))),1,0)</f>
        <v/>
      </c>
      <c r="B546">
        <f>IF($A546=1,SUM($A$2:$A546),"")</f>
        <v/>
      </c>
      <c r="C546">
        <f>IF($A546=1,SUM($A$2:$A546),0)</f>
        <v/>
      </c>
    </row>
    <row r="547">
      <c r="A547">
        <f>IF(AND(OR(Query!$B$4="All",'Compliance Database'!$A547=Query!$B$4),OR(Query!$B$5="All",'Compliance Database'!$F547=Query!$B$5),OR(Query!$B$6="All",ISNUMBER(SEARCH(Query!$B$6,'Compliance Database'!$I547))),OR(Query!$B$7="All",ISNUMBER(SEARCH(Query!$B$7,'Compliance Database'!$J547))),OR(Query!$B$8="All",'Compliance Database'!$G547=Query!$B$8),OR(Query!$B$9="All",'Compliance Database'!$K547=Query!$B$9),OR(Query!$B$10="",ISNUMBER(SEARCH(Query!$B$10,'Compliance Database'!$D547&amp;" "&amp;'Compliance Database'!$L547&amp;" "&amp;'Compliance Database'!$M547&amp;" "&amp;'Compliance Database'!$N547&amp;" "&amp;'Compliance Database'!$O547)))),1,0)</f>
        <v/>
      </c>
      <c r="B547">
        <f>IF($A547=1,SUM($A$2:$A547),"")</f>
        <v/>
      </c>
      <c r="C547">
        <f>IF($A547=1,SUM($A$2:$A547),0)</f>
        <v/>
      </c>
    </row>
    <row r="548">
      <c r="A548">
        <f>IF(AND(OR(Query!$B$4="All",'Compliance Database'!$A548=Query!$B$4),OR(Query!$B$5="All",'Compliance Database'!$F548=Query!$B$5),OR(Query!$B$6="All",ISNUMBER(SEARCH(Query!$B$6,'Compliance Database'!$I548))),OR(Query!$B$7="All",ISNUMBER(SEARCH(Query!$B$7,'Compliance Database'!$J548))),OR(Query!$B$8="All",'Compliance Database'!$G548=Query!$B$8),OR(Query!$B$9="All",'Compliance Database'!$K548=Query!$B$9),OR(Query!$B$10="",ISNUMBER(SEARCH(Query!$B$10,'Compliance Database'!$D548&amp;" "&amp;'Compliance Database'!$L548&amp;" "&amp;'Compliance Database'!$M548&amp;" "&amp;'Compliance Database'!$N548&amp;" "&amp;'Compliance Database'!$O548)))),1,0)</f>
        <v/>
      </c>
      <c r="B548">
        <f>IF($A548=1,SUM($A$2:$A548),"")</f>
        <v/>
      </c>
      <c r="C548">
        <f>IF($A548=1,SUM($A$2:$A548),0)</f>
        <v/>
      </c>
    </row>
    <row r="549">
      <c r="A549">
        <f>IF(AND(OR(Query!$B$4="All",'Compliance Database'!$A549=Query!$B$4),OR(Query!$B$5="All",'Compliance Database'!$F549=Query!$B$5),OR(Query!$B$6="All",ISNUMBER(SEARCH(Query!$B$6,'Compliance Database'!$I549))),OR(Query!$B$7="All",ISNUMBER(SEARCH(Query!$B$7,'Compliance Database'!$J549))),OR(Query!$B$8="All",'Compliance Database'!$G549=Query!$B$8),OR(Query!$B$9="All",'Compliance Database'!$K549=Query!$B$9),OR(Query!$B$10="",ISNUMBER(SEARCH(Query!$B$10,'Compliance Database'!$D549&amp;" "&amp;'Compliance Database'!$L549&amp;" "&amp;'Compliance Database'!$M549&amp;" "&amp;'Compliance Database'!$N549&amp;" "&amp;'Compliance Database'!$O549)))),1,0)</f>
        <v/>
      </c>
      <c r="B549">
        <f>IF($A549=1,SUM($A$2:$A549),"")</f>
        <v/>
      </c>
      <c r="C549">
        <f>IF($A549=1,SUM($A$2:$A549),0)</f>
        <v/>
      </c>
    </row>
    <row r="550">
      <c r="A550">
        <f>IF(AND(OR(Query!$B$4="All",'Compliance Database'!$A550=Query!$B$4),OR(Query!$B$5="All",'Compliance Database'!$F550=Query!$B$5),OR(Query!$B$6="All",ISNUMBER(SEARCH(Query!$B$6,'Compliance Database'!$I550))),OR(Query!$B$7="All",ISNUMBER(SEARCH(Query!$B$7,'Compliance Database'!$J550))),OR(Query!$B$8="All",'Compliance Database'!$G550=Query!$B$8),OR(Query!$B$9="All",'Compliance Database'!$K550=Query!$B$9),OR(Query!$B$10="",ISNUMBER(SEARCH(Query!$B$10,'Compliance Database'!$D550&amp;" "&amp;'Compliance Database'!$L550&amp;" "&amp;'Compliance Database'!$M550&amp;" "&amp;'Compliance Database'!$N550&amp;" "&amp;'Compliance Database'!$O550)))),1,0)</f>
        <v/>
      </c>
      <c r="B550">
        <f>IF($A550=1,SUM($A$2:$A550),"")</f>
        <v/>
      </c>
      <c r="C550">
        <f>IF($A550=1,SUM($A$2:$A550),0)</f>
        <v/>
      </c>
    </row>
    <row r="551">
      <c r="A551">
        <f>IF(AND(OR(Query!$B$4="All",'Compliance Database'!$A551=Query!$B$4),OR(Query!$B$5="All",'Compliance Database'!$F551=Query!$B$5),OR(Query!$B$6="All",ISNUMBER(SEARCH(Query!$B$6,'Compliance Database'!$I551))),OR(Query!$B$7="All",ISNUMBER(SEARCH(Query!$B$7,'Compliance Database'!$J551))),OR(Query!$B$8="All",'Compliance Database'!$G551=Query!$B$8),OR(Query!$B$9="All",'Compliance Database'!$K551=Query!$B$9),OR(Query!$B$10="",ISNUMBER(SEARCH(Query!$B$10,'Compliance Database'!$D551&amp;" "&amp;'Compliance Database'!$L551&amp;" "&amp;'Compliance Database'!$M551&amp;" "&amp;'Compliance Database'!$N551&amp;" "&amp;'Compliance Database'!$O551)))),1,0)</f>
        <v/>
      </c>
      <c r="B551">
        <f>IF($A551=1,SUM($A$2:$A551),"")</f>
        <v/>
      </c>
      <c r="C551">
        <f>IF($A551=1,SUM($A$2:$A551),0)</f>
        <v/>
      </c>
    </row>
    <row r="552">
      <c r="A552">
        <f>IF(AND(OR(Query!$B$4="All",'Compliance Database'!$A552=Query!$B$4),OR(Query!$B$5="All",'Compliance Database'!$F552=Query!$B$5),OR(Query!$B$6="All",ISNUMBER(SEARCH(Query!$B$6,'Compliance Database'!$I552))),OR(Query!$B$7="All",ISNUMBER(SEARCH(Query!$B$7,'Compliance Database'!$J552))),OR(Query!$B$8="All",'Compliance Database'!$G552=Query!$B$8),OR(Query!$B$9="All",'Compliance Database'!$K552=Query!$B$9),OR(Query!$B$10="",ISNUMBER(SEARCH(Query!$B$10,'Compliance Database'!$D552&amp;" "&amp;'Compliance Database'!$L552&amp;" "&amp;'Compliance Database'!$M552&amp;" "&amp;'Compliance Database'!$N552&amp;" "&amp;'Compliance Database'!$O552)))),1,0)</f>
        <v/>
      </c>
      <c r="B552">
        <f>IF($A552=1,SUM($A$2:$A552),"")</f>
        <v/>
      </c>
      <c r="C552">
        <f>IF($A552=1,SUM($A$2:$A552),0)</f>
        <v/>
      </c>
    </row>
    <row r="553">
      <c r="A553">
        <f>IF(AND(OR(Query!$B$4="All",'Compliance Database'!$A553=Query!$B$4),OR(Query!$B$5="All",'Compliance Database'!$F553=Query!$B$5),OR(Query!$B$6="All",ISNUMBER(SEARCH(Query!$B$6,'Compliance Database'!$I553))),OR(Query!$B$7="All",ISNUMBER(SEARCH(Query!$B$7,'Compliance Database'!$J553))),OR(Query!$B$8="All",'Compliance Database'!$G553=Query!$B$8),OR(Query!$B$9="All",'Compliance Database'!$K553=Query!$B$9),OR(Query!$B$10="",ISNUMBER(SEARCH(Query!$B$10,'Compliance Database'!$D553&amp;" "&amp;'Compliance Database'!$L553&amp;" "&amp;'Compliance Database'!$M553&amp;" "&amp;'Compliance Database'!$N553&amp;" "&amp;'Compliance Database'!$O553)))),1,0)</f>
        <v/>
      </c>
      <c r="B553">
        <f>IF($A553=1,SUM($A$2:$A553),"")</f>
        <v/>
      </c>
      <c r="C553">
        <f>IF($A553=1,SUM($A$2:$A553),0)</f>
        <v/>
      </c>
    </row>
    <row r="554">
      <c r="A554">
        <f>IF(AND(OR(Query!$B$4="All",'Compliance Database'!$A554=Query!$B$4),OR(Query!$B$5="All",'Compliance Database'!$F554=Query!$B$5),OR(Query!$B$6="All",ISNUMBER(SEARCH(Query!$B$6,'Compliance Database'!$I554))),OR(Query!$B$7="All",ISNUMBER(SEARCH(Query!$B$7,'Compliance Database'!$J554))),OR(Query!$B$8="All",'Compliance Database'!$G554=Query!$B$8),OR(Query!$B$9="All",'Compliance Database'!$K554=Query!$B$9),OR(Query!$B$10="",ISNUMBER(SEARCH(Query!$B$10,'Compliance Database'!$D554&amp;" "&amp;'Compliance Database'!$L554&amp;" "&amp;'Compliance Database'!$M554&amp;" "&amp;'Compliance Database'!$N554&amp;" "&amp;'Compliance Database'!$O554)))),1,0)</f>
        <v/>
      </c>
      <c r="B554">
        <f>IF($A554=1,SUM($A$2:$A554),"")</f>
        <v/>
      </c>
      <c r="C554">
        <f>IF($A554=1,SUM($A$2:$A554),0)</f>
        <v/>
      </c>
    </row>
    <row r="555">
      <c r="A555">
        <f>IF(AND(OR(Query!$B$4="All",'Compliance Database'!$A555=Query!$B$4),OR(Query!$B$5="All",'Compliance Database'!$F555=Query!$B$5),OR(Query!$B$6="All",ISNUMBER(SEARCH(Query!$B$6,'Compliance Database'!$I555))),OR(Query!$B$7="All",ISNUMBER(SEARCH(Query!$B$7,'Compliance Database'!$J555))),OR(Query!$B$8="All",'Compliance Database'!$G555=Query!$B$8),OR(Query!$B$9="All",'Compliance Database'!$K555=Query!$B$9),OR(Query!$B$10="",ISNUMBER(SEARCH(Query!$B$10,'Compliance Database'!$D555&amp;" "&amp;'Compliance Database'!$L555&amp;" "&amp;'Compliance Database'!$M555&amp;" "&amp;'Compliance Database'!$N555&amp;" "&amp;'Compliance Database'!$O555)))),1,0)</f>
        <v/>
      </c>
      <c r="B555">
        <f>IF($A555=1,SUM($A$2:$A555),"")</f>
        <v/>
      </c>
      <c r="C555">
        <f>IF($A555=1,SUM($A$2:$A555),0)</f>
        <v/>
      </c>
    </row>
    <row r="556">
      <c r="A556">
        <f>IF(AND(OR(Query!$B$4="All",'Compliance Database'!$A556=Query!$B$4),OR(Query!$B$5="All",'Compliance Database'!$F556=Query!$B$5),OR(Query!$B$6="All",ISNUMBER(SEARCH(Query!$B$6,'Compliance Database'!$I556))),OR(Query!$B$7="All",ISNUMBER(SEARCH(Query!$B$7,'Compliance Database'!$J556))),OR(Query!$B$8="All",'Compliance Database'!$G556=Query!$B$8),OR(Query!$B$9="All",'Compliance Database'!$K556=Query!$B$9),OR(Query!$B$10="",ISNUMBER(SEARCH(Query!$B$10,'Compliance Database'!$D556&amp;" "&amp;'Compliance Database'!$L556&amp;" "&amp;'Compliance Database'!$M556&amp;" "&amp;'Compliance Database'!$N556&amp;" "&amp;'Compliance Database'!$O556)))),1,0)</f>
        <v/>
      </c>
      <c r="B556">
        <f>IF($A556=1,SUM($A$2:$A556),"")</f>
        <v/>
      </c>
      <c r="C556">
        <f>IF($A556=1,SUM($A$2:$A556),0)</f>
        <v/>
      </c>
    </row>
    <row r="557">
      <c r="A557">
        <f>IF(AND(OR(Query!$B$4="All",'Compliance Database'!$A557=Query!$B$4),OR(Query!$B$5="All",'Compliance Database'!$F557=Query!$B$5),OR(Query!$B$6="All",ISNUMBER(SEARCH(Query!$B$6,'Compliance Database'!$I557))),OR(Query!$B$7="All",ISNUMBER(SEARCH(Query!$B$7,'Compliance Database'!$J557))),OR(Query!$B$8="All",'Compliance Database'!$G557=Query!$B$8),OR(Query!$B$9="All",'Compliance Database'!$K557=Query!$B$9),OR(Query!$B$10="",ISNUMBER(SEARCH(Query!$B$10,'Compliance Database'!$D557&amp;" "&amp;'Compliance Database'!$L557&amp;" "&amp;'Compliance Database'!$M557&amp;" "&amp;'Compliance Database'!$N557&amp;" "&amp;'Compliance Database'!$O557)))),1,0)</f>
        <v/>
      </c>
      <c r="B557">
        <f>IF($A557=1,SUM($A$2:$A557),"")</f>
        <v/>
      </c>
      <c r="C557">
        <f>IF($A557=1,SUM($A$2:$A557),0)</f>
        <v/>
      </c>
    </row>
    <row r="558">
      <c r="A558">
        <f>IF(AND(OR(Query!$B$4="All",'Compliance Database'!$A558=Query!$B$4),OR(Query!$B$5="All",'Compliance Database'!$F558=Query!$B$5),OR(Query!$B$6="All",ISNUMBER(SEARCH(Query!$B$6,'Compliance Database'!$I558))),OR(Query!$B$7="All",ISNUMBER(SEARCH(Query!$B$7,'Compliance Database'!$J558))),OR(Query!$B$8="All",'Compliance Database'!$G558=Query!$B$8),OR(Query!$B$9="All",'Compliance Database'!$K558=Query!$B$9),OR(Query!$B$10="",ISNUMBER(SEARCH(Query!$B$10,'Compliance Database'!$D558&amp;" "&amp;'Compliance Database'!$L558&amp;" "&amp;'Compliance Database'!$M558&amp;" "&amp;'Compliance Database'!$N558&amp;" "&amp;'Compliance Database'!$O558)))),1,0)</f>
        <v/>
      </c>
      <c r="B558">
        <f>IF($A558=1,SUM($A$2:$A558),"")</f>
        <v/>
      </c>
      <c r="C558">
        <f>IF($A558=1,SUM($A$2:$A558),0)</f>
        <v/>
      </c>
    </row>
    <row r="559">
      <c r="A559">
        <f>IF(AND(OR(Query!$B$4="All",'Compliance Database'!$A559=Query!$B$4),OR(Query!$B$5="All",'Compliance Database'!$F559=Query!$B$5),OR(Query!$B$6="All",ISNUMBER(SEARCH(Query!$B$6,'Compliance Database'!$I559))),OR(Query!$B$7="All",ISNUMBER(SEARCH(Query!$B$7,'Compliance Database'!$J559))),OR(Query!$B$8="All",'Compliance Database'!$G559=Query!$B$8),OR(Query!$B$9="All",'Compliance Database'!$K559=Query!$B$9),OR(Query!$B$10="",ISNUMBER(SEARCH(Query!$B$10,'Compliance Database'!$D559&amp;" "&amp;'Compliance Database'!$L559&amp;" "&amp;'Compliance Database'!$M559&amp;" "&amp;'Compliance Database'!$N559&amp;" "&amp;'Compliance Database'!$O559)))),1,0)</f>
        <v/>
      </c>
      <c r="B559">
        <f>IF($A559=1,SUM($A$2:$A559),"")</f>
        <v/>
      </c>
      <c r="C559">
        <f>IF($A559=1,SUM($A$2:$A559),0)</f>
        <v/>
      </c>
    </row>
    <row r="560">
      <c r="A560">
        <f>IF(AND(OR(Query!$B$4="All",'Compliance Database'!$A560=Query!$B$4),OR(Query!$B$5="All",'Compliance Database'!$F560=Query!$B$5),OR(Query!$B$6="All",ISNUMBER(SEARCH(Query!$B$6,'Compliance Database'!$I560))),OR(Query!$B$7="All",ISNUMBER(SEARCH(Query!$B$7,'Compliance Database'!$J560))),OR(Query!$B$8="All",'Compliance Database'!$G560=Query!$B$8),OR(Query!$B$9="All",'Compliance Database'!$K560=Query!$B$9),OR(Query!$B$10="",ISNUMBER(SEARCH(Query!$B$10,'Compliance Database'!$D560&amp;" "&amp;'Compliance Database'!$L560&amp;" "&amp;'Compliance Database'!$M560&amp;" "&amp;'Compliance Database'!$N560&amp;" "&amp;'Compliance Database'!$O560)))),1,0)</f>
        <v/>
      </c>
      <c r="B560">
        <f>IF($A560=1,SUM($A$2:$A560),"")</f>
        <v/>
      </c>
      <c r="C560">
        <f>IF($A560=1,SUM($A$2:$A560),0)</f>
        <v/>
      </c>
    </row>
    <row r="561">
      <c r="A561">
        <f>IF(AND(OR(Query!$B$4="All",'Compliance Database'!$A561=Query!$B$4),OR(Query!$B$5="All",'Compliance Database'!$F561=Query!$B$5),OR(Query!$B$6="All",ISNUMBER(SEARCH(Query!$B$6,'Compliance Database'!$I561))),OR(Query!$B$7="All",ISNUMBER(SEARCH(Query!$B$7,'Compliance Database'!$J561))),OR(Query!$B$8="All",'Compliance Database'!$G561=Query!$B$8),OR(Query!$B$9="All",'Compliance Database'!$K561=Query!$B$9),OR(Query!$B$10="",ISNUMBER(SEARCH(Query!$B$10,'Compliance Database'!$D561&amp;" "&amp;'Compliance Database'!$L561&amp;" "&amp;'Compliance Database'!$M561&amp;" "&amp;'Compliance Database'!$N561&amp;" "&amp;'Compliance Database'!$O561)))),1,0)</f>
        <v/>
      </c>
      <c r="B561">
        <f>IF($A561=1,SUM($A$2:$A561),"")</f>
        <v/>
      </c>
      <c r="C561">
        <f>IF($A561=1,SUM($A$2:$A561),0)</f>
        <v/>
      </c>
    </row>
    <row r="562">
      <c r="A562">
        <f>IF(AND(OR(Query!$B$4="All",'Compliance Database'!$A562=Query!$B$4),OR(Query!$B$5="All",'Compliance Database'!$F562=Query!$B$5),OR(Query!$B$6="All",ISNUMBER(SEARCH(Query!$B$6,'Compliance Database'!$I562))),OR(Query!$B$7="All",ISNUMBER(SEARCH(Query!$B$7,'Compliance Database'!$J562))),OR(Query!$B$8="All",'Compliance Database'!$G562=Query!$B$8),OR(Query!$B$9="All",'Compliance Database'!$K562=Query!$B$9),OR(Query!$B$10="",ISNUMBER(SEARCH(Query!$B$10,'Compliance Database'!$D562&amp;" "&amp;'Compliance Database'!$L562&amp;" "&amp;'Compliance Database'!$M562&amp;" "&amp;'Compliance Database'!$N562&amp;" "&amp;'Compliance Database'!$O562)))),1,0)</f>
        <v/>
      </c>
      <c r="B562">
        <f>IF($A562=1,SUM($A$2:$A562),"")</f>
        <v/>
      </c>
      <c r="C562">
        <f>IF($A562=1,SUM($A$2:$A562),0)</f>
        <v/>
      </c>
    </row>
    <row r="563">
      <c r="A563">
        <f>IF(AND(OR(Query!$B$4="All",'Compliance Database'!$A563=Query!$B$4),OR(Query!$B$5="All",'Compliance Database'!$F563=Query!$B$5),OR(Query!$B$6="All",ISNUMBER(SEARCH(Query!$B$6,'Compliance Database'!$I563))),OR(Query!$B$7="All",ISNUMBER(SEARCH(Query!$B$7,'Compliance Database'!$J563))),OR(Query!$B$8="All",'Compliance Database'!$G563=Query!$B$8),OR(Query!$B$9="All",'Compliance Database'!$K563=Query!$B$9),OR(Query!$B$10="",ISNUMBER(SEARCH(Query!$B$10,'Compliance Database'!$D563&amp;" "&amp;'Compliance Database'!$L563&amp;" "&amp;'Compliance Database'!$M563&amp;" "&amp;'Compliance Database'!$N563&amp;" "&amp;'Compliance Database'!$O563)))),1,0)</f>
        <v/>
      </c>
      <c r="B563">
        <f>IF($A563=1,SUM($A$2:$A563),"")</f>
        <v/>
      </c>
      <c r="C563">
        <f>IF($A563=1,SUM($A$2:$A563),0)</f>
        <v/>
      </c>
    </row>
    <row r="564">
      <c r="A564">
        <f>IF(AND(OR(Query!$B$4="All",'Compliance Database'!$A564=Query!$B$4),OR(Query!$B$5="All",'Compliance Database'!$F564=Query!$B$5),OR(Query!$B$6="All",ISNUMBER(SEARCH(Query!$B$6,'Compliance Database'!$I564))),OR(Query!$B$7="All",ISNUMBER(SEARCH(Query!$B$7,'Compliance Database'!$J564))),OR(Query!$B$8="All",'Compliance Database'!$G564=Query!$B$8),OR(Query!$B$9="All",'Compliance Database'!$K564=Query!$B$9),OR(Query!$B$10="",ISNUMBER(SEARCH(Query!$B$10,'Compliance Database'!$D564&amp;" "&amp;'Compliance Database'!$L564&amp;" "&amp;'Compliance Database'!$M564&amp;" "&amp;'Compliance Database'!$N564&amp;" "&amp;'Compliance Database'!$O564)))),1,0)</f>
        <v/>
      </c>
      <c r="B564">
        <f>IF($A564=1,SUM($A$2:$A564),"")</f>
        <v/>
      </c>
      <c r="C564">
        <f>IF($A564=1,SUM($A$2:$A564),0)</f>
        <v/>
      </c>
    </row>
    <row r="565">
      <c r="A565">
        <f>IF(AND(OR(Query!$B$4="All",'Compliance Database'!$A565=Query!$B$4),OR(Query!$B$5="All",'Compliance Database'!$F565=Query!$B$5),OR(Query!$B$6="All",ISNUMBER(SEARCH(Query!$B$6,'Compliance Database'!$I565))),OR(Query!$B$7="All",ISNUMBER(SEARCH(Query!$B$7,'Compliance Database'!$J565))),OR(Query!$B$8="All",'Compliance Database'!$G565=Query!$B$8),OR(Query!$B$9="All",'Compliance Database'!$K565=Query!$B$9),OR(Query!$B$10="",ISNUMBER(SEARCH(Query!$B$10,'Compliance Database'!$D565&amp;" "&amp;'Compliance Database'!$L565&amp;" "&amp;'Compliance Database'!$M565&amp;" "&amp;'Compliance Database'!$N565&amp;" "&amp;'Compliance Database'!$O565)))),1,0)</f>
        <v/>
      </c>
      <c r="B565">
        <f>IF($A565=1,SUM($A$2:$A565),"")</f>
        <v/>
      </c>
      <c r="C565">
        <f>IF($A565=1,SUM($A$2:$A565),0)</f>
        <v/>
      </c>
    </row>
    <row r="566">
      <c r="A566">
        <f>IF(AND(OR(Query!$B$4="All",'Compliance Database'!$A566=Query!$B$4),OR(Query!$B$5="All",'Compliance Database'!$F566=Query!$B$5),OR(Query!$B$6="All",ISNUMBER(SEARCH(Query!$B$6,'Compliance Database'!$I566))),OR(Query!$B$7="All",ISNUMBER(SEARCH(Query!$B$7,'Compliance Database'!$J566))),OR(Query!$B$8="All",'Compliance Database'!$G566=Query!$B$8),OR(Query!$B$9="All",'Compliance Database'!$K566=Query!$B$9),OR(Query!$B$10="",ISNUMBER(SEARCH(Query!$B$10,'Compliance Database'!$D566&amp;" "&amp;'Compliance Database'!$L566&amp;" "&amp;'Compliance Database'!$M566&amp;" "&amp;'Compliance Database'!$N566&amp;" "&amp;'Compliance Database'!$O566)))),1,0)</f>
        <v/>
      </c>
      <c r="B566">
        <f>IF($A566=1,SUM($A$2:$A566),"")</f>
        <v/>
      </c>
      <c r="C566">
        <f>IF($A566=1,SUM($A$2:$A566),0)</f>
        <v/>
      </c>
    </row>
    <row r="567">
      <c r="A567">
        <f>IF(AND(OR(Query!$B$4="All",'Compliance Database'!$A567=Query!$B$4),OR(Query!$B$5="All",'Compliance Database'!$F567=Query!$B$5),OR(Query!$B$6="All",ISNUMBER(SEARCH(Query!$B$6,'Compliance Database'!$I567))),OR(Query!$B$7="All",ISNUMBER(SEARCH(Query!$B$7,'Compliance Database'!$J567))),OR(Query!$B$8="All",'Compliance Database'!$G567=Query!$B$8),OR(Query!$B$9="All",'Compliance Database'!$K567=Query!$B$9),OR(Query!$B$10="",ISNUMBER(SEARCH(Query!$B$10,'Compliance Database'!$D567&amp;" "&amp;'Compliance Database'!$L567&amp;" "&amp;'Compliance Database'!$M567&amp;" "&amp;'Compliance Database'!$N567&amp;" "&amp;'Compliance Database'!$O567)))),1,0)</f>
        <v/>
      </c>
      <c r="B567">
        <f>IF($A567=1,SUM($A$2:$A567),"")</f>
        <v/>
      </c>
      <c r="C567">
        <f>IF($A567=1,SUM($A$2:$A567),0)</f>
        <v/>
      </c>
    </row>
    <row r="568">
      <c r="A568">
        <f>IF(AND(OR(Query!$B$4="All",'Compliance Database'!$A568=Query!$B$4),OR(Query!$B$5="All",'Compliance Database'!$F568=Query!$B$5),OR(Query!$B$6="All",ISNUMBER(SEARCH(Query!$B$6,'Compliance Database'!$I568))),OR(Query!$B$7="All",ISNUMBER(SEARCH(Query!$B$7,'Compliance Database'!$J568))),OR(Query!$B$8="All",'Compliance Database'!$G568=Query!$B$8),OR(Query!$B$9="All",'Compliance Database'!$K568=Query!$B$9),OR(Query!$B$10="",ISNUMBER(SEARCH(Query!$B$10,'Compliance Database'!$D568&amp;" "&amp;'Compliance Database'!$L568&amp;" "&amp;'Compliance Database'!$M568&amp;" "&amp;'Compliance Database'!$N568&amp;" "&amp;'Compliance Database'!$O568)))),1,0)</f>
        <v/>
      </c>
      <c r="B568">
        <f>IF($A568=1,SUM($A$2:$A568),"")</f>
        <v/>
      </c>
      <c r="C568">
        <f>IF($A568=1,SUM($A$2:$A568),0)</f>
        <v/>
      </c>
    </row>
    <row r="569">
      <c r="A569">
        <f>IF(AND(OR(Query!$B$4="All",'Compliance Database'!$A569=Query!$B$4),OR(Query!$B$5="All",'Compliance Database'!$F569=Query!$B$5),OR(Query!$B$6="All",ISNUMBER(SEARCH(Query!$B$6,'Compliance Database'!$I569))),OR(Query!$B$7="All",ISNUMBER(SEARCH(Query!$B$7,'Compliance Database'!$J569))),OR(Query!$B$8="All",'Compliance Database'!$G569=Query!$B$8),OR(Query!$B$9="All",'Compliance Database'!$K569=Query!$B$9),OR(Query!$B$10="",ISNUMBER(SEARCH(Query!$B$10,'Compliance Database'!$D569&amp;" "&amp;'Compliance Database'!$L569&amp;" "&amp;'Compliance Database'!$M569&amp;" "&amp;'Compliance Database'!$N569&amp;" "&amp;'Compliance Database'!$O569)))),1,0)</f>
        <v/>
      </c>
      <c r="B569">
        <f>IF($A569=1,SUM($A$2:$A569),"")</f>
        <v/>
      </c>
      <c r="C569">
        <f>IF($A569=1,SUM($A$2:$A569),0)</f>
        <v/>
      </c>
    </row>
    <row r="570">
      <c r="A570">
        <f>IF(AND(OR(Query!$B$4="All",'Compliance Database'!$A570=Query!$B$4),OR(Query!$B$5="All",'Compliance Database'!$F570=Query!$B$5),OR(Query!$B$6="All",ISNUMBER(SEARCH(Query!$B$6,'Compliance Database'!$I570))),OR(Query!$B$7="All",ISNUMBER(SEARCH(Query!$B$7,'Compliance Database'!$J570))),OR(Query!$B$8="All",'Compliance Database'!$G570=Query!$B$8),OR(Query!$B$9="All",'Compliance Database'!$K570=Query!$B$9),OR(Query!$B$10="",ISNUMBER(SEARCH(Query!$B$10,'Compliance Database'!$D570&amp;" "&amp;'Compliance Database'!$L570&amp;" "&amp;'Compliance Database'!$M570&amp;" "&amp;'Compliance Database'!$N570&amp;" "&amp;'Compliance Database'!$O570)))),1,0)</f>
        <v/>
      </c>
      <c r="B570">
        <f>IF($A570=1,SUM($A$2:$A570),"")</f>
        <v/>
      </c>
      <c r="C570">
        <f>IF($A570=1,SUM($A$2:$A570),0)</f>
        <v/>
      </c>
    </row>
    <row r="571">
      <c r="A571">
        <f>IF(AND(OR(Query!$B$4="All",'Compliance Database'!$A571=Query!$B$4),OR(Query!$B$5="All",'Compliance Database'!$F571=Query!$B$5),OR(Query!$B$6="All",ISNUMBER(SEARCH(Query!$B$6,'Compliance Database'!$I571))),OR(Query!$B$7="All",ISNUMBER(SEARCH(Query!$B$7,'Compliance Database'!$J571))),OR(Query!$B$8="All",'Compliance Database'!$G571=Query!$B$8),OR(Query!$B$9="All",'Compliance Database'!$K571=Query!$B$9),OR(Query!$B$10="",ISNUMBER(SEARCH(Query!$B$10,'Compliance Database'!$D571&amp;" "&amp;'Compliance Database'!$L571&amp;" "&amp;'Compliance Database'!$M571&amp;" "&amp;'Compliance Database'!$N571&amp;" "&amp;'Compliance Database'!$O571)))),1,0)</f>
        <v/>
      </c>
      <c r="B571">
        <f>IF($A571=1,SUM($A$2:$A571),"")</f>
        <v/>
      </c>
      <c r="C571">
        <f>IF($A571=1,SUM($A$2:$A571),0)</f>
        <v/>
      </c>
    </row>
    <row r="572">
      <c r="A572">
        <f>IF(AND(OR(Query!$B$4="All",'Compliance Database'!$A572=Query!$B$4),OR(Query!$B$5="All",'Compliance Database'!$F572=Query!$B$5),OR(Query!$B$6="All",ISNUMBER(SEARCH(Query!$B$6,'Compliance Database'!$I572))),OR(Query!$B$7="All",ISNUMBER(SEARCH(Query!$B$7,'Compliance Database'!$J572))),OR(Query!$B$8="All",'Compliance Database'!$G572=Query!$B$8),OR(Query!$B$9="All",'Compliance Database'!$K572=Query!$B$9),OR(Query!$B$10="",ISNUMBER(SEARCH(Query!$B$10,'Compliance Database'!$D572&amp;" "&amp;'Compliance Database'!$L572&amp;" "&amp;'Compliance Database'!$M572&amp;" "&amp;'Compliance Database'!$N572&amp;" "&amp;'Compliance Database'!$O572)))),1,0)</f>
        <v/>
      </c>
      <c r="B572">
        <f>IF($A572=1,SUM($A$2:$A572),"")</f>
        <v/>
      </c>
      <c r="C572">
        <f>IF($A572=1,SUM($A$2:$A572),0)</f>
        <v/>
      </c>
    </row>
    <row r="573">
      <c r="A573">
        <f>IF(AND(OR(Query!$B$4="All",'Compliance Database'!$A573=Query!$B$4),OR(Query!$B$5="All",'Compliance Database'!$F573=Query!$B$5),OR(Query!$B$6="All",ISNUMBER(SEARCH(Query!$B$6,'Compliance Database'!$I573))),OR(Query!$B$7="All",ISNUMBER(SEARCH(Query!$B$7,'Compliance Database'!$J573))),OR(Query!$B$8="All",'Compliance Database'!$G573=Query!$B$8),OR(Query!$B$9="All",'Compliance Database'!$K573=Query!$B$9),OR(Query!$B$10="",ISNUMBER(SEARCH(Query!$B$10,'Compliance Database'!$D573&amp;" "&amp;'Compliance Database'!$L573&amp;" "&amp;'Compliance Database'!$M573&amp;" "&amp;'Compliance Database'!$N573&amp;" "&amp;'Compliance Database'!$O573)))),1,0)</f>
        <v/>
      </c>
      <c r="B573">
        <f>IF($A573=1,SUM($A$2:$A573),"")</f>
        <v/>
      </c>
      <c r="C573">
        <f>IF($A573=1,SUM($A$2:$A573),0)</f>
        <v/>
      </c>
    </row>
    <row r="574">
      <c r="A574">
        <f>IF(AND(OR(Query!$B$4="All",'Compliance Database'!$A574=Query!$B$4),OR(Query!$B$5="All",'Compliance Database'!$F574=Query!$B$5),OR(Query!$B$6="All",ISNUMBER(SEARCH(Query!$B$6,'Compliance Database'!$I574))),OR(Query!$B$7="All",ISNUMBER(SEARCH(Query!$B$7,'Compliance Database'!$J574))),OR(Query!$B$8="All",'Compliance Database'!$G574=Query!$B$8),OR(Query!$B$9="All",'Compliance Database'!$K574=Query!$B$9),OR(Query!$B$10="",ISNUMBER(SEARCH(Query!$B$10,'Compliance Database'!$D574&amp;" "&amp;'Compliance Database'!$L574&amp;" "&amp;'Compliance Database'!$M574&amp;" "&amp;'Compliance Database'!$N574&amp;" "&amp;'Compliance Database'!$O574)))),1,0)</f>
        <v/>
      </c>
      <c r="B574">
        <f>IF($A574=1,SUM($A$2:$A574),"")</f>
        <v/>
      </c>
      <c r="C574">
        <f>IF($A574=1,SUM($A$2:$A574),0)</f>
        <v/>
      </c>
    </row>
    <row r="575">
      <c r="A575">
        <f>IF(AND(OR(Query!$B$4="All",'Compliance Database'!$A575=Query!$B$4),OR(Query!$B$5="All",'Compliance Database'!$F575=Query!$B$5),OR(Query!$B$6="All",ISNUMBER(SEARCH(Query!$B$6,'Compliance Database'!$I575))),OR(Query!$B$7="All",ISNUMBER(SEARCH(Query!$B$7,'Compliance Database'!$J575))),OR(Query!$B$8="All",'Compliance Database'!$G575=Query!$B$8),OR(Query!$B$9="All",'Compliance Database'!$K575=Query!$B$9),OR(Query!$B$10="",ISNUMBER(SEARCH(Query!$B$10,'Compliance Database'!$D575&amp;" "&amp;'Compliance Database'!$L575&amp;" "&amp;'Compliance Database'!$M575&amp;" "&amp;'Compliance Database'!$N575&amp;" "&amp;'Compliance Database'!$O575)))),1,0)</f>
        <v/>
      </c>
      <c r="B575">
        <f>IF($A575=1,SUM($A$2:$A575),"")</f>
        <v/>
      </c>
      <c r="C575">
        <f>IF($A575=1,SUM($A$2:$A575),0)</f>
        <v/>
      </c>
    </row>
    <row r="576">
      <c r="A576">
        <f>IF(AND(OR(Query!$B$4="All",'Compliance Database'!$A576=Query!$B$4),OR(Query!$B$5="All",'Compliance Database'!$F576=Query!$B$5),OR(Query!$B$6="All",ISNUMBER(SEARCH(Query!$B$6,'Compliance Database'!$I576))),OR(Query!$B$7="All",ISNUMBER(SEARCH(Query!$B$7,'Compliance Database'!$J576))),OR(Query!$B$8="All",'Compliance Database'!$G576=Query!$B$8),OR(Query!$B$9="All",'Compliance Database'!$K576=Query!$B$9),OR(Query!$B$10="",ISNUMBER(SEARCH(Query!$B$10,'Compliance Database'!$D576&amp;" "&amp;'Compliance Database'!$L576&amp;" "&amp;'Compliance Database'!$M576&amp;" "&amp;'Compliance Database'!$N576&amp;" "&amp;'Compliance Database'!$O576)))),1,0)</f>
        <v/>
      </c>
      <c r="B576">
        <f>IF($A576=1,SUM($A$2:$A576),"")</f>
        <v/>
      </c>
      <c r="C576">
        <f>IF($A576=1,SUM($A$2:$A576),0)</f>
        <v/>
      </c>
    </row>
    <row r="577">
      <c r="A577">
        <f>IF(AND(OR(Query!$B$4="All",'Compliance Database'!$A577=Query!$B$4),OR(Query!$B$5="All",'Compliance Database'!$F577=Query!$B$5),OR(Query!$B$6="All",ISNUMBER(SEARCH(Query!$B$6,'Compliance Database'!$I577))),OR(Query!$B$7="All",ISNUMBER(SEARCH(Query!$B$7,'Compliance Database'!$J577))),OR(Query!$B$8="All",'Compliance Database'!$G577=Query!$B$8),OR(Query!$B$9="All",'Compliance Database'!$K577=Query!$B$9),OR(Query!$B$10="",ISNUMBER(SEARCH(Query!$B$10,'Compliance Database'!$D577&amp;" "&amp;'Compliance Database'!$L577&amp;" "&amp;'Compliance Database'!$M577&amp;" "&amp;'Compliance Database'!$N577&amp;" "&amp;'Compliance Database'!$O577)))),1,0)</f>
        <v/>
      </c>
      <c r="B577">
        <f>IF($A577=1,SUM($A$2:$A577),"")</f>
        <v/>
      </c>
      <c r="C577">
        <f>IF($A577=1,SUM($A$2:$A577),0)</f>
        <v/>
      </c>
    </row>
    <row r="578">
      <c r="A578">
        <f>IF(AND(OR(Query!$B$4="All",'Compliance Database'!$A578=Query!$B$4),OR(Query!$B$5="All",'Compliance Database'!$F578=Query!$B$5),OR(Query!$B$6="All",ISNUMBER(SEARCH(Query!$B$6,'Compliance Database'!$I578))),OR(Query!$B$7="All",ISNUMBER(SEARCH(Query!$B$7,'Compliance Database'!$J578))),OR(Query!$B$8="All",'Compliance Database'!$G578=Query!$B$8),OR(Query!$B$9="All",'Compliance Database'!$K578=Query!$B$9),OR(Query!$B$10="",ISNUMBER(SEARCH(Query!$B$10,'Compliance Database'!$D578&amp;" "&amp;'Compliance Database'!$L578&amp;" "&amp;'Compliance Database'!$M578&amp;" "&amp;'Compliance Database'!$N578&amp;" "&amp;'Compliance Database'!$O578)))),1,0)</f>
        <v/>
      </c>
      <c r="B578">
        <f>IF($A578=1,SUM($A$2:$A578),"")</f>
        <v/>
      </c>
      <c r="C578">
        <f>IF($A578=1,SUM($A$2:$A578),0)</f>
        <v/>
      </c>
    </row>
    <row r="579">
      <c r="A579">
        <f>IF(AND(OR(Query!$B$4="All",'Compliance Database'!$A579=Query!$B$4),OR(Query!$B$5="All",'Compliance Database'!$F579=Query!$B$5),OR(Query!$B$6="All",ISNUMBER(SEARCH(Query!$B$6,'Compliance Database'!$I579))),OR(Query!$B$7="All",ISNUMBER(SEARCH(Query!$B$7,'Compliance Database'!$J579))),OR(Query!$B$8="All",'Compliance Database'!$G579=Query!$B$8),OR(Query!$B$9="All",'Compliance Database'!$K579=Query!$B$9),OR(Query!$B$10="",ISNUMBER(SEARCH(Query!$B$10,'Compliance Database'!$D579&amp;" "&amp;'Compliance Database'!$L579&amp;" "&amp;'Compliance Database'!$M579&amp;" "&amp;'Compliance Database'!$N579&amp;" "&amp;'Compliance Database'!$O579)))),1,0)</f>
        <v/>
      </c>
      <c r="B579">
        <f>IF($A579=1,SUM($A$2:$A579),"")</f>
        <v/>
      </c>
      <c r="C579">
        <f>IF($A579=1,SUM($A$2:$A579),0)</f>
        <v/>
      </c>
    </row>
    <row r="580">
      <c r="A580">
        <f>IF(AND(OR(Query!$B$4="All",'Compliance Database'!$A580=Query!$B$4),OR(Query!$B$5="All",'Compliance Database'!$F580=Query!$B$5),OR(Query!$B$6="All",ISNUMBER(SEARCH(Query!$B$6,'Compliance Database'!$I580))),OR(Query!$B$7="All",ISNUMBER(SEARCH(Query!$B$7,'Compliance Database'!$J580))),OR(Query!$B$8="All",'Compliance Database'!$G580=Query!$B$8),OR(Query!$B$9="All",'Compliance Database'!$K580=Query!$B$9),OR(Query!$B$10="",ISNUMBER(SEARCH(Query!$B$10,'Compliance Database'!$D580&amp;" "&amp;'Compliance Database'!$L580&amp;" "&amp;'Compliance Database'!$M580&amp;" "&amp;'Compliance Database'!$N580&amp;" "&amp;'Compliance Database'!$O580)))),1,0)</f>
        <v/>
      </c>
      <c r="B580">
        <f>IF($A580=1,SUM($A$2:$A580),"")</f>
        <v/>
      </c>
      <c r="C580">
        <f>IF($A580=1,SUM($A$2:$A580),0)</f>
        <v/>
      </c>
    </row>
    <row r="581">
      <c r="A581">
        <f>IF(AND(OR(Query!$B$4="All",'Compliance Database'!$A581=Query!$B$4),OR(Query!$B$5="All",'Compliance Database'!$F581=Query!$B$5),OR(Query!$B$6="All",ISNUMBER(SEARCH(Query!$B$6,'Compliance Database'!$I581))),OR(Query!$B$7="All",ISNUMBER(SEARCH(Query!$B$7,'Compliance Database'!$J581))),OR(Query!$B$8="All",'Compliance Database'!$G581=Query!$B$8),OR(Query!$B$9="All",'Compliance Database'!$K581=Query!$B$9),OR(Query!$B$10="",ISNUMBER(SEARCH(Query!$B$10,'Compliance Database'!$D581&amp;" "&amp;'Compliance Database'!$L581&amp;" "&amp;'Compliance Database'!$M581&amp;" "&amp;'Compliance Database'!$N581&amp;" "&amp;'Compliance Database'!$O581)))),1,0)</f>
        <v/>
      </c>
      <c r="B581">
        <f>IF($A581=1,SUM($A$2:$A581),"")</f>
        <v/>
      </c>
      <c r="C581">
        <f>IF($A581=1,SUM($A$2:$A581),0)</f>
        <v/>
      </c>
    </row>
    <row r="582">
      <c r="A582">
        <f>IF(AND(OR(Query!$B$4="All",'Compliance Database'!$A582=Query!$B$4),OR(Query!$B$5="All",'Compliance Database'!$F582=Query!$B$5),OR(Query!$B$6="All",ISNUMBER(SEARCH(Query!$B$6,'Compliance Database'!$I582))),OR(Query!$B$7="All",ISNUMBER(SEARCH(Query!$B$7,'Compliance Database'!$J582))),OR(Query!$B$8="All",'Compliance Database'!$G582=Query!$B$8),OR(Query!$B$9="All",'Compliance Database'!$K582=Query!$B$9),OR(Query!$B$10="",ISNUMBER(SEARCH(Query!$B$10,'Compliance Database'!$D582&amp;" "&amp;'Compliance Database'!$L582&amp;" "&amp;'Compliance Database'!$M582&amp;" "&amp;'Compliance Database'!$N582&amp;" "&amp;'Compliance Database'!$O582)))),1,0)</f>
        <v/>
      </c>
      <c r="B582">
        <f>IF($A582=1,SUM($A$2:$A582),"")</f>
        <v/>
      </c>
      <c r="C582">
        <f>IF($A582=1,SUM($A$2:$A582),0)</f>
        <v/>
      </c>
    </row>
    <row r="583">
      <c r="A583">
        <f>IF(AND(OR(Query!$B$4="All",'Compliance Database'!$A583=Query!$B$4),OR(Query!$B$5="All",'Compliance Database'!$F583=Query!$B$5),OR(Query!$B$6="All",ISNUMBER(SEARCH(Query!$B$6,'Compliance Database'!$I583))),OR(Query!$B$7="All",ISNUMBER(SEARCH(Query!$B$7,'Compliance Database'!$J583))),OR(Query!$B$8="All",'Compliance Database'!$G583=Query!$B$8),OR(Query!$B$9="All",'Compliance Database'!$K583=Query!$B$9),OR(Query!$B$10="",ISNUMBER(SEARCH(Query!$B$10,'Compliance Database'!$D583&amp;" "&amp;'Compliance Database'!$L583&amp;" "&amp;'Compliance Database'!$M583&amp;" "&amp;'Compliance Database'!$N583&amp;" "&amp;'Compliance Database'!$O583)))),1,0)</f>
        <v/>
      </c>
      <c r="B583">
        <f>IF($A583=1,SUM($A$2:$A583),"")</f>
        <v/>
      </c>
      <c r="C583">
        <f>IF($A583=1,SUM($A$2:$A583),0)</f>
        <v/>
      </c>
    </row>
    <row r="584">
      <c r="A584">
        <f>IF(AND(OR(Query!$B$4="All",'Compliance Database'!$A584=Query!$B$4),OR(Query!$B$5="All",'Compliance Database'!$F584=Query!$B$5),OR(Query!$B$6="All",ISNUMBER(SEARCH(Query!$B$6,'Compliance Database'!$I584))),OR(Query!$B$7="All",ISNUMBER(SEARCH(Query!$B$7,'Compliance Database'!$J584))),OR(Query!$B$8="All",'Compliance Database'!$G584=Query!$B$8),OR(Query!$B$9="All",'Compliance Database'!$K584=Query!$B$9),OR(Query!$B$10="",ISNUMBER(SEARCH(Query!$B$10,'Compliance Database'!$D584&amp;" "&amp;'Compliance Database'!$L584&amp;" "&amp;'Compliance Database'!$M584&amp;" "&amp;'Compliance Database'!$N584&amp;" "&amp;'Compliance Database'!$O584)))),1,0)</f>
        <v/>
      </c>
      <c r="B584">
        <f>IF($A584=1,SUM($A$2:$A584),"")</f>
        <v/>
      </c>
      <c r="C584">
        <f>IF($A584=1,SUM($A$2:$A584),0)</f>
        <v/>
      </c>
    </row>
    <row r="585">
      <c r="A585">
        <f>IF(AND(OR(Query!$B$4="All",'Compliance Database'!$A585=Query!$B$4),OR(Query!$B$5="All",'Compliance Database'!$F585=Query!$B$5),OR(Query!$B$6="All",ISNUMBER(SEARCH(Query!$B$6,'Compliance Database'!$I585))),OR(Query!$B$7="All",ISNUMBER(SEARCH(Query!$B$7,'Compliance Database'!$J585))),OR(Query!$B$8="All",'Compliance Database'!$G585=Query!$B$8),OR(Query!$B$9="All",'Compliance Database'!$K585=Query!$B$9),OR(Query!$B$10="",ISNUMBER(SEARCH(Query!$B$10,'Compliance Database'!$D585&amp;" "&amp;'Compliance Database'!$L585&amp;" "&amp;'Compliance Database'!$M585&amp;" "&amp;'Compliance Database'!$N585&amp;" "&amp;'Compliance Database'!$O585)))),1,0)</f>
        <v/>
      </c>
      <c r="B585">
        <f>IF($A585=1,SUM($A$2:$A585),"")</f>
        <v/>
      </c>
      <c r="C585">
        <f>IF($A585=1,SUM($A$2:$A585),0)</f>
        <v/>
      </c>
    </row>
    <row r="586">
      <c r="A586">
        <f>IF(AND(OR(Query!$B$4="All",'Compliance Database'!$A586=Query!$B$4),OR(Query!$B$5="All",'Compliance Database'!$F586=Query!$B$5),OR(Query!$B$6="All",ISNUMBER(SEARCH(Query!$B$6,'Compliance Database'!$I586))),OR(Query!$B$7="All",ISNUMBER(SEARCH(Query!$B$7,'Compliance Database'!$J586))),OR(Query!$B$8="All",'Compliance Database'!$G586=Query!$B$8),OR(Query!$B$9="All",'Compliance Database'!$K586=Query!$B$9),OR(Query!$B$10="",ISNUMBER(SEARCH(Query!$B$10,'Compliance Database'!$D586&amp;" "&amp;'Compliance Database'!$L586&amp;" "&amp;'Compliance Database'!$M586&amp;" "&amp;'Compliance Database'!$N586&amp;" "&amp;'Compliance Database'!$O586)))),1,0)</f>
        <v/>
      </c>
      <c r="B586">
        <f>IF($A586=1,SUM($A$2:$A586),"")</f>
        <v/>
      </c>
      <c r="C586">
        <f>IF($A586=1,SUM($A$2:$A586),0)</f>
        <v/>
      </c>
    </row>
    <row r="587">
      <c r="A587">
        <f>IF(AND(OR(Query!$B$4="All",'Compliance Database'!$A587=Query!$B$4),OR(Query!$B$5="All",'Compliance Database'!$F587=Query!$B$5),OR(Query!$B$6="All",ISNUMBER(SEARCH(Query!$B$6,'Compliance Database'!$I587))),OR(Query!$B$7="All",ISNUMBER(SEARCH(Query!$B$7,'Compliance Database'!$J587))),OR(Query!$B$8="All",'Compliance Database'!$G587=Query!$B$8),OR(Query!$B$9="All",'Compliance Database'!$K587=Query!$B$9),OR(Query!$B$10="",ISNUMBER(SEARCH(Query!$B$10,'Compliance Database'!$D587&amp;" "&amp;'Compliance Database'!$L587&amp;" "&amp;'Compliance Database'!$M587&amp;" "&amp;'Compliance Database'!$N587&amp;" "&amp;'Compliance Database'!$O587)))),1,0)</f>
        <v/>
      </c>
      <c r="B587">
        <f>IF($A587=1,SUM($A$2:$A587),"")</f>
        <v/>
      </c>
      <c r="C587">
        <f>IF($A587=1,SUM($A$2:$A587),0)</f>
        <v/>
      </c>
    </row>
    <row r="588">
      <c r="A588">
        <f>IF(AND(OR(Query!$B$4="All",'Compliance Database'!$A588=Query!$B$4),OR(Query!$B$5="All",'Compliance Database'!$F588=Query!$B$5),OR(Query!$B$6="All",ISNUMBER(SEARCH(Query!$B$6,'Compliance Database'!$I588))),OR(Query!$B$7="All",ISNUMBER(SEARCH(Query!$B$7,'Compliance Database'!$J588))),OR(Query!$B$8="All",'Compliance Database'!$G588=Query!$B$8),OR(Query!$B$9="All",'Compliance Database'!$K588=Query!$B$9),OR(Query!$B$10="",ISNUMBER(SEARCH(Query!$B$10,'Compliance Database'!$D588&amp;" "&amp;'Compliance Database'!$L588&amp;" "&amp;'Compliance Database'!$M588&amp;" "&amp;'Compliance Database'!$N588&amp;" "&amp;'Compliance Database'!$O588)))),1,0)</f>
        <v/>
      </c>
      <c r="B588">
        <f>IF($A588=1,SUM($A$2:$A588),"")</f>
        <v/>
      </c>
      <c r="C588">
        <f>IF($A588=1,SUM($A$2:$A588),0)</f>
        <v/>
      </c>
    </row>
    <row r="589">
      <c r="A589">
        <f>IF(AND(OR(Query!$B$4="All",'Compliance Database'!$A589=Query!$B$4),OR(Query!$B$5="All",'Compliance Database'!$F589=Query!$B$5),OR(Query!$B$6="All",ISNUMBER(SEARCH(Query!$B$6,'Compliance Database'!$I589))),OR(Query!$B$7="All",ISNUMBER(SEARCH(Query!$B$7,'Compliance Database'!$J589))),OR(Query!$B$8="All",'Compliance Database'!$G589=Query!$B$8),OR(Query!$B$9="All",'Compliance Database'!$K589=Query!$B$9),OR(Query!$B$10="",ISNUMBER(SEARCH(Query!$B$10,'Compliance Database'!$D589&amp;" "&amp;'Compliance Database'!$L589&amp;" "&amp;'Compliance Database'!$M589&amp;" "&amp;'Compliance Database'!$N589&amp;" "&amp;'Compliance Database'!$O589)))),1,0)</f>
        <v/>
      </c>
      <c r="B589">
        <f>IF($A589=1,SUM($A$2:$A589),"")</f>
        <v/>
      </c>
      <c r="C589">
        <f>IF($A589=1,SUM($A$2:$A589),0)</f>
        <v/>
      </c>
    </row>
    <row r="590">
      <c r="A590">
        <f>IF(AND(OR(Query!$B$4="All",'Compliance Database'!$A590=Query!$B$4),OR(Query!$B$5="All",'Compliance Database'!$F590=Query!$B$5),OR(Query!$B$6="All",ISNUMBER(SEARCH(Query!$B$6,'Compliance Database'!$I590))),OR(Query!$B$7="All",ISNUMBER(SEARCH(Query!$B$7,'Compliance Database'!$J590))),OR(Query!$B$8="All",'Compliance Database'!$G590=Query!$B$8),OR(Query!$B$9="All",'Compliance Database'!$K590=Query!$B$9),OR(Query!$B$10="",ISNUMBER(SEARCH(Query!$B$10,'Compliance Database'!$D590&amp;" "&amp;'Compliance Database'!$L590&amp;" "&amp;'Compliance Database'!$M590&amp;" "&amp;'Compliance Database'!$N590&amp;" "&amp;'Compliance Database'!$O590)))),1,0)</f>
        <v/>
      </c>
      <c r="B590">
        <f>IF($A590=1,SUM($A$2:$A590),"")</f>
        <v/>
      </c>
      <c r="C590">
        <f>IF($A590=1,SUM($A$2:$A590),0)</f>
        <v/>
      </c>
    </row>
    <row r="591">
      <c r="A591">
        <f>IF(AND(OR(Query!$B$4="All",'Compliance Database'!$A591=Query!$B$4),OR(Query!$B$5="All",'Compliance Database'!$F591=Query!$B$5),OR(Query!$B$6="All",ISNUMBER(SEARCH(Query!$B$6,'Compliance Database'!$I591))),OR(Query!$B$7="All",ISNUMBER(SEARCH(Query!$B$7,'Compliance Database'!$J591))),OR(Query!$B$8="All",'Compliance Database'!$G591=Query!$B$8),OR(Query!$B$9="All",'Compliance Database'!$K591=Query!$B$9),OR(Query!$B$10="",ISNUMBER(SEARCH(Query!$B$10,'Compliance Database'!$D591&amp;" "&amp;'Compliance Database'!$L591&amp;" "&amp;'Compliance Database'!$M591&amp;" "&amp;'Compliance Database'!$N591&amp;" "&amp;'Compliance Database'!$O591)))),1,0)</f>
        <v/>
      </c>
      <c r="B591">
        <f>IF($A591=1,SUM($A$2:$A591),"")</f>
        <v/>
      </c>
      <c r="C591">
        <f>IF($A591=1,SUM($A$2:$A591),0)</f>
        <v/>
      </c>
    </row>
    <row r="592">
      <c r="A592">
        <f>IF(AND(OR(Query!$B$4="All",'Compliance Database'!$A592=Query!$B$4),OR(Query!$B$5="All",'Compliance Database'!$F592=Query!$B$5),OR(Query!$B$6="All",ISNUMBER(SEARCH(Query!$B$6,'Compliance Database'!$I592))),OR(Query!$B$7="All",ISNUMBER(SEARCH(Query!$B$7,'Compliance Database'!$J592))),OR(Query!$B$8="All",'Compliance Database'!$G592=Query!$B$8),OR(Query!$B$9="All",'Compliance Database'!$K592=Query!$B$9),OR(Query!$B$10="",ISNUMBER(SEARCH(Query!$B$10,'Compliance Database'!$D592&amp;" "&amp;'Compliance Database'!$L592&amp;" "&amp;'Compliance Database'!$M592&amp;" "&amp;'Compliance Database'!$N592&amp;" "&amp;'Compliance Database'!$O592)))),1,0)</f>
        <v/>
      </c>
      <c r="B592">
        <f>IF($A592=1,SUM($A$2:$A592),"")</f>
        <v/>
      </c>
      <c r="C592">
        <f>IF($A592=1,SUM($A$2:$A592),0)</f>
        <v/>
      </c>
    </row>
    <row r="593">
      <c r="A593">
        <f>IF(AND(OR(Query!$B$4="All",'Compliance Database'!$A593=Query!$B$4),OR(Query!$B$5="All",'Compliance Database'!$F593=Query!$B$5),OR(Query!$B$6="All",ISNUMBER(SEARCH(Query!$B$6,'Compliance Database'!$I593))),OR(Query!$B$7="All",ISNUMBER(SEARCH(Query!$B$7,'Compliance Database'!$J593))),OR(Query!$B$8="All",'Compliance Database'!$G593=Query!$B$8),OR(Query!$B$9="All",'Compliance Database'!$K593=Query!$B$9),OR(Query!$B$10="",ISNUMBER(SEARCH(Query!$B$10,'Compliance Database'!$D593&amp;" "&amp;'Compliance Database'!$L593&amp;" "&amp;'Compliance Database'!$M593&amp;" "&amp;'Compliance Database'!$N593&amp;" "&amp;'Compliance Database'!$O593)))),1,0)</f>
        <v/>
      </c>
      <c r="B593">
        <f>IF($A593=1,SUM($A$2:$A593),"")</f>
        <v/>
      </c>
      <c r="C593">
        <f>IF($A593=1,SUM($A$2:$A593),0)</f>
        <v/>
      </c>
    </row>
    <row r="594">
      <c r="A594">
        <f>IF(AND(OR(Query!$B$4="All",'Compliance Database'!$A594=Query!$B$4),OR(Query!$B$5="All",'Compliance Database'!$F594=Query!$B$5),OR(Query!$B$6="All",ISNUMBER(SEARCH(Query!$B$6,'Compliance Database'!$I594))),OR(Query!$B$7="All",ISNUMBER(SEARCH(Query!$B$7,'Compliance Database'!$J594))),OR(Query!$B$8="All",'Compliance Database'!$G594=Query!$B$8),OR(Query!$B$9="All",'Compliance Database'!$K594=Query!$B$9),OR(Query!$B$10="",ISNUMBER(SEARCH(Query!$B$10,'Compliance Database'!$D594&amp;" "&amp;'Compliance Database'!$L594&amp;" "&amp;'Compliance Database'!$M594&amp;" "&amp;'Compliance Database'!$N594&amp;" "&amp;'Compliance Database'!$O594)))),1,0)</f>
        <v/>
      </c>
      <c r="B594">
        <f>IF($A594=1,SUM($A$2:$A594),"")</f>
        <v/>
      </c>
      <c r="C594">
        <f>IF($A594=1,SUM($A$2:$A594),0)</f>
        <v/>
      </c>
    </row>
    <row r="595">
      <c r="A595">
        <f>IF(AND(OR(Query!$B$4="All",'Compliance Database'!$A595=Query!$B$4),OR(Query!$B$5="All",'Compliance Database'!$F595=Query!$B$5),OR(Query!$B$6="All",ISNUMBER(SEARCH(Query!$B$6,'Compliance Database'!$I595))),OR(Query!$B$7="All",ISNUMBER(SEARCH(Query!$B$7,'Compliance Database'!$J595))),OR(Query!$B$8="All",'Compliance Database'!$G595=Query!$B$8),OR(Query!$B$9="All",'Compliance Database'!$K595=Query!$B$9),OR(Query!$B$10="",ISNUMBER(SEARCH(Query!$B$10,'Compliance Database'!$D595&amp;" "&amp;'Compliance Database'!$L595&amp;" "&amp;'Compliance Database'!$M595&amp;" "&amp;'Compliance Database'!$N595&amp;" "&amp;'Compliance Database'!$O595)))),1,0)</f>
        <v/>
      </c>
      <c r="B595">
        <f>IF($A595=1,SUM($A$2:$A595),"")</f>
        <v/>
      </c>
      <c r="C595">
        <f>IF($A595=1,SUM($A$2:$A595),0)</f>
        <v/>
      </c>
    </row>
    <row r="596">
      <c r="A596">
        <f>IF(AND(OR(Query!$B$4="All",'Compliance Database'!$A596=Query!$B$4),OR(Query!$B$5="All",'Compliance Database'!$F596=Query!$B$5),OR(Query!$B$6="All",ISNUMBER(SEARCH(Query!$B$6,'Compliance Database'!$I596))),OR(Query!$B$7="All",ISNUMBER(SEARCH(Query!$B$7,'Compliance Database'!$J596))),OR(Query!$B$8="All",'Compliance Database'!$G596=Query!$B$8),OR(Query!$B$9="All",'Compliance Database'!$K596=Query!$B$9),OR(Query!$B$10="",ISNUMBER(SEARCH(Query!$B$10,'Compliance Database'!$D596&amp;" "&amp;'Compliance Database'!$L596&amp;" "&amp;'Compliance Database'!$M596&amp;" "&amp;'Compliance Database'!$N596&amp;" "&amp;'Compliance Database'!$O596)))),1,0)</f>
        <v/>
      </c>
      <c r="B596">
        <f>IF($A596=1,SUM($A$2:$A596),"")</f>
        <v/>
      </c>
      <c r="C596">
        <f>IF($A596=1,SUM($A$2:$A596),0)</f>
        <v/>
      </c>
    </row>
    <row r="597">
      <c r="A597">
        <f>IF(AND(OR(Query!$B$4="All",'Compliance Database'!$A597=Query!$B$4),OR(Query!$B$5="All",'Compliance Database'!$F597=Query!$B$5),OR(Query!$B$6="All",ISNUMBER(SEARCH(Query!$B$6,'Compliance Database'!$I597))),OR(Query!$B$7="All",ISNUMBER(SEARCH(Query!$B$7,'Compliance Database'!$J597))),OR(Query!$B$8="All",'Compliance Database'!$G597=Query!$B$8),OR(Query!$B$9="All",'Compliance Database'!$K597=Query!$B$9),OR(Query!$B$10="",ISNUMBER(SEARCH(Query!$B$10,'Compliance Database'!$D597&amp;" "&amp;'Compliance Database'!$L597&amp;" "&amp;'Compliance Database'!$M597&amp;" "&amp;'Compliance Database'!$N597&amp;" "&amp;'Compliance Database'!$O597)))),1,0)</f>
        <v/>
      </c>
      <c r="B597">
        <f>IF($A597=1,SUM($A$2:$A597),"")</f>
        <v/>
      </c>
      <c r="C597">
        <f>IF($A597=1,SUM($A$2:$A597),0)</f>
        <v/>
      </c>
    </row>
    <row r="598">
      <c r="A598">
        <f>IF(AND(OR(Query!$B$4="All",'Compliance Database'!$A598=Query!$B$4),OR(Query!$B$5="All",'Compliance Database'!$F598=Query!$B$5),OR(Query!$B$6="All",ISNUMBER(SEARCH(Query!$B$6,'Compliance Database'!$I598))),OR(Query!$B$7="All",ISNUMBER(SEARCH(Query!$B$7,'Compliance Database'!$J598))),OR(Query!$B$8="All",'Compliance Database'!$G598=Query!$B$8),OR(Query!$B$9="All",'Compliance Database'!$K598=Query!$B$9),OR(Query!$B$10="",ISNUMBER(SEARCH(Query!$B$10,'Compliance Database'!$D598&amp;" "&amp;'Compliance Database'!$L598&amp;" "&amp;'Compliance Database'!$M598&amp;" "&amp;'Compliance Database'!$N598&amp;" "&amp;'Compliance Database'!$O598)))),1,0)</f>
        <v/>
      </c>
      <c r="B598">
        <f>IF($A598=1,SUM($A$2:$A598),"")</f>
        <v/>
      </c>
      <c r="C598">
        <f>IF($A598=1,SUM($A$2:$A598),0)</f>
        <v/>
      </c>
    </row>
    <row r="599">
      <c r="A599">
        <f>IF(AND(OR(Query!$B$4="All",'Compliance Database'!$A599=Query!$B$4),OR(Query!$B$5="All",'Compliance Database'!$F599=Query!$B$5),OR(Query!$B$6="All",ISNUMBER(SEARCH(Query!$B$6,'Compliance Database'!$I599))),OR(Query!$B$7="All",ISNUMBER(SEARCH(Query!$B$7,'Compliance Database'!$J599))),OR(Query!$B$8="All",'Compliance Database'!$G599=Query!$B$8),OR(Query!$B$9="All",'Compliance Database'!$K599=Query!$B$9),OR(Query!$B$10="",ISNUMBER(SEARCH(Query!$B$10,'Compliance Database'!$D599&amp;" "&amp;'Compliance Database'!$L599&amp;" "&amp;'Compliance Database'!$M599&amp;" "&amp;'Compliance Database'!$N599&amp;" "&amp;'Compliance Database'!$O599)))),1,0)</f>
        <v/>
      </c>
      <c r="B599">
        <f>IF($A599=1,SUM($A$2:$A599),"")</f>
        <v/>
      </c>
      <c r="C599">
        <f>IF($A599=1,SUM($A$2:$A599),0)</f>
        <v/>
      </c>
    </row>
    <row r="600">
      <c r="A600">
        <f>IF(AND(OR(Query!$B$4="All",'Compliance Database'!$A600=Query!$B$4),OR(Query!$B$5="All",'Compliance Database'!$F600=Query!$B$5),OR(Query!$B$6="All",ISNUMBER(SEARCH(Query!$B$6,'Compliance Database'!$I600))),OR(Query!$B$7="All",ISNUMBER(SEARCH(Query!$B$7,'Compliance Database'!$J600))),OR(Query!$B$8="All",'Compliance Database'!$G600=Query!$B$8),OR(Query!$B$9="All",'Compliance Database'!$K600=Query!$B$9),OR(Query!$B$10="",ISNUMBER(SEARCH(Query!$B$10,'Compliance Database'!$D600&amp;" "&amp;'Compliance Database'!$L600&amp;" "&amp;'Compliance Database'!$M600&amp;" "&amp;'Compliance Database'!$N600&amp;" "&amp;'Compliance Database'!$O600)))),1,0)</f>
        <v/>
      </c>
      <c r="B600">
        <f>IF($A600=1,SUM($A$2:$A600),"")</f>
        <v/>
      </c>
      <c r="C600">
        <f>IF($A600=1,SUM($A$2:$A600),0)</f>
        <v/>
      </c>
    </row>
    <row r="601">
      <c r="A601">
        <f>IF(AND(OR(Query!$B$4="All",'Compliance Database'!$A601=Query!$B$4),OR(Query!$B$5="All",'Compliance Database'!$F601=Query!$B$5),OR(Query!$B$6="All",ISNUMBER(SEARCH(Query!$B$6,'Compliance Database'!$I601))),OR(Query!$B$7="All",ISNUMBER(SEARCH(Query!$B$7,'Compliance Database'!$J601))),OR(Query!$B$8="All",'Compliance Database'!$G601=Query!$B$8),OR(Query!$B$9="All",'Compliance Database'!$K601=Query!$B$9),OR(Query!$B$10="",ISNUMBER(SEARCH(Query!$B$10,'Compliance Database'!$D601&amp;" "&amp;'Compliance Database'!$L601&amp;" "&amp;'Compliance Database'!$M601&amp;" "&amp;'Compliance Database'!$N601&amp;" "&amp;'Compliance Database'!$O601)))),1,0)</f>
        <v/>
      </c>
      <c r="B601">
        <f>IF($A601=1,SUM($A$2:$A601),"")</f>
        <v/>
      </c>
      <c r="C601">
        <f>IF($A601=1,SUM($A$2:$A601),0)</f>
        <v/>
      </c>
    </row>
    <row r="602">
      <c r="A602">
        <f>IF(AND(OR(Query!$B$4="All",'Compliance Database'!$A602=Query!$B$4),OR(Query!$B$5="All",'Compliance Database'!$F602=Query!$B$5),OR(Query!$B$6="All",ISNUMBER(SEARCH(Query!$B$6,'Compliance Database'!$I602))),OR(Query!$B$7="All",ISNUMBER(SEARCH(Query!$B$7,'Compliance Database'!$J602))),OR(Query!$B$8="All",'Compliance Database'!$G602=Query!$B$8),OR(Query!$B$9="All",'Compliance Database'!$K602=Query!$B$9),OR(Query!$B$10="",ISNUMBER(SEARCH(Query!$B$10,'Compliance Database'!$D602&amp;" "&amp;'Compliance Database'!$L602&amp;" "&amp;'Compliance Database'!$M602&amp;" "&amp;'Compliance Database'!$N602&amp;" "&amp;'Compliance Database'!$O602)))),1,0)</f>
        <v/>
      </c>
      <c r="B602">
        <f>IF($A602=1,SUM($A$2:$A602),"")</f>
        <v/>
      </c>
      <c r="C602">
        <f>IF($A602=1,SUM($A$2:$A602),0)</f>
        <v/>
      </c>
    </row>
    <row r="603">
      <c r="A603">
        <f>IF(AND(OR(Query!$B$4="All",'Compliance Database'!$A603=Query!$B$4),OR(Query!$B$5="All",'Compliance Database'!$F603=Query!$B$5),OR(Query!$B$6="All",ISNUMBER(SEARCH(Query!$B$6,'Compliance Database'!$I603))),OR(Query!$B$7="All",ISNUMBER(SEARCH(Query!$B$7,'Compliance Database'!$J603))),OR(Query!$B$8="All",'Compliance Database'!$G603=Query!$B$8),OR(Query!$B$9="All",'Compliance Database'!$K603=Query!$B$9),OR(Query!$B$10="",ISNUMBER(SEARCH(Query!$B$10,'Compliance Database'!$D603&amp;" "&amp;'Compliance Database'!$L603&amp;" "&amp;'Compliance Database'!$M603&amp;" "&amp;'Compliance Database'!$N603&amp;" "&amp;'Compliance Database'!$O603)))),1,0)</f>
        <v/>
      </c>
      <c r="B603">
        <f>IF($A603=1,SUM($A$2:$A603),"")</f>
        <v/>
      </c>
      <c r="C603">
        <f>IF($A603=1,SUM($A$2:$A603),0)</f>
        <v/>
      </c>
    </row>
    <row r="604">
      <c r="A604">
        <f>IF(AND(OR(Query!$B$4="All",'Compliance Database'!$A604=Query!$B$4),OR(Query!$B$5="All",'Compliance Database'!$F604=Query!$B$5),OR(Query!$B$6="All",ISNUMBER(SEARCH(Query!$B$6,'Compliance Database'!$I604))),OR(Query!$B$7="All",ISNUMBER(SEARCH(Query!$B$7,'Compliance Database'!$J604))),OR(Query!$B$8="All",'Compliance Database'!$G604=Query!$B$8),OR(Query!$B$9="All",'Compliance Database'!$K604=Query!$B$9),OR(Query!$B$10="",ISNUMBER(SEARCH(Query!$B$10,'Compliance Database'!$D604&amp;" "&amp;'Compliance Database'!$L604&amp;" "&amp;'Compliance Database'!$M604&amp;" "&amp;'Compliance Database'!$N604&amp;" "&amp;'Compliance Database'!$O604)))),1,0)</f>
        <v/>
      </c>
      <c r="B604">
        <f>IF($A604=1,SUM($A$2:$A604),"")</f>
        <v/>
      </c>
      <c r="C604">
        <f>IF($A604=1,SUM($A$2:$A604),0)</f>
        <v/>
      </c>
    </row>
    <row r="605">
      <c r="A605">
        <f>IF(AND(OR(Query!$B$4="All",'Compliance Database'!$A605=Query!$B$4),OR(Query!$B$5="All",'Compliance Database'!$F605=Query!$B$5),OR(Query!$B$6="All",ISNUMBER(SEARCH(Query!$B$6,'Compliance Database'!$I605))),OR(Query!$B$7="All",ISNUMBER(SEARCH(Query!$B$7,'Compliance Database'!$J605))),OR(Query!$B$8="All",'Compliance Database'!$G605=Query!$B$8),OR(Query!$B$9="All",'Compliance Database'!$K605=Query!$B$9),OR(Query!$B$10="",ISNUMBER(SEARCH(Query!$B$10,'Compliance Database'!$D605&amp;" "&amp;'Compliance Database'!$L605&amp;" "&amp;'Compliance Database'!$M605&amp;" "&amp;'Compliance Database'!$N605&amp;" "&amp;'Compliance Database'!$O605)))),1,0)</f>
        <v/>
      </c>
      <c r="B605">
        <f>IF($A605=1,SUM($A$2:$A605),"")</f>
        <v/>
      </c>
      <c r="C605">
        <f>IF($A605=1,SUM($A$2:$A605),0)</f>
        <v/>
      </c>
    </row>
    <row r="606">
      <c r="A606">
        <f>IF(AND(OR(Query!$B$4="All",'Compliance Database'!$A606=Query!$B$4),OR(Query!$B$5="All",'Compliance Database'!$F606=Query!$B$5),OR(Query!$B$6="All",ISNUMBER(SEARCH(Query!$B$6,'Compliance Database'!$I606))),OR(Query!$B$7="All",ISNUMBER(SEARCH(Query!$B$7,'Compliance Database'!$J606))),OR(Query!$B$8="All",'Compliance Database'!$G606=Query!$B$8),OR(Query!$B$9="All",'Compliance Database'!$K606=Query!$B$9),OR(Query!$B$10="",ISNUMBER(SEARCH(Query!$B$10,'Compliance Database'!$D606&amp;" "&amp;'Compliance Database'!$L606&amp;" "&amp;'Compliance Database'!$M606&amp;" "&amp;'Compliance Database'!$N606&amp;" "&amp;'Compliance Database'!$O606)))),1,0)</f>
        <v/>
      </c>
      <c r="B606">
        <f>IF($A606=1,SUM($A$2:$A606),"")</f>
        <v/>
      </c>
      <c r="C606">
        <f>IF($A606=1,SUM($A$2:$A606),0)</f>
        <v/>
      </c>
    </row>
    <row r="607">
      <c r="A607">
        <f>IF(AND(OR(Query!$B$4="All",'Compliance Database'!$A607=Query!$B$4),OR(Query!$B$5="All",'Compliance Database'!$F607=Query!$B$5),OR(Query!$B$6="All",ISNUMBER(SEARCH(Query!$B$6,'Compliance Database'!$I607))),OR(Query!$B$7="All",ISNUMBER(SEARCH(Query!$B$7,'Compliance Database'!$J607))),OR(Query!$B$8="All",'Compliance Database'!$G607=Query!$B$8),OR(Query!$B$9="All",'Compliance Database'!$K607=Query!$B$9),OR(Query!$B$10="",ISNUMBER(SEARCH(Query!$B$10,'Compliance Database'!$D607&amp;" "&amp;'Compliance Database'!$L607&amp;" "&amp;'Compliance Database'!$M607&amp;" "&amp;'Compliance Database'!$N607&amp;" "&amp;'Compliance Database'!$O607)))),1,0)</f>
        <v/>
      </c>
      <c r="B607">
        <f>IF($A607=1,SUM($A$2:$A607),"")</f>
        <v/>
      </c>
      <c r="C607">
        <f>IF($A607=1,SUM($A$2:$A607),0)</f>
        <v/>
      </c>
    </row>
    <row r="608">
      <c r="A608">
        <f>IF(AND(OR(Query!$B$4="All",'Compliance Database'!$A608=Query!$B$4),OR(Query!$B$5="All",'Compliance Database'!$F608=Query!$B$5),OR(Query!$B$6="All",ISNUMBER(SEARCH(Query!$B$6,'Compliance Database'!$I608))),OR(Query!$B$7="All",ISNUMBER(SEARCH(Query!$B$7,'Compliance Database'!$J608))),OR(Query!$B$8="All",'Compliance Database'!$G608=Query!$B$8),OR(Query!$B$9="All",'Compliance Database'!$K608=Query!$B$9),OR(Query!$B$10="",ISNUMBER(SEARCH(Query!$B$10,'Compliance Database'!$D608&amp;" "&amp;'Compliance Database'!$L608&amp;" "&amp;'Compliance Database'!$M608&amp;" "&amp;'Compliance Database'!$N608&amp;" "&amp;'Compliance Database'!$O608)))),1,0)</f>
        <v/>
      </c>
      <c r="B608">
        <f>IF($A608=1,SUM($A$2:$A608),"")</f>
        <v/>
      </c>
      <c r="C608">
        <f>IF($A608=1,SUM($A$2:$A608),0)</f>
        <v/>
      </c>
    </row>
    <row r="609">
      <c r="A609">
        <f>IF(AND(OR(Query!$B$4="All",'Compliance Database'!$A609=Query!$B$4),OR(Query!$B$5="All",'Compliance Database'!$F609=Query!$B$5),OR(Query!$B$6="All",ISNUMBER(SEARCH(Query!$B$6,'Compliance Database'!$I609))),OR(Query!$B$7="All",ISNUMBER(SEARCH(Query!$B$7,'Compliance Database'!$J609))),OR(Query!$B$8="All",'Compliance Database'!$G609=Query!$B$8),OR(Query!$B$9="All",'Compliance Database'!$K609=Query!$B$9),OR(Query!$B$10="",ISNUMBER(SEARCH(Query!$B$10,'Compliance Database'!$D609&amp;" "&amp;'Compliance Database'!$L609&amp;" "&amp;'Compliance Database'!$M609&amp;" "&amp;'Compliance Database'!$N609&amp;" "&amp;'Compliance Database'!$O609)))),1,0)</f>
        <v/>
      </c>
      <c r="B609">
        <f>IF($A609=1,SUM($A$2:$A609),"")</f>
        <v/>
      </c>
      <c r="C609">
        <f>IF($A609=1,SUM($A$2:$A609),0)</f>
        <v/>
      </c>
    </row>
    <row r="610">
      <c r="A610">
        <f>IF(AND(OR(Query!$B$4="All",'Compliance Database'!$A610=Query!$B$4),OR(Query!$B$5="All",'Compliance Database'!$F610=Query!$B$5),OR(Query!$B$6="All",ISNUMBER(SEARCH(Query!$B$6,'Compliance Database'!$I610))),OR(Query!$B$7="All",ISNUMBER(SEARCH(Query!$B$7,'Compliance Database'!$J610))),OR(Query!$B$8="All",'Compliance Database'!$G610=Query!$B$8),OR(Query!$B$9="All",'Compliance Database'!$K610=Query!$B$9),OR(Query!$B$10="",ISNUMBER(SEARCH(Query!$B$10,'Compliance Database'!$D610&amp;" "&amp;'Compliance Database'!$L610&amp;" "&amp;'Compliance Database'!$M610&amp;" "&amp;'Compliance Database'!$N610&amp;" "&amp;'Compliance Database'!$O610)))),1,0)</f>
        <v/>
      </c>
      <c r="B610">
        <f>IF($A610=1,SUM($A$2:$A610),"")</f>
        <v/>
      </c>
      <c r="C610">
        <f>IF($A610=1,SUM($A$2:$A610),0)</f>
        <v/>
      </c>
    </row>
    <row r="611">
      <c r="A611">
        <f>IF(AND(OR(Query!$B$4="All",'Compliance Database'!$A611=Query!$B$4),OR(Query!$B$5="All",'Compliance Database'!$F611=Query!$B$5),OR(Query!$B$6="All",ISNUMBER(SEARCH(Query!$B$6,'Compliance Database'!$I611))),OR(Query!$B$7="All",ISNUMBER(SEARCH(Query!$B$7,'Compliance Database'!$J611))),OR(Query!$B$8="All",'Compliance Database'!$G611=Query!$B$8),OR(Query!$B$9="All",'Compliance Database'!$K611=Query!$B$9),OR(Query!$B$10="",ISNUMBER(SEARCH(Query!$B$10,'Compliance Database'!$D611&amp;" "&amp;'Compliance Database'!$L611&amp;" "&amp;'Compliance Database'!$M611&amp;" "&amp;'Compliance Database'!$N611&amp;" "&amp;'Compliance Database'!$O611)))),1,0)</f>
        <v/>
      </c>
      <c r="B611">
        <f>IF($A611=1,SUM($A$2:$A611),"")</f>
        <v/>
      </c>
      <c r="C611">
        <f>IF($A611=1,SUM($A$2:$A611),0)</f>
        <v/>
      </c>
    </row>
    <row r="612">
      <c r="A612">
        <f>IF(AND(OR(Query!$B$4="All",'Compliance Database'!$A612=Query!$B$4),OR(Query!$B$5="All",'Compliance Database'!$F612=Query!$B$5),OR(Query!$B$6="All",ISNUMBER(SEARCH(Query!$B$6,'Compliance Database'!$I612))),OR(Query!$B$7="All",ISNUMBER(SEARCH(Query!$B$7,'Compliance Database'!$J612))),OR(Query!$B$8="All",'Compliance Database'!$G612=Query!$B$8),OR(Query!$B$9="All",'Compliance Database'!$K612=Query!$B$9),OR(Query!$B$10="",ISNUMBER(SEARCH(Query!$B$10,'Compliance Database'!$D612&amp;" "&amp;'Compliance Database'!$L612&amp;" "&amp;'Compliance Database'!$M612&amp;" "&amp;'Compliance Database'!$N612&amp;" "&amp;'Compliance Database'!$O612)))),1,0)</f>
        <v/>
      </c>
      <c r="B612">
        <f>IF($A612=1,SUM($A$2:$A612),"")</f>
        <v/>
      </c>
      <c r="C612">
        <f>IF($A612=1,SUM($A$2:$A612),0)</f>
        <v/>
      </c>
    </row>
    <row r="613">
      <c r="A613">
        <f>IF(AND(OR(Query!$B$4="All",'Compliance Database'!$A613=Query!$B$4),OR(Query!$B$5="All",'Compliance Database'!$F613=Query!$B$5),OR(Query!$B$6="All",ISNUMBER(SEARCH(Query!$B$6,'Compliance Database'!$I613))),OR(Query!$B$7="All",ISNUMBER(SEARCH(Query!$B$7,'Compliance Database'!$J613))),OR(Query!$B$8="All",'Compliance Database'!$G613=Query!$B$8),OR(Query!$B$9="All",'Compliance Database'!$K613=Query!$B$9),OR(Query!$B$10="",ISNUMBER(SEARCH(Query!$B$10,'Compliance Database'!$D613&amp;" "&amp;'Compliance Database'!$L613&amp;" "&amp;'Compliance Database'!$M613&amp;" "&amp;'Compliance Database'!$N613&amp;" "&amp;'Compliance Database'!$O613)))),1,0)</f>
        <v/>
      </c>
      <c r="B613">
        <f>IF($A613=1,SUM($A$2:$A613),"")</f>
        <v/>
      </c>
      <c r="C613">
        <f>IF($A613=1,SUM($A$2:$A613),0)</f>
        <v/>
      </c>
    </row>
    <row r="614">
      <c r="A614">
        <f>IF(AND(OR(Query!$B$4="All",'Compliance Database'!$A614=Query!$B$4),OR(Query!$B$5="All",'Compliance Database'!$F614=Query!$B$5),OR(Query!$B$6="All",ISNUMBER(SEARCH(Query!$B$6,'Compliance Database'!$I614))),OR(Query!$B$7="All",ISNUMBER(SEARCH(Query!$B$7,'Compliance Database'!$J614))),OR(Query!$B$8="All",'Compliance Database'!$G614=Query!$B$8),OR(Query!$B$9="All",'Compliance Database'!$K614=Query!$B$9),OR(Query!$B$10="",ISNUMBER(SEARCH(Query!$B$10,'Compliance Database'!$D614&amp;" "&amp;'Compliance Database'!$L614&amp;" "&amp;'Compliance Database'!$M614&amp;" "&amp;'Compliance Database'!$N614&amp;" "&amp;'Compliance Database'!$O614)))),1,0)</f>
        <v/>
      </c>
      <c r="B614">
        <f>IF($A614=1,SUM($A$2:$A614),"")</f>
        <v/>
      </c>
      <c r="C614">
        <f>IF($A614=1,SUM($A$2:$A614),0)</f>
        <v/>
      </c>
    </row>
    <row r="615">
      <c r="A615">
        <f>IF(AND(OR(Query!$B$4="All",'Compliance Database'!$A615=Query!$B$4),OR(Query!$B$5="All",'Compliance Database'!$F615=Query!$B$5),OR(Query!$B$6="All",ISNUMBER(SEARCH(Query!$B$6,'Compliance Database'!$I615))),OR(Query!$B$7="All",ISNUMBER(SEARCH(Query!$B$7,'Compliance Database'!$J615))),OR(Query!$B$8="All",'Compliance Database'!$G615=Query!$B$8),OR(Query!$B$9="All",'Compliance Database'!$K615=Query!$B$9),OR(Query!$B$10="",ISNUMBER(SEARCH(Query!$B$10,'Compliance Database'!$D615&amp;" "&amp;'Compliance Database'!$L615&amp;" "&amp;'Compliance Database'!$M615&amp;" "&amp;'Compliance Database'!$N615&amp;" "&amp;'Compliance Database'!$O615)))),1,0)</f>
        <v/>
      </c>
      <c r="B615">
        <f>IF($A615=1,SUM($A$2:$A615),"")</f>
        <v/>
      </c>
      <c r="C615">
        <f>IF($A615=1,SUM($A$2:$A615),0)</f>
        <v/>
      </c>
    </row>
    <row r="616">
      <c r="A616">
        <f>IF(AND(OR(Query!$B$4="All",'Compliance Database'!$A616=Query!$B$4),OR(Query!$B$5="All",'Compliance Database'!$F616=Query!$B$5),OR(Query!$B$6="All",ISNUMBER(SEARCH(Query!$B$6,'Compliance Database'!$I616))),OR(Query!$B$7="All",ISNUMBER(SEARCH(Query!$B$7,'Compliance Database'!$J616))),OR(Query!$B$8="All",'Compliance Database'!$G616=Query!$B$8),OR(Query!$B$9="All",'Compliance Database'!$K616=Query!$B$9),OR(Query!$B$10="",ISNUMBER(SEARCH(Query!$B$10,'Compliance Database'!$D616&amp;" "&amp;'Compliance Database'!$L616&amp;" "&amp;'Compliance Database'!$M616&amp;" "&amp;'Compliance Database'!$N616&amp;" "&amp;'Compliance Database'!$O616)))),1,0)</f>
        <v/>
      </c>
      <c r="B616">
        <f>IF($A616=1,SUM($A$2:$A616),"")</f>
        <v/>
      </c>
      <c r="C616">
        <f>IF($A616=1,SUM($A$2:$A616),0)</f>
        <v/>
      </c>
    </row>
    <row r="617">
      <c r="A617">
        <f>IF(AND(OR(Query!$B$4="All",'Compliance Database'!$A617=Query!$B$4),OR(Query!$B$5="All",'Compliance Database'!$F617=Query!$B$5),OR(Query!$B$6="All",ISNUMBER(SEARCH(Query!$B$6,'Compliance Database'!$I617))),OR(Query!$B$7="All",ISNUMBER(SEARCH(Query!$B$7,'Compliance Database'!$J617))),OR(Query!$B$8="All",'Compliance Database'!$G617=Query!$B$8),OR(Query!$B$9="All",'Compliance Database'!$K617=Query!$B$9),OR(Query!$B$10="",ISNUMBER(SEARCH(Query!$B$10,'Compliance Database'!$D617&amp;" "&amp;'Compliance Database'!$L617&amp;" "&amp;'Compliance Database'!$M617&amp;" "&amp;'Compliance Database'!$N617&amp;" "&amp;'Compliance Database'!$O617)))),1,0)</f>
        <v/>
      </c>
      <c r="B617">
        <f>IF($A617=1,SUM($A$2:$A617),"")</f>
        <v/>
      </c>
      <c r="C617">
        <f>IF($A617=1,SUM($A$2:$A617),0)</f>
        <v/>
      </c>
    </row>
    <row r="618">
      <c r="A618">
        <f>IF(AND(OR(Query!$B$4="All",'Compliance Database'!$A618=Query!$B$4),OR(Query!$B$5="All",'Compliance Database'!$F618=Query!$B$5),OR(Query!$B$6="All",ISNUMBER(SEARCH(Query!$B$6,'Compliance Database'!$I618))),OR(Query!$B$7="All",ISNUMBER(SEARCH(Query!$B$7,'Compliance Database'!$J618))),OR(Query!$B$8="All",'Compliance Database'!$G618=Query!$B$8),OR(Query!$B$9="All",'Compliance Database'!$K618=Query!$B$9),OR(Query!$B$10="",ISNUMBER(SEARCH(Query!$B$10,'Compliance Database'!$D618&amp;" "&amp;'Compliance Database'!$L618&amp;" "&amp;'Compliance Database'!$M618&amp;" "&amp;'Compliance Database'!$N618&amp;" "&amp;'Compliance Database'!$O618)))),1,0)</f>
        <v/>
      </c>
      <c r="B618">
        <f>IF($A618=1,SUM($A$2:$A618),"")</f>
        <v/>
      </c>
      <c r="C618">
        <f>IF($A618=1,SUM($A$2:$A618),0)</f>
        <v/>
      </c>
    </row>
    <row r="619">
      <c r="A619">
        <f>IF(AND(OR(Query!$B$4="All",'Compliance Database'!$A619=Query!$B$4),OR(Query!$B$5="All",'Compliance Database'!$F619=Query!$B$5),OR(Query!$B$6="All",ISNUMBER(SEARCH(Query!$B$6,'Compliance Database'!$I619))),OR(Query!$B$7="All",ISNUMBER(SEARCH(Query!$B$7,'Compliance Database'!$J619))),OR(Query!$B$8="All",'Compliance Database'!$G619=Query!$B$8),OR(Query!$B$9="All",'Compliance Database'!$K619=Query!$B$9),OR(Query!$B$10="",ISNUMBER(SEARCH(Query!$B$10,'Compliance Database'!$D619&amp;" "&amp;'Compliance Database'!$L619&amp;" "&amp;'Compliance Database'!$M619&amp;" "&amp;'Compliance Database'!$N619&amp;" "&amp;'Compliance Database'!$O619)))),1,0)</f>
        <v/>
      </c>
      <c r="B619">
        <f>IF($A619=1,SUM($A$2:$A619),"")</f>
        <v/>
      </c>
      <c r="C619">
        <f>IF($A619=1,SUM($A$2:$A619),0)</f>
        <v/>
      </c>
    </row>
    <row r="620">
      <c r="A620">
        <f>IF(AND(OR(Query!$B$4="All",'Compliance Database'!$A620=Query!$B$4),OR(Query!$B$5="All",'Compliance Database'!$F620=Query!$B$5),OR(Query!$B$6="All",ISNUMBER(SEARCH(Query!$B$6,'Compliance Database'!$I620))),OR(Query!$B$7="All",ISNUMBER(SEARCH(Query!$B$7,'Compliance Database'!$J620))),OR(Query!$B$8="All",'Compliance Database'!$G620=Query!$B$8),OR(Query!$B$9="All",'Compliance Database'!$K620=Query!$B$9),OR(Query!$B$10="",ISNUMBER(SEARCH(Query!$B$10,'Compliance Database'!$D620&amp;" "&amp;'Compliance Database'!$L620&amp;" "&amp;'Compliance Database'!$M620&amp;" "&amp;'Compliance Database'!$N620&amp;" "&amp;'Compliance Database'!$O620)))),1,0)</f>
        <v/>
      </c>
      <c r="B620">
        <f>IF($A620=1,SUM($A$2:$A620),"")</f>
        <v/>
      </c>
      <c r="C620">
        <f>IF($A620=1,SUM($A$2:$A620),0)</f>
        <v/>
      </c>
    </row>
    <row r="621">
      <c r="A621">
        <f>IF(AND(OR(Query!$B$4="All",'Compliance Database'!$A621=Query!$B$4),OR(Query!$B$5="All",'Compliance Database'!$F621=Query!$B$5),OR(Query!$B$6="All",ISNUMBER(SEARCH(Query!$B$6,'Compliance Database'!$I621))),OR(Query!$B$7="All",ISNUMBER(SEARCH(Query!$B$7,'Compliance Database'!$J621))),OR(Query!$B$8="All",'Compliance Database'!$G621=Query!$B$8),OR(Query!$B$9="All",'Compliance Database'!$K621=Query!$B$9),OR(Query!$B$10="",ISNUMBER(SEARCH(Query!$B$10,'Compliance Database'!$D621&amp;" "&amp;'Compliance Database'!$L621&amp;" "&amp;'Compliance Database'!$M621&amp;" "&amp;'Compliance Database'!$N621&amp;" "&amp;'Compliance Database'!$O621)))),1,0)</f>
        <v/>
      </c>
      <c r="B621">
        <f>IF($A621=1,SUM($A$2:$A621),"")</f>
        <v/>
      </c>
      <c r="C621">
        <f>IF($A621=1,SUM($A$2:$A621),0)</f>
        <v/>
      </c>
    </row>
    <row r="622">
      <c r="A622">
        <f>IF(AND(OR(Query!$B$4="All",'Compliance Database'!$A622=Query!$B$4),OR(Query!$B$5="All",'Compliance Database'!$F622=Query!$B$5),OR(Query!$B$6="All",ISNUMBER(SEARCH(Query!$B$6,'Compliance Database'!$I622))),OR(Query!$B$7="All",ISNUMBER(SEARCH(Query!$B$7,'Compliance Database'!$J622))),OR(Query!$B$8="All",'Compliance Database'!$G622=Query!$B$8),OR(Query!$B$9="All",'Compliance Database'!$K622=Query!$B$9),OR(Query!$B$10="",ISNUMBER(SEARCH(Query!$B$10,'Compliance Database'!$D622&amp;" "&amp;'Compliance Database'!$L622&amp;" "&amp;'Compliance Database'!$M622&amp;" "&amp;'Compliance Database'!$N622&amp;" "&amp;'Compliance Database'!$O622)))),1,0)</f>
        <v/>
      </c>
      <c r="B622">
        <f>IF($A622=1,SUM($A$2:$A622),"")</f>
        <v/>
      </c>
      <c r="C622">
        <f>IF($A622=1,SUM($A$2:$A622),0)</f>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622"/>
  <sheetViews>
    <sheetView workbookViewId="0">
      <selection activeCell="A1" sqref="A1"/>
    </sheetView>
  </sheetViews>
  <sheetFormatPr baseColWidth="8" defaultRowHeight="15"/>
  <sheetData>
    <row r="1">
      <c r="A1" t="inlineStr">
        <is>
          <t>match</t>
        </is>
      </c>
      <c r="B1" t="inlineStr">
        <is>
          <t>rank</t>
        </is>
      </c>
      <c r="C1" t="inlineStr">
        <is>
          <t>rankval</t>
        </is>
      </c>
      <c r="D1">
        <f>SUM($A$2:$A$622)</f>
        <v/>
      </c>
    </row>
    <row r="2">
      <c r="A2">
        <f>IF(AND(OR('Compliance Database'!$A2='Data Transfer'!$B$4,'Compliance Database'!$A2='Data Transfer'!$B$5),OR('Data Transfer'!$B$6="",ISNUMBER(SEARCH('Data Transfer'!$B$6,'Compliance Database'!$D2&amp;" "&amp;'Compliance Database'!$L2&amp;" "&amp;'Compliance Database'!$M2&amp;" "&amp;'Compliance Database'!$N2&amp;" "&amp;'Compliance Database'!$O2)))),1,0)</f>
        <v/>
      </c>
      <c r="B2">
        <f>IF($A2=1,SUM($A$2:$A2),"")</f>
        <v/>
      </c>
      <c r="C2">
        <f>IF($A2=1,SUM($A$2:$A2),0)</f>
        <v/>
      </c>
    </row>
    <row r="3">
      <c r="A3">
        <f>IF(AND(OR('Compliance Database'!$A3='Data Transfer'!$B$4,'Compliance Database'!$A3='Data Transfer'!$B$5),OR('Data Transfer'!$B$6="",ISNUMBER(SEARCH('Data Transfer'!$B$6,'Compliance Database'!$D3&amp;" "&amp;'Compliance Database'!$L3&amp;" "&amp;'Compliance Database'!$M3&amp;" "&amp;'Compliance Database'!$N3&amp;" "&amp;'Compliance Database'!$O3)))),1,0)</f>
        <v/>
      </c>
      <c r="B3">
        <f>IF($A3=1,SUM($A$2:$A3),"")</f>
        <v/>
      </c>
      <c r="C3">
        <f>IF($A3=1,SUM($A$2:$A3),0)</f>
        <v/>
      </c>
    </row>
    <row r="4">
      <c r="A4">
        <f>IF(AND(OR('Compliance Database'!$A4='Data Transfer'!$B$4,'Compliance Database'!$A4='Data Transfer'!$B$5),OR('Data Transfer'!$B$6="",ISNUMBER(SEARCH('Data Transfer'!$B$6,'Compliance Database'!$D4&amp;" "&amp;'Compliance Database'!$L4&amp;" "&amp;'Compliance Database'!$M4&amp;" "&amp;'Compliance Database'!$N4&amp;" "&amp;'Compliance Database'!$O4)))),1,0)</f>
        <v/>
      </c>
      <c r="B4">
        <f>IF($A4=1,SUM($A$2:$A4),"")</f>
        <v/>
      </c>
      <c r="C4">
        <f>IF($A4=1,SUM($A$2:$A4),0)</f>
        <v/>
      </c>
    </row>
    <row r="5">
      <c r="A5">
        <f>IF(AND(OR('Compliance Database'!$A5='Data Transfer'!$B$4,'Compliance Database'!$A5='Data Transfer'!$B$5),OR('Data Transfer'!$B$6="",ISNUMBER(SEARCH('Data Transfer'!$B$6,'Compliance Database'!$D5&amp;" "&amp;'Compliance Database'!$L5&amp;" "&amp;'Compliance Database'!$M5&amp;" "&amp;'Compliance Database'!$N5&amp;" "&amp;'Compliance Database'!$O5)))),1,0)</f>
        <v/>
      </c>
      <c r="B5">
        <f>IF($A5=1,SUM($A$2:$A5),"")</f>
        <v/>
      </c>
      <c r="C5">
        <f>IF($A5=1,SUM($A$2:$A5),0)</f>
        <v/>
      </c>
    </row>
    <row r="6">
      <c r="A6">
        <f>IF(AND(OR('Compliance Database'!$A6='Data Transfer'!$B$4,'Compliance Database'!$A6='Data Transfer'!$B$5),OR('Data Transfer'!$B$6="",ISNUMBER(SEARCH('Data Transfer'!$B$6,'Compliance Database'!$D6&amp;" "&amp;'Compliance Database'!$L6&amp;" "&amp;'Compliance Database'!$M6&amp;" "&amp;'Compliance Database'!$N6&amp;" "&amp;'Compliance Database'!$O6)))),1,0)</f>
        <v/>
      </c>
      <c r="B6">
        <f>IF($A6=1,SUM($A$2:$A6),"")</f>
        <v/>
      </c>
      <c r="C6">
        <f>IF($A6=1,SUM($A$2:$A6),0)</f>
        <v/>
      </c>
    </row>
    <row r="7">
      <c r="A7">
        <f>IF(AND(OR('Compliance Database'!$A7='Data Transfer'!$B$4,'Compliance Database'!$A7='Data Transfer'!$B$5),OR('Data Transfer'!$B$6="",ISNUMBER(SEARCH('Data Transfer'!$B$6,'Compliance Database'!$D7&amp;" "&amp;'Compliance Database'!$L7&amp;" "&amp;'Compliance Database'!$M7&amp;" "&amp;'Compliance Database'!$N7&amp;" "&amp;'Compliance Database'!$O7)))),1,0)</f>
        <v/>
      </c>
      <c r="B7">
        <f>IF($A7=1,SUM($A$2:$A7),"")</f>
        <v/>
      </c>
      <c r="C7">
        <f>IF($A7=1,SUM($A$2:$A7),0)</f>
        <v/>
      </c>
    </row>
    <row r="8">
      <c r="A8">
        <f>IF(AND(OR('Compliance Database'!$A8='Data Transfer'!$B$4,'Compliance Database'!$A8='Data Transfer'!$B$5),OR('Data Transfer'!$B$6="",ISNUMBER(SEARCH('Data Transfer'!$B$6,'Compliance Database'!$D8&amp;" "&amp;'Compliance Database'!$L8&amp;" "&amp;'Compliance Database'!$M8&amp;" "&amp;'Compliance Database'!$N8&amp;" "&amp;'Compliance Database'!$O8)))),1,0)</f>
        <v/>
      </c>
      <c r="B8">
        <f>IF($A8=1,SUM($A$2:$A8),"")</f>
        <v/>
      </c>
      <c r="C8">
        <f>IF($A8=1,SUM($A$2:$A8),0)</f>
        <v/>
      </c>
    </row>
    <row r="9">
      <c r="A9">
        <f>IF(AND(OR('Compliance Database'!$A9='Data Transfer'!$B$4,'Compliance Database'!$A9='Data Transfer'!$B$5),OR('Data Transfer'!$B$6="",ISNUMBER(SEARCH('Data Transfer'!$B$6,'Compliance Database'!$D9&amp;" "&amp;'Compliance Database'!$L9&amp;" "&amp;'Compliance Database'!$M9&amp;" "&amp;'Compliance Database'!$N9&amp;" "&amp;'Compliance Database'!$O9)))),1,0)</f>
        <v/>
      </c>
      <c r="B9">
        <f>IF($A9=1,SUM($A$2:$A9),"")</f>
        <v/>
      </c>
      <c r="C9">
        <f>IF($A9=1,SUM($A$2:$A9),0)</f>
        <v/>
      </c>
    </row>
    <row r="10">
      <c r="A10">
        <f>IF(AND(OR('Compliance Database'!$A10='Data Transfer'!$B$4,'Compliance Database'!$A10='Data Transfer'!$B$5),OR('Data Transfer'!$B$6="",ISNUMBER(SEARCH('Data Transfer'!$B$6,'Compliance Database'!$D10&amp;" "&amp;'Compliance Database'!$L10&amp;" "&amp;'Compliance Database'!$M10&amp;" "&amp;'Compliance Database'!$N10&amp;" "&amp;'Compliance Database'!$O10)))),1,0)</f>
        <v/>
      </c>
      <c r="B10">
        <f>IF($A10=1,SUM($A$2:$A10),"")</f>
        <v/>
      </c>
      <c r="C10">
        <f>IF($A10=1,SUM($A$2:$A10),0)</f>
        <v/>
      </c>
    </row>
    <row r="11">
      <c r="A11">
        <f>IF(AND(OR('Compliance Database'!$A11='Data Transfer'!$B$4,'Compliance Database'!$A11='Data Transfer'!$B$5),OR('Data Transfer'!$B$6="",ISNUMBER(SEARCH('Data Transfer'!$B$6,'Compliance Database'!$D11&amp;" "&amp;'Compliance Database'!$L11&amp;" "&amp;'Compliance Database'!$M11&amp;" "&amp;'Compliance Database'!$N11&amp;" "&amp;'Compliance Database'!$O11)))),1,0)</f>
        <v/>
      </c>
      <c r="B11">
        <f>IF($A11=1,SUM($A$2:$A11),"")</f>
        <v/>
      </c>
      <c r="C11">
        <f>IF($A11=1,SUM($A$2:$A11),0)</f>
        <v/>
      </c>
    </row>
    <row r="12">
      <c r="A12">
        <f>IF(AND(OR('Compliance Database'!$A12='Data Transfer'!$B$4,'Compliance Database'!$A12='Data Transfer'!$B$5),OR('Data Transfer'!$B$6="",ISNUMBER(SEARCH('Data Transfer'!$B$6,'Compliance Database'!$D12&amp;" "&amp;'Compliance Database'!$L12&amp;" "&amp;'Compliance Database'!$M12&amp;" "&amp;'Compliance Database'!$N12&amp;" "&amp;'Compliance Database'!$O12)))),1,0)</f>
        <v/>
      </c>
      <c r="B12">
        <f>IF($A12=1,SUM($A$2:$A12),"")</f>
        <v/>
      </c>
      <c r="C12">
        <f>IF($A12=1,SUM($A$2:$A12),0)</f>
        <v/>
      </c>
    </row>
    <row r="13">
      <c r="A13">
        <f>IF(AND(OR('Compliance Database'!$A13='Data Transfer'!$B$4,'Compliance Database'!$A13='Data Transfer'!$B$5),OR('Data Transfer'!$B$6="",ISNUMBER(SEARCH('Data Transfer'!$B$6,'Compliance Database'!$D13&amp;" "&amp;'Compliance Database'!$L13&amp;" "&amp;'Compliance Database'!$M13&amp;" "&amp;'Compliance Database'!$N13&amp;" "&amp;'Compliance Database'!$O13)))),1,0)</f>
        <v/>
      </c>
      <c r="B13">
        <f>IF($A13=1,SUM($A$2:$A13),"")</f>
        <v/>
      </c>
      <c r="C13">
        <f>IF($A13=1,SUM($A$2:$A13),0)</f>
        <v/>
      </c>
    </row>
    <row r="14">
      <c r="A14">
        <f>IF(AND(OR('Compliance Database'!$A14='Data Transfer'!$B$4,'Compliance Database'!$A14='Data Transfer'!$B$5),OR('Data Transfer'!$B$6="",ISNUMBER(SEARCH('Data Transfer'!$B$6,'Compliance Database'!$D14&amp;" "&amp;'Compliance Database'!$L14&amp;" "&amp;'Compliance Database'!$M14&amp;" "&amp;'Compliance Database'!$N14&amp;" "&amp;'Compliance Database'!$O14)))),1,0)</f>
        <v/>
      </c>
      <c r="B14">
        <f>IF($A14=1,SUM($A$2:$A14),"")</f>
        <v/>
      </c>
      <c r="C14">
        <f>IF($A14=1,SUM($A$2:$A14),0)</f>
        <v/>
      </c>
    </row>
    <row r="15">
      <c r="A15">
        <f>IF(AND(OR('Compliance Database'!$A15='Data Transfer'!$B$4,'Compliance Database'!$A15='Data Transfer'!$B$5),OR('Data Transfer'!$B$6="",ISNUMBER(SEARCH('Data Transfer'!$B$6,'Compliance Database'!$D15&amp;" "&amp;'Compliance Database'!$L15&amp;" "&amp;'Compliance Database'!$M15&amp;" "&amp;'Compliance Database'!$N15&amp;" "&amp;'Compliance Database'!$O15)))),1,0)</f>
        <v/>
      </c>
      <c r="B15">
        <f>IF($A15=1,SUM($A$2:$A15),"")</f>
        <v/>
      </c>
      <c r="C15">
        <f>IF($A15=1,SUM($A$2:$A15),0)</f>
        <v/>
      </c>
    </row>
    <row r="16">
      <c r="A16">
        <f>IF(AND(OR('Compliance Database'!$A16='Data Transfer'!$B$4,'Compliance Database'!$A16='Data Transfer'!$B$5),OR('Data Transfer'!$B$6="",ISNUMBER(SEARCH('Data Transfer'!$B$6,'Compliance Database'!$D16&amp;" "&amp;'Compliance Database'!$L16&amp;" "&amp;'Compliance Database'!$M16&amp;" "&amp;'Compliance Database'!$N16&amp;" "&amp;'Compliance Database'!$O16)))),1,0)</f>
        <v/>
      </c>
      <c r="B16">
        <f>IF($A16=1,SUM($A$2:$A16),"")</f>
        <v/>
      </c>
      <c r="C16">
        <f>IF($A16=1,SUM($A$2:$A16),0)</f>
        <v/>
      </c>
    </row>
    <row r="17">
      <c r="A17">
        <f>IF(AND(OR('Compliance Database'!$A17='Data Transfer'!$B$4,'Compliance Database'!$A17='Data Transfer'!$B$5),OR('Data Transfer'!$B$6="",ISNUMBER(SEARCH('Data Transfer'!$B$6,'Compliance Database'!$D17&amp;" "&amp;'Compliance Database'!$L17&amp;" "&amp;'Compliance Database'!$M17&amp;" "&amp;'Compliance Database'!$N17&amp;" "&amp;'Compliance Database'!$O17)))),1,0)</f>
        <v/>
      </c>
      <c r="B17">
        <f>IF($A17=1,SUM($A$2:$A17),"")</f>
        <v/>
      </c>
      <c r="C17">
        <f>IF($A17=1,SUM($A$2:$A17),0)</f>
        <v/>
      </c>
    </row>
    <row r="18">
      <c r="A18">
        <f>IF(AND(OR('Compliance Database'!$A18='Data Transfer'!$B$4,'Compliance Database'!$A18='Data Transfer'!$B$5),OR('Data Transfer'!$B$6="",ISNUMBER(SEARCH('Data Transfer'!$B$6,'Compliance Database'!$D18&amp;" "&amp;'Compliance Database'!$L18&amp;" "&amp;'Compliance Database'!$M18&amp;" "&amp;'Compliance Database'!$N18&amp;" "&amp;'Compliance Database'!$O18)))),1,0)</f>
        <v/>
      </c>
      <c r="B18">
        <f>IF($A18=1,SUM($A$2:$A18),"")</f>
        <v/>
      </c>
      <c r="C18">
        <f>IF($A18=1,SUM($A$2:$A18),0)</f>
        <v/>
      </c>
    </row>
    <row r="19">
      <c r="A19">
        <f>IF(AND(OR('Compliance Database'!$A19='Data Transfer'!$B$4,'Compliance Database'!$A19='Data Transfer'!$B$5),OR('Data Transfer'!$B$6="",ISNUMBER(SEARCH('Data Transfer'!$B$6,'Compliance Database'!$D19&amp;" "&amp;'Compliance Database'!$L19&amp;" "&amp;'Compliance Database'!$M19&amp;" "&amp;'Compliance Database'!$N19&amp;" "&amp;'Compliance Database'!$O19)))),1,0)</f>
        <v/>
      </c>
      <c r="B19">
        <f>IF($A19=1,SUM($A$2:$A19),"")</f>
        <v/>
      </c>
      <c r="C19">
        <f>IF($A19=1,SUM($A$2:$A19),0)</f>
        <v/>
      </c>
    </row>
    <row r="20">
      <c r="A20">
        <f>IF(AND(OR('Compliance Database'!$A20='Data Transfer'!$B$4,'Compliance Database'!$A20='Data Transfer'!$B$5),OR('Data Transfer'!$B$6="",ISNUMBER(SEARCH('Data Transfer'!$B$6,'Compliance Database'!$D20&amp;" "&amp;'Compliance Database'!$L20&amp;" "&amp;'Compliance Database'!$M20&amp;" "&amp;'Compliance Database'!$N20&amp;" "&amp;'Compliance Database'!$O20)))),1,0)</f>
        <v/>
      </c>
      <c r="B20">
        <f>IF($A20=1,SUM($A$2:$A20),"")</f>
        <v/>
      </c>
      <c r="C20">
        <f>IF($A20=1,SUM($A$2:$A20),0)</f>
        <v/>
      </c>
    </row>
    <row r="21">
      <c r="A21">
        <f>IF(AND(OR('Compliance Database'!$A21='Data Transfer'!$B$4,'Compliance Database'!$A21='Data Transfer'!$B$5),OR('Data Transfer'!$B$6="",ISNUMBER(SEARCH('Data Transfer'!$B$6,'Compliance Database'!$D21&amp;" "&amp;'Compliance Database'!$L21&amp;" "&amp;'Compliance Database'!$M21&amp;" "&amp;'Compliance Database'!$N21&amp;" "&amp;'Compliance Database'!$O21)))),1,0)</f>
        <v/>
      </c>
      <c r="B21">
        <f>IF($A21=1,SUM($A$2:$A21),"")</f>
        <v/>
      </c>
      <c r="C21">
        <f>IF($A21=1,SUM($A$2:$A21),0)</f>
        <v/>
      </c>
    </row>
    <row r="22">
      <c r="A22">
        <f>IF(AND(OR('Compliance Database'!$A22='Data Transfer'!$B$4,'Compliance Database'!$A22='Data Transfer'!$B$5),OR('Data Transfer'!$B$6="",ISNUMBER(SEARCH('Data Transfer'!$B$6,'Compliance Database'!$D22&amp;" "&amp;'Compliance Database'!$L22&amp;" "&amp;'Compliance Database'!$M22&amp;" "&amp;'Compliance Database'!$N22&amp;" "&amp;'Compliance Database'!$O22)))),1,0)</f>
        <v/>
      </c>
      <c r="B22">
        <f>IF($A22=1,SUM($A$2:$A22),"")</f>
        <v/>
      </c>
      <c r="C22">
        <f>IF($A22=1,SUM($A$2:$A22),0)</f>
        <v/>
      </c>
    </row>
    <row r="23">
      <c r="A23">
        <f>IF(AND(OR('Compliance Database'!$A23='Data Transfer'!$B$4,'Compliance Database'!$A23='Data Transfer'!$B$5),OR('Data Transfer'!$B$6="",ISNUMBER(SEARCH('Data Transfer'!$B$6,'Compliance Database'!$D23&amp;" "&amp;'Compliance Database'!$L23&amp;" "&amp;'Compliance Database'!$M23&amp;" "&amp;'Compliance Database'!$N23&amp;" "&amp;'Compliance Database'!$O23)))),1,0)</f>
        <v/>
      </c>
      <c r="B23">
        <f>IF($A23=1,SUM($A$2:$A23),"")</f>
        <v/>
      </c>
      <c r="C23">
        <f>IF($A23=1,SUM($A$2:$A23),0)</f>
        <v/>
      </c>
    </row>
    <row r="24">
      <c r="A24">
        <f>IF(AND(OR('Compliance Database'!$A24='Data Transfer'!$B$4,'Compliance Database'!$A24='Data Transfer'!$B$5),OR('Data Transfer'!$B$6="",ISNUMBER(SEARCH('Data Transfer'!$B$6,'Compliance Database'!$D24&amp;" "&amp;'Compliance Database'!$L24&amp;" "&amp;'Compliance Database'!$M24&amp;" "&amp;'Compliance Database'!$N24&amp;" "&amp;'Compliance Database'!$O24)))),1,0)</f>
        <v/>
      </c>
      <c r="B24">
        <f>IF($A24=1,SUM($A$2:$A24),"")</f>
        <v/>
      </c>
      <c r="C24">
        <f>IF($A24=1,SUM($A$2:$A24),0)</f>
        <v/>
      </c>
    </row>
    <row r="25">
      <c r="A25">
        <f>IF(AND(OR('Compliance Database'!$A25='Data Transfer'!$B$4,'Compliance Database'!$A25='Data Transfer'!$B$5),OR('Data Transfer'!$B$6="",ISNUMBER(SEARCH('Data Transfer'!$B$6,'Compliance Database'!$D25&amp;" "&amp;'Compliance Database'!$L25&amp;" "&amp;'Compliance Database'!$M25&amp;" "&amp;'Compliance Database'!$N25&amp;" "&amp;'Compliance Database'!$O25)))),1,0)</f>
        <v/>
      </c>
      <c r="B25">
        <f>IF($A25=1,SUM($A$2:$A25),"")</f>
        <v/>
      </c>
      <c r="C25">
        <f>IF($A25=1,SUM($A$2:$A25),0)</f>
        <v/>
      </c>
    </row>
    <row r="26">
      <c r="A26">
        <f>IF(AND(OR('Compliance Database'!$A26='Data Transfer'!$B$4,'Compliance Database'!$A26='Data Transfer'!$B$5),OR('Data Transfer'!$B$6="",ISNUMBER(SEARCH('Data Transfer'!$B$6,'Compliance Database'!$D26&amp;" "&amp;'Compliance Database'!$L26&amp;" "&amp;'Compliance Database'!$M26&amp;" "&amp;'Compliance Database'!$N26&amp;" "&amp;'Compliance Database'!$O26)))),1,0)</f>
        <v/>
      </c>
      <c r="B26">
        <f>IF($A26=1,SUM($A$2:$A26),"")</f>
        <v/>
      </c>
      <c r="C26">
        <f>IF($A26=1,SUM($A$2:$A26),0)</f>
        <v/>
      </c>
    </row>
    <row r="27">
      <c r="A27">
        <f>IF(AND(OR('Compliance Database'!$A27='Data Transfer'!$B$4,'Compliance Database'!$A27='Data Transfer'!$B$5),OR('Data Transfer'!$B$6="",ISNUMBER(SEARCH('Data Transfer'!$B$6,'Compliance Database'!$D27&amp;" "&amp;'Compliance Database'!$L27&amp;" "&amp;'Compliance Database'!$M27&amp;" "&amp;'Compliance Database'!$N27&amp;" "&amp;'Compliance Database'!$O27)))),1,0)</f>
        <v/>
      </c>
      <c r="B27">
        <f>IF($A27=1,SUM($A$2:$A27),"")</f>
        <v/>
      </c>
      <c r="C27">
        <f>IF($A27=1,SUM($A$2:$A27),0)</f>
        <v/>
      </c>
    </row>
    <row r="28">
      <c r="A28">
        <f>IF(AND(OR('Compliance Database'!$A28='Data Transfer'!$B$4,'Compliance Database'!$A28='Data Transfer'!$B$5),OR('Data Transfer'!$B$6="",ISNUMBER(SEARCH('Data Transfer'!$B$6,'Compliance Database'!$D28&amp;" "&amp;'Compliance Database'!$L28&amp;" "&amp;'Compliance Database'!$M28&amp;" "&amp;'Compliance Database'!$N28&amp;" "&amp;'Compliance Database'!$O28)))),1,0)</f>
        <v/>
      </c>
      <c r="B28">
        <f>IF($A28=1,SUM($A$2:$A28),"")</f>
        <v/>
      </c>
      <c r="C28">
        <f>IF($A28=1,SUM($A$2:$A28),0)</f>
        <v/>
      </c>
    </row>
    <row r="29">
      <c r="A29">
        <f>IF(AND(OR('Compliance Database'!$A29='Data Transfer'!$B$4,'Compliance Database'!$A29='Data Transfer'!$B$5),OR('Data Transfer'!$B$6="",ISNUMBER(SEARCH('Data Transfer'!$B$6,'Compliance Database'!$D29&amp;" "&amp;'Compliance Database'!$L29&amp;" "&amp;'Compliance Database'!$M29&amp;" "&amp;'Compliance Database'!$N29&amp;" "&amp;'Compliance Database'!$O29)))),1,0)</f>
        <v/>
      </c>
      <c r="B29">
        <f>IF($A29=1,SUM($A$2:$A29),"")</f>
        <v/>
      </c>
      <c r="C29">
        <f>IF($A29=1,SUM($A$2:$A29),0)</f>
        <v/>
      </c>
    </row>
    <row r="30">
      <c r="A30">
        <f>IF(AND(OR('Compliance Database'!$A30='Data Transfer'!$B$4,'Compliance Database'!$A30='Data Transfer'!$B$5),OR('Data Transfer'!$B$6="",ISNUMBER(SEARCH('Data Transfer'!$B$6,'Compliance Database'!$D30&amp;" "&amp;'Compliance Database'!$L30&amp;" "&amp;'Compliance Database'!$M30&amp;" "&amp;'Compliance Database'!$N30&amp;" "&amp;'Compliance Database'!$O30)))),1,0)</f>
        <v/>
      </c>
      <c r="B30">
        <f>IF($A30=1,SUM($A$2:$A30),"")</f>
        <v/>
      </c>
      <c r="C30">
        <f>IF($A30=1,SUM($A$2:$A30),0)</f>
        <v/>
      </c>
    </row>
    <row r="31">
      <c r="A31">
        <f>IF(AND(OR('Compliance Database'!$A31='Data Transfer'!$B$4,'Compliance Database'!$A31='Data Transfer'!$B$5),OR('Data Transfer'!$B$6="",ISNUMBER(SEARCH('Data Transfer'!$B$6,'Compliance Database'!$D31&amp;" "&amp;'Compliance Database'!$L31&amp;" "&amp;'Compliance Database'!$M31&amp;" "&amp;'Compliance Database'!$N31&amp;" "&amp;'Compliance Database'!$O31)))),1,0)</f>
        <v/>
      </c>
      <c r="B31">
        <f>IF($A31=1,SUM($A$2:$A31),"")</f>
        <v/>
      </c>
      <c r="C31">
        <f>IF($A31=1,SUM($A$2:$A31),0)</f>
        <v/>
      </c>
    </row>
    <row r="32">
      <c r="A32">
        <f>IF(AND(OR('Compliance Database'!$A32='Data Transfer'!$B$4,'Compliance Database'!$A32='Data Transfer'!$B$5),OR('Data Transfer'!$B$6="",ISNUMBER(SEARCH('Data Transfer'!$B$6,'Compliance Database'!$D32&amp;" "&amp;'Compliance Database'!$L32&amp;" "&amp;'Compliance Database'!$M32&amp;" "&amp;'Compliance Database'!$N32&amp;" "&amp;'Compliance Database'!$O32)))),1,0)</f>
        <v/>
      </c>
      <c r="B32">
        <f>IF($A32=1,SUM($A$2:$A32),"")</f>
        <v/>
      </c>
      <c r="C32">
        <f>IF($A32=1,SUM($A$2:$A32),0)</f>
        <v/>
      </c>
    </row>
    <row r="33">
      <c r="A33">
        <f>IF(AND(OR('Compliance Database'!$A33='Data Transfer'!$B$4,'Compliance Database'!$A33='Data Transfer'!$B$5),OR('Data Transfer'!$B$6="",ISNUMBER(SEARCH('Data Transfer'!$B$6,'Compliance Database'!$D33&amp;" "&amp;'Compliance Database'!$L33&amp;" "&amp;'Compliance Database'!$M33&amp;" "&amp;'Compliance Database'!$N33&amp;" "&amp;'Compliance Database'!$O33)))),1,0)</f>
        <v/>
      </c>
      <c r="B33">
        <f>IF($A33=1,SUM($A$2:$A33),"")</f>
        <v/>
      </c>
      <c r="C33">
        <f>IF($A33=1,SUM($A$2:$A33),0)</f>
        <v/>
      </c>
    </row>
    <row r="34">
      <c r="A34">
        <f>IF(AND(OR('Compliance Database'!$A34='Data Transfer'!$B$4,'Compliance Database'!$A34='Data Transfer'!$B$5),OR('Data Transfer'!$B$6="",ISNUMBER(SEARCH('Data Transfer'!$B$6,'Compliance Database'!$D34&amp;" "&amp;'Compliance Database'!$L34&amp;" "&amp;'Compliance Database'!$M34&amp;" "&amp;'Compliance Database'!$N34&amp;" "&amp;'Compliance Database'!$O34)))),1,0)</f>
        <v/>
      </c>
      <c r="B34">
        <f>IF($A34=1,SUM($A$2:$A34),"")</f>
        <v/>
      </c>
      <c r="C34">
        <f>IF($A34=1,SUM($A$2:$A34),0)</f>
        <v/>
      </c>
    </row>
    <row r="35">
      <c r="A35">
        <f>IF(AND(OR('Compliance Database'!$A35='Data Transfer'!$B$4,'Compliance Database'!$A35='Data Transfer'!$B$5),OR('Data Transfer'!$B$6="",ISNUMBER(SEARCH('Data Transfer'!$B$6,'Compliance Database'!$D35&amp;" "&amp;'Compliance Database'!$L35&amp;" "&amp;'Compliance Database'!$M35&amp;" "&amp;'Compliance Database'!$N35&amp;" "&amp;'Compliance Database'!$O35)))),1,0)</f>
        <v/>
      </c>
      <c r="B35">
        <f>IF($A35=1,SUM($A$2:$A35),"")</f>
        <v/>
      </c>
      <c r="C35">
        <f>IF($A35=1,SUM($A$2:$A35),0)</f>
        <v/>
      </c>
    </row>
    <row r="36">
      <c r="A36">
        <f>IF(AND(OR('Compliance Database'!$A36='Data Transfer'!$B$4,'Compliance Database'!$A36='Data Transfer'!$B$5),OR('Data Transfer'!$B$6="",ISNUMBER(SEARCH('Data Transfer'!$B$6,'Compliance Database'!$D36&amp;" "&amp;'Compliance Database'!$L36&amp;" "&amp;'Compliance Database'!$M36&amp;" "&amp;'Compliance Database'!$N36&amp;" "&amp;'Compliance Database'!$O36)))),1,0)</f>
        <v/>
      </c>
      <c r="B36">
        <f>IF($A36=1,SUM($A$2:$A36),"")</f>
        <v/>
      </c>
      <c r="C36">
        <f>IF($A36=1,SUM($A$2:$A36),0)</f>
        <v/>
      </c>
    </row>
    <row r="37">
      <c r="A37">
        <f>IF(AND(OR('Compliance Database'!$A37='Data Transfer'!$B$4,'Compliance Database'!$A37='Data Transfer'!$B$5),OR('Data Transfer'!$B$6="",ISNUMBER(SEARCH('Data Transfer'!$B$6,'Compliance Database'!$D37&amp;" "&amp;'Compliance Database'!$L37&amp;" "&amp;'Compliance Database'!$M37&amp;" "&amp;'Compliance Database'!$N37&amp;" "&amp;'Compliance Database'!$O37)))),1,0)</f>
        <v/>
      </c>
      <c r="B37">
        <f>IF($A37=1,SUM($A$2:$A37),"")</f>
        <v/>
      </c>
      <c r="C37">
        <f>IF($A37=1,SUM($A$2:$A37),0)</f>
        <v/>
      </c>
    </row>
    <row r="38">
      <c r="A38">
        <f>IF(AND(OR('Compliance Database'!$A38='Data Transfer'!$B$4,'Compliance Database'!$A38='Data Transfer'!$B$5),OR('Data Transfer'!$B$6="",ISNUMBER(SEARCH('Data Transfer'!$B$6,'Compliance Database'!$D38&amp;" "&amp;'Compliance Database'!$L38&amp;" "&amp;'Compliance Database'!$M38&amp;" "&amp;'Compliance Database'!$N38&amp;" "&amp;'Compliance Database'!$O38)))),1,0)</f>
        <v/>
      </c>
      <c r="B38">
        <f>IF($A38=1,SUM($A$2:$A38),"")</f>
        <v/>
      </c>
      <c r="C38">
        <f>IF($A38=1,SUM($A$2:$A38),0)</f>
        <v/>
      </c>
    </row>
    <row r="39">
      <c r="A39">
        <f>IF(AND(OR('Compliance Database'!$A39='Data Transfer'!$B$4,'Compliance Database'!$A39='Data Transfer'!$B$5),OR('Data Transfer'!$B$6="",ISNUMBER(SEARCH('Data Transfer'!$B$6,'Compliance Database'!$D39&amp;" "&amp;'Compliance Database'!$L39&amp;" "&amp;'Compliance Database'!$M39&amp;" "&amp;'Compliance Database'!$N39&amp;" "&amp;'Compliance Database'!$O39)))),1,0)</f>
        <v/>
      </c>
      <c r="B39">
        <f>IF($A39=1,SUM($A$2:$A39),"")</f>
        <v/>
      </c>
      <c r="C39">
        <f>IF($A39=1,SUM($A$2:$A39),0)</f>
        <v/>
      </c>
    </row>
    <row r="40">
      <c r="A40">
        <f>IF(AND(OR('Compliance Database'!$A40='Data Transfer'!$B$4,'Compliance Database'!$A40='Data Transfer'!$B$5),OR('Data Transfer'!$B$6="",ISNUMBER(SEARCH('Data Transfer'!$B$6,'Compliance Database'!$D40&amp;" "&amp;'Compliance Database'!$L40&amp;" "&amp;'Compliance Database'!$M40&amp;" "&amp;'Compliance Database'!$N40&amp;" "&amp;'Compliance Database'!$O40)))),1,0)</f>
        <v/>
      </c>
      <c r="B40">
        <f>IF($A40=1,SUM($A$2:$A40),"")</f>
        <v/>
      </c>
      <c r="C40">
        <f>IF($A40=1,SUM($A$2:$A40),0)</f>
        <v/>
      </c>
    </row>
    <row r="41">
      <c r="A41">
        <f>IF(AND(OR('Compliance Database'!$A41='Data Transfer'!$B$4,'Compliance Database'!$A41='Data Transfer'!$B$5),OR('Data Transfer'!$B$6="",ISNUMBER(SEARCH('Data Transfer'!$B$6,'Compliance Database'!$D41&amp;" "&amp;'Compliance Database'!$L41&amp;" "&amp;'Compliance Database'!$M41&amp;" "&amp;'Compliance Database'!$N41&amp;" "&amp;'Compliance Database'!$O41)))),1,0)</f>
        <v/>
      </c>
      <c r="B41">
        <f>IF($A41=1,SUM($A$2:$A41),"")</f>
        <v/>
      </c>
      <c r="C41">
        <f>IF($A41=1,SUM($A$2:$A41),0)</f>
        <v/>
      </c>
    </row>
    <row r="42">
      <c r="A42">
        <f>IF(AND(OR('Compliance Database'!$A42='Data Transfer'!$B$4,'Compliance Database'!$A42='Data Transfer'!$B$5),OR('Data Transfer'!$B$6="",ISNUMBER(SEARCH('Data Transfer'!$B$6,'Compliance Database'!$D42&amp;" "&amp;'Compliance Database'!$L42&amp;" "&amp;'Compliance Database'!$M42&amp;" "&amp;'Compliance Database'!$N42&amp;" "&amp;'Compliance Database'!$O42)))),1,0)</f>
        <v/>
      </c>
      <c r="B42">
        <f>IF($A42=1,SUM($A$2:$A42),"")</f>
        <v/>
      </c>
      <c r="C42">
        <f>IF($A42=1,SUM($A$2:$A42),0)</f>
        <v/>
      </c>
    </row>
    <row r="43">
      <c r="A43">
        <f>IF(AND(OR('Compliance Database'!$A43='Data Transfer'!$B$4,'Compliance Database'!$A43='Data Transfer'!$B$5),OR('Data Transfer'!$B$6="",ISNUMBER(SEARCH('Data Transfer'!$B$6,'Compliance Database'!$D43&amp;" "&amp;'Compliance Database'!$L43&amp;" "&amp;'Compliance Database'!$M43&amp;" "&amp;'Compliance Database'!$N43&amp;" "&amp;'Compliance Database'!$O43)))),1,0)</f>
        <v/>
      </c>
      <c r="B43">
        <f>IF($A43=1,SUM($A$2:$A43),"")</f>
        <v/>
      </c>
      <c r="C43">
        <f>IF($A43=1,SUM($A$2:$A43),0)</f>
        <v/>
      </c>
    </row>
    <row r="44">
      <c r="A44">
        <f>IF(AND(OR('Compliance Database'!$A44='Data Transfer'!$B$4,'Compliance Database'!$A44='Data Transfer'!$B$5),OR('Data Transfer'!$B$6="",ISNUMBER(SEARCH('Data Transfer'!$B$6,'Compliance Database'!$D44&amp;" "&amp;'Compliance Database'!$L44&amp;" "&amp;'Compliance Database'!$M44&amp;" "&amp;'Compliance Database'!$N44&amp;" "&amp;'Compliance Database'!$O44)))),1,0)</f>
        <v/>
      </c>
      <c r="B44">
        <f>IF($A44=1,SUM($A$2:$A44),"")</f>
        <v/>
      </c>
      <c r="C44">
        <f>IF($A44=1,SUM($A$2:$A44),0)</f>
        <v/>
      </c>
    </row>
    <row r="45">
      <c r="A45">
        <f>IF(AND(OR('Compliance Database'!$A45='Data Transfer'!$B$4,'Compliance Database'!$A45='Data Transfer'!$B$5),OR('Data Transfer'!$B$6="",ISNUMBER(SEARCH('Data Transfer'!$B$6,'Compliance Database'!$D45&amp;" "&amp;'Compliance Database'!$L45&amp;" "&amp;'Compliance Database'!$M45&amp;" "&amp;'Compliance Database'!$N45&amp;" "&amp;'Compliance Database'!$O45)))),1,0)</f>
        <v/>
      </c>
      <c r="B45">
        <f>IF($A45=1,SUM($A$2:$A45),"")</f>
        <v/>
      </c>
      <c r="C45">
        <f>IF($A45=1,SUM($A$2:$A45),0)</f>
        <v/>
      </c>
    </row>
    <row r="46">
      <c r="A46">
        <f>IF(AND(OR('Compliance Database'!$A46='Data Transfer'!$B$4,'Compliance Database'!$A46='Data Transfer'!$B$5),OR('Data Transfer'!$B$6="",ISNUMBER(SEARCH('Data Transfer'!$B$6,'Compliance Database'!$D46&amp;" "&amp;'Compliance Database'!$L46&amp;" "&amp;'Compliance Database'!$M46&amp;" "&amp;'Compliance Database'!$N46&amp;" "&amp;'Compliance Database'!$O46)))),1,0)</f>
        <v/>
      </c>
      <c r="B46">
        <f>IF($A46=1,SUM($A$2:$A46),"")</f>
        <v/>
      </c>
      <c r="C46">
        <f>IF($A46=1,SUM($A$2:$A46),0)</f>
        <v/>
      </c>
    </row>
    <row r="47">
      <c r="A47">
        <f>IF(AND(OR('Compliance Database'!$A47='Data Transfer'!$B$4,'Compliance Database'!$A47='Data Transfer'!$B$5),OR('Data Transfer'!$B$6="",ISNUMBER(SEARCH('Data Transfer'!$B$6,'Compliance Database'!$D47&amp;" "&amp;'Compliance Database'!$L47&amp;" "&amp;'Compliance Database'!$M47&amp;" "&amp;'Compliance Database'!$N47&amp;" "&amp;'Compliance Database'!$O47)))),1,0)</f>
        <v/>
      </c>
      <c r="B47">
        <f>IF($A47=1,SUM($A$2:$A47),"")</f>
        <v/>
      </c>
      <c r="C47">
        <f>IF($A47=1,SUM($A$2:$A47),0)</f>
        <v/>
      </c>
    </row>
    <row r="48">
      <c r="A48">
        <f>IF(AND(OR('Compliance Database'!$A48='Data Transfer'!$B$4,'Compliance Database'!$A48='Data Transfer'!$B$5),OR('Data Transfer'!$B$6="",ISNUMBER(SEARCH('Data Transfer'!$B$6,'Compliance Database'!$D48&amp;" "&amp;'Compliance Database'!$L48&amp;" "&amp;'Compliance Database'!$M48&amp;" "&amp;'Compliance Database'!$N48&amp;" "&amp;'Compliance Database'!$O48)))),1,0)</f>
        <v/>
      </c>
      <c r="B48">
        <f>IF($A48=1,SUM($A$2:$A48),"")</f>
        <v/>
      </c>
      <c r="C48">
        <f>IF($A48=1,SUM($A$2:$A48),0)</f>
        <v/>
      </c>
    </row>
    <row r="49">
      <c r="A49">
        <f>IF(AND(OR('Compliance Database'!$A49='Data Transfer'!$B$4,'Compliance Database'!$A49='Data Transfer'!$B$5),OR('Data Transfer'!$B$6="",ISNUMBER(SEARCH('Data Transfer'!$B$6,'Compliance Database'!$D49&amp;" "&amp;'Compliance Database'!$L49&amp;" "&amp;'Compliance Database'!$M49&amp;" "&amp;'Compliance Database'!$N49&amp;" "&amp;'Compliance Database'!$O49)))),1,0)</f>
        <v/>
      </c>
      <c r="B49">
        <f>IF($A49=1,SUM($A$2:$A49),"")</f>
        <v/>
      </c>
      <c r="C49">
        <f>IF($A49=1,SUM($A$2:$A49),0)</f>
        <v/>
      </c>
    </row>
    <row r="50">
      <c r="A50">
        <f>IF(AND(OR('Compliance Database'!$A50='Data Transfer'!$B$4,'Compliance Database'!$A50='Data Transfer'!$B$5),OR('Data Transfer'!$B$6="",ISNUMBER(SEARCH('Data Transfer'!$B$6,'Compliance Database'!$D50&amp;" "&amp;'Compliance Database'!$L50&amp;" "&amp;'Compliance Database'!$M50&amp;" "&amp;'Compliance Database'!$N50&amp;" "&amp;'Compliance Database'!$O50)))),1,0)</f>
        <v/>
      </c>
      <c r="B50">
        <f>IF($A50=1,SUM($A$2:$A50),"")</f>
        <v/>
      </c>
      <c r="C50">
        <f>IF($A50=1,SUM($A$2:$A50),0)</f>
        <v/>
      </c>
    </row>
    <row r="51">
      <c r="A51">
        <f>IF(AND(OR('Compliance Database'!$A51='Data Transfer'!$B$4,'Compliance Database'!$A51='Data Transfer'!$B$5),OR('Data Transfer'!$B$6="",ISNUMBER(SEARCH('Data Transfer'!$B$6,'Compliance Database'!$D51&amp;" "&amp;'Compliance Database'!$L51&amp;" "&amp;'Compliance Database'!$M51&amp;" "&amp;'Compliance Database'!$N51&amp;" "&amp;'Compliance Database'!$O51)))),1,0)</f>
        <v/>
      </c>
      <c r="B51">
        <f>IF($A51=1,SUM($A$2:$A51),"")</f>
        <v/>
      </c>
      <c r="C51">
        <f>IF($A51=1,SUM($A$2:$A51),0)</f>
        <v/>
      </c>
    </row>
    <row r="52">
      <c r="A52">
        <f>IF(AND(OR('Compliance Database'!$A52='Data Transfer'!$B$4,'Compliance Database'!$A52='Data Transfer'!$B$5),OR('Data Transfer'!$B$6="",ISNUMBER(SEARCH('Data Transfer'!$B$6,'Compliance Database'!$D52&amp;" "&amp;'Compliance Database'!$L52&amp;" "&amp;'Compliance Database'!$M52&amp;" "&amp;'Compliance Database'!$N52&amp;" "&amp;'Compliance Database'!$O52)))),1,0)</f>
        <v/>
      </c>
      <c r="B52">
        <f>IF($A52=1,SUM($A$2:$A52),"")</f>
        <v/>
      </c>
      <c r="C52">
        <f>IF($A52=1,SUM($A$2:$A52),0)</f>
        <v/>
      </c>
    </row>
    <row r="53">
      <c r="A53">
        <f>IF(AND(OR('Compliance Database'!$A53='Data Transfer'!$B$4,'Compliance Database'!$A53='Data Transfer'!$B$5),OR('Data Transfer'!$B$6="",ISNUMBER(SEARCH('Data Transfer'!$B$6,'Compliance Database'!$D53&amp;" "&amp;'Compliance Database'!$L53&amp;" "&amp;'Compliance Database'!$M53&amp;" "&amp;'Compliance Database'!$N53&amp;" "&amp;'Compliance Database'!$O53)))),1,0)</f>
        <v/>
      </c>
      <c r="B53">
        <f>IF($A53=1,SUM($A$2:$A53),"")</f>
        <v/>
      </c>
      <c r="C53">
        <f>IF($A53=1,SUM($A$2:$A53),0)</f>
        <v/>
      </c>
    </row>
    <row r="54">
      <c r="A54">
        <f>IF(AND(OR('Compliance Database'!$A54='Data Transfer'!$B$4,'Compliance Database'!$A54='Data Transfer'!$B$5),OR('Data Transfer'!$B$6="",ISNUMBER(SEARCH('Data Transfer'!$B$6,'Compliance Database'!$D54&amp;" "&amp;'Compliance Database'!$L54&amp;" "&amp;'Compliance Database'!$M54&amp;" "&amp;'Compliance Database'!$N54&amp;" "&amp;'Compliance Database'!$O54)))),1,0)</f>
        <v/>
      </c>
      <c r="B54">
        <f>IF($A54=1,SUM($A$2:$A54),"")</f>
        <v/>
      </c>
      <c r="C54">
        <f>IF($A54=1,SUM($A$2:$A54),0)</f>
        <v/>
      </c>
    </row>
    <row r="55">
      <c r="A55">
        <f>IF(AND(OR('Compliance Database'!$A55='Data Transfer'!$B$4,'Compliance Database'!$A55='Data Transfer'!$B$5),OR('Data Transfer'!$B$6="",ISNUMBER(SEARCH('Data Transfer'!$B$6,'Compliance Database'!$D55&amp;" "&amp;'Compliance Database'!$L55&amp;" "&amp;'Compliance Database'!$M55&amp;" "&amp;'Compliance Database'!$N55&amp;" "&amp;'Compliance Database'!$O55)))),1,0)</f>
        <v/>
      </c>
      <c r="B55">
        <f>IF($A55=1,SUM($A$2:$A55),"")</f>
        <v/>
      </c>
      <c r="C55">
        <f>IF($A55=1,SUM($A$2:$A55),0)</f>
        <v/>
      </c>
    </row>
    <row r="56">
      <c r="A56">
        <f>IF(AND(OR('Compliance Database'!$A56='Data Transfer'!$B$4,'Compliance Database'!$A56='Data Transfer'!$B$5),OR('Data Transfer'!$B$6="",ISNUMBER(SEARCH('Data Transfer'!$B$6,'Compliance Database'!$D56&amp;" "&amp;'Compliance Database'!$L56&amp;" "&amp;'Compliance Database'!$M56&amp;" "&amp;'Compliance Database'!$N56&amp;" "&amp;'Compliance Database'!$O56)))),1,0)</f>
        <v/>
      </c>
      <c r="B56">
        <f>IF($A56=1,SUM($A$2:$A56),"")</f>
        <v/>
      </c>
      <c r="C56">
        <f>IF($A56=1,SUM($A$2:$A56),0)</f>
        <v/>
      </c>
    </row>
    <row r="57">
      <c r="A57">
        <f>IF(AND(OR('Compliance Database'!$A57='Data Transfer'!$B$4,'Compliance Database'!$A57='Data Transfer'!$B$5),OR('Data Transfer'!$B$6="",ISNUMBER(SEARCH('Data Transfer'!$B$6,'Compliance Database'!$D57&amp;" "&amp;'Compliance Database'!$L57&amp;" "&amp;'Compliance Database'!$M57&amp;" "&amp;'Compliance Database'!$N57&amp;" "&amp;'Compliance Database'!$O57)))),1,0)</f>
        <v/>
      </c>
      <c r="B57">
        <f>IF($A57=1,SUM($A$2:$A57),"")</f>
        <v/>
      </c>
      <c r="C57">
        <f>IF($A57=1,SUM($A$2:$A57),0)</f>
        <v/>
      </c>
    </row>
    <row r="58">
      <c r="A58">
        <f>IF(AND(OR('Compliance Database'!$A58='Data Transfer'!$B$4,'Compliance Database'!$A58='Data Transfer'!$B$5),OR('Data Transfer'!$B$6="",ISNUMBER(SEARCH('Data Transfer'!$B$6,'Compliance Database'!$D58&amp;" "&amp;'Compliance Database'!$L58&amp;" "&amp;'Compliance Database'!$M58&amp;" "&amp;'Compliance Database'!$N58&amp;" "&amp;'Compliance Database'!$O58)))),1,0)</f>
        <v/>
      </c>
      <c r="B58">
        <f>IF($A58=1,SUM($A$2:$A58),"")</f>
        <v/>
      </c>
      <c r="C58">
        <f>IF($A58=1,SUM($A$2:$A58),0)</f>
        <v/>
      </c>
    </row>
    <row r="59">
      <c r="A59">
        <f>IF(AND(OR('Compliance Database'!$A59='Data Transfer'!$B$4,'Compliance Database'!$A59='Data Transfer'!$B$5),OR('Data Transfer'!$B$6="",ISNUMBER(SEARCH('Data Transfer'!$B$6,'Compliance Database'!$D59&amp;" "&amp;'Compliance Database'!$L59&amp;" "&amp;'Compliance Database'!$M59&amp;" "&amp;'Compliance Database'!$N59&amp;" "&amp;'Compliance Database'!$O59)))),1,0)</f>
        <v/>
      </c>
      <c r="B59">
        <f>IF($A59=1,SUM($A$2:$A59),"")</f>
        <v/>
      </c>
      <c r="C59">
        <f>IF($A59=1,SUM($A$2:$A59),0)</f>
        <v/>
      </c>
    </row>
    <row r="60">
      <c r="A60">
        <f>IF(AND(OR('Compliance Database'!$A60='Data Transfer'!$B$4,'Compliance Database'!$A60='Data Transfer'!$B$5),OR('Data Transfer'!$B$6="",ISNUMBER(SEARCH('Data Transfer'!$B$6,'Compliance Database'!$D60&amp;" "&amp;'Compliance Database'!$L60&amp;" "&amp;'Compliance Database'!$M60&amp;" "&amp;'Compliance Database'!$N60&amp;" "&amp;'Compliance Database'!$O60)))),1,0)</f>
        <v/>
      </c>
      <c r="B60">
        <f>IF($A60=1,SUM($A$2:$A60),"")</f>
        <v/>
      </c>
      <c r="C60">
        <f>IF($A60=1,SUM($A$2:$A60),0)</f>
        <v/>
      </c>
    </row>
    <row r="61">
      <c r="A61">
        <f>IF(AND(OR('Compliance Database'!$A61='Data Transfer'!$B$4,'Compliance Database'!$A61='Data Transfer'!$B$5),OR('Data Transfer'!$B$6="",ISNUMBER(SEARCH('Data Transfer'!$B$6,'Compliance Database'!$D61&amp;" "&amp;'Compliance Database'!$L61&amp;" "&amp;'Compliance Database'!$M61&amp;" "&amp;'Compliance Database'!$N61&amp;" "&amp;'Compliance Database'!$O61)))),1,0)</f>
        <v/>
      </c>
      <c r="B61">
        <f>IF($A61=1,SUM($A$2:$A61),"")</f>
        <v/>
      </c>
      <c r="C61">
        <f>IF($A61=1,SUM($A$2:$A61),0)</f>
        <v/>
      </c>
    </row>
    <row r="62">
      <c r="A62">
        <f>IF(AND(OR('Compliance Database'!$A62='Data Transfer'!$B$4,'Compliance Database'!$A62='Data Transfer'!$B$5),OR('Data Transfer'!$B$6="",ISNUMBER(SEARCH('Data Transfer'!$B$6,'Compliance Database'!$D62&amp;" "&amp;'Compliance Database'!$L62&amp;" "&amp;'Compliance Database'!$M62&amp;" "&amp;'Compliance Database'!$N62&amp;" "&amp;'Compliance Database'!$O62)))),1,0)</f>
        <v/>
      </c>
      <c r="B62">
        <f>IF($A62=1,SUM($A$2:$A62),"")</f>
        <v/>
      </c>
      <c r="C62">
        <f>IF($A62=1,SUM($A$2:$A62),0)</f>
        <v/>
      </c>
    </row>
    <row r="63">
      <c r="A63">
        <f>IF(AND(OR('Compliance Database'!$A63='Data Transfer'!$B$4,'Compliance Database'!$A63='Data Transfer'!$B$5),OR('Data Transfer'!$B$6="",ISNUMBER(SEARCH('Data Transfer'!$B$6,'Compliance Database'!$D63&amp;" "&amp;'Compliance Database'!$L63&amp;" "&amp;'Compliance Database'!$M63&amp;" "&amp;'Compliance Database'!$N63&amp;" "&amp;'Compliance Database'!$O63)))),1,0)</f>
        <v/>
      </c>
      <c r="B63">
        <f>IF($A63=1,SUM($A$2:$A63),"")</f>
        <v/>
      </c>
      <c r="C63">
        <f>IF($A63=1,SUM($A$2:$A63),0)</f>
        <v/>
      </c>
    </row>
    <row r="64">
      <c r="A64">
        <f>IF(AND(OR('Compliance Database'!$A64='Data Transfer'!$B$4,'Compliance Database'!$A64='Data Transfer'!$B$5),OR('Data Transfer'!$B$6="",ISNUMBER(SEARCH('Data Transfer'!$B$6,'Compliance Database'!$D64&amp;" "&amp;'Compliance Database'!$L64&amp;" "&amp;'Compliance Database'!$M64&amp;" "&amp;'Compliance Database'!$N64&amp;" "&amp;'Compliance Database'!$O64)))),1,0)</f>
        <v/>
      </c>
      <c r="B64">
        <f>IF($A64=1,SUM($A$2:$A64),"")</f>
        <v/>
      </c>
      <c r="C64">
        <f>IF($A64=1,SUM($A$2:$A64),0)</f>
        <v/>
      </c>
    </row>
    <row r="65">
      <c r="A65">
        <f>IF(AND(OR('Compliance Database'!$A65='Data Transfer'!$B$4,'Compliance Database'!$A65='Data Transfer'!$B$5),OR('Data Transfer'!$B$6="",ISNUMBER(SEARCH('Data Transfer'!$B$6,'Compliance Database'!$D65&amp;" "&amp;'Compliance Database'!$L65&amp;" "&amp;'Compliance Database'!$M65&amp;" "&amp;'Compliance Database'!$N65&amp;" "&amp;'Compliance Database'!$O65)))),1,0)</f>
        <v/>
      </c>
      <c r="B65">
        <f>IF($A65=1,SUM($A$2:$A65),"")</f>
        <v/>
      </c>
      <c r="C65">
        <f>IF($A65=1,SUM($A$2:$A65),0)</f>
        <v/>
      </c>
    </row>
    <row r="66">
      <c r="A66">
        <f>IF(AND(OR('Compliance Database'!$A66='Data Transfer'!$B$4,'Compliance Database'!$A66='Data Transfer'!$B$5),OR('Data Transfer'!$B$6="",ISNUMBER(SEARCH('Data Transfer'!$B$6,'Compliance Database'!$D66&amp;" "&amp;'Compliance Database'!$L66&amp;" "&amp;'Compliance Database'!$M66&amp;" "&amp;'Compliance Database'!$N66&amp;" "&amp;'Compliance Database'!$O66)))),1,0)</f>
        <v/>
      </c>
      <c r="B66">
        <f>IF($A66=1,SUM($A$2:$A66),"")</f>
        <v/>
      </c>
      <c r="C66">
        <f>IF($A66=1,SUM($A$2:$A66),0)</f>
        <v/>
      </c>
    </row>
    <row r="67">
      <c r="A67">
        <f>IF(AND(OR('Compliance Database'!$A67='Data Transfer'!$B$4,'Compliance Database'!$A67='Data Transfer'!$B$5),OR('Data Transfer'!$B$6="",ISNUMBER(SEARCH('Data Transfer'!$B$6,'Compliance Database'!$D67&amp;" "&amp;'Compliance Database'!$L67&amp;" "&amp;'Compliance Database'!$M67&amp;" "&amp;'Compliance Database'!$N67&amp;" "&amp;'Compliance Database'!$O67)))),1,0)</f>
        <v/>
      </c>
      <c r="B67">
        <f>IF($A67=1,SUM($A$2:$A67),"")</f>
        <v/>
      </c>
      <c r="C67">
        <f>IF($A67=1,SUM($A$2:$A67),0)</f>
        <v/>
      </c>
    </row>
    <row r="68">
      <c r="A68">
        <f>IF(AND(OR('Compliance Database'!$A68='Data Transfer'!$B$4,'Compliance Database'!$A68='Data Transfer'!$B$5),OR('Data Transfer'!$B$6="",ISNUMBER(SEARCH('Data Transfer'!$B$6,'Compliance Database'!$D68&amp;" "&amp;'Compliance Database'!$L68&amp;" "&amp;'Compliance Database'!$M68&amp;" "&amp;'Compliance Database'!$N68&amp;" "&amp;'Compliance Database'!$O68)))),1,0)</f>
        <v/>
      </c>
      <c r="B68">
        <f>IF($A68=1,SUM($A$2:$A68),"")</f>
        <v/>
      </c>
      <c r="C68">
        <f>IF($A68=1,SUM($A$2:$A68),0)</f>
        <v/>
      </c>
    </row>
    <row r="69">
      <c r="A69">
        <f>IF(AND(OR('Compliance Database'!$A69='Data Transfer'!$B$4,'Compliance Database'!$A69='Data Transfer'!$B$5),OR('Data Transfer'!$B$6="",ISNUMBER(SEARCH('Data Transfer'!$B$6,'Compliance Database'!$D69&amp;" "&amp;'Compliance Database'!$L69&amp;" "&amp;'Compliance Database'!$M69&amp;" "&amp;'Compliance Database'!$N69&amp;" "&amp;'Compliance Database'!$O69)))),1,0)</f>
        <v/>
      </c>
      <c r="B69">
        <f>IF($A69=1,SUM($A$2:$A69),"")</f>
        <v/>
      </c>
      <c r="C69">
        <f>IF($A69=1,SUM($A$2:$A69),0)</f>
        <v/>
      </c>
    </row>
    <row r="70">
      <c r="A70">
        <f>IF(AND(OR('Compliance Database'!$A70='Data Transfer'!$B$4,'Compliance Database'!$A70='Data Transfer'!$B$5),OR('Data Transfer'!$B$6="",ISNUMBER(SEARCH('Data Transfer'!$B$6,'Compliance Database'!$D70&amp;" "&amp;'Compliance Database'!$L70&amp;" "&amp;'Compliance Database'!$M70&amp;" "&amp;'Compliance Database'!$N70&amp;" "&amp;'Compliance Database'!$O70)))),1,0)</f>
        <v/>
      </c>
      <c r="B70">
        <f>IF($A70=1,SUM($A$2:$A70),"")</f>
        <v/>
      </c>
      <c r="C70">
        <f>IF($A70=1,SUM($A$2:$A70),0)</f>
        <v/>
      </c>
    </row>
    <row r="71">
      <c r="A71">
        <f>IF(AND(OR('Compliance Database'!$A71='Data Transfer'!$B$4,'Compliance Database'!$A71='Data Transfer'!$B$5),OR('Data Transfer'!$B$6="",ISNUMBER(SEARCH('Data Transfer'!$B$6,'Compliance Database'!$D71&amp;" "&amp;'Compliance Database'!$L71&amp;" "&amp;'Compliance Database'!$M71&amp;" "&amp;'Compliance Database'!$N71&amp;" "&amp;'Compliance Database'!$O71)))),1,0)</f>
        <v/>
      </c>
      <c r="B71">
        <f>IF($A71=1,SUM($A$2:$A71),"")</f>
        <v/>
      </c>
      <c r="C71">
        <f>IF($A71=1,SUM($A$2:$A71),0)</f>
        <v/>
      </c>
    </row>
    <row r="72">
      <c r="A72">
        <f>IF(AND(OR('Compliance Database'!$A72='Data Transfer'!$B$4,'Compliance Database'!$A72='Data Transfer'!$B$5),OR('Data Transfer'!$B$6="",ISNUMBER(SEARCH('Data Transfer'!$B$6,'Compliance Database'!$D72&amp;" "&amp;'Compliance Database'!$L72&amp;" "&amp;'Compliance Database'!$M72&amp;" "&amp;'Compliance Database'!$N72&amp;" "&amp;'Compliance Database'!$O72)))),1,0)</f>
        <v/>
      </c>
      <c r="B72">
        <f>IF($A72=1,SUM($A$2:$A72),"")</f>
        <v/>
      </c>
      <c r="C72">
        <f>IF($A72=1,SUM($A$2:$A72),0)</f>
        <v/>
      </c>
    </row>
    <row r="73">
      <c r="A73">
        <f>IF(AND(OR('Compliance Database'!$A73='Data Transfer'!$B$4,'Compliance Database'!$A73='Data Transfer'!$B$5),OR('Data Transfer'!$B$6="",ISNUMBER(SEARCH('Data Transfer'!$B$6,'Compliance Database'!$D73&amp;" "&amp;'Compliance Database'!$L73&amp;" "&amp;'Compliance Database'!$M73&amp;" "&amp;'Compliance Database'!$N73&amp;" "&amp;'Compliance Database'!$O73)))),1,0)</f>
        <v/>
      </c>
      <c r="B73">
        <f>IF($A73=1,SUM($A$2:$A73),"")</f>
        <v/>
      </c>
      <c r="C73">
        <f>IF($A73=1,SUM($A$2:$A73),0)</f>
        <v/>
      </c>
    </row>
    <row r="74">
      <c r="A74">
        <f>IF(AND(OR('Compliance Database'!$A74='Data Transfer'!$B$4,'Compliance Database'!$A74='Data Transfer'!$B$5),OR('Data Transfer'!$B$6="",ISNUMBER(SEARCH('Data Transfer'!$B$6,'Compliance Database'!$D74&amp;" "&amp;'Compliance Database'!$L74&amp;" "&amp;'Compliance Database'!$M74&amp;" "&amp;'Compliance Database'!$N74&amp;" "&amp;'Compliance Database'!$O74)))),1,0)</f>
        <v/>
      </c>
      <c r="B74">
        <f>IF($A74=1,SUM($A$2:$A74),"")</f>
        <v/>
      </c>
      <c r="C74">
        <f>IF($A74=1,SUM($A$2:$A74),0)</f>
        <v/>
      </c>
    </row>
    <row r="75">
      <c r="A75">
        <f>IF(AND(OR('Compliance Database'!$A75='Data Transfer'!$B$4,'Compliance Database'!$A75='Data Transfer'!$B$5),OR('Data Transfer'!$B$6="",ISNUMBER(SEARCH('Data Transfer'!$B$6,'Compliance Database'!$D75&amp;" "&amp;'Compliance Database'!$L75&amp;" "&amp;'Compliance Database'!$M75&amp;" "&amp;'Compliance Database'!$N75&amp;" "&amp;'Compliance Database'!$O75)))),1,0)</f>
        <v/>
      </c>
      <c r="B75">
        <f>IF($A75=1,SUM($A$2:$A75),"")</f>
        <v/>
      </c>
      <c r="C75">
        <f>IF($A75=1,SUM($A$2:$A75),0)</f>
        <v/>
      </c>
    </row>
    <row r="76">
      <c r="A76">
        <f>IF(AND(OR('Compliance Database'!$A76='Data Transfer'!$B$4,'Compliance Database'!$A76='Data Transfer'!$B$5),OR('Data Transfer'!$B$6="",ISNUMBER(SEARCH('Data Transfer'!$B$6,'Compliance Database'!$D76&amp;" "&amp;'Compliance Database'!$L76&amp;" "&amp;'Compliance Database'!$M76&amp;" "&amp;'Compliance Database'!$N76&amp;" "&amp;'Compliance Database'!$O76)))),1,0)</f>
        <v/>
      </c>
      <c r="B76">
        <f>IF($A76=1,SUM($A$2:$A76),"")</f>
        <v/>
      </c>
      <c r="C76">
        <f>IF($A76=1,SUM($A$2:$A76),0)</f>
        <v/>
      </c>
    </row>
    <row r="77">
      <c r="A77">
        <f>IF(AND(OR('Compliance Database'!$A77='Data Transfer'!$B$4,'Compliance Database'!$A77='Data Transfer'!$B$5),OR('Data Transfer'!$B$6="",ISNUMBER(SEARCH('Data Transfer'!$B$6,'Compliance Database'!$D77&amp;" "&amp;'Compliance Database'!$L77&amp;" "&amp;'Compliance Database'!$M77&amp;" "&amp;'Compliance Database'!$N77&amp;" "&amp;'Compliance Database'!$O77)))),1,0)</f>
        <v/>
      </c>
      <c r="B77">
        <f>IF($A77=1,SUM($A$2:$A77),"")</f>
        <v/>
      </c>
      <c r="C77">
        <f>IF($A77=1,SUM($A$2:$A77),0)</f>
        <v/>
      </c>
    </row>
    <row r="78">
      <c r="A78">
        <f>IF(AND(OR('Compliance Database'!$A78='Data Transfer'!$B$4,'Compliance Database'!$A78='Data Transfer'!$B$5),OR('Data Transfer'!$B$6="",ISNUMBER(SEARCH('Data Transfer'!$B$6,'Compliance Database'!$D78&amp;" "&amp;'Compliance Database'!$L78&amp;" "&amp;'Compliance Database'!$M78&amp;" "&amp;'Compliance Database'!$N78&amp;" "&amp;'Compliance Database'!$O78)))),1,0)</f>
        <v/>
      </c>
      <c r="B78">
        <f>IF($A78=1,SUM($A$2:$A78),"")</f>
        <v/>
      </c>
      <c r="C78">
        <f>IF($A78=1,SUM($A$2:$A78),0)</f>
        <v/>
      </c>
    </row>
    <row r="79">
      <c r="A79">
        <f>IF(AND(OR('Compliance Database'!$A79='Data Transfer'!$B$4,'Compliance Database'!$A79='Data Transfer'!$B$5),OR('Data Transfer'!$B$6="",ISNUMBER(SEARCH('Data Transfer'!$B$6,'Compliance Database'!$D79&amp;" "&amp;'Compliance Database'!$L79&amp;" "&amp;'Compliance Database'!$M79&amp;" "&amp;'Compliance Database'!$N79&amp;" "&amp;'Compliance Database'!$O79)))),1,0)</f>
        <v/>
      </c>
      <c r="B79">
        <f>IF($A79=1,SUM($A$2:$A79),"")</f>
        <v/>
      </c>
      <c r="C79">
        <f>IF($A79=1,SUM($A$2:$A79),0)</f>
        <v/>
      </c>
    </row>
    <row r="80">
      <c r="A80">
        <f>IF(AND(OR('Compliance Database'!$A80='Data Transfer'!$B$4,'Compliance Database'!$A80='Data Transfer'!$B$5),OR('Data Transfer'!$B$6="",ISNUMBER(SEARCH('Data Transfer'!$B$6,'Compliance Database'!$D80&amp;" "&amp;'Compliance Database'!$L80&amp;" "&amp;'Compliance Database'!$M80&amp;" "&amp;'Compliance Database'!$N80&amp;" "&amp;'Compliance Database'!$O80)))),1,0)</f>
        <v/>
      </c>
      <c r="B80">
        <f>IF($A80=1,SUM($A$2:$A80),"")</f>
        <v/>
      </c>
      <c r="C80">
        <f>IF($A80=1,SUM($A$2:$A80),0)</f>
        <v/>
      </c>
    </row>
    <row r="81">
      <c r="A81">
        <f>IF(AND(OR('Compliance Database'!$A81='Data Transfer'!$B$4,'Compliance Database'!$A81='Data Transfer'!$B$5),OR('Data Transfer'!$B$6="",ISNUMBER(SEARCH('Data Transfer'!$B$6,'Compliance Database'!$D81&amp;" "&amp;'Compliance Database'!$L81&amp;" "&amp;'Compliance Database'!$M81&amp;" "&amp;'Compliance Database'!$N81&amp;" "&amp;'Compliance Database'!$O81)))),1,0)</f>
        <v/>
      </c>
      <c r="B81">
        <f>IF($A81=1,SUM($A$2:$A81),"")</f>
        <v/>
      </c>
      <c r="C81">
        <f>IF($A81=1,SUM($A$2:$A81),0)</f>
        <v/>
      </c>
    </row>
    <row r="82">
      <c r="A82">
        <f>IF(AND(OR('Compliance Database'!$A82='Data Transfer'!$B$4,'Compliance Database'!$A82='Data Transfer'!$B$5),OR('Data Transfer'!$B$6="",ISNUMBER(SEARCH('Data Transfer'!$B$6,'Compliance Database'!$D82&amp;" "&amp;'Compliance Database'!$L82&amp;" "&amp;'Compliance Database'!$M82&amp;" "&amp;'Compliance Database'!$N82&amp;" "&amp;'Compliance Database'!$O82)))),1,0)</f>
        <v/>
      </c>
      <c r="B82">
        <f>IF($A82=1,SUM($A$2:$A82),"")</f>
        <v/>
      </c>
      <c r="C82">
        <f>IF($A82=1,SUM($A$2:$A82),0)</f>
        <v/>
      </c>
    </row>
    <row r="83">
      <c r="A83">
        <f>IF(AND(OR('Compliance Database'!$A83='Data Transfer'!$B$4,'Compliance Database'!$A83='Data Transfer'!$B$5),OR('Data Transfer'!$B$6="",ISNUMBER(SEARCH('Data Transfer'!$B$6,'Compliance Database'!$D83&amp;" "&amp;'Compliance Database'!$L83&amp;" "&amp;'Compliance Database'!$M83&amp;" "&amp;'Compliance Database'!$N83&amp;" "&amp;'Compliance Database'!$O83)))),1,0)</f>
        <v/>
      </c>
      <c r="B83">
        <f>IF($A83=1,SUM($A$2:$A83),"")</f>
        <v/>
      </c>
      <c r="C83">
        <f>IF($A83=1,SUM($A$2:$A83),0)</f>
        <v/>
      </c>
    </row>
    <row r="84">
      <c r="A84">
        <f>IF(AND(OR('Compliance Database'!$A84='Data Transfer'!$B$4,'Compliance Database'!$A84='Data Transfer'!$B$5),OR('Data Transfer'!$B$6="",ISNUMBER(SEARCH('Data Transfer'!$B$6,'Compliance Database'!$D84&amp;" "&amp;'Compliance Database'!$L84&amp;" "&amp;'Compliance Database'!$M84&amp;" "&amp;'Compliance Database'!$N84&amp;" "&amp;'Compliance Database'!$O84)))),1,0)</f>
        <v/>
      </c>
      <c r="B84">
        <f>IF($A84=1,SUM($A$2:$A84),"")</f>
        <v/>
      </c>
      <c r="C84">
        <f>IF($A84=1,SUM($A$2:$A84),0)</f>
        <v/>
      </c>
    </row>
    <row r="85">
      <c r="A85">
        <f>IF(AND(OR('Compliance Database'!$A85='Data Transfer'!$B$4,'Compliance Database'!$A85='Data Transfer'!$B$5),OR('Data Transfer'!$B$6="",ISNUMBER(SEARCH('Data Transfer'!$B$6,'Compliance Database'!$D85&amp;" "&amp;'Compliance Database'!$L85&amp;" "&amp;'Compliance Database'!$M85&amp;" "&amp;'Compliance Database'!$N85&amp;" "&amp;'Compliance Database'!$O85)))),1,0)</f>
        <v/>
      </c>
      <c r="B85">
        <f>IF($A85=1,SUM($A$2:$A85),"")</f>
        <v/>
      </c>
      <c r="C85">
        <f>IF($A85=1,SUM($A$2:$A85),0)</f>
        <v/>
      </c>
    </row>
    <row r="86">
      <c r="A86">
        <f>IF(AND(OR('Compliance Database'!$A86='Data Transfer'!$B$4,'Compliance Database'!$A86='Data Transfer'!$B$5),OR('Data Transfer'!$B$6="",ISNUMBER(SEARCH('Data Transfer'!$B$6,'Compliance Database'!$D86&amp;" "&amp;'Compliance Database'!$L86&amp;" "&amp;'Compliance Database'!$M86&amp;" "&amp;'Compliance Database'!$N86&amp;" "&amp;'Compliance Database'!$O86)))),1,0)</f>
        <v/>
      </c>
      <c r="B86">
        <f>IF($A86=1,SUM($A$2:$A86),"")</f>
        <v/>
      </c>
      <c r="C86">
        <f>IF($A86=1,SUM($A$2:$A86),0)</f>
        <v/>
      </c>
    </row>
    <row r="87">
      <c r="A87">
        <f>IF(AND(OR('Compliance Database'!$A87='Data Transfer'!$B$4,'Compliance Database'!$A87='Data Transfer'!$B$5),OR('Data Transfer'!$B$6="",ISNUMBER(SEARCH('Data Transfer'!$B$6,'Compliance Database'!$D87&amp;" "&amp;'Compliance Database'!$L87&amp;" "&amp;'Compliance Database'!$M87&amp;" "&amp;'Compliance Database'!$N87&amp;" "&amp;'Compliance Database'!$O87)))),1,0)</f>
        <v/>
      </c>
      <c r="B87">
        <f>IF($A87=1,SUM($A$2:$A87),"")</f>
        <v/>
      </c>
      <c r="C87">
        <f>IF($A87=1,SUM($A$2:$A87),0)</f>
        <v/>
      </c>
    </row>
    <row r="88">
      <c r="A88">
        <f>IF(AND(OR('Compliance Database'!$A88='Data Transfer'!$B$4,'Compliance Database'!$A88='Data Transfer'!$B$5),OR('Data Transfer'!$B$6="",ISNUMBER(SEARCH('Data Transfer'!$B$6,'Compliance Database'!$D88&amp;" "&amp;'Compliance Database'!$L88&amp;" "&amp;'Compliance Database'!$M88&amp;" "&amp;'Compliance Database'!$N88&amp;" "&amp;'Compliance Database'!$O88)))),1,0)</f>
        <v/>
      </c>
      <c r="B88">
        <f>IF($A88=1,SUM($A$2:$A88),"")</f>
        <v/>
      </c>
      <c r="C88">
        <f>IF($A88=1,SUM($A$2:$A88),0)</f>
        <v/>
      </c>
    </row>
    <row r="89">
      <c r="A89">
        <f>IF(AND(OR('Compliance Database'!$A89='Data Transfer'!$B$4,'Compliance Database'!$A89='Data Transfer'!$B$5),OR('Data Transfer'!$B$6="",ISNUMBER(SEARCH('Data Transfer'!$B$6,'Compliance Database'!$D89&amp;" "&amp;'Compliance Database'!$L89&amp;" "&amp;'Compliance Database'!$M89&amp;" "&amp;'Compliance Database'!$N89&amp;" "&amp;'Compliance Database'!$O89)))),1,0)</f>
        <v/>
      </c>
      <c r="B89">
        <f>IF($A89=1,SUM($A$2:$A89),"")</f>
        <v/>
      </c>
      <c r="C89">
        <f>IF($A89=1,SUM($A$2:$A89),0)</f>
        <v/>
      </c>
    </row>
    <row r="90">
      <c r="A90">
        <f>IF(AND(OR('Compliance Database'!$A90='Data Transfer'!$B$4,'Compliance Database'!$A90='Data Transfer'!$B$5),OR('Data Transfer'!$B$6="",ISNUMBER(SEARCH('Data Transfer'!$B$6,'Compliance Database'!$D90&amp;" "&amp;'Compliance Database'!$L90&amp;" "&amp;'Compliance Database'!$M90&amp;" "&amp;'Compliance Database'!$N90&amp;" "&amp;'Compliance Database'!$O90)))),1,0)</f>
        <v/>
      </c>
      <c r="B90">
        <f>IF($A90=1,SUM($A$2:$A90),"")</f>
        <v/>
      </c>
      <c r="C90">
        <f>IF($A90=1,SUM($A$2:$A90),0)</f>
        <v/>
      </c>
    </row>
    <row r="91">
      <c r="A91">
        <f>IF(AND(OR('Compliance Database'!$A91='Data Transfer'!$B$4,'Compliance Database'!$A91='Data Transfer'!$B$5),OR('Data Transfer'!$B$6="",ISNUMBER(SEARCH('Data Transfer'!$B$6,'Compliance Database'!$D91&amp;" "&amp;'Compliance Database'!$L91&amp;" "&amp;'Compliance Database'!$M91&amp;" "&amp;'Compliance Database'!$N91&amp;" "&amp;'Compliance Database'!$O91)))),1,0)</f>
        <v/>
      </c>
      <c r="B91">
        <f>IF($A91=1,SUM($A$2:$A91),"")</f>
        <v/>
      </c>
      <c r="C91">
        <f>IF($A91=1,SUM($A$2:$A91),0)</f>
        <v/>
      </c>
    </row>
    <row r="92">
      <c r="A92">
        <f>IF(AND(OR('Compliance Database'!$A92='Data Transfer'!$B$4,'Compliance Database'!$A92='Data Transfer'!$B$5),OR('Data Transfer'!$B$6="",ISNUMBER(SEARCH('Data Transfer'!$B$6,'Compliance Database'!$D92&amp;" "&amp;'Compliance Database'!$L92&amp;" "&amp;'Compliance Database'!$M92&amp;" "&amp;'Compliance Database'!$N92&amp;" "&amp;'Compliance Database'!$O92)))),1,0)</f>
        <v/>
      </c>
      <c r="B92">
        <f>IF($A92=1,SUM($A$2:$A92),"")</f>
        <v/>
      </c>
      <c r="C92">
        <f>IF($A92=1,SUM($A$2:$A92),0)</f>
        <v/>
      </c>
    </row>
    <row r="93">
      <c r="A93">
        <f>IF(AND(OR('Compliance Database'!$A93='Data Transfer'!$B$4,'Compliance Database'!$A93='Data Transfer'!$B$5),OR('Data Transfer'!$B$6="",ISNUMBER(SEARCH('Data Transfer'!$B$6,'Compliance Database'!$D93&amp;" "&amp;'Compliance Database'!$L93&amp;" "&amp;'Compliance Database'!$M93&amp;" "&amp;'Compliance Database'!$N93&amp;" "&amp;'Compliance Database'!$O93)))),1,0)</f>
        <v/>
      </c>
      <c r="B93">
        <f>IF($A93=1,SUM($A$2:$A93),"")</f>
        <v/>
      </c>
      <c r="C93">
        <f>IF($A93=1,SUM($A$2:$A93),0)</f>
        <v/>
      </c>
    </row>
    <row r="94">
      <c r="A94">
        <f>IF(AND(OR('Compliance Database'!$A94='Data Transfer'!$B$4,'Compliance Database'!$A94='Data Transfer'!$B$5),OR('Data Transfer'!$B$6="",ISNUMBER(SEARCH('Data Transfer'!$B$6,'Compliance Database'!$D94&amp;" "&amp;'Compliance Database'!$L94&amp;" "&amp;'Compliance Database'!$M94&amp;" "&amp;'Compliance Database'!$N94&amp;" "&amp;'Compliance Database'!$O94)))),1,0)</f>
        <v/>
      </c>
      <c r="B94">
        <f>IF($A94=1,SUM($A$2:$A94),"")</f>
        <v/>
      </c>
      <c r="C94">
        <f>IF($A94=1,SUM($A$2:$A94),0)</f>
        <v/>
      </c>
    </row>
    <row r="95">
      <c r="A95">
        <f>IF(AND(OR('Compliance Database'!$A95='Data Transfer'!$B$4,'Compliance Database'!$A95='Data Transfer'!$B$5),OR('Data Transfer'!$B$6="",ISNUMBER(SEARCH('Data Transfer'!$B$6,'Compliance Database'!$D95&amp;" "&amp;'Compliance Database'!$L95&amp;" "&amp;'Compliance Database'!$M95&amp;" "&amp;'Compliance Database'!$N95&amp;" "&amp;'Compliance Database'!$O95)))),1,0)</f>
        <v/>
      </c>
      <c r="B95">
        <f>IF($A95=1,SUM($A$2:$A95),"")</f>
        <v/>
      </c>
      <c r="C95">
        <f>IF($A95=1,SUM($A$2:$A95),0)</f>
        <v/>
      </c>
    </row>
    <row r="96">
      <c r="A96">
        <f>IF(AND(OR('Compliance Database'!$A96='Data Transfer'!$B$4,'Compliance Database'!$A96='Data Transfer'!$B$5),OR('Data Transfer'!$B$6="",ISNUMBER(SEARCH('Data Transfer'!$B$6,'Compliance Database'!$D96&amp;" "&amp;'Compliance Database'!$L96&amp;" "&amp;'Compliance Database'!$M96&amp;" "&amp;'Compliance Database'!$N96&amp;" "&amp;'Compliance Database'!$O96)))),1,0)</f>
        <v/>
      </c>
      <c r="B96">
        <f>IF($A96=1,SUM($A$2:$A96),"")</f>
        <v/>
      </c>
      <c r="C96">
        <f>IF($A96=1,SUM($A$2:$A96),0)</f>
        <v/>
      </c>
    </row>
    <row r="97">
      <c r="A97">
        <f>IF(AND(OR('Compliance Database'!$A97='Data Transfer'!$B$4,'Compliance Database'!$A97='Data Transfer'!$B$5),OR('Data Transfer'!$B$6="",ISNUMBER(SEARCH('Data Transfer'!$B$6,'Compliance Database'!$D97&amp;" "&amp;'Compliance Database'!$L97&amp;" "&amp;'Compliance Database'!$M97&amp;" "&amp;'Compliance Database'!$N97&amp;" "&amp;'Compliance Database'!$O97)))),1,0)</f>
        <v/>
      </c>
      <c r="B97">
        <f>IF($A97=1,SUM($A$2:$A97),"")</f>
        <v/>
      </c>
      <c r="C97">
        <f>IF($A97=1,SUM($A$2:$A97),0)</f>
        <v/>
      </c>
    </row>
    <row r="98">
      <c r="A98">
        <f>IF(AND(OR('Compliance Database'!$A98='Data Transfer'!$B$4,'Compliance Database'!$A98='Data Transfer'!$B$5),OR('Data Transfer'!$B$6="",ISNUMBER(SEARCH('Data Transfer'!$B$6,'Compliance Database'!$D98&amp;" "&amp;'Compliance Database'!$L98&amp;" "&amp;'Compliance Database'!$M98&amp;" "&amp;'Compliance Database'!$N98&amp;" "&amp;'Compliance Database'!$O98)))),1,0)</f>
        <v/>
      </c>
      <c r="B98">
        <f>IF($A98=1,SUM($A$2:$A98),"")</f>
        <v/>
      </c>
      <c r="C98">
        <f>IF($A98=1,SUM($A$2:$A98),0)</f>
        <v/>
      </c>
    </row>
    <row r="99">
      <c r="A99">
        <f>IF(AND(OR('Compliance Database'!$A99='Data Transfer'!$B$4,'Compliance Database'!$A99='Data Transfer'!$B$5),OR('Data Transfer'!$B$6="",ISNUMBER(SEARCH('Data Transfer'!$B$6,'Compliance Database'!$D99&amp;" "&amp;'Compliance Database'!$L99&amp;" "&amp;'Compliance Database'!$M99&amp;" "&amp;'Compliance Database'!$N99&amp;" "&amp;'Compliance Database'!$O99)))),1,0)</f>
        <v/>
      </c>
      <c r="B99">
        <f>IF($A99=1,SUM($A$2:$A99),"")</f>
        <v/>
      </c>
      <c r="C99">
        <f>IF($A99=1,SUM($A$2:$A99),0)</f>
        <v/>
      </c>
    </row>
    <row r="100">
      <c r="A100">
        <f>IF(AND(OR('Compliance Database'!$A100='Data Transfer'!$B$4,'Compliance Database'!$A100='Data Transfer'!$B$5),OR('Data Transfer'!$B$6="",ISNUMBER(SEARCH('Data Transfer'!$B$6,'Compliance Database'!$D100&amp;" "&amp;'Compliance Database'!$L100&amp;" "&amp;'Compliance Database'!$M100&amp;" "&amp;'Compliance Database'!$N100&amp;" "&amp;'Compliance Database'!$O100)))),1,0)</f>
        <v/>
      </c>
      <c r="B100">
        <f>IF($A100=1,SUM($A$2:$A100),"")</f>
        <v/>
      </c>
      <c r="C100">
        <f>IF($A100=1,SUM($A$2:$A100),0)</f>
        <v/>
      </c>
    </row>
    <row r="101">
      <c r="A101">
        <f>IF(AND(OR('Compliance Database'!$A101='Data Transfer'!$B$4,'Compliance Database'!$A101='Data Transfer'!$B$5),OR('Data Transfer'!$B$6="",ISNUMBER(SEARCH('Data Transfer'!$B$6,'Compliance Database'!$D101&amp;" "&amp;'Compliance Database'!$L101&amp;" "&amp;'Compliance Database'!$M101&amp;" "&amp;'Compliance Database'!$N101&amp;" "&amp;'Compliance Database'!$O101)))),1,0)</f>
        <v/>
      </c>
      <c r="B101">
        <f>IF($A101=1,SUM($A$2:$A101),"")</f>
        <v/>
      </c>
      <c r="C101">
        <f>IF($A101=1,SUM($A$2:$A101),0)</f>
        <v/>
      </c>
    </row>
    <row r="102">
      <c r="A102">
        <f>IF(AND(OR('Compliance Database'!$A102='Data Transfer'!$B$4,'Compliance Database'!$A102='Data Transfer'!$B$5),OR('Data Transfer'!$B$6="",ISNUMBER(SEARCH('Data Transfer'!$B$6,'Compliance Database'!$D102&amp;" "&amp;'Compliance Database'!$L102&amp;" "&amp;'Compliance Database'!$M102&amp;" "&amp;'Compliance Database'!$N102&amp;" "&amp;'Compliance Database'!$O102)))),1,0)</f>
        <v/>
      </c>
      <c r="B102">
        <f>IF($A102=1,SUM($A$2:$A102),"")</f>
        <v/>
      </c>
      <c r="C102">
        <f>IF($A102=1,SUM($A$2:$A102),0)</f>
        <v/>
      </c>
    </row>
    <row r="103">
      <c r="A103">
        <f>IF(AND(OR('Compliance Database'!$A103='Data Transfer'!$B$4,'Compliance Database'!$A103='Data Transfer'!$B$5),OR('Data Transfer'!$B$6="",ISNUMBER(SEARCH('Data Transfer'!$B$6,'Compliance Database'!$D103&amp;" "&amp;'Compliance Database'!$L103&amp;" "&amp;'Compliance Database'!$M103&amp;" "&amp;'Compliance Database'!$N103&amp;" "&amp;'Compliance Database'!$O103)))),1,0)</f>
        <v/>
      </c>
      <c r="B103">
        <f>IF($A103=1,SUM($A$2:$A103),"")</f>
        <v/>
      </c>
      <c r="C103">
        <f>IF($A103=1,SUM($A$2:$A103),0)</f>
        <v/>
      </c>
    </row>
    <row r="104">
      <c r="A104">
        <f>IF(AND(OR('Compliance Database'!$A104='Data Transfer'!$B$4,'Compliance Database'!$A104='Data Transfer'!$B$5),OR('Data Transfer'!$B$6="",ISNUMBER(SEARCH('Data Transfer'!$B$6,'Compliance Database'!$D104&amp;" "&amp;'Compliance Database'!$L104&amp;" "&amp;'Compliance Database'!$M104&amp;" "&amp;'Compliance Database'!$N104&amp;" "&amp;'Compliance Database'!$O104)))),1,0)</f>
        <v/>
      </c>
      <c r="B104">
        <f>IF($A104=1,SUM($A$2:$A104),"")</f>
        <v/>
      </c>
      <c r="C104">
        <f>IF($A104=1,SUM($A$2:$A104),0)</f>
        <v/>
      </c>
    </row>
    <row r="105">
      <c r="A105">
        <f>IF(AND(OR('Compliance Database'!$A105='Data Transfer'!$B$4,'Compliance Database'!$A105='Data Transfer'!$B$5),OR('Data Transfer'!$B$6="",ISNUMBER(SEARCH('Data Transfer'!$B$6,'Compliance Database'!$D105&amp;" "&amp;'Compliance Database'!$L105&amp;" "&amp;'Compliance Database'!$M105&amp;" "&amp;'Compliance Database'!$N105&amp;" "&amp;'Compliance Database'!$O105)))),1,0)</f>
        <v/>
      </c>
      <c r="B105">
        <f>IF($A105=1,SUM($A$2:$A105),"")</f>
        <v/>
      </c>
      <c r="C105">
        <f>IF($A105=1,SUM($A$2:$A105),0)</f>
        <v/>
      </c>
    </row>
    <row r="106">
      <c r="A106">
        <f>IF(AND(OR('Compliance Database'!$A106='Data Transfer'!$B$4,'Compliance Database'!$A106='Data Transfer'!$B$5),OR('Data Transfer'!$B$6="",ISNUMBER(SEARCH('Data Transfer'!$B$6,'Compliance Database'!$D106&amp;" "&amp;'Compliance Database'!$L106&amp;" "&amp;'Compliance Database'!$M106&amp;" "&amp;'Compliance Database'!$N106&amp;" "&amp;'Compliance Database'!$O106)))),1,0)</f>
        <v/>
      </c>
      <c r="B106">
        <f>IF($A106=1,SUM($A$2:$A106),"")</f>
        <v/>
      </c>
      <c r="C106">
        <f>IF($A106=1,SUM($A$2:$A106),0)</f>
        <v/>
      </c>
    </row>
    <row r="107">
      <c r="A107">
        <f>IF(AND(OR('Compliance Database'!$A107='Data Transfer'!$B$4,'Compliance Database'!$A107='Data Transfer'!$B$5),OR('Data Transfer'!$B$6="",ISNUMBER(SEARCH('Data Transfer'!$B$6,'Compliance Database'!$D107&amp;" "&amp;'Compliance Database'!$L107&amp;" "&amp;'Compliance Database'!$M107&amp;" "&amp;'Compliance Database'!$N107&amp;" "&amp;'Compliance Database'!$O107)))),1,0)</f>
        <v/>
      </c>
      <c r="B107">
        <f>IF($A107=1,SUM($A$2:$A107),"")</f>
        <v/>
      </c>
      <c r="C107">
        <f>IF($A107=1,SUM($A$2:$A107),0)</f>
        <v/>
      </c>
    </row>
    <row r="108">
      <c r="A108">
        <f>IF(AND(OR('Compliance Database'!$A108='Data Transfer'!$B$4,'Compliance Database'!$A108='Data Transfer'!$B$5),OR('Data Transfer'!$B$6="",ISNUMBER(SEARCH('Data Transfer'!$B$6,'Compliance Database'!$D108&amp;" "&amp;'Compliance Database'!$L108&amp;" "&amp;'Compliance Database'!$M108&amp;" "&amp;'Compliance Database'!$N108&amp;" "&amp;'Compliance Database'!$O108)))),1,0)</f>
        <v/>
      </c>
      <c r="B108">
        <f>IF($A108=1,SUM($A$2:$A108),"")</f>
        <v/>
      </c>
      <c r="C108">
        <f>IF($A108=1,SUM($A$2:$A108),0)</f>
        <v/>
      </c>
    </row>
    <row r="109">
      <c r="A109">
        <f>IF(AND(OR('Compliance Database'!$A109='Data Transfer'!$B$4,'Compliance Database'!$A109='Data Transfer'!$B$5),OR('Data Transfer'!$B$6="",ISNUMBER(SEARCH('Data Transfer'!$B$6,'Compliance Database'!$D109&amp;" "&amp;'Compliance Database'!$L109&amp;" "&amp;'Compliance Database'!$M109&amp;" "&amp;'Compliance Database'!$N109&amp;" "&amp;'Compliance Database'!$O109)))),1,0)</f>
        <v/>
      </c>
      <c r="B109">
        <f>IF($A109=1,SUM($A$2:$A109),"")</f>
        <v/>
      </c>
      <c r="C109">
        <f>IF($A109=1,SUM($A$2:$A109),0)</f>
        <v/>
      </c>
    </row>
    <row r="110">
      <c r="A110">
        <f>IF(AND(OR('Compliance Database'!$A110='Data Transfer'!$B$4,'Compliance Database'!$A110='Data Transfer'!$B$5),OR('Data Transfer'!$B$6="",ISNUMBER(SEARCH('Data Transfer'!$B$6,'Compliance Database'!$D110&amp;" "&amp;'Compliance Database'!$L110&amp;" "&amp;'Compliance Database'!$M110&amp;" "&amp;'Compliance Database'!$N110&amp;" "&amp;'Compliance Database'!$O110)))),1,0)</f>
        <v/>
      </c>
      <c r="B110">
        <f>IF($A110=1,SUM($A$2:$A110),"")</f>
        <v/>
      </c>
      <c r="C110">
        <f>IF($A110=1,SUM($A$2:$A110),0)</f>
        <v/>
      </c>
    </row>
    <row r="111">
      <c r="A111">
        <f>IF(AND(OR('Compliance Database'!$A111='Data Transfer'!$B$4,'Compliance Database'!$A111='Data Transfer'!$B$5),OR('Data Transfer'!$B$6="",ISNUMBER(SEARCH('Data Transfer'!$B$6,'Compliance Database'!$D111&amp;" "&amp;'Compliance Database'!$L111&amp;" "&amp;'Compliance Database'!$M111&amp;" "&amp;'Compliance Database'!$N111&amp;" "&amp;'Compliance Database'!$O111)))),1,0)</f>
        <v/>
      </c>
      <c r="B111">
        <f>IF($A111=1,SUM($A$2:$A111),"")</f>
        <v/>
      </c>
      <c r="C111">
        <f>IF($A111=1,SUM($A$2:$A111),0)</f>
        <v/>
      </c>
    </row>
    <row r="112">
      <c r="A112">
        <f>IF(AND(OR('Compliance Database'!$A112='Data Transfer'!$B$4,'Compliance Database'!$A112='Data Transfer'!$B$5),OR('Data Transfer'!$B$6="",ISNUMBER(SEARCH('Data Transfer'!$B$6,'Compliance Database'!$D112&amp;" "&amp;'Compliance Database'!$L112&amp;" "&amp;'Compliance Database'!$M112&amp;" "&amp;'Compliance Database'!$N112&amp;" "&amp;'Compliance Database'!$O112)))),1,0)</f>
        <v/>
      </c>
      <c r="B112">
        <f>IF($A112=1,SUM($A$2:$A112),"")</f>
        <v/>
      </c>
      <c r="C112">
        <f>IF($A112=1,SUM($A$2:$A112),0)</f>
        <v/>
      </c>
    </row>
    <row r="113">
      <c r="A113">
        <f>IF(AND(OR('Compliance Database'!$A113='Data Transfer'!$B$4,'Compliance Database'!$A113='Data Transfer'!$B$5),OR('Data Transfer'!$B$6="",ISNUMBER(SEARCH('Data Transfer'!$B$6,'Compliance Database'!$D113&amp;" "&amp;'Compliance Database'!$L113&amp;" "&amp;'Compliance Database'!$M113&amp;" "&amp;'Compliance Database'!$N113&amp;" "&amp;'Compliance Database'!$O113)))),1,0)</f>
        <v/>
      </c>
      <c r="B113">
        <f>IF($A113=1,SUM($A$2:$A113),"")</f>
        <v/>
      </c>
      <c r="C113">
        <f>IF($A113=1,SUM($A$2:$A113),0)</f>
        <v/>
      </c>
    </row>
    <row r="114">
      <c r="A114">
        <f>IF(AND(OR('Compliance Database'!$A114='Data Transfer'!$B$4,'Compliance Database'!$A114='Data Transfer'!$B$5),OR('Data Transfer'!$B$6="",ISNUMBER(SEARCH('Data Transfer'!$B$6,'Compliance Database'!$D114&amp;" "&amp;'Compliance Database'!$L114&amp;" "&amp;'Compliance Database'!$M114&amp;" "&amp;'Compliance Database'!$N114&amp;" "&amp;'Compliance Database'!$O114)))),1,0)</f>
        <v/>
      </c>
      <c r="B114">
        <f>IF($A114=1,SUM($A$2:$A114),"")</f>
        <v/>
      </c>
      <c r="C114">
        <f>IF($A114=1,SUM($A$2:$A114),0)</f>
        <v/>
      </c>
    </row>
    <row r="115">
      <c r="A115">
        <f>IF(AND(OR('Compliance Database'!$A115='Data Transfer'!$B$4,'Compliance Database'!$A115='Data Transfer'!$B$5),OR('Data Transfer'!$B$6="",ISNUMBER(SEARCH('Data Transfer'!$B$6,'Compliance Database'!$D115&amp;" "&amp;'Compliance Database'!$L115&amp;" "&amp;'Compliance Database'!$M115&amp;" "&amp;'Compliance Database'!$N115&amp;" "&amp;'Compliance Database'!$O115)))),1,0)</f>
        <v/>
      </c>
      <c r="B115">
        <f>IF($A115=1,SUM($A$2:$A115),"")</f>
        <v/>
      </c>
      <c r="C115">
        <f>IF($A115=1,SUM($A$2:$A115),0)</f>
        <v/>
      </c>
    </row>
    <row r="116">
      <c r="A116">
        <f>IF(AND(OR('Compliance Database'!$A116='Data Transfer'!$B$4,'Compliance Database'!$A116='Data Transfer'!$B$5),OR('Data Transfer'!$B$6="",ISNUMBER(SEARCH('Data Transfer'!$B$6,'Compliance Database'!$D116&amp;" "&amp;'Compliance Database'!$L116&amp;" "&amp;'Compliance Database'!$M116&amp;" "&amp;'Compliance Database'!$N116&amp;" "&amp;'Compliance Database'!$O116)))),1,0)</f>
        <v/>
      </c>
      <c r="B116">
        <f>IF($A116=1,SUM($A$2:$A116),"")</f>
        <v/>
      </c>
      <c r="C116">
        <f>IF($A116=1,SUM($A$2:$A116),0)</f>
        <v/>
      </c>
    </row>
    <row r="117">
      <c r="A117">
        <f>IF(AND(OR('Compliance Database'!$A117='Data Transfer'!$B$4,'Compliance Database'!$A117='Data Transfer'!$B$5),OR('Data Transfer'!$B$6="",ISNUMBER(SEARCH('Data Transfer'!$B$6,'Compliance Database'!$D117&amp;" "&amp;'Compliance Database'!$L117&amp;" "&amp;'Compliance Database'!$M117&amp;" "&amp;'Compliance Database'!$N117&amp;" "&amp;'Compliance Database'!$O117)))),1,0)</f>
        <v/>
      </c>
      <c r="B117">
        <f>IF($A117=1,SUM($A$2:$A117),"")</f>
        <v/>
      </c>
      <c r="C117">
        <f>IF($A117=1,SUM($A$2:$A117),0)</f>
        <v/>
      </c>
    </row>
    <row r="118">
      <c r="A118">
        <f>IF(AND(OR('Compliance Database'!$A118='Data Transfer'!$B$4,'Compliance Database'!$A118='Data Transfer'!$B$5),OR('Data Transfer'!$B$6="",ISNUMBER(SEARCH('Data Transfer'!$B$6,'Compliance Database'!$D118&amp;" "&amp;'Compliance Database'!$L118&amp;" "&amp;'Compliance Database'!$M118&amp;" "&amp;'Compliance Database'!$N118&amp;" "&amp;'Compliance Database'!$O118)))),1,0)</f>
        <v/>
      </c>
      <c r="B118">
        <f>IF($A118=1,SUM($A$2:$A118),"")</f>
        <v/>
      </c>
      <c r="C118">
        <f>IF($A118=1,SUM($A$2:$A118),0)</f>
        <v/>
      </c>
    </row>
    <row r="119">
      <c r="A119">
        <f>IF(AND(OR('Compliance Database'!$A119='Data Transfer'!$B$4,'Compliance Database'!$A119='Data Transfer'!$B$5),OR('Data Transfer'!$B$6="",ISNUMBER(SEARCH('Data Transfer'!$B$6,'Compliance Database'!$D119&amp;" "&amp;'Compliance Database'!$L119&amp;" "&amp;'Compliance Database'!$M119&amp;" "&amp;'Compliance Database'!$N119&amp;" "&amp;'Compliance Database'!$O119)))),1,0)</f>
        <v/>
      </c>
      <c r="B119">
        <f>IF($A119=1,SUM($A$2:$A119),"")</f>
        <v/>
      </c>
      <c r="C119">
        <f>IF($A119=1,SUM($A$2:$A119),0)</f>
        <v/>
      </c>
    </row>
    <row r="120">
      <c r="A120">
        <f>IF(AND(OR('Compliance Database'!$A120='Data Transfer'!$B$4,'Compliance Database'!$A120='Data Transfer'!$B$5),OR('Data Transfer'!$B$6="",ISNUMBER(SEARCH('Data Transfer'!$B$6,'Compliance Database'!$D120&amp;" "&amp;'Compliance Database'!$L120&amp;" "&amp;'Compliance Database'!$M120&amp;" "&amp;'Compliance Database'!$N120&amp;" "&amp;'Compliance Database'!$O120)))),1,0)</f>
        <v/>
      </c>
      <c r="B120">
        <f>IF($A120=1,SUM($A$2:$A120),"")</f>
        <v/>
      </c>
      <c r="C120">
        <f>IF($A120=1,SUM($A$2:$A120),0)</f>
        <v/>
      </c>
    </row>
    <row r="121">
      <c r="A121">
        <f>IF(AND(OR('Compliance Database'!$A121='Data Transfer'!$B$4,'Compliance Database'!$A121='Data Transfer'!$B$5),OR('Data Transfer'!$B$6="",ISNUMBER(SEARCH('Data Transfer'!$B$6,'Compliance Database'!$D121&amp;" "&amp;'Compliance Database'!$L121&amp;" "&amp;'Compliance Database'!$M121&amp;" "&amp;'Compliance Database'!$N121&amp;" "&amp;'Compliance Database'!$O121)))),1,0)</f>
        <v/>
      </c>
      <c r="B121">
        <f>IF($A121=1,SUM($A$2:$A121),"")</f>
        <v/>
      </c>
      <c r="C121">
        <f>IF($A121=1,SUM($A$2:$A121),0)</f>
        <v/>
      </c>
    </row>
    <row r="122">
      <c r="A122">
        <f>IF(AND(OR('Compliance Database'!$A122='Data Transfer'!$B$4,'Compliance Database'!$A122='Data Transfer'!$B$5),OR('Data Transfer'!$B$6="",ISNUMBER(SEARCH('Data Transfer'!$B$6,'Compliance Database'!$D122&amp;" "&amp;'Compliance Database'!$L122&amp;" "&amp;'Compliance Database'!$M122&amp;" "&amp;'Compliance Database'!$N122&amp;" "&amp;'Compliance Database'!$O122)))),1,0)</f>
        <v/>
      </c>
      <c r="B122">
        <f>IF($A122=1,SUM($A$2:$A122),"")</f>
        <v/>
      </c>
      <c r="C122">
        <f>IF($A122=1,SUM($A$2:$A122),0)</f>
        <v/>
      </c>
    </row>
    <row r="123">
      <c r="A123">
        <f>IF(AND(OR('Compliance Database'!$A123='Data Transfer'!$B$4,'Compliance Database'!$A123='Data Transfer'!$B$5),OR('Data Transfer'!$B$6="",ISNUMBER(SEARCH('Data Transfer'!$B$6,'Compliance Database'!$D123&amp;" "&amp;'Compliance Database'!$L123&amp;" "&amp;'Compliance Database'!$M123&amp;" "&amp;'Compliance Database'!$N123&amp;" "&amp;'Compliance Database'!$O123)))),1,0)</f>
        <v/>
      </c>
      <c r="B123">
        <f>IF($A123=1,SUM($A$2:$A123),"")</f>
        <v/>
      </c>
      <c r="C123">
        <f>IF($A123=1,SUM($A$2:$A123),0)</f>
        <v/>
      </c>
    </row>
    <row r="124">
      <c r="A124">
        <f>IF(AND(OR('Compliance Database'!$A124='Data Transfer'!$B$4,'Compliance Database'!$A124='Data Transfer'!$B$5),OR('Data Transfer'!$B$6="",ISNUMBER(SEARCH('Data Transfer'!$B$6,'Compliance Database'!$D124&amp;" "&amp;'Compliance Database'!$L124&amp;" "&amp;'Compliance Database'!$M124&amp;" "&amp;'Compliance Database'!$N124&amp;" "&amp;'Compliance Database'!$O124)))),1,0)</f>
        <v/>
      </c>
      <c r="B124">
        <f>IF($A124=1,SUM($A$2:$A124),"")</f>
        <v/>
      </c>
      <c r="C124">
        <f>IF($A124=1,SUM($A$2:$A124),0)</f>
        <v/>
      </c>
    </row>
    <row r="125">
      <c r="A125">
        <f>IF(AND(OR('Compliance Database'!$A125='Data Transfer'!$B$4,'Compliance Database'!$A125='Data Transfer'!$B$5),OR('Data Transfer'!$B$6="",ISNUMBER(SEARCH('Data Transfer'!$B$6,'Compliance Database'!$D125&amp;" "&amp;'Compliance Database'!$L125&amp;" "&amp;'Compliance Database'!$M125&amp;" "&amp;'Compliance Database'!$N125&amp;" "&amp;'Compliance Database'!$O125)))),1,0)</f>
        <v/>
      </c>
      <c r="B125">
        <f>IF($A125=1,SUM($A$2:$A125),"")</f>
        <v/>
      </c>
      <c r="C125">
        <f>IF($A125=1,SUM($A$2:$A125),0)</f>
        <v/>
      </c>
    </row>
    <row r="126">
      <c r="A126">
        <f>IF(AND(OR('Compliance Database'!$A126='Data Transfer'!$B$4,'Compliance Database'!$A126='Data Transfer'!$B$5),OR('Data Transfer'!$B$6="",ISNUMBER(SEARCH('Data Transfer'!$B$6,'Compliance Database'!$D126&amp;" "&amp;'Compliance Database'!$L126&amp;" "&amp;'Compliance Database'!$M126&amp;" "&amp;'Compliance Database'!$N126&amp;" "&amp;'Compliance Database'!$O126)))),1,0)</f>
        <v/>
      </c>
      <c r="B126">
        <f>IF($A126=1,SUM($A$2:$A126),"")</f>
        <v/>
      </c>
      <c r="C126">
        <f>IF($A126=1,SUM($A$2:$A126),0)</f>
        <v/>
      </c>
    </row>
    <row r="127">
      <c r="A127">
        <f>IF(AND(OR('Compliance Database'!$A127='Data Transfer'!$B$4,'Compliance Database'!$A127='Data Transfer'!$B$5),OR('Data Transfer'!$B$6="",ISNUMBER(SEARCH('Data Transfer'!$B$6,'Compliance Database'!$D127&amp;" "&amp;'Compliance Database'!$L127&amp;" "&amp;'Compliance Database'!$M127&amp;" "&amp;'Compliance Database'!$N127&amp;" "&amp;'Compliance Database'!$O127)))),1,0)</f>
        <v/>
      </c>
      <c r="B127">
        <f>IF($A127=1,SUM($A$2:$A127),"")</f>
        <v/>
      </c>
      <c r="C127">
        <f>IF($A127=1,SUM($A$2:$A127),0)</f>
        <v/>
      </c>
    </row>
    <row r="128">
      <c r="A128">
        <f>IF(AND(OR('Compliance Database'!$A128='Data Transfer'!$B$4,'Compliance Database'!$A128='Data Transfer'!$B$5),OR('Data Transfer'!$B$6="",ISNUMBER(SEARCH('Data Transfer'!$B$6,'Compliance Database'!$D128&amp;" "&amp;'Compliance Database'!$L128&amp;" "&amp;'Compliance Database'!$M128&amp;" "&amp;'Compliance Database'!$N128&amp;" "&amp;'Compliance Database'!$O128)))),1,0)</f>
        <v/>
      </c>
      <c r="B128">
        <f>IF($A128=1,SUM($A$2:$A128),"")</f>
        <v/>
      </c>
      <c r="C128">
        <f>IF($A128=1,SUM($A$2:$A128),0)</f>
        <v/>
      </c>
    </row>
    <row r="129">
      <c r="A129">
        <f>IF(AND(OR('Compliance Database'!$A129='Data Transfer'!$B$4,'Compliance Database'!$A129='Data Transfer'!$B$5),OR('Data Transfer'!$B$6="",ISNUMBER(SEARCH('Data Transfer'!$B$6,'Compliance Database'!$D129&amp;" "&amp;'Compliance Database'!$L129&amp;" "&amp;'Compliance Database'!$M129&amp;" "&amp;'Compliance Database'!$N129&amp;" "&amp;'Compliance Database'!$O129)))),1,0)</f>
        <v/>
      </c>
      <c r="B129">
        <f>IF($A129=1,SUM($A$2:$A129),"")</f>
        <v/>
      </c>
      <c r="C129">
        <f>IF($A129=1,SUM($A$2:$A129),0)</f>
        <v/>
      </c>
    </row>
    <row r="130">
      <c r="A130">
        <f>IF(AND(OR('Compliance Database'!$A130='Data Transfer'!$B$4,'Compliance Database'!$A130='Data Transfer'!$B$5),OR('Data Transfer'!$B$6="",ISNUMBER(SEARCH('Data Transfer'!$B$6,'Compliance Database'!$D130&amp;" "&amp;'Compliance Database'!$L130&amp;" "&amp;'Compliance Database'!$M130&amp;" "&amp;'Compliance Database'!$N130&amp;" "&amp;'Compliance Database'!$O130)))),1,0)</f>
        <v/>
      </c>
      <c r="B130">
        <f>IF($A130=1,SUM($A$2:$A130),"")</f>
        <v/>
      </c>
      <c r="C130">
        <f>IF($A130=1,SUM($A$2:$A130),0)</f>
        <v/>
      </c>
    </row>
    <row r="131">
      <c r="A131">
        <f>IF(AND(OR('Compliance Database'!$A131='Data Transfer'!$B$4,'Compliance Database'!$A131='Data Transfer'!$B$5),OR('Data Transfer'!$B$6="",ISNUMBER(SEARCH('Data Transfer'!$B$6,'Compliance Database'!$D131&amp;" "&amp;'Compliance Database'!$L131&amp;" "&amp;'Compliance Database'!$M131&amp;" "&amp;'Compliance Database'!$N131&amp;" "&amp;'Compliance Database'!$O131)))),1,0)</f>
        <v/>
      </c>
      <c r="B131">
        <f>IF($A131=1,SUM($A$2:$A131),"")</f>
        <v/>
      </c>
      <c r="C131">
        <f>IF($A131=1,SUM($A$2:$A131),0)</f>
        <v/>
      </c>
    </row>
    <row r="132">
      <c r="A132">
        <f>IF(AND(OR('Compliance Database'!$A132='Data Transfer'!$B$4,'Compliance Database'!$A132='Data Transfer'!$B$5),OR('Data Transfer'!$B$6="",ISNUMBER(SEARCH('Data Transfer'!$B$6,'Compliance Database'!$D132&amp;" "&amp;'Compliance Database'!$L132&amp;" "&amp;'Compliance Database'!$M132&amp;" "&amp;'Compliance Database'!$N132&amp;" "&amp;'Compliance Database'!$O132)))),1,0)</f>
        <v/>
      </c>
      <c r="B132">
        <f>IF($A132=1,SUM($A$2:$A132),"")</f>
        <v/>
      </c>
      <c r="C132">
        <f>IF($A132=1,SUM($A$2:$A132),0)</f>
        <v/>
      </c>
    </row>
    <row r="133">
      <c r="A133">
        <f>IF(AND(OR('Compliance Database'!$A133='Data Transfer'!$B$4,'Compliance Database'!$A133='Data Transfer'!$B$5),OR('Data Transfer'!$B$6="",ISNUMBER(SEARCH('Data Transfer'!$B$6,'Compliance Database'!$D133&amp;" "&amp;'Compliance Database'!$L133&amp;" "&amp;'Compliance Database'!$M133&amp;" "&amp;'Compliance Database'!$N133&amp;" "&amp;'Compliance Database'!$O133)))),1,0)</f>
        <v/>
      </c>
      <c r="B133">
        <f>IF($A133=1,SUM($A$2:$A133),"")</f>
        <v/>
      </c>
      <c r="C133">
        <f>IF($A133=1,SUM($A$2:$A133),0)</f>
        <v/>
      </c>
    </row>
    <row r="134">
      <c r="A134">
        <f>IF(AND(OR('Compliance Database'!$A134='Data Transfer'!$B$4,'Compliance Database'!$A134='Data Transfer'!$B$5),OR('Data Transfer'!$B$6="",ISNUMBER(SEARCH('Data Transfer'!$B$6,'Compliance Database'!$D134&amp;" "&amp;'Compliance Database'!$L134&amp;" "&amp;'Compliance Database'!$M134&amp;" "&amp;'Compliance Database'!$N134&amp;" "&amp;'Compliance Database'!$O134)))),1,0)</f>
        <v/>
      </c>
      <c r="B134">
        <f>IF($A134=1,SUM($A$2:$A134),"")</f>
        <v/>
      </c>
      <c r="C134">
        <f>IF($A134=1,SUM($A$2:$A134),0)</f>
        <v/>
      </c>
    </row>
    <row r="135">
      <c r="A135">
        <f>IF(AND(OR('Compliance Database'!$A135='Data Transfer'!$B$4,'Compliance Database'!$A135='Data Transfer'!$B$5),OR('Data Transfer'!$B$6="",ISNUMBER(SEARCH('Data Transfer'!$B$6,'Compliance Database'!$D135&amp;" "&amp;'Compliance Database'!$L135&amp;" "&amp;'Compliance Database'!$M135&amp;" "&amp;'Compliance Database'!$N135&amp;" "&amp;'Compliance Database'!$O135)))),1,0)</f>
        <v/>
      </c>
      <c r="B135">
        <f>IF($A135=1,SUM($A$2:$A135),"")</f>
        <v/>
      </c>
      <c r="C135">
        <f>IF($A135=1,SUM($A$2:$A135),0)</f>
        <v/>
      </c>
    </row>
    <row r="136">
      <c r="A136">
        <f>IF(AND(OR('Compliance Database'!$A136='Data Transfer'!$B$4,'Compliance Database'!$A136='Data Transfer'!$B$5),OR('Data Transfer'!$B$6="",ISNUMBER(SEARCH('Data Transfer'!$B$6,'Compliance Database'!$D136&amp;" "&amp;'Compliance Database'!$L136&amp;" "&amp;'Compliance Database'!$M136&amp;" "&amp;'Compliance Database'!$N136&amp;" "&amp;'Compliance Database'!$O136)))),1,0)</f>
        <v/>
      </c>
      <c r="B136">
        <f>IF($A136=1,SUM($A$2:$A136),"")</f>
        <v/>
      </c>
      <c r="C136">
        <f>IF($A136=1,SUM($A$2:$A136),0)</f>
        <v/>
      </c>
    </row>
    <row r="137">
      <c r="A137">
        <f>IF(AND(OR('Compliance Database'!$A137='Data Transfer'!$B$4,'Compliance Database'!$A137='Data Transfer'!$B$5),OR('Data Transfer'!$B$6="",ISNUMBER(SEARCH('Data Transfer'!$B$6,'Compliance Database'!$D137&amp;" "&amp;'Compliance Database'!$L137&amp;" "&amp;'Compliance Database'!$M137&amp;" "&amp;'Compliance Database'!$N137&amp;" "&amp;'Compliance Database'!$O137)))),1,0)</f>
        <v/>
      </c>
      <c r="B137">
        <f>IF($A137=1,SUM($A$2:$A137),"")</f>
        <v/>
      </c>
      <c r="C137">
        <f>IF($A137=1,SUM($A$2:$A137),0)</f>
        <v/>
      </c>
    </row>
    <row r="138">
      <c r="A138">
        <f>IF(AND(OR('Compliance Database'!$A138='Data Transfer'!$B$4,'Compliance Database'!$A138='Data Transfer'!$B$5),OR('Data Transfer'!$B$6="",ISNUMBER(SEARCH('Data Transfer'!$B$6,'Compliance Database'!$D138&amp;" "&amp;'Compliance Database'!$L138&amp;" "&amp;'Compliance Database'!$M138&amp;" "&amp;'Compliance Database'!$N138&amp;" "&amp;'Compliance Database'!$O138)))),1,0)</f>
        <v/>
      </c>
      <c r="B138">
        <f>IF($A138=1,SUM($A$2:$A138),"")</f>
        <v/>
      </c>
      <c r="C138">
        <f>IF($A138=1,SUM($A$2:$A138),0)</f>
        <v/>
      </c>
    </row>
    <row r="139">
      <c r="A139">
        <f>IF(AND(OR('Compliance Database'!$A139='Data Transfer'!$B$4,'Compliance Database'!$A139='Data Transfer'!$B$5),OR('Data Transfer'!$B$6="",ISNUMBER(SEARCH('Data Transfer'!$B$6,'Compliance Database'!$D139&amp;" "&amp;'Compliance Database'!$L139&amp;" "&amp;'Compliance Database'!$M139&amp;" "&amp;'Compliance Database'!$N139&amp;" "&amp;'Compliance Database'!$O139)))),1,0)</f>
        <v/>
      </c>
      <c r="B139">
        <f>IF($A139=1,SUM($A$2:$A139),"")</f>
        <v/>
      </c>
      <c r="C139">
        <f>IF($A139=1,SUM($A$2:$A139),0)</f>
        <v/>
      </c>
    </row>
    <row r="140">
      <c r="A140">
        <f>IF(AND(OR('Compliance Database'!$A140='Data Transfer'!$B$4,'Compliance Database'!$A140='Data Transfer'!$B$5),OR('Data Transfer'!$B$6="",ISNUMBER(SEARCH('Data Transfer'!$B$6,'Compliance Database'!$D140&amp;" "&amp;'Compliance Database'!$L140&amp;" "&amp;'Compliance Database'!$M140&amp;" "&amp;'Compliance Database'!$N140&amp;" "&amp;'Compliance Database'!$O140)))),1,0)</f>
        <v/>
      </c>
      <c r="B140">
        <f>IF($A140=1,SUM($A$2:$A140),"")</f>
        <v/>
      </c>
      <c r="C140">
        <f>IF($A140=1,SUM($A$2:$A140),0)</f>
        <v/>
      </c>
    </row>
    <row r="141">
      <c r="A141">
        <f>IF(AND(OR('Compliance Database'!$A141='Data Transfer'!$B$4,'Compliance Database'!$A141='Data Transfer'!$B$5),OR('Data Transfer'!$B$6="",ISNUMBER(SEARCH('Data Transfer'!$B$6,'Compliance Database'!$D141&amp;" "&amp;'Compliance Database'!$L141&amp;" "&amp;'Compliance Database'!$M141&amp;" "&amp;'Compliance Database'!$N141&amp;" "&amp;'Compliance Database'!$O141)))),1,0)</f>
        <v/>
      </c>
      <c r="B141">
        <f>IF($A141=1,SUM($A$2:$A141),"")</f>
        <v/>
      </c>
      <c r="C141">
        <f>IF($A141=1,SUM($A$2:$A141),0)</f>
        <v/>
      </c>
    </row>
    <row r="142">
      <c r="A142">
        <f>IF(AND(OR('Compliance Database'!$A142='Data Transfer'!$B$4,'Compliance Database'!$A142='Data Transfer'!$B$5),OR('Data Transfer'!$B$6="",ISNUMBER(SEARCH('Data Transfer'!$B$6,'Compliance Database'!$D142&amp;" "&amp;'Compliance Database'!$L142&amp;" "&amp;'Compliance Database'!$M142&amp;" "&amp;'Compliance Database'!$N142&amp;" "&amp;'Compliance Database'!$O142)))),1,0)</f>
        <v/>
      </c>
      <c r="B142">
        <f>IF($A142=1,SUM($A$2:$A142),"")</f>
        <v/>
      </c>
      <c r="C142">
        <f>IF($A142=1,SUM($A$2:$A142),0)</f>
        <v/>
      </c>
    </row>
    <row r="143">
      <c r="A143">
        <f>IF(AND(OR('Compliance Database'!$A143='Data Transfer'!$B$4,'Compliance Database'!$A143='Data Transfer'!$B$5),OR('Data Transfer'!$B$6="",ISNUMBER(SEARCH('Data Transfer'!$B$6,'Compliance Database'!$D143&amp;" "&amp;'Compliance Database'!$L143&amp;" "&amp;'Compliance Database'!$M143&amp;" "&amp;'Compliance Database'!$N143&amp;" "&amp;'Compliance Database'!$O143)))),1,0)</f>
        <v/>
      </c>
      <c r="B143">
        <f>IF($A143=1,SUM($A$2:$A143),"")</f>
        <v/>
      </c>
      <c r="C143">
        <f>IF($A143=1,SUM($A$2:$A143),0)</f>
        <v/>
      </c>
    </row>
    <row r="144">
      <c r="A144">
        <f>IF(AND(OR('Compliance Database'!$A144='Data Transfer'!$B$4,'Compliance Database'!$A144='Data Transfer'!$B$5),OR('Data Transfer'!$B$6="",ISNUMBER(SEARCH('Data Transfer'!$B$6,'Compliance Database'!$D144&amp;" "&amp;'Compliance Database'!$L144&amp;" "&amp;'Compliance Database'!$M144&amp;" "&amp;'Compliance Database'!$N144&amp;" "&amp;'Compliance Database'!$O144)))),1,0)</f>
        <v/>
      </c>
      <c r="B144">
        <f>IF($A144=1,SUM($A$2:$A144),"")</f>
        <v/>
      </c>
      <c r="C144">
        <f>IF($A144=1,SUM($A$2:$A144),0)</f>
        <v/>
      </c>
    </row>
    <row r="145">
      <c r="A145">
        <f>IF(AND(OR('Compliance Database'!$A145='Data Transfer'!$B$4,'Compliance Database'!$A145='Data Transfer'!$B$5),OR('Data Transfer'!$B$6="",ISNUMBER(SEARCH('Data Transfer'!$B$6,'Compliance Database'!$D145&amp;" "&amp;'Compliance Database'!$L145&amp;" "&amp;'Compliance Database'!$M145&amp;" "&amp;'Compliance Database'!$N145&amp;" "&amp;'Compliance Database'!$O145)))),1,0)</f>
        <v/>
      </c>
      <c r="B145">
        <f>IF($A145=1,SUM($A$2:$A145),"")</f>
        <v/>
      </c>
      <c r="C145">
        <f>IF($A145=1,SUM($A$2:$A145),0)</f>
        <v/>
      </c>
    </row>
    <row r="146">
      <c r="A146">
        <f>IF(AND(OR('Compliance Database'!$A146='Data Transfer'!$B$4,'Compliance Database'!$A146='Data Transfer'!$B$5),OR('Data Transfer'!$B$6="",ISNUMBER(SEARCH('Data Transfer'!$B$6,'Compliance Database'!$D146&amp;" "&amp;'Compliance Database'!$L146&amp;" "&amp;'Compliance Database'!$M146&amp;" "&amp;'Compliance Database'!$N146&amp;" "&amp;'Compliance Database'!$O146)))),1,0)</f>
        <v/>
      </c>
      <c r="B146">
        <f>IF($A146=1,SUM($A$2:$A146),"")</f>
        <v/>
      </c>
      <c r="C146">
        <f>IF($A146=1,SUM($A$2:$A146),0)</f>
        <v/>
      </c>
    </row>
    <row r="147">
      <c r="A147">
        <f>IF(AND(OR('Compliance Database'!$A147='Data Transfer'!$B$4,'Compliance Database'!$A147='Data Transfer'!$B$5),OR('Data Transfer'!$B$6="",ISNUMBER(SEARCH('Data Transfer'!$B$6,'Compliance Database'!$D147&amp;" "&amp;'Compliance Database'!$L147&amp;" "&amp;'Compliance Database'!$M147&amp;" "&amp;'Compliance Database'!$N147&amp;" "&amp;'Compliance Database'!$O147)))),1,0)</f>
        <v/>
      </c>
      <c r="B147">
        <f>IF($A147=1,SUM($A$2:$A147),"")</f>
        <v/>
      </c>
      <c r="C147">
        <f>IF($A147=1,SUM($A$2:$A147),0)</f>
        <v/>
      </c>
    </row>
    <row r="148">
      <c r="A148">
        <f>IF(AND(OR('Compliance Database'!$A148='Data Transfer'!$B$4,'Compliance Database'!$A148='Data Transfer'!$B$5),OR('Data Transfer'!$B$6="",ISNUMBER(SEARCH('Data Transfer'!$B$6,'Compliance Database'!$D148&amp;" "&amp;'Compliance Database'!$L148&amp;" "&amp;'Compliance Database'!$M148&amp;" "&amp;'Compliance Database'!$N148&amp;" "&amp;'Compliance Database'!$O148)))),1,0)</f>
        <v/>
      </c>
      <c r="B148">
        <f>IF($A148=1,SUM($A$2:$A148),"")</f>
        <v/>
      </c>
      <c r="C148">
        <f>IF($A148=1,SUM($A$2:$A148),0)</f>
        <v/>
      </c>
    </row>
    <row r="149">
      <c r="A149">
        <f>IF(AND(OR('Compliance Database'!$A149='Data Transfer'!$B$4,'Compliance Database'!$A149='Data Transfer'!$B$5),OR('Data Transfer'!$B$6="",ISNUMBER(SEARCH('Data Transfer'!$B$6,'Compliance Database'!$D149&amp;" "&amp;'Compliance Database'!$L149&amp;" "&amp;'Compliance Database'!$M149&amp;" "&amp;'Compliance Database'!$N149&amp;" "&amp;'Compliance Database'!$O149)))),1,0)</f>
        <v/>
      </c>
      <c r="B149">
        <f>IF($A149=1,SUM($A$2:$A149),"")</f>
        <v/>
      </c>
      <c r="C149">
        <f>IF($A149=1,SUM($A$2:$A149),0)</f>
        <v/>
      </c>
    </row>
    <row r="150">
      <c r="A150">
        <f>IF(AND(OR('Compliance Database'!$A150='Data Transfer'!$B$4,'Compliance Database'!$A150='Data Transfer'!$B$5),OR('Data Transfer'!$B$6="",ISNUMBER(SEARCH('Data Transfer'!$B$6,'Compliance Database'!$D150&amp;" "&amp;'Compliance Database'!$L150&amp;" "&amp;'Compliance Database'!$M150&amp;" "&amp;'Compliance Database'!$N150&amp;" "&amp;'Compliance Database'!$O150)))),1,0)</f>
        <v/>
      </c>
      <c r="B150">
        <f>IF($A150=1,SUM($A$2:$A150),"")</f>
        <v/>
      </c>
      <c r="C150">
        <f>IF($A150=1,SUM($A$2:$A150),0)</f>
        <v/>
      </c>
    </row>
    <row r="151">
      <c r="A151">
        <f>IF(AND(OR('Compliance Database'!$A151='Data Transfer'!$B$4,'Compliance Database'!$A151='Data Transfer'!$B$5),OR('Data Transfer'!$B$6="",ISNUMBER(SEARCH('Data Transfer'!$B$6,'Compliance Database'!$D151&amp;" "&amp;'Compliance Database'!$L151&amp;" "&amp;'Compliance Database'!$M151&amp;" "&amp;'Compliance Database'!$N151&amp;" "&amp;'Compliance Database'!$O151)))),1,0)</f>
        <v/>
      </c>
      <c r="B151">
        <f>IF($A151=1,SUM($A$2:$A151),"")</f>
        <v/>
      </c>
      <c r="C151">
        <f>IF($A151=1,SUM($A$2:$A151),0)</f>
        <v/>
      </c>
    </row>
    <row r="152">
      <c r="A152">
        <f>IF(AND(OR('Compliance Database'!$A152='Data Transfer'!$B$4,'Compliance Database'!$A152='Data Transfer'!$B$5),OR('Data Transfer'!$B$6="",ISNUMBER(SEARCH('Data Transfer'!$B$6,'Compliance Database'!$D152&amp;" "&amp;'Compliance Database'!$L152&amp;" "&amp;'Compliance Database'!$M152&amp;" "&amp;'Compliance Database'!$N152&amp;" "&amp;'Compliance Database'!$O152)))),1,0)</f>
        <v/>
      </c>
      <c r="B152">
        <f>IF($A152=1,SUM($A$2:$A152),"")</f>
        <v/>
      </c>
      <c r="C152">
        <f>IF($A152=1,SUM($A$2:$A152),0)</f>
        <v/>
      </c>
    </row>
    <row r="153">
      <c r="A153">
        <f>IF(AND(OR('Compliance Database'!$A153='Data Transfer'!$B$4,'Compliance Database'!$A153='Data Transfer'!$B$5),OR('Data Transfer'!$B$6="",ISNUMBER(SEARCH('Data Transfer'!$B$6,'Compliance Database'!$D153&amp;" "&amp;'Compliance Database'!$L153&amp;" "&amp;'Compliance Database'!$M153&amp;" "&amp;'Compliance Database'!$N153&amp;" "&amp;'Compliance Database'!$O153)))),1,0)</f>
        <v/>
      </c>
      <c r="B153">
        <f>IF($A153=1,SUM($A$2:$A153),"")</f>
        <v/>
      </c>
      <c r="C153">
        <f>IF($A153=1,SUM($A$2:$A153),0)</f>
        <v/>
      </c>
    </row>
    <row r="154">
      <c r="A154">
        <f>IF(AND(OR('Compliance Database'!$A154='Data Transfer'!$B$4,'Compliance Database'!$A154='Data Transfer'!$B$5),OR('Data Transfer'!$B$6="",ISNUMBER(SEARCH('Data Transfer'!$B$6,'Compliance Database'!$D154&amp;" "&amp;'Compliance Database'!$L154&amp;" "&amp;'Compliance Database'!$M154&amp;" "&amp;'Compliance Database'!$N154&amp;" "&amp;'Compliance Database'!$O154)))),1,0)</f>
        <v/>
      </c>
      <c r="B154">
        <f>IF($A154=1,SUM($A$2:$A154),"")</f>
        <v/>
      </c>
      <c r="C154">
        <f>IF($A154=1,SUM($A$2:$A154),0)</f>
        <v/>
      </c>
    </row>
    <row r="155">
      <c r="A155">
        <f>IF(AND(OR('Compliance Database'!$A155='Data Transfer'!$B$4,'Compliance Database'!$A155='Data Transfer'!$B$5),OR('Data Transfer'!$B$6="",ISNUMBER(SEARCH('Data Transfer'!$B$6,'Compliance Database'!$D155&amp;" "&amp;'Compliance Database'!$L155&amp;" "&amp;'Compliance Database'!$M155&amp;" "&amp;'Compliance Database'!$N155&amp;" "&amp;'Compliance Database'!$O155)))),1,0)</f>
        <v/>
      </c>
      <c r="B155">
        <f>IF($A155=1,SUM($A$2:$A155),"")</f>
        <v/>
      </c>
      <c r="C155">
        <f>IF($A155=1,SUM($A$2:$A155),0)</f>
        <v/>
      </c>
    </row>
    <row r="156">
      <c r="A156">
        <f>IF(AND(OR('Compliance Database'!$A156='Data Transfer'!$B$4,'Compliance Database'!$A156='Data Transfer'!$B$5),OR('Data Transfer'!$B$6="",ISNUMBER(SEARCH('Data Transfer'!$B$6,'Compliance Database'!$D156&amp;" "&amp;'Compliance Database'!$L156&amp;" "&amp;'Compliance Database'!$M156&amp;" "&amp;'Compliance Database'!$N156&amp;" "&amp;'Compliance Database'!$O156)))),1,0)</f>
        <v/>
      </c>
      <c r="B156">
        <f>IF($A156=1,SUM($A$2:$A156),"")</f>
        <v/>
      </c>
      <c r="C156">
        <f>IF($A156=1,SUM($A$2:$A156),0)</f>
        <v/>
      </c>
    </row>
    <row r="157">
      <c r="A157">
        <f>IF(AND(OR('Compliance Database'!$A157='Data Transfer'!$B$4,'Compliance Database'!$A157='Data Transfer'!$B$5),OR('Data Transfer'!$B$6="",ISNUMBER(SEARCH('Data Transfer'!$B$6,'Compliance Database'!$D157&amp;" "&amp;'Compliance Database'!$L157&amp;" "&amp;'Compliance Database'!$M157&amp;" "&amp;'Compliance Database'!$N157&amp;" "&amp;'Compliance Database'!$O157)))),1,0)</f>
        <v/>
      </c>
      <c r="B157">
        <f>IF($A157=1,SUM($A$2:$A157),"")</f>
        <v/>
      </c>
      <c r="C157">
        <f>IF($A157=1,SUM($A$2:$A157),0)</f>
        <v/>
      </c>
    </row>
    <row r="158">
      <c r="A158">
        <f>IF(AND(OR('Compliance Database'!$A158='Data Transfer'!$B$4,'Compliance Database'!$A158='Data Transfer'!$B$5),OR('Data Transfer'!$B$6="",ISNUMBER(SEARCH('Data Transfer'!$B$6,'Compliance Database'!$D158&amp;" "&amp;'Compliance Database'!$L158&amp;" "&amp;'Compliance Database'!$M158&amp;" "&amp;'Compliance Database'!$N158&amp;" "&amp;'Compliance Database'!$O158)))),1,0)</f>
        <v/>
      </c>
      <c r="B158">
        <f>IF($A158=1,SUM($A$2:$A158),"")</f>
        <v/>
      </c>
      <c r="C158">
        <f>IF($A158=1,SUM($A$2:$A158),0)</f>
        <v/>
      </c>
    </row>
    <row r="159">
      <c r="A159">
        <f>IF(AND(OR('Compliance Database'!$A159='Data Transfer'!$B$4,'Compliance Database'!$A159='Data Transfer'!$B$5),OR('Data Transfer'!$B$6="",ISNUMBER(SEARCH('Data Transfer'!$B$6,'Compliance Database'!$D159&amp;" "&amp;'Compliance Database'!$L159&amp;" "&amp;'Compliance Database'!$M159&amp;" "&amp;'Compliance Database'!$N159&amp;" "&amp;'Compliance Database'!$O159)))),1,0)</f>
        <v/>
      </c>
      <c r="B159">
        <f>IF($A159=1,SUM($A$2:$A159),"")</f>
        <v/>
      </c>
      <c r="C159">
        <f>IF($A159=1,SUM($A$2:$A159),0)</f>
        <v/>
      </c>
    </row>
    <row r="160">
      <c r="A160">
        <f>IF(AND(OR('Compliance Database'!$A160='Data Transfer'!$B$4,'Compliance Database'!$A160='Data Transfer'!$B$5),OR('Data Transfer'!$B$6="",ISNUMBER(SEARCH('Data Transfer'!$B$6,'Compliance Database'!$D160&amp;" "&amp;'Compliance Database'!$L160&amp;" "&amp;'Compliance Database'!$M160&amp;" "&amp;'Compliance Database'!$N160&amp;" "&amp;'Compliance Database'!$O160)))),1,0)</f>
        <v/>
      </c>
      <c r="B160">
        <f>IF($A160=1,SUM($A$2:$A160),"")</f>
        <v/>
      </c>
      <c r="C160">
        <f>IF($A160=1,SUM($A$2:$A160),0)</f>
        <v/>
      </c>
    </row>
    <row r="161">
      <c r="A161">
        <f>IF(AND(OR('Compliance Database'!$A161='Data Transfer'!$B$4,'Compliance Database'!$A161='Data Transfer'!$B$5),OR('Data Transfer'!$B$6="",ISNUMBER(SEARCH('Data Transfer'!$B$6,'Compliance Database'!$D161&amp;" "&amp;'Compliance Database'!$L161&amp;" "&amp;'Compliance Database'!$M161&amp;" "&amp;'Compliance Database'!$N161&amp;" "&amp;'Compliance Database'!$O161)))),1,0)</f>
        <v/>
      </c>
      <c r="B161">
        <f>IF($A161=1,SUM($A$2:$A161),"")</f>
        <v/>
      </c>
      <c r="C161">
        <f>IF($A161=1,SUM($A$2:$A161),0)</f>
        <v/>
      </c>
    </row>
    <row r="162">
      <c r="A162">
        <f>IF(AND(OR('Compliance Database'!$A162='Data Transfer'!$B$4,'Compliance Database'!$A162='Data Transfer'!$B$5),OR('Data Transfer'!$B$6="",ISNUMBER(SEARCH('Data Transfer'!$B$6,'Compliance Database'!$D162&amp;" "&amp;'Compliance Database'!$L162&amp;" "&amp;'Compliance Database'!$M162&amp;" "&amp;'Compliance Database'!$N162&amp;" "&amp;'Compliance Database'!$O162)))),1,0)</f>
        <v/>
      </c>
      <c r="B162">
        <f>IF($A162=1,SUM($A$2:$A162),"")</f>
        <v/>
      </c>
      <c r="C162">
        <f>IF($A162=1,SUM($A$2:$A162),0)</f>
        <v/>
      </c>
    </row>
    <row r="163">
      <c r="A163">
        <f>IF(AND(OR('Compliance Database'!$A163='Data Transfer'!$B$4,'Compliance Database'!$A163='Data Transfer'!$B$5),OR('Data Transfer'!$B$6="",ISNUMBER(SEARCH('Data Transfer'!$B$6,'Compliance Database'!$D163&amp;" "&amp;'Compliance Database'!$L163&amp;" "&amp;'Compliance Database'!$M163&amp;" "&amp;'Compliance Database'!$N163&amp;" "&amp;'Compliance Database'!$O163)))),1,0)</f>
        <v/>
      </c>
      <c r="B163">
        <f>IF($A163=1,SUM($A$2:$A163),"")</f>
        <v/>
      </c>
      <c r="C163">
        <f>IF($A163=1,SUM($A$2:$A163),0)</f>
        <v/>
      </c>
    </row>
    <row r="164">
      <c r="A164">
        <f>IF(AND(OR('Compliance Database'!$A164='Data Transfer'!$B$4,'Compliance Database'!$A164='Data Transfer'!$B$5),OR('Data Transfer'!$B$6="",ISNUMBER(SEARCH('Data Transfer'!$B$6,'Compliance Database'!$D164&amp;" "&amp;'Compliance Database'!$L164&amp;" "&amp;'Compliance Database'!$M164&amp;" "&amp;'Compliance Database'!$N164&amp;" "&amp;'Compliance Database'!$O164)))),1,0)</f>
        <v/>
      </c>
      <c r="B164">
        <f>IF($A164=1,SUM($A$2:$A164),"")</f>
        <v/>
      </c>
      <c r="C164">
        <f>IF($A164=1,SUM($A$2:$A164),0)</f>
        <v/>
      </c>
    </row>
    <row r="165">
      <c r="A165">
        <f>IF(AND(OR('Compliance Database'!$A165='Data Transfer'!$B$4,'Compliance Database'!$A165='Data Transfer'!$B$5),OR('Data Transfer'!$B$6="",ISNUMBER(SEARCH('Data Transfer'!$B$6,'Compliance Database'!$D165&amp;" "&amp;'Compliance Database'!$L165&amp;" "&amp;'Compliance Database'!$M165&amp;" "&amp;'Compliance Database'!$N165&amp;" "&amp;'Compliance Database'!$O165)))),1,0)</f>
        <v/>
      </c>
      <c r="B165">
        <f>IF($A165=1,SUM($A$2:$A165),"")</f>
        <v/>
      </c>
      <c r="C165">
        <f>IF($A165=1,SUM($A$2:$A165),0)</f>
        <v/>
      </c>
    </row>
    <row r="166">
      <c r="A166">
        <f>IF(AND(OR('Compliance Database'!$A166='Data Transfer'!$B$4,'Compliance Database'!$A166='Data Transfer'!$B$5),OR('Data Transfer'!$B$6="",ISNUMBER(SEARCH('Data Transfer'!$B$6,'Compliance Database'!$D166&amp;" "&amp;'Compliance Database'!$L166&amp;" "&amp;'Compliance Database'!$M166&amp;" "&amp;'Compliance Database'!$N166&amp;" "&amp;'Compliance Database'!$O166)))),1,0)</f>
        <v/>
      </c>
      <c r="B166">
        <f>IF($A166=1,SUM($A$2:$A166),"")</f>
        <v/>
      </c>
      <c r="C166">
        <f>IF($A166=1,SUM($A$2:$A166),0)</f>
        <v/>
      </c>
    </row>
    <row r="167">
      <c r="A167">
        <f>IF(AND(OR('Compliance Database'!$A167='Data Transfer'!$B$4,'Compliance Database'!$A167='Data Transfer'!$B$5),OR('Data Transfer'!$B$6="",ISNUMBER(SEARCH('Data Transfer'!$B$6,'Compliance Database'!$D167&amp;" "&amp;'Compliance Database'!$L167&amp;" "&amp;'Compliance Database'!$M167&amp;" "&amp;'Compliance Database'!$N167&amp;" "&amp;'Compliance Database'!$O167)))),1,0)</f>
        <v/>
      </c>
      <c r="B167">
        <f>IF($A167=1,SUM($A$2:$A167),"")</f>
        <v/>
      </c>
      <c r="C167">
        <f>IF($A167=1,SUM($A$2:$A167),0)</f>
        <v/>
      </c>
    </row>
    <row r="168">
      <c r="A168">
        <f>IF(AND(OR('Compliance Database'!$A168='Data Transfer'!$B$4,'Compliance Database'!$A168='Data Transfer'!$B$5),OR('Data Transfer'!$B$6="",ISNUMBER(SEARCH('Data Transfer'!$B$6,'Compliance Database'!$D168&amp;" "&amp;'Compliance Database'!$L168&amp;" "&amp;'Compliance Database'!$M168&amp;" "&amp;'Compliance Database'!$N168&amp;" "&amp;'Compliance Database'!$O168)))),1,0)</f>
        <v/>
      </c>
      <c r="B168">
        <f>IF($A168=1,SUM($A$2:$A168),"")</f>
        <v/>
      </c>
      <c r="C168">
        <f>IF($A168=1,SUM($A$2:$A168),0)</f>
        <v/>
      </c>
    </row>
    <row r="169">
      <c r="A169">
        <f>IF(AND(OR('Compliance Database'!$A169='Data Transfer'!$B$4,'Compliance Database'!$A169='Data Transfer'!$B$5),OR('Data Transfer'!$B$6="",ISNUMBER(SEARCH('Data Transfer'!$B$6,'Compliance Database'!$D169&amp;" "&amp;'Compliance Database'!$L169&amp;" "&amp;'Compliance Database'!$M169&amp;" "&amp;'Compliance Database'!$N169&amp;" "&amp;'Compliance Database'!$O169)))),1,0)</f>
        <v/>
      </c>
      <c r="B169">
        <f>IF($A169=1,SUM($A$2:$A169),"")</f>
        <v/>
      </c>
      <c r="C169">
        <f>IF($A169=1,SUM($A$2:$A169),0)</f>
        <v/>
      </c>
    </row>
    <row r="170">
      <c r="A170">
        <f>IF(AND(OR('Compliance Database'!$A170='Data Transfer'!$B$4,'Compliance Database'!$A170='Data Transfer'!$B$5),OR('Data Transfer'!$B$6="",ISNUMBER(SEARCH('Data Transfer'!$B$6,'Compliance Database'!$D170&amp;" "&amp;'Compliance Database'!$L170&amp;" "&amp;'Compliance Database'!$M170&amp;" "&amp;'Compliance Database'!$N170&amp;" "&amp;'Compliance Database'!$O170)))),1,0)</f>
        <v/>
      </c>
      <c r="B170">
        <f>IF($A170=1,SUM($A$2:$A170),"")</f>
        <v/>
      </c>
      <c r="C170">
        <f>IF($A170=1,SUM($A$2:$A170),0)</f>
        <v/>
      </c>
    </row>
    <row r="171">
      <c r="A171">
        <f>IF(AND(OR('Compliance Database'!$A171='Data Transfer'!$B$4,'Compliance Database'!$A171='Data Transfer'!$B$5),OR('Data Transfer'!$B$6="",ISNUMBER(SEARCH('Data Transfer'!$B$6,'Compliance Database'!$D171&amp;" "&amp;'Compliance Database'!$L171&amp;" "&amp;'Compliance Database'!$M171&amp;" "&amp;'Compliance Database'!$N171&amp;" "&amp;'Compliance Database'!$O171)))),1,0)</f>
        <v/>
      </c>
      <c r="B171">
        <f>IF($A171=1,SUM($A$2:$A171),"")</f>
        <v/>
      </c>
      <c r="C171">
        <f>IF($A171=1,SUM($A$2:$A171),0)</f>
        <v/>
      </c>
    </row>
    <row r="172">
      <c r="A172">
        <f>IF(AND(OR('Compliance Database'!$A172='Data Transfer'!$B$4,'Compliance Database'!$A172='Data Transfer'!$B$5),OR('Data Transfer'!$B$6="",ISNUMBER(SEARCH('Data Transfer'!$B$6,'Compliance Database'!$D172&amp;" "&amp;'Compliance Database'!$L172&amp;" "&amp;'Compliance Database'!$M172&amp;" "&amp;'Compliance Database'!$N172&amp;" "&amp;'Compliance Database'!$O172)))),1,0)</f>
        <v/>
      </c>
      <c r="B172">
        <f>IF($A172=1,SUM($A$2:$A172),"")</f>
        <v/>
      </c>
      <c r="C172">
        <f>IF($A172=1,SUM($A$2:$A172),0)</f>
        <v/>
      </c>
    </row>
    <row r="173">
      <c r="A173">
        <f>IF(AND(OR('Compliance Database'!$A173='Data Transfer'!$B$4,'Compliance Database'!$A173='Data Transfer'!$B$5),OR('Data Transfer'!$B$6="",ISNUMBER(SEARCH('Data Transfer'!$B$6,'Compliance Database'!$D173&amp;" "&amp;'Compliance Database'!$L173&amp;" "&amp;'Compliance Database'!$M173&amp;" "&amp;'Compliance Database'!$N173&amp;" "&amp;'Compliance Database'!$O173)))),1,0)</f>
        <v/>
      </c>
      <c r="B173">
        <f>IF($A173=1,SUM($A$2:$A173),"")</f>
        <v/>
      </c>
      <c r="C173">
        <f>IF($A173=1,SUM($A$2:$A173),0)</f>
        <v/>
      </c>
    </row>
    <row r="174">
      <c r="A174">
        <f>IF(AND(OR('Compliance Database'!$A174='Data Transfer'!$B$4,'Compliance Database'!$A174='Data Transfer'!$B$5),OR('Data Transfer'!$B$6="",ISNUMBER(SEARCH('Data Transfer'!$B$6,'Compliance Database'!$D174&amp;" "&amp;'Compliance Database'!$L174&amp;" "&amp;'Compliance Database'!$M174&amp;" "&amp;'Compliance Database'!$N174&amp;" "&amp;'Compliance Database'!$O174)))),1,0)</f>
        <v/>
      </c>
      <c r="B174">
        <f>IF($A174=1,SUM($A$2:$A174),"")</f>
        <v/>
      </c>
      <c r="C174">
        <f>IF($A174=1,SUM($A$2:$A174),0)</f>
        <v/>
      </c>
    </row>
    <row r="175">
      <c r="A175">
        <f>IF(AND(OR('Compliance Database'!$A175='Data Transfer'!$B$4,'Compliance Database'!$A175='Data Transfer'!$B$5),OR('Data Transfer'!$B$6="",ISNUMBER(SEARCH('Data Transfer'!$B$6,'Compliance Database'!$D175&amp;" "&amp;'Compliance Database'!$L175&amp;" "&amp;'Compliance Database'!$M175&amp;" "&amp;'Compliance Database'!$N175&amp;" "&amp;'Compliance Database'!$O175)))),1,0)</f>
        <v/>
      </c>
      <c r="B175">
        <f>IF($A175=1,SUM($A$2:$A175),"")</f>
        <v/>
      </c>
      <c r="C175">
        <f>IF($A175=1,SUM($A$2:$A175),0)</f>
        <v/>
      </c>
    </row>
    <row r="176">
      <c r="A176">
        <f>IF(AND(OR('Compliance Database'!$A176='Data Transfer'!$B$4,'Compliance Database'!$A176='Data Transfer'!$B$5),OR('Data Transfer'!$B$6="",ISNUMBER(SEARCH('Data Transfer'!$B$6,'Compliance Database'!$D176&amp;" "&amp;'Compliance Database'!$L176&amp;" "&amp;'Compliance Database'!$M176&amp;" "&amp;'Compliance Database'!$N176&amp;" "&amp;'Compliance Database'!$O176)))),1,0)</f>
        <v/>
      </c>
      <c r="B176">
        <f>IF($A176=1,SUM($A$2:$A176),"")</f>
        <v/>
      </c>
      <c r="C176">
        <f>IF($A176=1,SUM($A$2:$A176),0)</f>
        <v/>
      </c>
    </row>
    <row r="177">
      <c r="A177">
        <f>IF(AND(OR('Compliance Database'!$A177='Data Transfer'!$B$4,'Compliance Database'!$A177='Data Transfer'!$B$5),OR('Data Transfer'!$B$6="",ISNUMBER(SEARCH('Data Transfer'!$B$6,'Compliance Database'!$D177&amp;" "&amp;'Compliance Database'!$L177&amp;" "&amp;'Compliance Database'!$M177&amp;" "&amp;'Compliance Database'!$N177&amp;" "&amp;'Compliance Database'!$O177)))),1,0)</f>
        <v/>
      </c>
      <c r="B177">
        <f>IF($A177=1,SUM($A$2:$A177),"")</f>
        <v/>
      </c>
      <c r="C177">
        <f>IF($A177=1,SUM($A$2:$A177),0)</f>
        <v/>
      </c>
    </row>
    <row r="178">
      <c r="A178">
        <f>IF(AND(OR('Compliance Database'!$A178='Data Transfer'!$B$4,'Compliance Database'!$A178='Data Transfer'!$B$5),OR('Data Transfer'!$B$6="",ISNUMBER(SEARCH('Data Transfer'!$B$6,'Compliance Database'!$D178&amp;" "&amp;'Compliance Database'!$L178&amp;" "&amp;'Compliance Database'!$M178&amp;" "&amp;'Compliance Database'!$N178&amp;" "&amp;'Compliance Database'!$O178)))),1,0)</f>
        <v/>
      </c>
      <c r="B178">
        <f>IF($A178=1,SUM($A$2:$A178),"")</f>
        <v/>
      </c>
      <c r="C178">
        <f>IF($A178=1,SUM($A$2:$A178),0)</f>
        <v/>
      </c>
    </row>
    <row r="179">
      <c r="A179">
        <f>IF(AND(OR('Compliance Database'!$A179='Data Transfer'!$B$4,'Compliance Database'!$A179='Data Transfer'!$B$5),OR('Data Transfer'!$B$6="",ISNUMBER(SEARCH('Data Transfer'!$B$6,'Compliance Database'!$D179&amp;" "&amp;'Compliance Database'!$L179&amp;" "&amp;'Compliance Database'!$M179&amp;" "&amp;'Compliance Database'!$N179&amp;" "&amp;'Compliance Database'!$O179)))),1,0)</f>
        <v/>
      </c>
      <c r="B179">
        <f>IF($A179=1,SUM($A$2:$A179),"")</f>
        <v/>
      </c>
      <c r="C179">
        <f>IF($A179=1,SUM($A$2:$A179),0)</f>
        <v/>
      </c>
    </row>
    <row r="180">
      <c r="A180">
        <f>IF(AND(OR('Compliance Database'!$A180='Data Transfer'!$B$4,'Compliance Database'!$A180='Data Transfer'!$B$5),OR('Data Transfer'!$B$6="",ISNUMBER(SEARCH('Data Transfer'!$B$6,'Compliance Database'!$D180&amp;" "&amp;'Compliance Database'!$L180&amp;" "&amp;'Compliance Database'!$M180&amp;" "&amp;'Compliance Database'!$N180&amp;" "&amp;'Compliance Database'!$O180)))),1,0)</f>
        <v/>
      </c>
      <c r="B180">
        <f>IF($A180=1,SUM($A$2:$A180),"")</f>
        <v/>
      </c>
      <c r="C180">
        <f>IF($A180=1,SUM($A$2:$A180),0)</f>
        <v/>
      </c>
    </row>
    <row r="181">
      <c r="A181">
        <f>IF(AND(OR('Compliance Database'!$A181='Data Transfer'!$B$4,'Compliance Database'!$A181='Data Transfer'!$B$5),OR('Data Transfer'!$B$6="",ISNUMBER(SEARCH('Data Transfer'!$B$6,'Compliance Database'!$D181&amp;" "&amp;'Compliance Database'!$L181&amp;" "&amp;'Compliance Database'!$M181&amp;" "&amp;'Compliance Database'!$N181&amp;" "&amp;'Compliance Database'!$O181)))),1,0)</f>
        <v/>
      </c>
      <c r="B181">
        <f>IF($A181=1,SUM($A$2:$A181),"")</f>
        <v/>
      </c>
      <c r="C181">
        <f>IF($A181=1,SUM($A$2:$A181),0)</f>
        <v/>
      </c>
    </row>
    <row r="182">
      <c r="A182">
        <f>IF(AND(OR('Compliance Database'!$A182='Data Transfer'!$B$4,'Compliance Database'!$A182='Data Transfer'!$B$5),OR('Data Transfer'!$B$6="",ISNUMBER(SEARCH('Data Transfer'!$B$6,'Compliance Database'!$D182&amp;" "&amp;'Compliance Database'!$L182&amp;" "&amp;'Compliance Database'!$M182&amp;" "&amp;'Compliance Database'!$N182&amp;" "&amp;'Compliance Database'!$O182)))),1,0)</f>
        <v/>
      </c>
      <c r="B182">
        <f>IF($A182=1,SUM($A$2:$A182),"")</f>
        <v/>
      </c>
      <c r="C182">
        <f>IF($A182=1,SUM($A$2:$A182),0)</f>
        <v/>
      </c>
    </row>
    <row r="183">
      <c r="A183">
        <f>IF(AND(OR('Compliance Database'!$A183='Data Transfer'!$B$4,'Compliance Database'!$A183='Data Transfer'!$B$5),OR('Data Transfer'!$B$6="",ISNUMBER(SEARCH('Data Transfer'!$B$6,'Compliance Database'!$D183&amp;" "&amp;'Compliance Database'!$L183&amp;" "&amp;'Compliance Database'!$M183&amp;" "&amp;'Compliance Database'!$N183&amp;" "&amp;'Compliance Database'!$O183)))),1,0)</f>
        <v/>
      </c>
      <c r="B183">
        <f>IF($A183=1,SUM($A$2:$A183),"")</f>
        <v/>
      </c>
      <c r="C183">
        <f>IF($A183=1,SUM($A$2:$A183),0)</f>
        <v/>
      </c>
    </row>
    <row r="184">
      <c r="A184">
        <f>IF(AND(OR('Compliance Database'!$A184='Data Transfer'!$B$4,'Compliance Database'!$A184='Data Transfer'!$B$5),OR('Data Transfer'!$B$6="",ISNUMBER(SEARCH('Data Transfer'!$B$6,'Compliance Database'!$D184&amp;" "&amp;'Compliance Database'!$L184&amp;" "&amp;'Compliance Database'!$M184&amp;" "&amp;'Compliance Database'!$N184&amp;" "&amp;'Compliance Database'!$O184)))),1,0)</f>
        <v/>
      </c>
      <c r="B184">
        <f>IF($A184=1,SUM($A$2:$A184),"")</f>
        <v/>
      </c>
      <c r="C184">
        <f>IF($A184=1,SUM($A$2:$A184),0)</f>
        <v/>
      </c>
    </row>
    <row r="185">
      <c r="A185">
        <f>IF(AND(OR('Compliance Database'!$A185='Data Transfer'!$B$4,'Compliance Database'!$A185='Data Transfer'!$B$5),OR('Data Transfer'!$B$6="",ISNUMBER(SEARCH('Data Transfer'!$B$6,'Compliance Database'!$D185&amp;" "&amp;'Compliance Database'!$L185&amp;" "&amp;'Compliance Database'!$M185&amp;" "&amp;'Compliance Database'!$N185&amp;" "&amp;'Compliance Database'!$O185)))),1,0)</f>
        <v/>
      </c>
      <c r="B185">
        <f>IF($A185=1,SUM($A$2:$A185),"")</f>
        <v/>
      </c>
      <c r="C185">
        <f>IF($A185=1,SUM($A$2:$A185),0)</f>
        <v/>
      </c>
    </row>
    <row r="186">
      <c r="A186">
        <f>IF(AND(OR('Compliance Database'!$A186='Data Transfer'!$B$4,'Compliance Database'!$A186='Data Transfer'!$B$5),OR('Data Transfer'!$B$6="",ISNUMBER(SEARCH('Data Transfer'!$B$6,'Compliance Database'!$D186&amp;" "&amp;'Compliance Database'!$L186&amp;" "&amp;'Compliance Database'!$M186&amp;" "&amp;'Compliance Database'!$N186&amp;" "&amp;'Compliance Database'!$O186)))),1,0)</f>
        <v/>
      </c>
      <c r="B186">
        <f>IF($A186=1,SUM($A$2:$A186),"")</f>
        <v/>
      </c>
      <c r="C186">
        <f>IF($A186=1,SUM($A$2:$A186),0)</f>
        <v/>
      </c>
    </row>
    <row r="187">
      <c r="A187">
        <f>IF(AND(OR('Compliance Database'!$A187='Data Transfer'!$B$4,'Compliance Database'!$A187='Data Transfer'!$B$5),OR('Data Transfer'!$B$6="",ISNUMBER(SEARCH('Data Transfer'!$B$6,'Compliance Database'!$D187&amp;" "&amp;'Compliance Database'!$L187&amp;" "&amp;'Compliance Database'!$M187&amp;" "&amp;'Compliance Database'!$N187&amp;" "&amp;'Compliance Database'!$O187)))),1,0)</f>
        <v/>
      </c>
      <c r="B187">
        <f>IF($A187=1,SUM($A$2:$A187),"")</f>
        <v/>
      </c>
      <c r="C187">
        <f>IF($A187=1,SUM($A$2:$A187),0)</f>
        <v/>
      </c>
    </row>
    <row r="188">
      <c r="A188">
        <f>IF(AND(OR('Compliance Database'!$A188='Data Transfer'!$B$4,'Compliance Database'!$A188='Data Transfer'!$B$5),OR('Data Transfer'!$B$6="",ISNUMBER(SEARCH('Data Transfer'!$B$6,'Compliance Database'!$D188&amp;" "&amp;'Compliance Database'!$L188&amp;" "&amp;'Compliance Database'!$M188&amp;" "&amp;'Compliance Database'!$N188&amp;" "&amp;'Compliance Database'!$O188)))),1,0)</f>
        <v/>
      </c>
      <c r="B188">
        <f>IF($A188=1,SUM($A$2:$A188),"")</f>
        <v/>
      </c>
      <c r="C188">
        <f>IF($A188=1,SUM($A$2:$A188),0)</f>
        <v/>
      </c>
    </row>
    <row r="189">
      <c r="A189">
        <f>IF(AND(OR('Compliance Database'!$A189='Data Transfer'!$B$4,'Compliance Database'!$A189='Data Transfer'!$B$5),OR('Data Transfer'!$B$6="",ISNUMBER(SEARCH('Data Transfer'!$B$6,'Compliance Database'!$D189&amp;" "&amp;'Compliance Database'!$L189&amp;" "&amp;'Compliance Database'!$M189&amp;" "&amp;'Compliance Database'!$N189&amp;" "&amp;'Compliance Database'!$O189)))),1,0)</f>
        <v/>
      </c>
      <c r="B189">
        <f>IF($A189=1,SUM($A$2:$A189),"")</f>
        <v/>
      </c>
      <c r="C189">
        <f>IF($A189=1,SUM($A$2:$A189),0)</f>
        <v/>
      </c>
    </row>
    <row r="190">
      <c r="A190">
        <f>IF(AND(OR('Compliance Database'!$A190='Data Transfer'!$B$4,'Compliance Database'!$A190='Data Transfer'!$B$5),OR('Data Transfer'!$B$6="",ISNUMBER(SEARCH('Data Transfer'!$B$6,'Compliance Database'!$D190&amp;" "&amp;'Compliance Database'!$L190&amp;" "&amp;'Compliance Database'!$M190&amp;" "&amp;'Compliance Database'!$N190&amp;" "&amp;'Compliance Database'!$O190)))),1,0)</f>
        <v/>
      </c>
      <c r="B190">
        <f>IF($A190=1,SUM($A$2:$A190),"")</f>
        <v/>
      </c>
      <c r="C190">
        <f>IF($A190=1,SUM($A$2:$A190),0)</f>
        <v/>
      </c>
    </row>
    <row r="191">
      <c r="A191">
        <f>IF(AND(OR('Compliance Database'!$A191='Data Transfer'!$B$4,'Compliance Database'!$A191='Data Transfer'!$B$5),OR('Data Transfer'!$B$6="",ISNUMBER(SEARCH('Data Transfer'!$B$6,'Compliance Database'!$D191&amp;" "&amp;'Compliance Database'!$L191&amp;" "&amp;'Compliance Database'!$M191&amp;" "&amp;'Compliance Database'!$N191&amp;" "&amp;'Compliance Database'!$O191)))),1,0)</f>
        <v/>
      </c>
      <c r="B191">
        <f>IF($A191=1,SUM($A$2:$A191),"")</f>
        <v/>
      </c>
      <c r="C191">
        <f>IF($A191=1,SUM($A$2:$A191),0)</f>
        <v/>
      </c>
    </row>
    <row r="192">
      <c r="A192">
        <f>IF(AND(OR('Compliance Database'!$A192='Data Transfer'!$B$4,'Compliance Database'!$A192='Data Transfer'!$B$5),OR('Data Transfer'!$B$6="",ISNUMBER(SEARCH('Data Transfer'!$B$6,'Compliance Database'!$D192&amp;" "&amp;'Compliance Database'!$L192&amp;" "&amp;'Compliance Database'!$M192&amp;" "&amp;'Compliance Database'!$N192&amp;" "&amp;'Compliance Database'!$O192)))),1,0)</f>
        <v/>
      </c>
      <c r="B192">
        <f>IF($A192=1,SUM($A$2:$A192),"")</f>
        <v/>
      </c>
      <c r="C192">
        <f>IF($A192=1,SUM($A$2:$A192),0)</f>
        <v/>
      </c>
    </row>
    <row r="193">
      <c r="A193">
        <f>IF(AND(OR('Compliance Database'!$A193='Data Transfer'!$B$4,'Compliance Database'!$A193='Data Transfer'!$B$5),OR('Data Transfer'!$B$6="",ISNUMBER(SEARCH('Data Transfer'!$B$6,'Compliance Database'!$D193&amp;" "&amp;'Compliance Database'!$L193&amp;" "&amp;'Compliance Database'!$M193&amp;" "&amp;'Compliance Database'!$N193&amp;" "&amp;'Compliance Database'!$O193)))),1,0)</f>
        <v/>
      </c>
      <c r="B193">
        <f>IF($A193=1,SUM($A$2:$A193),"")</f>
        <v/>
      </c>
      <c r="C193">
        <f>IF($A193=1,SUM($A$2:$A193),0)</f>
        <v/>
      </c>
    </row>
    <row r="194">
      <c r="A194">
        <f>IF(AND(OR('Compliance Database'!$A194='Data Transfer'!$B$4,'Compliance Database'!$A194='Data Transfer'!$B$5),OR('Data Transfer'!$B$6="",ISNUMBER(SEARCH('Data Transfer'!$B$6,'Compliance Database'!$D194&amp;" "&amp;'Compliance Database'!$L194&amp;" "&amp;'Compliance Database'!$M194&amp;" "&amp;'Compliance Database'!$N194&amp;" "&amp;'Compliance Database'!$O194)))),1,0)</f>
        <v/>
      </c>
      <c r="B194">
        <f>IF($A194=1,SUM($A$2:$A194),"")</f>
        <v/>
      </c>
      <c r="C194">
        <f>IF($A194=1,SUM($A$2:$A194),0)</f>
        <v/>
      </c>
    </row>
    <row r="195">
      <c r="A195">
        <f>IF(AND(OR('Compliance Database'!$A195='Data Transfer'!$B$4,'Compliance Database'!$A195='Data Transfer'!$B$5),OR('Data Transfer'!$B$6="",ISNUMBER(SEARCH('Data Transfer'!$B$6,'Compliance Database'!$D195&amp;" "&amp;'Compliance Database'!$L195&amp;" "&amp;'Compliance Database'!$M195&amp;" "&amp;'Compliance Database'!$N195&amp;" "&amp;'Compliance Database'!$O195)))),1,0)</f>
        <v/>
      </c>
      <c r="B195">
        <f>IF($A195=1,SUM($A$2:$A195),"")</f>
        <v/>
      </c>
      <c r="C195">
        <f>IF($A195=1,SUM($A$2:$A195),0)</f>
        <v/>
      </c>
    </row>
    <row r="196">
      <c r="A196">
        <f>IF(AND(OR('Compliance Database'!$A196='Data Transfer'!$B$4,'Compliance Database'!$A196='Data Transfer'!$B$5),OR('Data Transfer'!$B$6="",ISNUMBER(SEARCH('Data Transfer'!$B$6,'Compliance Database'!$D196&amp;" "&amp;'Compliance Database'!$L196&amp;" "&amp;'Compliance Database'!$M196&amp;" "&amp;'Compliance Database'!$N196&amp;" "&amp;'Compliance Database'!$O196)))),1,0)</f>
        <v/>
      </c>
      <c r="B196">
        <f>IF($A196=1,SUM($A$2:$A196),"")</f>
        <v/>
      </c>
      <c r="C196">
        <f>IF($A196=1,SUM($A$2:$A196),0)</f>
        <v/>
      </c>
    </row>
    <row r="197">
      <c r="A197">
        <f>IF(AND(OR('Compliance Database'!$A197='Data Transfer'!$B$4,'Compliance Database'!$A197='Data Transfer'!$B$5),OR('Data Transfer'!$B$6="",ISNUMBER(SEARCH('Data Transfer'!$B$6,'Compliance Database'!$D197&amp;" "&amp;'Compliance Database'!$L197&amp;" "&amp;'Compliance Database'!$M197&amp;" "&amp;'Compliance Database'!$N197&amp;" "&amp;'Compliance Database'!$O197)))),1,0)</f>
        <v/>
      </c>
      <c r="B197">
        <f>IF($A197=1,SUM($A$2:$A197),"")</f>
        <v/>
      </c>
      <c r="C197">
        <f>IF($A197=1,SUM($A$2:$A197),0)</f>
        <v/>
      </c>
    </row>
    <row r="198">
      <c r="A198">
        <f>IF(AND(OR('Compliance Database'!$A198='Data Transfer'!$B$4,'Compliance Database'!$A198='Data Transfer'!$B$5),OR('Data Transfer'!$B$6="",ISNUMBER(SEARCH('Data Transfer'!$B$6,'Compliance Database'!$D198&amp;" "&amp;'Compliance Database'!$L198&amp;" "&amp;'Compliance Database'!$M198&amp;" "&amp;'Compliance Database'!$N198&amp;" "&amp;'Compliance Database'!$O198)))),1,0)</f>
        <v/>
      </c>
      <c r="B198">
        <f>IF($A198=1,SUM($A$2:$A198),"")</f>
        <v/>
      </c>
      <c r="C198">
        <f>IF($A198=1,SUM($A$2:$A198),0)</f>
        <v/>
      </c>
    </row>
    <row r="199">
      <c r="A199">
        <f>IF(AND(OR('Compliance Database'!$A199='Data Transfer'!$B$4,'Compliance Database'!$A199='Data Transfer'!$B$5),OR('Data Transfer'!$B$6="",ISNUMBER(SEARCH('Data Transfer'!$B$6,'Compliance Database'!$D199&amp;" "&amp;'Compliance Database'!$L199&amp;" "&amp;'Compliance Database'!$M199&amp;" "&amp;'Compliance Database'!$N199&amp;" "&amp;'Compliance Database'!$O199)))),1,0)</f>
        <v/>
      </c>
      <c r="B199">
        <f>IF($A199=1,SUM($A$2:$A199),"")</f>
        <v/>
      </c>
      <c r="C199">
        <f>IF($A199=1,SUM($A$2:$A199),0)</f>
        <v/>
      </c>
    </row>
    <row r="200">
      <c r="A200">
        <f>IF(AND(OR('Compliance Database'!$A200='Data Transfer'!$B$4,'Compliance Database'!$A200='Data Transfer'!$B$5),OR('Data Transfer'!$B$6="",ISNUMBER(SEARCH('Data Transfer'!$B$6,'Compliance Database'!$D200&amp;" "&amp;'Compliance Database'!$L200&amp;" "&amp;'Compliance Database'!$M200&amp;" "&amp;'Compliance Database'!$N200&amp;" "&amp;'Compliance Database'!$O200)))),1,0)</f>
        <v/>
      </c>
      <c r="B200">
        <f>IF($A200=1,SUM($A$2:$A200),"")</f>
        <v/>
      </c>
      <c r="C200">
        <f>IF($A200=1,SUM($A$2:$A200),0)</f>
        <v/>
      </c>
    </row>
    <row r="201">
      <c r="A201">
        <f>IF(AND(OR('Compliance Database'!$A201='Data Transfer'!$B$4,'Compliance Database'!$A201='Data Transfer'!$B$5),OR('Data Transfer'!$B$6="",ISNUMBER(SEARCH('Data Transfer'!$B$6,'Compliance Database'!$D201&amp;" "&amp;'Compliance Database'!$L201&amp;" "&amp;'Compliance Database'!$M201&amp;" "&amp;'Compliance Database'!$N201&amp;" "&amp;'Compliance Database'!$O201)))),1,0)</f>
        <v/>
      </c>
      <c r="B201">
        <f>IF($A201=1,SUM($A$2:$A201),"")</f>
        <v/>
      </c>
      <c r="C201">
        <f>IF($A201=1,SUM($A$2:$A201),0)</f>
        <v/>
      </c>
    </row>
    <row r="202">
      <c r="A202">
        <f>IF(AND(OR('Compliance Database'!$A202='Data Transfer'!$B$4,'Compliance Database'!$A202='Data Transfer'!$B$5),OR('Data Transfer'!$B$6="",ISNUMBER(SEARCH('Data Transfer'!$B$6,'Compliance Database'!$D202&amp;" "&amp;'Compliance Database'!$L202&amp;" "&amp;'Compliance Database'!$M202&amp;" "&amp;'Compliance Database'!$N202&amp;" "&amp;'Compliance Database'!$O202)))),1,0)</f>
        <v/>
      </c>
      <c r="B202">
        <f>IF($A202=1,SUM($A$2:$A202),"")</f>
        <v/>
      </c>
      <c r="C202">
        <f>IF($A202=1,SUM($A$2:$A202),0)</f>
        <v/>
      </c>
    </row>
    <row r="203">
      <c r="A203">
        <f>IF(AND(OR('Compliance Database'!$A203='Data Transfer'!$B$4,'Compliance Database'!$A203='Data Transfer'!$B$5),OR('Data Transfer'!$B$6="",ISNUMBER(SEARCH('Data Transfer'!$B$6,'Compliance Database'!$D203&amp;" "&amp;'Compliance Database'!$L203&amp;" "&amp;'Compliance Database'!$M203&amp;" "&amp;'Compliance Database'!$N203&amp;" "&amp;'Compliance Database'!$O203)))),1,0)</f>
        <v/>
      </c>
      <c r="B203">
        <f>IF($A203=1,SUM($A$2:$A203),"")</f>
        <v/>
      </c>
      <c r="C203">
        <f>IF($A203=1,SUM($A$2:$A203),0)</f>
        <v/>
      </c>
    </row>
    <row r="204">
      <c r="A204">
        <f>IF(AND(OR('Compliance Database'!$A204='Data Transfer'!$B$4,'Compliance Database'!$A204='Data Transfer'!$B$5),OR('Data Transfer'!$B$6="",ISNUMBER(SEARCH('Data Transfer'!$B$6,'Compliance Database'!$D204&amp;" "&amp;'Compliance Database'!$L204&amp;" "&amp;'Compliance Database'!$M204&amp;" "&amp;'Compliance Database'!$N204&amp;" "&amp;'Compliance Database'!$O204)))),1,0)</f>
        <v/>
      </c>
      <c r="B204">
        <f>IF($A204=1,SUM($A$2:$A204),"")</f>
        <v/>
      </c>
      <c r="C204">
        <f>IF($A204=1,SUM($A$2:$A204),0)</f>
        <v/>
      </c>
    </row>
    <row r="205">
      <c r="A205">
        <f>IF(AND(OR('Compliance Database'!$A205='Data Transfer'!$B$4,'Compliance Database'!$A205='Data Transfer'!$B$5),OR('Data Transfer'!$B$6="",ISNUMBER(SEARCH('Data Transfer'!$B$6,'Compliance Database'!$D205&amp;" "&amp;'Compliance Database'!$L205&amp;" "&amp;'Compliance Database'!$M205&amp;" "&amp;'Compliance Database'!$N205&amp;" "&amp;'Compliance Database'!$O205)))),1,0)</f>
        <v/>
      </c>
      <c r="B205">
        <f>IF($A205=1,SUM($A$2:$A205),"")</f>
        <v/>
      </c>
      <c r="C205">
        <f>IF($A205=1,SUM($A$2:$A205),0)</f>
        <v/>
      </c>
    </row>
    <row r="206">
      <c r="A206">
        <f>IF(AND(OR('Compliance Database'!$A206='Data Transfer'!$B$4,'Compliance Database'!$A206='Data Transfer'!$B$5),OR('Data Transfer'!$B$6="",ISNUMBER(SEARCH('Data Transfer'!$B$6,'Compliance Database'!$D206&amp;" "&amp;'Compliance Database'!$L206&amp;" "&amp;'Compliance Database'!$M206&amp;" "&amp;'Compliance Database'!$N206&amp;" "&amp;'Compliance Database'!$O206)))),1,0)</f>
        <v/>
      </c>
      <c r="B206">
        <f>IF($A206=1,SUM($A$2:$A206),"")</f>
        <v/>
      </c>
      <c r="C206">
        <f>IF($A206=1,SUM($A$2:$A206),0)</f>
        <v/>
      </c>
    </row>
    <row r="207">
      <c r="A207">
        <f>IF(AND(OR('Compliance Database'!$A207='Data Transfer'!$B$4,'Compliance Database'!$A207='Data Transfer'!$B$5),OR('Data Transfer'!$B$6="",ISNUMBER(SEARCH('Data Transfer'!$B$6,'Compliance Database'!$D207&amp;" "&amp;'Compliance Database'!$L207&amp;" "&amp;'Compliance Database'!$M207&amp;" "&amp;'Compliance Database'!$N207&amp;" "&amp;'Compliance Database'!$O207)))),1,0)</f>
        <v/>
      </c>
      <c r="B207">
        <f>IF($A207=1,SUM($A$2:$A207),"")</f>
        <v/>
      </c>
      <c r="C207">
        <f>IF($A207=1,SUM($A$2:$A207),0)</f>
        <v/>
      </c>
    </row>
    <row r="208">
      <c r="A208">
        <f>IF(AND(OR('Compliance Database'!$A208='Data Transfer'!$B$4,'Compliance Database'!$A208='Data Transfer'!$B$5),OR('Data Transfer'!$B$6="",ISNUMBER(SEARCH('Data Transfer'!$B$6,'Compliance Database'!$D208&amp;" "&amp;'Compliance Database'!$L208&amp;" "&amp;'Compliance Database'!$M208&amp;" "&amp;'Compliance Database'!$N208&amp;" "&amp;'Compliance Database'!$O208)))),1,0)</f>
        <v/>
      </c>
      <c r="B208">
        <f>IF($A208=1,SUM($A$2:$A208),"")</f>
        <v/>
      </c>
      <c r="C208">
        <f>IF($A208=1,SUM($A$2:$A208),0)</f>
        <v/>
      </c>
    </row>
    <row r="209">
      <c r="A209">
        <f>IF(AND(OR('Compliance Database'!$A209='Data Transfer'!$B$4,'Compliance Database'!$A209='Data Transfer'!$B$5),OR('Data Transfer'!$B$6="",ISNUMBER(SEARCH('Data Transfer'!$B$6,'Compliance Database'!$D209&amp;" "&amp;'Compliance Database'!$L209&amp;" "&amp;'Compliance Database'!$M209&amp;" "&amp;'Compliance Database'!$N209&amp;" "&amp;'Compliance Database'!$O209)))),1,0)</f>
        <v/>
      </c>
      <c r="B209">
        <f>IF($A209=1,SUM($A$2:$A209),"")</f>
        <v/>
      </c>
      <c r="C209">
        <f>IF($A209=1,SUM($A$2:$A209),0)</f>
        <v/>
      </c>
    </row>
    <row r="210">
      <c r="A210">
        <f>IF(AND(OR('Compliance Database'!$A210='Data Transfer'!$B$4,'Compliance Database'!$A210='Data Transfer'!$B$5),OR('Data Transfer'!$B$6="",ISNUMBER(SEARCH('Data Transfer'!$B$6,'Compliance Database'!$D210&amp;" "&amp;'Compliance Database'!$L210&amp;" "&amp;'Compliance Database'!$M210&amp;" "&amp;'Compliance Database'!$N210&amp;" "&amp;'Compliance Database'!$O210)))),1,0)</f>
        <v/>
      </c>
      <c r="B210">
        <f>IF($A210=1,SUM($A$2:$A210),"")</f>
        <v/>
      </c>
      <c r="C210">
        <f>IF($A210=1,SUM($A$2:$A210),0)</f>
        <v/>
      </c>
    </row>
    <row r="211">
      <c r="A211">
        <f>IF(AND(OR('Compliance Database'!$A211='Data Transfer'!$B$4,'Compliance Database'!$A211='Data Transfer'!$B$5),OR('Data Transfer'!$B$6="",ISNUMBER(SEARCH('Data Transfer'!$B$6,'Compliance Database'!$D211&amp;" "&amp;'Compliance Database'!$L211&amp;" "&amp;'Compliance Database'!$M211&amp;" "&amp;'Compliance Database'!$N211&amp;" "&amp;'Compliance Database'!$O211)))),1,0)</f>
        <v/>
      </c>
      <c r="B211">
        <f>IF($A211=1,SUM($A$2:$A211),"")</f>
        <v/>
      </c>
      <c r="C211">
        <f>IF($A211=1,SUM($A$2:$A211),0)</f>
        <v/>
      </c>
    </row>
    <row r="212">
      <c r="A212">
        <f>IF(AND(OR('Compliance Database'!$A212='Data Transfer'!$B$4,'Compliance Database'!$A212='Data Transfer'!$B$5),OR('Data Transfer'!$B$6="",ISNUMBER(SEARCH('Data Transfer'!$B$6,'Compliance Database'!$D212&amp;" "&amp;'Compliance Database'!$L212&amp;" "&amp;'Compliance Database'!$M212&amp;" "&amp;'Compliance Database'!$N212&amp;" "&amp;'Compliance Database'!$O212)))),1,0)</f>
        <v/>
      </c>
      <c r="B212">
        <f>IF($A212=1,SUM($A$2:$A212),"")</f>
        <v/>
      </c>
      <c r="C212">
        <f>IF($A212=1,SUM($A$2:$A212),0)</f>
        <v/>
      </c>
    </row>
    <row r="213">
      <c r="A213">
        <f>IF(AND(OR('Compliance Database'!$A213='Data Transfer'!$B$4,'Compliance Database'!$A213='Data Transfer'!$B$5),OR('Data Transfer'!$B$6="",ISNUMBER(SEARCH('Data Transfer'!$B$6,'Compliance Database'!$D213&amp;" "&amp;'Compliance Database'!$L213&amp;" "&amp;'Compliance Database'!$M213&amp;" "&amp;'Compliance Database'!$N213&amp;" "&amp;'Compliance Database'!$O213)))),1,0)</f>
        <v/>
      </c>
      <c r="B213">
        <f>IF($A213=1,SUM($A$2:$A213),"")</f>
        <v/>
      </c>
      <c r="C213">
        <f>IF($A213=1,SUM($A$2:$A213),0)</f>
        <v/>
      </c>
    </row>
    <row r="214">
      <c r="A214">
        <f>IF(AND(OR('Compliance Database'!$A214='Data Transfer'!$B$4,'Compliance Database'!$A214='Data Transfer'!$B$5),OR('Data Transfer'!$B$6="",ISNUMBER(SEARCH('Data Transfer'!$B$6,'Compliance Database'!$D214&amp;" "&amp;'Compliance Database'!$L214&amp;" "&amp;'Compliance Database'!$M214&amp;" "&amp;'Compliance Database'!$N214&amp;" "&amp;'Compliance Database'!$O214)))),1,0)</f>
        <v/>
      </c>
      <c r="B214">
        <f>IF($A214=1,SUM($A$2:$A214),"")</f>
        <v/>
      </c>
      <c r="C214">
        <f>IF($A214=1,SUM($A$2:$A214),0)</f>
        <v/>
      </c>
    </row>
    <row r="215">
      <c r="A215">
        <f>IF(AND(OR('Compliance Database'!$A215='Data Transfer'!$B$4,'Compliance Database'!$A215='Data Transfer'!$B$5),OR('Data Transfer'!$B$6="",ISNUMBER(SEARCH('Data Transfer'!$B$6,'Compliance Database'!$D215&amp;" "&amp;'Compliance Database'!$L215&amp;" "&amp;'Compliance Database'!$M215&amp;" "&amp;'Compliance Database'!$N215&amp;" "&amp;'Compliance Database'!$O215)))),1,0)</f>
        <v/>
      </c>
      <c r="B215">
        <f>IF($A215=1,SUM($A$2:$A215),"")</f>
        <v/>
      </c>
      <c r="C215">
        <f>IF($A215=1,SUM($A$2:$A215),0)</f>
        <v/>
      </c>
    </row>
    <row r="216">
      <c r="A216">
        <f>IF(AND(OR('Compliance Database'!$A216='Data Transfer'!$B$4,'Compliance Database'!$A216='Data Transfer'!$B$5),OR('Data Transfer'!$B$6="",ISNUMBER(SEARCH('Data Transfer'!$B$6,'Compliance Database'!$D216&amp;" "&amp;'Compliance Database'!$L216&amp;" "&amp;'Compliance Database'!$M216&amp;" "&amp;'Compliance Database'!$N216&amp;" "&amp;'Compliance Database'!$O216)))),1,0)</f>
        <v/>
      </c>
      <c r="B216">
        <f>IF($A216=1,SUM($A$2:$A216),"")</f>
        <v/>
      </c>
      <c r="C216">
        <f>IF($A216=1,SUM($A$2:$A216),0)</f>
        <v/>
      </c>
    </row>
    <row r="217">
      <c r="A217">
        <f>IF(AND(OR('Compliance Database'!$A217='Data Transfer'!$B$4,'Compliance Database'!$A217='Data Transfer'!$B$5),OR('Data Transfer'!$B$6="",ISNUMBER(SEARCH('Data Transfer'!$B$6,'Compliance Database'!$D217&amp;" "&amp;'Compliance Database'!$L217&amp;" "&amp;'Compliance Database'!$M217&amp;" "&amp;'Compliance Database'!$N217&amp;" "&amp;'Compliance Database'!$O217)))),1,0)</f>
        <v/>
      </c>
      <c r="B217">
        <f>IF($A217=1,SUM($A$2:$A217),"")</f>
        <v/>
      </c>
      <c r="C217">
        <f>IF($A217=1,SUM($A$2:$A217),0)</f>
        <v/>
      </c>
    </row>
    <row r="218">
      <c r="A218">
        <f>IF(AND(OR('Compliance Database'!$A218='Data Transfer'!$B$4,'Compliance Database'!$A218='Data Transfer'!$B$5),OR('Data Transfer'!$B$6="",ISNUMBER(SEARCH('Data Transfer'!$B$6,'Compliance Database'!$D218&amp;" "&amp;'Compliance Database'!$L218&amp;" "&amp;'Compliance Database'!$M218&amp;" "&amp;'Compliance Database'!$N218&amp;" "&amp;'Compliance Database'!$O218)))),1,0)</f>
        <v/>
      </c>
      <c r="B218">
        <f>IF($A218=1,SUM($A$2:$A218),"")</f>
        <v/>
      </c>
      <c r="C218">
        <f>IF($A218=1,SUM($A$2:$A218),0)</f>
        <v/>
      </c>
    </row>
    <row r="219">
      <c r="A219">
        <f>IF(AND(OR('Compliance Database'!$A219='Data Transfer'!$B$4,'Compliance Database'!$A219='Data Transfer'!$B$5),OR('Data Transfer'!$B$6="",ISNUMBER(SEARCH('Data Transfer'!$B$6,'Compliance Database'!$D219&amp;" "&amp;'Compliance Database'!$L219&amp;" "&amp;'Compliance Database'!$M219&amp;" "&amp;'Compliance Database'!$N219&amp;" "&amp;'Compliance Database'!$O219)))),1,0)</f>
        <v/>
      </c>
      <c r="B219">
        <f>IF($A219=1,SUM($A$2:$A219),"")</f>
        <v/>
      </c>
      <c r="C219">
        <f>IF($A219=1,SUM($A$2:$A219),0)</f>
        <v/>
      </c>
    </row>
    <row r="220">
      <c r="A220">
        <f>IF(AND(OR('Compliance Database'!$A220='Data Transfer'!$B$4,'Compliance Database'!$A220='Data Transfer'!$B$5),OR('Data Transfer'!$B$6="",ISNUMBER(SEARCH('Data Transfer'!$B$6,'Compliance Database'!$D220&amp;" "&amp;'Compliance Database'!$L220&amp;" "&amp;'Compliance Database'!$M220&amp;" "&amp;'Compliance Database'!$N220&amp;" "&amp;'Compliance Database'!$O220)))),1,0)</f>
        <v/>
      </c>
      <c r="B220">
        <f>IF($A220=1,SUM($A$2:$A220),"")</f>
        <v/>
      </c>
      <c r="C220">
        <f>IF($A220=1,SUM($A$2:$A220),0)</f>
        <v/>
      </c>
    </row>
    <row r="221">
      <c r="A221">
        <f>IF(AND(OR('Compliance Database'!$A221='Data Transfer'!$B$4,'Compliance Database'!$A221='Data Transfer'!$B$5),OR('Data Transfer'!$B$6="",ISNUMBER(SEARCH('Data Transfer'!$B$6,'Compliance Database'!$D221&amp;" "&amp;'Compliance Database'!$L221&amp;" "&amp;'Compliance Database'!$M221&amp;" "&amp;'Compliance Database'!$N221&amp;" "&amp;'Compliance Database'!$O221)))),1,0)</f>
        <v/>
      </c>
      <c r="B221">
        <f>IF($A221=1,SUM($A$2:$A221),"")</f>
        <v/>
      </c>
      <c r="C221">
        <f>IF($A221=1,SUM($A$2:$A221),0)</f>
        <v/>
      </c>
    </row>
    <row r="222">
      <c r="A222">
        <f>IF(AND(OR('Compliance Database'!$A222='Data Transfer'!$B$4,'Compliance Database'!$A222='Data Transfer'!$B$5),OR('Data Transfer'!$B$6="",ISNUMBER(SEARCH('Data Transfer'!$B$6,'Compliance Database'!$D222&amp;" "&amp;'Compliance Database'!$L222&amp;" "&amp;'Compliance Database'!$M222&amp;" "&amp;'Compliance Database'!$N222&amp;" "&amp;'Compliance Database'!$O222)))),1,0)</f>
        <v/>
      </c>
      <c r="B222">
        <f>IF($A222=1,SUM($A$2:$A222),"")</f>
        <v/>
      </c>
      <c r="C222">
        <f>IF($A222=1,SUM($A$2:$A222),0)</f>
        <v/>
      </c>
    </row>
    <row r="223">
      <c r="A223">
        <f>IF(AND(OR('Compliance Database'!$A223='Data Transfer'!$B$4,'Compliance Database'!$A223='Data Transfer'!$B$5),OR('Data Transfer'!$B$6="",ISNUMBER(SEARCH('Data Transfer'!$B$6,'Compliance Database'!$D223&amp;" "&amp;'Compliance Database'!$L223&amp;" "&amp;'Compliance Database'!$M223&amp;" "&amp;'Compliance Database'!$N223&amp;" "&amp;'Compliance Database'!$O223)))),1,0)</f>
        <v/>
      </c>
      <c r="B223">
        <f>IF($A223=1,SUM($A$2:$A223),"")</f>
        <v/>
      </c>
      <c r="C223">
        <f>IF($A223=1,SUM($A$2:$A223),0)</f>
        <v/>
      </c>
    </row>
    <row r="224">
      <c r="A224">
        <f>IF(AND(OR('Compliance Database'!$A224='Data Transfer'!$B$4,'Compliance Database'!$A224='Data Transfer'!$B$5),OR('Data Transfer'!$B$6="",ISNUMBER(SEARCH('Data Transfer'!$B$6,'Compliance Database'!$D224&amp;" "&amp;'Compliance Database'!$L224&amp;" "&amp;'Compliance Database'!$M224&amp;" "&amp;'Compliance Database'!$N224&amp;" "&amp;'Compliance Database'!$O224)))),1,0)</f>
        <v/>
      </c>
      <c r="B224">
        <f>IF($A224=1,SUM($A$2:$A224),"")</f>
        <v/>
      </c>
      <c r="C224">
        <f>IF($A224=1,SUM($A$2:$A224),0)</f>
        <v/>
      </c>
    </row>
    <row r="225">
      <c r="A225">
        <f>IF(AND(OR('Compliance Database'!$A225='Data Transfer'!$B$4,'Compliance Database'!$A225='Data Transfer'!$B$5),OR('Data Transfer'!$B$6="",ISNUMBER(SEARCH('Data Transfer'!$B$6,'Compliance Database'!$D225&amp;" "&amp;'Compliance Database'!$L225&amp;" "&amp;'Compliance Database'!$M225&amp;" "&amp;'Compliance Database'!$N225&amp;" "&amp;'Compliance Database'!$O225)))),1,0)</f>
        <v/>
      </c>
      <c r="B225">
        <f>IF($A225=1,SUM($A$2:$A225),"")</f>
        <v/>
      </c>
      <c r="C225">
        <f>IF($A225=1,SUM($A$2:$A225),0)</f>
        <v/>
      </c>
    </row>
    <row r="226">
      <c r="A226">
        <f>IF(AND(OR('Compliance Database'!$A226='Data Transfer'!$B$4,'Compliance Database'!$A226='Data Transfer'!$B$5),OR('Data Transfer'!$B$6="",ISNUMBER(SEARCH('Data Transfer'!$B$6,'Compliance Database'!$D226&amp;" "&amp;'Compliance Database'!$L226&amp;" "&amp;'Compliance Database'!$M226&amp;" "&amp;'Compliance Database'!$N226&amp;" "&amp;'Compliance Database'!$O226)))),1,0)</f>
        <v/>
      </c>
      <c r="B226">
        <f>IF($A226=1,SUM($A$2:$A226),"")</f>
        <v/>
      </c>
      <c r="C226">
        <f>IF($A226=1,SUM($A$2:$A226),0)</f>
        <v/>
      </c>
    </row>
    <row r="227">
      <c r="A227">
        <f>IF(AND(OR('Compliance Database'!$A227='Data Transfer'!$B$4,'Compliance Database'!$A227='Data Transfer'!$B$5),OR('Data Transfer'!$B$6="",ISNUMBER(SEARCH('Data Transfer'!$B$6,'Compliance Database'!$D227&amp;" "&amp;'Compliance Database'!$L227&amp;" "&amp;'Compliance Database'!$M227&amp;" "&amp;'Compliance Database'!$N227&amp;" "&amp;'Compliance Database'!$O227)))),1,0)</f>
        <v/>
      </c>
      <c r="B227">
        <f>IF($A227=1,SUM($A$2:$A227),"")</f>
        <v/>
      </c>
      <c r="C227">
        <f>IF($A227=1,SUM($A$2:$A227),0)</f>
        <v/>
      </c>
    </row>
    <row r="228">
      <c r="A228">
        <f>IF(AND(OR('Compliance Database'!$A228='Data Transfer'!$B$4,'Compliance Database'!$A228='Data Transfer'!$B$5),OR('Data Transfer'!$B$6="",ISNUMBER(SEARCH('Data Transfer'!$B$6,'Compliance Database'!$D228&amp;" "&amp;'Compliance Database'!$L228&amp;" "&amp;'Compliance Database'!$M228&amp;" "&amp;'Compliance Database'!$N228&amp;" "&amp;'Compliance Database'!$O228)))),1,0)</f>
        <v/>
      </c>
      <c r="B228">
        <f>IF($A228=1,SUM($A$2:$A228),"")</f>
        <v/>
      </c>
      <c r="C228">
        <f>IF($A228=1,SUM($A$2:$A228),0)</f>
        <v/>
      </c>
    </row>
    <row r="229">
      <c r="A229">
        <f>IF(AND(OR('Compliance Database'!$A229='Data Transfer'!$B$4,'Compliance Database'!$A229='Data Transfer'!$B$5),OR('Data Transfer'!$B$6="",ISNUMBER(SEARCH('Data Transfer'!$B$6,'Compliance Database'!$D229&amp;" "&amp;'Compliance Database'!$L229&amp;" "&amp;'Compliance Database'!$M229&amp;" "&amp;'Compliance Database'!$N229&amp;" "&amp;'Compliance Database'!$O229)))),1,0)</f>
        <v/>
      </c>
      <c r="B229">
        <f>IF($A229=1,SUM($A$2:$A229),"")</f>
        <v/>
      </c>
      <c r="C229">
        <f>IF($A229=1,SUM($A$2:$A229),0)</f>
        <v/>
      </c>
    </row>
    <row r="230">
      <c r="A230">
        <f>IF(AND(OR('Compliance Database'!$A230='Data Transfer'!$B$4,'Compliance Database'!$A230='Data Transfer'!$B$5),OR('Data Transfer'!$B$6="",ISNUMBER(SEARCH('Data Transfer'!$B$6,'Compliance Database'!$D230&amp;" "&amp;'Compliance Database'!$L230&amp;" "&amp;'Compliance Database'!$M230&amp;" "&amp;'Compliance Database'!$N230&amp;" "&amp;'Compliance Database'!$O230)))),1,0)</f>
        <v/>
      </c>
      <c r="B230">
        <f>IF($A230=1,SUM($A$2:$A230),"")</f>
        <v/>
      </c>
      <c r="C230">
        <f>IF($A230=1,SUM($A$2:$A230),0)</f>
        <v/>
      </c>
    </row>
    <row r="231">
      <c r="A231">
        <f>IF(AND(OR('Compliance Database'!$A231='Data Transfer'!$B$4,'Compliance Database'!$A231='Data Transfer'!$B$5),OR('Data Transfer'!$B$6="",ISNUMBER(SEARCH('Data Transfer'!$B$6,'Compliance Database'!$D231&amp;" "&amp;'Compliance Database'!$L231&amp;" "&amp;'Compliance Database'!$M231&amp;" "&amp;'Compliance Database'!$N231&amp;" "&amp;'Compliance Database'!$O231)))),1,0)</f>
        <v/>
      </c>
      <c r="B231">
        <f>IF($A231=1,SUM($A$2:$A231),"")</f>
        <v/>
      </c>
      <c r="C231">
        <f>IF($A231=1,SUM($A$2:$A231),0)</f>
        <v/>
      </c>
    </row>
    <row r="232">
      <c r="A232">
        <f>IF(AND(OR('Compliance Database'!$A232='Data Transfer'!$B$4,'Compliance Database'!$A232='Data Transfer'!$B$5),OR('Data Transfer'!$B$6="",ISNUMBER(SEARCH('Data Transfer'!$B$6,'Compliance Database'!$D232&amp;" "&amp;'Compliance Database'!$L232&amp;" "&amp;'Compliance Database'!$M232&amp;" "&amp;'Compliance Database'!$N232&amp;" "&amp;'Compliance Database'!$O232)))),1,0)</f>
        <v/>
      </c>
      <c r="B232">
        <f>IF($A232=1,SUM($A$2:$A232),"")</f>
        <v/>
      </c>
      <c r="C232">
        <f>IF($A232=1,SUM($A$2:$A232),0)</f>
        <v/>
      </c>
    </row>
    <row r="233">
      <c r="A233">
        <f>IF(AND(OR('Compliance Database'!$A233='Data Transfer'!$B$4,'Compliance Database'!$A233='Data Transfer'!$B$5),OR('Data Transfer'!$B$6="",ISNUMBER(SEARCH('Data Transfer'!$B$6,'Compliance Database'!$D233&amp;" "&amp;'Compliance Database'!$L233&amp;" "&amp;'Compliance Database'!$M233&amp;" "&amp;'Compliance Database'!$N233&amp;" "&amp;'Compliance Database'!$O233)))),1,0)</f>
        <v/>
      </c>
      <c r="B233">
        <f>IF($A233=1,SUM($A$2:$A233),"")</f>
        <v/>
      </c>
      <c r="C233">
        <f>IF($A233=1,SUM($A$2:$A233),0)</f>
        <v/>
      </c>
    </row>
    <row r="234">
      <c r="A234">
        <f>IF(AND(OR('Compliance Database'!$A234='Data Transfer'!$B$4,'Compliance Database'!$A234='Data Transfer'!$B$5),OR('Data Transfer'!$B$6="",ISNUMBER(SEARCH('Data Transfer'!$B$6,'Compliance Database'!$D234&amp;" "&amp;'Compliance Database'!$L234&amp;" "&amp;'Compliance Database'!$M234&amp;" "&amp;'Compliance Database'!$N234&amp;" "&amp;'Compliance Database'!$O234)))),1,0)</f>
        <v/>
      </c>
      <c r="B234">
        <f>IF($A234=1,SUM($A$2:$A234),"")</f>
        <v/>
      </c>
      <c r="C234">
        <f>IF($A234=1,SUM($A$2:$A234),0)</f>
        <v/>
      </c>
    </row>
    <row r="235">
      <c r="A235">
        <f>IF(AND(OR('Compliance Database'!$A235='Data Transfer'!$B$4,'Compliance Database'!$A235='Data Transfer'!$B$5),OR('Data Transfer'!$B$6="",ISNUMBER(SEARCH('Data Transfer'!$B$6,'Compliance Database'!$D235&amp;" "&amp;'Compliance Database'!$L235&amp;" "&amp;'Compliance Database'!$M235&amp;" "&amp;'Compliance Database'!$N235&amp;" "&amp;'Compliance Database'!$O235)))),1,0)</f>
        <v/>
      </c>
      <c r="B235">
        <f>IF($A235=1,SUM($A$2:$A235),"")</f>
        <v/>
      </c>
      <c r="C235">
        <f>IF($A235=1,SUM($A$2:$A235),0)</f>
        <v/>
      </c>
    </row>
    <row r="236">
      <c r="A236">
        <f>IF(AND(OR('Compliance Database'!$A236='Data Transfer'!$B$4,'Compliance Database'!$A236='Data Transfer'!$B$5),OR('Data Transfer'!$B$6="",ISNUMBER(SEARCH('Data Transfer'!$B$6,'Compliance Database'!$D236&amp;" "&amp;'Compliance Database'!$L236&amp;" "&amp;'Compliance Database'!$M236&amp;" "&amp;'Compliance Database'!$N236&amp;" "&amp;'Compliance Database'!$O236)))),1,0)</f>
        <v/>
      </c>
      <c r="B236">
        <f>IF($A236=1,SUM($A$2:$A236),"")</f>
        <v/>
      </c>
      <c r="C236">
        <f>IF($A236=1,SUM($A$2:$A236),0)</f>
        <v/>
      </c>
    </row>
    <row r="237">
      <c r="A237">
        <f>IF(AND(OR('Compliance Database'!$A237='Data Transfer'!$B$4,'Compliance Database'!$A237='Data Transfer'!$B$5),OR('Data Transfer'!$B$6="",ISNUMBER(SEARCH('Data Transfer'!$B$6,'Compliance Database'!$D237&amp;" "&amp;'Compliance Database'!$L237&amp;" "&amp;'Compliance Database'!$M237&amp;" "&amp;'Compliance Database'!$N237&amp;" "&amp;'Compliance Database'!$O237)))),1,0)</f>
        <v/>
      </c>
      <c r="B237">
        <f>IF($A237=1,SUM($A$2:$A237),"")</f>
        <v/>
      </c>
      <c r="C237">
        <f>IF($A237=1,SUM($A$2:$A237),0)</f>
        <v/>
      </c>
    </row>
    <row r="238">
      <c r="A238">
        <f>IF(AND(OR('Compliance Database'!$A238='Data Transfer'!$B$4,'Compliance Database'!$A238='Data Transfer'!$B$5),OR('Data Transfer'!$B$6="",ISNUMBER(SEARCH('Data Transfer'!$B$6,'Compliance Database'!$D238&amp;" "&amp;'Compliance Database'!$L238&amp;" "&amp;'Compliance Database'!$M238&amp;" "&amp;'Compliance Database'!$N238&amp;" "&amp;'Compliance Database'!$O238)))),1,0)</f>
        <v/>
      </c>
      <c r="B238">
        <f>IF($A238=1,SUM($A$2:$A238),"")</f>
        <v/>
      </c>
      <c r="C238">
        <f>IF($A238=1,SUM($A$2:$A238),0)</f>
        <v/>
      </c>
    </row>
    <row r="239">
      <c r="A239">
        <f>IF(AND(OR('Compliance Database'!$A239='Data Transfer'!$B$4,'Compliance Database'!$A239='Data Transfer'!$B$5),OR('Data Transfer'!$B$6="",ISNUMBER(SEARCH('Data Transfer'!$B$6,'Compliance Database'!$D239&amp;" "&amp;'Compliance Database'!$L239&amp;" "&amp;'Compliance Database'!$M239&amp;" "&amp;'Compliance Database'!$N239&amp;" "&amp;'Compliance Database'!$O239)))),1,0)</f>
        <v/>
      </c>
      <c r="B239">
        <f>IF($A239=1,SUM($A$2:$A239),"")</f>
        <v/>
      </c>
      <c r="C239">
        <f>IF($A239=1,SUM($A$2:$A239),0)</f>
        <v/>
      </c>
    </row>
    <row r="240">
      <c r="A240">
        <f>IF(AND(OR('Compliance Database'!$A240='Data Transfer'!$B$4,'Compliance Database'!$A240='Data Transfer'!$B$5),OR('Data Transfer'!$B$6="",ISNUMBER(SEARCH('Data Transfer'!$B$6,'Compliance Database'!$D240&amp;" "&amp;'Compliance Database'!$L240&amp;" "&amp;'Compliance Database'!$M240&amp;" "&amp;'Compliance Database'!$N240&amp;" "&amp;'Compliance Database'!$O240)))),1,0)</f>
        <v/>
      </c>
      <c r="B240">
        <f>IF($A240=1,SUM($A$2:$A240),"")</f>
        <v/>
      </c>
      <c r="C240">
        <f>IF($A240=1,SUM($A$2:$A240),0)</f>
        <v/>
      </c>
    </row>
    <row r="241">
      <c r="A241">
        <f>IF(AND(OR('Compliance Database'!$A241='Data Transfer'!$B$4,'Compliance Database'!$A241='Data Transfer'!$B$5),OR('Data Transfer'!$B$6="",ISNUMBER(SEARCH('Data Transfer'!$B$6,'Compliance Database'!$D241&amp;" "&amp;'Compliance Database'!$L241&amp;" "&amp;'Compliance Database'!$M241&amp;" "&amp;'Compliance Database'!$N241&amp;" "&amp;'Compliance Database'!$O241)))),1,0)</f>
        <v/>
      </c>
      <c r="B241">
        <f>IF($A241=1,SUM($A$2:$A241),"")</f>
        <v/>
      </c>
      <c r="C241">
        <f>IF($A241=1,SUM($A$2:$A241),0)</f>
        <v/>
      </c>
    </row>
    <row r="242">
      <c r="A242">
        <f>IF(AND(OR('Compliance Database'!$A242='Data Transfer'!$B$4,'Compliance Database'!$A242='Data Transfer'!$B$5),OR('Data Transfer'!$B$6="",ISNUMBER(SEARCH('Data Transfer'!$B$6,'Compliance Database'!$D242&amp;" "&amp;'Compliance Database'!$L242&amp;" "&amp;'Compliance Database'!$M242&amp;" "&amp;'Compliance Database'!$N242&amp;" "&amp;'Compliance Database'!$O242)))),1,0)</f>
        <v/>
      </c>
      <c r="B242">
        <f>IF($A242=1,SUM($A$2:$A242),"")</f>
        <v/>
      </c>
      <c r="C242">
        <f>IF($A242=1,SUM($A$2:$A242),0)</f>
        <v/>
      </c>
    </row>
    <row r="243">
      <c r="A243">
        <f>IF(AND(OR('Compliance Database'!$A243='Data Transfer'!$B$4,'Compliance Database'!$A243='Data Transfer'!$B$5),OR('Data Transfer'!$B$6="",ISNUMBER(SEARCH('Data Transfer'!$B$6,'Compliance Database'!$D243&amp;" "&amp;'Compliance Database'!$L243&amp;" "&amp;'Compliance Database'!$M243&amp;" "&amp;'Compliance Database'!$N243&amp;" "&amp;'Compliance Database'!$O243)))),1,0)</f>
        <v/>
      </c>
      <c r="B243">
        <f>IF($A243=1,SUM($A$2:$A243),"")</f>
        <v/>
      </c>
      <c r="C243">
        <f>IF($A243=1,SUM($A$2:$A243),0)</f>
        <v/>
      </c>
    </row>
    <row r="244">
      <c r="A244">
        <f>IF(AND(OR('Compliance Database'!$A244='Data Transfer'!$B$4,'Compliance Database'!$A244='Data Transfer'!$B$5),OR('Data Transfer'!$B$6="",ISNUMBER(SEARCH('Data Transfer'!$B$6,'Compliance Database'!$D244&amp;" "&amp;'Compliance Database'!$L244&amp;" "&amp;'Compliance Database'!$M244&amp;" "&amp;'Compliance Database'!$N244&amp;" "&amp;'Compliance Database'!$O244)))),1,0)</f>
        <v/>
      </c>
      <c r="B244">
        <f>IF($A244=1,SUM($A$2:$A244),"")</f>
        <v/>
      </c>
      <c r="C244">
        <f>IF($A244=1,SUM($A$2:$A244),0)</f>
        <v/>
      </c>
    </row>
    <row r="245">
      <c r="A245">
        <f>IF(AND(OR('Compliance Database'!$A245='Data Transfer'!$B$4,'Compliance Database'!$A245='Data Transfer'!$B$5),OR('Data Transfer'!$B$6="",ISNUMBER(SEARCH('Data Transfer'!$B$6,'Compliance Database'!$D245&amp;" "&amp;'Compliance Database'!$L245&amp;" "&amp;'Compliance Database'!$M245&amp;" "&amp;'Compliance Database'!$N245&amp;" "&amp;'Compliance Database'!$O245)))),1,0)</f>
        <v/>
      </c>
      <c r="B245">
        <f>IF($A245=1,SUM($A$2:$A245),"")</f>
        <v/>
      </c>
      <c r="C245">
        <f>IF($A245=1,SUM($A$2:$A245),0)</f>
        <v/>
      </c>
    </row>
    <row r="246">
      <c r="A246">
        <f>IF(AND(OR('Compliance Database'!$A246='Data Transfer'!$B$4,'Compliance Database'!$A246='Data Transfer'!$B$5),OR('Data Transfer'!$B$6="",ISNUMBER(SEARCH('Data Transfer'!$B$6,'Compliance Database'!$D246&amp;" "&amp;'Compliance Database'!$L246&amp;" "&amp;'Compliance Database'!$M246&amp;" "&amp;'Compliance Database'!$N246&amp;" "&amp;'Compliance Database'!$O246)))),1,0)</f>
        <v/>
      </c>
      <c r="B246">
        <f>IF($A246=1,SUM($A$2:$A246),"")</f>
        <v/>
      </c>
      <c r="C246">
        <f>IF($A246=1,SUM($A$2:$A246),0)</f>
        <v/>
      </c>
    </row>
    <row r="247">
      <c r="A247">
        <f>IF(AND(OR('Compliance Database'!$A247='Data Transfer'!$B$4,'Compliance Database'!$A247='Data Transfer'!$B$5),OR('Data Transfer'!$B$6="",ISNUMBER(SEARCH('Data Transfer'!$B$6,'Compliance Database'!$D247&amp;" "&amp;'Compliance Database'!$L247&amp;" "&amp;'Compliance Database'!$M247&amp;" "&amp;'Compliance Database'!$N247&amp;" "&amp;'Compliance Database'!$O247)))),1,0)</f>
        <v/>
      </c>
      <c r="B247">
        <f>IF($A247=1,SUM($A$2:$A247),"")</f>
        <v/>
      </c>
      <c r="C247">
        <f>IF($A247=1,SUM($A$2:$A247),0)</f>
        <v/>
      </c>
    </row>
    <row r="248">
      <c r="A248">
        <f>IF(AND(OR('Compliance Database'!$A248='Data Transfer'!$B$4,'Compliance Database'!$A248='Data Transfer'!$B$5),OR('Data Transfer'!$B$6="",ISNUMBER(SEARCH('Data Transfer'!$B$6,'Compliance Database'!$D248&amp;" "&amp;'Compliance Database'!$L248&amp;" "&amp;'Compliance Database'!$M248&amp;" "&amp;'Compliance Database'!$N248&amp;" "&amp;'Compliance Database'!$O248)))),1,0)</f>
        <v/>
      </c>
      <c r="B248">
        <f>IF($A248=1,SUM($A$2:$A248),"")</f>
        <v/>
      </c>
      <c r="C248">
        <f>IF($A248=1,SUM($A$2:$A248),0)</f>
        <v/>
      </c>
    </row>
    <row r="249">
      <c r="A249">
        <f>IF(AND(OR('Compliance Database'!$A249='Data Transfer'!$B$4,'Compliance Database'!$A249='Data Transfer'!$B$5),OR('Data Transfer'!$B$6="",ISNUMBER(SEARCH('Data Transfer'!$B$6,'Compliance Database'!$D249&amp;" "&amp;'Compliance Database'!$L249&amp;" "&amp;'Compliance Database'!$M249&amp;" "&amp;'Compliance Database'!$N249&amp;" "&amp;'Compliance Database'!$O249)))),1,0)</f>
        <v/>
      </c>
      <c r="B249">
        <f>IF($A249=1,SUM($A$2:$A249),"")</f>
        <v/>
      </c>
      <c r="C249">
        <f>IF($A249=1,SUM($A$2:$A249),0)</f>
        <v/>
      </c>
    </row>
    <row r="250">
      <c r="A250">
        <f>IF(AND(OR('Compliance Database'!$A250='Data Transfer'!$B$4,'Compliance Database'!$A250='Data Transfer'!$B$5),OR('Data Transfer'!$B$6="",ISNUMBER(SEARCH('Data Transfer'!$B$6,'Compliance Database'!$D250&amp;" "&amp;'Compliance Database'!$L250&amp;" "&amp;'Compliance Database'!$M250&amp;" "&amp;'Compliance Database'!$N250&amp;" "&amp;'Compliance Database'!$O250)))),1,0)</f>
        <v/>
      </c>
      <c r="B250">
        <f>IF($A250=1,SUM($A$2:$A250),"")</f>
        <v/>
      </c>
      <c r="C250">
        <f>IF($A250=1,SUM($A$2:$A250),0)</f>
        <v/>
      </c>
    </row>
    <row r="251">
      <c r="A251">
        <f>IF(AND(OR('Compliance Database'!$A251='Data Transfer'!$B$4,'Compliance Database'!$A251='Data Transfer'!$B$5),OR('Data Transfer'!$B$6="",ISNUMBER(SEARCH('Data Transfer'!$B$6,'Compliance Database'!$D251&amp;" "&amp;'Compliance Database'!$L251&amp;" "&amp;'Compliance Database'!$M251&amp;" "&amp;'Compliance Database'!$N251&amp;" "&amp;'Compliance Database'!$O251)))),1,0)</f>
        <v/>
      </c>
      <c r="B251">
        <f>IF($A251=1,SUM($A$2:$A251),"")</f>
        <v/>
      </c>
      <c r="C251">
        <f>IF($A251=1,SUM($A$2:$A251),0)</f>
        <v/>
      </c>
    </row>
    <row r="252">
      <c r="A252">
        <f>IF(AND(OR('Compliance Database'!$A252='Data Transfer'!$B$4,'Compliance Database'!$A252='Data Transfer'!$B$5),OR('Data Transfer'!$B$6="",ISNUMBER(SEARCH('Data Transfer'!$B$6,'Compliance Database'!$D252&amp;" "&amp;'Compliance Database'!$L252&amp;" "&amp;'Compliance Database'!$M252&amp;" "&amp;'Compliance Database'!$N252&amp;" "&amp;'Compliance Database'!$O252)))),1,0)</f>
        <v/>
      </c>
      <c r="B252">
        <f>IF($A252=1,SUM($A$2:$A252),"")</f>
        <v/>
      </c>
      <c r="C252">
        <f>IF($A252=1,SUM($A$2:$A252),0)</f>
        <v/>
      </c>
    </row>
    <row r="253">
      <c r="A253">
        <f>IF(AND(OR('Compliance Database'!$A253='Data Transfer'!$B$4,'Compliance Database'!$A253='Data Transfer'!$B$5),OR('Data Transfer'!$B$6="",ISNUMBER(SEARCH('Data Transfer'!$B$6,'Compliance Database'!$D253&amp;" "&amp;'Compliance Database'!$L253&amp;" "&amp;'Compliance Database'!$M253&amp;" "&amp;'Compliance Database'!$N253&amp;" "&amp;'Compliance Database'!$O253)))),1,0)</f>
        <v/>
      </c>
      <c r="B253">
        <f>IF($A253=1,SUM($A$2:$A253),"")</f>
        <v/>
      </c>
      <c r="C253">
        <f>IF($A253=1,SUM($A$2:$A253),0)</f>
        <v/>
      </c>
    </row>
    <row r="254">
      <c r="A254">
        <f>IF(AND(OR('Compliance Database'!$A254='Data Transfer'!$B$4,'Compliance Database'!$A254='Data Transfer'!$B$5),OR('Data Transfer'!$B$6="",ISNUMBER(SEARCH('Data Transfer'!$B$6,'Compliance Database'!$D254&amp;" "&amp;'Compliance Database'!$L254&amp;" "&amp;'Compliance Database'!$M254&amp;" "&amp;'Compliance Database'!$N254&amp;" "&amp;'Compliance Database'!$O254)))),1,0)</f>
        <v/>
      </c>
      <c r="B254">
        <f>IF($A254=1,SUM($A$2:$A254),"")</f>
        <v/>
      </c>
      <c r="C254">
        <f>IF($A254=1,SUM($A$2:$A254),0)</f>
        <v/>
      </c>
    </row>
    <row r="255">
      <c r="A255">
        <f>IF(AND(OR('Compliance Database'!$A255='Data Transfer'!$B$4,'Compliance Database'!$A255='Data Transfer'!$B$5),OR('Data Transfer'!$B$6="",ISNUMBER(SEARCH('Data Transfer'!$B$6,'Compliance Database'!$D255&amp;" "&amp;'Compliance Database'!$L255&amp;" "&amp;'Compliance Database'!$M255&amp;" "&amp;'Compliance Database'!$N255&amp;" "&amp;'Compliance Database'!$O255)))),1,0)</f>
        <v/>
      </c>
      <c r="B255">
        <f>IF($A255=1,SUM($A$2:$A255),"")</f>
        <v/>
      </c>
      <c r="C255">
        <f>IF($A255=1,SUM($A$2:$A255),0)</f>
        <v/>
      </c>
    </row>
    <row r="256">
      <c r="A256">
        <f>IF(AND(OR('Compliance Database'!$A256='Data Transfer'!$B$4,'Compliance Database'!$A256='Data Transfer'!$B$5),OR('Data Transfer'!$B$6="",ISNUMBER(SEARCH('Data Transfer'!$B$6,'Compliance Database'!$D256&amp;" "&amp;'Compliance Database'!$L256&amp;" "&amp;'Compliance Database'!$M256&amp;" "&amp;'Compliance Database'!$N256&amp;" "&amp;'Compliance Database'!$O256)))),1,0)</f>
        <v/>
      </c>
      <c r="B256">
        <f>IF($A256=1,SUM($A$2:$A256),"")</f>
        <v/>
      </c>
      <c r="C256">
        <f>IF($A256=1,SUM($A$2:$A256),0)</f>
        <v/>
      </c>
    </row>
    <row r="257">
      <c r="A257">
        <f>IF(AND(OR('Compliance Database'!$A257='Data Transfer'!$B$4,'Compliance Database'!$A257='Data Transfer'!$B$5),OR('Data Transfer'!$B$6="",ISNUMBER(SEARCH('Data Transfer'!$B$6,'Compliance Database'!$D257&amp;" "&amp;'Compliance Database'!$L257&amp;" "&amp;'Compliance Database'!$M257&amp;" "&amp;'Compliance Database'!$N257&amp;" "&amp;'Compliance Database'!$O257)))),1,0)</f>
        <v/>
      </c>
      <c r="B257">
        <f>IF($A257=1,SUM($A$2:$A257),"")</f>
        <v/>
      </c>
      <c r="C257">
        <f>IF($A257=1,SUM($A$2:$A257),0)</f>
        <v/>
      </c>
    </row>
    <row r="258">
      <c r="A258">
        <f>IF(AND(OR('Compliance Database'!$A258='Data Transfer'!$B$4,'Compliance Database'!$A258='Data Transfer'!$B$5),OR('Data Transfer'!$B$6="",ISNUMBER(SEARCH('Data Transfer'!$B$6,'Compliance Database'!$D258&amp;" "&amp;'Compliance Database'!$L258&amp;" "&amp;'Compliance Database'!$M258&amp;" "&amp;'Compliance Database'!$N258&amp;" "&amp;'Compliance Database'!$O258)))),1,0)</f>
        <v/>
      </c>
      <c r="B258">
        <f>IF($A258=1,SUM($A$2:$A258),"")</f>
        <v/>
      </c>
      <c r="C258">
        <f>IF($A258=1,SUM($A$2:$A258),0)</f>
        <v/>
      </c>
    </row>
    <row r="259">
      <c r="A259">
        <f>IF(AND(OR('Compliance Database'!$A259='Data Transfer'!$B$4,'Compliance Database'!$A259='Data Transfer'!$B$5),OR('Data Transfer'!$B$6="",ISNUMBER(SEARCH('Data Transfer'!$B$6,'Compliance Database'!$D259&amp;" "&amp;'Compliance Database'!$L259&amp;" "&amp;'Compliance Database'!$M259&amp;" "&amp;'Compliance Database'!$N259&amp;" "&amp;'Compliance Database'!$O259)))),1,0)</f>
        <v/>
      </c>
      <c r="B259">
        <f>IF($A259=1,SUM($A$2:$A259),"")</f>
        <v/>
      </c>
      <c r="C259">
        <f>IF($A259=1,SUM($A$2:$A259),0)</f>
        <v/>
      </c>
    </row>
    <row r="260">
      <c r="A260">
        <f>IF(AND(OR('Compliance Database'!$A260='Data Transfer'!$B$4,'Compliance Database'!$A260='Data Transfer'!$B$5),OR('Data Transfer'!$B$6="",ISNUMBER(SEARCH('Data Transfer'!$B$6,'Compliance Database'!$D260&amp;" "&amp;'Compliance Database'!$L260&amp;" "&amp;'Compliance Database'!$M260&amp;" "&amp;'Compliance Database'!$N260&amp;" "&amp;'Compliance Database'!$O260)))),1,0)</f>
        <v/>
      </c>
      <c r="B260">
        <f>IF($A260=1,SUM($A$2:$A260),"")</f>
        <v/>
      </c>
      <c r="C260">
        <f>IF($A260=1,SUM($A$2:$A260),0)</f>
        <v/>
      </c>
    </row>
    <row r="261">
      <c r="A261">
        <f>IF(AND(OR('Compliance Database'!$A261='Data Transfer'!$B$4,'Compliance Database'!$A261='Data Transfer'!$B$5),OR('Data Transfer'!$B$6="",ISNUMBER(SEARCH('Data Transfer'!$B$6,'Compliance Database'!$D261&amp;" "&amp;'Compliance Database'!$L261&amp;" "&amp;'Compliance Database'!$M261&amp;" "&amp;'Compliance Database'!$N261&amp;" "&amp;'Compliance Database'!$O261)))),1,0)</f>
        <v/>
      </c>
      <c r="B261">
        <f>IF($A261=1,SUM($A$2:$A261),"")</f>
        <v/>
      </c>
      <c r="C261">
        <f>IF($A261=1,SUM($A$2:$A261),0)</f>
        <v/>
      </c>
    </row>
    <row r="262">
      <c r="A262">
        <f>IF(AND(OR('Compliance Database'!$A262='Data Transfer'!$B$4,'Compliance Database'!$A262='Data Transfer'!$B$5),OR('Data Transfer'!$B$6="",ISNUMBER(SEARCH('Data Transfer'!$B$6,'Compliance Database'!$D262&amp;" "&amp;'Compliance Database'!$L262&amp;" "&amp;'Compliance Database'!$M262&amp;" "&amp;'Compliance Database'!$N262&amp;" "&amp;'Compliance Database'!$O262)))),1,0)</f>
        <v/>
      </c>
      <c r="B262">
        <f>IF($A262=1,SUM($A$2:$A262),"")</f>
        <v/>
      </c>
      <c r="C262">
        <f>IF($A262=1,SUM($A$2:$A262),0)</f>
        <v/>
      </c>
    </row>
    <row r="263">
      <c r="A263">
        <f>IF(AND(OR('Compliance Database'!$A263='Data Transfer'!$B$4,'Compliance Database'!$A263='Data Transfer'!$B$5),OR('Data Transfer'!$B$6="",ISNUMBER(SEARCH('Data Transfer'!$B$6,'Compliance Database'!$D263&amp;" "&amp;'Compliance Database'!$L263&amp;" "&amp;'Compliance Database'!$M263&amp;" "&amp;'Compliance Database'!$N263&amp;" "&amp;'Compliance Database'!$O263)))),1,0)</f>
        <v/>
      </c>
      <c r="B263">
        <f>IF($A263=1,SUM($A$2:$A263),"")</f>
        <v/>
      </c>
      <c r="C263">
        <f>IF($A263=1,SUM($A$2:$A263),0)</f>
        <v/>
      </c>
    </row>
    <row r="264">
      <c r="A264">
        <f>IF(AND(OR('Compliance Database'!$A264='Data Transfer'!$B$4,'Compliance Database'!$A264='Data Transfer'!$B$5),OR('Data Transfer'!$B$6="",ISNUMBER(SEARCH('Data Transfer'!$B$6,'Compliance Database'!$D264&amp;" "&amp;'Compliance Database'!$L264&amp;" "&amp;'Compliance Database'!$M264&amp;" "&amp;'Compliance Database'!$N264&amp;" "&amp;'Compliance Database'!$O264)))),1,0)</f>
        <v/>
      </c>
      <c r="B264">
        <f>IF($A264=1,SUM($A$2:$A264),"")</f>
        <v/>
      </c>
      <c r="C264">
        <f>IF($A264=1,SUM($A$2:$A264),0)</f>
        <v/>
      </c>
    </row>
    <row r="265">
      <c r="A265">
        <f>IF(AND(OR('Compliance Database'!$A265='Data Transfer'!$B$4,'Compliance Database'!$A265='Data Transfer'!$B$5),OR('Data Transfer'!$B$6="",ISNUMBER(SEARCH('Data Transfer'!$B$6,'Compliance Database'!$D265&amp;" "&amp;'Compliance Database'!$L265&amp;" "&amp;'Compliance Database'!$M265&amp;" "&amp;'Compliance Database'!$N265&amp;" "&amp;'Compliance Database'!$O265)))),1,0)</f>
        <v/>
      </c>
      <c r="B265">
        <f>IF($A265=1,SUM($A$2:$A265),"")</f>
        <v/>
      </c>
      <c r="C265">
        <f>IF($A265=1,SUM($A$2:$A265),0)</f>
        <v/>
      </c>
    </row>
    <row r="266">
      <c r="A266">
        <f>IF(AND(OR('Compliance Database'!$A266='Data Transfer'!$B$4,'Compliance Database'!$A266='Data Transfer'!$B$5),OR('Data Transfer'!$B$6="",ISNUMBER(SEARCH('Data Transfer'!$B$6,'Compliance Database'!$D266&amp;" "&amp;'Compliance Database'!$L266&amp;" "&amp;'Compliance Database'!$M266&amp;" "&amp;'Compliance Database'!$N266&amp;" "&amp;'Compliance Database'!$O266)))),1,0)</f>
        <v/>
      </c>
      <c r="B266">
        <f>IF($A266=1,SUM($A$2:$A266),"")</f>
        <v/>
      </c>
      <c r="C266">
        <f>IF($A266=1,SUM($A$2:$A266),0)</f>
        <v/>
      </c>
    </row>
    <row r="267">
      <c r="A267">
        <f>IF(AND(OR('Compliance Database'!$A267='Data Transfer'!$B$4,'Compliance Database'!$A267='Data Transfer'!$B$5),OR('Data Transfer'!$B$6="",ISNUMBER(SEARCH('Data Transfer'!$B$6,'Compliance Database'!$D267&amp;" "&amp;'Compliance Database'!$L267&amp;" "&amp;'Compliance Database'!$M267&amp;" "&amp;'Compliance Database'!$N267&amp;" "&amp;'Compliance Database'!$O267)))),1,0)</f>
        <v/>
      </c>
      <c r="B267">
        <f>IF($A267=1,SUM($A$2:$A267),"")</f>
        <v/>
      </c>
      <c r="C267">
        <f>IF($A267=1,SUM($A$2:$A267),0)</f>
        <v/>
      </c>
    </row>
    <row r="268">
      <c r="A268">
        <f>IF(AND(OR('Compliance Database'!$A268='Data Transfer'!$B$4,'Compliance Database'!$A268='Data Transfer'!$B$5),OR('Data Transfer'!$B$6="",ISNUMBER(SEARCH('Data Transfer'!$B$6,'Compliance Database'!$D268&amp;" "&amp;'Compliance Database'!$L268&amp;" "&amp;'Compliance Database'!$M268&amp;" "&amp;'Compliance Database'!$N268&amp;" "&amp;'Compliance Database'!$O268)))),1,0)</f>
        <v/>
      </c>
      <c r="B268">
        <f>IF($A268=1,SUM($A$2:$A268),"")</f>
        <v/>
      </c>
      <c r="C268">
        <f>IF($A268=1,SUM($A$2:$A268),0)</f>
        <v/>
      </c>
    </row>
    <row r="269">
      <c r="A269">
        <f>IF(AND(OR('Compliance Database'!$A269='Data Transfer'!$B$4,'Compliance Database'!$A269='Data Transfer'!$B$5),OR('Data Transfer'!$B$6="",ISNUMBER(SEARCH('Data Transfer'!$B$6,'Compliance Database'!$D269&amp;" "&amp;'Compliance Database'!$L269&amp;" "&amp;'Compliance Database'!$M269&amp;" "&amp;'Compliance Database'!$N269&amp;" "&amp;'Compliance Database'!$O269)))),1,0)</f>
        <v/>
      </c>
      <c r="B269">
        <f>IF($A269=1,SUM($A$2:$A269),"")</f>
        <v/>
      </c>
      <c r="C269">
        <f>IF($A269=1,SUM($A$2:$A269),0)</f>
        <v/>
      </c>
    </row>
    <row r="270">
      <c r="A270">
        <f>IF(AND(OR('Compliance Database'!$A270='Data Transfer'!$B$4,'Compliance Database'!$A270='Data Transfer'!$B$5),OR('Data Transfer'!$B$6="",ISNUMBER(SEARCH('Data Transfer'!$B$6,'Compliance Database'!$D270&amp;" "&amp;'Compliance Database'!$L270&amp;" "&amp;'Compliance Database'!$M270&amp;" "&amp;'Compliance Database'!$N270&amp;" "&amp;'Compliance Database'!$O270)))),1,0)</f>
        <v/>
      </c>
      <c r="B270">
        <f>IF($A270=1,SUM($A$2:$A270),"")</f>
        <v/>
      </c>
      <c r="C270">
        <f>IF($A270=1,SUM($A$2:$A270),0)</f>
        <v/>
      </c>
    </row>
    <row r="271">
      <c r="A271">
        <f>IF(AND(OR('Compliance Database'!$A271='Data Transfer'!$B$4,'Compliance Database'!$A271='Data Transfer'!$B$5),OR('Data Transfer'!$B$6="",ISNUMBER(SEARCH('Data Transfer'!$B$6,'Compliance Database'!$D271&amp;" "&amp;'Compliance Database'!$L271&amp;" "&amp;'Compliance Database'!$M271&amp;" "&amp;'Compliance Database'!$N271&amp;" "&amp;'Compliance Database'!$O271)))),1,0)</f>
        <v/>
      </c>
      <c r="B271">
        <f>IF($A271=1,SUM($A$2:$A271),"")</f>
        <v/>
      </c>
      <c r="C271">
        <f>IF($A271=1,SUM($A$2:$A271),0)</f>
        <v/>
      </c>
    </row>
    <row r="272">
      <c r="A272">
        <f>IF(AND(OR('Compliance Database'!$A272='Data Transfer'!$B$4,'Compliance Database'!$A272='Data Transfer'!$B$5),OR('Data Transfer'!$B$6="",ISNUMBER(SEARCH('Data Transfer'!$B$6,'Compliance Database'!$D272&amp;" "&amp;'Compliance Database'!$L272&amp;" "&amp;'Compliance Database'!$M272&amp;" "&amp;'Compliance Database'!$N272&amp;" "&amp;'Compliance Database'!$O272)))),1,0)</f>
        <v/>
      </c>
      <c r="B272">
        <f>IF($A272=1,SUM($A$2:$A272),"")</f>
        <v/>
      </c>
      <c r="C272">
        <f>IF($A272=1,SUM($A$2:$A272),0)</f>
        <v/>
      </c>
    </row>
    <row r="273">
      <c r="A273">
        <f>IF(AND(OR('Compliance Database'!$A273='Data Transfer'!$B$4,'Compliance Database'!$A273='Data Transfer'!$B$5),OR('Data Transfer'!$B$6="",ISNUMBER(SEARCH('Data Transfer'!$B$6,'Compliance Database'!$D273&amp;" "&amp;'Compliance Database'!$L273&amp;" "&amp;'Compliance Database'!$M273&amp;" "&amp;'Compliance Database'!$N273&amp;" "&amp;'Compliance Database'!$O273)))),1,0)</f>
        <v/>
      </c>
      <c r="B273">
        <f>IF($A273=1,SUM($A$2:$A273),"")</f>
        <v/>
      </c>
      <c r="C273">
        <f>IF($A273=1,SUM($A$2:$A273),0)</f>
        <v/>
      </c>
    </row>
    <row r="274">
      <c r="A274">
        <f>IF(AND(OR('Compliance Database'!$A274='Data Transfer'!$B$4,'Compliance Database'!$A274='Data Transfer'!$B$5),OR('Data Transfer'!$B$6="",ISNUMBER(SEARCH('Data Transfer'!$B$6,'Compliance Database'!$D274&amp;" "&amp;'Compliance Database'!$L274&amp;" "&amp;'Compliance Database'!$M274&amp;" "&amp;'Compliance Database'!$N274&amp;" "&amp;'Compliance Database'!$O274)))),1,0)</f>
        <v/>
      </c>
      <c r="B274">
        <f>IF($A274=1,SUM($A$2:$A274),"")</f>
        <v/>
      </c>
      <c r="C274">
        <f>IF($A274=1,SUM($A$2:$A274),0)</f>
        <v/>
      </c>
    </row>
    <row r="275">
      <c r="A275">
        <f>IF(AND(OR('Compliance Database'!$A275='Data Transfer'!$B$4,'Compliance Database'!$A275='Data Transfer'!$B$5),OR('Data Transfer'!$B$6="",ISNUMBER(SEARCH('Data Transfer'!$B$6,'Compliance Database'!$D275&amp;" "&amp;'Compliance Database'!$L275&amp;" "&amp;'Compliance Database'!$M275&amp;" "&amp;'Compliance Database'!$N275&amp;" "&amp;'Compliance Database'!$O275)))),1,0)</f>
        <v/>
      </c>
      <c r="B275">
        <f>IF($A275=1,SUM($A$2:$A275),"")</f>
        <v/>
      </c>
      <c r="C275">
        <f>IF($A275=1,SUM($A$2:$A275),0)</f>
        <v/>
      </c>
    </row>
    <row r="276">
      <c r="A276">
        <f>IF(AND(OR('Compliance Database'!$A276='Data Transfer'!$B$4,'Compliance Database'!$A276='Data Transfer'!$B$5),OR('Data Transfer'!$B$6="",ISNUMBER(SEARCH('Data Transfer'!$B$6,'Compliance Database'!$D276&amp;" "&amp;'Compliance Database'!$L276&amp;" "&amp;'Compliance Database'!$M276&amp;" "&amp;'Compliance Database'!$N276&amp;" "&amp;'Compliance Database'!$O276)))),1,0)</f>
        <v/>
      </c>
      <c r="B276">
        <f>IF($A276=1,SUM($A$2:$A276),"")</f>
        <v/>
      </c>
      <c r="C276">
        <f>IF($A276=1,SUM($A$2:$A276),0)</f>
        <v/>
      </c>
    </row>
    <row r="277">
      <c r="A277">
        <f>IF(AND(OR('Compliance Database'!$A277='Data Transfer'!$B$4,'Compliance Database'!$A277='Data Transfer'!$B$5),OR('Data Transfer'!$B$6="",ISNUMBER(SEARCH('Data Transfer'!$B$6,'Compliance Database'!$D277&amp;" "&amp;'Compliance Database'!$L277&amp;" "&amp;'Compliance Database'!$M277&amp;" "&amp;'Compliance Database'!$N277&amp;" "&amp;'Compliance Database'!$O277)))),1,0)</f>
        <v/>
      </c>
      <c r="B277">
        <f>IF($A277=1,SUM($A$2:$A277),"")</f>
        <v/>
      </c>
      <c r="C277">
        <f>IF($A277=1,SUM($A$2:$A277),0)</f>
        <v/>
      </c>
    </row>
    <row r="278">
      <c r="A278">
        <f>IF(AND(OR('Compliance Database'!$A278='Data Transfer'!$B$4,'Compliance Database'!$A278='Data Transfer'!$B$5),OR('Data Transfer'!$B$6="",ISNUMBER(SEARCH('Data Transfer'!$B$6,'Compliance Database'!$D278&amp;" "&amp;'Compliance Database'!$L278&amp;" "&amp;'Compliance Database'!$M278&amp;" "&amp;'Compliance Database'!$N278&amp;" "&amp;'Compliance Database'!$O278)))),1,0)</f>
        <v/>
      </c>
      <c r="B278">
        <f>IF($A278=1,SUM($A$2:$A278),"")</f>
        <v/>
      </c>
      <c r="C278">
        <f>IF($A278=1,SUM($A$2:$A278),0)</f>
        <v/>
      </c>
    </row>
    <row r="279">
      <c r="A279">
        <f>IF(AND(OR('Compliance Database'!$A279='Data Transfer'!$B$4,'Compliance Database'!$A279='Data Transfer'!$B$5),OR('Data Transfer'!$B$6="",ISNUMBER(SEARCH('Data Transfer'!$B$6,'Compliance Database'!$D279&amp;" "&amp;'Compliance Database'!$L279&amp;" "&amp;'Compliance Database'!$M279&amp;" "&amp;'Compliance Database'!$N279&amp;" "&amp;'Compliance Database'!$O279)))),1,0)</f>
        <v/>
      </c>
      <c r="B279">
        <f>IF($A279=1,SUM($A$2:$A279),"")</f>
        <v/>
      </c>
      <c r="C279">
        <f>IF($A279=1,SUM($A$2:$A279),0)</f>
        <v/>
      </c>
    </row>
    <row r="280">
      <c r="A280">
        <f>IF(AND(OR('Compliance Database'!$A280='Data Transfer'!$B$4,'Compliance Database'!$A280='Data Transfer'!$B$5),OR('Data Transfer'!$B$6="",ISNUMBER(SEARCH('Data Transfer'!$B$6,'Compliance Database'!$D280&amp;" "&amp;'Compliance Database'!$L280&amp;" "&amp;'Compliance Database'!$M280&amp;" "&amp;'Compliance Database'!$N280&amp;" "&amp;'Compliance Database'!$O280)))),1,0)</f>
        <v/>
      </c>
      <c r="B280">
        <f>IF($A280=1,SUM($A$2:$A280),"")</f>
        <v/>
      </c>
      <c r="C280">
        <f>IF($A280=1,SUM($A$2:$A280),0)</f>
        <v/>
      </c>
    </row>
    <row r="281">
      <c r="A281">
        <f>IF(AND(OR('Compliance Database'!$A281='Data Transfer'!$B$4,'Compliance Database'!$A281='Data Transfer'!$B$5),OR('Data Transfer'!$B$6="",ISNUMBER(SEARCH('Data Transfer'!$B$6,'Compliance Database'!$D281&amp;" "&amp;'Compliance Database'!$L281&amp;" "&amp;'Compliance Database'!$M281&amp;" "&amp;'Compliance Database'!$N281&amp;" "&amp;'Compliance Database'!$O281)))),1,0)</f>
        <v/>
      </c>
      <c r="B281">
        <f>IF($A281=1,SUM($A$2:$A281),"")</f>
        <v/>
      </c>
      <c r="C281">
        <f>IF($A281=1,SUM($A$2:$A281),0)</f>
        <v/>
      </c>
    </row>
    <row r="282">
      <c r="A282">
        <f>IF(AND(OR('Compliance Database'!$A282='Data Transfer'!$B$4,'Compliance Database'!$A282='Data Transfer'!$B$5),OR('Data Transfer'!$B$6="",ISNUMBER(SEARCH('Data Transfer'!$B$6,'Compliance Database'!$D282&amp;" "&amp;'Compliance Database'!$L282&amp;" "&amp;'Compliance Database'!$M282&amp;" "&amp;'Compliance Database'!$N282&amp;" "&amp;'Compliance Database'!$O282)))),1,0)</f>
        <v/>
      </c>
      <c r="B282">
        <f>IF($A282=1,SUM($A$2:$A282),"")</f>
        <v/>
      </c>
      <c r="C282">
        <f>IF($A282=1,SUM($A$2:$A282),0)</f>
        <v/>
      </c>
    </row>
    <row r="283">
      <c r="A283">
        <f>IF(AND(OR('Compliance Database'!$A283='Data Transfer'!$B$4,'Compliance Database'!$A283='Data Transfer'!$B$5),OR('Data Transfer'!$B$6="",ISNUMBER(SEARCH('Data Transfer'!$B$6,'Compliance Database'!$D283&amp;" "&amp;'Compliance Database'!$L283&amp;" "&amp;'Compliance Database'!$M283&amp;" "&amp;'Compliance Database'!$N283&amp;" "&amp;'Compliance Database'!$O283)))),1,0)</f>
        <v/>
      </c>
      <c r="B283">
        <f>IF($A283=1,SUM($A$2:$A283),"")</f>
        <v/>
      </c>
      <c r="C283">
        <f>IF($A283=1,SUM($A$2:$A283),0)</f>
        <v/>
      </c>
    </row>
    <row r="284">
      <c r="A284">
        <f>IF(AND(OR('Compliance Database'!$A284='Data Transfer'!$B$4,'Compliance Database'!$A284='Data Transfer'!$B$5),OR('Data Transfer'!$B$6="",ISNUMBER(SEARCH('Data Transfer'!$B$6,'Compliance Database'!$D284&amp;" "&amp;'Compliance Database'!$L284&amp;" "&amp;'Compliance Database'!$M284&amp;" "&amp;'Compliance Database'!$N284&amp;" "&amp;'Compliance Database'!$O284)))),1,0)</f>
        <v/>
      </c>
      <c r="B284">
        <f>IF($A284=1,SUM($A$2:$A284),"")</f>
        <v/>
      </c>
      <c r="C284">
        <f>IF($A284=1,SUM($A$2:$A284),0)</f>
        <v/>
      </c>
    </row>
    <row r="285">
      <c r="A285">
        <f>IF(AND(OR('Compliance Database'!$A285='Data Transfer'!$B$4,'Compliance Database'!$A285='Data Transfer'!$B$5),OR('Data Transfer'!$B$6="",ISNUMBER(SEARCH('Data Transfer'!$B$6,'Compliance Database'!$D285&amp;" "&amp;'Compliance Database'!$L285&amp;" "&amp;'Compliance Database'!$M285&amp;" "&amp;'Compliance Database'!$N285&amp;" "&amp;'Compliance Database'!$O285)))),1,0)</f>
        <v/>
      </c>
      <c r="B285">
        <f>IF($A285=1,SUM($A$2:$A285),"")</f>
        <v/>
      </c>
      <c r="C285">
        <f>IF($A285=1,SUM($A$2:$A285),0)</f>
        <v/>
      </c>
    </row>
    <row r="286">
      <c r="A286">
        <f>IF(AND(OR('Compliance Database'!$A286='Data Transfer'!$B$4,'Compliance Database'!$A286='Data Transfer'!$B$5),OR('Data Transfer'!$B$6="",ISNUMBER(SEARCH('Data Transfer'!$B$6,'Compliance Database'!$D286&amp;" "&amp;'Compliance Database'!$L286&amp;" "&amp;'Compliance Database'!$M286&amp;" "&amp;'Compliance Database'!$N286&amp;" "&amp;'Compliance Database'!$O286)))),1,0)</f>
        <v/>
      </c>
      <c r="B286">
        <f>IF($A286=1,SUM($A$2:$A286),"")</f>
        <v/>
      </c>
      <c r="C286">
        <f>IF($A286=1,SUM($A$2:$A286),0)</f>
        <v/>
      </c>
    </row>
    <row r="287">
      <c r="A287">
        <f>IF(AND(OR('Compliance Database'!$A287='Data Transfer'!$B$4,'Compliance Database'!$A287='Data Transfer'!$B$5),OR('Data Transfer'!$B$6="",ISNUMBER(SEARCH('Data Transfer'!$B$6,'Compliance Database'!$D287&amp;" "&amp;'Compliance Database'!$L287&amp;" "&amp;'Compliance Database'!$M287&amp;" "&amp;'Compliance Database'!$N287&amp;" "&amp;'Compliance Database'!$O287)))),1,0)</f>
        <v/>
      </c>
      <c r="B287">
        <f>IF($A287=1,SUM($A$2:$A287),"")</f>
        <v/>
      </c>
      <c r="C287">
        <f>IF($A287=1,SUM($A$2:$A287),0)</f>
        <v/>
      </c>
    </row>
    <row r="288">
      <c r="A288">
        <f>IF(AND(OR('Compliance Database'!$A288='Data Transfer'!$B$4,'Compliance Database'!$A288='Data Transfer'!$B$5),OR('Data Transfer'!$B$6="",ISNUMBER(SEARCH('Data Transfer'!$B$6,'Compliance Database'!$D288&amp;" "&amp;'Compliance Database'!$L288&amp;" "&amp;'Compliance Database'!$M288&amp;" "&amp;'Compliance Database'!$N288&amp;" "&amp;'Compliance Database'!$O288)))),1,0)</f>
        <v/>
      </c>
      <c r="B288">
        <f>IF($A288=1,SUM($A$2:$A288),"")</f>
        <v/>
      </c>
      <c r="C288">
        <f>IF($A288=1,SUM($A$2:$A288),0)</f>
        <v/>
      </c>
    </row>
    <row r="289">
      <c r="A289">
        <f>IF(AND(OR('Compliance Database'!$A289='Data Transfer'!$B$4,'Compliance Database'!$A289='Data Transfer'!$B$5),OR('Data Transfer'!$B$6="",ISNUMBER(SEARCH('Data Transfer'!$B$6,'Compliance Database'!$D289&amp;" "&amp;'Compliance Database'!$L289&amp;" "&amp;'Compliance Database'!$M289&amp;" "&amp;'Compliance Database'!$N289&amp;" "&amp;'Compliance Database'!$O289)))),1,0)</f>
        <v/>
      </c>
      <c r="B289">
        <f>IF($A289=1,SUM($A$2:$A289),"")</f>
        <v/>
      </c>
      <c r="C289">
        <f>IF($A289=1,SUM($A$2:$A289),0)</f>
        <v/>
      </c>
    </row>
    <row r="290">
      <c r="A290">
        <f>IF(AND(OR('Compliance Database'!$A290='Data Transfer'!$B$4,'Compliance Database'!$A290='Data Transfer'!$B$5),OR('Data Transfer'!$B$6="",ISNUMBER(SEARCH('Data Transfer'!$B$6,'Compliance Database'!$D290&amp;" "&amp;'Compliance Database'!$L290&amp;" "&amp;'Compliance Database'!$M290&amp;" "&amp;'Compliance Database'!$N290&amp;" "&amp;'Compliance Database'!$O290)))),1,0)</f>
        <v/>
      </c>
      <c r="B290">
        <f>IF($A290=1,SUM($A$2:$A290),"")</f>
        <v/>
      </c>
      <c r="C290">
        <f>IF($A290=1,SUM($A$2:$A290),0)</f>
        <v/>
      </c>
    </row>
    <row r="291">
      <c r="A291">
        <f>IF(AND(OR('Compliance Database'!$A291='Data Transfer'!$B$4,'Compliance Database'!$A291='Data Transfer'!$B$5),OR('Data Transfer'!$B$6="",ISNUMBER(SEARCH('Data Transfer'!$B$6,'Compliance Database'!$D291&amp;" "&amp;'Compliance Database'!$L291&amp;" "&amp;'Compliance Database'!$M291&amp;" "&amp;'Compliance Database'!$N291&amp;" "&amp;'Compliance Database'!$O291)))),1,0)</f>
        <v/>
      </c>
      <c r="B291">
        <f>IF($A291=1,SUM($A$2:$A291),"")</f>
        <v/>
      </c>
      <c r="C291">
        <f>IF($A291=1,SUM($A$2:$A291),0)</f>
        <v/>
      </c>
    </row>
    <row r="292">
      <c r="A292">
        <f>IF(AND(OR('Compliance Database'!$A292='Data Transfer'!$B$4,'Compliance Database'!$A292='Data Transfer'!$B$5),OR('Data Transfer'!$B$6="",ISNUMBER(SEARCH('Data Transfer'!$B$6,'Compliance Database'!$D292&amp;" "&amp;'Compliance Database'!$L292&amp;" "&amp;'Compliance Database'!$M292&amp;" "&amp;'Compliance Database'!$N292&amp;" "&amp;'Compliance Database'!$O292)))),1,0)</f>
        <v/>
      </c>
      <c r="B292">
        <f>IF($A292=1,SUM($A$2:$A292),"")</f>
        <v/>
      </c>
      <c r="C292">
        <f>IF($A292=1,SUM($A$2:$A292),0)</f>
        <v/>
      </c>
    </row>
    <row r="293">
      <c r="A293">
        <f>IF(AND(OR('Compliance Database'!$A293='Data Transfer'!$B$4,'Compliance Database'!$A293='Data Transfer'!$B$5),OR('Data Transfer'!$B$6="",ISNUMBER(SEARCH('Data Transfer'!$B$6,'Compliance Database'!$D293&amp;" "&amp;'Compliance Database'!$L293&amp;" "&amp;'Compliance Database'!$M293&amp;" "&amp;'Compliance Database'!$N293&amp;" "&amp;'Compliance Database'!$O293)))),1,0)</f>
        <v/>
      </c>
      <c r="B293">
        <f>IF($A293=1,SUM($A$2:$A293),"")</f>
        <v/>
      </c>
      <c r="C293">
        <f>IF($A293=1,SUM($A$2:$A293),0)</f>
        <v/>
      </c>
    </row>
    <row r="294">
      <c r="A294">
        <f>IF(AND(OR('Compliance Database'!$A294='Data Transfer'!$B$4,'Compliance Database'!$A294='Data Transfer'!$B$5),OR('Data Transfer'!$B$6="",ISNUMBER(SEARCH('Data Transfer'!$B$6,'Compliance Database'!$D294&amp;" "&amp;'Compliance Database'!$L294&amp;" "&amp;'Compliance Database'!$M294&amp;" "&amp;'Compliance Database'!$N294&amp;" "&amp;'Compliance Database'!$O294)))),1,0)</f>
        <v/>
      </c>
      <c r="B294">
        <f>IF($A294=1,SUM($A$2:$A294),"")</f>
        <v/>
      </c>
      <c r="C294">
        <f>IF($A294=1,SUM($A$2:$A294),0)</f>
        <v/>
      </c>
    </row>
    <row r="295">
      <c r="A295">
        <f>IF(AND(OR('Compliance Database'!$A295='Data Transfer'!$B$4,'Compliance Database'!$A295='Data Transfer'!$B$5),OR('Data Transfer'!$B$6="",ISNUMBER(SEARCH('Data Transfer'!$B$6,'Compliance Database'!$D295&amp;" "&amp;'Compliance Database'!$L295&amp;" "&amp;'Compliance Database'!$M295&amp;" "&amp;'Compliance Database'!$N295&amp;" "&amp;'Compliance Database'!$O295)))),1,0)</f>
        <v/>
      </c>
      <c r="B295">
        <f>IF($A295=1,SUM($A$2:$A295),"")</f>
        <v/>
      </c>
      <c r="C295">
        <f>IF($A295=1,SUM($A$2:$A295),0)</f>
        <v/>
      </c>
    </row>
    <row r="296">
      <c r="A296">
        <f>IF(AND(OR('Compliance Database'!$A296='Data Transfer'!$B$4,'Compliance Database'!$A296='Data Transfer'!$B$5),OR('Data Transfer'!$B$6="",ISNUMBER(SEARCH('Data Transfer'!$B$6,'Compliance Database'!$D296&amp;" "&amp;'Compliance Database'!$L296&amp;" "&amp;'Compliance Database'!$M296&amp;" "&amp;'Compliance Database'!$N296&amp;" "&amp;'Compliance Database'!$O296)))),1,0)</f>
        <v/>
      </c>
      <c r="B296">
        <f>IF($A296=1,SUM($A$2:$A296),"")</f>
        <v/>
      </c>
      <c r="C296">
        <f>IF($A296=1,SUM($A$2:$A296),0)</f>
        <v/>
      </c>
    </row>
    <row r="297">
      <c r="A297">
        <f>IF(AND(OR('Compliance Database'!$A297='Data Transfer'!$B$4,'Compliance Database'!$A297='Data Transfer'!$B$5),OR('Data Transfer'!$B$6="",ISNUMBER(SEARCH('Data Transfer'!$B$6,'Compliance Database'!$D297&amp;" "&amp;'Compliance Database'!$L297&amp;" "&amp;'Compliance Database'!$M297&amp;" "&amp;'Compliance Database'!$N297&amp;" "&amp;'Compliance Database'!$O297)))),1,0)</f>
        <v/>
      </c>
      <c r="B297">
        <f>IF($A297=1,SUM($A$2:$A297),"")</f>
        <v/>
      </c>
      <c r="C297">
        <f>IF($A297=1,SUM($A$2:$A297),0)</f>
        <v/>
      </c>
    </row>
    <row r="298">
      <c r="A298">
        <f>IF(AND(OR('Compliance Database'!$A298='Data Transfer'!$B$4,'Compliance Database'!$A298='Data Transfer'!$B$5),OR('Data Transfer'!$B$6="",ISNUMBER(SEARCH('Data Transfer'!$B$6,'Compliance Database'!$D298&amp;" "&amp;'Compliance Database'!$L298&amp;" "&amp;'Compliance Database'!$M298&amp;" "&amp;'Compliance Database'!$N298&amp;" "&amp;'Compliance Database'!$O298)))),1,0)</f>
        <v/>
      </c>
      <c r="B298">
        <f>IF($A298=1,SUM($A$2:$A298),"")</f>
        <v/>
      </c>
      <c r="C298">
        <f>IF($A298=1,SUM($A$2:$A298),0)</f>
        <v/>
      </c>
    </row>
    <row r="299">
      <c r="A299">
        <f>IF(AND(OR('Compliance Database'!$A299='Data Transfer'!$B$4,'Compliance Database'!$A299='Data Transfer'!$B$5),OR('Data Transfer'!$B$6="",ISNUMBER(SEARCH('Data Transfer'!$B$6,'Compliance Database'!$D299&amp;" "&amp;'Compliance Database'!$L299&amp;" "&amp;'Compliance Database'!$M299&amp;" "&amp;'Compliance Database'!$N299&amp;" "&amp;'Compliance Database'!$O299)))),1,0)</f>
        <v/>
      </c>
      <c r="B299">
        <f>IF($A299=1,SUM($A$2:$A299),"")</f>
        <v/>
      </c>
      <c r="C299">
        <f>IF($A299=1,SUM($A$2:$A299),0)</f>
        <v/>
      </c>
    </row>
    <row r="300">
      <c r="A300">
        <f>IF(AND(OR('Compliance Database'!$A300='Data Transfer'!$B$4,'Compliance Database'!$A300='Data Transfer'!$B$5),OR('Data Transfer'!$B$6="",ISNUMBER(SEARCH('Data Transfer'!$B$6,'Compliance Database'!$D300&amp;" "&amp;'Compliance Database'!$L300&amp;" "&amp;'Compliance Database'!$M300&amp;" "&amp;'Compliance Database'!$N300&amp;" "&amp;'Compliance Database'!$O300)))),1,0)</f>
        <v/>
      </c>
      <c r="B300">
        <f>IF($A300=1,SUM($A$2:$A300),"")</f>
        <v/>
      </c>
      <c r="C300">
        <f>IF($A300=1,SUM($A$2:$A300),0)</f>
        <v/>
      </c>
    </row>
    <row r="301">
      <c r="A301">
        <f>IF(AND(OR('Compliance Database'!$A301='Data Transfer'!$B$4,'Compliance Database'!$A301='Data Transfer'!$B$5),OR('Data Transfer'!$B$6="",ISNUMBER(SEARCH('Data Transfer'!$B$6,'Compliance Database'!$D301&amp;" "&amp;'Compliance Database'!$L301&amp;" "&amp;'Compliance Database'!$M301&amp;" "&amp;'Compliance Database'!$N301&amp;" "&amp;'Compliance Database'!$O301)))),1,0)</f>
        <v/>
      </c>
      <c r="B301">
        <f>IF($A301=1,SUM($A$2:$A301),"")</f>
        <v/>
      </c>
      <c r="C301">
        <f>IF($A301=1,SUM($A$2:$A301),0)</f>
        <v/>
      </c>
    </row>
    <row r="302">
      <c r="A302">
        <f>IF(AND(OR('Compliance Database'!$A302='Data Transfer'!$B$4,'Compliance Database'!$A302='Data Transfer'!$B$5),OR('Data Transfer'!$B$6="",ISNUMBER(SEARCH('Data Transfer'!$B$6,'Compliance Database'!$D302&amp;" "&amp;'Compliance Database'!$L302&amp;" "&amp;'Compliance Database'!$M302&amp;" "&amp;'Compliance Database'!$N302&amp;" "&amp;'Compliance Database'!$O302)))),1,0)</f>
        <v/>
      </c>
      <c r="B302">
        <f>IF($A302=1,SUM($A$2:$A302),"")</f>
        <v/>
      </c>
      <c r="C302">
        <f>IF($A302=1,SUM($A$2:$A302),0)</f>
        <v/>
      </c>
    </row>
    <row r="303">
      <c r="A303">
        <f>IF(AND(OR('Compliance Database'!$A303='Data Transfer'!$B$4,'Compliance Database'!$A303='Data Transfer'!$B$5),OR('Data Transfer'!$B$6="",ISNUMBER(SEARCH('Data Transfer'!$B$6,'Compliance Database'!$D303&amp;" "&amp;'Compliance Database'!$L303&amp;" "&amp;'Compliance Database'!$M303&amp;" "&amp;'Compliance Database'!$N303&amp;" "&amp;'Compliance Database'!$O303)))),1,0)</f>
        <v/>
      </c>
      <c r="B303">
        <f>IF($A303=1,SUM($A$2:$A303),"")</f>
        <v/>
      </c>
      <c r="C303">
        <f>IF($A303=1,SUM($A$2:$A303),0)</f>
        <v/>
      </c>
    </row>
    <row r="304">
      <c r="A304">
        <f>IF(AND(OR('Compliance Database'!$A304='Data Transfer'!$B$4,'Compliance Database'!$A304='Data Transfer'!$B$5),OR('Data Transfer'!$B$6="",ISNUMBER(SEARCH('Data Transfer'!$B$6,'Compliance Database'!$D304&amp;" "&amp;'Compliance Database'!$L304&amp;" "&amp;'Compliance Database'!$M304&amp;" "&amp;'Compliance Database'!$N304&amp;" "&amp;'Compliance Database'!$O304)))),1,0)</f>
        <v/>
      </c>
      <c r="B304">
        <f>IF($A304=1,SUM($A$2:$A304),"")</f>
        <v/>
      </c>
      <c r="C304">
        <f>IF($A304=1,SUM($A$2:$A304),0)</f>
        <v/>
      </c>
    </row>
    <row r="305">
      <c r="A305">
        <f>IF(AND(OR('Compliance Database'!$A305='Data Transfer'!$B$4,'Compliance Database'!$A305='Data Transfer'!$B$5),OR('Data Transfer'!$B$6="",ISNUMBER(SEARCH('Data Transfer'!$B$6,'Compliance Database'!$D305&amp;" "&amp;'Compliance Database'!$L305&amp;" "&amp;'Compliance Database'!$M305&amp;" "&amp;'Compliance Database'!$N305&amp;" "&amp;'Compliance Database'!$O305)))),1,0)</f>
        <v/>
      </c>
      <c r="B305">
        <f>IF($A305=1,SUM($A$2:$A305),"")</f>
        <v/>
      </c>
      <c r="C305">
        <f>IF($A305=1,SUM($A$2:$A305),0)</f>
        <v/>
      </c>
    </row>
    <row r="306">
      <c r="A306">
        <f>IF(AND(OR('Compliance Database'!$A306='Data Transfer'!$B$4,'Compliance Database'!$A306='Data Transfer'!$B$5),OR('Data Transfer'!$B$6="",ISNUMBER(SEARCH('Data Transfer'!$B$6,'Compliance Database'!$D306&amp;" "&amp;'Compliance Database'!$L306&amp;" "&amp;'Compliance Database'!$M306&amp;" "&amp;'Compliance Database'!$N306&amp;" "&amp;'Compliance Database'!$O306)))),1,0)</f>
        <v/>
      </c>
      <c r="B306">
        <f>IF($A306=1,SUM($A$2:$A306),"")</f>
        <v/>
      </c>
      <c r="C306">
        <f>IF($A306=1,SUM($A$2:$A306),0)</f>
        <v/>
      </c>
    </row>
    <row r="307">
      <c r="A307">
        <f>IF(AND(OR('Compliance Database'!$A307='Data Transfer'!$B$4,'Compliance Database'!$A307='Data Transfer'!$B$5),OR('Data Transfer'!$B$6="",ISNUMBER(SEARCH('Data Transfer'!$B$6,'Compliance Database'!$D307&amp;" "&amp;'Compliance Database'!$L307&amp;" "&amp;'Compliance Database'!$M307&amp;" "&amp;'Compliance Database'!$N307&amp;" "&amp;'Compliance Database'!$O307)))),1,0)</f>
        <v/>
      </c>
      <c r="B307">
        <f>IF($A307=1,SUM($A$2:$A307),"")</f>
        <v/>
      </c>
      <c r="C307">
        <f>IF($A307=1,SUM($A$2:$A307),0)</f>
        <v/>
      </c>
    </row>
    <row r="308">
      <c r="A308">
        <f>IF(AND(OR('Compliance Database'!$A308='Data Transfer'!$B$4,'Compliance Database'!$A308='Data Transfer'!$B$5),OR('Data Transfer'!$B$6="",ISNUMBER(SEARCH('Data Transfer'!$B$6,'Compliance Database'!$D308&amp;" "&amp;'Compliance Database'!$L308&amp;" "&amp;'Compliance Database'!$M308&amp;" "&amp;'Compliance Database'!$N308&amp;" "&amp;'Compliance Database'!$O308)))),1,0)</f>
        <v/>
      </c>
      <c r="B308">
        <f>IF($A308=1,SUM($A$2:$A308),"")</f>
        <v/>
      </c>
      <c r="C308">
        <f>IF($A308=1,SUM($A$2:$A308),0)</f>
        <v/>
      </c>
    </row>
    <row r="309">
      <c r="A309">
        <f>IF(AND(OR('Compliance Database'!$A309='Data Transfer'!$B$4,'Compliance Database'!$A309='Data Transfer'!$B$5),OR('Data Transfer'!$B$6="",ISNUMBER(SEARCH('Data Transfer'!$B$6,'Compliance Database'!$D309&amp;" "&amp;'Compliance Database'!$L309&amp;" "&amp;'Compliance Database'!$M309&amp;" "&amp;'Compliance Database'!$N309&amp;" "&amp;'Compliance Database'!$O309)))),1,0)</f>
        <v/>
      </c>
      <c r="B309">
        <f>IF($A309=1,SUM($A$2:$A309),"")</f>
        <v/>
      </c>
      <c r="C309">
        <f>IF($A309=1,SUM($A$2:$A309),0)</f>
        <v/>
      </c>
    </row>
    <row r="310">
      <c r="A310">
        <f>IF(AND(OR('Compliance Database'!$A310='Data Transfer'!$B$4,'Compliance Database'!$A310='Data Transfer'!$B$5),OR('Data Transfer'!$B$6="",ISNUMBER(SEARCH('Data Transfer'!$B$6,'Compliance Database'!$D310&amp;" "&amp;'Compliance Database'!$L310&amp;" "&amp;'Compliance Database'!$M310&amp;" "&amp;'Compliance Database'!$N310&amp;" "&amp;'Compliance Database'!$O310)))),1,0)</f>
        <v/>
      </c>
      <c r="B310">
        <f>IF($A310=1,SUM($A$2:$A310),"")</f>
        <v/>
      </c>
      <c r="C310">
        <f>IF($A310=1,SUM($A$2:$A310),0)</f>
        <v/>
      </c>
    </row>
    <row r="311">
      <c r="A311">
        <f>IF(AND(OR('Compliance Database'!$A311='Data Transfer'!$B$4,'Compliance Database'!$A311='Data Transfer'!$B$5),OR('Data Transfer'!$B$6="",ISNUMBER(SEARCH('Data Transfer'!$B$6,'Compliance Database'!$D311&amp;" "&amp;'Compliance Database'!$L311&amp;" "&amp;'Compliance Database'!$M311&amp;" "&amp;'Compliance Database'!$N311&amp;" "&amp;'Compliance Database'!$O311)))),1,0)</f>
        <v/>
      </c>
      <c r="B311">
        <f>IF($A311=1,SUM($A$2:$A311),"")</f>
        <v/>
      </c>
      <c r="C311">
        <f>IF($A311=1,SUM($A$2:$A311),0)</f>
        <v/>
      </c>
    </row>
    <row r="312">
      <c r="A312">
        <f>IF(AND(OR('Compliance Database'!$A312='Data Transfer'!$B$4,'Compliance Database'!$A312='Data Transfer'!$B$5),OR('Data Transfer'!$B$6="",ISNUMBER(SEARCH('Data Transfer'!$B$6,'Compliance Database'!$D312&amp;" "&amp;'Compliance Database'!$L312&amp;" "&amp;'Compliance Database'!$M312&amp;" "&amp;'Compliance Database'!$N312&amp;" "&amp;'Compliance Database'!$O312)))),1,0)</f>
        <v/>
      </c>
      <c r="B312">
        <f>IF($A312=1,SUM($A$2:$A312),"")</f>
        <v/>
      </c>
      <c r="C312">
        <f>IF($A312=1,SUM($A$2:$A312),0)</f>
        <v/>
      </c>
    </row>
    <row r="313">
      <c r="A313">
        <f>IF(AND(OR('Compliance Database'!$A313='Data Transfer'!$B$4,'Compliance Database'!$A313='Data Transfer'!$B$5),OR('Data Transfer'!$B$6="",ISNUMBER(SEARCH('Data Transfer'!$B$6,'Compliance Database'!$D313&amp;" "&amp;'Compliance Database'!$L313&amp;" "&amp;'Compliance Database'!$M313&amp;" "&amp;'Compliance Database'!$N313&amp;" "&amp;'Compliance Database'!$O313)))),1,0)</f>
        <v/>
      </c>
      <c r="B313">
        <f>IF($A313=1,SUM($A$2:$A313),"")</f>
        <v/>
      </c>
      <c r="C313">
        <f>IF($A313=1,SUM($A$2:$A313),0)</f>
        <v/>
      </c>
    </row>
    <row r="314">
      <c r="A314">
        <f>IF(AND(OR('Compliance Database'!$A314='Data Transfer'!$B$4,'Compliance Database'!$A314='Data Transfer'!$B$5),OR('Data Transfer'!$B$6="",ISNUMBER(SEARCH('Data Transfer'!$B$6,'Compliance Database'!$D314&amp;" "&amp;'Compliance Database'!$L314&amp;" "&amp;'Compliance Database'!$M314&amp;" "&amp;'Compliance Database'!$N314&amp;" "&amp;'Compliance Database'!$O314)))),1,0)</f>
        <v/>
      </c>
      <c r="B314">
        <f>IF($A314=1,SUM($A$2:$A314),"")</f>
        <v/>
      </c>
      <c r="C314">
        <f>IF($A314=1,SUM($A$2:$A314),0)</f>
        <v/>
      </c>
    </row>
    <row r="315">
      <c r="A315">
        <f>IF(AND(OR('Compliance Database'!$A315='Data Transfer'!$B$4,'Compliance Database'!$A315='Data Transfer'!$B$5),OR('Data Transfer'!$B$6="",ISNUMBER(SEARCH('Data Transfer'!$B$6,'Compliance Database'!$D315&amp;" "&amp;'Compliance Database'!$L315&amp;" "&amp;'Compliance Database'!$M315&amp;" "&amp;'Compliance Database'!$N315&amp;" "&amp;'Compliance Database'!$O315)))),1,0)</f>
        <v/>
      </c>
      <c r="B315">
        <f>IF($A315=1,SUM($A$2:$A315),"")</f>
        <v/>
      </c>
      <c r="C315">
        <f>IF($A315=1,SUM($A$2:$A315),0)</f>
        <v/>
      </c>
    </row>
    <row r="316">
      <c r="A316">
        <f>IF(AND(OR('Compliance Database'!$A316='Data Transfer'!$B$4,'Compliance Database'!$A316='Data Transfer'!$B$5),OR('Data Transfer'!$B$6="",ISNUMBER(SEARCH('Data Transfer'!$B$6,'Compliance Database'!$D316&amp;" "&amp;'Compliance Database'!$L316&amp;" "&amp;'Compliance Database'!$M316&amp;" "&amp;'Compliance Database'!$N316&amp;" "&amp;'Compliance Database'!$O316)))),1,0)</f>
        <v/>
      </c>
      <c r="B316">
        <f>IF($A316=1,SUM($A$2:$A316),"")</f>
        <v/>
      </c>
      <c r="C316">
        <f>IF($A316=1,SUM($A$2:$A316),0)</f>
        <v/>
      </c>
    </row>
    <row r="317">
      <c r="A317">
        <f>IF(AND(OR('Compliance Database'!$A317='Data Transfer'!$B$4,'Compliance Database'!$A317='Data Transfer'!$B$5),OR('Data Transfer'!$B$6="",ISNUMBER(SEARCH('Data Transfer'!$B$6,'Compliance Database'!$D317&amp;" "&amp;'Compliance Database'!$L317&amp;" "&amp;'Compliance Database'!$M317&amp;" "&amp;'Compliance Database'!$N317&amp;" "&amp;'Compliance Database'!$O317)))),1,0)</f>
        <v/>
      </c>
      <c r="B317">
        <f>IF($A317=1,SUM($A$2:$A317),"")</f>
        <v/>
      </c>
      <c r="C317">
        <f>IF($A317=1,SUM($A$2:$A317),0)</f>
        <v/>
      </c>
    </row>
    <row r="318">
      <c r="A318">
        <f>IF(AND(OR('Compliance Database'!$A318='Data Transfer'!$B$4,'Compliance Database'!$A318='Data Transfer'!$B$5),OR('Data Transfer'!$B$6="",ISNUMBER(SEARCH('Data Transfer'!$B$6,'Compliance Database'!$D318&amp;" "&amp;'Compliance Database'!$L318&amp;" "&amp;'Compliance Database'!$M318&amp;" "&amp;'Compliance Database'!$N318&amp;" "&amp;'Compliance Database'!$O318)))),1,0)</f>
        <v/>
      </c>
      <c r="B318">
        <f>IF($A318=1,SUM($A$2:$A318),"")</f>
        <v/>
      </c>
      <c r="C318">
        <f>IF($A318=1,SUM($A$2:$A318),0)</f>
        <v/>
      </c>
    </row>
    <row r="319">
      <c r="A319">
        <f>IF(AND(OR('Compliance Database'!$A319='Data Transfer'!$B$4,'Compliance Database'!$A319='Data Transfer'!$B$5),OR('Data Transfer'!$B$6="",ISNUMBER(SEARCH('Data Transfer'!$B$6,'Compliance Database'!$D319&amp;" "&amp;'Compliance Database'!$L319&amp;" "&amp;'Compliance Database'!$M319&amp;" "&amp;'Compliance Database'!$N319&amp;" "&amp;'Compliance Database'!$O319)))),1,0)</f>
        <v/>
      </c>
      <c r="B319">
        <f>IF($A319=1,SUM($A$2:$A319),"")</f>
        <v/>
      </c>
      <c r="C319">
        <f>IF($A319=1,SUM($A$2:$A319),0)</f>
        <v/>
      </c>
    </row>
    <row r="320">
      <c r="A320">
        <f>IF(AND(OR('Compliance Database'!$A320='Data Transfer'!$B$4,'Compliance Database'!$A320='Data Transfer'!$B$5),OR('Data Transfer'!$B$6="",ISNUMBER(SEARCH('Data Transfer'!$B$6,'Compliance Database'!$D320&amp;" "&amp;'Compliance Database'!$L320&amp;" "&amp;'Compliance Database'!$M320&amp;" "&amp;'Compliance Database'!$N320&amp;" "&amp;'Compliance Database'!$O320)))),1,0)</f>
        <v/>
      </c>
      <c r="B320">
        <f>IF($A320=1,SUM($A$2:$A320),"")</f>
        <v/>
      </c>
      <c r="C320">
        <f>IF($A320=1,SUM($A$2:$A320),0)</f>
        <v/>
      </c>
    </row>
    <row r="321">
      <c r="A321">
        <f>IF(AND(OR('Compliance Database'!$A321='Data Transfer'!$B$4,'Compliance Database'!$A321='Data Transfer'!$B$5),OR('Data Transfer'!$B$6="",ISNUMBER(SEARCH('Data Transfer'!$B$6,'Compliance Database'!$D321&amp;" "&amp;'Compliance Database'!$L321&amp;" "&amp;'Compliance Database'!$M321&amp;" "&amp;'Compliance Database'!$N321&amp;" "&amp;'Compliance Database'!$O321)))),1,0)</f>
        <v/>
      </c>
      <c r="B321">
        <f>IF($A321=1,SUM($A$2:$A321),"")</f>
        <v/>
      </c>
      <c r="C321">
        <f>IF($A321=1,SUM($A$2:$A321),0)</f>
        <v/>
      </c>
    </row>
    <row r="322">
      <c r="A322">
        <f>IF(AND(OR('Compliance Database'!$A322='Data Transfer'!$B$4,'Compliance Database'!$A322='Data Transfer'!$B$5),OR('Data Transfer'!$B$6="",ISNUMBER(SEARCH('Data Transfer'!$B$6,'Compliance Database'!$D322&amp;" "&amp;'Compliance Database'!$L322&amp;" "&amp;'Compliance Database'!$M322&amp;" "&amp;'Compliance Database'!$N322&amp;" "&amp;'Compliance Database'!$O322)))),1,0)</f>
        <v/>
      </c>
      <c r="B322">
        <f>IF($A322=1,SUM($A$2:$A322),"")</f>
        <v/>
      </c>
      <c r="C322">
        <f>IF($A322=1,SUM($A$2:$A322),0)</f>
        <v/>
      </c>
    </row>
    <row r="323">
      <c r="A323">
        <f>IF(AND(OR('Compliance Database'!$A323='Data Transfer'!$B$4,'Compliance Database'!$A323='Data Transfer'!$B$5),OR('Data Transfer'!$B$6="",ISNUMBER(SEARCH('Data Transfer'!$B$6,'Compliance Database'!$D323&amp;" "&amp;'Compliance Database'!$L323&amp;" "&amp;'Compliance Database'!$M323&amp;" "&amp;'Compliance Database'!$N323&amp;" "&amp;'Compliance Database'!$O323)))),1,0)</f>
        <v/>
      </c>
      <c r="B323">
        <f>IF($A323=1,SUM($A$2:$A323),"")</f>
        <v/>
      </c>
      <c r="C323">
        <f>IF($A323=1,SUM($A$2:$A323),0)</f>
        <v/>
      </c>
    </row>
    <row r="324">
      <c r="A324">
        <f>IF(AND(OR('Compliance Database'!$A324='Data Transfer'!$B$4,'Compliance Database'!$A324='Data Transfer'!$B$5),OR('Data Transfer'!$B$6="",ISNUMBER(SEARCH('Data Transfer'!$B$6,'Compliance Database'!$D324&amp;" "&amp;'Compliance Database'!$L324&amp;" "&amp;'Compliance Database'!$M324&amp;" "&amp;'Compliance Database'!$N324&amp;" "&amp;'Compliance Database'!$O324)))),1,0)</f>
        <v/>
      </c>
      <c r="B324">
        <f>IF($A324=1,SUM($A$2:$A324),"")</f>
        <v/>
      </c>
      <c r="C324">
        <f>IF($A324=1,SUM($A$2:$A324),0)</f>
        <v/>
      </c>
    </row>
    <row r="325">
      <c r="A325">
        <f>IF(AND(OR('Compliance Database'!$A325='Data Transfer'!$B$4,'Compliance Database'!$A325='Data Transfer'!$B$5),OR('Data Transfer'!$B$6="",ISNUMBER(SEARCH('Data Transfer'!$B$6,'Compliance Database'!$D325&amp;" "&amp;'Compliance Database'!$L325&amp;" "&amp;'Compliance Database'!$M325&amp;" "&amp;'Compliance Database'!$N325&amp;" "&amp;'Compliance Database'!$O325)))),1,0)</f>
        <v/>
      </c>
      <c r="B325">
        <f>IF($A325=1,SUM($A$2:$A325),"")</f>
        <v/>
      </c>
      <c r="C325">
        <f>IF($A325=1,SUM($A$2:$A325),0)</f>
        <v/>
      </c>
    </row>
    <row r="326">
      <c r="A326">
        <f>IF(AND(OR('Compliance Database'!$A326='Data Transfer'!$B$4,'Compliance Database'!$A326='Data Transfer'!$B$5),OR('Data Transfer'!$B$6="",ISNUMBER(SEARCH('Data Transfer'!$B$6,'Compliance Database'!$D326&amp;" "&amp;'Compliance Database'!$L326&amp;" "&amp;'Compliance Database'!$M326&amp;" "&amp;'Compliance Database'!$N326&amp;" "&amp;'Compliance Database'!$O326)))),1,0)</f>
        <v/>
      </c>
      <c r="B326">
        <f>IF($A326=1,SUM($A$2:$A326),"")</f>
        <v/>
      </c>
      <c r="C326">
        <f>IF($A326=1,SUM($A$2:$A326),0)</f>
        <v/>
      </c>
    </row>
    <row r="327">
      <c r="A327">
        <f>IF(AND(OR('Compliance Database'!$A327='Data Transfer'!$B$4,'Compliance Database'!$A327='Data Transfer'!$B$5),OR('Data Transfer'!$B$6="",ISNUMBER(SEARCH('Data Transfer'!$B$6,'Compliance Database'!$D327&amp;" "&amp;'Compliance Database'!$L327&amp;" "&amp;'Compliance Database'!$M327&amp;" "&amp;'Compliance Database'!$N327&amp;" "&amp;'Compliance Database'!$O327)))),1,0)</f>
        <v/>
      </c>
      <c r="B327">
        <f>IF($A327=1,SUM($A$2:$A327),"")</f>
        <v/>
      </c>
      <c r="C327">
        <f>IF($A327=1,SUM($A$2:$A327),0)</f>
        <v/>
      </c>
    </row>
    <row r="328">
      <c r="A328">
        <f>IF(AND(OR('Compliance Database'!$A328='Data Transfer'!$B$4,'Compliance Database'!$A328='Data Transfer'!$B$5),OR('Data Transfer'!$B$6="",ISNUMBER(SEARCH('Data Transfer'!$B$6,'Compliance Database'!$D328&amp;" "&amp;'Compliance Database'!$L328&amp;" "&amp;'Compliance Database'!$M328&amp;" "&amp;'Compliance Database'!$N328&amp;" "&amp;'Compliance Database'!$O328)))),1,0)</f>
        <v/>
      </c>
      <c r="B328">
        <f>IF($A328=1,SUM($A$2:$A328),"")</f>
        <v/>
      </c>
      <c r="C328">
        <f>IF($A328=1,SUM($A$2:$A328),0)</f>
        <v/>
      </c>
    </row>
    <row r="329">
      <c r="A329">
        <f>IF(AND(OR('Compliance Database'!$A329='Data Transfer'!$B$4,'Compliance Database'!$A329='Data Transfer'!$B$5),OR('Data Transfer'!$B$6="",ISNUMBER(SEARCH('Data Transfer'!$B$6,'Compliance Database'!$D329&amp;" "&amp;'Compliance Database'!$L329&amp;" "&amp;'Compliance Database'!$M329&amp;" "&amp;'Compliance Database'!$N329&amp;" "&amp;'Compliance Database'!$O329)))),1,0)</f>
        <v/>
      </c>
      <c r="B329">
        <f>IF($A329=1,SUM($A$2:$A329),"")</f>
        <v/>
      </c>
      <c r="C329">
        <f>IF($A329=1,SUM($A$2:$A329),0)</f>
        <v/>
      </c>
    </row>
    <row r="330">
      <c r="A330">
        <f>IF(AND(OR('Compliance Database'!$A330='Data Transfer'!$B$4,'Compliance Database'!$A330='Data Transfer'!$B$5),OR('Data Transfer'!$B$6="",ISNUMBER(SEARCH('Data Transfer'!$B$6,'Compliance Database'!$D330&amp;" "&amp;'Compliance Database'!$L330&amp;" "&amp;'Compliance Database'!$M330&amp;" "&amp;'Compliance Database'!$N330&amp;" "&amp;'Compliance Database'!$O330)))),1,0)</f>
        <v/>
      </c>
      <c r="B330">
        <f>IF($A330=1,SUM($A$2:$A330),"")</f>
        <v/>
      </c>
      <c r="C330">
        <f>IF($A330=1,SUM($A$2:$A330),0)</f>
        <v/>
      </c>
    </row>
    <row r="331">
      <c r="A331">
        <f>IF(AND(OR('Compliance Database'!$A331='Data Transfer'!$B$4,'Compliance Database'!$A331='Data Transfer'!$B$5),OR('Data Transfer'!$B$6="",ISNUMBER(SEARCH('Data Transfer'!$B$6,'Compliance Database'!$D331&amp;" "&amp;'Compliance Database'!$L331&amp;" "&amp;'Compliance Database'!$M331&amp;" "&amp;'Compliance Database'!$N331&amp;" "&amp;'Compliance Database'!$O331)))),1,0)</f>
        <v/>
      </c>
      <c r="B331">
        <f>IF($A331=1,SUM($A$2:$A331),"")</f>
        <v/>
      </c>
      <c r="C331">
        <f>IF($A331=1,SUM($A$2:$A331),0)</f>
        <v/>
      </c>
    </row>
    <row r="332">
      <c r="A332">
        <f>IF(AND(OR('Compliance Database'!$A332='Data Transfer'!$B$4,'Compliance Database'!$A332='Data Transfer'!$B$5),OR('Data Transfer'!$B$6="",ISNUMBER(SEARCH('Data Transfer'!$B$6,'Compliance Database'!$D332&amp;" "&amp;'Compliance Database'!$L332&amp;" "&amp;'Compliance Database'!$M332&amp;" "&amp;'Compliance Database'!$N332&amp;" "&amp;'Compliance Database'!$O332)))),1,0)</f>
        <v/>
      </c>
      <c r="B332">
        <f>IF($A332=1,SUM($A$2:$A332),"")</f>
        <v/>
      </c>
      <c r="C332">
        <f>IF($A332=1,SUM($A$2:$A332),0)</f>
        <v/>
      </c>
    </row>
    <row r="333">
      <c r="A333">
        <f>IF(AND(OR('Compliance Database'!$A333='Data Transfer'!$B$4,'Compliance Database'!$A333='Data Transfer'!$B$5),OR('Data Transfer'!$B$6="",ISNUMBER(SEARCH('Data Transfer'!$B$6,'Compliance Database'!$D333&amp;" "&amp;'Compliance Database'!$L333&amp;" "&amp;'Compliance Database'!$M333&amp;" "&amp;'Compliance Database'!$N333&amp;" "&amp;'Compliance Database'!$O333)))),1,0)</f>
        <v/>
      </c>
      <c r="B333">
        <f>IF($A333=1,SUM($A$2:$A333),"")</f>
        <v/>
      </c>
      <c r="C333">
        <f>IF($A333=1,SUM($A$2:$A333),0)</f>
        <v/>
      </c>
    </row>
    <row r="334">
      <c r="A334">
        <f>IF(AND(OR('Compliance Database'!$A334='Data Transfer'!$B$4,'Compliance Database'!$A334='Data Transfer'!$B$5),OR('Data Transfer'!$B$6="",ISNUMBER(SEARCH('Data Transfer'!$B$6,'Compliance Database'!$D334&amp;" "&amp;'Compliance Database'!$L334&amp;" "&amp;'Compliance Database'!$M334&amp;" "&amp;'Compliance Database'!$N334&amp;" "&amp;'Compliance Database'!$O334)))),1,0)</f>
        <v/>
      </c>
      <c r="B334">
        <f>IF($A334=1,SUM($A$2:$A334),"")</f>
        <v/>
      </c>
      <c r="C334">
        <f>IF($A334=1,SUM($A$2:$A334),0)</f>
        <v/>
      </c>
    </row>
    <row r="335">
      <c r="A335">
        <f>IF(AND(OR('Compliance Database'!$A335='Data Transfer'!$B$4,'Compliance Database'!$A335='Data Transfer'!$B$5),OR('Data Transfer'!$B$6="",ISNUMBER(SEARCH('Data Transfer'!$B$6,'Compliance Database'!$D335&amp;" "&amp;'Compliance Database'!$L335&amp;" "&amp;'Compliance Database'!$M335&amp;" "&amp;'Compliance Database'!$N335&amp;" "&amp;'Compliance Database'!$O335)))),1,0)</f>
        <v/>
      </c>
      <c r="B335">
        <f>IF($A335=1,SUM($A$2:$A335),"")</f>
        <v/>
      </c>
      <c r="C335">
        <f>IF($A335=1,SUM($A$2:$A335),0)</f>
        <v/>
      </c>
    </row>
    <row r="336">
      <c r="A336">
        <f>IF(AND(OR('Compliance Database'!$A336='Data Transfer'!$B$4,'Compliance Database'!$A336='Data Transfer'!$B$5),OR('Data Transfer'!$B$6="",ISNUMBER(SEARCH('Data Transfer'!$B$6,'Compliance Database'!$D336&amp;" "&amp;'Compliance Database'!$L336&amp;" "&amp;'Compliance Database'!$M336&amp;" "&amp;'Compliance Database'!$N336&amp;" "&amp;'Compliance Database'!$O336)))),1,0)</f>
        <v/>
      </c>
      <c r="B336">
        <f>IF($A336=1,SUM($A$2:$A336),"")</f>
        <v/>
      </c>
      <c r="C336">
        <f>IF($A336=1,SUM($A$2:$A336),0)</f>
        <v/>
      </c>
    </row>
    <row r="337">
      <c r="A337">
        <f>IF(AND(OR('Compliance Database'!$A337='Data Transfer'!$B$4,'Compliance Database'!$A337='Data Transfer'!$B$5),OR('Data Transfer'!$B$6="",ISNUMBER(SEARCH('Data Transfer'!$B$6,'Compliance Database'!$D337&amp;" "&amp;'Compliance Database'!$L337&amp;" "&amp;'Compliance Database'!$M337&amp;" "&amp;'Compliance Database'!$N337&amp;" "&amp;'Compliance Database'!$O337)))),1,0)</f>
        <v/>
      </c>
      <c r="B337">
        <f>IF($A337=1,SUM($A$2:$A337),"")</f>
        <v/>
      </c>
      <c r="C337">
        <f>IF($A337=1,SUM($A$2:$A337),0)</f>
        <v/>
      </c>
    </row>
    <row r="338">
      <c r="A338">
        <f>IF(AND(OR('Compliance Database'!$A338='Data Transfer'!$B$4,'Compliance Database'!$A338='Data Transfer'!$B$5),OR('Data Transfer'!$B$6="",ISNUMBER(SEARCH('Data Transfer'!$B$6,'Compliance Database'!$D338&amp;" "&amp;'Compliance Database'!$L338&amp;" "&amp;'Compliance Database'!$M338&amp;" "&amp;'Compliance Database'!$N338&amp;" "&amp;'Compliance Database'!$O338)))),1,0)</f>
        <v/>
      </c>
      <c r="B338">
        <f>IF($A338=1,SUM($A$2:$A338),"")</f>
        <v/>
      </c>
      <c r="C338">
        <f>IF($A338=1,SUM($A$2:$A338),0)</f>
        <v/>
      </c>
    </row>
    <row r="339">
      <c r="A339">
        <f>IF(AND(OR('Compliance Database'!$A339='Data Transfer'!$B$4,'Compliance Database'!$A339='Data Transfer'!$B$5),OR('Data Transfer'!$B$6="",ISNUMBER(SEARCH('Data Transfer'!$B$6,'Compliance Database'!$D339&amp;" "&amp;'Compliance Database'!$L339&amp;" "&amp;'Compliance Database'!$M339&amp;" "&amp;'Compliance Database'!$N339&amp;" "&amp;'Compliance Database'!$O339)))),1,0)</f>
        <v/>
      </c>
      <c r="B339">
        <f>IF($A339=1,SUM($A$2:$A339),"")</f>
        <v/>
      </c>
      <c r="C339">
        <f>IF($A339=1,SUM($A$2:$A339),0)</f>
        <v/>
      </c>
    </row>
    <row r="340">
      <c r="A340">
        <f>IF(AND(OR('Compliance Database'!$A340='Data Transfer'!$B$4,'Compliance Database'!$A340='Data Transfer'!$B$5),OR('Data Transfer'!$B$6="",ISNUMBER(SEARCH('Data Transfer'!$B$6,'Compliance Database'!$D340&amp;" "&amp;'Compliance Database'!$L340&amp;" "&amp;'Compliance Database'!$M340&amp;" "&amp;'Compliance Database'!$N340&amp;" "&amp;'Compliance Database'!$O340)))),1,0)</f>
        <v/>
      </c>
      <c r="B340">
        <f>IF($A340=1,SUM($A$2:$A340),"")</f>
        <v/>
      </c>
      <c r="C340">
        <f>IF($A340=1,SUM($A$2:$A340),0)</f>
        <v/>
      </c>
    </row>
    <row r="341">
      <c r="A341">
        <f>IF(AND(OR('Compliance Database'!$A341='Data Transfer'!$B$4,'Compliance Database'!$A341='Data Transfer'!$B$5),OR('Data Transfer'!$B$6="",ISNUMBER(SEARCH('Data Transfer'!$B$6,'Compliance Database'!$D341&amp;" "&amp;'Compliance Database'!$L341&amp;" "&amp;'Compliance Database'!$M341&amp;" "&amp;'Compliance Database'!$N341&amp;" "&amp;'Compliance Database'!$O341)))),1,0)</f>
        <v/>
      </c>
      <c r="B341">
        <f>IF($A341=1,SUM($A$2:$A341),"")</f>
        <v/>
      </c>
      <c r="C341">
        <f>IF($A341=1,SUM($A$2:$A341),0)</f>
        <v/>
      </c>
    </row>
    <row r="342">
      <c r="A342">
        <f>IF(AND(OR('Compliance Database'!$A342='Data Transfer'!$B$4,'Compliance Database'!$A342='Data Transfer'!$B$5),OR('Data Transfer'!$B$6="",ISNUMBER(SEARCH('Data Transfer'!$B$6,'Compliance Database'!$D342&amp;" "&amp;'Compliance Database'!$L342&amp;" "&amp;'Compliance Database'!$M342&amp;" "&amp;'Compliance Database'!$N342&amp;" "&amp;'Compliance Database'!$O342)))),1,0)</f>
        <v/>
      </c>
      <c r="B342">
        <f>IF($A342=1,SUM($A$2:$A342),"")</f>
        <v/>
      </c>
      <c r="C342">
        <f>IF($A342=1,SUM($A$2:$A342),0)</f>
        <v/>
      </c>
    </row>
    <row r="343">
      <c r="A343">
        <f>IF(AND(OR('Compliance Database'!$A343='Data Transfer'!$B$4,'Compliance Database'!$A343='Data Transfer'!$B$5),OR('Data Transfer'!$B$6="",ISNUMBER(SEARCH('Data Transfer'!$B$6,'Compliance Database'!$D343&amp;" "&amp;'Compliance Database'!$L343&amp;" "&amp;'Compliance Database'!$M343&amp;" "&amp;'Compliance Database'!$N343&amp;" "&amp;'Compliance Database'!$O343)))),1,0)</f>
        <v/>
      </c>
      <c r="B343">
        <f>IF($A343=1,SUM($A$2:$A343),"")</f>
        <v/>
      </c>
      <c r="C343">
        <f>IF($A343=1,SUM($A$2:$A343),0)</f>
        <v/>
      </c>
    </row>
    <row r="344">
      <c r="A344">
        <f>IF(AND(OR('Compliance Database'!$A344='Data Transfer'!$B$4,'Compliance Database'!$A344='Data Transfer'!$B$5),OR('Data Transfer'!$B$6="",ISNUMBER(SEARCH('Data Transfer'!$B$6,'Compliance Database'!$D344&amp;" "&amp;'Compliance Database'!$L344&amp;" "&amp;'Compliance Database'!$M344&amp;" "&amp;'Compliance Database'!$N344&amp;" "&amp;'Compliance Database'!$O344)))),1,0)</f>
        <v/>
      </c>
      <c r="B344">
        <f>IF($A344=1,SUM($A$2:$A344),"")</f>
        <v/>
      </c>
      <c r="C344">
        <f>IF($A344=1,SUM($A$2:$A344),0)</f>
        <v/>
      </c>
    </row>
    <row r="345">
      <c r="A345">
        <f>IF(AND(OR('Compliance Database'!$A345='Data Transfer'!$B$4,'Compliance Database'!$A345='Data Transfer'!$B$5),OR('Data Transfer'!$B$6="",ISNUMBER(SEARCH('Data Transfer'!$B$6,'Compliance Database'!$D345&amp;" "&amp;'Compliance Database'!$L345&amp;" "&amp;'Compliance Database'!$M345&amp;" "&amp;'Compliance Database'!$N345&amp;" "&amp;'Compliance Database'!$O345)))),1,0)</f>
        <v/>
      </c>
      <c r="B345">
        <f>IF($A345=1,SUM($A$2:$A345),"")</f>
        <v/>
      </c>
      <c r="C345">
        <f>IF($A345=1,SUM($A$2:$A345),0)</f>
        <v/>
      </c>
    </row>
    <row r="346">
      <c r="A346">
        <f>IF(AND(OR('Compliance Database'!$A346='Data Transfer'!$B$4,'Compliance Database'!$A346='Data Transfer'!$B$5),OR('Data Transfer'!$B$6="",ISNUMBER(SEARCH('Data Transfer'!$B$6,'Compliance Database'!$D346&amp;" "&amp;'Compliance Database'!$L346&amp;" "&amp;'Compliance Database'!$M346&amp;" "&amp;'Compliance Database'!$N346&amp;" "&amp;'Compliance Database'!$O346)))),1,0)</f>
        <v/>
      </c>
      <c r="B346">
        <f>IF($A346=1,SUM($A$2:$A346),"")</f>
        <v/>
      </c>
      <c r="C346">
        <f>IF($A346=1,SUM($A$2:$A346),0)</f>
        <v/>
      </c>
    </row>
    <row r="347">
      <c r="A347">
        <f>IF(AND(OR('Compliance Database'!$A347='Data Transfer'!$B$4,'Compliance Database'!$A347='Data Transfer'!$B$5),OR('Data Transfer'!$B$6="",ISNUMBER(SEARCH('Data Transfer'!$B$6,'Compliance Database'!$D347&amp;" "&amp;'Compliance Database'!$L347&amp;" "&amp;'Compliance Database'!$M347&amp;" "&amp;'Compliance Database'!$N347&amp;" "&amp;'Compliance Database'!$O347)))),1,0)</f>
        <v/>
      </c>
      <c r="B347">
        <f>IF($A347=1,SUM($A$2:$A347),"")</f>
        <v/>
      </c>
      <c r="C347">
        <f>IF($A347=1,SUM($A$2:$A347),0)</f>
        <v/>
      </c>
    </row>
    <row r="348">
      <c r="A348">
        <f>IF(AND(OR('Compliance Database'!$A348='Data Transfer'!$B$4,'Compliance Database'!$A348='Data Transfer'!$B$5),OR('Data Transfer'!$B$6="",ISNUMBER(SEARCH('Data Transfer'!$B$6,'Compliance Database'!$D348&amp;" "&amp;'Compliance Database'!$L348&amp;" "&amp;'Compliance Database'!$M348&amp;" "&amp;'Compliance Database'!$N348&amp;" "&amp;'Compliance Database'!$O348)))),1,0)</f>
        <v/>
      </c>
      <c r="B348">
        <f>IF($A348=1,SUM($A$2:$A348),"")</f>
        <v/>
      </c>
      <c r="C348">
        <f>IF($A348=1,SUM($A$2:$A348),0)</f>
        <v/>
      </c>
    </row>
    <row r="349">
      <c r="A349">
        <f>IF(AND(OR('Compliance Database'!$A349='Data Transfer'!$B$4,'Compliance Database'!$A349='Data Transfer'!$B$5),OR('Data Transfer'!$B$6="",ISNUMBER(SEARCH('Data Transfer'!$B$6,'Compliance Database'!$D349&amp;" "&amp;'Compliance Database'!$L349&amp;" "&amp;'Compliance Database'!$M349&amp;" "&amp;'Compliance Database'!$N349&amp;" "&amp;'Compliance Database'!$O349)))),1,0)</f>
        <v/>
      </c>
      <c r="B349">
        <f>IF($A349=1,SUM($A$2:$A349),"")</f>
        <v/>
      </c>
      <c r="C349">
        <f>IF($A349=1,SUM($A$2:$A349),0)</f>
        <v/>
      </c>
    </row>
    <row r="350">
      <c r="A350">
        <f>IF(AND(OR('Compliance Database'!$A350='Data Transfer'!$B$4,'Compliance Database'!$A350='Data Transfer'!$B$5),OR('Data Transfer'!$B$6="",ISNUMBER(SEARCH('Data Transfer'!$B$6,'Compliance Database'!$D350&amp;" "&amp;'Compliance Database'!$L350&amp;" "&amp;'Compliance Database'!$M350&amp;" "&amp;'Compliance Database'!$N350&amp;" "&amp;'Compliance Database'!$O350)))),1,0)</f>
        <v/>
      </c>
      <c r="B350">
        <f>IF($A350=1,SUM($A$2:$A350),"")</f>
        <v/>
      </c>
      <c r="C350">
        <f>IF($A350=1,SUM($A$2:$A350),0)</f>
        <v/>
      </c>
    </row>
    <row r="351">
      <c r="A351">
        <f>IF(AND(OR('Compliance Database'!$A351='Data Transfer'!$B$4,'Compliance Database'!$A351='Data Transfer'!$B$5),OR('Data Transfer'!$B$6="",ISNUMBER(SEARCH('Data Transfer'!$B$6,'Compliance Database'!$D351&amp;" "&amp;'Compliance Database'!$L351&amp;" "&amp;'Compliance Database'!$M351&amp;" "&amp;'Compliance Database'!$N351&amp;" "&amp;'Compliance Database'!$O351)))),1,0)</f>
        <v/>
      </c>
      <c r="B351">
        <f>IF($A351=1,SUM($A$2:$A351),"")</f>
        <v/>
      </c>
      <c r="C351">
        <f>IF($A351=1,SUM($A$2:$A351),0)</f>
        <v/>
      </c>
    </row>
    <row r="352">
      <c r="A352">
        <f>IF(AND(OR('Compliance Database'!$A352='Data Transfer'!$B$4,'Compliance Database'!$A352='Data Transfer'!$B$5),OR('Data Transfer'!$B$6="",ISNUMBER(SEARCH('Data Transfer'!$B$6,'Compliance Database'!$D352&amp;" "&amp;'Compliance Database'!$L352&amp;" "&amp;'Compliance Database'!$M352&amp;" "&amp;'Compliance Database'!$N352&amp;" "&amp;'Compliance Database'!$O352)))),1,0)</f>
        <v/>
      </c>
      <c r="B352">
        <f>IF($A352=1,SUM($A$2:$A352),"")</f>
        <v/>
      </c>
      <c r="C352">
        <f>IF($A352=1,SUM($A$2:$A352),0)</f>
        <v/>
      </c>
    </row>
    <row r="353">
      <c r="A353">
        <f>IF(AND(OR('Compliance Database'!$A353='Data Transfer'!$B$4,'Compliance Database'!$A353='Data Transfer'!$B$5),OR('Data Transfer'!$B$6="",ISNUMBER(SEARCH('Data Transfer'!$B$6,'Compliance Database'!$D353&amp;" "&amp;'Compliance Database'!$L353&amp;" "&amp;'Compliance Database'!$M353&amp;" "&amp;'Compliance Database'!$N353&amp;" "&amp;'Compliance Database'!$O353)))),1,0)</f>
        <v/>
      </c>
      <c r="B353">
        <f>IF($A353=1,SUM($A$2:$A353),"")</f>
        <v/>
      </c>
      <c r="C353">
        <f>IF($A353=1,SUM($A$2:$A353),0)</f>
        <v/>
      </c>
    </row>
    <row r="354">
      <c r="A354">
        <f>IF(AND(OR('Compliance Database'!$A354='Data Transfer'!$B$4,'Compliance Database'!$A354='Data Transfer'!$B$5),OR('Data Transfer'!$B$6="",ISNUMBER(SEARCH('Data Transfer'!$B$6,'Compliance Database'!$D354&amp;" "&amp;'Compliance Database'!$L354&amp;" "&amp;'Compliance Database'!$M354&amp;" "&amp;'Compliance Database'!$N354&amp;" "&amp;'Compliance Database'!$O354)))),1,0)</f>
        <v/>
      </c>
      <c r="B354">
        <f>IF($A354=1,SUM($A$2:$A354),"")</f>
        <v/>
      </c>
      <c r="C354">
        <f>IF($A354=1,SUM($A$2:$A354),0)</f>
        <v/>
      </c>
    </row>
    <row r="355">
      <c r="A355">
        <f>IF(AND(OR('Compliance Database'!$A355='Data Transfer'!$B$4,'Compliance Database'!$A355='Data Transfer'!$B$5),OR('Data Transfer'!$B$6="",ISNUMBER(SEARCH('Data Transfer'!$B$6,'Compliance Database'!$D355&amp;" "&amp;'Compliance Database'!$L355&amp;" "&amp;'Compliance Database'!$M355&amp;" "&amp;'Compliance Database'!$N355&amp;" "&amp;'Compliance Database'!$O355)))),1,0)</f>
        <v/>
      </c>
      <c r="B355">
        <f>IF($A355=1,SUM($A$2:$A355),"")</f>
        <v/>
      </c>
      <c r="C355">
        <f>IF($A355=1,SUM($A$2:$A355),0)</f>
        <v/>
      </c>
    </row>
    <row r="356">
      <c r="A356">
        <f>IF(AND(OR('Compliance Database'!$A356='Data Transfer'!$B$4,'Compliance Database'!$A356='Data Transfer'!$B$5),OR('Data Transfer'!$B$6="",ISNUMBER(SEARCH('Data Transfer'!$B$6,'Compliance Database'!$D356&amp;" "&amp;'Compliance Database'!$L356&amp;" "&amp;'Compliance Database'!$M356&amp;" "&amp;'Compliance Database'!$N356&amp;" "&amp;'Compliance Database'!$O356)))),1,0)</f>
        <v/>
      </c>
      <c r="B356">
        <f>IF($A356=1,SUM($A$2:$A356),"")</f>
        <v/>
      </c>
      <c r="C356">
        <f>IF($A356=1,SUM($A$2:$A356),0)</f>
        <v/>
      </c>
    </row>
    <row r="357">
      <c r="A357">
        <f>IF(AND(OR('Compliance Database'!$A357='Data Transfer'!$B$4,'Compliance Database'!$A357='Data Transfer'!$B$5),OR('Data Transfer'!$B$6="",ISNUMBER(SEARCH('Data Transfer'!$B$6,'Compliance Database'!$D357&amp;" "&amp;'Compliance Database'!$L357&amp;" "&amp;'Compliance Database'!$M357&amp;" "&amp;'Compliance Database'!$N357&amp;" "&amp;'Compliance Database'!$O357)))),1,0)</f>
        <v/>
      </c>
      <c r="B357">
        <f>IF($A357=1,SUM($A$2:$A357),"")</f>
        <v/>
      </c>
      <c r="C357">
        <f>IF($A357=1,SUM($A$2:$A357),0)</f>
        <v/>
      </c>
    </row>
    <row r="358">
      <c r="A358">
        <f>IF(AND(OR('Compliance Database'!$A358='Data Transfer'!$B$4,'Compliance Database'!$A358='Data Transfer'!$B$5),OR('Data Transfer'!$B$6="",ISNUMBER(SEARCH('Data Transfer'!$B$6,'Compliance Database'!$D358&amp;" "&amp;'Compliance Database'!$L358&amp;" "&amp;'Compliance Database'!$M358&amp;" "&amp;'Compliance Database'!$N358&amp;" "&amp;'Compliance Database'!$O358)))),1,0)</f>
        <v/>
      </c>
      <c r="B358">
        <f>IF($A358=1,SUM($A$2:$A358),"")</f>
        <v/>
      </c>
      <c r="C358">
        <f>IF($A358=1,SUM($A$2:$A358),0)</f>
        <v/>
      </c>
    </row>
    <row r="359">
      <c r="A359">
        <f>IF(AND(OR('Compliance Database'!$A359='Data Transfer'!$B$4,'Compliance Database'!$A359='Data Transfer'!$B$5),OR('Data Transfer'!$B$6="",ISNUMBER(SEARCH('Data Transfer'!$B$6,'Compliance Database'!$D359&amp;" "&amp;'Compliance Database'!$L359&amp;" "&amp;'Compliance Database'!$M359&amp;" "&amp;'Compliance Database'!$N359&amp;" "&amp;'Compliance Database'!$O359)))),1,0)</f>
        <v/>
      </c>
      <c r="B359">
        <f>IF($A359=1,SUM($A$2:$A359),"")</f>
        <v/>
      </c>
      <c r="C359">
        <f>IF($A359=1,SUM($A$2:$A359),0)</f>
        <v/>
      </c>
    </row>
    <row r="360">
      <c r="A360">
        <f>IF(AND(OR('Compliance Database'!$A360='Data Transfer'!$B$4,'Compliance Database'!$A360='Data Transfer'!$B$5),OR('Data Transfer'!$B$6="",ISNUMBER(SEARCH('Data Transfer'!$B$6,'Compliance Database'!$D360&amp;" "&amp;'Compliance Database'!$L360&amp;" "&amp;'Compliance Database'!$M360&amp;" "&amp;'Compliance Database'!$N360&amp;" "&amp;'Compliance Database'!$O360)))),1,0)</f>
        <v/>
      </c>
      <c r="B360">
        <f>IF($A360=1,SUM($A$2:$A360),"")</f>
        <v/>
      </c>
      <c r="C360">
        <f>IF($A360=1,SUM($A$2:$A360),0)</f>
        <v/>
      </c>
    </row>
    <row r="361">
      <c r="A361">
        <f>IF(AND(OR('Compliance Database'!$A361='Data Transfer'!$B$4,'Compliance Database'!$A361='Data Transfer'!$B$5),OR('Data Transfer'!$B$6="",ISNUMBER(SEARCH('Data Transfer'!$B$6,'Compliance Database'!$D361&amp;" "&amp;'Compliance Database'!$L361&amp;" "&amp;'Compliance Database'!$M361&amp;" "&amp;'Compliance Database'!$N361&amp;" "&amp;'Compliance Database'!$O361)))),1,0)</f>
        <v/>
      </c>
      <c r="B361">
        <f>IF($A361=1,SUM($A$2:$A361),"")</f>
        <v/>
      </c>
      <c r="C361">
        <f>IF($A361=1,SUM($A$2:$A361),0)</f>
        <v/>
      </c>
    </row>
    <row r="362">
      <c r="A362">
        <f>IF(AND(OR('Compliance Database'!$A362='Data Transfer'!$B$4,'Compliance Database'!$A362='Data Transfer'!$B$5),OR('Data Transfer'!$B$6="",ISNUMBER(SEARCH('Data Transfer'!$B$6,'Compliance Database'!$D362&amp;" "&amp;'Compliance Database'!$L362&amp;" "&amp;'Compliance Database'!$M362&amp;" "&amp;'Compliance Database'!$N362&amp;" "&amp;'Compliance Database'!$O362)))),1,0)</f>
        <v/>
      </c>
      <c r="B362">
        <f>IF($A362=1,SUM($A$2:$A362),"")</f>
        <v/>
      </c>
      <c r="C362">
        <f>IF($A362=1,SUM($A$2:$A362),0)</f>
        <v/>
      </c>
    </row>
    <row r="363">
      <c r="A363">
        <f>IF(AND(OR('Compliance Database'!$A363='Data Transfer'!$B$4,'Compliance Database'!$A363='Data Transfer'!$B$5),OR('Data Transfer'!$B$6="",ISNUMBER(SEARCH('Data Transfer'!$B$6,'Compliance Database'!$D363&amp;" "&amp;'Compliance Database'!$L363&amp;" "&amp;'Compliance Database'!$M363&amp;" "&amp;'Compliance Database'!$N363&amp;" "&amp;'Compliance Database'!$O363)))),1,0)</f>
        <v/>
      </c>
      <c r="B363">
        <f>IF($A363=1,SUM($A$2:$A363),"")</f>
        <v/>
      </c>
      <c r="C363">
        <f>IF($A363=1,SUM($A$2:$A363),0)</f>
        <v/>
      </c>
    </row>
    <row r="364">
      <c r="A364">
        <f>IF(AND(OR('Compliance Database'!$A364='Data Transfer'!$B$4,'Compliance Database'!$A364='Data Transfer'!$B$5),OR('Data Transfer'!$B$6="",ISNUMBER(SEARCH('Data Transfer'!$B$6,'Compliance Database'!$D364&amp;" "&amp;'Compliance Database'!$L364&amp;" "&amp;'Compliance Database'!$M364&amp;" "&amp;'Compliance Database'!$N364&amp;" "&amp;'Compliance Database'!$O364)))),1,0)</f>
        <v/>
      </c>
      <c r="B364">
        <f>IF($A364=1,SUM($A$2:$A364),"")</f>
        <v/>
      </c>
      <c r="C364">
        <f>IF($A364=1,SUM($A$2:$A364),0)</f>
        <v/>
      </c>
    </row>
    <row r="365">
      <c r="A365">
        <f>IF(AND(OR('Compliance Database'!$A365='Data Transfer'!$B$4,'Compliance Database'!$A365='Data Transfer'!$B$5),OR('Data Transfer'!$B$6="",ISNUMBER(SEARCH('Data Transfer'!$B$6,'Compliance Database'!$D365&amp;" "&amp;'Compliance Database'!$L365&amp;" "&amp;'Compliance Database'!$M365&amp;" "&amp;'Compliance Database'!$N365&amp;" "&amp;'Compliance Database'!$O365)))),1,0)</f>
        <v/>
      </c>
      <c r="B365">
        <f>IF($A365=1,SUM($A$2:$A365),"")</f>
        <v/>
      </c>
      <c r="C365">
        <f>IF($A365=1,SUM($A$2:$A365),0)</f>
        <v/>
      </c>
    </row>
    <row r="366">
      <c r="A366">
        <f>IF(AND(OR('Compliance Database'!$A366='Data Transfer'!$B$4,'Compliance Database'!$A366='Data Transfer'!$B$5),OR('Data Transfer'!$B$6="",ISNUMBER(SEARCH('Data Transfer'!$B$6,'Compliance Database'!$D366&amp;" "&amp;'Compliance Database'!$L366&amp;" "&amp;'Compliance Database'!$M366&amp;" "&amp;'Compliance Database'!$N366&amp;" "&amp;'Compliance Database'!$O366)))),1,0)</f>
        <v/>
      </c>
      <c r="B366">
        <f>IF($A366=1,SUM($A$2:$A366),"")</f>
        <v/>
      </c>
      <c r="C366">
        <f>IF($A366=1,SUM($A$2:$A366),0)</f>
        <v/>
      </c>
    </row>
    <row r="367">
      <c r="A367">
        <f>IF(AND(OR('Compliance Database'!$A367='Data Transfer'!$B$4,'Compliance Database'!$A367='Data Transfer'!$B$5),OR('Data Transfer'!$B$6="",ISNUMBER(SEARCH('Data Transfer'!$B$6,'Compliance Database'!$D367&amp;" "&amp;'Compliance Database'!$L367&amp;" "&amp;'Compliance Database'!$M367&amp;" "&amp;'Compliance Database'!$N367&amp;" "&amp;'Compliance Database'!$O367)))),1,0)</f>
        <v/>
      </c>
      <c r="B367">
        <f>IF($A367=1,SUM($A$2:$A367),"")</f>
        <v/>
      </c>
      <c r="C367">
        <f>IF($A367=1,SUM($A$2:$A367),0)</f>
        <v/>
      </c>
    </row>
    <row r="368">
      <c r="A368">
        <f>IF(AND(OR('Compliance Database'!$A368='Data Transfer'!$B$4,'Compliance Database'!$A368='Data Transfer'!$B$5),OR('Data Transfer'!$B$6="",ISNUMBER(SEARCH('Data Transfer'!$B$6,'Compliance Database'!$D368&amp;" "&amp;'Compliance Database'!$L368&amp;" "&amp;'Compliance Database'!$M368&amp;" "&amp;'Compliance Database'!$N368&amp;" "&amp;'Compliance Database'!$O368)))),1,0)</f>
        <v/>
      </c>
      <c r="B368">
        <f>IF($A368=1,SUM($A$2:$A368),"")</f>
        <v/>
      </c>
      <c r="C368">
        <f>IF($A368=1,SUM($A$2:$A368),0)</f>
        <v/>
      </c>
    </row>
    <row r="369">
      <c r="A369">
        <f>IF(AND(OR('Compliance Database'!$A369='Data Transfer'!$B$4,'Compliance Database'!$A369='Data Transfer'!$B$5),OR('Data Transfer'!$B$6="",ISNUMBER(SEARCH('Data Transfer'!$B$6,'Compliance Database'!$D369&amp;" "&amp;'Compliance Database'!$L369&amp;" "&amp;'Compliance Database'!$M369&amp;" "&amp;'Compliance Database'!$N369&amp;" "&amp;'Compliance Database'!$O369)))),1,0)</f>
        <v/>
      </c>
      <c r="B369">
        <f>IF($A369=1,SUM($A$2:$A369),"")</f>
        <v/>
      </c>
      <c r="C369">
        <f>IF($A369=1,SUM($A$2:$A369),0)</f>
        <v/>
      </c>
    </row>
    <row r="370">
      <c r="A370">
        <f>IF(AND(OR('Compliance Database'!$A370='Data Transfer'!$B$4,'Compliance Database'!$A370='Data Transfer'!$B$5),OR('Data Transfer'!$B$6="",ISNUMBER(SEARCH('Data Transfer'!$B$6,'Compliance Database'!$D370&amp;" "&amp;'Compliance Database'!$L370&amp;" "&amp;'Compliance Database'!$M370&amp;" "&amp;'Compliance Database'!$N370&amp;" "&amp;'Compliance Database'!$O370)))),1,0)</f>
        <v/>
      </c>
      <c r="B370">
        <f>IF($A370=1,SUM($A$2:$A370),"")</f>
        <v/>
      </c>
      <c r="C370">
        <f>IF($A370=1,SUM($A$2:$A370),0)</f>
        <v/>
      </c>
    </row>
    <row r="371">
      <c r="A371">
        <f>IF(AND(OR('Compliance Database'!$A371='Data Transfer'!$B$4,'Compliance Database'!$A371='Data Transfer'!$B$5),OR('Data Transfer'!$B$6="",ISNUMBER(SEARCH('Data Transfer'!$B$6,'Compliance Database'!$D371&amp;" "&amp;'Compliance Database'!$L371&amp;" "&amp;'Compliance Database'!$M371&amp;" "&amp;'Compliance Database'!$N371&amp;" "&amp;'Compliance Database'!$O371)))),1,0)</f>
        <v/>
      </c>
      <c r="B371">
        <f>IF($A371=1,SUM($A$2:$A371),"")</f>
        <v/>
      </c>
      <c r="C371">
        <f>IF($A371=1,SUM($A$2:$A371),0)</f>
        <v/>
      </c>
    </row>
    <row r="372">
      <c r="A372">
        <f>IF(AND(OR('Compliance Database'!$A372='Data Transfer'!$B$4,'Compliance Database'!$A372='Data Transfer'!$B$5),OR('Data Transfer'!$B$6="",ISNUMBER(SEARCH('Data Transfer'!$B$6,'Compliance Database'!$D372&amp;" "&amp;'Compliance Database'!$L372&amp;" "&amp;'Compliance Database'!$M372&amp;" "&amp;'Compliance Database'!$N372&amp;" "&amp;'Compliance Database'!$O372)))),1,0)</f>
        <v/>
      </c>
      <c r="B372">
        <f>IF($A372=1,SUM($A$2:$A372),"")</f>
        <v/>
      </c>
      <c r="C372">
        <f>IF($A372=1,SUM($A$2:$A372),0)</f>
        <v/>
      </c>
    </row>
    <row r="373">
      <c r="A373">
        <f>IF(AND(OR('Compliance Database'!$A373='Data Transfer'!$B$4,'Compliance Database'!$A373='Data Transfer'!$B$5),OR('Data Transfer'!$B$6="",ISNUMBER(SEARCH('Data Transfer'!$B$6,'Compliance Database'!$D373&amp;" "&amp;'Compliance Database'!$L373&amp;" "&amp;'Compliance Database'!$M373&amp;" "&amp;'Compliance Database'!$N373&amp;" "&amp;'Compliance Database'!$O373)))),1,0)</f>
        <v/>
      </c>
      <c r="B373">
        <f>IF($A373=1,SUM($A$2:$A373),"")</f>
        <v/>
      </c>
      <c r="C373">
        <f>IF($A373=1,SUM($A$2:$A373),0)</f>
        <v/>
      </c>
    </row>
    <row r="374">
      <c r="A374">
        <f>IF(AND(OR('Compliance Database'!$A374='Data Transfer'!$B$4,'Compliance Database'!$A374='Data Transfer'!$B$5),OR('Data Transfer'!$B$6="",ISNUMBER(SEARCH('Data Transfer'!$B$6,'Compliance Database'!$D374&amp;" "&amp;'Compliance Database'!$L374&amp;" "&amp;'Compliance Database'!$M374&amp;" "&amp;'Compliance Database'!$N374&amp;" "&amp;'Compliance Database'!$O374)))),1,0)</f>
        <v/>
      </c>
      <c r="B374">
        <f>IF($A374=1,SUM($A$2:$A374),"")</f>
        <v/>
      </c>
      <c r="C374">
        <f>IF($A374=1,SUM($A$2:$A374),0)</f>
        <v/>
      </c>
    </row>
    <row r="375">
      <c r="A375">
        <f>IF(AND(OR('Compliance Database'!$A375='Data Transfer'!$B$4,'Compliance Database'!$A375='Data Transfer'!$B$5),OR('Data Transfer'!$B$6="",ISNUMBER(SEARCH('Data Transfer'!$B$6,'Compliance Database'!$D375&amp;" "&amp;'Compliance Database'!$L375&amp;" "&amp;'Compliance Database'!$M375&amp;" "&amp;'Compliance Database'!$N375&amp;" "&amp;'Compliance Database'!$O375)))),1,0)</f>
        <v/>
      </c>
      <c r="B375">
        <f>IF($A375=1,SUM($A$2:$A375),"")</f>
        <v/>
      </c>
      <c r="C375">
        <f>IF($A375=1,SUM($A$2:$A375),0)</f>
        <v/>
      </c>
    </row>
    <row r="376">
      <c r="A376">
        <f>IF(AND(OR('Compliance Database'!$A376='Data Transfer'!$B$4,'Compliance Database'!$A376='Data Transfer'!$B$5),OR('Data Transfer'!$B$6="",ISNUMBER(SEARCH('Data Transfer'!$B$6,'Compliance Database'!$D376&amp;" "&amp;'Compliance Database'!$L376&amp;" "&amp;'Compliance Database'!$M376&amp;" "&amp;'Compliance Database'!$N376&amp;" "&amp;'Compliance Database'!$O376)))),1,0)</f>
        <v/>
      </c>
      <c r="B376">
        <f>IF($A376=1,SUM($A$2:$A376),"")</f>
        <v/>
      </c>
      <c r="C376">
        <f>IF($A376=1,SUM($A$2:$A376),0)</f>
        <v/>
      </c>
    </row>
    <row r="377">
      <c r="A377">
        <f>IF(AND(OR('Compliance Database'!$A377='Data Transfer'!$B$4,'Compliance Database'!$A377='Data Transfer'!$B$5),OR('Data Transfer'!$B$6="",ISNUMBER(SEARCH('Data Transfer'!$B$6,'Compliance Database'!$D377&amp;" "&amp;'Compliance Database'!$L377&amp;" "&amp;'Compliance Database'!$M377&amp;" "&amp;'Compliance Database'!$N377&amp;" "&amp;'Compliance Database'!$O377)))),1,0)</f>
        <v/>
      </c>
      <c r="B377">
        <f>IF($A377=1,SUM($A$2:$A377),"")</f>
        <v/>
      </c>
      <c r="C377">
        <f>IF($A377=1,SUM($A$2:$A377),0)</f>
        <v/>
      </c>
    </row>
    <row r="378">
      <c r="A378">
        <f>IF(AND(OR('Compliance Database'!$A378='Data Transfer'!$B$4,'Compliance Database'!$A378='Data Transfer'!$B$5),OR('Data Transfer'!$B$6="",ISNUMBER(SEARCH('Data Transfer'!$B$6,'Compliance Database'!$D378&amp;" "&amp;'Compliance Database'!$L378&amp;" "&amp;'Compliance Database'!$M378&amp;" "&amp;'Compliance Database'!$N378&amp;" "&amp;'Compliance Database'!$O378)))),1,0)</f>
        <v/>
      </c>
      <c r="B378">
        <f>IF($A378=1,SUM($A$2:$A378),"")</f>
        <v/>
      </c>
      <c r="C378">
        <f>IF($A378=1,SUM($A$2:$A378),0)</f>
        <v/>
      </c>
    </row>
    <row r="379">
      <c r="A379">
        <f>IF(AND(OR('Compliance Database'!$A379='Data Transfer'!$B$4,'Compliance Database'!$A379='Data Transfer'!$B$5),OR('Data Transfer'!$B$6="",ISNUMBER(SEARCH('Data Transfer'!$B$6,'Compliance Database'!$D379&amp;" "&amp;'Compliance Database'!$L379&amp;" "&amp;'Compliance Database'!$M379&amp;" "&amp;'Compliance Database'!$N379&amp;" "&amp;'Compliance Database'!$O379)))),1,0)</f>
        <v/>
      </c>
      <c r="B379">
        <f>IF($A379=1,SUM($A$2:$A379),"")</f>
        <v/>
      </c>
      <c r="C379">
        <f>IF($A379=1,SUM($A$2:$A379),0)</f>
        <v/>
      </c>
    </row>
    <row r="380">
      <c r="A380">
        <f>IF(AND(OR('Compliance Database'!$A380='Data Transfer'!$B$4,'Compliance Database'!$A380='Data Transfer'!$B$5),OR('Data Transfer'!$B$6="",ISNUMBER(SEARCH('Data Transfer'!$B$6,'Compliance Database'!$D380&amp;" "&amp;'Compliance Database'!$L380&amp;" "&amp;'Compliance Database'!$M380&amp;" "&amp;'Compliance Database'!$N380&amp;" "&amp;'Compliance Database'!$O380)))),1,0)</f>
        <v/>
      </c>
      <c r="B380">
        <f>IF($A380=1,SUM($A$2:$A380),"")</f>
        <v/>
      </c>
      <c r="C380">
        <f>IF($A380=1,SUM($A$2:$A380),0)</f>
        <v/>
      </c>
    </row>
    <row r="381">
      <c r="A381">
        <f>IF(AND(OR('Compliance Database'!$A381='Data Transfer'!$B$4,'Compliance Database'!$A381='Data Transfer'!$B$5),OR('Data Transfer'!$B$6="",ISNUMBER(SEARCH('Data Transfer'!$B$6,'Compliance Database'!$D381&amp;" "&amp;'Compliance Database'!$L381&amp;" "&amp;'Compliance Database'!$M381&amp;" "&amp;'Compliance Database'!$N381&amp;" "&amp;'Compliance Database'!$O381)))),1,0)</f>
        <v/>
      </c>
      <c r="B381">
        <f>IF($A381=1,SUM($A$2:$A381),"")</f>
        <v/>
      </c>
      <c r="C381">
        <f>IF($A381=1,SUM($A$2:$A381),0)</f>
        <v/>
      </c>
    </row>
    <row r="382">
      <c r="A382">
        <f>IF(AND(OR('Compliance Database'!$A382='Data Transfer'!$B$4,'Compliance Database'!$A382='Data Transfer'!$B$5),OR('Data Transfer'!$B$6="",ISNUMBER(SEARCH('Data Transfer'!$B$6,'Compliance Database'!$D382&amp;" "&amp;'Compliance Database'!$L382&amp;" "&amp;'Compliance Database'!$M382&amp;" "&amp;'Compliance Database'!$N382&amp;" "&amp;'Compliance Database'!$O382)))),1,0)</f>
        <v/>
      </c>
      <c r="B382">
        <f>IF($A382=1,SUM($A$2:$A382),"")</f>
        <v/>
      </c>
      <c r="C382">
        <f>IF($A382=1,SUM($A$2:$A382),0)</f>
        <v/>
      </c>
    </row>
    <row r="383">
      <c r="A383">
        <f>IF(AND(OR('Compliance Database'!$A383='Data Transfer'!$B$4,'Compliance Database'!$A383='Data Transfer'!$B$5),OR('Data Transfer'!$B$6="",ISNUMBER(SEARCH('Data Transfer'!$B$6,'Compliance Database'!$D383&amp;" "&amp;'Compliance Database'!$L383&amp;" "&amp;'Compliance Database'!$M383&amp;" "&amp;'Compliance Database'!$N383&amp;" "&amp;'Compliance Database'!$O383)))),1,0)</f>
        <v/>
      </c>
      <c r="B383">
        <f>IF($A383=1,SUM($A$2:$A383),"")</f>
        <v/>
      </c>
      <c r="C383">
        <f>IF($A383=1,SUM($A$2:$A383),0)</f>
        <v/>
      </c>
    </row>
    <row r="384">
      <c r="A384">
        <f>IF(AND(OR('Compliance Database'!$A384='Data Transfer'!$B$4,'Compliance Database'!$A384='Data Transfer'!$B$5),OR('Data Transfer'!$B$6="",ISNUMBER(SEARCH('Data Transfer'!$B$6,'Compliance Database'!$D384&amp;" "&amp;'Compliance Database'!$L384&amp;" "&amp;'Compliance Database'!$M384&amp;" "&amp;'Compliance Database'!$N384&amp;" "&amp;'Compliance Database'!$O384)))),1,0)</f>
        <v/>
      </c>
      <c r="B384">
        <f>IF($A384=1,SUM($A$2:$A384),"")</f>
        <v/>
      </c>
      <c r="C384">
        <f>IF($A384=1,SUM($A$2:$A384),0)</f>
        <v/>
      </c>
    </row>
    <row r="385">
      <c r="A385">
        <f>IF(AND(OR('Compliance Database'!$A385='Data Transfer'!$B$4,'Compliance Database'!$A385='Data Transfer'!$B$5),OR('Data Transfer'!$B$6="",ISNUMBER(SEARCH('Data Transfer'!$B$6,'Compliance Database'!$D385&amp;" "&amp;'Compliance Database'!$L385&amp;" "&amp;'Compliance Database'!$M385&amp;" "&amp;'Compliance Database'!$N385&amp;" "&amp;'Compliance Database'!$O385)))),1,0)</f>
        <v/>
      </c>
      <c r="B385">
        <f>IF($A385=1,SUM($A$2:$A385),"")</f>
        <v/>
      </c>
      <c r="C385">
        <f>IF($A385=1,SUM($A$2:$A385),0)</f>
        <v/>
      </c>
    </row>
    <row r="386">
      <c r="A386">
        <f>IF(AND(OR('Compliance Database'!$A386='Data Transfer'!$B$4,'Compliance Database'!$A386='Data Transfer'!$B$5),OR('Data Transfer'!$B$6="",ISNUMBER(SEARCH('Data Transfer'!$B$6,'Compliance Database'!$D386&amp;" "&amp;'Compliance Database'!$L386&amp;" "&amp;'Compliance Database'!$M386&amp;" "&amp;'Compliance Database'!$N386&amp;" "&amp;'Compliance Database'!$O386)))),1,0)</f>
        <v/>
      </c>
      <c r="B386">
        <f>IF($A386=1,SUM($A$2:$A386),"")</f>
        <v/>
      </c>
      <c r="C386">
        <f>IF($A386=1,SUM($A$2:$A386),0)</f>
        <v/>
      </c>
    </row>
    <row r="387">
      <c r="A387">
        <f>IF(AND(OR('Compliance Database'!$A387='Data Transfer'!$B$4,'Compliance Database'!$A387='Data Transfer'!$B$5),OR('Data Transfer'!$B$6="",ISNUMBER(SEARCH('Data Transfer'!$B$6,'Compliance Database'!$D387&amp;" "&amp;'Compliance Database'!$L387&amp;" "&amp;'Compliance Database'!$M387&amp;" "&amp;'Compliance Database'!$N387&amp;" "&amp;'Compliance Database'!$O387)))),1,0)</f>
        <v/>
      </c>
      <c r="B387">
        <f>IF($A387=1,SUM($A$2:$A387),"")</f>
        <v/>
      </c>
      <c r="C387">
        <f>IF($A387=1,SUM($A$2:$A387),0)</f>
        <v/>
      </c>
    </row>
    <row r="388">
      <c r="A388">
        <f>IF(AND(OR('Compliance Database'!$A388='Data Transfer'!$B$4,'Compliance Database'!$A388='Data Transfer'!$B$5),OR('Data Transfer'!$B$6="",ISNUMBER(SEARCH('Data Transfer'!$B$6,'Compliance Database'!$D388&amp;" "&amp;'Compliance Database'!$L388&amp;" "&amp;'Compliance Database'!$M388&amp;" "&amp;'Compliance Database'!$N388&amp;" "&amp;'Compliance Database'!$O388)))),1,0)</f>
        <v/>
      </c>
      <c r="B388">
        <f>IF($A388=1,SUM($A$2:$A388),"")</f>
        <v/>
      </c>
      <c r="C388">
        <f>IF($A388=1,SUM($A$2:$A388),0)</f>
        <v/>
      </c>
    </row>
    <row r="389">
      <c r="A389">
        <f>IF(AND(OR('Compliance Database'!$A389='Data Transfer'!$B$4,'Compliance Database'!$A389='Data Transfer'!$B$5),OR('Data Transfer'!$B$6="",ISNUMBER(SEARCH('Data Transfer'!$B$6,'Compliance Database'!$D389&amp;" "&amp;'Compliance Database'!$L389&amp;" "&amp;'Compliance Database'!$M389&amp;" "&amp;'Compliance Database'!$N389&amp;" "&amp;'Compliance Database'!$O389)))),1,0)</f>
        <v/>
      </c>
      <c r="B389">
        <f>IF($A389=1,SUM($A$2:$A389),"")</f>
        <v/>
      </c>
      <c r="C389">
        <f>IF($A389=1,SUM($A$2:$A389),0)</f>
        <v/>
      </c>
    </row>
    <row r="390">
      <c r="A390">
        <f>IF(AND(OR('Compliance Database'!$A390='Data Transfer'!$B$4,'Compliance Database'!$A390='Data Transfer'!$B$5),OR('Data Transfer'!$B$6="",ISNUMBER(SEARCH('Data Transfer'!$B$6,'Compliance Database'!$D390&amp;" "&amp;'Compliance Database'!$L390&amp;" "&amp;'Compliance Database'!$M390&amp;" "&amp;'Compliance Database'!$N390&amp;" "&amp;'Compliance Database'!$O390)))),1,0)</f>
        <v/>
      </c>
      <c r="B390">
        <f>IF($A390=1,SUM($A$2:$A390),"")</f>
        <v/>
      </c>
      <c r="C390">
        <f>IF($A390=1,SUM($A$2:$A390),0)</f>
        <v/>
      </c>
    </row>
    <row r="391">
      <c r="A391">
        <f>IF(AND(OR('Compliance Database'!$A391='Data Transfer'!$B$4,'Compliance Database'!$A391='Data Transfer'!$B$5),OR('Data Transfer'!$B$6="",ISNUMBER(SEARCH('Data Transfer'!$B$6,'Compliance Database'!$D391&amp;" "&amp;'Compliance Database'!$L391&amp;" "&amp;'Compliance Database'!$M391&amp;" "&amp;'Compliance Database'!$N391&amp;" "&amp;'Compliance Database'!$O391)))),1,0)</f>
        <v/>
      </c>
      <c r="B391">
        <f>IF($A391=1,SUM($A$2:$A391),"")</f>
        <v/>
      </c>
      <c r="C391">
        <f>IF($A391=1,SUM($A$2:$A391),0)</f>
        <v/>
      </c>
    </row>
    <row r="392">
      <c r="A392">
        <f>IF(AND(OR('Compliance Database'!$A392='Data Transfer'!$B$4,'Compliance Database'!$A392='Data Transfer'!$B$5),OR('Data Transfer'!$B$6="",ISNUMBER(SEARCH('Data Transfer'!$B$6,'Compliance Database'!$D392&amp;" "&amp;'Compliance Database'!$L392&amp;" "&amp;'Compliance Database'!$M392&amp;" "&amp;'Compliance Database'!$N392&amp;" "&amp;'Compliance Database'!$O392)))),1,0)</f>
        <v/>
      </c>
      <c r="B392">
        <f>IF($A392=1,SUM($A$2:$A392),"")</f>
        <v/>
      </c>
      <c r="C392">
        <f>IF($A392=1,SUM($A$2:$A392),0)</f>
        <v/>
      </c>
    </row>
    <row r="393">
      <c r="A393">
        <f>IF(AND(OR('Compliance Database'!$A393='Data Transfer'!$B$4,'Compliance Database'!$A393='Data Transfer'!$B$5),OR('Data Transfer'!$B$6="",ISNUMBER(SEARCH('Data Transfer'!$B$6,'Compliance Database'!$D393&amp;" "&amp;'Compliance Database'!$L393&amp;" "&amp;'Compliance Database'!$M393&amp;" "&amp;'Compliance Database'!$N393&amp;" "&amp;'Compliance Database'!$O393)))),1,0)</f>
        <v/>
      </c>
      <c r="B393">
        <f>IF($A393=1,SUM($A$2:$A393),"")</f>
        <v/>
      </c>
      <c r="C393">
        <f>IF($A393=1,SUM($A$2:$A393),0)</f>
        <v/>
      </c>
    </row>
    <row r="394">
      <c r="A394">
        <f>IF(AND(OR('Compliance Database'!$A394='Data Transfer'!$B$4,'Compliance Database'!$A394='Data Transfer'!$B$5),OR('Data Transfer'!$B$6="",ISNUMBER(SEARCH('Data Transfer'!$B$6,'Compliance Database'!$D394&amp;" "&amp;'Compliance Database'!$L394&amp;" "&amp;'Compliance Database'!$M394&amp;" "&amp;'Compliance Database'!$N394&amp;" "&amp;'Compliance Database'!$O394)))),1,0)</f>
        <v/>
      </c>
      <c r="B394">
        <f>IF($A394=1,SUM($A$2:$A394),"")</f>
        <v/>
      </c>
      <c r="C394">
        <f>IF($A394=1,SUM($A$2:$A394),0)</f>
        <v/>
      </c>
    </row>
    <row r="395">
      <c r="A395">
        <f>IF(AND(OR('Compliance Database'!$A395='Data Transfer'!$B$4,'Compliance Database'!$A395='Data Transfer'!$B$5),OR('Data Transfer'!$B$6="",ISNUMBER(SEARCH('Data Transfer'!$B$6,'Compliance Database'!$D395&amp;" "&amp;'Compliance Database'!$L395&amp;" "&amp;'Compliance Database'!$M395&amp;" "&amp;'Compliance Database'!$N395&amp;" "&amp;'Compliance Database'!$O395)))),1,0)</f>
        <v/>
      </c>
      <c r="B395">
        <f>IF($A395=1,SUM($A$2:$A395),"")</f>
        <v/>
      </c>
      <c r="C395">
        <f>IF($A395=1,SUM($A$2:$A395),0)</f>
        <v/>
      </c>
    </row>
    <row r="396">
      <c r="A396">
        <f>IF(AND(OR('Compliance Database'!$A396='Data Transfer'!$B$4,'Compliance Database'!$A396='Data Transfer'!$B$5),OR('Data Transfer'!$B$6="",ISNUMBER(SEARCH('Data Transfer'!$B$6,'Compliance Database'!$D396&amp;" "&amp;'Compliance Database'!$L396&amp;" "&amp;'Compliance Database'!$M396&amp;" "&amp;'Compliance Database'!$N396&amp;" "&amp;'Compliance Database'!$O396)))),1,0)</f>
        <v/>
      </c>
      <c r="B396">
        <f>IF($A396=1,SUM($A$2:$A396),"")</f>
        <v/>
      </c>
      <c r="C396">
        <f>IF($A396=1,SUM($A$2:$A396),0)</f>
        <v/>
      </c>
    </row>
    <row r="397">
      <c r="A397">
        <f>IF(AND(OR('Compliance Database'!$A397='Data Transfer'!$B$4,'Compliance Database'!$A397='Data Transfer'!$B$5),OR('Data Transfer'!$B$6="",ISNUMBER(SEARCH('Data Transfer'!$B$6,'Compliance Database'!$D397&amp;" "&amp;'Compliance Database'!$L397&amp;" "&amp;'Compliance Database'!$M397&amp;" "&amp;'Compliance Database'!$N397&amp;" "&amp;'Compliance Database'!$O397)))),1,0)</f>
        <v/>
      </c>
      <c r="B397">
        <f>IF($A397=1,SUM($A$2:$A397),"")</f>
        <v/>
      </c>
      <c r="C397">
        <f>IF($A397=1,SUM($A$2:$A397),0)</f>
        <v/>
      </c>
    </row>
    <row r="398">
      <c r="A398">
        <f>IF(AND(OR('Compliance Database'!$A398='Data Transfer'!$B$4,'Compliance Database'!$A398='Data Transfer'!$B$5),OR('Data Transfer'!$B$6="",ISNUMBER(SEARCH('Data Transfer'!$B$6,'Compliance Database'!$D398&amp;" "&amp;'Compliance Database'!$L398&amp;" "&amp;'Compliance Database'!$M398&amp;" "&amp;'Compliance Database'!$N398&amp;" "&amp;'Compliance Database'!$O398)))),1,0)</f>
        <v/>
      </c>
      <c r="B398">
        <f>IF($A398=1,SUM($A$2:$A398),"")</f>
        <v/>
      </c>
      <c r="C398">
        <f>IF($A398=1,SUM($A$2:$A398),0)</f>
        <v/>
      </c>
    </row>
    <row r="399">
      <c r="A399">
        <f>IF(AND(OR('Compliance Database'!$A399='Data Transfer'!$B$4,'Compliance Database'!$A399='Data Transfer'!$B$5),OR('Data Transfer'!$B$6="",ISNUMBER(SEARCH('Data Transfer'!$B$6,'Compliance Database'!$D399&amp;" "&amp;'Compliance Database'!$L399&amp;" "&amp;'Compliance Database'!$M399&amp;" "&amp;'Compliance Database'!$N399&amp;" "&amp;'Compliance Database'!$O399)))),1,0)</f>
        <v/>
      </c>
      <c r="B399">
        <f>IF($A399=1,SUM($A$2:$A399),"")</f>
        <v/>
      </c>
      <c r="C399">
        <f>IF($A399=1,SUM($A$2:$A399),0)</f>
        <v/>
      </c>
    </row>
    <row r="400">
      <c r="A400">
        <f>IF(AND(OR('Compliance Database'!$A400='Data Transfer'!$B$4,'Compliance Database'!$A400='Data Transfer'!$B$5),OR('Data Transfer'!$B$6="",ISNUMBER(SEARCH('Data Transfer'!$B$6,'Compliance Database'!$D400&amp;" "&amp;'Compliance Database'!$L400&amp;" "&amp;'Compliance Database'!$M400&amp;" "&amp;'Compliance Database'!$N400&amp;" "&amp;'Compliance Database'!$O400)))),1,0)</f>
        <v/>
      </c>
      <c r="B400">
        <f>IF($A400=1,SUM($A$2:$A400),"")</f>
        <v/>
      </c>
      <c r="C400">
        <f>IF($A400=1,SUM($A$2:$A400),0)</f>
        <v/>
      </c>
    </row>
    <row r="401">
      <c r="A401">
        <f>IF(AND(OR('Compliance Database'!$A401='Data Transfer'!$B$4,'Compliance Database'!$A401='Data Transfer'!$B$5),OR('Data Transfer'!$B$6="",ISNUMBER(SEARCH('Data Transfer'!$B$6,'Compliance Database'!$D401&amp;" "&amp;'Compliance Database'!$L401&amp;" "&amp;'Compliance Database'!$M401&amp;" "&amp;'Compliance Database'!$N401&amp;" "&amp;'Compliance Database'!$O401)))),1,0)</f>
        <v/>
      </c>
      <c r="B401">
        <f>IF($A401=1,SUM($A$2:$A401),"")</f>
        <v/>
      </c>
      <c r="C401">
        <f>IF($A401=1,SUM($A$2:$A401),0)</f>
        <v/>
      </c>
    </row>
    <row r="402">
      <c r="A402">
        <f>IF(AND(OR('Compliance Database'!$A402='Data Transfer'!$B$4,'Compliance Database'!$A402='Data Transfer'!$B$5),OR('Data Transfer'!$B$6="",ISNUMBER(SEARCH('Data Transfer'!$B$6,'Compliance Database'!$D402&amp;" "&amp;'Compliance Database'!$L402&amp;" "&amp;'Compliance Database'!$M402&amp;" "&amp;'Compliance Database'!$N402&amp;" "&amp;'Compliance Database'!$O402)))),1,0)</f>
        <v/>
      </c>
      <c r="B402">
        <f>IF($A402=1,SUM($A$2:$A402),"")</f>
        <v/>
      </c>
      <c r="C402">
        <f>IF($A402=1,SUM($A$2:$A402),0)</f>
        <v/>
      </c>
    </row>
    <row r="403">
      <c r="A403">
        <f>IF(AND(OR('Compliance Database'!$A403='Data Transfer'!$B$4,'Compliance Database'!$A403='Data Transfer'!$B$5),OR('Data Transfer'!$B$6="",ISNUMBER(SEARCH('Data Transfer'!$B$6,'Compliance Database'!$D403&amp;" "&amp;'Compliance Database'!$L403&amp;" "&amp;'Compliance Database'!$M403&amp;" "&amp;'Compliance Database'!$N403&amp;" "&amp;'Compliance Database'!$O403)))),1,0)</f>
        <v/>
      </c>
      <c r="B403">
        <f>IF($A403=1,SUM($A$2:$A403),"")</f>
        <v/>
      </c>
      <c r="C403">
        <f>IF($A403=1,SUM($A$2:$A403),0)</f>
        <v/>
      </c>
    </row>
    <row r="404">
      <c r="A404">
        <f>IF(AND(OR('Compliance Database'!$A404='Data Transfer'!$B$4,'Compliance Database'!$A404='Data Transfer'!$B$5),OR('Data Transfer'!$B$6="",ISNUMBER(SEARCH('Data Transfer'!$B$6,'Compliance Database'!$D404&amp;" "&amp;'Compliance Database'!$L404&amp;" "&amp;'Compliance Database'!$M404&amp;" "&amp;'Compliance Database'!$N404&amp;" "&amp;'Compliance Database'!$O404)))),1,0)</f>
        <v/>
      </c>
      <c r="B404">
        <f>IF($A404=1,SUM($A$2:$A404),"")</f>
        <v/>
      </c>
      <c r="C404">
        <f>IF($A404=1,SUM($A$2:$A404),0)</f>
        <v/>
      </c>
    </row>
    <row r="405">
      <c r="A405">
        <f>IF(AND(OR('Compliance Database'!$A405='Data Transfer'!$B$4,'Compliance Database'!$A405='Data Transfer'!$B$5),OR('Data Transfer'!$B$6="",ISNUMBER(SEARCH('Data Transfer'!$B$6,'Compliance Database'!$D405&amp;" "&amp;'Compliance Database'!$L405&amp;" "&amp;'Compliance Database'!$M405&amp;" "&amp;'Compliance Database'!$N405&amp;" "&amp;'Compliance Database'!$O405)))),1,0)</f>
        <v/>
      </c>
      <c r="B405">
        <f>IF($A405=1,SUM($A$2:$A405),"")</f>
        <v/>
      </c>
      <c r="C405">
        <f>IF($A405=1,SUM($A$2:$A405),0)</f>
        <v/>
      </c>
    </row>
    <row r="406">
      <c r="A406">
        <f>IF(AND(OR('Compliance Database'!$A406='Data Transfer'!$B$4,'Compliance Database'!$A406='Data Transfer'!$B$5),OR('Data Transfer'!$B$6="",ISNUMBER(SEARCH('Data Transfer'!$B$6,'Compliance Database'!$D406&amp;" "&amp;'Compliance Database'!$L406&amp;" "&amp;'Compliance Database'!$M406&amp;" "&amp;'Compliance Database'!$N406&amp;" "&amp;'Compliance Database'!$O406)))),1,0)</f>
        <v/>
      </c>
      <c r="B406">
        <f>IF($A406=1,SUM($A$2:$A406),"")</f>
        <v/>
      </c>
      <c r="C406">
        <f>IF($A406=1,SUM($A$2:$A406),0)</f>
        <v/>
      </c>
    </row>
    <row r="407">
      <c r="A407">
        <f>IF(AND(OR('Compliance Database'!$A407='Data Transfer'!$B$4,'Compliance Database'!$A407='Data Transfer'!$B$5),OR('Data Transfer'!$B$6="",ISNUMBER(SEARCH('Data Transfer'!$B$6,'Compliance Database'!$D407&amp;" "&amp;'Compliance Database'!$L407&amp;" "&amp;'Compliance Database'!$M407&amp;" "&amp;'Compliance Database'!$N407&amp;" "&amp;'Compliance Database'!$O407)))),1,0)</f>
        <v/>
      </c>
      <c r="B407">
        <f>IF($A407=1,SUM($A$2:$A407),"")</f>
        <v/>
      </c>
      <c r="C407">
        <f>IF($A407=1,SUM($A$2:$A407),0)</f>
        <v/>
      </c>
    </row>
    <row r="408">
      <c r="A408">
        <f>IF(AND(OR('Compliance Database'!$A408='Data Transfer'!$B$4,'Compliance Database'!$A408='Data Transfer'!$B$5),OR('Data Transfer'!$B$6="",ISNUMBER(SEARCH('Data Transfer'!$B$6,'Compliance Database'!$D408&amp;" "&amp;'Compliance Database'!$L408&amp;" "&amp;'Compliance Database'!$M408&amp;" "&amp;'Compliance Database'!$N408&amp;" "&amp;'Compliance Database'!$O408)))),1,0)</f>
        <v/>
      </c>
      <c r="B408">
        <f>IF($A408=1,SUM($A$2:$A408),"")</f>
        <v/>
      </c>
      <c r="C408">
        <f>IF($A408=1,SUM($A$2:$A408),0)</f>
        <v/>
      </c>
    </row>
    <row r="409">
      <c r="A409">
        <f>IF(AND(OR('Compliance Database'!$A409='Data Transfer'!$B$4,'Compliance Database'!$A409='Data Transfer'!$B$5),OR('Data Transfer'!$B$6="",ISNUMBER(SEARCH('Data Transfer'!$B$6,'Compliance Database'!$D409&amp;" "&amp;'Compliance Database'!$L409&amp;" "&amp;'Compliance Database'!$M409&amp;" "&amp;'Compliance Database'!$N409&amp;" "&amp;'Compliance Database'!$O409)))),1,0)</f>
        <v/>
      </c>
      <c r="B409">
        <f>IF($A409=1,SUM($A$2:$A409),"")</f>
        <v/>
      </c>
      <c r="C409">
        <f>IF($A409=1,SUM($A$2:$A409),0)</f>
        <v/>
      </c>
    </row>
    <row r="410">
      <c r="A410">
        <f>IF(AND(OR('Compliance Database'!$A410='Data Transfer'!$B$4,'Compliance Database'!$A410='Data Transfer'!$B$5),OR('Data Transfer'!$B$6="",ISNUMBER(SEARCH('Data Transfer'!$B$6,'Compliance Database'!$D410&amp;" "&amp;'Compliance Database'!$L410&amp;" "&amp;'Compliance Database'!$M410&amp;" "&amp;'Compliance Database'!$N410&amp;" "&amp;'Compliance Database'!$O410)))),1,0)</f>
        <v/>
      </c>
      <c r="B410">
        <f>IF($A410=1,SUM($A$2:$A410),"")</f>
        <v/>
      </c>
      <c r="C410">
        <f>IF($A410=1,SUM($A$2:$A410),0)</f>
        <v/>
      </c>
    </row>
    <row r="411">
      <c r="A411">
        <f>IF(AND(OR('Compliance Database'!$A411='Data Transfer'!$B$4,'Compliance Database'!$A411='Data Transfer'!$B$5),OR('Data Transfer'!$B$6="",ISNUMBER(SEARCH('Data Transfer'!$B$6,'Compliance Database'!$D411&amp;" "&amp;'Compliance Database'!$L411&amp;" "&amp;'Compliance Database'!$M411&amp;" "&amp;'Compliance Database'!$N411&amp;" "&amp;'Compliance Database'!$O411)))),1,0)</f>
        <v/>
      </c>
      <c r="B411">
        <f>IF($A411=1,SUM($A$2:$A411),"")</f>
        <v/>
      </c>
      <c r="C411">
        <f>IF($A411=1,SUM($A$2:$A411),0)</f>
        <v/>
      </c>
    </row>
    <row r="412">
      <c r="A412">
        <f>IF(AND(OR('Compliance Database'!$A412='Data Transfer'!$B$4,'Compliance Database'!$A412='Data Transfer'!$B$5),OR('Data Transfer'!$B$6="",ISNUMBER(SEARCH('Data Transfer'!$B$6,'Compliance Database'!$D412&amp;" "&amp;'Compliance Database'!$L412&amp;" "&amp;'Compliance Database'!$M412&amp;" "&amp;'Compliance Database'!$N412&amp;" "&amp;'Compliance Database'!$O412)))),1,0)</f>
        <v/>
      </c>
      <c r="B412">
        <f>IF($A412=1,SUM($A$2:$A412),"")</f>
        <v/>
      </c>
      <c r="C412">
        <f>IF($A412=1,SUM($A$2:$A412),0)</f>
        <v/>
      </c>
    </row>
    <row r="413">
      <c r="A413">
        <f>IF(AND(OR('Compliance Database'!$A413='Data Transfer'!$B$4,'Compliance Database'!$A413='Data Transfer'!$B$5),OR('Data Transfer'!$B$6="",ISNUMBER(SEARCH('Data Transfer'!$B$6,'Compliance Database'!$D413&amp;" "&amp;'Compliance Database'!$L413&amp;" "&amp;'Compliance Database'!$M413&amp;" "&amp;'Compliance Database'!$N413&amp;" "&amp;'Compliance Database'!$O413)))),1,0)</f>
        <v/>
      </c>
      <c r="B413">
        <f>IF($A413=1,SUM($A$2:$A413),"")</f>
        <v/>
      </c>
      <c r="C413">
        <f>IF($A413=1,SUM($A$2:$A413),0)</f>
        <v/>
      </c>
    </row>
    <row r="414">
      <c r="A414">
        <f>IF(AND(OR('Compliance Database'!$A414='Data Transfer'!$B$4,'Compliance Database'!$A414='Data Transfer'!$B$5),OR('Data Transfer'!$B$6="",ISNUMBER(SEARCH('Data Transfer'!$B$6,'Compliance Database'!$D414&amp;" "&amp;'Compliance Database'!$L414&amp;" "&amp;'Compliance Database'!$M414&amp;" "&amp;'Compliance Database'!$N414&amp;" "&amp;'Compliance Database'!$O414)))),1,0)</f>
        <v/>
      </c>
      <c r="B414">
        <f>IF($A414=1,SUM($A$2:$A414),"")</f>
        <v/>
      </c>
      <c r="C414">
        <f>IF($A414=1,SUM($A$2:$A414),0)</f>
        <v/>
      </c>
    </row>
    <row r="415">
      <c r="A415">
        <f>IF(AND(OR('Compliance Database'!$A415='Data Transfer'!$B$4,'Compliance Database'!$A415='Data Transfer'!$B$5),OR('Data Transfer'!$B$6="",ISNUMBER(SEARCH('Data Transfer'!$B$6,'Compliance Database'!$D415&amp;" "&amp;'Compliance Database'!$L415&amp;" "&amp;'Compliance Database'!$M415&amp;" "&amp;'Compliance Database'!$N415&amp;" "&amp;'Compliance Database'!$O415)))),1,0)</f>
        <v/>
      </c>
      <c r="B415">
        <f>IF($A415=1,SUM($A$2:$A415),"")</f>
        <v/>
      </c>
      <c r="C415">
        <f>IF($A415=1,SUM($A$2:$A415),0)</f>
        <v/>
      </c>
    </row>
    <row r="416">
      <c r="A416">
        <f>IF(AND(OR('Compliance Database'!$A416='Data Transfer'!$B$4,'Compliance Database'!$A416='Data Transfer'!$B$5),OR('Data Transfer'!$B$6="",ISNUMBER(SEARCH('Data Transfer'!$B$6,'Compliance Database'!$D416&amp;" "&amp;'Compliance Database'!$L416&amp;" "&amp;'Compliance Database'!$M416&amp;" "&amp;'Compliance Database'!$N416&amp;" "&amp;'Compliance Database'!$O416)))),1,0)</f>
        <v/>
      </c>
      <c r="B416">
        <f>IF($A416=1,SUM($A$2:$A416),"")</f>
        <v/>
      </c>
      <c r="C416">
        <f>IF($A416=1,SUM($A$2:$A416),0)</f>
        <v/>
      </c>
    </row>
    <row r="417">
      <c r="A417">
        <f>IF(AND(OR('Compliance Database'!$A417='Data Transfer'!$B$4,'Compliance Database'!$A417='Data Transfer'!$B$5),OR('Data Transfer'!$B$6="",ISNUMBER(SEARCH('Data Transfer'!$B$6,'Compliance Database'!$D417&amp;" "&amp;'Compliance Database'!$L417&amp;" "&amp;'Compliance Database'!$M417&amp;" "&amp;'Compliance Database'!$N417&amp;" "&amp;'Compliance Database'!$O417)))),1,0)</f>
        <v/>
      </c>
      <c r="B417">
        <f>IF($A417=1,SUM($A$2:$A417),"")</f>
        <v/>
      </c>
      <c r="C417">
        <f>IF($A417=1,SUM($A$2:$A417),0)</f>
        <v/>
      </c>
    </row>
    <row r="418">
      <c r="A418">
        <f>IF(AND(OR('Compliance Database'!$A418='Data Transfer'!$B$4,'Compliance Database'!$A418='Data Transfer'!$B$5),OR('Data Transfer'!$B$6="",ISNUMBER(SEARCH('Data Transfer'!$B$6,'Compliance Database'!$D418&amp;" "&amp;'Compliance Database'!$L418&amp;" "&amp;'Compliance Database'!$M418&amp;" "&amp;'Compliance Database'!$N418&amp;" "&amp;'Compliance Database'!$O418)))),1,0)</f>
        <v/>
      </c>
      <c r="B418">
        <f>IF($A418=1,SUM($A$2:$A418),"")</f>
        <v/>
      </c>
      <c r="C418">
        <f>IF($A418=1,SUM($A$2:$A418),0)</f>
        <v/>
      </c>
    </row>
    <row r="419">
      <c r="A419">
        <f>IF(AND(OR('Compliance Database'!$A419='Data Transfer'!$B$4,'Compliance Database'!$A419='Data Transfer'!$B$5),OR('Data Transfer'!$B$6="",ISNUMBER(SEARCH('Data Transfer'!$B$6,'Compliance Database'!$D419&amp;" "&amp;'Compliance Database'!$L419&amp;" "&amp;'Compliance Database'!$M419&amp;" "&amp;'Compliance Database'!$N419&amp;" "&amp;'Compliance Database'!$O419)))),1,0)</f>
        <v/>
      </c>
      <c r="B419">
        <f>IF($A419=1,SUM($A$2:$A419),"")</f>
        <v/>
      </c>
      <c r="C419">
        <f>IF($A419=1,SUM($A$2:$A419),0)</f>
        <v/>
      </c>
    </row>
    <row r="420">
      <c r="A420">
        <f>IF(AND(OR('Compliance Database'!$A420='Data Transfer'!$B$4,'Compliance Database'!$A420='Data Transfer'!$B$5),OR('Data Transfer'!$B$6="",ISNUMBER(SEARCH('Data Transfer'!$B$6,'Compliance Database'!$D420&amp;" "&amp;'Compliance Database'!$L420&amp;" "&amp;'Compliance Database'!$M420&amp;" "&amp;'Compliance Database'!$N420&amp;" "&amp;'Compliance Database'!$O420)))),1,0)</f>
        <v/>
      </c>
      <c r="B420">
        <f>IF($A420=1,SUM($A$2:$A420),"")</f>
        <v/>
      </c>
      <c r="C420">
        <f>IF($A420=1,SUM($A$2:$A420),0)</f>
        <v/>
      </c>
    </row>
    <row r="421">
      <c r="A421">
        <f>IF(AND(OR('Compliance Database'!$A421='Data Transfer'!$B$4,'Compliance Database'!$A421='Data Transfer'!$B$5),OR('Data Transfer'!$B$6="",ISNUMBER(SEARCH('Data Transfer'!$B$6,'Compliance Database'!$D421&amp;" "&amp;'Compliance Database'!$L421&amp;" "&amp;'Compliance Database'!$M421&amp;" "&amp;'Compliance Database'!$N421&amp;" "&amp;'Compliance Database'!$O421)))),1,0)</f>
        <v/>
      </c>
      <c r="B421">
        <f>IF($A421=1,SUM($A$2:$A421),"")</f>
        <v/>
      </c>
      <c r="C421">
        <f>IF($A421=1,SUM($A$2:$A421),0)</f>
        <v/>
      </c>
    </row>
    <row r="422">
      <c r="A422">
        <f>IF(AND(OR('Compliance Database'!$A422='Data Transfer'!$B$4,'Compliance Database'!$A422='Data Transfer'!$B$5),OR('Data Transfer'!$B$6="",ISNUMBER(SEARCH('Data Transfer'!$B$6,'Compliance Database'!$D422&amp;" "&amp;'Compliance Database'!$L422&amp;" "&amp;'Compliance Database'!$M422&amp;" "&amp;'Compliance Database'!$N422&amp;" "&amp;'Compliance Database'!$O422)))),1,0)</f>
        <v/>
      </c>
      <c r="B422">
        <f>IF($A422=1,SUM($A$2:$A422),"")</f>
        <v/>
      </c>
      <c r="C422">
        <f>IF($A422=1,SUM($A$2:$A422),0)</f>
        <v/>
      </c>
    </row>
    <row r="423">
      <c r="A423">
        <f>IF(AND(OR('Compliance Database'!$A423='Data Transfer'!$B$4,'Compliance Database'!$A423='Data Transfer'!$B$5),OR('Data Transfer'!$B$6="",ISNUMBER(SEARCH('Data Transfer'!$B$6,'Compliance Database'!$D423&amp;" "&amp;'Compliance Database'!$L423&amp;" "&amp;'Compliance Database'!$M423&amp;" "&amp;'Compliance Database'!$N423&amp;" "&amp;'Compliance Database'!$O423)))),1,0)</f>
        <v/>
      </c>
      <c r="B423">
        <f>IF($A423=1,SUM($A$2:$A423),"")</f>
        <v/>
      </c>
      <c r="C423">
        <f>IF($A423=1,SUM($A$2:$A423),0)</f>
        <v/>
      </c>
    </row>
    <row r="424">
      <c r="A424">
        <f>IF(AND(OR('Compliance Database'!$A424='Data Transfer'!$B$4,'Compliance Database'!$A424='Data Transfer'!$B$5),OR('Data Transfer'!$B$6="",ISNUMBER(SEARCH('Data Transfer'!$B$6,'Compliance Database'!$D424&amp;" "&amp;'Compliance Database'!$L424&amp;" "&amp;'Compliance Database'!$M424&amp;" "&amp;'Compliance Database'!$N424&amp;" "&amp;'Compliance Database'!$O424)))),1,0)</f>
        <v/>
      </c>
      <c r="B424">
        <f>IF($A424=1,SUM($A$2:$A424),"")</f>
        <v/>
      </c>
      <c r="C424">
        <f>IF($A424=1,SUM($A$2:$A424),0)</f>
        <v/>
      </c>
    </row>
    <row r="425">
      <c r="A425">
        <f>IF(AND(OR('Compliance Database'!$A425='Data Transfer'!$B$4,'Compliance Database'!$A425='Data Transfer'!$B$5),OR('Data Transfer'!$B$6="",ISNUMBER(SEARCH('Data Transfer'!$B$6,'Compliance Database'!$D425&amp;" "&amp;'Compliance Database'!$L425&amp;" "&amp;'Compliance Database'!$M425&amp;" "&amp;'Compliance Database'!$N425&amp;" "&amp;'Compliance Database'!$O425)))),1,0)</f>
        <v/>
      </c>
      <c r="B425">
        <f>IF($A425=1,SUM($A$2:$A425),"")</f>
        <v/>
      </c>
      <c r="C425">
        <f>IF($A425=1,SUM($A$2:$A425),0)</f>
        <v/>
      </c>
    </row>
    <row r="426">
      <c r="A426">
        <f>IF(AND(OR('Compliance Database'!$A426='Data Transfer'!$B$4,'Compliance Database'!$A426='Data Transfer'!$B$5),OR('Data Transfer'!$B$6="",ISNUMBER(SEARCH('Data Transfer'!$B$6,'Compliance Database'!$D426&amp;" "&amp;'Compliance Database'!$L426&amp;" "&amp;'Compliance Database'!$M426&amp;" "&amp;'Compliance Database'!$N426&amp;" "&amp;'Compliance Database'!$O426)))),1,0)</f>
        <v/>
      </c>
      <c r="B426">
        <f>IF($A426=1,SUM($A$2:$A426),"")</f>
        <v/>
      </c>
      <c r="C426">
        <f>IF($A426=1,SUM($A$2:$A426),0)</f>
        <v/>
      </c>
    </row>
    <row r="427">
      <c r="A427">
        <f>IF(AND(OR('Compliance Database'!$A427='Data Transfer'!$B$4,'Compliance Database'!$A427='Data Transfer'!$B$5),OR('Data Transfer'!$B$6="",ISNUMBER(SEARCH('Data Transfer'!$B$6,'Compliance Database'!$D427&amp;" "&amp;'Compliance Database'!$L427&amp;" "&amp;'Compliance Database'!$M427&amp;" "&amp;'Compliance Database'!$N427&amp;" "&amp;'Compliance Database'!$O427)))),1,0)</f>
        <v/>
      </c>
      <c r="B427">
        <f>IF($A427=1,SUM($A$2:$A427),"")</f>
        <v/>
      </c>
      <c r="C427">
        <f>IF($A427=1,SUM($A$2:$A427),0)</f>
        <v/>
      </c>
    </row>
    <row r="428">
      <c r="A428">
        <f>IF(AND(OR('Compliance Database'!$A428='Data Transfer'!$B$4,'Compliance Database'!$A428='Data Transfer'!$B$5),OR('Data Transfer'!$B$6="",ISNUMBER(SEARCH('Data Transfer'!$B$6,'Compliance Database'!$D428&amp;" "&amp;'Compliance Database'!$L428&amp;" "&amp;'Compliance Database'!$M428&amp;" "&amp;'Compliance Database'!$N428&amp;" "&amp;'Compliance Database'!$O428)))),1,0)</f>
        <v/>
      </c>
      <c r="B428">
        <f>IF($A428=1,SUM($A$2:$A428),"")</f>
        <v/>
      </c>
      <c r="C428">
        <f>IF($A428=1,SUM($A$2:$A428),0)</f>
        <v/>
      </c>
    </row>
    <row r="429">
      <c r="A429">
        <f>IF(AND(OR('Compliance Database'!$A429='Data Transfer'!$B$4,'Compliance Database'!$A429='Data Transfer'!$B$5),OR('Data Transfer'!$B$6="",ISNUMBER(SEARCH('Data Transfer'!$B$6,'Compliance Database'!$D429&amp;" "&amp;'Compliance Database'!$L429&amp;" "&amp;'Compliance Database'!$M429&amp;" "&amp;'Compliance Database'!$N429&amp;" "&amp;'Compliance Database'!$O429)))),1,0)</f>
        <v/>
      </c>
      <c r="B429">
        <f>IF($A429=1,SUM($A$2:$A429),"")</f>
        <v/>
      </c>
      <c r="C429">
        <f>IF($A429=1,SUM($A$2:$A429),0)</f>
        <v/>
      </c>
    </row>
    <row r="430">
      <c r="A430">
        <f>IF(AND(OR('Compliance Database'!$A430='Data Transfer'!$B$4,'Compliance Database'!$A430='Data Transfer'!$B$5),OR('Data Transfer'!$B$6="",ISNUMBER(SEARCH('Data Transfer'!$B$6,'Compliance Database'!$D430&amp;" "&amp;'Compliance Database'!$L430&amp;" "&amp;'Compliance Database'!$M430&amp;" "&amp;'Compliance Database'!$N430&amp;" "&amp;'Compliance Database'!$O430)))),1,0)</f>
        <v/>
      </c>
      <c r="B430">
        <f>IF($A430=1,SUM($A$2:$A430),"")</f>
        <v/>
      </c>
      <c r="C430">
        <f>IF($A430=1,SUM($A$2:$A430),0)</f>
        <v/>
      </c>
    </row>
    <row r="431">
      <c r="A431">
        <f>IF(AND(OR('Compliance Database'!$A431='Data Transfer'!$B$4,'Compliance Database'!$A431='Data Transfer'!$B$5),OR('Data Transfer'!$B$6="",ISNUMBER(SEARCH('Data Transfer'!$B$6,'Compliance Database'!$D431&amp;" "&amp;'Compliance Database'!$L431&amp;" "&amp;'Compliance Database'!$M431&amp;" "&amp;'Compliance Database'!$N431&amp;" "&amp;'Compliance Database'!$O431)))),1,0)</f>
        <v/>
      </c>
      <c r="B431">
        <f>IF($A431=1,SUM($A$2:$A431),"")</f>
        <v/>
      </c>
      <c r="C431">
        <f>IF($A431=1,SUM($A$2:$A431),0)</f>
        <v/>
      </c>
    </row>
    <row r="432">
      <c r="A432">
        <f>IF(AND(OR('Compliance Database'!$A432='Data Transfer'!$B$4,'Compliance Database'!$A432='Data Transfer'!$B$5),OR('Data Transfer'!$B$6="",ISNUMBER(SEARCH('Data Transfer'!$B$6,'Compliance Database'!$D432&amp;" "&amp;'Compliance Database'!$L432&amp;" "&amp;'Compliance Database'!$M432&amp;" "&amp;'Compliance Database'!$N432&amp;" "&amp;'Compliance Database'!$O432)))),1,0)</f>
        <v/>
      </c>
      <c r="B432">
        <f>IF($A432=1,SUM($A$2:$A432),"")</f>
        <v/>
      </c>
      <c r="C432">
        <f>IF($A432=1,SUM($A$2:$A432),0)</f>
        <v/>
      </c>
    </row>
    <row r="433">
      <c r="A433">
        <f>IF(AND(OR('Compliance Database'!$A433='Data Transfer'!$B$4,'Compliance Database'!$A433='Data Transfer'!$B$5),OR('Data Transfer'!$B$6="",ISNUMBER(SEARCH('Data Transfer'!$B$6,'Compliance Database'!$D433&amp;" "&amp;'Compliance Database'!$L433&amp;" "&amp;'Compliance Database'!$M433&amp;" "&amp;'Compliance Database'!$N433&amp;" "&amp;'Compliance Database'!$O433)))),1,0)</f>
        <v/>
      </c>
      <c r="B433">
        <f>IF($A433=1,SUM($A$2:$A433),"")</f>
        <v/>
      </c>
      <c r="C433">
        <f>IF($A433=1,SUM($A$2:$A433),0)</f>
        <v/>
      </c>
    </row>
    <row r="434">
      <c r="A434">
        <f>IF(AND(OR('Compliance Database'!$A434='Data Transfer'!$B$4,'Compliance Database'!$A434='Data Transfer'!$B$5),OR('Data Transfer'!$B$6="",ISNUMBER(SEARCH('Data Transfer'!$B$6,'Compliance Database'!$D434&amp;" "&amp;'Compliance Database'!$L434&amp;" "&amp;'Compliance Database'!$M434&amp;" "&amp;'Compliance Database'!$N434&amp;" "&amp;'Compliance Database'!$O434)))),1,0)</f>
        <v/>
      </c>
      <c r="B434">
        <f>IF($A434=1,SUM($A$2:$A434),"")</f>
        <v/>
      </c>
      <c r="C434">
        <f>IF($A434=1,SUM($A$2:$A434),0)</f>
        <v/>
      </c>
    </row>
    <row r="435">
      <c r="A435">
        <f>IF(AND(OR('Compliance Database'!$A435='Data Transfer'!$B$4,'Compliance Database'!$A435='Data Transfer'!$B$5),OR('Data Transfer'!$B$6="",ISNUMBER(SEARCH('Data Transfer'!$B$6,'Compliance Database'!$D435&amp;" "&amp;'Compliance Database'!$L435&amp;" "&amp;'Compliance Database'!$M435&amp;" "&amp;'Compliance Database'!$N435&amp;" "&amp;'Compliance Database'!$O435)))),1,0)</f>
        <v/>
      </c>
      <c r="B435">
        <f>IF($A435=1,SUM($A$2:$A435),"")</f>
        <v/>
      </c>
      <c r="C435">
        <f>IF($A435=1,SUM($A$2:$A435),0)</f>
        <v/>
      </c>
    </row>
    <row r="436">
      <c r="A436">
        <f>IF(AND(OR('Compliance Database'!$A436='Data Transfer'!$B$4,'Compliance Database'!$A436='Data Transfer'!$B$5),OR('Data Transfer'!$B$6="",ISNUMBER(SEARCH('Data Transfer'!$B$6,'Compliance Database'!$D436&amp;" "&amp;'Compliance Database'!$L436&amp;" "&amp;'Compliance Database'!$M436&amp;" "&amp;'Compliance Database'!$N436&amp;" "&amp;'Compliance Database'!$O436)))),1,0)</f>
        <v/>
      </c>
      <c r="B436">
        <f>IF($A436=1,SUM($A$2:$A436),"")</f>
        <v/>
      </c>
      <c r="C436">
        <f>IF($A436=1,SUM($A$2:$A436),0)</f>
        <v/>
      </c>
    </row>
    <row r="437">
      <c r="A437">
        <f>IF(AND(OR('Compliance Database'!$A437='Data Transfer'!$B$4,'Compliance Database'!$A437='Data Transfer'!$B$5),OR('Data Transfer'!$B$6="",ISNUMBER(SEARCH('Data Transfer'!$B$6,'Compliance Database'!$D437&amp;" "&amp;'Compliance Database'!$L437&amp;" "&amp;'Compliance Database'!$M437&amp;" "&amp;'Compliance Database'!$N437&amp;" "&amp;'Compliance Database'!$O437)))),1,0)</f>
        <v/>
      </c>
      <c r="B437">
        <f>IF($A437=1,SUM($A$2:$A437),"")</f>
        <v/>
      </c>
      <c r="C437">
        <f>IF($A437=1,SUM($A$2:$A437),0)</f>
        <v/>
      </c>
    </row>
    <row r="438">
      <c r="A438">
        <f>IF(AND(OR('Compliance Database'!$A438='Data Transfer'!$B$4,'Compliance Database'!$A438='Data Transfer'!$B$5),OR('Data Transfer'!$B$6="",ISNUMBER(SEARCH('Data Transfer'!$B$6,'Compliance Database'!$D438&amp;" "&amp;'Compliance Database'!$L438&amp;" "&amp;'Compliance Database'!$M438&amp;" "&amp;'Compliance Database'!$N438&amp;" "&amp;'Compliance Database'!$O438)))),1,0)</f>
        <v/>
      </c>
      <c r="B438">
        <f>IF($A438=1,SUM($A$2:$A438),"")</f>
        <v/>
      </c>
      <c r="C438">
        <f>IF($A438=1,SUM($A$2:$A438),0)</f>
        <v/>
      </c>
    </row>
    <row r="439">
      <c r="A439">
        <f>IF(AND(OR('Compliance Database'!$A439='Data Transfer'!$B$4,'Compliance Database'!$A439='Data Transfer'!$B$5),OR('Data Transfer'!$B$6="",ISNUMBER(SEARCH('Data Transfer'!$B$6,'Compliance Database'!$D439&amp;" "&amp;'Compliance Database'!$L439&amp;" "&amp;'Compliance Database'!$M439&amp;" "&amp;'Compliance Database'!$N439&amp;" "&amp;'Compliance Database'!$O439)))),1,0)</f>
        <v/>
      </c>
      <c r="B439">
        <f>IF($A439=1,SUM($A$2:$A439),"")</f>
        <v/>
      </c>
      <c r="C439">
        <f>IF($A439=1,SUM($A$2:$A439),0)</f>
        <v/>
      </c>
    </row>
    <row r="440">
      <c r="A440">
        <f>IF(AND(OR('Compliance Database'!$A440='Data Transfer'!$B$4,'Compliance Database'!$A440='Data Transfer'!$B$5),OR('Data Transfer'!$B$6="",ISNUMBER(SEARCH('Data Transfer'!$B$6,'Compliance Database'!$D440&amp;" "&amp;'Compliance Database'!$L440&amp;" "&amp;'Compliance Database'!$M440&amp;" "&amp;'Compliance Database'!$N440&amp;" "&amp;'Compliance Database'!$O440)))),1,0)</f>
        <v/>
      </c>
      <c r="B440">
        <f>IF($A440=1,SUM($A$2:$A440),"")</f>
        <v/>
      </c>
      <c r="C440">
        <f>IF($A440=1,SUM($A$2:$A440),0)</f>
        <v/>
      </c>
    </row>
    <row r="441">
      <c r="A441">
        <f>IF(AND(OR('Compliance Database'!$A441='Data Transfer'!$B$4,'Compliance Database'!$A441='Data Transfer'!$B$5),OR('Data Transfer'!$B$6="",ISNUMBER(SEARCH('Data Transfer'!$B$6,'Compliance Database'!$D441&amp;" "&amp;'Compliance Database'!$L441&amp;" "&amp;'Compliance Database'!$M441&amp;" "&amp;'Compliance Database'!$N441&amp;" "&amp;'Compliance Database'!$O441)))),1,0)</f>
        <v/>
      </c>
      <c r="B441">
        <f>IF($A441=1,SUM($A$2:$A441),"")</f>
        <v/>
      </c>
      <c r="C441">
        <f>IF($A441=1,SUM($A$2:$A441),0)</f>
        <v/>
      </c>
    </row>
    <row r="442">
      <c r="A442">
        <f>IF(AND(OR('Compliance Database'!$A442='Data Transfer'!$B$4,'Compliance Database'!$A442='Data Transfer'!$B$5),OR('Data Transfer'!$B$6="",ISNUMBER(SEARCH('Data Transfer'!$B$6,'Compliance Database'!$D442&amp;" "&amp;'Compliance Database'!$L442&amp;" "&amp;'Compliance Database'!$M442&amp;" "&amp;'Compliance Database'!$N442&amp;" "&amp;'Compliance Database'!$O442)))),1,0)</f>
        <v/>
      </c>
      <c r="B442">
        <f>IF($A442=1,SUM($A$2:$A442),"")</f>
        <v/>
      </c>
      <c r="C442">
        <f>IF($A442=1,SUM($A$2:$A442),0)</f>
        <v/>
      </c>
    </row>
    <row r="443">
      <c r="A443">
        <f>IF(AND(OR('Compliance Database'!$A443='Data Transfer'!$B$4,'Compliance Database'!$A443='Data Transfer'!$B$5),OR('Data Transfer'!$B$6="",ISNUMBER(SEARCH('Data Transfer'!$B$6,'Compliance Database'!$D443&amp;" "&amp;'Compliance Database'!$L443&amp;" "&amp;'Compliance Database'!$M443&amp;" "&amp;'Compliance Database'!$N443&amp;" "&amp;'Compliance Database'!$O443)))),1,0)</f>
        <v/>
      </c>
      <c r="B443">
        <f>IF($A443=1,SUM($A$2:$A443),"")</f>
        <v/>
      </c>
      <c r="C443">
        <f>IF($A443=1,SUM($A$2:$A443),0)</f>
        <v/>
      </c>
    </row>
    <row r="444">
      <c r="A444">
        <f>IF(AND(OR('Compliance Database'!$A444='Data Transfer'!$B$4,'Compliance Database'!$A444='Data Transfer'!$B$5),OR('Data Transfer'!$B$6="",ISNUMBER(SEARCH('Data Transfer'!$B$6,'Compliance Database'!$D444&amp;" "&amp;'Compliance Database'!$L444&amp;" "&amp;'Compliance Database'!$M444&amp;" "&amp;'Compliance Database'!$N444&amp;" "&amp;'Compliance Database'!$O444)))),1,0)</f>
        <v/>
      </c>
      <c r="B444">
        <f>IF($A444=1,SUM($A$2:$A444),"")</f>
        <v/>
      </c>
      <c r="C444">
        <f>IF($A444=1,SUM($A$2:$A444),0)</f>
        <v/>
      </c>
    </row>
    <row r="445">
      <c r="A445">
        <f>IF(AND(OR('Compliance Database'!$A445='Data Transfer'!$B$4,'Compliance Database'!$A445='Data Transfer'!$B$5),OR('Data Transfer'!$B$6="",ISNUMBER(SEARCH('Data Transfer'!$B$6,'Compliance Database'!$D445&amp;" "&amp;'Compliance Database'!$L445&amp;" "&amp;'Compliance Database'!$M445&amp;" "&amp;'Compliance Database'!$N445&amp;" "&amp;'Compliance Database'!$O445)))),1,0)</f>
        <v/>
      </c>
      <c r="B445">
        <f>IF($A445=1,SUM($A$2:$A445),"")</f>
        <v/>
      </c>
      <c r="C445">
        <f>IF($A445=1,SUM($A$2:$A445),0)</f>
        <v/>
      </c>
    </row>
    <row r="446">
      <c r="A446">
        <f>IF(AND(OR('Compliance Database'!$A446='Data Transfer'!$B$4,'Compliance Database'!$A446='Data Transfer'!$B$5),OR('Data Transfer'!$B$6="",ISNUMBER(SEARCH('Data Transfer'!$B$6,'Compliance Database'!$D446&amp;" "&amp;'Compliance Database'!$L446&amp;" "&amp;'Compliance Database'!$M446&amp;" "&amp;'Compliance Database'!$N446&amp;" "&amp;'Compliance Database'!$O446)))),1,0)</f>
        <v/>
      </c>
      <c r="B446">
        <f>IF($A446=1,SUM($A$2:$A446),"")</f>
        <v/>
      </c>
      <c r="C446">
        <f>IF($A446=1,SUM($A$2:$A446),0)</f>
        <v/>
      </c>
    </row>
    <row r="447">
      <c r="A447">
        <f>IF(AND(OR('Compliance Database'!$A447='Data Transfer'!$B$4,'Compliance Database'!$A447='Data Transfer'!$B$5),OR('Data Transfer'!$B$6="",ISNUMBER(SEARCH('Data Transfer'!$B$6,'Compliance Database'!$D447&amp;" "&amp;'Compliance Database'!$L447&amp;" "&amp;'Compliance Database'!$M447&amp;" "&amp;'Compliance Database'!$N447&amp;" "&amp;'Compliance Database'!$O447)))),1,0)</f>
        <v/>
      </c>
      <c r="B447">
        <f>IF($A447=1,SUM($A$2:$A447),"")</f>
        <v/>
      </c>
      <c r="C447">
        <f>IF($A447=1,SUM($A$2:$A447),0)</f>
        <v/>
      </c>
    </row>
    <row r="448">
      <c r="A448">
        <f>IF(AND(OR('Compliance Database'!$A448='Data Transfer'!$B$4,'Compliance Database'!$A448='Data Transfer'!$B$5),OR('Data Transfer'!$B$6="",ISNUMBER(SEARCH('Data Transfer'!$B$6,'Compliance Database'!$D448&amp;" "&amp;'Compliance Database'!$L448&amp;" "&amp;'Compliance Database'!$M448&amp;" "&amp;'Compliance Database'!$N448&amp;" "&amp;'Compliance Database'!$O448)))),1,0)</f>
        <v/>
      </c>
      <c r="B448">
        <f>IF($A448=1,SUM($A$2:$A448),"")</f>
        <v/>
      </c>
      <c r="C448">
        <f>IF($A448=1,SUM($A$2:$A448),0)</f>
        <v/>
      </c>
    </row>
    <row r="449">
      <c r="A449">
        <f>IF(AND(OR('Compliance Database'!$A449='Data Transfer'!$B$4,'Compliance Database'!$A449='Data Transfer'!$B$5),OR('Data Transfer'!$B$6="",ISNUMBER(SEARCH('Data Transfer'!$B$6,'Compliance Database'!$D449&amp;" "&amp;'Compliance Database'!$L449&amp;" "&amp;'Compliance Database'!$M449&amp;" "&amp;'Compliance Database'!$N449&amp;" "&amp;'Compliance Database'!$O449)))),1,0)</f>
        <v/>
      </c>
      <c r="B449">
        <f>IF($A449=1,SUM($A$2:$A449),"")</f>
        <v/>
      </c>
      <c r="C449">
        <f>IF($A449=1,SUM($A$2:$A449),0)</f>
        <v/>
      </c>
    </row>
    <row r="450">
      <c r="A450">
        <f>IF(AND(OR('Compliance Database'!$A450='Data Transfer'!$B$4,'Compliance Database'!$A450='Data Transfer'!$B$5),OR('Data Transfer'!$B$6="",ISNUMBER(SEARCH('Data Transfer'!$B$6,'Compliance Database'!$D450&amp;" "&amp;'Compliance Database'!$L450&amp;" "&amp;'Compliance Database'!$M450&amp;" "&amp;'Compliance Database'!$N450&amp;" "&amp;'Compliance Database'!$O450)))),1,0)</f>
        <v/>
      </c>
      <c r="B450">
        <f>IF($A450=1,SUM($A$2:$A450),"")</f>
        <v/>
      </c>
      <c r="C450">
        <f>IF($A450=1,SUM($A$2:$A450),0)</f>
        <v/>
      </c>
    </row>
    <row r="451">
      <c r="A451">
        <f>IF(AND(OR('Compliance Database'!$A451='Data Transfer'!$B$4,'Compliance Database'!$A451='Data Transfer'!$B$5),OR('Data Transfer'!$B$6="",ISNUMBER(SEARCH('Data Transfer'!$B$6,'Compliance Database'!$D451&amp;" "&amp;'Compliance Database'!$L451&amp;" "&amp;'Compliance Database'!$M451&amp;" "&amp;'Compliance Database'!$N451&amp;" "&amp;'Compliance Database'!$O451)))),1,0)</f>
        <v/>
      </c>
      <c r="B451">
        <f>IF($A451=1,SUM($A$2:$A451),"")</f>
        <v/>
      </c>
      <c r="C451">
        <f>IF($A451=1,SUM($A$2:$A451),0)</f>
        <v/>
      </c>
    </row>
    <row r="452">
      <c r="A452">
        <f>IF(AND(OR('Compliance Database'!$A452='Data Transfer'!$B$4,'Compliance Database'!$A452='Data Transfer'!$B$5),OR('Data Transfer'!$B$6="",ISNUMBER(SEARCH('Data Transfer'!$B$6,'Compliance Database'!$D452&amp;" "&amp;'Compliance Database'!$L452&amp;" "&amp;'Compliance Database'!$M452&amp;" "&amp;'Compliance Database'!$N452&amp;" "&amp;'Compliance Database'!$O452)))),1,0)</f>
        <v/>
      </c>
      <c r="B452">
        <f>IF($A452=1,SUM($A$2:$A452),"")</f>
        <v/>
      </c>
      <c r="C452">
        <f>IF($A452=1,SUM($A$2:$A452),0)</f>
        <v/>
      </c>
    </row>
    <row r="453">
      <c r="A453">
        <f>IF(AND(OR('Compliance Database'!$A453='Data Transfer'!$B$4,'Compliance Database'!$A453='Data Transfer'!$B$5),OR('Data Transfer'!$B$6="",ISNUMBER(SEARCH('Data Transfer'!$B$6,'Compliance Database'!$D453&amp;" "&amp;'Compliance Database'!$L453&amp;" "&amp;'Compliance Database'!$M453&amp;" "&amp;'Compliance Database'!$N453&amp;" "&amp;'Compliance Database'!$O453)))),1,0)</f>
        <v/>
      </c>
      <c r="B453">
        <f>IF($A453=1,SUM($A$2:$A453),"")</f>
        <v/>
      </c>
      <c r="C453">
        <f>IF($A453=1,SUM($A$2:$A453),0)</f>
        <v/>
      </c>
    </row>
    <row r="454">
      <c r="A454">
        <f>IF(AND(OR('Compliance Database'!$A454='Data Transfer'!$B$4,'Compliance Database'!$A454='Data Transfer'!$B$5),OR('Data Transfer'!$B$6="",ISNUMBER(SEARCH('Data Transfer'!$B$6,'Compliance Database'!$D454&amp;" "&amp;'Compliance Database'!$L454&amp;" "&amp;'Compliance Database'!$M454&amp;" "&amp;'Compliance Database'!$N454&amp;" "&amp;'Compliance Database'!$O454)))),1,0)</f>
        <v/>
      </c>
      <c r="B454">
        <f>IF($A454=1,SUM($A$2:$A454),"")</f>
        <v/>
      </c>
      <c r="C454">
        <f>IF($A454=1,SUM($A$2:$A454),0)</f>
        <v/>
      </c>
    </row>
    <row r="455">
      <c r="A455">
        <f>IF(AND(OR('Compliance Database'!$A455='Data Transfer'!$B$4,'Compliance Database'!$A455='Data Transfer'!$B$5),OR('Data Transfer'!$B$6="",ISNUMBER(SEARCH('Data Transfer'!$B$6,'Compliance Database'!$D455&amp;" "&amp;'Compliance Database'!$L455&amp;" "&amp;'Compliance Database'!$M455&amp;" "&amp;'Compliance Database'!$N455&amp;" "&amp;'Compliance Database'!$O455)))),1,0)</f>
        <v/>
      </c>
      <c r="B455">
        <f>IF($A455=1,SUM($A$2:$A455),"")</f>
        <v/>
      </c>
      <c r="C455">
        <f>IF($A455=1,SUM($A$2:$A455),0)</f>
        <v/>
      </c>
    </row>
    <row r="456">
      <c r="A456">
        <f>IF(AND(OR('Compliance Database'!$A456='Data Transfer'!$B$4,'Compliance Database'!$A456='Data Transfer'!$B$5),OR('Data Transfer'!$B$6="",ISNUMBER(SEARCH('Data Transfer'!$B$6,'Compliance Database'!$D456&amp;" "&amp;'Compliance Database'!$L456&amp;" "&amp;'Compliance Database'!$M456&amp;" "&amp;'Compliance Database'!$N456&amp;" "&amp;'Compliance Database'!$O456)))),1,0)</f>
        <v/>
      </c>
      <c r="B456">
        <f>IF($A456=1,SUM($A$2:$A456),"")</f>
        <v/>
      </c>
      <c r="C456">
        <f>IF($A456=1,SUM($A$2:$A456),0)</f>
        <v/>
      </c>
    </row>
    <row r="457">
      <c r="A457">
        <f>IF(AND(OR('Compliance Database'!$A457='Data Transfer'!$B$4,'Compliance Database'!$A457='Data Transfer'!$B$5),OR('Data Transfer'!$B$6="",ISNUMBER(SEARCH('Data Transfer'!$B$6,'Compliance Database'!$D457&amp;" "&amp;'Compliance Database'!$L457&amp;" "&amp;'Compliance Database'!$M457&amp;" "&amp;'Compliance Database'!$N457&amp;" "&amp;'Compliance Database'!$O457)))),1,0)</f>
        <v/>
      </c>
      <c r="B457">
        <f>IF($A457=1,SUM($A$2:$A457),"")</f>
        <v/>
      </c>
      <c r="C457">
        <f>IF($A457=1,SUM($A$2:$A457),0)</f>
        <v/>
      </c>
    </row>
    <row r="458">
      <c r="A458">
        <f>IF(AND(OR('Compliance Database'!$A458='Data Transfer'!$B$4,'Compliance Database'!$A458='Data Transfer'!$B$5),OR('Data Transfer'!$B$6="",ISNUMBER(SEARCH('Data Transfer'!$B$6,'Compliance Database'!$D458&amp;" "&amp;'Compliance Database'!$L458&amp;" "&amp;'Compliance Database'!$M458&amp;" "&amp;'Compliance Database'!$N458&amp;" "&amp;'Compliance Database'!$O458)))),1,0)</f>
        <v/>
      </c>
      <c r="B458">
        <f>IF($A458=1,SUM($A$2:$A458),"")</f>
        <v/>
      </c>
      <c r="C458">
        <f>IF($A458=1,SUM($A$2:$A458),0)</f>
        <v/>
      </c>
    </row>
    <row r="459">
      <c r="A459">
        <f>IF(AND(OR('Compliance Database'!$A459='Data Transfer'!$B$4,'Compliance Database'!$A459='Data Transfer'!$B$5),OR('Data Transfer'!$B$6="",ISNUMBER(SEARCH('Data Transfer'!$B$6,'Compliance Database'!$D459&amp;" "&amp;'Compliance Database'!$L459&amp;" "&amp;'Compliance Database'!$M459&amp;" "&amp;'Compliance Database'!$N459&amp;" "&amp;'Compliance Database'!$O459)))),1,0)</f>
        <v/>
      </c>
      <c r="B459">
        <f>IF($A459=1,SUM($A$2:$A459),"")</f>
        <v/>
      </c>
      <c r="C459">
        <f>IF($A459=1,SUM($A$2:$A459),0)</f>
        <v/>
      </c>
    </row>
    <row r="460">
      <c r="A460">
        <f>IF(AND(OR('Compliance Database'!$A460='Data Transfer'!$B$4,'Compliance Database'!$A460='Data Transfer'!$B$5),OR('Data Transfer'!$B$6="",ISNUMBER(SEARCH('Data Transfer'!$B$6,'Compliance Database'!$D460&amp;" "&amp;'Compliance Database'!$L460&amp;" "&amp;'Compliance Database'!$M460&amp;" "&amp;'Compliance Database'!$N460&amp;" "&amp;'Compliance Database'!$O460)))),1,0)</f>
        <v/>
      </c>
      <c r="B460">
        <f>IF($A460=1,SUM($A$2:$A460),"")</f>
        <v/>
      </c>
      <c r="C460">
        <f>IF($A460=1,SUM($A$2:$A460),0)</f>
        <v/>
      </c>
    </row>
    <row r="461">
      <c r="A461">
        <f>IF(AND(OR('Compliance Database'!$A461='Data Transfer'!$B$4,'Compliance Database'!$A461='Data Transfer'!$B$5),OR('Data Transfer'!$B$6="",ISNUMBER(SEARCH('Data Transfer'!$B$6,'Compliance Database'!$D461&amp;" "&amp;'Compliance Database'!$L461&amp;" "&amp;'Compliance Database'!$M461&amp;" "&amp;'Compliance Database'!$N461&amp;" "&amp;'Compliance Database'!$O461)))),1,0)</f>
        <v/>
      </c>
      <c r="B461">
        <f>IF($A461=1,SUM($A$2:$A461),"")</f>
        <v/>
      </c>
      <c r="C461">
        <f>IF($A461=1,SUM($A$2:$A461),0)</f>
        <v/>
      </c>
    </row>
    <row r="462">
      <c r="A462">
        <f>IF(AND(OR('Compliance Database'!$A462='Data Transfer'!$B$4,'Compliance Database'!$A462='Data Transfer'!$B$5),OR('Data Transfer'!$B$6="",ISNUMBER(SEARCH('Data Transfer'!$B$6,'Compliance Database'!$D462&amp;" "&amp;'Compliance Database'!$L462&amp;" "&amp;'Compliance Database'!$M462&amp;" "&amp;'Compliance Database'!$N462&amp;" "&amp;'Compliance Database'!$O462)))),1,0)</f>
        <v/>
      </c>
      <c r="B462">
        <f>IF($A462=1,SUM($A$2:$A462),"")</f>
        <v/>
      </c>
      <c r="C462">
        <f>IF($A462=1,SUM($A$2:$A462),0)</f>
        <v/>
      </c>
    </row>
    <row r="463">
      <c r="A463">
        <f>IF(AND(OR('Compliance Database'!$A463='Data Transfer'!$B$4,'Compliance Database'!$A463='Data Transfer'!$B$5),OR('Data Transfer'!$B$6="",ISNUMBER(SEARCH('Data Transfer'!$B$6,'Compliance Database'!$D463&amp;" "&amp;'Compliance Database'!$L463&amp;" "&amp;'Compliance Database'!$M463&amp;" "&amp;'Compliance Database'!$N463&amp;" "&amp;'Compliance Database'!$O463)))),1,0)</f>
        <v/>
      </c>
      <c r="B463">
        <f>IF($A463=1,SUM($A$2:$A463),"")</f>
        <v/>
      </c>
      <c r="C463">
        <f>IF($A463=1,SUM($A$2:$A463),0)</f>
        <v/>
      </c>
    </row>
    <row r="464">
      <c r="A464">
        <f>IF(AND(OR('Compliance Database'!$A464='Data Transfer'!$B$4,'Compliance Database'!$A464='Data Transfer'!$B$5),OR('Data Transfer'!$B$6="",ISNUMBER(SEARCH('Data Transfer'!$B$6,'Compliance Database'!$D464&amp;" "&amp;'Compliance Database'!$L464&amp;" "&amp;'Compliance Database'!$M464&amp;" "&amp;'Compliance Database'!$N464&amp;" "&amp;'Compliance Database'!$O464)))),1,0)</f>
        <v/>
      </c>
      <c r="B464">
        <f>IF($A464=1,SUM($A$2:$A464),"")</f>
        <v/>
      </c>
      <c r="C464">
        <f>IF($A464=1,SUM($A$2:$A464),0)</f>
        <v/>
      </c>
    </row>
    <row r="465">
      <c r="A465">
        <f>IF(AND(OR('Compliance Database'!$A465='Data Transfer'!$B$4,'Compliance Database'!$A465='Data Transfer'!$B$5),OR('Data Transfer'!$B$6="",ISNUMBER(SEARCH('Data Transfer'!$B$6,'Compliance Database'!$D465&amp;" "&amp;'Compliance Database'!$L465&amp;" "&amp;'Compliance Database'!$M465&amp;" "&amp;'Compliance Database'!$N465&amp;" "&amp;'Compliance Database'!$O465)))),1,0)</f>
        <v/>
      </c>
      <c r="B465">
        <f>IF($A465=1,SUM($A$2:$A465),"")</f>
        <v/>
      </c>
      <c r="C465">
        <f>IF($A465=1,SUM($A$2:$A465),0)</f>
        <v/>
      </c>
    </row>
    <row r="466">
      <c r="A466">
        <f>IF(AND(OR('Compliance Database'!$A466='Data Transfer'!$B$4,'Compliance Database'!$A466='Data Transfer'!$B$5),OR('Data Transfer'!$B$6="",ISNUMBER(SEARCH('Data Transfer'!$B$6,'Compliance Database'!$D466&amp;" "&amp;'Compliance Database'!$L466&amp;" "&amp;'Compliance Database'!$M466&amp;" "&amp;'Compliance Database'!$N466&amp;" "&amp;'Compliance Database'!$O466)))),1,0)</f>
        <v/>
      </c>
      <c r="B466">
        <f>IF($A466=1,SUM($A$2:$A466),"")</f>
        <v/>
      </c>
      <c r="C466">
        <f>IF($A466=1,SUM($A$2:$A466),0)</f>
        <v/>
      </c>
    </row>
    <row r="467">
      <c r="A467">
        <f>IF(AND(OR('Compliance Database'!$A467='Data Transfer'!$B$4,'Compliance Database'!$A467='Data Transfer'!$B$5),OR('Data Transfer'!$B$6="",ISNUMBER(SEARCH('Data Transfer'!$B$6,'Compliance Database'!$D467&amp;" "&amp;'Compliance Database'!$L467&amp;" "&amp;'Compliance Database'!$M467&amp;" "&amp;'Compliance Database'!$N467&amp;" "&amp;'Compliance Database'!$O467)))),1,0)</f>
        <v/>
      </c>
      <c r="B467">
        <f>IF($A467=1,SUM($A$2:$A467),"")</f>
        <v/>
      </c>
      <c r="C467">
        <f>IF($A467=1,SUM($A$2:$A467),0)</f>
        <v/>
      </c>
    </row>
    <row r="468">
      <c r="A468">
        <f>IF(AND(OR('Compliance Database'!$A468='Data Transfer'!$B$4,'Compliance Database'!$A468='Data Transfer'!$B$5),OR('Data Transfer'!$B$6="",ISNUMBER(SEARCH('Data Transfer'!$B$6,'Compliance Database'!$D468&amp;" "&amp;'Compliance Database'!$L468&amp;" "&amp;'Compliance Database'!$M468&amp;" "&amp;'Compliance Database'!$N468&amp;" "&amp;'Compliance Database'!$O468)))),1,0)</f>
        <v/>
      </c>
      <c r="B468">
        <f>IF($A468=1,SUM($A$2:$A468),"")</f>
        <v/>
      </c>
      <c r="C468">
        <f>IF($A468=1,SUM($A$2:$A468),0)</f>
        <v/>
      </c>
    </row>
    <row r="469">
      <c r="A469">
        <f>IF(AND(OR('Compliance Database'!$A469='Data Transfer'!$B$4,'Compliance Database'!$A469='Data Transfer'!$B$5),OR('Data Transfer'!$B$6="",ISNUMBER(SEARCH('Data Transfer'!$B$6,'Compliance Database'!$D469&amp;" "&amp;'Compliance Database'!$L469&amp;" "&amp;'Compliance Database'!$M469&amp;" "&amp;'Compliance Database'!$N469&amp;" "&amp;'Compliance Database'!$O469)))),1,0)</f>
        <v/>
      </c>
      <c r="B469">
        <f>IF($A469=1,SUM($A$2:$A469),"")</f>
        <v/>
      </c>
      <c r="C469">
        <f>IF($A469=1,SUM($A$2:$A469),0)</f>
        <v/>
      </c>
    </row>
    <row r="470">
      <c r="A470">
        <f>IF(AND(OR('Compliance Database'!$A470='Data Transfer'!$B$4,'Compliance Database'!$A470='Data Transfer'!$B$5),OR('Data Transfer'!$B$6="",ISNUMBER(SEARCH('Data Transfer'!$B$6,'Compliance Database'!$D470&amp;" "&amp;'Compliance Database'!$L470&amp;" "&amp;'Compliance Database'!$M470&amp;" "&amp;'Compliance Database'!$N470&amp;" "&amp;'Compliance Database'!$O470)))),1,0)</f>
        <v/>
      </c>
      <c r="B470">
        <f>IF($A470=1,SUM($A$2:$A470),"")</f>
        <v/>
      </c>
      <c r="C470">
        <f>IF($A470=1,SUM($A$2:$A470),0)</f>
        <v/>
      </c>
    </row>
    <row r="471">
      <c r="A471">
        <f>IF(AND(OR('Compliance Database'!$A471='Data Transfer'!$B$4,'Compliance Database'!$A471='Data Transfer'!$B$5),OR('Data Transfer'!$B$6="",ISNUMBER(SEARCH('Data Transfer'!$B$6,'Compliance Database'!$D471&amp;" "&amp;'Compliance Database'!$L471&amp;" "&amp;'Compliance Database'!$M471&amp;" "&amp;'Compliance Database'!$N471&amp;" "&amp;'Compliance Database'!$O471)))),1,0)</f>
        <v/>
      </c>
      <c r="B471">
        <f>IF($A471=1,SUM($A$2:$A471),"")</f>
        <v/>
      </c>
      <c r="C471">
        <f>IF($A471=1,SUM($A$2:$A471),0)</f>
        <v/>
      </c>
    </row>
    <row r="472">
      <c r="A472">
        <f>IF(AND(OR('Compliance Database'!$A472='Data Transfer'!$B$4,'Compliance Database'!$A472='Data Transfer'!$B$5),OR('Data Transfer'!$B$6="",ISNUMBER(SEARCH('Data Transfer'!$B$6,'Compliance Database'!$D472&amp;" "&amp;'Compliance Database'!$L472&amp;" "&amp;'Compliance Database'!$M472&amp;" "&amp;'Compliance Database'!$N472&amp;" "&amp;'Compliance Database'!$O472)))),1,0)</f>
        <v/>
      </c>
      <c r="B472">
        <f>IF($A472=1,SUM($A$2:$A472),"")</f>
        <v/>
      </c>
      <c r="C472">
        <f>IF($A472=1,SUM($A$2:$A472),0)</f>
        <v/>
      </c>
    </row>
    <row r="473">
      <c r="A473">
        <f>IF(AND(OR('Compliance Database'!$A473='Data Transfer'!$B$4,'Compliance Database'!$A473='Data Transfer'!$B$5),OR('Data Transfer'!$B$6="",ISNUMBER(SEARCH('Data Transfer'!$B$6,'Compliance Database'!$D473&amp;" "&amp;'Compliance Database'!$L473&amp;" "&amp;'Compliance Database'!$M473&amp;" "&amp;'Compliance Database'!$N473&amp;" "&amp;'Compliance Database'!$O473)))),1,0)</f>
        <v/>
      </c>
      <c r="B473">
        <f>IF($A473=1,SUM($A$2:$A473),"")</f>
        <v/>
      </c>
      <c r="C473">
        <f>IF($A473=1,SUM($A$2:$A473),0)</f>
        <v/>
      </c>
    </row>
    <row r="474">
      <c r="A474">
        <f>IF(AND(OR('Compliance Database'!$A474='Data Transfer'!$B$4,'Compliance Database'!$A474='Data Transfer'!$B$5),OR('Data Transfer'!$B$6="",ISNUMBER(SEARCH('Data Transfer'!$B$6,'Compliance Database'!$D474&amp;" "&amp;'Compliance Database'!$L474&amp;" "&amp;'Compliance Database'!$M474&amp;" "&amp;'Compliance Database'!$N474&amp;" "&amp;'Compliance Database'!$O474)))),1,0)</f>
        <v/>
      </c>
      <c r="B474">
        <f>IF($A474=1,SUM($A$2:$A474),"")</f>
        <v/>
      </c>
      <c r="C474">
        <f>IF($A474=1,SUM($A$2:$A474),0)</f>
        <v/>
      </c>
    </row>
    <row r="475">
      <c r="A475">
        <f>IF(AND(OR('Compliance Database'!$A475='Data Transfer'!$B$4,'Compliance Database'!$A475='Data Transfer'!$B$5),OR('Data Transfer'!$B$6="",ISNUMBER(SEARCH('Data Transfer'!$B$6,'Compliance Database'!$D475&amp;" "&amp;'Compliance Database'!$L475&amp;" "&amp;'Compliance Database'!$M475&amp;" "&amp;'Compliance Database'!$N475&amp;" "&amp;'Compliance Database'!$O475)))),1,0)</f>
        <v/>
      </c>
      <c r="B475">
        <f>IF($A475=1,SUM($A$2:$A475),"")</f>
        <v/>
      </c>
      <c r="C475">
        <f>IF($A475=1,SUM($A$2:$A475),0)</f>
        <v/>
      </c>
    </row>
    <row r="476">
      <c r="A476">
        <f>IF(AND(OR('Compliance Database'!$A476='Data Transfer'!$B$4,'Compliance Database'!$A476='Data Transfer'!$B$5),OR('Data Transfer'!$B$6="",ISNUMBER(SEARCH('Data Transfer'!$B$6,'Compliance Database'!$D476&amp;" "&amp;'Compliance Database'!$L476&amp;" "&amp;'Compliance Database'!$M476&amp;" "&amp;'Compliance Database'!$N476&amp;" "&amp;'Compliance Database'!$O476)))),1,0)</f>
        <v/>
      </c>
      <c r="B476">
        <f>IF($A476=1,SUM($A$2:$A476),"")</f>
        <v/>
      </c>
      <c r="C476">
        <f>IF($A476=1,SUM($A$2:$A476),0)</f>
        <v/>
      </c>
    </row>
    <row r="477">
      <c r="A477">
        <f>IF(AND(OR('Compliance Database'!$A477='Data Transfer'!$B$4,'Compliance Database'!$A477='Data Transfer'!$B$5),OR('Data Transfer'!$B$6="",ISNUMBER(SEARCH('Data Transfer'!$B$6,'Compliance Database'!$D477&amp;" "&amp;'Compliance Database'!$L477&amp;" "&amp;'Compliance Database'!$M477&amp;" "&amp;'Compliance Database'!$N477&amp;" "&amp;'Compliance Database'!$O477)))),1,0)</f>
        <v/>
      </c>
      <c r="B477">
        <f>IF($A477=1,SUM($A$2:$A477),"")</f>
        <v/>
      </c>
      <c r="C477">
        <f>IF($A477=1,SUM($A$2:$A477),0)</f>
        <v/>
      </c>
    </row>
    <row r="478">
      <c r="A478">
        <f>IF(AND(OR('Compliance Database'!$A478='Data Transfer'!$B$4,'Compliance Database'!$A478='Data Transfer'!$B$5),OR('Data Transfer'!$B$6="",ISNUMBER(SEARCH('Data Transfer'!$B$6,'Compliance Database'!$D478&amp;" "&amp;'Compliance Database'!$L478&amp;" "&amp;'Compliance Database'!$M478&amp;" "&amp;'Compliance Database'!$N478&amp;" "&amp;'Compliance Database'!$O478)))),1,0)</f>
        <v/>
      </c>
      <c r="B478">
        <f>IF($A478=1,SUM($A$2:$A478),"")</f>
        <v/>
      </c>
      <c r="C478">
        <f>IF($A478=1,SUM($A$2:$A478),0)</f>
        <v/>
      </c>
    </row>
    <row r="479">
      <c r="A479">
        <f>IF(AND(OR('Compliance Database'!$A479='Data Transfer'!$B$4,'Compliance Database'!$A479='Data Transfer'!$B$5),OR('Data Transfer'!$B$6="",ISNUMBER(SEARCH('Data Transfer'!$B$6,'Compliance Database'!$D479&amp;" "&amp;'Compliance Database'!$L479&amp;" "&amp;'Compliance Database'!$M479&amp;" "&amp;'Compliance Database'!$N479&amp;" "&amp;'Compliance Database'!$O479)))),1,0)</f>
        <v/>
      </c>
      <c r="B479">
        <f>IF($A479=1,SUM($A$2:$A479),"")</f>
        <v/>
      </c>
      <c r="C479">
        <f>IF($A479=1,SUM($A$2:$A479),0)</f>
        <v/>
      </c>
    </row>
    <row r="480">
      <c r="A480">
        <f>IF(AND(OR('Compliance Database'!$A480='Data Transfer'!$B$4,'Compliance Database'!$A480='Data Transfer'!$B$5),OR('Data Transfer'!$B$6="",ISNUMBER(SEARCH('Data Transfer'!$B$6,'Compliance Database'!$D480&amp;" "&amp;'Compliance Database'!$L480&amp;" "&amp;'Compliance Database'!$M480&amp;" "&amp;'Compliance Database'!$N480&amp;" "&amp;'Compliance Database'!$O480)))),1,0)</f>
        <v/>
      </c>
      <c r="B480">
        <f>IF($A480=1,SUM($A$2:$A480),"")</f>
        <v/>
      </c>
      <c r="C480">
        <f>IF($A480=1,SUM($A$2:$A480),0)</f>
        <v/>
      </c>
    </row>
    <row r="481">
      <c r="A481">
        <f>IF(AND(OR('Compliance Database'!$A481='Data Transfer'!$B$4,'Compliance Database'!$A481='Data Transfer'!$B$5),OR('Data Transfer'!$B$6="",ISNUMBER(SEARCH('Data Transfer'!$B$6,'Compliance Database'!$D481&amp;" "&amp;'Compliance Database'!$L481&amp;" "&amp;'Compliance Database'!$M481&amp;" "&amp;'Compliance Database'!$N481&amp;" "&amp;'Compliance Database'!$O481)))),1,0)</f>
        <v/>
      </c>
      <c r="B481">
        <f>IF($A481=1,SUM($A$2:$A481),"")</f>
        <v/>
      </c>
      <c r="C481">
        <f>IF($A481=1,SUM($A$2:$A481),0)</f>
        <v/>
      </c>
    </row>
    <row r="482">
      <c r="A482">
        <f>IF(AND(OR('Compliance Database'!$A482='Data Transfer'!$B$4,'Compliance Database'!$A482='Data Transfer'!$B$5),OR('Data Transfer'!$B$6="",ISNUMBER(SEARCH('Data Transfer'!$B$6,'Compliance Database'!$D482&amp;" "&amp;'Compliance Database'!$L482&amp;" "&amp;'Compliance Database'!$M482&amp;" "&amp;'Compliance Database'!$N482&amp;" "&amp;'Compliance Database'!$O482)))),1,0)</f>
        <v/>
      </c>
      <c r="B482">
        <f>IF($A482=1,SUM($A$2:$A482),"")</f>
        <v/>
      </c>
      <c r="C482">
        <f>IF($A482=1,SUM($A$2:$A482),0)</f>
        <v/>
      </c>
    </row>
    <row r="483">
      <c r="A483">
        <f>IF(AND(OR('Compliance Database'!$A483='Data Transfer'!$B$4,'Compliance Database'!$A483='Data Transfer'!$B$5),OR('Data Transfer'!$B$6="",ISNUMBER(SEARCH('Data Transfer'!$B$6,'Compliance Database'!$D483&amp;" "&amp;'Compliance Database'!$L483&amp;" "&amp;'Compliance Database'!$M483&amp;" "&amp;'Compliance Database'!$N483&amp;" "&amp;'Compliance Database'!$O483)))),1,0)</f>
        <v/>
      </c>
      <c r="B483">
        <f>IF($A483=1,SUM($A$2:$A483),"")</f>
        <v/>
      </c>
      <c r="C483">
        <f>IF($A483=1,SUM($A$2:$A483),0)</f>
        <v/>
      </c>
    </row>
    <row r="484">
      <c r="A484">
        <f>IF(AND(OR('Compliance Database'!$A484='Data Transfer'!$B$4,'Compliance Database'!$A484='Data Transfer'!$B$5),OR('Data Transfer'!$B$6="",ISNUMBER(SEARCH('Data Transfer'!$B$6,'Compliance Database'!$D484&amp;" "&amp;'Compliance Database'!$L484&amp;" "&amp;'Compliance Database'!$M484&amp;" "&amp;'Compliance Database'!$N484&amp;" "&amp;'Compliance Database'!$O484)))),1,0)</f>
        <v/>
      </c>
      <c r="B484">
        <f>IF($A484=1,SUM($A$2:$A484),"")</f>
        <v/>
      </c>
      <c r="C484">
        <f>IF($A484=1,SUM($A$2:$A484),0)</f>
        <v/>
      </c>
    </row>
    <row r="485">
      <c r="A485">
        <f>IF(AND(OR('Compliance Database'!$A485='Data Transfer'!$B$4,'Compliance Database'!$A485='Data Transfer'!$B$5),OR('Data Transfer'!$B$6="",ISNUMBER(SEARCH('Data Transfer'!$B$6,'Compliance Database'!$D485&amp;" "&amp;'Compliance Database'!$L485&amp;" "&amp;'Compliance Database'!$M485&amp;" "&amp;'Compliance Database'!$N485&amp;" "&amp;'Compliance Database'!$O485)))),1,0)</f>
        <v/>
      </c>
      <c r="B485">
        <f>IF($A485=1,SUM($A$2:$A485),"")</f>
        <v/>
      </c>
      <c r="C485">
        <f>IF($A485=1,SUM($A$2:$A485),0)</f>
        <v/>
      </c>
    </row>
    <row r="486">
      <c r="A486">
        <f>IF(AND(OR('Compliance Database'!$A486='Data Transfer'!$B$4,'Compliance Database'!$A486='Data Transfer'!$B$5),OR('Data Transfer'!$B$6="",ISNUMBER(SEARCH('Data Transfer'!$B$6,'Compliance Database'!$D486&amp;" "&amp;'Compliance Database'!$L486&amp;" "&amp;'Compliance Database'!$M486&amp;" "&amp;'Compliance Database'!$N486&amp;" "&amp;'Compliance Database'!$O486)))),1,0)</f>
        <v/>
      </c>
      <c r="B486">
        <f>IF($A486=1,SUM($A$2:$A486),"")</f>
        <v/>
      </c>
      <c r="C486">
        <f>IF($A486=1,SUM($A$2:$A486),0)</f>
        <v/>
      </c>
    </row>
    <row r="487">
      <c r="A487">
        <f>IF(AND(OR('Compliance Database'!$A487='Data Transfer'!$B$4,'Compliance Database'!$A487='Data Transfer'!$B$5),OR('Data Transfer'!$B$6="",ISNUMBER(SEARCH('Data Transfer'!$B$6,'Compliance Database'!$D487&amp;" "&amp;'Compliance Database'!$L487&amp;" "&amp;'Compliance Database'!$M487&amp;" "&amp;'Compliance Database'!$N487&amp;" "&amp;'Compliance Database'!$O487)))),1,0)</f>
        <v/>
      </c>
      <c r="B487">
        <f>IF($A487=1,SUM($A$2:$A487),"")</f>
        <v/>
      </c>
      <c r="C487">
        <f>IF($A487=1,SUM($A$2:$A487),0)</f>
        <v/>
      </c>
    </row>
    <row r="488">
      <c r="A488">
        <f>IF(AND(OR('Compliance Database'!$A488='Data Transfer'!$B$4,'Compliance Database'!$A488='Data Transfer'!$B$5),OR('Data Transfer'!$B$6="",ISNUMBER(SEARCH('Data Transfer'!$B$6,'Compliance Database'!$D488&amp;" "&amp;'Compliance Database'!$L488&amp;" "&amp;'Compliance Database'!$M488&amp;" "&amp;'Compliance Database'!$N488&amp;" "&amp;'Compliance Database'!$O488)))),1,0)</f>
        <v/>
      </c>
      <c r="B488">
        <f>IF($A488=1,SUM($A$2:$A488),"")</f>
        <v/>
      </c>
      <c r="C488">
        <f>IF($A488=1,SUM($A$2:$A488),0)</f>
        <v/>
      </c>
    </row>
    <row r="489">
      <c r="A489">
        <f>IF(AND(OR('Compliance Database'!$A489='Data Transfer'!$B$4,'Compliance Database'!$A489='Data Transfer'!$B$5),OR('Data Transfer'!$B$6="",ISNUMBER(SEARCH('Data Transfer'!$B$6,'Compliance Database'!$D489&amp;" "&amp;'Compliance Database'!$L489&amp;" "&amp;'Compliance Database'!$M489&amp;" "&amp;'Compliance Database'!$N489&amp;" "&amp;'Compliance Database'!$O489)))),1,0)</f>
        <v/>
      </c>
      <c r="B489">
        <f>IF($A489=1,SUM($A$2:$A489),"")</f>
        <v/>
      </c>
      <c r="C489">
        <f>IF($A489=1,SUM($A$2:$A489),0)</f>
        <v/>
      </c>
    </row>
    <row r="490">
      <c r="A490">
        <f>IF(AND(OR('Compliance Database'!$A490='Data Transfer'!$B$4,'Compliance Database'!$A490='Data Transfer'!$B$5),OR('Data Transfer'!$B$6="",ISNUMBER(SEARCH('Data Transfer'!$B$6,'Compliance Database'!$D490&amp;" "&amp;'Compliance Database'!$L490&amp;" "&amp;'Compliance Database'!$M490&amp;" "&amp;'Compliance Database'!$N490&amp;" "&amp;'Compliance Database'!$O490)))),1,0)</f>
        <v/>
      </c>
      <c r="B490">
        <f>IF($A490=1,SUM($A$2:$A490),"")</f>
        <v/>
      </c>
      <c r="C490">
        <f>IF($A490=1,SUM($A$2:$A490),0)</f>
        <v/>
      </c>
    </row>
    <row r="491">
      <c r="A491">
        <f>IF(AND(OR('Compliance Database'!$A491='Data Transfer'!$B$4,'Compliance Database'!$A491='Data Transfer'!$B$5),OR('Data Transfer'!$B$6="",ISNUMBER(SEARCH('Data Transfer'!$B$6,'Compliance Database'!$D491&amp;" "&amp;'Compliance Database'!$L491&amp;" "&amp;'Compliance Database'!$M491&amp;" "&amp;'Compliance Database'!$N491&amp;" "&amp;'Compliance Database'!$O491)))),1,0)</f>
        <v/>
      </c>
      <c r="B491">
        <f>IF($A491=1,SUM($A$2:$A491),"")</f>
        <v/>
      </c>
      <c r="C491">
        <f>IF($A491=1,SUM($A$2:$A491),0)</f>
        <v/>
      </c>
    </row>
    <row r="492">
      <c r="A492">
        <f>IF(AND(OR('Compliance Database'!$A492='Data Transfer'!$B$4,'Compliance Database'!$A492='Data Transfer'!$B$5),OR('Data Transfer'!$B$6="",ISNUMBER(SEARCH('Data Transfer'!$B$6,'Compliance Database'!$D492&amp;" "&amp;'Compliance Database'!$L492&amp;" "&amp;'Compliance Database'!$M492&amp;" "&amp;'Compliance Database'!$N492&amp;" "&amp;'Compliance Database'!$O492)))),1,0)</f>
        <v/>
      </c>
      <c r="B492">
        <f>IF($A492=1,SUM($A$2:$A492),"")</f>
        <v/>
      </c>
      <c r="C492">
        <f>IF($A492=1,SUM($A$2:$A492),0)</f>
        <v/>
      </c>
    </row>
    <row r="493">
      <c r="A493">
        <f>IF(AND(OR('Compliance Database'!$A493='Data Transfer'!$B$4,'Compliance Database'!$A493='Data Transfer'!$B$5),OR('Data Transfer'!$B$6="",ISNUMBER(SEARCH('Data Transfer'!$B$6,'Compliance Database'!$D493&amp;" "&amp;'Compliance Database'!$L493&amp;" "&amp;'Compliance Database'!$M493&amp;" "&amp;'Compliance Database'!$N493&amp;" "&amp;'Compliance Database'!$O493)))),1,0)</f>
        <v/>
      </c>
      <c r="B493">
        <f>IF($A493=1,SUM($A$2:$A493),"")</f>
        <v/>
      </c>
      <c r="C493">
        <f>IF($A493=1,SUM($A$2:$A493),0)</f>
        <v/>
      </c>
    </row>
    <row r="494">
      <c r="A494">
        <f>IF(AND(OR('Compliance Database'!$A494='Data Transfer'!$B$4,'Compliance Database'!$A494='Data Transfer'!$B$5),OR('Data Transfer'!$B$6="",ISNUMBER(SEARCH('Data Transfer'!$B$6,'Compliance Database'!$D494&amp;" "&amp;'Compliance Database'!$L494&amp;" "&amp;'Compliance Database'!$M494&amp;" "&amp;'Compliance Database'!$N494&amp;" "&amp;'Compliance Database'!$O494)))),1,0)</f>
        <v/>
      </c>
      <c r="B494">
        <f>IF($A494=1,SUM($A$2:$A494),"")</f>
        <v/>
      </c>
      <c r="C494">
        <f>IF($A494=1,SUM($A$2:$A494),0)</f>
        <v/>
      </c>
    </row>
    <row r="495">
      <c r="A495">
        <f>IF(AND(OR('Compliance Database'!$A495='Data Transfer'!$B$4,'Compliance Database'!$A495='Data Transfer'!$B$5),OR('Data Transfer'!$B$6="",ISNUMBER(SEARCH('Data Transfer'!$B$6,'Compliance Database'!$D495&amp;" "&amp;'Compliance Database'!$L495&amp;" "&amp;'Compliance Database'!$M495&amp;" "&amp;'Compliance Database'!$N495&amp;" "&amp;'Compliance Database'!$O495)))),1,0)</f>
        <v/>
      </c>
      <c r="B495">
        <f>IF($A495=1,SUM($A$2:$A495),"")</f>
        <v/>
      </c>
      <c r="C495">
        <f>IF($A495=1,SUM($A$2:$A495),0)</f>
        <v/>
      </c>
    </row>
    <row r="496">
      <c r="A496">
        <f>IF(AND(OR('Compliance Database'!$A496='Data Transfer'!$B$4,'Compliance Database'!$A496='Data Transfer'!$B$5),OR('Data Transfer'!$B$6="",ISNUMBER(SEARCH('Data Transfer'!$B$6,'Compliance Database'!$D496&amp;" "&amp;'Compliance Database'!$L496&amp;" "&amp;'Compliance Database'!$M496&amp;" "&amp;'Compliance Database'!$N496&amp;" "&amp;'Compliance Database'!$O496)))),1,0)</f>
        <v/>
      </c>
      <c r="B496">
        <f>IF($A496=1,SUM($A$2:$A496),"")</f>
        <v/>
      </c>
      <c r="C496">
        <f>IF($A496=1,SUM($A$2:$A496),0)</f>
        <v/>
      </c>
    </row>
    <row r="497">
      <c r="A497">
        <f>IF(AND(OR('Compliance Database'!$A497='Data Transfer'!$B$4,'Compliance Database'!$A497='Data Transfer'!$B$5),OR('Data Transfer'!$B$6="",ISNUMBER(SEARCH('Data Transfer'!$B$6,'Compliance Database'!$D497&amp;" "&amp;'Compliance Database'!$L497&amp;" "&amp;'Compliance Database'!$M497&amp;" "&amp;'Compliance Database'!$N497&amp;" "&amp;'Compliance Database'!$O497)))),1,0)</f>
        <v/>
      </c>
      <c r="B497">
        <f>IF($A497=1,SUM($A$2:$A497),"")</f>
        <v/>
      </c>
      <c r="C497">
        <f>IF($A497=1,SUM($A$2:$A497),0)</f>
        <v/>
      </c>
    </row>
    <row r="498">
      <c r="A498">
        <f>IF(AND(OR('Compliance Database'!$A498='Data Transfer'!$B$4,'Compliance Database'!$A498='Data Transfer'!$B$5),OR('Data Transfer'!$B$6="",ISNUMBER(SEARCH('Data Transfer'!$B$6,'Compliance Database'!$D498&amp;" "&amp;'Compliance Database'!$L498&amp;" "&amp;'Compliance Database'!$M498&amp;" "&amp;'Compliance Database'!$N498&amp;" "&amp;'Compliance Database'!$O498)))),1,0)</f>
        <v/>
      </c>
      <c r="B498">
        <f>IF($A498=1,SUM($A$2:$A498),"")</f>
        <v/>
      </c>
      <c r="C498">
        <f>IF($A498=1,SUM($A$2:$A498),0)</f>
        <v/>
      </c>
    </row>
    <row r="499">
      <c r="A499">
        <f>IF(AND(OR('Compliance Database'!$A499='Data Transfer'!$B$4,'Compliance Database'!$A499='Data Transfer'!$B$5),OR('Data Transfer'!$B$6="",ISNUMBER(SEARCH('Data Transfer'!$B$6,'Compliance Database'!$D499&amp;" "&amp;'Compliance Database'!$L499&amp;" "&amp;'Compliance Database'!$M499&amp;" "&amp;'Compliance Database'!$N499&amp;" "&amp;'Compliance Database'!$O499)))),1,0)</f>
        <v/>
      </c>
      <c r="B499">
        <f>IF($A499=1,SUM($A$2:$A499),"")</f>
        <v/>
      </c>
      <c r="C499">
        <f>IF($A499=1,SUM($A$2:$A499),0)</f>
        <v/>
      </c>
    </row>
    <row r="500">
      <c r="A500">
        <f>IF(AND(OR('Compliance Database'!$A500='Data Transfer'!$B$4,'Compliance Database'!$A500='Data Transfer'!$B$5),OR('Data Transfer'!$B$6="",ISNUMBER(SEARCH('Data Transfer'!$B$6,'Compliance Database'!$D500&amp;" "&amp;'Compliance Database'!$L500&amp;" "&amp;'Compliance Database'!$M500&amp;" "&amp;'Compliance Database'!$N500&amp;" "&amp;'Compliance Database'!$O500)))),1,0)</f>
        <v/>
      </c>
      <c r="B500">
        <f>IF($A500=1,SUM($A$2:$A500),"")</f>
        <v/>
      </c>
      <c r="C500">
        <f>IF($A500=1,SUM($A$2:$A500),0)</f>
        <v/>
      </c>
    </row>
    <row r="501">
      <c r="A501">
        <f>IF(AND(OR('Compliance Database'!$A501='Data Transfer'!$B$4,'Compliance Database'!$A501='Data Transfer'!$B$5),OR('Data Transfer'!$B$6="",ISNUMBER(SEARCH('Data Transfer'!$B$6,'Compliance Database'!$D501&amp;" "&amp;'Compliance Database'!$L501&amp;" "&amp;'Compliance Database'!$M501&amp;" "&amp;'Compliance Database'!$N501&amp;" "&amp;'Compliance Database'!$O501)))),1,0)</f>
        <v/>
      </c>
      <c r="B501">
        <f>IF($A501=1,SUM($A$2:$A501),"")</f>
        <v/>
      </c>
      <c r="C501">
        <f>IF($A501=1,SUM($A$2:$A501),0)</f>
        <v/>
      </c>
    </row>
    <row r="502">
      <c r="A502">
        <f>IF(AND(OR('Compliance Database'!$A502='Data Transfer'!$B$4,'Compliance Database'!$A502='Data Transfer'!$B$5),OR('Data Transfer'!$B$6="",ISNUMBER(SEARCH('Data Transfer'!$B$6,'Compliance Database'!$D502&amp;" "&amp;'Compliance Database'!$L502&amp;" "&amp;'Compliance Database'!$M502&amp;" "&amp;'Compliance Database'!$N502&amp;" "&amp;'Compliance Database'!$O502)))),1,0)</f>
        <v/>
      </c>
      <c r="B502">
        <f>IF($A502=1,SUM($A$2:$A502),"")</f>
        <v/>
      </c>
      <c r="C502">
        <f>IF($A502=1,SUM($A$2:$A502),0)</f>
        <v/>
      </c>
    </row>
    <row r="503">
      <c r="A503">
        <f>IF(AND(OR('Compliance Database'!$A503='Data Transfer'!$B$4,'Compliance Database'!$A503='Data Transfer'!$B$5),OR('Data Transfer'!$B$6="",ISNUMBER(SEARCH('Data Transfer'!$B$6,'Compliance Database'!$D503&amp;" "&amp;'Compliance Database'!$L503&amp;" "&amp;'Compliance Database'!$M503&amp;" "&amp;'Compliance Database'!$N503&amp;" "&amp;'Compliance Database'!$O503)))),1,0)</f>
        <v/>
      </c>
      <c r="B503">
        <f>IF($A503=1,SUM($A$2:$A503),"")</f>
        <v/>
      </c>
      <c r="C503">
        <f>IF($A503=1,SUM($A$2:$A503),0)</f>
        <v/>
      </c>
    </row>
    <row r="504">
      <c r="A504">
        <f>IF(AND(OR('Compliance Database'!$A504='Data Transfer'!$B$4,'Compliance Database'!$A504='Data Transfer'!$B$5),OR('Data Transfer'!$B$6="",ISNUMBER(SEARCH('Data Transfer'!$B$6,'Compliance Database'!$D504&amp;" "&amp;'Compliance Database'!$L504&amp;" "&amp;'Compliance Database'!$M504&amp;" "&amp;'Compliance Database'!$N504&amp;" "&amp;'Compliance Database'!$O504)))),1,0)</f>
        <v/>
      </c>
      <c r="B504">
        <f>IF($A504=1,SUM($A$2:$A504),"")</f>
        <v/>
      </c>
      <c r="C504">
        <f>IF($A504=1,SUM($A$2:$A504),0)</f>
        <v/>
      </c>
    </row>
    <row r="505">
      <c r="A505">
        <f>IF(AND(OR('Compliance Database'!$A505='Data Transfer'!$B$4,'Compliance Database'!$A505='Data Transfer'!$B$5),OR('Data Transfer'!$B$6="",ISNUMBER(SEARCH('Data Transfer'!$B$6,'Compliance Database'!$D505&amp;" "&amp;'Compliance Database'!$L505&amp;" "&amp;'Compliance Database'!$M505&amp;" "&amp;'Compliance Database'!$N505&amp;" "&amp;'Compliance Database'!$O505)))),1,0)</f>
        <v/>
      </c>
      <c r="B505">
        <f>IF($A505=1,SUM($A$2:$A505),"")</f>
        <v/>
      </c>
      <c r="C505">
        <f>IF($A505=1,SUM($A$2:$A505),0)</f>
        <v/>
      </c>
    </row>
    <row r="506">
      <c r="A506">
        <f>IF(AND(OR('Compliance Database'!$A506='Data Transfer'!$B$4,'Compliance Database'!$A506='Data Transfer'!$B$5),OR('Data Transfer'!$B$6="",ISNUMBER(SEARCH('Data Transfer'!$B$6,'Compliance Database'!$D506&amp;" "&amp;'Compliance Database'!$L506&amp;" "&amp;'Compliance Database'!$M506&amp;" "&amp;'Compliance Database'!$N506&amp;" "&amp;'Compliance Database'!$O506)))),1,0)</f>
        <v/>
      </c>
      <c r="B506">
        <f>IF($A506=1,SUM($A$2:$A506),"")</f>
        <v/>
      </c>
      <c r="C506">
        <f>IF($A506=1,SUM($A$2:$A506),0)</f>
        <v/>
      </c>
    </row>
    <row r="507">
      <c r="A507">
        <f>IF(AND(OR('Compliance Database'!$A507='Data Transfer'!$B$4,'Compliance Database'!$A507='Data Transfer'!$B$5),OR('Data Transfer'!$B$6="",ISNUMBER(SEARCH('Data Transfer'!$B$6,'Compliance Database'!$D507&amp;" "&amp;'Compliance Database'!$L507&amp;" "&amp;'Compliance Database'!$M507&amp;" "&amp;'Compliance Database'!$N507&amp;" "&amp;'Compliance Database'!$O507)))),1,0)</f>
        <v/>
      </c>
      <c r="B507">
        <f>IF($A507=1,SUM($A$2:$A507),"")</f>
        <v/>
      </c>
      <c r="C507">
        <f>IF($A507=1,SUM($A$2:$A507),0)</f>
        <v/>
      </c>
    </row>
    <row r="508">
      <c r="A508">
        <f>IF(AND(OR('Compliance Database'!$A508='Data Transfer'!$B$4,'Compliance Database'!$A508='Data Transfer'!$B$5),OR('Data Transfer'!$B$6="",ISNUMBER(SEARCH('Data Transfer'!$B$6,'Compliance Database'!$D508&amp;" "&amp;'Compliance Database'!$L508&amp;" "&amp;'Compliance Database'!$M508&amp;" "&amp;'Compliance Database'!$N508&amp;" "&amp;'Compliance Database'!$O508)))),1,0)</f>
        <v/>
      </c>
      <c r="B508">
        <f>IF($A508=1,SUM($A$2:$A508),"")</f>
        <v/>
      </c>
      <c r="C508">
        <f>IF($A508=1,SUM($A$2:$A508),0)</f>
        <v/>
      </c>
    </row>
    <row r="509">
      <c r="A509">
        <f>IF(AND(OR('Compliance Database'!$A509='Data Transfer'!$B$4,'Compliance Database'!$A509='Data Transfer'!$B$5),OR('Data Transfer'!$B$6="",ISNUMBER(SEARCH('Data Transfer'!$B$6,'Compliance Database'!$D509&amp;" "&amp;'Compliance Database'!$L509&amp;" "&amp;'Compliance Database'!$M509&amp;" "&amp;'Compliance Database'!$N509&amp;" "&amp;'Compliance Database'!$O509)))),1,0)</f>
        <v/>
      </c>
      <c r="B509">
        <f>IF($A509=1,SUM($A$2:$A509),"")</f>
        <v/>
      </c>
      <c r="C509">
        <f>IF($A509=1,SUM($A$2:$A509),0)</f>
        <v/>
      </c>
    </row>
    <row r="510">
      <c r="A510">
        <f>IF(AND(OR('Compliance Database'!$A510='Data Transfer'!$B$4,'Compliance Database'!$A510='Data Transfer'!$B$5),OR('Data Transfer'!$B$6="",ISNUMBER(SEARCH('Data Transfer'!$B$6,'Compliance Database'!$D510&amp;" "&amp;'Compliance Database'!$L510&amp;" "&amp;'Compliance Database'!$M510&amp;" "&amp;'Compliance Database'!$N510&amp;" "&amp;'Compliance Database'!$O510)))),1,0)</f>
        <v/>
      </c>
      <c r="B510">
        <f>IF($A510=1,SUM($A$2:$A510),"")</f>
        <v/>
      </c>
      <c r="C510">
        <f>IF($A510=1,SUM($A$2:$A510),0)</f>
        <v/>
      </c>
    </row>
    <row r="511">
      <c r="A511">
        <f>IF(AND(OR('Compliance Database'!$A511='Data Transfer'!$B$4,'Compliance Database'!$A511='Data Transfer'!$B$5),OR('Data Transfer'!$B$6="",ISNUMBER(SEARCH('Data Transfer'!$B$6,'Compliance Database'!$D511&amp;" "&amp;'Compliance Database'!$L511&amp;" "&amp;'Compliance Database'!$M511&amp;" "&amp;'Compliance Database'!$N511&amp;" "&amp;'Compliance Database'!$O511)))),1,0)</f>
        <v/>
      </c>
      <c r="B511">
        <f>IF($A511=1,SUM($A$2:$A511),"")</f>
        <v/>
      </c>
      <c r="C511">
        <f>IF($A511=1,SUM($A$2:$A511),0)</f>
        <v/>
      </c>
    </row>
    <row r="512">
      <c r="A512">
        <f>IF(AND(OR('Compliance Database'!$A512='Data Transfer'!$B$4,'Compliance Database'!$A512='Data Transfer'!$B$5),OR('Data Transfer'!$B$6="",ISNUMBER(SEARCH('Data Transfer'!$B$6,'Compliance Database'!$D512&amp;" "&amp;'Compliance Database'!$L512&amp;" "&amp;'Compliance Database'!$M512&amp;" "&amp;'Compliance Database'!$N512&amp;" "&amp;'Compliance Database'!$O512)))),1,0)</f>
        <v/>
      </c>
      <c r="B512">
        <f>IF($A512=1,SUM($A$2:$A512),"")</f>
        <v/>
      </c>
      <c r="C512">
        <f>IF($A512=1,SUM($A$2:$A512),0)</f>
        <v/>
      </c>
    </row>
    <row r="513">
      <c r="A513">
        <f>IF(AND(OR('Compliance Database'!$A513='Data Transfer'!$B$4,'Compliance Database'!$A513='Data Transfer'!$B$5),OR('Data Transfer'!$B$6="",ISNUMBER(SEARCH('Data Transfer'!$B$6,'Compliance Database'!$D513&amp;" "&amp;'Compliance Database'!$L513&amp;" "&amp;'Compliance Database'!$M513&amp;" "&amp;'Compliance Database'!$N513&amp;" "&amp;'Compliance Database'!$O513)))),1,0)</f>
        <v/>
      </c>
      <c r="B513">
        <f>IF($A513=1,SUM($A$2:$A513),"")</f>
        <v/>
      </c>
      <c r="C513">
        <f>IF($A513=1,SUM($A$2:$A513),0)</f>
        <v/>
      </c>
    </row>
    <row r="514">
      <c r="A514">
        <f>IF(AND(OR('Compliance Database'!$A514='Data Transfer'!$B$4,'Compliance Database'!$A514='Data Transfer'!$B$5),OR('Data Transfer'!$B$6="",ISNUMBER(SEARCH('Data Transfer'!$B$6,'Compliance Database'!$D514&amp;" "&amp;'Compliance Database'!$L514&amp;" "&amp;'Compliance Database'!$M514&amp;" "&amp;'Compliance Database'!$N514&amp;" "&amp;'Compliance Database'!$O514)))),1,0)</f>
        <v/>
      </c>
      <c r="B514">
        <f>IF($A514=1,SUM($A$2:$A514),"")</f>
        <v/>
      </c>
      <c r="C514">
        <f>IF($A514=1,SUM($A$2:$A514),0)</f>
        <v/>
      </c>
    </row>
    <row r="515">
      <c r="A515">
        <f>IF(AND(OR('Compliance Database'!$A515='Data Transfer'!$B$4,'Compliance Database'!$A515='Data Transfer'!$B$5),OR('Data Transfer'!$B$6="",ISNUMBER(SEARCH('Data Transfer'!$B$6,'Compliance Database'!$D515&amp;" "&amp;'Compliance Database'!$L515&amp;" "&amp;'Compliance Database'!$M515&amp;" "&amp;'Compliance Database'!$N515&amp;" "&amp;'Compliance Database'!$O515)))),1,0)</f>
        <v/>
      </c>
      <c r="B515">
        <f>IF($A515=1,SUM($A$2:$A515),"")</f>
        <v/>
      </c>
      <c r="C515">
        <f>IF($A515=1,SUM($A$2:$A515),0)</f>
        <v/>
      </c>
    </row>
    <row r="516">
      <c r="A516">
        <f>IF(AND(OR('Compliance Database'!$A516='Data Transfer'!$B$4,'Compliance Database'!$A516='Data Transfer'!$B$5),OR('Data Transfer'!$B$6="",ISNUMBER(SEARCH('Data Transfer'!$B$6,'Compliance Database'!$D516&amp;" "&amp;'Compliance Database'!$L516&amp;" "&amp;'Compliance Database'!$M516&amp;" "&amp;'Compliance Database'!$N516&amp;" "&amp;'Compliance Database'!$O516)))),1,0)</f>
        <v/>
      </c>
      <c r="B516">
        <f>IF($A516=1,SUM($A$2:$A516),"")</f>
        <v/>
      </c>
      <c r="C516">
        <f>IF($A516=1,SUM($A$2:$A516),0)</f>
        <v/>
      </c>
    </row>
    <row r="517">
      <c r="A517">
        <f>IF(AND(OR('Compliance Database'!$A517='Data Transfer'!$B$4,'Compliance Database'!$A517='Data Transfer'!$B$5),OR('Data Transfer'!$B$6="",ISNUMBER(SEARCH('Data Transfer'!$B$6,'Compliance Database'!$D517&amp;" "&amp;'Compliance Database'!$L517&amp;" "&amp;'Compliance Database'!$M517&amp;" "&amp;'Compliance Database'!$N517&amp;" "&amp;'Compliance Database'!$O517)))),1,0)</f>
        <v/>
      </c>
      <c r="B517">
        <f>IF($A517=1,SUM($A$2:$A517),"")</f>
        <v/>
      </c>
      <c r="C517">
        <f>IF($A517=1,SUM($A$2:$A517),0)</f>
        <v/>
      </c>
    </row>
    <row r="518">
      <c r="A518">
        <f>IF(AND(OR('Compliance Database'!$A518='Data Transfer'!$B$4,'Compliance Database'!$A518='Data Transfer'!$B$5),OR('Data Transfer'!$B$6="",ISNUMBER(SEARCH('Data Transfer'!$B$6,'Compliance Database'!$D518&amp;" "&amp;'Compliance Database'!$L518&amp;" "&amp;'Compliance Database'!$M518&amp;" "&amp;'Compliance Database'!$N518&amp;" "&amp;'Compliance Database'!$O518)))),1,0)</f>
        <v/>
      </c>
      <c r="B518">
        <f>IF($A518=1,SUM($A$2:$A518),"")</f>
        <v/>
      </c>
      <c r="C518">
        <f>IF($A518=1,SUM($A$2:$A518),0)</f>
        <v/>
      </c>
    </row>
    <row r="519">
      <c r="A519">
        <f>IF(AND(OR('Compliance Database'!$A519='Data Transfer'!$B$4,'Compliance Database'!$A519='Data Transfer'!$B$5),OR('Data Transfer'!$B$6="",ISNUMBER(SEARCH('Data Transfer'!$B$6,'Compliance Database'!$D519&amp;" "&amp;'Compliance Database'!$L519&amp;" "&amp;'Compliance Database'!$M519&amp;" "&amp;'Compliance Database'!$N519&amp;" "&amp;'Compliance Database'!$O519)))),1,0)</f>
        <v/>
      </c>
      <c r="B519">
        <f>IF($A519=1,SUM($A$2:$A519),"")</f>
        <v/>
      </c>
      <c r="C519">
        <f>IF($A519=1,SUM($A$2:$A519),0)</f>
        <v/>
      </c>
    </row>
    <row r="520">
      <c r="A520">
        <f>IF(AND(OR('Compliance Database'!$A520='Data Transfer'!$B$4,'Compliance Database'!$A520='Data Transfer'!$B$5),OR('Data Transfer'!$B$6="",ISNUMBER(SEARCH('Data Transfer'!$B$6,'Compliance Database'!$D520&amp;" "&amp;'Compliance Database'!$L520&amp;" "&amp;'Compliance Database'!$M520&amp;" "&amp;'Compliance Database'!$N520&amp;" "&amp;'Compliance Database'!$O520)))),1,0)</f>
        <v/>
      </c>
      <c r="B520">
        <f>IF($A520=1,SUM($A$2:$A520),"")</f>
        <v/>
      </c>
      <c r="C520">
        <f>IF($A520=1,SUM($A$2:$A520),0)</f>
        <v/>
      </c>
    </row>
    <row r="521">
      <c r="A521">
        <f>IF(AND(OR('Compliance Database'!$A521='Data Transfer'!$B$4,'Compliance Database'!$A521='Data Transfer'!$B$5),OR('Data Transfer'!$B$6="",ISNUMBER(SEARCH('Data Transfer'!$B$6,'Compliance Database'!$D521&amp;" "&amp;'Compliance Database'!$L521&amp;" "&amp;'Compliance Database'!$M521&amp;" "&amp;'Compliance Database'!$N521&amp;" "&amp;'Compliance Database'!$O521)))),1,0)</f>
        <v/>
      </c>
      <c r="B521">
        <f>IF($A521=1,SUM($A$2:$A521),"")</f>
        <v/>
      </c>
      <c r="C521">
        <f>IF($A521=1,SUM($A$2:$A521),0)</f>
        <v/>
      </c>
    </row>
    <row r="522">
      <c r="A522">
        <f>IF(AND(OR('Compliance Database'!$A522='Data Transfer'!$B$4,'Compliance Database'!$A522='Data Transfer'!$B$5),OR('Data Transfer'!$B$6="",ISNUMBER(SEARCH('Data Transfer'!$B$6,'Compliance Database'!$D522&amp;" "&amp;'Compliance Database'!$L522&amp;" "&amp;'Compliance Database'!$M522&amp;" "&amp;'Compliance Database'!$N522&amp;" "&amp;'Compliance Database'!$O522)))),1,0)</f>
        <v/>
      </c>
      <c r="B522">
        <f>IF($A522=1,SUM($A$2:$A522),"")</f>
        <v/>
      </c>
      <c r="C522">
        <f>IF($A522=1,SUM($A$2:$A522),0)</f>
        <v/>
      </c>
    </row>
    <row r="523">
      <c r="A523">
        <f>IF(AND(OR('Compliance Database'!$A523='Data Transfer'!$B$4,'Compliance Database'!$A523='Data Transfer'!$B$5),OR('Data Transfer'!$B$6="",ISNUMBER(SEARCH('Data Transfer'!$B$6,'Compliance Database'!$D523&amp;" "&amp;'Compliance Database'!$L523&amp;" "&amp;'Compliance Database'!$M523&amp;" "&amp;'Compliance Database'!$N523&amp;" "&amp;'Compliance Database'!$O523)))),1,0)</f>
        <v/>
      </c>
      <c r="B523">
        <f>IF($A523=1,SUM($A$2:$A523),"")</f>
        <v/>
      </c>
      <c r="C523">
        <f>IF($A523=1,SUM($A$2:$A523),0)</f>
        <v/>
      </c>
    </row>
    <row r="524">
      <c r="A524">
        <f>IF(AND(OR('Compliance Database'!$A524='Data Transfer'!$B$4,'Compliance Database'!$A524='Data Transfer'!$B$5),OR('Data Transfer'!$B$6="",ISNUMBER(SEARCH('Data Transfer'!$B$6,'Compliance Database'!$D524&amp;" "&amp;'Compliance Database'!$L524&amp;" "&amp;'Compliance Database'!$M524&amp;" "&amp;'Compliance Database'!$N524&amp;" "&amp;'Compliance Database'!$O524)))),1,0)</f>
        <v/>
      </c>
      <c r="B524">
        <f>IF($A524=1,SUM($A$2:$A524),"")</f>
        <v/>
      </c>
      <c r="C524">
        <f>IF($A524=1,SUM($A$2:$A524),0)</f>
        <v/>
      </c>
    </row>
    <row r="525">
      <c r="A525">
        <f>IF(AND(OR('Compliance Database'!$A525='Data Transfer'!$B$4,'Compliance Database'!$A525='Data Transfer'!$B$5),OR('Data Transfer'!$B$6="",ISNUMBER(SEARCH('Data Transfer'!$B$6,'Compliance Database'!$D525&amp;" "&amp;'Compliance Database'!$L525&amp;" "&amp;'Compliance Database'!$M525&amp;" "&amp;'Compliance Database'!$N525&amp;" "&amp;'Compliance Database'!$O525)))),1,0)</f>
        <v/>
      </c>
      <c r="B525">
        <f>IF($A525=1,SUM($A$2:$A525),"")</f>
        <v/>
      </c>
      <c r="C525">
        <f>IF($A525=1,SUM($A$2:$A525),0)</f>
        <v/>
      </c>
    </row>
    <row r="526">
      <c r="A526">
        <f>IF(AND(OR('Compliance Database'!$A526='Data Transfer'!$B$4,'Compliance Database'!$A526='Data Transfer'!$B$5),OR('Data Transfer'!$B$6="",ISNUMBER(SEARCH('Data Transfer'!$B$6,'Compliance Database'!$D526&amp;" "&amp;'Compliance Database'!$L526&amp;" "&amp;'Compliance Database'!$M526&amp;" "&amp;'Compliance Database'!$N526&amp;" "&amp;'Compliance Database'!$O526)))),1,0)</f>
        <v/>
      </c>
      <c r="B526">
        <f>IF($A526=1,SUM($A$2:$A526),"")</f>
        <v/>
      </c>
      <c r="C526">
        <f>IF($A526=1,SUM($A$2:$A526),0)</f>
        <v/>
      </c>
    </row>
    <row r="527">
      <c r="A527">
        <f>IF(AND(OR('Compliance Database'!$A527='Data Transfer'!$B$4,'Compliance Database'!$A527='Data Transfer'!$B$5),OR('Data Transfer'!$B$6="",ISNUMBER(SEARCH('Data Transfer'!$B$6,'Compliance Database'!$D527&amp;" "&amp;'Compliance Database'!$L527&amp;" "&amp;'Compliance Database'!$M527&amp;" "&amp;'Compliance Database'!$N527&amp;" "&amp;'Compliance Database'!$O527)))),1,0)</f>
        <v/>
      </c>
      <c r="B527">
        <f>IF($A527=1,SUM($A$2:$A527),"")</f>
        <v/>
      </c>
      <c r="C527">
        <f>IF($A527=1,SUM($A$2:$A527),0)</f>
        <v/>
      </c>
    </row>
    <row r="528">
      <c r="A528">
        <f>IF(AND(OR('Compliance Database'!$A528='Data Transfer'!$B$4,'Compliance Database'!$A528='Data Transfer'!$B$5),OR('Data Transfer'!$B$6="",ISNUMBER(SEARCH('Data Transfer'!$B$6,'Compliance Database'!$D528&amp;" "&amp;'Compliance Database'!$L528&amp;" "&amp;'Compliance Database'!$M528&amp;" "&amp;'Compliance Database'!$N528&amp;" "&amp;'Compliance Database'!$O528)))),1,0)</f>
        <v/>
      </c>
      <c r="B528">
        <f>IF($A528=1,SUM($A$2:$A528),"")</f>
        <v/>
      </c>
      <c r="C528">
        <f>IF($A528=1,SUM($A$2:$A528),0)</f>
        <v/>
      </c>
    </row>
    <row r="529">
      <c r="A529">
        <f>IF(AND(OR('Compliance Database'!$A529='Data Transfer'!$B$4,'Compliance Database'!$A529='Data Transfer'!$B$5),OR('Data Transfer'!$B$6="",ISNUMBER(SEARCH('Data Transfer'!$B$6,'Compliance Database'!$D529&amp;" "&amp;'Compliance Database'!$L529&amp;" "&amp;'Compliance Database'!$M529&amp;" "&amp;'Compliance Database'!$N529&amp;" "&amp;'Compliance Database'!$O529)))),1,0)</f>
        <v/>
      </c>
      <c r="B529">
        <f>IF($A529=1,SUM($A$2:$A529),"")</f>
        <v/>
      </c>
      <c r="C529">
        <f>IF($A529=1,SUM($A$2:$A529),0)</f>
        <v/>
      </c>
    </row>
    <row r="530">
      <c r="A530">
        <f>IF(AND(OR('Compliance Database'!$A530='Data Transfer'!$B$4,'Compliance Database'!$A530='Data Transfer'!$B$5),OR('Data Transfer'!$B$6="",ISNUMBER(SEARCH('Data Transfer'!$B$6,'Compliance Database'!$D530&amp;" "&amp;'Compliance Database'!$L530&amp;" "&amp;'Compliance Database'!$M530&amp;" "&amp;'Compliance Database'!$N530&amp;" "&amp;'Compliance Database'!$O530)))),1,0)</f>
        <v/>
      </c>
      <c r="B530">
        <f>IF($A530=1,SUM($A$2:$A530),"")</f>
        <v/>
      </c>
      <c r="C530">
        <f>IF($A530=1,SUM($A$2:$A530),0)</f>
        <v/>
      </c>
    </row>
    <row r="531">
      <c r="A531">
        <f>IF(AND(OR('Compliance Database'!$A531='Data Transfer'!$B$4,'Compliance Database'!$A531='Data Transfer'!$B$5),OR('Data Transfer'!$B$6="",ISNUMBER(SEARCH('Data Transfer'!$B$6,'Compliance Database'!$D531&amp;" "&amp;'Compliance Database'!$L531&amp;" "&amp;'Compliance Database'!$M531&amp;" "&amp;'Compliance Database'!$N531&amp;" "&amp;'Compliance Database'!$O531)))),1,0)</f>
        <v/>
      </c>
      <c r="B531">
        <f>IF($A531=1,SUM($A$2:$A531),"")</f>
        <v/>
      </c>
      <c r="C531">
        <f>IF($A531=1,SUM($A$2:$A531),0)</f>
        <v/>
      </c>
    </row>
    <row r="532">
      <c r="A532">
        <f>IF(AND(OR('Compliance Database'!$A532='Data Transfer'!$B$4,'Compliance Database'!$A532='Data Transfer'!$B$5),OR('Data Transfer'!$B$6="",ISNUMBER(SEARCH('Data Transfer'!$B$6,'Compliance Database'!$D532&amp;" "&amp;'Compliance Database'!$L532&amp;" "&amp;'Compliance Database'!$M532&amp;" "&amp;'Compliance Database'!$N532&amp;" "&amp;'Compliance Database'!$O532)))),1,0)</f>
        <v/>
      </c>
      <c r="B532">
        <f>IF($A532=1,SUM($A$2:$A532),"")</f>
        <v/>
      </c>
      <c r="C532">
        <f>IF($A532=1,SUM($A$2:$A532),0)</f>
        <v/>
      </c>
    </row>
    <row r="533">
      <c r="A533">
        <f>IF(AND(OR('Compliance Database'!$A533='Data Transfer'!$B$4,'Compliance Database'!$A533='Data Transfer'!$B$5),OR('Data Transfer'!$B$6="",ISNUMBER(SEARCH('Data Transfer'!$B$6,'Compliance Database'!$D533&amp;" "&amp;'Compliance Database'!$L533&amp;" "&amp;'Compliance Database'!$M533&amp;" "&amp;'Compliance Database'!$N533&amp;" "&amp;'Compliance Database'!$O533)))),1,0)</f>
        <v/>
      </c>
      <c r="B533">
        <f>IF($A533=1,SUM($A$2:$A533),"")</f>
        <v/>
      </c>
      <c r="C533">
        <f>IF($A533=1,SUM($A$2:$A533),0)</f>
        <v/>
      </c>
    </row>
    <row r="534">
      <c r="A534">
        <f>IF(AND(OR('Compliance Database'!$A534='Data Transfer'!$B$4,'Compliance Database'!$A534='Data Transfer'!$B$5),OR('Data Transfer'!$B$6="",ISNUMBER(SEARCH('Data Transfer'!$B$6,'Compliance Database'!$D534&amp;" "&amp;'Compliance Database'!$L534&amp;" "&amp;'Compliance Database'!$M534&amp;" "&amp;'Compliance Database'!$N534&amp;" "&amp;'Compliance Database'!$O534)))),1,0)</f>
        <v/>
      </c>
      <c r="B534">
        <f>IF($A534=1,SUM($A$2:$A534),"")</f>
        <v/>
      </c>
      <c r="C534">
        <f>IF($A534=1,SUM($A$2:$A534),0)</f>
        <v/>
      </c>
    </row>
    <row r="535">
      <c r="A535">
        <f>IF(AND(OR('Compliance Database'!$A535='Data Transfer'!$B$4,'Compliance Database'!$A535='Data Transfer'!$B$5),OR('Data Transfer'!$B$6="",ISNUMBER(SEARCH('Data Transfer'!$B$6,'Compliance Database'!$D535&amp;" "&amp;'Compliance Database'!$L535&amp;" "&amp;'Compliance Database'!$M535&amp;" "&amp;'Compliance Database'!$N535&amp;" "&amp;'Compliance Database'!$O535)))),1,0)</f>
        <v/>
      </c>
      <c r="B535">
        <f>IF($A535=1,SUM($A$2:$A535),"")</f>
        <v/>
      </c>
      <c r="C535">
        <f>IF($A535=1,SUM($A$2:$A535),0)</f>
        <v/>
      </c>
    </row>
    <row r="536">
      <c r="A536">
        <f>IF(AND(OR('Compliance Database'!$A536='Data Transfer'!$B$4,'Compliance Database'!$A536='Data Transfer'!$B$5),OR('Data Transfer'!$B$6="",ISNUMBER(SEARCH('Data Transfer'!$B$6,'Compliance Database'!$D536&amp;" "&amp;'Compliance Database'!$L536&amp;" "&amp;'Compliance Database'!$M536&amp;" "&amp;'Compliance Database'!$N536&amp;" "&amp;'Compliance Database'!$O536)))),1,0)</f>
        <v/>
      </c>
      <c r="B536">
        <f>IF($A536=1,SUM($A$2:$A536),"")</f>
        <v/>
      </c>
      <c r="C536">
        <f>IF($A536=1,SUM($A$2:$A536),0)</f>
        <v/>
      </c>
    </row>
    <row r="537">
      <c r="A537">
        <f>IF(AND(OR('Compliance Database'!$A537='Data Transfer'!$B$4,'Compliance Database'!$A537='Data Transfer'!$B$5),OR('Data Transfer'!$B$6="",ISNUMBER(SEARCH('Data Transfer'!$B$6,'Compliance Database'!$D537&amp;" "&amp;'Compliance Database'!$L537&amp;" "&amp;'Compliance Database'!$M537&amp;" "&amp;'Compliance Database'!$N537&amp;" "&amp;'Compliance Database'!$O537)))),1,0)</f>
        <v/>
      </c>
      <c r="B537">
        <f>IF($A537=1,SUM($A$2:$A537),"")</f>
        <v/>
      </c>
      <c r="C537">
        <f>IF($A537=1,SUM($A$2:$A537),0)</f>
        <v/>
      </c>
    </row>
    <row r="538">
      <c r="A538">
        <f>IF(AND(OR('Compliance Database'!$A538='Data Transfer'!$B$4,'Compliance Database'!$A538='Data Transfer'!$B$5),OR('Data Transfer'!$B$6="",ISNUMBER(SEARCH('Data Transfer'!$B$6,'Compliance Database'!$D538&amp;" "&amp;'Compliance Database'!$L538&amp;" "&amp;'Compliance Database'!$M538&amp;" "&amp;'Compliance Database'!$N538&amp;" "&amp;'Compliance Database'!$O538)))),1,0)</f>
        <v/>
      </c>
      <c r="B538">
        <f>IF($A538=1,SUM($A$2:$A538),"")</f>
        <v/>
      </c>
      <c r="C538">
        <f>IF($A538=1,SUM($A$2:$A538),0)</f>
        <v/>
      </c>
    </row>
    <row r="539">
      <c r="A539">
        <f>IF(AND(OR('Compliance Database'!$A539='Data Transfer'!$B$4,'Compliance Database'!$A539='Data Transfer'!$B$5),OR('Data Transfer'!$B$6="",ISNUMBER(SEARCH('Data Transfer'!$B$6,'Compliance Database'!$D539&amp;" "&amp;'Compliance Database'!$L539&amp;" "&amp;'Compliance Database'!$M539&amp;" "&amp;'Compliance Database'!$N539&amp;" "&amp;'Compliance Database'!$O539)))),1,0)</f>
        <v/>
      </c>
      <c r="B539">
        <f>IF($A539=1,SUM($A$2:$A539),"")</f>
        <v/>
      </c>
      <c r="C539">
        <f>IF($A539=1,SUM($A$2:$A539),0)</f>
        <v/>
      </c>
    </row>
    <row r="540">
      <c r="A540">
        <f>IF(AND(OR('Compliance Database'!$A540='Data Transfer'!$B$4,'Compliance Database'!$A540='Data Transfer'!$B$5),OR('Data Transfer'!$B$6="",ISNUMBER(SEARCH('Data Transfer'!$B$6,'Compliance Database'!$D540&amp;" "&amp;'Compliance Database'!$L540&amp;" "&amp;'Compliance Database'!$M540&amp;" "&amp;'Compliance Database'!$N540&amp;" "&amp;'Compliance Database'!$O540)))),1,0)</f>
        <v/>
      </c>
      <c r="B540">
        <f>IF($A540=1,SUM($A$2:$A540),"")</f>
        <v/>
      </c>
      <c r="C540">
        <f>IF($A540=1,SUM($A$2:$A540),0)</f>
        <v/>
      </c>
    </row>
    <row r="541">
      <c r="A541">
        <f>IF(AND(OR('Compliance Database'!$A541='Data Transfer'!$B$4,'Compliance Database'!$A541='Data Transfer'!$B$5),OR('Data Transfer'!$B$6="",ISNUMBER(SEARCH('Data Transfer'!$B$6,'Compliance Database'!$D541&amp;" "&amp;'Compliance Database'!$L541&amp;" "&amp;'Compliance Database'!$M541&amp;" "&amp;'Compliance Database'!$N541&amp;" "&amp;'Compliance Database'!$O541)))),1,0)</f>
        <v/>
      </c>
      <c r="B541">
        <f>IF($A541=1,SUM($A$2:$A541),"")</f>
        <v/>
      </c>
      <c r="C541">
        <f>IF($A541=1,SUM($A$2:$A541),0)</f>
        <v/>
      </c>
    </row>
    <row r="542">
      <c r="A542">
        <f>IF(AND(OR('Compliance Database'!$A542='Data Transfer'!$B$4,'Compliance Database'!$A542='Data Transfer'!$B$5),OR('Data Transfer'!$B$6="",ISNUMBER(SEARCH('Data Transfer'!$B$6,'Compliance Database'!$D542&amp;" "&amp;'Compliance Database'!$L542&amp;" "&amp;'Compliance Database'!$M542&amp;" "&amp;'Compliance Database'!$N542&amp;" "&amp;'Compliance Database'!$O542)))),1,0)</f>
        <v/>
      </c>
      <c r="B542">
        <f>IF($A542=1,SUM($A$2:$A542),"")</f>
        <v/>
      </c>
      <c r="C542">
        <f>IF($A542=1,SUM($A$2:$A542),0)</f>
        <v/>
      </c>
    </row>
    <row r="543">
      <c r="A543">
        <f>IF(AND(OR('Compliance Database'!$A543='Data Transfer'!$B$4,'Compliance Database'!$A543='Data Transfer'!$B$5),OR('Data Transfer'!$B$6="",ISNUMBER(SEARCH('Data Transfer'!$B$6,'Compliance Database'!$D543&amp;" "&amp;'Compliance Database'!$L543&amp;" "&amp;'Compliance Database'!$M543&amp;" "&amp;'Compliance Database'!$N543&amp;" "&amp;'Compliance Database'!$O543)))),1,0)</f>
        <v/>
      </c>
      <c r="B543">
        <f>IF($A543=1,SUM($A$2:$A543),"")</f>
        <v/>
      </c>
      <c r="C543">
        <f>IF($A543=1,SUM($A$2:$A543),0)</f>
        <v/>
      </c>
    </row>
    <row r="544">
      <c r="A544">
        <f>IF(AND(OR('Compliance Database'!$A544='Data Transfer'!$B$4,'Compliance Database'!$A544='Data Transfer'!$B$5),OR('Data Transfer'!$B$6="",ISNUMBER(SEARCH('Data Transfer'!$B$6,'Compliance Database'!$D544&amp;" "&amp;'Compliance Database'!$L544&amp;" "&amp;'Compliance Database'!$M544&amp;" "&amp;'Compliance Database'!$N544&amp;" "&amp;'Compliance Database'!$O544)))),1,0)</f>
        <v/>
      </c>
      <c r="B544">
        <f>IF($A544=1,SUM($A$2:$A544),"")</f>
        <v/>
      </c>
      <c r="C544">
        <f>IF($A544=1,SUM($A$2:$A544),0)</f>
        <v/>
      </c>
    </row>
    <row r="545">
      <c r="A545">
        <f>IF(AND(OR('Compliance Database'!$A545='Data Transfer'!$B$4,'Compliance Database'!$A545='Data Transfer'!$B$5),OR('Data Transfer'!$B$6="",ISNUMBER(SEARCH('Data Transfer'!$B$6,'Compliance Database'!$D545&amp;" "&amp;'Compliance Database'!$L545&amp;" "&amp;'Compliance Database'!$M545&amp;" "&amp;'Compliance Database'!$N545&amp;" "&amp;'Compliance Database'!$O545)))),1,0)</f>
        <v/>
      </c>
      <c r="B545">
        <f>IF($A545=1,SUM($A$2:$A545),"")</f>
        <v/>
      </c>
      <c r="C545">
        <f>IF($A545=1,SUM($A$2:$A545),0)</f>
        <v/>
      </c>
    </row>
    <row r="546">
      <c r="A546">
        <f>IF(AND(OR('Compliance Database'!$A546='Data Transfer'!$B$4,'Compliance Database'!$A546='Data Transfer'!$B$5),OR('Data Transfer'!$B$6="",ISNUMBER(SEARCH('Data Transfer'!$B$6,'Compliance Database'!$D546&amp;" "&amp;'Compliance Database'!$L546&amp;" "&amp;'Compliance Database'!$M546&amp;" "&amp;'Compliance Database'!$N546&amp;" "&amp;'Compliance Database'!$O546)))),1,0)</f>
        <v/>
      </c>
      <c r="B546">
        <f>IF($A546=1,SUM($A$2:$A546),"")</f>
        <v/>
      </c>
      <c r="C546">
        <f>IF($A546=1,SUM($A$2:$A546),0)</f>
        <v/>
      </c>
    </row>
    <row r="547">
      <c r="A547">
        <f>IF(AND(OR('Compliance Database'!$A547='Data Transfer'!$B$4,'Compliance Database'!$A547='Data Transfer'!$B$5),OR('Data Transfer'!$B$6="",ISNUMBER(SEARCH('Data Transfer'!$B$6,'Compliance Database'!$D547&amp;" "&amp;'Compliance Database'!$L547&amp;" "&amp;'Compliance Database'!$M547&amp;" "&amp;'Compliance Database'!$N547&amp;" "&amp;'Compliance Database'!$O547)))),1,0)</f>
        <v/>
      </c>
      <c r="B547">
        <f>IF($A547=1,SUM($A$2:$A547),"")</f>
        <v/>
      </c>
      <c r="C547">
        <f>IF($A547=1,SUM($A$2:$A547),0)</f>
        <v/>
      </c>
    </row>
    <row r="548">
      <c r="A548">
        <f>IF(AND(OR('Compliance Database'!$A548='Data Transfer'!$B$4,'Compliance Database'!$A548='Data Transfer'!$B$5),OR('Data Transfer'!$B$6="",ISNUMBER(SEARCH('Data Transfer'!$B$6,'Compliance Database'!$D548&amp;" "&amp;'Compliance Database'!$L548&amp;" "&amp;'Compliance Database'!$M548&amp;" "&amp;'Compliance Database'!$N548&amp;" "&amp;'Compliance Database'!$O548)))),1,0)</f>
        <v/>
      </c>
      <c r="B548">
        <f>IF($A548=1,SUM($A$2:$A548),"")</f>
        <v/>
      </c>
      <c r="C548">
        <f>IF($A548=1,SUM($A$2:$A548),0)</f>
        <v/>
      </c>
    </row>
    <row r="549">
      <c r="A549">
        <f>IF(AND(OR('Compliance Database'!$A549='Data Transfer'!$B$4,'Compliance Database'!$A549='Data Transfer'!$B$5),OR('Data Transfer'!$B$6="",ISNUMBER(SEARCH('Data Transfer'!$B$6,'Compliance Database'!$D549&amp;" "&amp;'Compliance Database'!$L549&amp;" "&amp;'Compliance Database'!$M549&amp;" "&amp;'Compliance Database'!$N549&amp;" "&amp;'Compliance Database'!$O549)))),1,0)</f>
        <v/>
      </c>
      <c r="B549">
        <f>IF($A549=1,SUM($A$2:$A549),"")</f>
        <v/>
      </c>
      <c r="C549">
        <f>IF($A549=1,SUM($A$2:$A549),0)</f>
        <v/>
      </c>
    </row>
    <row r="550">
      <c r="A550">
        <f>IF(AND(OR('Compliance Database'!$A550='Data Transfer'!$B$4,'Compliance Database'!$A550='Data Transfer'!$B$5),OR('Data Transfer'!$B$6="",ISNUMBER(SEARCH('Data Transfer'!$B$6,'Compliance Database'!$D550&amp;" "&amp;'Compliance Database'!$L550&amp;" "&amp;'Compliance Database'!$M550&amp;" "&amp;'Compliance Database'!$N550&amp;" "&amp;'Compliance Database'!$O550)))),1,0)</f>
        <v/>
      </c>
      <c r="B550">
        <f>IF($A550=1,SUM($A$2:$A550),"")</f>
        <v/>
      </c>
      <c r="C550">
        <f>IF($A550=1,SUM($A$2:$A550),0)</f>
        <v/>
      </c>
    </row>
    <row r="551">
      <c r="A551">
        <f>IF(AND(OR('Compliance Database'!$A551='Data Transfer'!$B$4,'Compliance Database'!$A551='Data Transfer'!$B$5),OR('Data Transfer'!$B$6="",ISNUMBER(SEARCH('Data Transfer'!$B$6,'Compliance Database'!$D551&amp;" "&amp;'Compliance Database'!$L551&amp;" "&amp;'Compliance Database'!$M551&amp;" "&amp;'Compliance Database'!$N551&amp;" "&amp;'Compliance Database'!$O551)))),1,0)</f>
        <v/>
      </c>
      <c r="B551">
        <f>IF($A551=1,SUM($A$2:$A551),"")</f>
        <v/>
      </c>
      <c r="C551">
        <f>IF($A551=1,SUM($A$2:$A551),0)</f>
        <v/>
      </c>
    </row>
    <row r="552">
      <c r="A552">
        <f>IF(AND(OR('Compliance Database'!$A552='Data Transfer'!$B$4,'Compliance Database'!$A552='Data Transfer'!$B$5),OR('Data Transfer'!$B$6="",ISNUMBER(SEARCH('Data Transfer'!$B$6,'Compliance Database'!$D552&amp;" "&amp;'Compliance Database'!$L552&amp;" "&amp;'Compliance Database'!$M552&amp;" "&amp;'Compliance Database'!$N552&amp;" "&amp;'Compliance Database'!$O552)))),1,0)</f>
        <v/>
      </c>
      <c r="B552">
        <f>IF($A552=1,SUM($A$2:$A552),"")</f>
        <v/>
      </c>
      <c r="C552">
        <f>IF($A552=1,SUM($A$2:$A552),0)</f>
        <v/>
      </c>
    </row>
    <row r="553">
      <c r="A553">
        <f>IF(AND(OR('Compliance Database'!$A553='Data Transfer'!$B$4,'Compliance Database'!$A553='Data Transfer'!$B$5),OR('Data Transfer'!$B$6="",ISNUMBER(SEARCH('Data Transfer'!$B$6,'Compliance Database'!$D553&amp;" "&amp;'Compliance Database'!$L553&amp;" "&amp;'Compliance Database'!$M553&amp;" "&amp;'Compliance Database'!$N553&amp;" "&amp;'Compliance Database'!$O553)))),1,0)</f>
        <v/>
      </c>
      <c r="B553">
        <f>IF($A553=1,SUM($A$2:$A553),"")</f>
        <v/>
      </c>
      <c r="C553">
        <f>IF($A553=1,SUM($A$2:$A553),0)</f>
        <v/>
      </c>
    </row>
    <row r="554">
      <c r="A554">
        <f>IF(AND(OR('Compliance Database'!$A554='Data Transfer'!$B$4,'Compliance Database'!$A554='Data Transfer'!$B$5),OR('Data Transfer'!$B$6="",ISNUMBER(SEARCH('Data Transfer'!$B$6,'Compliance Database'!$D554&amp;" "&amp;'Compliance Database'!$L554&amp;" "&amp;'Compliance Database'!$M554&amp;" "&amp;'Compliance Database'!$N554&amp;" "&amp;'Compliance Database'!$O554)))),1,0)</f>
        <v/>
      </c>
      <c r="B554">
        <f>IF($A554=1,SUM($A$2:$A554),"")</f>
        <v/>
      </c>
      <c r="C554">
        <f>IF($A554=1,SUM($A$2:$A554),0)</f>
        <v/>
      </c>
    </row>
    <row r="555">
      <c r="A555">
        <f>IF(AND(OR('Compliance Database'!$A555='Data Transfer'!$B$4,'Compliance Database'!$A555='Data Transfer'!$B$5),OR('Data Transfer'!$B$6="",ISNUMBER(SEARCH('Data Transfer'!$B$6,'Compliance Database'!$D555&amp;" "&amp;'Compliance Database'!$L555&amp;" "&amp;'Compliance Database'!$M555&amp;" "&amp;'Compliance Database'!$N555&amp;" "&amp;'Compliance Database'!$O555)))),1,0)</f>
        <v/>
      </c>
      <c r="B555">
        <f>IF($A555=1,SUM($A$2:$A555),"")</f>
        <v/>
      </c>
      <c r="C555">
        <f>IF($A555=1,SUM($A$2:$A555),0)</f>
        <v/>
      </c>
    </row>
    <row r="556">
      <c r="A556">
        <f>IF(AND(OR('Compliance Database'!$A556='Data Transfer'!$B$4,'Compliance Database'!$A556='Data Transfer'!$B$5),OR('Data Transfer'!$B$6="",ISNUMBER(SEARCH('Data Transfer'!$B$6,'Compliance Database'!$D556&amp;" "&amp;'Compliance Database'!$L556&amp;" "&amp;'Compliance Database'!$M556&amp;" "&amp;'Compliance Database'!$N556&amp;" "&amp;'Compliance Database'!$O556)))),1,0)</f>
        <v/>
      </c>
      <c r="B556">
        <f>IF($A556=1,SUM($A$2:$A556),"")</f>
        <v/>
      </c>
      <c r="C556">
        <f>IF($A556=1,SUM($A$2:$A556),0)</f>
        <v/>
      </c>
    </row>
    <row r="557">
      <c r="A557">
        <f>IF(AND(OR('Compliance Database'!$A557='Data Transfer'!$B$4,'Compliance Database'!$A557='Data Transfer'!$B$5),OR('Data Transfer'!$B$6="",ISNUMBER(SEARCH('Data Transfer'!$B$6,'Compliance Database'!$D557&amp;" "&amp;'Compliance Database'!$L557&amp;" "&amp;'Compliance Database'!$M557&amp;" "&amp;'Compliance Database'!$N557&amp;" "&amp;'Compliance Database'!$O557)))),1,0)</f>
        <v/>
      </c>
      <c r="B557">
        <f>IF($A557=1,SUM($A$2:$A557),"")</f>
        <v/>
      </c>
      <c r="C557">
        <f>IF($A557=1,SUM($A$2:$A557),0)</f>
        <v/>
      </c>
    </row>
    <row r="558">
      <c r="A558">
        <f>IF(AND(OR('Compliance Database'!$A558='Data Transfer'!$B$4,'Compliance Database'!$A558='Data Transfer'!$B$5),OR('Data Transfer'!$B$6="",ISNUMBER(SEARCH('Data Transfer'!$B$6,'Compliance Database'!$D558&amp;" "&amp;'Compliance Database'!$L558&amp;" "&amp;'Compliance Database'!$M558&amp;" "&amp;'Compliance Database'!$N558&amp;" "&amp;'Compliance Database'!$O558)))),1,0)</f>
        <v/>
      </c>
      <c r="B558">
        <f>IF($A558=1,SUM($A$2:$A558),"")</f>
        <v/>
      </c>
      <c r="C558">
        <f>IF($A558=1,SUM($A$2:$A558),0)</f>
        <v/>
      </c>
    </row>
    <row r="559">
      <c r="A559">
        <f>IF(AND(OR('Compliance Database'!$A559='Data Transfer'!$B$4,'Compliance Database'!$A559='Data Transfer'!$B$5),OR('Data Transfer'!$B$6="",ISNUMBER(SEARCH('Data Transfer'!$B$6,'Compliance Database'!$D559&amp;" "&amp;'Compliance Database'!$L559&amp;" "&amp;'Compliance Database'!$M559&amp;" "&amp;'Compliance Database'!$N559&amp;" "&amp;'Compliance Database'!$O559)))),1,0)</f>
        <v/>
      </c>
      <c r="B559">
        <f>IF($A559=1,SUM($A$2:$A559),"")</f>
        <v/>
      </c>
      <c r="C559">
        <f>IF($A559=1,SUM($A$2:$A559),0)</f>
        <v/>
      </c>
    </row>
    <row r="560">
      <c r="A560">
        <f>IF(AND(OR('Compliance Database'!$A560='Data Transfer'!$B$4,'Compliance Database'!$A560='Data Transfer'!$B$5),OR('Data Transfer'!$B$6="",ISNUMBER(SEARCH('Data Transfer'!$B$6,'Compliance Database'!$D560&amp;" "&amp;'Compliance Database'!$L560&amp;" "&amp;'Compliance Database'!$M560&amp;" "&amp;'Compliance Database'!$N560&amp;" "&amp;'Compliance Database'!$O560)))),1,0)</f>
        <v/>
      </c>
      <c r="B560">
        <f>IF($A560=1,SUM($A$2:$A560),"")</f>
        <v/>
      </c>
      <c r="C560">
        <f>IF($A560=1,SUM($A$2:$A560),0)</f>
        <v/>
      </c>
    </row>
    <row r="561">
      <c r="A561">
        <f>IF(AND(OR('Compliance Database'!$A561='Data Transfer'!$B$4,'Compliance Database'!$A561='Data Transfer'!$B$5),OR('Data Transfer'!$B$6="",ISNUMBER(SEARCH('Data Transfer'!$B$6,'Compliance Database'!$D561&amp;" "&amp;'Compliance Database'!$L561&amp;" "&amp;'Compliance Database'!$M561&amp;" "&amp;'Compliance Database'!$N561&amp;" "&amp;'Compliance Database'!$O561)))),1,0)</f>
        <v/>
      </c>
      <c r="B561">
        <f>IF($A561=1,SUM($A$2:$A561),"")</f>
        <v/>
      </c>
      <c r="C561">
        <f>IF($A561=1,SUM($A$2:$A561),0)</f>
        <v/>
      </c>
    </row>
    <row r="562">
      <c r="A562">
        <f>IF(AND(OR('Compliance Database'!$A562='Data Transfer'!$B$4,'Compliance Database'!$A562='Data Transfer'!$B$5),OR('Data Transfer'!$B$6="",ISNUMBER(SEARCH('Data Transfer'!$B$6,'Compliance Database'!$D562&amp;" "&amp;'Compliance Database'!$L562&amp;" "&amp;'Compliance Database'!$M562&amp;" "&amp;'Compliance Database'!$N562&amp;" "&amp;'Compliance Database'!$O562)))),1,0)</f>
        <v/>
      </c>
      <c r="B562">
        <f>IF($A562=1,SUM($A$2:$A562),"")</f>
        <v/>
      </c>
      <c r="C562">
        <f>IF($A562=1,SUM($A$2:$A562),0)</f>
        <v/>
      </c>
    </row>
    <row r="563">
      <c r="A563">
        <f>IF(AND(OR('Compliance Database'!$A563='Data Transfer'!$B$4,'Compliance Database'!$A563='Data Transfer'!$B$5),OR('Data Transfer'!$B$6="",ISNUMBER(SEARCH('Data Transfer'!$B$6,'Compliance Database'!$D563&amp;" "&amp;'Compliance Database'!$L563&amp;" "&amp;'Compliance Database'!$M563&amp;" "&amp;'Compliance Database'!$N563&amp;" "&amp;'Compliance Database'!$O563)))),1,0)</f>
        <v/>
      </c>
      <c r="B563">
        <f>IF($A563=1,SUM($A$2:$A563),"")</f>
        <v/>
      </c>
      <c r="C563">
        <f>IF($A563=1,SUM($A$2:$A563),0)</f>
        <v/>
      </c>
    </row>
    <row r="564">
      <c r="A564">
        <f>IF(AND(OR('Compliance Database'!$A564='Data Transfer'!$B$4,'Compliance Database'!$A564='Data Transfer'!$B$5),OR('Data Transfer'!$B$6="",ISNUMBER(SEARCH('Data Transfer'!$B$6,'Compliance Database'!$D564&amp;" "&amp;'Compliance Database'!$L564&amp;" "&amp;'Compliance Database'!$M564&amp;" "&amp;'Compliance Database'!$N564&amp;" "&amp;'Compliance Database'!$O564)))),1,0)</f>
        <v/>
      </c>
      <c r="B564">
        <f>IF($A564=1,SUM($A$2:$A564),"")</f>
        <v/>
      </c>
      <c r="C564">
        <f>IF($A564=1,SUM($A$2:$A564),0)</f>
        <v/>
      </c>
    </row>
    <row r="565">
      <c r="A565">
        <f>IF(AND(OR('Compliance Database'!$A565='Data Transfer'!$B$4,'Compliance Database'!$A565='Data Transfer'!$B$5),OR('Data Transfer'!$B$6="",ISNUMBER(SEARCH('Data Transfer'!$B$6,'Compliance Database'!$D565&amp;" "&amp;'Compliance Database'!$L565&amp;" "&amp;'Compliance Database'!$M565&amp;" "&amp;'Compliance Database'!$N565&amp;" "&amp;'Compliance Database'!$O565)))),1,0)</f>
        <v/>
      </c>
      <c r="B565">
        <f>IF($A565=1,SUM($A$2:$A565),"")</f>
        <v/>
      </c>
      <c r="C565">
        <f>IF($A565=1,SUM($A$2:$A565),0)</f>
        <v/>
      </c>
    </row>
    <row r="566">
      <c r="A566">
        <f>IF(AND(OR('Compliance Database'!$A566='Data Transfer'!$B$4,'Compliance Database'!$A566='Data Transfer'!$B$5),OR('Data Transfer'!$B$6="",ISNUMBER(SEARCH('Data Transfer'!$B$6,'Compliance Database'!$D566&amp;" "&amp;'Compliance Database'!$L566&amp;" "&amp;'Compliance Database'!$M566&amp;" "&amp;'Compliance Database'!$N566&amp;" "&amp;'Compliance Database'!$O566)))),1,0)</f>
        <v/>
      </c>
      <c r="B566">
        <f>IF($A566=1,SUM($A$2:$A566),"")</f>
        <v/>
      </c>
      <c r="C566">
        <f>IF($A566=1,SUM($A$2:$A566),0)</f>
        <v/>
      </c>
    </row>
    <row r="567">
      <c r="A567">
        <f>IF(AND(OR('Compliance Database'!$A567='Data Transfer'!$B$4,'Compliance Database'!$A567='Data Transfer'!$B$5),OR('Data Transfer'!$B$6="",ISNUMBER(SEARCH('Data Transfer'!$B$6,'Compliance Database'!$D567&amp;" "&amp;'Compliance Database'!$L567&amp;" "&amp;'Compliance Database'!$M567&amp;" "&amp;'Compliance Database'!$N567&amp;" "&amp;'Compliance Database'!$O567)))),1,0)</f>
        <v/>
      </c>
      <c r="B567">
        <f>IF($A567=1,SUM($A$2:$A567),"")</f>
        <v/>
      </c>
      <c r="C567">
        <f>IF($A567=1,SUM($A$2:$A567),0)</f>
        <v/>
      </c>
    </row>
    <row r="568">
      <c r="A568">
        <f>IF(AND(OR('Compliance Database'!$A568='Data Transfer'!$B$4,'Compliance Database'!$A568='Data Transfer'!$B$5),OR('Data Transfer'!$B$6="",ISNUMBER(SEARCH('Data Transfer'!$B$6,'Compliance Database'!$D568&amp;" "&amp;'Compliance Database'!$L568&amp;" "&amp;'Compliance Database'!$M568&amp;" "&amp;'Compliance Database'!$N568&amp;" "&amp;'Compliance Database'!$O568)))),1,0)</f>
        <v/>
      </c>
      <c r="B568">
        <f>IF($A568=1,SUM($A$2:$A568),"")</f>
        <v/>
      </c>
      <c r="C568">
        <f>IF($A568=1,SUM($A$2:$A568),0)</f>
        <v/>
      </c>
    </row>
    <row r="569">
      <c r="A569">
        <f>IF(AND(OR('Compliance Database'!$A569='Data Transfer'!$B$4,'Compliance Database'!$A569='Data Transfer'!$B$5),OR('Data Transfer'!$B$6="",ISNUMBER(SEARCH('Data Transfer'!$B$6,'Compliance Database'!$D569&amp;" "&amp;'Compliance Database'!$L569&amp;" "&amp;'Compliance Database'!$M569&amp;" "&amp;'Compliance Database'!$N569&amp;" "&amp;'Compliance Database'!$O569)))),1,0)</f>
        <v/>
      </c>
      <c r="B569">
        <f>IF($A569=1,SUM($A$2:$A569),"")</f>
        <v/>
      </c>
      <c r="C569">
        <f>IF($A569=1,SUM($A$2:$A569),0)</f>
        <v/>
      </c>
    </row>
    <row r="570">
      <c r="A570">
        <f>IF(AND(OR('Compliance Database'!$A570='Data Transfer'!$B$4,'Compliance Database'!$A570='Data Transfer'!$B$5),OR('Data Transfer'!$B$6="",ISNUMBER(SEARCH('Data Transfer'!$B$6,'Compliance Database'!$D570&amp;" "&amp;'Compliance Database'!$L570&amp;" "&amp;'Compliance Database'!$M570&amp;" "&amp;'Compliance Database'!$N570&amp;" "&amp;'Compliance Database'!$O570)))),1,0)</f>
        <v/>
      </c>
      <c r="B570">
        <f>IF($A570=1,SUM($A$2:$A570),"")</f>
        <v/>
      </c>
      <c r="C570">
        <f>IF($A570=1,SUM($A$2:$A570),0)</f>
        <v/>
      </c>
    </row>
    <row r="571">
      <c r="A571">
        <f>IF(AND(OR('Compliance Database'!$A571='Data Transfer'!$B$4,'Compliance Database'!$A571='Data Transfer'!$B$5),OR('Data Transfer'!$B$6="",ISNUMBER(SEARCH('Data Transfer'!$B$6,'Compliance Database'!$D571&amp;" "&amp;'Compliance Database'!$L571&amp;" "&amp;'Compliance Database'!$M571&amp;" "&amp;'Compliance Database'!$N571&amp;" "&amp;'Compliance Database'!$O571)))),1,0)</f>
        <v/>
      </c>
      <c r="B571">
        <f>IF($A571=1,SUM($A$2:$A571),"")</f>
        <v/>
      </c>
      <c r="C571">
        <f>IF($A571=1,SUM($A$2:$A571),0)</f>
        <v/>
      </c>
    </row>
    <row r="572">
      <c r="A572">
        <f>IF(AND(OR('Compliance Database'!$A572='Data Transfer'!$B$4,'Compliance Database'!$A572='Data Transfer'!$B$5),OR('Data Transfer'!$B$6="",ISNUMBER(SEARCH('Data Transfer'!$B$6,'Compliance Database'!$D572&amp;" "&amp;'Compliance Database'!$L572&amp;" "&amp;'Compliance Database'!$M572&amp;" "&amp;'Compliance Database'!$N572&amp;" "&amp;'Compliance Database'!$O572)))),1,0)</f>
        <v/>
      </c>
      <c r="B572">
        <f>IF($A572=1,SUM($A$2:$A572),"")</f>
        <v/>
      </c>
      <c r="C572">
        <f>IF($A572=1,SUM($A$2:$A572),0)</f>
        <v/>
      </c>
    </row>
    <row r="573">
      <c r="A573">
        <f>IF(AND(OR('Compliance Database'!$A573='Data Transfer'!$B$4,'Compliance Database'!$A573='Data Transfer'!$B$5),OR('Data Transfer'!$B$6="",ISNUMBER(SEARCH('Data Transfer'!$B$6,'Compliance Database'!$D573&amp;" "&amp;'Compliance Database'!$L573&amp;" "&amp;'Compliance Database'!$M573&amp;" "&amp;'Compliance Database'!$N573&amp;" "&amp;'Compliance Database'!$O573)))),1,0)</f>
        <v/>
      </c>
      <c r="B573">
        <f>IF($A573=1,SUM($A$2:$A573),"")</f>
        <v/>
      </c>
      <c r="C573">
        <f>IF($A573=1,SUM($A$2:$A573),0)</f>
        <v/>
      </c>
    </row>
    <row r="574">
      <c r="A574">
        <f>IF(AND(OR('Compliance Database'!$A574='Data Transfer'!$B$4,'Compliance Database'!$A574='Data Transfer'!$B$5),OR('Data Transfer'!$B$6="",ISNUMBER(SEARCH('Data Transfer'!$B$6,'Compliance Database'!$D574&amp;" "&amp;'Compliance Database'!$L574&amp;" "&amp;'Compliance Database'!$M574&amp;" "&amp;'Compliance Database'!$N574&amp;" "&amp;'Compliance Database'!$O574)))),1,0)</f>
        <v/>
      </c>
      <c r="B574">
        <f>IF($A574=1,SUM($A$2:$A574),"")</f>
        <v/>
      </c>
      <c r="C574">
        <f>IF($A574=1,SUM($A$2:$A574),0)</f>
        <v/>
      </c>
    </row>
    <row r="575">
      <c r="A575">
        <f>IF(AND(OR('Compliance Database'!$A575='Data Transfer'!$B$4,'Compliance Database'!$A575='Data Transfer'!$B$5),OR('Data Transfer'!$B$6="",ISNUMBER(SEARCH('Data Transfer'!$B$6,'Compliance Database'!$D575&amp;" "&amp;'Compliance Database'!$L575&amp;" "&amp;'Compliance Database'!$M575&amp;" "&amp;'Compliance Database'!$N575&amp;" "&amp;'Compliance Database'!$O575)))),1,0)</f>
        <v/>
      </c>
      <c r="B575">
        <f>IF($A575=1,SUM($A$2:$A575),"")</f>
        <v/>
      </c>
      <c r="C575">
        <f>IF($A575=1,SUM($A$2:$A575),0)</f>
        <v/>
      </c>
    </row>
    <row r="576">
      <c r="A576">
        <f>IF(AND(OR('Compliance Database'!$A576='Data Transfer'!$B$4,'Compliance Database'!$A576='Data Transfer'!$B$5),OR('Data Transfer'!$B$6="",ISNUMBER(SEARCH('Data Transfer'!$B$6,'Compliance Database'!$D576&amp;" "&amp;'Compliance Database'!$L576&amp;" "&amp;'Compliance Database'!$M576&amp;" "&amp;'Compliance Database'!$N576&amp;" "&amp;'Compliance Database'!$O576)))),1,0)</f>
        <v/>
      </c>
      <c r="B576">
        <f>IF($A576=1,SUM($A$2:$A576),"")</f>
        <v/>
      </c>
      <c r="C576">
        <f>IF($A576=1,SUM($A$2:$A576),0)</f>
        <v/>
      </c>
    </row>
    <row r="577">
      <c r="A577">
        <f>IF(AND(OR('Compliance Database'!$A577='Data Transfer'!$B$4,'Compliance Database'!$A577='Data Transfer'!$B$5),OR('Data Transfer'!$B$6="",ISNUMBER(SEARCH('Data Transfer'!$B$6,'Compliance Database'!$D577&amp;" "&amp;'Compliance Database'!$L577&amp;" "&amp;'Compliance Database'!$M577&amp;" "&amp;'Compliance Database'!$N577&amp;" "&amp;'Compliance Database'!$O577)))),1,0)</f>
        <v/>
      </c>
      <c r="B577">
        <f>IF($A577=1,SUM($A$2:$A577),"")</f>
        <v/>
      </c>
      <c r="C577">
        <f>IF($A577=1,SUM($A$2:$A577),0)</f>
        <v/>
      </c>
    </row>
    <row r="578">
      <c r="A578">
        <f>IF(AND(OR('Compliance Database'!$A578='Data Transfer'!$B$4,'Compliance Database'!$A578='Data Transfer'!$B$5),OR('Data Transfer'!$B$6="",ISNUMBER(SEARCH('Data Transfer'!$B$6,'Compliance Database'!$D578&amp;" "&amp;'Compliance Database'!$L578&amp;" "&amp;'Compliance Database'!$M578&amp;" "&amp;'Compliance Database'!$N578&amp;" "&amp;'Compliance Database'!$O578)))),1,0)</f>
        <v/>
      </c>
      <c r="B578">
        <f>IF($A578=1,SUM($A$2:$A578),"")</f>
        <v/>
      </c>
      <c r="C578">
        <f>IF($A578=1,SUM($A$2:$A578),0)</f>
        <v/>
      </c>
    </row>
    <row r="579">
      <c r="A579">
        <f>IF(AND(OR('Compliance Database'!$A579='Data Transfer'!$B$4,'Compliance Database'!$A579='Data Transfer'!$B$5),OR('Data Transfer'!$B$6="",ISNUMBER(SEARCH('Data Transfer'!$B$6,'Compliance Database'!$D579&amp;" "&amp;'Compliance Database'!$L579&amp;" "&amp;'Compliance Database'!$M579&amp;" "&amp;'Compliance Database'!$N579&amp;" "&amp;'Compliance Database'!$O579)))),1,0)</f>
        <v/>
      </c>
      <c r="B579">
        <f>IF($A579=1,SUM($A$2:$A579),"")</f>
        <v/>
      </c>
      <c r="C579">
        <f>IF($A579=1,SUM($A$2:$A579),0)</f>
        <v/>
      </c>
    </row>
    <row r="580">
      <c r="A580">
        <f>IF(AND(OR('Compliance Database'!$A580='Data Transfer'!$B$4,'Compliance Database'!$A580='Data Transfer'!$B$5),OR('Data Transfer'!$B$6="",ISNUMBER(SEARCH('Data Transfer'!$B$6,'Compliance Database'!$D580&amp;" "&amp;'Compliance Database'!$L580&amp;" "&amp;'Compliance Database'!$M580&amp;" "&amp;'Compliance Database'!$N580&amp;" "&amp;'Compliance Database'!$O580)))),1,0)</f>
        <v/>
      </c>
      <c r="B580">
        <f>IF($A580=1,SUM($A$2:$A580),"")</f>
        <v/>
      </c>
      <c r="C580">
        <f>IF($A580=1,SUM($A$2:$A580),0)</f>
        <v/>
      </c>
    </row>
    <row r="581">
      <c r="A581">
        <f>IF(AND(OR('Compliance Database'!$A581='Data Transfer'!$B$4,'Compliance Database'!$A581='Data Transfer'!$B$5),OR('Data Transfer'!$B$6="",ISNUMBER(SEARCH('Data Transfer'!$B$6,'Compliance Database'!$D581&amp;" "&amp;'Compliance Database'!$L581&amp;" "&amp;'Compliance Database'!$M581&amp;" "&amp;'Compliance Database'!$N581&amp;" "&amp;'Compliance Database'!$O581)))),1,0)</f>
        <v/>
      </c>
      <c r="B581">
        <f>IF($A581=1,SUM($A$2:$A581),"")</f>
        <v/>
      </c>
      <c r="C581">
        <f>IF($A581=1,SUM($A$2:$A581),0)</f>
        <v/>
      </c>
    </row>
    <row r="582">
      <c r="A582">
        <f>IF(AND(OR('Compliance Database'!$A582='Data Transfer'!$B$4,'Compliance Database'!$A582='Data Transfer'!$B$5),OR('Data Transfer'!$B$6="",ISNUMBER(SEARCH('Data Transfer'!$B$6,'Compliance Database'!$D582&amp;" "&amp;'Compliance Database'!$L582&amp;" "&amp;'Compliance Database'!$M582&amp;" "&amp;'Compliance Database'!$N582&amp;" "&amp;'Compliance Database'!$O582)))),1,0)</f>
        <v/>
      </c>
      <c r="B582">
        <f>IF($A582=1,SUM($A$2:$A582),"")</f>
        <v/>
      </c>
      <c r="C582">
        <f>IF($A582=1,SUM($A$2:$A582),0)</f>
        <v/>
      </c>
    </row>
    <row r="583">
      <c r="A583">
        <f>IF(AND(OR('Compliance Database'!$A583='Data Transfer'!$B$4,'Compliance Database'!$A583='Data Transfer'!$B$5),OR('Data Transfer'!$B$6="",ISNUMBER(SEARCH('Data Transfer'!$B$6,'Compliance Database'!$D583&amp;" "&amp;'Compliance Database'!$L583&amp;" "&amp;'Compliance Database'!$M583&amp;" "&amp;'Compliance Database'!$N583&amp;" "&amp;'Compliance Database'!$O583)))),1,0)</f>
        <v/>
      </c>
      <c r="B583">
        <f>IF($A583=1,SUM($A$2:$A583),"")</f>
        <v/>
      </c>
      <c r="C583">
        <f>IF($A583=1,SUM($A$2:$A583),0)</f>
        <v/>
      </c>
    </row>
    <row r="584">
      <c r="A584">
        <f>IF(AND(OR('Compliance Database'!$A584='Data Transfer'!$B$4,'Compliance Database'!$A584='Data Transfer'!$B$5),OR('Data Transfer'!$B$6="",ISNUMBER(SEARCH('Data Transfer'!$B$6,'Compliance Database'!$D584&amp;" "&amp;'Compliance Database'!$L584&amp;" "&amp;'Compliance Database'!$M584&amp;" "&amp;'Compliance Database'!$N584&amp;" "&amp;'Compliance Database'!$O584)))),1,0)</f>
        <v/>
      </c>
      <c r="B584">
        <f>IF($A584=1,SUM($A$2:$A584),"")</f>
        <v/>
      </c>
      <c r="C584">
        <f>IF($A584=1,SUM($A$2:$A584),0)</f>
        <v/>
      </c>
    </row>
    <row r="585">
      <c r="A585">
        <f>IF(AND(OR('Compliance Database'!$A585='Data Transfer'!$B$4,'Compliance Database'!$A585='Data Transfer'!$B$5),OR('Data Transfer'!$B$6="",ISNUMBER(SEARCH('Data Transfer'!$B$6,'Compliance Database'!$D585&amp;" "&amp;'Compliance Database'!$L585&amp;" "&amp;'Compliance Database'!$M585&amp;" "&amp;'Compliance Database'!$N585&amp;" "&amp;'Compliance Database'!$O585)))),1,0)</f>
        <v/>
      </c>
      <c r="B585">
        <f>IF($A585=1,SUM($A$2:$A585),"")</f>
        <v/>
      </c>
      <c r="C585">
        <f>IF($A585=1,SUM($A$2:$A585),0)</f>
        <v/>
      </c>
    </row>
    <row r="586">
      <c r="A586">
        <f>IF(AND(OR('Compliance Database'!$A586='Data Transfer'!$B$4,'Compliance Database'!$A586='Data Transfer'!$B$5),OR('Data Transfer'!$B$6="",ISNUMBER(SEARCH('Data Transfer'!$B$6,'Compliance Database'!$D586&amp;" "&amp;'Compliance Database'!$L586&amp;" "&amp;'Compliance Database'!$M586&amp;" "&amp;'Compliance Database'!$N586&amp;" "&amp;'Compliance Database'!$O586)))),1,0)</f>
        <v/>
      </c>
      <c r="B586">
        <f>IF($A586=1,SUM($A$2:$A586),"")</f>
        <v/>
      </c>
      <c r="C586">
        <f>IF($A586=1,SUM($A$2:$A586),0)</f>
        <v/>
      </c>
    </row>
    <row r="587">
      <c r="A587">
        <f>IF(AND(OR('Compliance Database'!$A587='Data Transfer'!$B$4,'Compliance Database'!$A587='Data Transfer'!$B$5),OR('Data Transfer'!$B$6="",ISNUMBER(SEARCH('Data Transfer'!$B$6,'Compliance Database'!$D587&amp;" "&amp;'Compliance Database'!$L587&amp;" "&amp;'Compliance Database'!$M587&amp;" "&amp;'Compliance Database'!$N587&amp;" "&amp;'Compliance Database'!$O587)))),1,0)</f>
        <v/>
      </c>
      <c r="B587">
        <f>IF($A587=1,SUM($A$2:$A587),"")</f>
        <v/>
      </c>
      <c r="C587">
        <f>IF($A587=1,SUM($A$2:$A587),0)</f>
        <v/>
      </c>
    </row>
    <row r="588">
      <c r="A588">
        <f>IF(AND(OR('Compliance Database'!$A588='Data Transfer'!$B$4,'Compliance Database'!$A588='Data Transfer'!$B$5),OR('Data Transfer'!$B$6="",ISNUMBER(SEARCH('Data Transfer'!$B$6,'Compliance Database'!$D588&amp;" "&amp;'Compliance Database'!$L588&amp;" "&amp;'Compliance Database'!$M588&amp;" "&amp;'Compliance Database'!$N588&amp;" "&amp;'Compliance Database'!$O588)))),1,0)</f>
        <v/>
      </c>
      <c r="B588">
        <f>IF($A588=1,SUM($A$2:$A588),"")</f>
        <v/>
      </c>
      <c r="C588">
        <f>IF($A588=1,SUM($A$2:$A588),0)</f>
        <v/>
      </c>
    </row>
    <row r="589">
      <c r="A589">
        <f>IF(AND(OR('Compliance Database'!$A589='Data Transfer'!$B$4,'Compliance Database'!$A589='Data Transfer'!$B$5),OR('Data Transfer'!$B$6="",ISNUMBER(SEARCH('Data Transfer'!$B$6,'Compliance Database'!$D589&amp;" "&amp;'Compliance Database'!$L589&amp;" "&amp;'Compliance Database'!$M589&amp;" "&amp;'Compliance Database'!$N589&amp;" "&amp;'Compliance Database'!$O589)))),1,0)</f>
        <v/>
      </c>
      <c r="B589">
        <f>IF($A589=1,SUM($A$2:$A589),"")</f>
        <v/>
      </c>
      <c r="C589">
        <f>IF($A589=1,SUM($A$2:$A589),0)</f>
        <v/>
      </c>
    </row>
    <row r="590">
      <c r="A590">
        <f>IF(AND(OR('Compliance Database'!$A590='Data Transfer'!$B$4,'Compliance Database'!$A590='Data Transfer'!$B$5),OR('Data Transfer'!$B$6="",ISNUMBER(SEARCH('Data Transfer'!$B$6,'Compliance Database'!$D590&amp;" "&amp;'Compliance Database'!$L590&amp;" "&amp;'Compliance Database'!$M590&amp;" "&amp;'Compliance Database'!$N590&amp;" "&amp;'Compliance Database'!$O590)))),1,0)</f>
        <v/>
      </c>
      <c r="B590">
        <f>IF($A590=1,SUM($A$2:$A590),"")</f>
        <v/>
      </c>
      <c r="C590">
        <f>IF($A590=1,SUM($A$2:$A590),0)</f>
        <v/>
      </c>
    </row>
    <row r="591">
      <c r="A591">
        <f>IF(AND(OR('Compliance Database'!$A591='Data Transfer'!$B$4,'Compliance Database'!$A591='Data Transfer'!$B$5),OR('Data Transfer'!$B$6="",ISNUMBER(SEARCH('Data Transfer'!$B$6,'Compliance Database'!$D591&amp;" "&amp;'Compliance Database'!$L591&amp;" "&amp;'Compliance Database'!$M591&amp;" "&amp;'Compliance Database'!$N591&amp;" "&amp;'Compliance Database'!$O591)))),1,0)</f>
        <v/>
      </c>
      <c r="B591">
        <f>IF($A591=1,SUM($A$2:$A591),"")</f>
        <v/>
      </c>
      <c r="C591">
        <f>IF($A591=1,SUM($A$2:$A591),0)</f>
        <v/>
      </c>
    </row>
    <row r="592">
      <c r="A592">
        <f>IF(AND(OR('Compliance Database'!$A592='Data Transfer'!$B$4,'Compliance Database'!$A592='Data Transfer'!$B$5),OR('Data Transfer'!$B$6="",ISNUMBER(SEARCH('Data Transfer'!$B$6,'Compliance Database'!$D592&amp;" "&amp;'Compliance Database'!$L592&amp;" "&amp;'Compliance Database'!$M592&amp;" "&amp;'Compliance Database'!$N592&amp;" "&amp;'Compliance Database'!$O592)))),1,0)</f>
        <v/>
      </c>
      <c r="B592">
        <f>IF($A592=1,SUM($A$2:$A592),"")</f>
        <v/>
      </c>
      <c r="C592">
        <f>IF($A592=1,SUM($A$2:$A592),0)</f>
        <v/>
      </c>
    </row>
    <row r="593">
      <c r="A593">
        <f>IF(AND(OR('Compliance Database'!$A593='Data Transfer'!$B$4,'Compliance Database'!$A593='Data Transfer'!$B$5),OR('Data Transfer'!$B$6="",ISNUMBER(SEARCH('Data Transfer'!$B$6,'Compliance Database'!$D593&amp;" "&amp;'Compliance Database'!$L593&amp;" "&amp;'Compliance Database'!$M593&amp;" "&amp;'Compliance Database'!$N593&amp;" "&amp;'Compliance Database'!$O593)))),1,0)</f>
        <v/>
      </c>
      <c r="B593">
        <f>IF($A593=1,SUM($A$2:$A593),"")</f>
        <v/>
      </c>
      <c r="C593">
        <f>IF($A593=1,SUM($A$2:$A593),0)</f>
        <v/>
      </c>
    </row>
    <row r="594">
      <c r="A594">
        <f>IF(AND(OR('Compliance Database'!$A594='Data Transfer'!$B$4,'Compliance Database'!$A594='Data Transfer'!$B$5),OR('Data Transfer'!$B$6="",ISNUMBER(SEARCH('Data Transfer'!$B$6,'Compliance Database'!$D594&amp;" "&amp;'Compliance Database'!$L594&amp;" "&amp;'Compliance Database'!$M594&amp;" "&amp;'Compliance Database'!$N594&amp;" "&amp;'Compliance Database'!$O594)))),1,0)</f>
        <v/>
      </c>
      <c r="B594">
        <f>IF($A594=1,SUM($A$2:$A594),"")</f>
        <v/>
      </c>
      <c r="C594">
        <f>IF($A594=1,SUM($A$2:$A594),0)</f>
        <v/>
      </c>
    </row>
    <row r="595">
      <c r="A595">
        <f>IF(AND(OR('Compliance Database'!$A595='Data Transfer'!$B$4,'Compliance Database'!$A595='Data Transfer'!$B$5),OR('Data Transfer'!$B$6="",ISNUMBER(SEARCH('Data Transfer'!$B$6,'Compliance Database'!$D595&amp;" "&amp;'Compliance Database'!$L595&amp;" "&amp;'Compliance Database'!$M595&amp;" "&amp;'Compliance Database'!$N595&amp;" "&amp;'Compliance Database'!$O595)))),1,0)</f>
        <v/>
      </c>
      <c r="B595">
        <f>IF($A595=1,SUM($A$2:$A595),"")</f>
        <v/>
      </c>
      <c r="C595">
        <f>IF($A595=1,SUM($A$2:$A595),0)</f>
        <v/>
      </c>
    </row>
    <row r="596">
      <c r="A596">
        <f>IF(AND(OR('Compliance Database'!$A596='Data Transfer'!$B$4,'Compliance Database'!$A596='Data Transfer'!$B$5),OR('Data Transfer'!$B$6="",ISNUMBER(SEARCH('Data Transfer'!$B$6,'Compliance Database'!$D596&amp;" "&amp;'Compliance Database'!$L596&amp;" "&amp;'Compliance Database'!$M596&amp;" "&amp;'Compliance Database'!$N596&amp;" "&amp;'Compliance Database'!$O596)))),1,0)</f>
        <v/>
      </c>
      <c r="B596">
        <f>IF($A596=1,SUM($A$2:$A596),"")</f>
        <v/>
      </c>
      <c r="C596">
        <f>IF($A596=1,SUM($A$2:$A596),0)</f>
        <v/>
      </c>
    </row>
    <row r="597">
      <c r="A597">
        <f>IF(AND(OR('Compliance Database'!$A597='Data Transfer'!$B$4,'Compliance Database'!$A597='Data Transfer'!$B$5),OR('Data Transfer'!$B$6="",ISNUMBER(SEARCH('Data Transfer'!$B$6,'Compliance Database'!$D597&amp;" "&amp;'Compliance Database'!$L597&amp;" "&amp;'Compliance Database'!$M597&amp;" "&amp;'Compliance Database'!$N597&amp;" "&amp;'Compliance Database'!$O597)))),1,0)</f>
        <v/>
      </c>
      <c r="B597">
        <f>IF($A597=1,SUM($A$2:$A597),"")</f>
        <v/>
      </c>
      <c r="C597">
        <f>IF($A597=1,SUM($A$2:$A597),0)</f>
        <v/>
      </c>
    </row>
    <row r="598">
      <c r="A598">
        <f>IF(AND(OR('Compliance Database'!$A598='Data Transfer'!$B$4,'Compliance Database'!$A598='Data Transfer'!$B$5),OR('Data Transfer'!$B$6="",ISNUMBER(SEARCH('Data Transfer'!$B$6,'Compliance Database'!$D598&amp;" "&amp;'Compliance Database'!$L598&amp;" "&amp;'Compliance Database'!$M598&amp;" "&amp;'Compliance Database'!$N598&amp;" "&amp;'Compliance Database'!$O598)))),1,0)</f>
        <v/>
      </c>
      <c r="B598">
        <f>IF($A598=1,SUM($A$2:$A598),"")</f>
        <v/>
      </c>
      <c r="C598">
        <f>IF($A598=1,SUM($A$2:$A598),0)</f>
        <v/>
      </c>
    </row>
    <row r="599">
      <c r="A599">
        <f>IF(AND(OR('Compliance Database'!$A599='Data Transfer'!$B$4,'Compliance Database'!$A599='Data Transfer'!$B$5),OR('Data Transfer'!$B$6="",ISNUMBER(SEARCH('Data Transfer'!$B$6,'Compliance Database'!$D599&amp;" "&amp;'Compliance Database'!$L599&amp;" "&amp;'Compliance Database'!$M599&amp;" "&amp;'Compliance Database'!$N599&amp;" "&amp;'Compliance Database'!$O599)))),1,0)</f>
        <v/>
      </c>
      <c r="B599">
        <f>IF($A599=1,SUM($A$2:$A599),"")</f>
        <v/>
      </c>
      <c r="C599">
        <f>IF($A599=1,SUM($A$2:$A599),0)</f>
        <v/>
      </c>
    </row>
    <row r="600">
      <c r="A600">
        <f>IF(AND(OR('Compliance Database'!$A600='Data Transfer'!$B$4,'Compliance Database'!$A600='Data Transfer'!$B$5),OR('Data Transfer'!$B$6="",ISNUMBER(SEARCH('Data Transfer'!$B$6,'Compliance Database'!$D600&amp;" "&amp;'Compliance Database'!$L600&amp;" "&amp;'Compliance Database'!$M600&amp;" "&amp;'Compliance Database'!$N600&amp;" "&amp;'Compliance Database'!$O600)))),1,0)</f>
        <v/>
      </c>
      <c r="B600">
        <f>IF($A600=1,SUM($A$2:$A600),"")</f>
        <v/>
      </c>
      <c r="C600">
        <f>IF($A600=1,SUM($A$2:$A600),0)</f>
        <v/>
      </c>
    </row>
    <row r="601">
      <c r="A601">
        <f>IF(AND(OR('Compliance Database'!$A601='Data Transfer'!$B$4,'Compliance Database'!$A601='Data Transfer'!$B$5),OR('Data Transfer'!$B$6="",ISNUMBER(SEARCH('Data Transfer'!$B$6,'Compliance Database'!$D601&amp;" "&amp;'Compliance Database'!$L601&amp;" "&amp;'Compliance Database'!$M601&amp;" "&amp;'Compliance Database'!$N601&amp;" "&amp;'Compliance Database'!$O601)))),1,0)</f>
        <v/>
      </c>
      <c r="B601">
        <f>IF($A601=1,SUM($A$2:$A601),"")</f>
        <v/>
      </c>
      <c r="C601">
        <f>IF($A601=1,SUM($A$2:$A601),0)</f>
        <v/>
      </c>
    </row>
    <row r="602">
      <c r="A602">
        <f>IF(AND(OR('Compliance Database'!$A602='Data Transfer'!$B$4,'Compliance Database'!$A602='Data Transfer'!$B$5),OR('Data Transfer'!$B$6="",ISNUMBER(SEARCH('Data Transfer'!$B$6,'Compliance Database'!$D602&amp;" "&amp;'Compliance Database'!$L602&amp;" "&amp;'Compliance Database'!$M602&amp;" "&amp;'Compliance Database'!$N602&amp;" "&amp;'Compliance Database'!$O602)))),1,0)</f>
        <v/>
      </c>
      <c r="B602">
        <f>IF($A602=1,SUM($A$2:$A602),"")</f>
        <v/>
      </c>
      <c r="C602">
        <f>IF($A602=1,SUM($A$2:$A602),0)</f>
        <v/>
      </c>
    </row>
    <row r="603">
      <c r="A603">
        <f>IF(AND(OR('Compliance Database'!$A603='Data Transfer'!$B$4,'Compliance Database'!$A603='Data Transfer'!$B$5),OR('Data Transfer'!$B$6="",ISNUMBER(SEARCH('Data Transfer'!$B$6,'Compliance Database'!$D603&amp;" "&amp;'Compliance Database'!$L603&amp;" "&amp;'Compliance Database'!$M603&amp;" "&amp;'Compliance Database'!$N603&amp;" "&amp;'Compliance Database'!$O603)))),1,0)</f>
        <v/>
      </c>
      <c r="B603">
        <f>IF($A603=1,SUM($A$2:$A603),"")</f>
        <v/>
      </c>
      <c r="C603">
        <f>IF($A603=1,SUM($A$2:$A603),0)</f>
        <v/>
      </c>
    </row>
    <row r="604">
      <c r="A604">
        <f>IF(AND(OR('Compliance Database'!$A604='Data Transfer'!$B$4,'Compliance Database'!$A604='Data Transfer'!$B$5),OR('Data Transfer'!$B$6="",ISNUMBER(SEARCH('Data Transfer'!$B$6,'Compliance Database'!$D604&amp;" "&amp;'Compliance Database'!$L604&amp;" "&amp;'Compliance Database'!$M604&amp;" "&amp;'Compliance Database'!$N604&amp;" "&amp;'Compliance Database'!$O604)))),1,0)</f>
        <v/>
      </c>
      <c r="B604">
        <f>IF($A604=1,SUM($A$2:$A604),"")</f>
        <v/>
      </c>
      <c r="C604">
        <f>IF($A604=1,SUM($A$2:$A604),0)</f>
        <v/>
      </c>
    </row>
    <row r="605">
      <c r="A605">
        <f>IF(AND(OR('Compliance Database'!$A605='Data Transfer'!$B$4,'Compliance Database'!$A605='Data Transfer'!$B$5),OR('Data Transfer'!$B$6="",ISNUMBER(SEARCH('Data Transfer'!$B$6,'Compliance Database'!$D605&amp;" "&amp;'Compliance Database'!$L605&amp;" "&amp;'Compliance Database'!$M605&amp;" "&amp;'Compliance Database'!$N605&amp;" "&amp;'Compliance Database'!$O605)))),1,0)</f>
        <v/>
      </c>
      <c r="B605">
        <f>IF($A605=1,SUM($A$2:$A605),"")</f>
        <v/>
      </c>
      <c r="C605">
        <f>IF($A605=1,SUM($A$2:$A605),0)</f>
        <v/>
      </c>
    </row>
    <row r="606">
      <c r="A606">
        <f>IF(AND(OR('Compliance Database'!$A606='Data Transfer'!$B$4,'Compliance Database'!$A606='Data Transfer'!$B$5),OR('Data Transfer'!$B$6="",ISNUMBER(SEARCH('Data Transfer'!$B$6,'Compliance Database'!$D606&amp;" "&amp;'Compliance Database'!$L606&amp;" "&amp;'Compliance Database'!$M606&amp;" "&amp;'Compliance Database'!$N606&amp;" "&amp;'Compliance Database'!$O606)))),1,0)</f>
        <v/>
      </c>
      <c r="B606">
        <f>IF($A606=1,SUM($A$2:$A606),"")</f>
        <v/>
      </c>
      <c r="C606">
        <f>IF($A606=1,SUM($A$2:$A606),0)</f>
        <v/>
      </c>
    </row>
    <row r="607">
      <c r="A607">
        <f>IF(AND(OR('Compliance Database'!$A607='Data Transfer'!$B$4,'Compliance Database'!$A607='Data Transfer'!$B$5),OR('Data Transfer'!$B$6="",ISNUMBER(SEARCH('Data Transfer'!$B$6,'Compliance Database'!$D607&amp;" "&amp;'Compliance Database'!$L607&amp;" "&amp;'Compliance Database'!$M607&amp;" "&amp;'Compliance Database'!$N607&amp;" "&amp;'Compliance Database'!$O607)))),1,0)</f>
        <v/>
      </c>
      <c r="B607">
        <f>IF($A607=1,SUM($A$2:$A607),"")</f>
        <v/>
      </c>
      <c r="C607">
        <f>IF($A607=1,SUM($A$2:$A607),0)</f>
        <v/>
      </c>
    </row>
    <row r="608">
      <c r="A608">
        <f>IF(AND(OR('Compliance Database'!$A608='Data Transfer'!$B$4,'Compliance Database'!$A608='Data Transfer'!$B$5),OR('Data Transfer'!$B$6="",ISNUMBER(SEARCH('Data Transfer'!$B$6,'Compliance Database'!$D608&amp;" "&amp;'Compliance Database'!$L608&amp;" "&amp;'Compliance Database'!$M608&amp;" "&amp;'Compliance Database'!$N608&amp;" "&amp;'Compliance Database'!$O608)))),1,0)</f>
        <v/>
      </c>
      <c r="B608">
        <f>IF($A608=1,SUM($A$2:$A608),"")</f>
        <v/>
      </c>
      <c r="C608">
        <f>IF($A608=1,SUM($A$2:$A608),0)</f>
        <v/>
      </c>
    </row>
    <row r="609">
      <c r="A609">
        <f>IF(AND(OR('Compliance Database'!$A609='Data Transfer'!$B$4,'Compliance Database'!$A609='Data Transfer'!$B$5),OR('Data Transfer'!$B$6="",ISNUMBER(SEARCH('Data Transfer'!$B$6,'Compliance Database'!$D609&amp;" "&amp;'Compliance Database'!$L609&amp;" "&amp;'Compliance Database'!$M609&amp;" "&amp;'Compliance Database'!$N609&amp;" "&amp;'Compliance Database'!$O609)))),1,0)</f>
        <v/>
      </c>
      <c r="B609">
        <f>IF($A609=1,SUM($A$2:$A609),"")</f>
        <v/>
      </c>
      <c r="C609">
        <f>IF($A609=1,SUM($A$2:$A609),0)</f>
        <v/>
      </c>
    </row>
    <row r="610">
      <c r="A610">
        <f>IF(AND(OR('Compliance Database'!$A610='Data Transfer'!$B$4,'Compliance Database'!$A610='Data Transfer'!$B$5),OR('Data Transfer'!$B$6="",ISNUMBER(SEARCH('Data Transfer'!$B$6,'Compliance Database'!$D610&amp;" "&amp;'Compliance Database'!$L610&amp;" "&amp;'Compliance Database'!$M610&amp;" "&amp;'Compliance Database'!$N610&amp;" "&amp;'Compliance Database'!$O610)))),1,0)</f>
        <v/>
      </c>
      <c r="B610">
        <f>IF($A610=1,SUM($A$2:$A610),"")</f>
        <v/>
      </c>
      <c r="C610">
        <f>IF($A610=1,SUM($A$2:$A610),0)</f>
        <v/>
      </c>
    </row>
    <row r="611">
      <c r="A611">
        <f>IF(AND(OR('Compliance Database'!$A611='Data Transfer'!$B$4,'Compliance Database'!$A611='Data Transfer'!$B$5),OR('Data Transfer'!$B$6="",ISNUMBER(SEARCH('Data Transfer'!$B$6,'Compliance Database'!$D611&amp;" "&amp;'Compliance Database'!$L611&amp;" "&amp;'Compliance Database'!$M611&amp;" "&amp;'Compliance Database'!$N611&amp;" "&amp;'Compliance Database'!$O611)))),1,0)</f>
        <v/>
      </c>
      <c r="B611">
        <f>IF($A611=1,SUM($A$2:$A611),"")</f>
        <v/>
      </c>
      <c r="C611">
        <f>IF($A611=1,SUM($A$2:$A611),0)</f>
        <v/>
      </c>
    </row>
    <row r="612">
      <c r="A612">
        <f>IF(AND(OR('Compliance Database'!$A612='Data Transfer'!$B$4,'Compliance Database'!$A612='Data Transfer'!$B$5),OR('Data Transfer'!$B$6="",ISNUMBER(SEARCH('Data Transfer'!$B$6,'Compliance Database'!$D612&amp;" "&amp;'Compliance Database'!$L612&amp;" "&amp;'Compliance Database'!$M612&amp;" "&amp;'Compliance Database'!$N612&amp;" "&amp;'Compliance Database'!$O612)))),1,0)</f>
        <v/>
      </c>
      <c r="B612">
        <f>IF($A612=1,SUM($A$2:$A612),"")</f>
        <v/>
      </c>
      <c r="C612">
        <f>IF($A612=1,SUM($A$2:$A612),0)</f>
        <v/>
      </c>
    </row>
    <row r="613">
      <c r="A613">
        <f>IF(AND(OR('Compliance Database'!$A613='Data Transfer'!$B$4,'Compliance Database'!$A613='Data Transfer'!$B$5),OR('Data Transfer'!$B$6="",ISNUMBER(SEARCH('Data Transfer'!$B$6,'Compliance Database'!$D613&amp;" "&amp;'Compliance Database'!$L613&amp;" "&amp;'Compliance Database'!$M613&amp;" "&amp;'Compliance Database'!$N613&amp;" "&amp;'Compliance Database'!$O613)))),1,0)</f>
        <v/>
      </c>
      <c r="B613">
        <f>IF($A613=1,SUM($A$2:$A613),"")</f>
        <v/>
      </c>
      <c r="C613">
        <f>IF($A613=1,SUM($A$2:$A613),0)</f>
        <v/>
      </c>
    </row>
    <row r="614">
      <c r="A614">
        <f>IF(AND(OR('Compliance Database'!$A614='Data Transfer'!$B$4,'Compliance Database'!$A614='Data Transfer'!$B$5),OR('Data Transfer'!$B$6="",ISNUMBER(SEARCH('Data Transfer'!$B$6,'Compliance Database'!$D614&amp;" "&amp;'Compliance Database'!$L614&amp;" "&amp;'Compliance Database'!$M614&amp;" "&amp;'Compliance Database'!$N614&amp;" "&amp;'Compliance Database'!$O614)))),1,0)</f>
        <v/>
      </c>
      <c r="B614">
        <f>IF($A614=1,SUM($A$2:$A614),"")</f>
        <v/>
      </c>
      <c r="C614">
        <f>IF($A614=1,SUM($A$2:$A614),0)</f>
        <v/>
      </c>
    </row>
    <row r="615">
      <c r="A615">
        <f>IF(AND(OR('Compliance Database'!$A615='Data Transfer'!$B$4,'Compliance Database'!$A615='Data Transfer'!$B$5),OR('Data Transfer'!$B$6="",ISNUMBER(SEARCH('Data Transfer'!$B$6,'Compliance Database'!$D615&amp;" "&amp;'Compliance Database'!$L615&amp;" "&amp;'Compliance Database'!$M615&amp;" "&amp;'Compliance Database'!$N615&amp;" "&amp;'Compliance Database'!$O615)))),1,0)</f>
        <v/>
      </c>
      <c r="B615">
        <f>IF($A615=1,SUM($A$2:$A615),"")</f>
        <v/>
      </c>
      <c r="C615">
        <f>IF($A615=1,SUM($A$2:$A615),0)</f>
        <v/>
      </c>
    </row>
    <row r="616">
      <c r="A616">
        <f>IF(AND(OR('Compliance Database'!$A616='Data Transfer'!$B$4,'Compliance Database'!$A616='Data Transfer'!$B$5),OR('Data Transfer'!$B$6="",ISNUMBER(SEARCH('Data Transfer'!$B$6,'Compliance Database'!$D616&amp;" "&amp;'Compliance Database'!$L616&amp;" "&amp;'Compliance Database'!$M616&amp;" "&amp;'Compliance Database'!$N616&amp;" "&amp;'Compliance Database'!$O616)))),1,0)</f>
        <v/>
      </c>
      <c r="B616">
        <f>IF($A616=1,SUM($A$2:$A616),"")</f>
        <v/>
      </c>
      <c r="C616">
        <f>IF($A616=1,SUM($A$2:$A616),0)</f>
        <v/>
      </c>
    </row>
    <row r="617">
      <c r="A617">
        <f>IF(AND(OR('Compliance Database'!$A617='Data Transfer'!$B$4,'Compliance Database'!$A617='Data Transfer'!$B$5),OR('Data Transfer'!$B$6="",ISNUMBER(SEARCH('Data Transfer'!$B$6,'Compliance Database'!$D617&amp;" "&amp;'Compliance Database'!$L617&amp;" "&amp;'Compliance Database'!$M617&amp;" "&amp;'Compliance Database'!$N617&amp;" "&amp;'Compliance Database'!$O617)))),1,0)</f>
        <v/>
      </c>
      <c r="B617">
        <f>IF($A617=1,SUM($A$2:$A617),"")</f>
        <v/>
      </c>
      <c r="C617">
        <f>IF($A617=1,SUM($A$2:$A617),0)</f>
        <v/>
      </c>
    </row>
    <row r="618">
      <c r="A618">
        <f>IF(AND(OR('Compliance Database'!$A618='Data Transfer'!$B$4,'Compliance Database'!$A618='Data Transfer'!$B$5),OR('Data Transfer'!$B$6="",ISNUMBER(SEARCH('Data Transfer'!$B$6,'Compliance Database'!$D618&amp;" "&amp;'Compliance Database'!$L618&amp;" "&amp;'Compliance Database'!$M618&amp;" "&amp;'Compliance Database'!$N618&amp;" "&amp;'Compliance Database'!$O618)))),1,0)</f>
        <v/>
      </c>
      <c r="B618">
        <f>IF($A618=1,SUM($A$2:$A618),"")</f>
        <v/>
      </c>
      <c r="C618">
        <f>IF($A618=1,SUM($A$2:$A618),0)</f>
        <v/>
      </c>
    </row>
    <row r="619">
      <c r="A619">
        <f>IF(AND(OR('Compliance Database'!$A619='Data Transfer'!$B$4,'Compliance Database'!$A619='Data Transfer'!$B$5),OR('Data Transfer'!$B$6="",ISNUMBER(SEARCH('Data Transfer'!$B$6,'Compliance Database'!$D619&amp;" "&amp;'Compliance Database'!$L619&amp;" "&amp;'Compliance Database'!$M619&amp;" "&amp;'Compliance Database'!$N619&amp;" "&amp;'Compliance Database'!$O619)))),1,0)</f>
        <v/>
      </c>
      <c r="B619">
        <f>IF($A619=1,SUM($A$2:$A619),"")</f>
        <v/>
      </c>
      <c r="C619">
        <f>IF($A619=1,SUM($A$2:$A619),0)</f>
        <v/>
      </c>
    </row>
    <row r="620">
      <c r="A620">
        <f>IF(AND(OR('Compliance Database'!$A620='Data Transfer'!$B$4,'Compliance Database'!$A620='Data Transfer'!$B$5),OR('Data Transfer'!$B$6="",ISNUMBER(SEARCH('Data Transfer'!$B$6,'Compliance Database'!$D620&amp;" "&amp;'Compliance Database'!$L620&amp;" "&amp;'Compliance Database'!$M620&amp;" "&amp;'Compliance Database'!$N620&amp;" "&amp;'Compliance Database'!$O620)))),1,0)</f>
        <v/>
      </c>
      <c r="B620">
        <f>IF($A620=1,SUM($A$2:$A620),"")</f>
        <v/>
      </c>
      <c r="C620">
        <f>IF($A620=1,SUM($A$2:$A620),0)</f>
        <v/>
      </c>
    </row>
    <row r="621">
      <c r="A621">
        <f>IF(AND(OR('Compliance Database'!$A621='Data Transfer'!$B$4,'Compliance Database'!$A621='Data Transfer'!$B$5),OR('Data Transfer'!$B$6="",ISNUMBER(SEARCH('Data Transfer'!$B$6,'Compliance Database'!$D621&amp;" "&amp;'Compliance Database'!$L621&amp;" "&amp;'Compliance Database'!$M621&amp;" "&amp;'Compliance Database'!$N621&amp;" "&amp;'Compliance Database'!$O621)))),1,0)</f>
        <v/>
      </c>
      <c r="B621">
        <f>IF($A621=1,SUM($A$2:$A621),"")</f>
        <v/>
      </c>
      <c r="C621">
        <f>IF($A621=1,SUM($A$2:$A621),0)</f>
        <v/>
      </c>
    </row>
    <row r="622">
      <c r="A622">
        <f>IF(AND(OR('Compliance Database'!$A622='Data Transfer'!$B$4,'Compliance Database'!$A622='Data Transfer'!$B$5),OR('Data Transfer'!$B$6="",ISNUMBER(SEARCH('Data Transfer'!$B$6,'Compliance Database'!$D622&amp;" "&amp;'Compliance Database'!$L622&amp;" "&amp;'Compliance Database'!$M622&amp;" "&amp;'Compliance Database'!$N622&amp;" "&amp;'Compliance Database'!$O622)))),1,0)</f>
        <v/>
      </c>
      <c r="B622">
        <f>IF($A622=1,SUM($A$2:$A622),"")</f>
        <v/>
      </c>
      <c r="C622">
        <f>IF($A622=1,SUM($A$2:$A622),0)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2026-07-15T14:03:20Z</dcterms:created>
  <dcterms:modified xmlns:dcterms="http://purl.org/dc/terms/" xmlns:xsi="http://www.w3.org/2001/XMLSchema-instance" xsi:type="dcterms:W3CDTF">2026-07-15T14:03:20Z</dcterms:modified>
</cp:coreProperties>
</file>