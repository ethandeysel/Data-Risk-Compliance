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ethan\OneDrive\Documents\CSI\Data Regs\Data-Risk-Compliance\"/>
    </mc:Choice>
  </mc:AlternateContent>
  <xr:revisionPtr revIDLastSave="0" documentId="13_ncr:1_{0A1460D7-B9C7-4725-BF2F-53678EA650E6}" xr6:coauthVersionLast="47" xr6:coauthVersionMax="47" xr10:uidLastSave="{00000000-0000-0000-0000-000000000000}"/>
  <bookViews>
    <workbookView xWindow="-108" yWindow="-108" windowWidth="23256" windowHeight="12456" activeTab="1" xr2:uid="{00000000-000D-0000-FFFF-FFFF00000000}"/>
  </bookViews>
  <sheets>
    <sheet name="Home" sheetId="1" r:id="rId1"/>
    <sheet name="Query" sheetId="2" r:id="rId2"/>
    <sheet name="Compliance Database" sheetId="3" r:id="rId3"/>
    <sheet name="Acts" sheetId="4" r:id="rId4"/>
    <sheet name="Regulators" sheetId="5" r:id="rId5"/>
    <sheet name="Topics" sheetId="6" r:id="rId6"/>
    <sheet name="Lists" sheetId="7" state="hidden" r:id="rId7"/>
    <sheet name="Engine" sheetId="8" state="hidden"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65" i="8" l="1"/>
  <c r="A264" i="8"/>
  <c r="A263" i="8"/>
  <c r="A262" i="8"/>
  <c r="A261" i="8"/>
  <c r="A260" i="8"/>
  <c r="A259" i="8"/>
  <c r="A258" i="8"/>
  <c r="A257" i="8"/>
  <c r="A256" i="8"/>
  <c r="A255" i="8"/>
  <c r="A254" i="8"/>
  <c r="A253" i="8"/>
  <c r="A252" i="8"/>
  <c r="A251" i="8"/>
  <c r="A250" i="8"/>
  <c r="A249" i="8"/>
  <c r="A248" i="8"/>
  <c r="A247" i="8"/>
  <c r="A246" i="8"/>
  <c r="A245" i="8"/>
  <c r="A244" i="8"/>
  <c r="A243" i="8"/>
  <c r="A242" i="8"/>
  <c r="A241" i="8"/>
  <c r="A240" i="8"/>
  <c r="A239" i="8"/>
  <c r="A238" i="8"/>
  <c r="A237" i="8"/>
  <c r="A236" i="8"/>
  <c r="A235" i="8"/>
  <c r="A234" i="8"/>
  <c r="A233" i="8"/>
  <c r="A232" i="8"/>
  <c r="A231" i="8"/>
  <c r="A230" i="8"/>
  <c r="A229" i="8"/>
  <c r="A228" i="8"/>
  <c r="A227" i="8"/>
  <c r="A226" i="8"/>
  <c r="A225" i="8"/>
  <c r="A224" i="8"/>
  <c r="A223" i="8"/>
  <c r="A222" i="8"/>
  <c r="A221" i="8"/>
  <c r="A220" i="8"/>
  <c r="A219" i="8"/>
  <c r="A218" i="8"/>
  <c r="A217" i="8"/>
  <c r="A216" i="8"/>
  <c r="A215" i="8"/>
  <c r="A214" i="8"/>
  <c r="A213" i="8"/>
  <c r="A212" i="8"/>
  <c r="A211" i="8"/>
  <c r="A210" i="8"/>
  <c r="A209" i="8"/>
  <c r="A208" i="8"/>
  <c r="A207" i="8"/>
  <c r="A206" i="8"/>
  <c r="A205" i="8"/>
  <c r="A204" i="8"/>
  <c r="A203" i="8"/>
  <c r="A202" i="8"/>
  <c r="A201" i="8"/>
  <c r="A200" i="8"/>
  <c r="A199" i="8"/>
  <c r="A198" i="8"/>
  <c r="A197" i="8"/>
  <c r="A196" i="8"/>
  <c r="A195" i="8"/>
  <c r="A194" i="8"/>
  <c r="A193" i="8"/>
  <c r="A192" i="8"/>
  <c r="A191" i="8"/>
  <c r="A190" i="8"/>
  <c r="A189" i="8"/>
  <c r="A188" i="8"/>
  <c r="A187" i="8"/>
  <c r="A186" i="8"/>
  <c r="A185" i="8"/>
  <c r="A184" i="8"/>
  <c r="A183" i="8"/>
  <c r="A182" i="8"/>
  <c r="A181" i="8"/>
  <c r="A180" i="8"/>
  <c r="A179" i="8"/>
  <c r="A178" i="8"/>
  <c r="A177" i="8"/>
  <c r="A176" i="8"/>
  <c r="A175" i="8"/>
  <c r="A174" i="8"/>
  <c r="A173" i="8"/>
  <c r="A172" i="8"/>
  <c r="A171" i="8"/>
  <c r="A170" i="8"/>
  <c r="A169" i="8"/>
  <c r="A168" i="8"/>
  <c r="A167" i="8"/>
  <c r="A166" i="8"/>
  <c r="A165" i="8"/>
  <c r="A164" i="8"/>
  <c r="A163" i="8"/>
  <c r="A162" i="8"/>
  <c r="A161" i="8"/>
  <c r="A160" i="8"/>
  <c r="A159" i="8"/>
  <c r="A158" i="8"/>
  <c r="A157" i="8"/>
  <c r="A156" i="8"/>
  <c r="A155" i="8"/>
  <c r="A154" i="8"/>
  <c r="A153" i="8"/>
  <c r="A152" i="8"/>
  <c r="A151" i="8"/>
  <c r="A150" i="8"/>
  <c r="A149" i="8"/>
  <c r="A148" i="8"/>
  <c r="A147" i="8"/>
  <c r="A146" i="8"/>
  <c r="A145" i="8"/>
  <c r="A144" i="8"/>
  <c r="A143" i="8"/>
  <c r="A142" i="8"/>
  <c r="A141" i="8"/>
  <c r="A140" i="8"/>
  <c r="A139" i="8"/>
  <c r="A138" i="8"/>
  <c r="A137" i="8"/>
  <c r="A136" i="8"/>
  <c r="A135" i="8"/>
  <c r="A134" i="8"/>
  <c r="A133" i="8"/>
  <c r="A132" i="8"/>
  <c r="A131" i="8"/>
  <c r="A130" i="8"/>
  <c r="A129" i="8"/>
  <c r="A128" i="8"/>
  <c r="A127" i="8"/>
  <c r="A126" i="8"/>
  <c r="A125" i="8"/>
  <c r="A124" i="8"/>
  <c r="A123" i="8"/>
  <c r="A122" i="8"/>
  <c r="A121" i="8"/>
  <c r="A120" i="8"/>
  <c r="A119" i="8"/>
  <c r="A118" i="8"/>
  <c r="A117" i="8"/>
  <c r="A116" i="8"/>
  <c r="A115" i="8"/>
  <c r="A114" i="8"/>
  <c r="A113" i="8"/>
  <c r="A112" i="8"/>
  <c r="A111" i="8"/>
  <c r="A110" i="8"/>
  <c r="A109" i="8"/>
  <c r="A108" i="8"/>
  <c r="A107" i="8"/>
  <c r="A106" i="8"/>
  <c r="A105" i="8"/>
  <c r="A104" i="8"/>
  <c r="A103" i="8"/>
  <c r="A102" i="8"/>
  <c r="A101" i="8"/>
  <c r="A100" i="8"/>
  <c r="A99" i="8"/>
  <c r="A98" i="8"/>
  <c r="A97" i="8"/>
  <c r="A96" i="8"/>
  <c r="A95" i="8"/>
  <c r="A94" i="8"/>
  <c r="A93" i="8"/>
  <c r="A92" i="8"/>
  <c r="A91" i="8"/>
  <c r="A90" i="8"/>
  <c r="A89" i="8"/>
  <c r="A88" i="8"/>
  <c r="A87" i="8"/>
  <c r="A86" i="8"/>
  <c r="A85" i="8"/>
  <c r="A84" i="8"/>
  <c r="A83" i="8"/>
  <c r="A82" i="8"/>
  <c r="A81" i="8"/>
  <c r="A80" i="8"/>
  <c r="A79" i="8"/>
  <c r="A78" i="8"/>
  <c r="A77" i="8"/>
  <c r="A76" i="8"/>
  <c r="A75" i="8"/>
  <c r="A74" i="8"/>
  <c r="A73" i="8"/>
  <c r="A72" i="8"/>
  <c r="A71" i="8"/>
  <c r="A70" i="8"/>
  <c r="A69" i="8"/>
  <c r="A68" i="8"/>
  <c r="A67" i="8"/>
  <c r="A66" i="8"/>
  <c r="A65" i="8"/>
  <c r="A64" i="8"/>
  <c r="A63" i="8"/>
  <c r="A62" i="8"/>
  <c r="A61" i="8"/>
  <c r="A60" i="8"/>
  <c r="A59" i="8"/>
  <c r="A58" i="8"/>
  <c r="A57" i="8"/>
  <c r="A56" i="8"/>
  <c r="A55" i="8"/>
  <c r="A54" i="8"/>
  <c r="A53" i="8"/>
  <c r="A52" i="8"/>
  <c r="A51" i="8"/>
  <c r="A50" i="8"/>
  <c r="A49" i="8"/>
  <c r="A48" i="8"/>
  <c r="A47" i="8"/>
  <c r="A46" i="8"/>
  <c r="A45" i="8"/>
  <c r="A44" i="8"/>
  <c r="A43" i="8"/>
  <c r="A42" i="8"/>
  <c r="A41" i="8"/>
  <c r="A40" i="8"/>
  <c r="A39" i="8"/>
  <c r="A38" i="8"/>
  <c r="A37" i="8"/>
  <c r="A36" i="8"/>
  <c r="A35" i="8"/>
  <c r="A34" i="8"/>
  <c r="A33" i="8"/>
  <c r="A32" i="8"/>
  <c r="A31" i="8"/>
  <c r="A30" i="8"/>
  <c r="A29" i="8"/>
  <c r="A28" i="8"/>
  <c r="A27" i="8"/>
  <c r="A26" i="8"/>
  <c r="A25" i="8"/>
  <c r="A24" i="8"/>
  <c r="A23" i="8"/>
  <c r="A22" i="8"/>
  <c r="A21" i="8"/>
  <c r="A20" i="8"/>
  <c r="A19" i="8"/>
  <c r="A18" i="8"/>
  <c r="A17" i="8"/>
  <c r="A16" i="8"/>
  <c r="A15" i="8"/>
  <c r="A14" i="8"/>
  <c r="A13" i="8"/>
  <c r="A12" i="8"/>
  <c r="A11" i="8"/>
  <c r="A10" i="8"/>
  <c r="A9" i="8"/>
  <c r="A8" i="8"/>
  <c r="A7" i="8"/>
  <c r="A6" i="8"/>
  <c r="A5" i="8"/>
  <c r="A4" i="8"/>
  <c r="A3" i="8"/>
  <c r="A2" i="8"/>
  <c r="C2" i="8" s="1"/>
  <c r="B237" i="8" l="1"/>
  <c r="B253" i="8"/>
  <c r="B14" i="8"/>
  <c r="B223" i="8"/>
  <c r="B13" i="8"/>
  <c r="C32" i="8"/>
  <c r="C66" i="8"/>
  <c r="C21" i="8"/>
  <c r="C22" i="8"/>
  <c r="C8" i="8"/>
  <c r="C56" i="8"/>
  <c r="B54" i="8"/>
  <c r="C5" i="8"/>
  <c r="B32" i="8"/>
  <c r="B21" i="8"/>
  <c r="C149" i="8"/>
  <c r="B149" i="8"/>
  <c r="C150" i="8"/>
  <c r="C120" i="8"/>
  <c r="B120" i="8"/>
  <c r="C121" i="8"/>
  <c r="B121" i="8"/>
  <c r="D1" i="8"/>
  <c r="C12" i="2" s="1"/>
  <c r="C259" i="8"/>
  <c r="C11" i="8"/>
  <c r="C20" i="8"/>
  <c r="B20" i="8"/>
  <c r="C54" i="8"/>
  <c r="B77" i="8"/>
  <c r="C118" i="8"/>
  <c r="C161" i="8"/>
  <c r="C43" i="8"/>
  <c r="B157" i="8"/>
  <c r="C145" i="8"/>
  <c r="B126" i="8"/>
  <c r="B108" i="8"/>
  <c r="B74" i="8"/>
  <c r="C51" i="8"/>
  <c r="B45" i="8"/>
  <c r="B38" i="8"/>
  <c r="C31" i="8"/>
  <c r="C25" i="8"/>
  <c r="B12" i="8"/>
  <c r="B221" i="8"/>
  <c r="C115" i="8"/>
  <c r="C98" i="8"/>
  <c r="C90" i="8"/>
  <c r="C81" i="8"/>
  <c r="C65" i="8"/>
  <c r="C58" i="8"/>
  <c r="C18" i="8"/>
  <c r="C178" i="8"/>
  <c r="B156" i="8"/>
  <c r="B125" i="8"/>
  <c r="B90" i="8"/>
  <c r="B58" i="8"/>
  <c r="B44" i="8"/>
  <c r="B205" i="8"/>
  <c r="C143" i="8"/>
  <c r="C114" i="8"/>
  <c r="C106" i="8"/>
  <c r="C97" i="8"/>
  <c r="B80" i="8"/>
  <c r="B64" i="8"/>
  <c r="C50" i="8"/>
  <c r="B37" i="8"/>
  <c r="C177" i="8"/>
  <c r="B124" i="8"/>
  <c r="B106" i="8"/>
  <c r="B189" i="8"/>
  <c r="B154" i="8"/>
  <c r="C142" i="8"/>
  <c r="C131" i="8"/>
  <c r="C113" i="8"/>
  <c r="C79" i="8"/>
  <c r="C63" i="8"/>
  <c r="C49" i="8"/>
  <c r="C29" i="8"/>
  <c r="C16" i="8"/>
  <c r="C10" i="8"/>
  <c r="B29" i="8"/>
  <c r="B16" i="8"/>
  <c r="B10" i="8"/>
  <c r="C3" i="8"/>
  <c r="C258" i="8"/>
  <c r="C175" i="8"/>
  <c r="B141" i="8"/>
  <c r="C130" i="8"/>
  <c r="B122" i="8"/>
  <c r="C95" i="8"/>
  <c r="C78" i="8"/>
  <c r="C42" i="8"/>
  <c r="B3" i="8"/>
  <c r="C162" i="8"/>
  <c r="B78" i="8"/>
  <c r="B62" i="8"/>
  <c r="B48" i="8"/>
  <c r="B42" i="8"/>
  <c r="B28" i="8"/>
  <c r="C242" i="8"/>
  <c r="B186" i="8"/>
  <c r="B140" i="8"/>
  <c r="C129" i="8"/>
  <c r="C111" i="8"/>
  <c r="C94" i="8"/>
  <c r="C34" i="8"/>
  <c r="B172" i="8"/>
  <c r="B138" i="8"/>
  <c r="B110" i="8"/>
  <c r="B93" i="8"/>
  <c r="B76" i="8"/>
  <c r="C67" i="8"/>
  <c r="C146" i="8"/>
  <c r="B137" i="8"/>
  <c r="B109" i="8"/>
  <c r="B92" i="8"/>
  <c r="C13" i="8"/>
  <c r="C45" i="8"/>
  <c r="B67" i="8"/>
  <c r="C194" i="8"/>
  <c r="B239" i="8"/>
  <c r="C4" i="8"/>
  <c r="I14" i="2" s="1"/>
  <c r="C24" i="8"/>
  <c r="C33" i="8"/>
  <c r="C46" i="8"/>
  <c r="B68" i="8"/>
  <c r="C68" i="8"/>
  <c r="B94" i="8"/>
  <c r="C210" i="8"/>
  <c r="B255" i="8"/>
  <c r="B25" i="8"/>
  <c r="B34" i="8"/>
  <c r="B46" i="8"/>
  <c r="C69" i="8"/>
  <c r="B69" i="8"/>
  <c r="C82" i="8"/>
  <c r="C137" i="8"/>
  <c r="C181" i="8"/>
  <c r="B181" i="8"/>
  <c r="B196" i="8"/>
  <c r="C226" i="8"/>
  <c r="C256" i="8"/>
  <c r="C6" i="8"/>
  <c r="C14" i="8"/>
  <c r="C35" i="8"/>
  <c r="B47" i="8"/>
  <c r="C59" i="8"/>
  <c r="B212" i="8"/>
  <c r="B227" i="8"/>
  <c r="B242" i="8"/>
  <c r="B6" i="8"/>
  <c r="B26" i="8"/>
  <c r="C47" i="8"/>
  <c r="C83" i="8"/>
  <c r="C110" i="8"/>
  <c r="C139" i="8"/>
  <c r="C183" i="8"/>
  <c r="B198" i="8"/>
  <c r="C213" i="8"/>
  <c r="C7" i="8"/>
  <c r="B7" i="8"/>
  <c r="C15" i="8"/>
  <c r="C26" i="8"/>
  <c r="C37" i="8"/>
  <c r="C48" i="8"/>
  <c r="B60" i="8"/>
  <c r="B111" i="8"/>
  <c r="C126" i="8"/>
  <c r="C199" i="8"/>
  <c r="C85" i="8"/>
  <c r="B170" i="8"/>
  <c r="C185" i="8"/>
  <c r="B8" i="8"/>
  <c r="B27" i="8"/>
  <c r="C39" i="8"/>
  <c r="B39" i="8"/>
  <c r="B61" i="8"/>
  <c r="B85" i="8"/>
  <c r="C99" i="8"/>
  <c r="C127" i="8"/>
  <c r="C158" i="8"/>
  <c r="C27" i="8"/>
  <c r="C40" i="8"/>
  <c r="B51" i="8"/>
  <c r="C61" i="8"/>
  <c r="C74" i="8"/>
  <c r="B9" i="8"/>
  <c r="B40" i="8"/>
  <c r="B52" i="8"/>
  <c r="C52" i="8"/>
  <c r="C62" i="8"/>
  <c r="B101" i="8"/>
  <c r="B128" i="8"/>
  <c r="C159" i="8"/>
  <c r="C9" i="8"/>
  <c r="B19" i="8"/>
  <c r="C41" i="8"/>
  <c r="C53" i="8"/>
  <c r="C101" i="8"/>
  <c r="B173" i="8"/>
  <c r="C19" i="8"/>
  <c r="C30" i="8"/>
  <c r="B41" i="8"/>
  <c r="B53" i="8"/>
  <c r="C102" i="8"/>
  <c r="B117" i="8"/>
  <c r="C117" i="8"/>
  <c r="B146" i="8"/>
  <c r="C75" i="8"/>
  <c r="B75" i="8"/>
  <c r="B100" i="8"/>
  <c r="C100" i="8"/>
  <c r="B127" i="8"/>
  <c r="B159" i="8"/>
  <c r="C171" i="8"/>
  <c r="C182" i="8"/>
  <c r="B195" i="8"/>
  <c r="B210" i="8"/>
  <c r="C224" i="8"/>
  <c r="C238" i="8"/>
  <c r="C253" i="8"/>
  <c r="B33" i="8"/>
  <c r="B84" i="8"/>
  <c r="C84" i="8"/>
  <c r="C119" i="8"/>
  <c r="B119" i="8"/>
  <c r="C128" i="8"/>
  <c r="B148" i="8"/>
  <c r="C160" i="8"/>
  <c r="C184" i="8"/>
  <c r="B184" i="8"/>
  <c r="C197" i="8"/>
  <c r="B211" i="8"/>
  <c r="B226" i="8"/>
  <c r="C240" i="8"/>
  <c r="C254" i="8"/>
  <c r="B15" i="8"/>
  <c r="C55" i="8"/>
  <c r="B55" i="8"/>
  <c r="C103" i="8"/>
  <c r="B103" i="8"/>
  <c r="C151" i="8"/>
  <c r="B151" i="8"/>
  <c r="B162" i="8"/>
  <c r="C174" i="8"/>
  <c r="C200" i="8"/>
  <c r="B200" i="8"/>
  <c r="B214" i="8"/>
  <c r="B228" i="8"/>
  <c r="B257" i="8"/>
  <c r="C86" i="8"/>
  <c r="B95" i="8"/>
  <c r="C104" i="8"/>
  <c r="B104" i="8"/>
  <c r="C112" i="8"/>
  <c r="B130" i="8"/>
  <c r="C152" i="8"/>
  <c r="B152" i="8"/>
  <c r="B175" i="8"/>
  <c r="C187" i="8"/>
  <c r="C201" i="8"/>
  <c r="C215" i="8"/>
  <c r="C229" i="8"/>
  <c r="B258" i="8"/>
  <c r="B22" i="8"/>
  <c r="B35" i="8"/>
  <c r="B56" i="8"/>
  <c r="C70" i="8"/>
  <c r="C87" i="8"/>
  <c r="B87" i="8"/>
  <c r="C105" i="8"/>
  <c r="B112" i="8"/>
  <c r="C153" i="8"/>
  <c r="C216" i="8"/>
  <c r="B216" i="8"/>
  <c r="B230" i="8"/>
  <c r="B244" i="8"/>
  <c r="C23" i="8"/>
  <c r="B23" i="8"/>
  <c r="B49" i="8"/>
  <c r="B63" i="8"/>
  <c r="C71" i="8"/>
  <c r="B71" i="8"/>
  <c r="B79" i="8"/>
  <c r="C88" i="8"/>
  <c r="B88" i="8"/>
  <c r="C96" i="8"/>
  <c r="B105" i="8"/>
  <c r="C123" i="8"/>
  <c r="B123" i="8"/>
  <c r="B164" i="8"/>
  <c r="C176" i="8"/>
  <c r="C203" i="8"/>
  <c r="C217" i="8"/>
  <c r="C231" i="8"/>
  <c r="C245" i="8"/>
  <c r="B259" i="8"/>
  <c r="B36" i="8"/>
  <c r="C36" i="8"/>
  <c r="B43" i="8"/>
  <c r="C57" i="8"/>
  <c r="B72" i="8"/>
  <c r="C89" i="8"/>
  <c r="B96" i="8"/>
  <c r="C165" i="8"/>
  <c r="B165" i="8"/>
  <c r="C232" i="8"/>
  <c r="B232" i="8"/>
  <c r="B246" i="8"/>
  <c r="B260" i="8"/>
  <c r="B4" i="8"/>
  <c r="B17" i="8"/>
  <c r="B24" i="8"/>
  <c r="B50" i="8"/>
  <c r="B57" i="8"/>
  <c r="C64" i="8"/>
  <c r="C72" i="8"/>
  <c r="C80" i="8"/>
  <c r="B89" i="8"/>
  <c r="B114" i="8"/>
  <c r="B132" i="8"/>
  <c r="C132" i="8"/>
  <c r="B143" i="8"/>
  <c r="C155" i="8"/>
  <c r="C166" i="8"/>
  <c r="C190" i="8"/>
  <c r="C219" i="8"/>
  <c r="C233" i="8"/>
  <c r="C247" i="8"/>
  <c r="C261" i="8"/>
  <c r="B11" i="8"/>
  <c r="C17" i="8"/>
  <c r="B30" i="8"/>
  <c r="C73" i="8"/>
  <c r="C133" i="8"/>
  <c r="B133" i="8"/>
  <c r="C167" i="8"/>
  <c r="B167" i="8"/>
  <c r="B178" i="8"/>
  <c r="B191" i="8"/>
  <c r="C248" i="8"/>
  <c r="B248" i="8"/>
  <c r="C262" i="8"/>
  <c r="B5" i="8"/>
  <c r="B18" i="8"/>
  <c r="B65" i="8"/>
  <c r="B73" i="8"/>
  <c r="B98" i="8"/>
  <c r="C107" i="8"/>
  <c r="B107" i="8"/>
  <c r="C134" i="8"/>
  <c r="C144" i="8"/>
  <c r="C168" i="8"/>
  <c r="B168" i="8"/>
  <c r="C192" i="8"/>
  <c r="C206" i="8"/>
  <c r="C235" i="8"/>
  <c r="C249" i="8"/>
  <c r="C263" i="8"/>
  <c r="B31" i="8"/>
  <c r="C38" i="8"/>
  <c r="C135" i="8"/>
  <c r="B135" i="8"/>
  <c r="C169" i="8"/>
  <c r="B179" i="8"/>
  <c r="B207" i="8"/>
  <c r="C264" i="8"/>
  <c r="B59" i="8"/>
  <c r="B66" i="8"/>
  <c r="B82" i="8"/>
  <c r="C91" i="8"/>
  <c r="B91" i="8"/>
  <c r="B116" i="8"/>
  <c r="C116" i="8"/>
  <c r="C136" i="8"/>
  <c r="B136" i="8"/>
  <c r="B180" i="8"/>
  <c r="B194" i="8"/>
  <c r="C208" i="8"/>
  <c r="C222" i="8"/>
  <c r="C251" i="8"/>
  <c r="C265" i="8"/>
  <c r="C148" i="8"/>
  <c r="C164" i="8"/>
  <c r="C180" i="8"/>
  <c r="C196" i="8"/>
  <c r="C212" i="8"/>
  <c r="C228" i="8"/>
  <c r="C244" i="8"/>
  <c r="C260" i="8"/>
  <c r="C191" i="8"/>
  <c r="B202" i="8"/>
  <c r="C207" i="8"/>
  <c r="B218" i="8"/>
  <c r="C223" i="8"/>
  <c r="B234" i="8"/>
  <c r="C239" i="8"/>
  <c r="B250" i="8"/>
  <c r="C255" i="8"/>
  <c r="C122" i="8"/>
  <c r="C138" i="8"/>
  <c r="C154" i="8"/>
  <c r="C170" i="8"/>
  <c r="C186" i="8"/>
  <c r="B197" i="8"/>
  <c r="C202" i="8"/>
  <c r="B213" i="8"/>
  <c r="C218" i="8"/>
  <c r="B229" i="8"/>
  <c r="C234" i="8"/>
  <c r="B245" i="8"/>
  <c r="C250" i="8"/>
  <c r="B261" i="8"/>
  <c r="B144" i="8"/>
  <c r="B160" i="8"/>
  <c r="B176" i="8"/>
  <c r="B192" i="8"/>
  <c r="B208" i="8"/>
  <c r="B224" i="8"/>
  <c r="B240" i="8"/>
  <c r="B256" i="8"/>
  <c r="B139" i="8"/>
  <c r="B155" i="8"/>
  <c r="B171" i="8"/>
  <c r="B187" i="8"/>
  <c r="B203" i="8"/>
  <c r="B219" i="8"/>
  <c r="B235" i="8"/>
  <c r="B251" i="8"/>
  <c r="B70" i="8"/>
  <c r="B86" i="8"/>
  <c r="B102" i="8"/>
  <c r="B118" i="8"/>
  <c r="B134" i="8"/>
  <c r="B150" i="8"/>
  <c r="B166" i="8"/>
  <c r="B182" i="8"/>
  <c r="B262" i="8"/>
  <c r="B81" i="8"/>
  <c r="B97" i="8"/>
  <c r="B113" i="8"/>
  <c r="B129" i="8"/>
  <c r="B145" i="8"/>
  <c r="B161" i="8"/>
  <c r="B177" i="8"/>
  <c r="B193" i="8"/>
  <c r="C198" i="8"/>
  <c r="B209" i="8"/>
  <c r="C214" i="8"/>
  <c r="B225" i="8"/>
  <c r="C230" i="8"/>
  <c r="B241" i="8"/>
  <c r="C246" i="8"/>
  <c r="B188" i="8"/>
  <c r="C193" i="8"/>
  <c r="B204" i="8"/>
  <c r="C209" i="8"/>
  <c r="B220" i="8"/>
  <c r="C225" i="8"/>
  <c r="B236" i="8"/>
  <c r="C241" i="8"/>
  <c r="B252" i="8"/>
  <c r="C257" i="8"/>
  <c r="C12" i="8"/>
  <c r="C28" i="8"/>
  <c r="C44" i="8"/>
  <c r="C60" i="8"/>
  <c r="C76" i="8"/>
  <c r="C92" i="8"/>
  <c r="C108" i="8"/>
  <c r="C124" i="8"/>
  <c r="C140" i="8"/>
  <c r="C156" i="8"/>
  <c r="C172" i="8"/>
  <c r="B183" i="8"/>
  <c r="C188" i="8"/>
  <c r="B199" i="8"/>
  <c r="C204" i="8"/>
  <c r="B215" i="8"/>
  <c r="C220" i="8"/>
  <c r="B231" i="8"/>
  <c r="C236" i="8"/>
  <c r="B247" i="8"/>
  <c r="C252" i="8"/>
  <c r="B263" i="8"/>
  <c r="B2" i="8"/>
  <c r="C77" i="8"/>
  <c r="C93" i="8"/>
  <c r="C109" i="8"/>
  <c r="C125" i="8"/>
  <c r="C141" i="8"/>
  <c r="C157" i="8"/>
  <c r="C173" i="8"/>
  <c r="C189" i="8"/>
  <c r="C205" i="8"/>
  <c r="C221" i="8"/>
  <c r="C237" i="8"/>
  <c r="B264" i="8"/>
  <c r="B83" i="8"/>
  <c r="B99" i="8"/>
  <c r="B115" i="8"/>
  <c r="B131" i="8"/>
  <c r="B147" i="8"/>
  <c r="B163" i="8"/>
  <c r="B243" i="8"/>
  <c r="B142" i="8"/>
  <c r="C147" i="8"/>
  <c r="B158" i="8"/>
  <c r="C163" i="8"/>
  <c r="B174" i="8"/>
  <c r="C179" i="8"/>
  <c r="B190" i="8"/>
  <c r="C195" i="8"/>
  <c r="B206" i="8"/>
  <c r="C211" i="8"/>
  <c r="B222" i="8"/>
  <c r="C227" i="8"/>
  <c r="B238" i="8"/>
  <c r="C243" i="8"/>
  <c r="B254" i="8"/>
  <c r="B153" i="8"/>
  <c r="B169" i="8"/>
  <c r="B185" i="8"/>
  <c r="B201" i="8"/>
  <c r="B217" i="8"/>
  <c r="B233" i="8"/>
  <c r="B249" i="8"/>
  <c r="B265" i="8"/>
  <c r="O14" i="2" l="1"/>
  <c r="E14" i="2"/>
  <c r="C14" i="2"/>
  <c r="D266" i="2"/>
  <c r="K265" i="2"/>
  <c r="A247" i="2"/>
  <c r="B14" i="2"/>
  <c r="H220" i="2"/>
  <c r="N260" i="2"/>
  <c r="A14" i="2"/>
  <c r="G14" i="2"/>
  <c r="M223" i="2"/>
  <c r="J14" i="2"/>
  <c r="D14" i="2"/>
  <c r="F14" i="2"/>
  <c r="H14" i="2"/>
  <c r="K14" i="2"/>
  <c r="L14" i="2"/>
  <c r="M14" i="2"/>
  <c r="N14" i="2"/>
  <c r="C271" i="2"/>
  <c r="C276" i="2"/>
  <c r="I221" i="2"/>
  <c r="L240" i="2"/>
  <c r="C233" i="2"/>
  <c r="E268" i="2"/>
  <c r="F247" i="2"/>
  <c r="E226" i="2"/>
  <c r="L208" i="2"/>
  <c r="L257" i="2"/>
  <c r="L236" i="2"/>
  <c r="I266" i="2"/>
  <c r="H245" i="2"/>
  <c r="K231" i="2"/>
  <c r="L248" i="2"/>
  <c r="M265" i="2"/>
  <c r="M227" i="2"/>
  <c r="N244" i="2"/>
  <c r="O261" i="2"/>
  <c r="L223" i="2"/>
  <c r="M240" i="2"/>
  <c r="N257" i="2"/>
  <c r="O274" i="2"/>
  <c r="N242" i="2"/>
  <c r="B277" i="2"/>
  <c r="B242" i="2"/>
  <c r="E240" i="2"/>
  <c r="A267" i="2"/>
  <c r="A246" i="2"/>
  <c r="A225" i="2"/>
  <c r="G277" i="2"/>
  <c r="G256" i="2"/>
  <c r="G235" i="2"/>
  <c r="D265" i="2"/>
  <c r="D244" i="2"/>
  <c r="L232" i="2"/>
  <c r="M249" i="2"/>
  <c r="N266" i="2"/>
  <c r="N228" i="2"/>
  <c r="O245" i="2"/>
  <c r="A263" i="2"/>
  <c r="M224" i="2"/>
  <c r="N241" i="2"/>
  <c r="O258" i="2"/>
  <c r="A276" i="2"/>
  <c r="O267" i="2"/>
  <c r="G264" i="2"/>
  <c r="F243" i="2"/>
  <c r="J222" i="2"/>
  <c r="M274" i="2"/>
  <c r="M253" i="2"/>
  <c r="M232" i="2"/>
  <c r="I262" i="2"/>
  <c r="I241" i="2"/>
  <c r="N234" i="2"/>
  <c r="O251" i="2"/>
  <c r="A269" i="2"/>
  <c r="A231" i="2"/>
  <c r="B248" i="2"/>
  <c r="C265" i="2"/>
  <c r="O226" i="2"/>
  <c r="A244" i="2"/>
  <c r="B261" i="2"/>
  <c r="O229" i="2"/>
  <c r="B245" i="2"/>
  <c r="C251" i="2"/>
  <c r="C246" i="2"/>
  <c r="G260" i="2"/>
  <c r="G239" i="2"/>
  <c r="G219" i="2"/>
  <c r="N270" i="2"/>
  <c r="N249" i="2"/>
  <c r="M228" i="2"/>
  <c r="J258" i="2"/>
  <c r="K237" i="2"/>
  <c r="B238" i="2"/>
  <c r="C255" i="2"/>
  <c r="D272" i="2"/>
  <c r="D234" i="2"/>
  <c r="E251" i="2"/>
  <c r="F268" i="2"/>
  <c r="C230" i="2"/>
  <c r="D247" i="2"/>
  <c r="E264" i="2"/>
  <c r="K244" i="2"/>
  <c r="N250" i="2"/>
  <c r="H231" i="2"/>
  <c r="B232" i="2"/>
  <c r="L261" i="2"/>
  <c r="B254" i="2"/>
  <c r="D263" i="2"/>
  <c r="C259" i="2"/>
  <c r="C238" i="2"/>
  <c r="F218" i="2"/>
  <c r="I269" i="2"/>
  <c r="I248" i="2"/>
  <c r="I227" i="2"/>
  <c r="F257" i="2"/>
  <c r="E236" i="2"/>
  <c r="C239" i="2"/>
  <c r="D256" i="2"/>
  <c r="E273" i="2"/>
  <c r="E235" i="2"/>
  <c r="F252" i="2"/>
  <c r="G269" i="2"/>
  <c r="D231" i="2"/>
  <c r="E248" i="2"/>
  <c r="F265" i="2"/>
  <c r="B234" i="2"/>
  <c r="B264" i="2"/>
  <c r="C249" i="2"/>
  <c r="D250" i="2"/>
  <c r="M257" i="2"/>
  <c r="M236" i="2"/>
  <c r="E217" i="2"/>
  <c r="D268" i="2"/>
  <c r="E247" i="2"/>
  <c r="A277" i="2"/>
  <c r="A256" i="2"/>
  <c r="A235" i="2"/>
  <c r="D240" i="2"/>
  <c r="E257" i="2"/>
  <c r="F274" i="2"/>
  <c r="F236" i="2"/>
  <c r="G253" i="2"/>
  <c r="H270" i="2"/>
  <c r="E232" i="2"/>
  <c r="F249" i="2"/>
  <c r="G266" i="2"/>
  <c r="B255" i="2"/>
  <c r="B263" i="2"/>
  <c r="E261" i="2"/>
  <c r="C262" i="2"/>
  <c r="E267" i="2"/>
  <c r="H277" i="2"/>
  <c r="H256" i="2"/>
  <c r="I235" i="2"/>
  <c r="D216" i="2"/>
  <c r="O266" i="2"/>
  <c r="N245" i="2"/>
  <c r="K275" i="2"/>
  <c r="L254" i="2"/>
  <c r="K233" i="2"/>
  <c r="E241" i="2"/>
  <c r="F258" i="2"/>
  <c r="G275" i="2"/>
  <c r="G237" i="2"/>
  <c r="H254" i="2"/>
  <c r="I271" i="2"/>
  <c r="F233" i="2"/>
  <c r="G250" i="2"/>
  <c r="H267" i="2"/>
  <c r="A253" i="2"/>
  <c r="F277" i="2"/>
  <c r="O238" i="2"/>
  <c r="B229" i="2"/>
  <c r="D276" i="2"/>
  <c r="D255" i="2"/>
  <c r="C234" i="2"/>
  <c r="C215" i="2"/>
  <c r="J265" i="2"/>
  <c r="J244" i="2"/>
  <c r="G274" i="2"/>
  <c r="F253" i="2"/>
  <c r="G232" i="2"/>
  <c r="E225" i="2"/>
  <c r="F242" i="2"/>
  <c r="G259" i="2"/>
  <c r="H276" i="2"/>
  <c r="H238" i="2"/>
  <c r="I255" i="2"/>
  <c r="J272" i="2"/>
  <c r="G234" i="2"/>
  <c r="H251" i="2"/>
  <c r="I268" i="2"/>
  <c r="M233" i="2"/>
  <c r="O235" i="2"/>
  <c r="D230" i="2"/>
  <c r="A237" i="2"/>
  <c r="N274" i="2"/>
  <c r="N253" i="2"/>
  <c r="N232" i="2"/>
  <c r="B214" i="2"/>
  <c r="F264" i="2"/>
  <c r="E243" i="2"/>
  <c r="B273" i="2"/>
  <c r="B252" i="2"/>
  <c r="B231" i="2"/>
  <c r="F226" i="2"/>
  <c r="G243" i="2"/>
  <c r="H260" i="2"/>
  <c r="I277" i="2"/>
  <c r="I239" i="2"/>
  <c r="J256" i="2"/>
  <c r="K273" i="2"/>
  <c r="H235" i="2"/>
  <c r="I252" i="2"/>
  <c r="J269" i="2"/>
  <c r="K207" i="2"/>
  <c r="J206" i="2"/>
  <c r="I205" i="2"/>
  <c r="H204" i="2"/>
  <c r="G203" i="2"/>
  <c r="F202" i="2"/>
  <c r="E201" i="2"/>
  <c r="D200" i="2"/>
  <c r="C199" i="2"/>
  <c r="B198" i="2"/>
  <c r="A197" i="2"/>
  <c r="O195" i="2"/>
  <c r="D226" i="2"/>
  <c r="O224" i="2"/>
  <c r="K223" i="2"/>
  <c r="I222" i="2"/>
  <c r="H221" i="2"/>
  <c r="G220" i="2"/>
  <c r="F219" i="2"/>
  <c r="E218" i="2"/>
  <c r="D217" i="2"/>
  <c r="C216" i="2"/>
  <c r="B215" i="2"/>
  <c r="A214" i="2"/>
  <c r="B276" i="2"/>
  <c r="K274" i="2"/>
  <c r="G273" i="2"/>
  <c r="B272" i="2"/>
  <c r="M270" i="2"/>
  <c r="H269" i="2"/>
  <c r="C268" i="2"/>
  <c r="M266" i="2"/>
  <c r="I265" i="2"/>
  <c r="D264" i="2"/>
  <c r="N262" i="2"/>
  <c r="E277" i="2"/>
  <c r="O275" i="2"/>
  <c r="J274" i="2"/>
  <c r="C277" i="2"/>
  <c r="C227" i="2"/>
  <c r="M225" i="2"/>
  <c r="H224" i="2"/>
  <c r="E223" i="2"/>
  <c r="D222" i="2"/>
  <c r="C221" i="2"/>
  <c r="B220" i="2"/>
  <c r="A219" i="2"/>
  <c r="O217" i="2"/>
  <c r="N216" i="2"/>
  <c r="M215" i="2"/>
  <c r="L214" i="2"/>
  <c r="M276" i="2"/>
  <c r="I275" i="2"/>
  <c r="D274" i="2"/>
  <c r="O272" i="2"/>
  <c r="J271" i="2"/>
  <c r="E270" i="2"/>
  <c r="O268" i="2"/>
  <c r="K267" i="2"/>
  <c r="F266" i="2"/>
  <c r="A265" i="2"/>
  <c r="L263" i="2"/>
  <c r="M277" i="2"/>
  <c r="H275" i="2"/>
  <c r="J273" i="2"/>
  <c r="H271" i="2"/>
  <c r="M269" i="2"/>
  <c r="L267" i="2"/>
  <c r="O265" i="2"/>
  <c r="O263" i="2"/>
  <c r="D262" i="2"/>
  <c r="J260" i="2"/>
  <c r="N258" i="2"/>
  <c r="D257" i="2"/>
  <c r="K255" i="2"/>
  <c r="C254" i="2"/>
  <c r="G252" i="2"/>
  <c r="M250" i="2"/>
  <c r="D249" i="2"/>
  <c r="J247" i="2"/>
  <c r="B246" i="2"/>
  <c r="F244" i="2"/>
  <c r="K242" i="2"/>
  <c r="C241" i="2"/>
  <c r="J239" i="2"/>
  <c r="N237" i="2"/>
  <c r="D236" i="2"/>
  <c r="K234" i="2"/>
  <c r="B233" i="2"/>
  <c r="G231" i="2"/>
  <c r="M229" i="2"/>
  <c r="D228" i="2"/>
  <c r="J226" i="2"/>
  <c r="B225" i="2"/>
  <c r="G223" i="2"/>
  <c r="B222" i="2"/>
  <c r="M220" i="2"/>
  <c r="I219" i="2"/>
  <c r="C218" i="2"/>
  <c r="M216" i="2"/>
  <c r="I215" i="2"/>
  <c r="E214" i="2"/>
  <c r="B213" i="2"/>
  <c r="N211" i="2"/>
  <c r="L210" i="2"/>
  <c r="J209" i="2"/>
  <c r="H208" i="2"/>
  <c r="F207" i="2"/>
  <c r="D206" i="2"/>
  <c r="B205" i="2"/>
  <c r="O203" i="2"/>
  <c r="M202" i="2"/>
  <c r="K201" i="2"/>
  <c r="I200" i="2"/>
  <c r="G199" i="2"/>
  <c r="E198" i="2"/>
  <c r="C197" i="2"/>
  <c r="A196" i="2"/>
  <c r="N194" i="2"/>
  <c r="M193" i="2"/>
  <c r="L192" i="2"/>
  <c r="K191" i="2"/>
  <c r="J190" i="2"/>
  <c r="I189" i="2"/>
  <c r="H188" i="2"/>
  <c r="G187" i="2"/>
  <c r="F186" i="2"/>
  <c r="E185" i="2"/>
  <c r="D184" i="2"/>
  <c r="C183" i="2"/>
  <c r="B182" i="2"/>
  <c r="A181" i="2"/>
  <c r="O179" i="2"/>
  <c r="N178" i="2"/>
  <c r="M177" i="2"/>
  <c r="L176" i="2"/>
  <c r="K175" i="2"/>
  <c r="J174" i="2"/>
  <c r="I173" i="2"/>
  <c r="H172" i="2"/>
  <c r="G171" i="2"/>
  <c r="L277" i="2"/>
  <c r="F275" i="2"/>
  <c r="F273" i="2"/>
  <c r="G271" i="2"/>
  <c r="L269" i="2"/>
  <c r="J267" i="2"/>
  <c r="N265" i="2"/>
  <c r="M263" i="2"/>
  <c r="B262" i="2"/>
  <c r="I260" i="2"/>
  <c r="M258" i="2"/>
  <c r="C257" i="2"/>
  <c r="J255" i="2"/>
  <c r="A254" i="2"/>
  <c r="E252" i="2"/>
  <c r="K250" i="2"/>
  <c r="B249" i="2"/>
  <c r="I247" i="2"/>
  <c r="M245" i="2"/>
  <c r="E244" i="2"/>
  <c r="J242" i="2"/>
  <c r="B241" i="2"/>
  <c r="H239" i="2"/>
  <c r="M237" i="2"/>
  <c r="C236" i="2"/>
  <c r="J234" i="2"/>
  <c r="A233" i="2"/>
  <c r="F231" i="2"/>
  <c r="K229" i="2"/>
  <c r="C228" i="2"/>
  <c r="I226" i="2"/>
  <c r="N224" i="2"/>
  <c r="F223" i="2"/>
  <c r="A222" i="2"/>
  <c r="L220" i="2"/>
  <c r="H219" i="2"/>
  <c r="B218" i="2"/>
  <c r="L216" i="2"/>
  <c r="H215" i="2"/>
  <c r="D214" i="2"/>
  <c r="O212" i="2"/>
  <c r="M211" i="2"/>
  <c r="K210" i="2"/>
  <c r="I209" i="2"/>
  <c r="G208" i="2"/>
  <c r="E207" i="2"/>
  <c r="C206" i="2"/>
  <c r="A205" i="2"/>
  <c r="N203" i="2"/>
  <c r="L202" i="2"/>
  <c r="J201" i="2"/>
  <c r="H200" i="2"/>
  <c r="F199" i="2"/>
  <c r="D198" i="2"/>
  <c r="B197" i="2"/>
  <c r="N195" i="2"/>
  <c r="M194" i="2"/>
  <c r="L193" i="2"/>
  <c r="K192" i="2"/>
  <c r="J191" i="2"/>
  <c r="I190" i="2"/>
  <c r="H189" i="2"/>
  <c r="G188" i="2"/>
  <c r="F187" i="2"/>
  <c r="E186" i="2"/>
  <c r="D185" i="2"/>
  <c r="C184" i="2"/>
  <c r="B183" i="2"/>
  <c r="K277" i="2"/>
  <c r="E275" i="2"/>
  <c r="D273" i="2"/>
  <c r="F271" i="2"/>
  <c r="F269" i="2"/>
  <c r="I267" i="2"/>
  <c r="L265" i="2"/>
  <c r="J263" i="2"/>
  <c r="A262" i="2"/>
  <c r="E260" i="2"/>
  <c r="K258" i="2"/>
  <c r="B257" i="2"/>
  <c r="H255" i="2"/>
  <c r="O253" i="2"/>
  <c r="D252" i="2"/>
  <c r="J250" i="2"/>
  <c r="A249" i="2"/>
  <c r="H247" i="2"/>
  <c r="L245" i="2"/>
  <c r="C244" i="2"/>
  <c r="I242" i="2"/>
  <c r="A241" i="2"/>
  <c r="E239" i="2"/>
  <c r="L237" i="2"/>
  <c r="B236" i="2"/>
  <c r="I234" i="2"/>
  <c r="O232" i="2"/>
  <c r="E231" i="2"/>
  <c r="J229" i="2"/>
  <c r="B228" i="2"/>
  <c r="H226" i="2"/>
  <c r="L224" i="2"/>
  <c r="D223" i="2"/>
  <c r="O221" i="2"/>
  <c r="K220" i="2"/>
  <c r="E219" i="2"/>
  <c r="A218" i="2"/>
  <c r="K216" i="2"/>
  <c r="G215" i="2"/>
  <c r="C214" i="2"/>
  <c r="N212" i="2"/>
  <c r="L211" i="2"/>
  <c r="J210" i="2"/>
  <c r="H209" i="2"/>
  <c r="F208" i="2"/>
  <c r="D207" i="2"/>
  <c r="J277" i="2"/>
  <c r="D275" i="2"/>
  <c r="C273" i="2"/>
  <c r="E271" i="2"/>
  <c r="E269" i="2"/>
  <c r="G267" i="2"/>
  <c r="H265" i="2"/>
  <c r="I263" i="2"/>
  <c r="N261" i="2"/>
  <c r="D260" i="2"/>
  <c r="I258" i="2"/>
  <c r="A257" i="2"/>
  <c r="G255" i="2"/>
  <c r="L253" i="2"/>
  <c r="C252" i="2"/>
  <c r="I250" i="2"/>
  <c r="O248" i="2"/>
  <c r="G247" i="2"/>
  <c r="K245" i="2"/>
  <c r="B244" i="2"/>
  <c r="H242" i="2"/>
  <c r="O240" i="2"/>
  <c r="D239" i="2"/>
  <c r="I237" i="2"/>
  <c r="A236" i="2"/>
  <c r="H234" i="2"/>
  <c r="K232" i="2"/>
  <c r="C231" i="2"/>
  <c r="H229" i="2"/>
  <c r="O227" i="2"/>
  <c r="G226" i="2"/>
  <c r="K224" i="2"/>
  <c r="C223" i="2"/>
  <c r="N221" i="2"/>
  <c r="J220" i="2"/>
  <c r="D219" i="2"/>
  <c r="N217" i="2"/>
  <c r="J216" i="2"/>
  <c r="F215" i="2"/>
  <c r="O213" i="2"/>
  <c r="M212" i="2"/>
  <c r="K211" i="2"/>
  <c r="I210" i="2"/>
  <c r="G209" i="2"/>
  <c r="E208" i="2"/>
  <c r="C207" i="2"/>
  <c r="A206" i="2"/>
  <c r="N204" i="2"/>
  <c r="L203" i="2"/>
  <c r="J202" i="2"/>
  <c r="H201" i="2"/>
  <c r="F200" i="2"/>
  <c r="D199" i="2"/>
  <c r="A198" i="2"/>
  <c r="N196" i="2"/>
  <c r="L195" i="2"/>
  <c r="K194" i="2"/>
  <c r="J193" i="2"/>
  <c r="I192" i="2"/>
  <c r="H191" i="2"/>
  <c r="G190" i="2"/>
  <c r="F189" i="2"/>
  <c r="E188" i="2"/>
  <c r="D187" i="2"/>
  <c r="C186" i="2"/>
  <c r="B185" i="2"/>
  <c r="A184" i="2"/>
  <c r="O182" i="2"/>
  <c r="N181" i="2"/>
  <c r="M180" i="2"/>
  <c r="L179" i="2"/>
  <c r="K178" i="2"/>
  <c r="D277" i="2"/>
  <c r="C275" i="2"/>
  <c r="A273" i="2"/>
  <c r="D271" i="2"/>
  <c r="D269" i="2"/>
  <c r="F267" i="2"/>
  <c r="G265" i="2"/>
  <c r="H263" i="2"/>
  <c r="M261" i="2"/>
  <c r="C260" i="2"/>
  <c r="H258" i="2"/>
  <c r="O256" i="2"/>
  <c r="F255" i="2"/>
  <c r="K253" i="2"/>
  <c r="A252" i="2"/>
  <c r="H250" i="2"/>
  <c r="N248" i="2"/>
  <c r="C247" i="2"/>
  <c r="J245" i="2"/>
  <c r="O243" i="2"/>
  <c r="G242" i="2"/>
  <c r="N240" i="2"/>
  <c r="B239" i="2"/>
  <c r="H237" i="2"/>
  <c r="N235" i="2"/>
  <c r="F234" i="2"/>
  <c r="J232" i="2"/>
  <c r="O230" i="2"/>
  <c r="G229" i="2"/>
  <c r="N227" i="2"/>
  <c r="C226" i="2"/>
  <c r="I224" i="2"/>
  <c r="B223" i="2"/>
  <c r="M221" i="2"/>
  <c r="I220" i="2"/>
  <c r="C219" i="2"/>
  <c r="M217" i="2"/>
  <c r="I216" i="2"/>
  <c r="E215" i="2"/>
  <c r="N213" i="2"/>
  <c r="L212" i="2"/>
  <c r="J211" i="2"/>
  <c r="H210" i="2"/>
  <c r="F209" i="2"/>
  <c r="D208" i="2"/>
  <c r="B207" i="2"/>
  <c r="O205" i="2"/>
  <c r="M204" i="2"/>
  <c r="K203" i="2"/>
  <c r="I202" i="2"/>
  <c r="G201" i="2"/>
  <c r="E200" i="2"/>
  <c r="B199" i="2"/>
  <c r="O197" i="2"/>
  <c r="M196" i="2"/>
  <c r="K195" i="2"/>
  <c r="J194" i="2"/>
  <c r="I193" i="2"/>
  <c r="H192" i="2"/>
  <c r="G191" i="2"/>
  <c r="F190" i="2"/>
  <c r="E189" i="2"/>
  <c r="D188" i="2"/>
  <c r="C187" i="2"/>
  <c r="B186" i="2"/>
  <c r="A185" i="2"/>
  <c r="O276" i="2"/>
  <c r="B275" i="2"/>
  <c r="N272" i="2"/>
  <c r="B271" i="2"/>
  <c r="B269" i="2"/>
  <c r="D267" i="2"/>
  <c r="E265" i="2"/>
  <c r="G263" i="2"/>
  <c r="J261" i="2"/>
  <c r="B260" i="2"/>
  <c r="G258" i="2"/>
  <c r="N256" i="2"/>
  <c r="E255" i="2"/>
  <c r="I253" i="2"/>
  <c r="N251" i="2"/>
  <c r="F250" i="2"/>
  <c r="M248" i="2"/>
  <c r="B247" i="2"/>
  <c r="G245" i="2"/>
  <c r="N243" i="2"/>
  <c r="E242" i="2"/>
  <c r="I240" i="2"/>
  <c r="A239" i="2"/>
  <c r="F237" i="2"/>
  <c r="M235" i="2"/>
  <c r="E234" i="2"/>
  <c r="I232" i="2"/>
  <c r="N230" i="2"/>
  <c r="F229" i="2"/>
  <c r="L227" i="2"/>
  <c r="B226" i="2"/>
  <c r="G224" i="2"/>
  <c r="A223" i="2"/>
  <c r="L221" i="2"/>
  <c r="F220" i="2"/>
  <c r="B219" i="2"/>
  <c r="L217" i="2"/>
  <c r="H216" i="2"/>
  <c r="D215" i="2"/>
  <c r="M213" i="2"/>
  <c r="K212" i="2"/>
  <c r="I211" i="2"/>
  <c r="G210" i="2"/>
  <c r="E209" i="2"/>
  <c r="C208" i="2"/>
  <c r="L276" i="2"/>
  <c r="A275" i="2"/>
  <c r="L272" i="2"/>
  <c r="A271" i="2"/>
  <c r="N268" i="2"/>
  <c r="C267" i="2"/>
  <c r="B265" i="2"/>
  <c r="F263" i="2"/>
  <c r="H261" i="2"/>
  <c r="N259" i="2"/>
  <c r="E258" i="2"/>
  <c r="L256" i="2"/>
  <c r="A255" i="2"/>
  <c r="H253" i="2"/>
  <c r="M251" i="2"/>
  <c r="E250" i="2"/>
  <c r="K248" i="2"/>
  <c r="O246" i="2"/>
  <c r="F245" i="2"/>
  <c r="L243" i="2"/>
  <c r="D242" i="2"/>
  <c r="H240" i="2"/>
  <c r="N238" i="2"/>
  <c r="E237" i="2"/>
  <c r="L235" i="2"/>
  <c r="A234" i="2"/>
  <c r="H232" i="2"/>
  <c r="M230" i="2"/>
  <c r="E229" i="2"/>
  <c r="K227" i="2"/>
  <c r="A226" i="2"/>
  <c r="F224" i="2"/>
  <c r="O222" i="2"/>
  <c r="K221" i="2"/>
  <c r="E220" i="2"/>
  <c r="O218" i="2"/>
  <c r="K217" i="2"/>
  <c r="G216" i="2"/>
  <c r="A215" i="2"/>
  <c r="L213" i="2"/>
  <c r="J212" i="2"/>
  <c r="H211" i="2"/>
  <c r="F210" i="2"/>
  <c r="D209" i="2"/>
  <c r="B208" i="2"/>
  <c r="O206" i="2"/>
  <c r="M205" i="2"/>
  <c r="K204" i="2"/>
  <c r="I203" i="2"/>
  <c r="G202" i="2"/>
  <c r="D201" i="2"/>
  <c r="B200" i="2"/>
  <c r="O198" i="2"/>
  <c r="M197" i="2"/>
  <c r="K196" i="2"/>
  <c r="I195" i="2"/>
  <c r="K276" i="2"/>
  <c r="I274" i="2"/>
  <c r="K272" i="2"/>
  <c r="L270" i="2"/>
  <c r="M268" i="2"/>
  <c r="B267" i="2"/>
  <c r="O264" i="2"/>
  <c r="E263" i="2"/>
  <c r="G261" i="2"/>
  <c r="L259" i="2"/>
  <c r="D258" i="2"/>
  <c r="K256" i="2"/>
  <c r="O254" i="2"/>
  <c r="E253" i="2"/>
  <c r="L251" i="2"/>
  <c r="C250" i="2"/>
  <c r="H248" i="2"/>
  <c r="N246" i="2"/>
  <c r="E245" i="2"/>
  <c r="K243" i="2"/>
  <c r="C242" i="2"/>
  <c r="G240" i="2"/>
  <c r="M238" i="2"/>
  <c r="D237" i="2"/>
  <c r="K235" i="2"/>
  <c r="O233" i="2"/>
  <c r="F232" i="2"/>
  <c r="L230" i="2"/>
  <c r="D229" i="2"/>
  <c r="H227" i="2"/>
  <c r="O225" i="2"/>
  <c r="E224" i="2"/>
  <c r="N222" i="2"/>
  <c r="J221" i="2"/>
  <c r="D220" i="2"/>
  <c r="N218" i="2"/>
  <c r="J217" i="2"/>
  <c r="F216" i="2"/>
  <c r="O214" i="2"/>
  <c r="K213" i="2"/>
  <c r="I212" i="2"/>
  <c r="G211" i="2"/>
  <c r="E210" i="2"/>
  <c r="C209" i="2"/>
  <c r="A208" i="2"/>
  <c r="N206" i="2"/>
  <c r="L205" i="2"/>
  <c r="J204" i="2"/>
  <c r="H203" i="2"/>
  <c r="E202" i="2"/>
  <c r="C201" i="2"/>
  <c r="A200" i="2"/>
  <c r="N198" i="2"/>
  <c r="L197" i="2"/>
  <c r="J196" i="2"/>
  <c r="J276" i="2"/>
  <c r="H274" i="2"/>
  <c r="I272" i="2"/>
  <c r="J270" i="2"/>
  <c r="L268" i="2"/>
  <c r="L266" i="2"/>
  <c r="N264" i="2"/>
  <c r="C263" i="2"/>
  <c r="F261" i="2"/>
  <c r="K259" i="2"/>
  <c r="C258" i="2"/>
  <c r="I256" i="2"/>
  <c r="N254" i="2"/>
  <c r="D253" i="2"/>
  <c r="K251" i="2"/>
  <c r="B250" i="2"/>
  <c r="G248" i="2"/>
  <c r="L246" i="2"/>
  <c r="D245" i="2"/>
  <c r="J243" i="2"/>
  <c r="O241" i="2"/>
  <c r="F240" i="2"/>
  <c r="L238" i="2"/>
  <c r="C237" i="2"/>
  <c r="J235" i="2"/>
  <c r="N233" i="2"/>
  <c r="D232" i="2"/>
  <c r="K230" i="2"/>
  <c r="C229" i="2"/>
  <c r="F227" i="2"/>
  <c r="L225" i="2"/>
  <c r="D224" i="2"/>
  <c r="M222" i="2"/>
  <c r="G221" i="2"/>
  <c r="C220" i="2"/>
  <c r="M218" i="2"/>
  <c r="I217" i="2"/>
  <c r="E216" i="2"/>
  <c r="N214" i="2"/>
  <c r="J213" i="2"/>
  <c r="H212" i="2"/>
  <c r="F211" i="2"/>
  <c r="D210" i="2"/>
  <c r="B209" i="2"/>
  <c r="O207" i="2"/>
  <c r="M206" i="2"/>
  <c r="K205" i="2"/>
  <c r="I204" i="2"/>
  <c r="F203" i="2"/>
  <c r="D202" i="2"/>
  <c r="B201" i="2"/>
  <c r="O199" i="2"/>
  <c r="M198" i="2"/>
  <c r="K197" i="2"/>
  <c r="I196" i="2"/>
  <c r="G195" i="2"/>
  <c r="I276" i="2"/>
  <c r="E274" i="2"/>
  <c r="H272" i="2"/>
  <c r="I270" i="2"/>
  <c r="K268" i="2"/>
  <c r="K266" i="2"/>
  <c r="M264" i="2"/>
  <c r="M262" i="2"/>
  <c r="D261" i="2"/>
  <c r="J259" i="2"/>
  <c r="B258" i="2"/>
  <c r="F256" i="2"/>
  <c r="M254" i="2"/>
  <c r="C253" i="2"/>
  <c r="J251" i="2"/>
  <c r="A250" i="2"/>
  <c r="G276" i="2"/>
  <c r="C274" i="2"/>
  <c r="G272" i="2"/>
  <c r="F270" i="2"/>
  <c r="J268" i="2"/>
  <c r="J266" i="2"/>
  <c r="K264" i="2"/>
  <c r="L262" i="2"/>
  <c r="C261" i="2"/>
  <c r="I259" i="2"/>
  <c r="A258" i="2"/>
  <c r="E256" i="2"/>
  <c r="J254" i="2"/>
  <c r="B253" i="2"/>
  <c r="I251" i="2"/>
  <c r="L249" i="2"/>
  <c r="D248" i="2"/>
  <c r="I246" i="2"/>
  <c r="A245" i="2"/>
  <c r="H243" i="2"/>
  <c r="L241" i="2"/>
  <c r="B240" i="2"/>
  <c r="I238" i="2"/>
  <c r="O236" i="2"/>
  <c r="D235" i="2"/>
  <c r="J233" i="2"/>
  <c r="A232" i="2"/>
  <c r="H230" i="2"/>
  <c r="L228" i="2"/>
  <c r="D227" i="2"/>
  <c r="I225" i="2"/>
  <c r="B224" i="2"/>
  <c r="F276" i="2"/>
  <c r="B274" i="2"/>
  <c r="F272" i="2"/>
  <c r="D270" i="2"/>
  <c r="H268" i="2"/>
  <c r="H266" i="2"/>
  <c r="J264" i="2"/>
  <c r="K262" i="2"/>
  <c r="A261" i="2"/>
  <c r="H259" i="2"/>
  <c r="O257" i="2"/>
  <c r="C256" i="2"/>
  <c r="I254" i="2"/>
  <c r="O252" i="2"/>
  <c r="G251" i="2"/>
  <c r="K249" i="2"/>
  <c r="A248" i="2"/>
  <c r="H246" i="2"/>
  <c r="O244" i="2"/>
  <c r="D243" i="2"/>
  <c r="J241" i="2"/>
  <c r="A240" i="2"/>
  <c r="G238" i="2"/>
  <c r="N277" i="2"/>
  <c r="J275" i="2"/>
  <c r="L273" i="2"/>
  <c r="K271" i="2"/>
  <c r="N269" i="2"/>
  <c r="N267" i="2"/>
  <c r="A266" i="2"/>
  <c r="A264" i="2"/>
  <c r="E262" i="2"/>
  <c r="K260" i="2"/>
  <c r="A259" i="2"/>
  <c r="G257" i="2"/>
  <c r="M255" i="2"/>
  <c r="D254" i="2"/>
  <c r="K252" i="2"/>
  <c r="A268" i="2"/>
  <c r="J257" i="2"/>
  <c r="J249" i="2"/>
  <c r="L244" i="2"/>
  <c r="M239" i="2"/>
  <c r="O234" i="2"/>
  <c r="G230" i="2"/>
  <c r="K226" i="2"/>
  <c r="G222" i="2"/>
  <c r="K219" i="2"/>
  <c r="B216" i="2"/>
  <c r="G213" i="2"/>
  <c r="A211" i="2"/>
  <c r="I208" i="2"/>
  <c r="B206" i="2"/>
  <c r="B204" i="2"/>
  <c r="O201" i="2"/>
  <c r="M199" i="2"/>
  <c r="N197" i="2"/>
  <c r="B196" i="2"/>
  <c r="E194" i="2"/>
  <c r="O192" i="2"/>
  <c r="F191" i="2"/>
  <c r="A190" i="2"/>
  <c r="K188" i="2"/>
  <c r="B187" i="2"/>
  <c r="L185" i="2"/>
  <c r="G184" i="2"/>
  <c r="A183" i="2"/>
  <c r="L181" i="2"/>
  <c r="I180" i="2"/>
  <c r="F179" i="2"/>
  <c r="C178" i="2"/>
  <c r="A177" i="2"/>
  <c r="N175" i="2"/>
  <c r="L174" i="2"/>
  <c r="J173" i="2"/>
  <c r="G172" i="2"/>
  <c r="E171" i="2"/>
  <c r="D170" i="2"/>
  <c r="C169" i="2"/>
  <c r="B168" i="2"/>
  <c r="A167" i="2"/>
  <c r="O165" i="2"/>
  <c r="N164" i="2"/>
  <c r="M163" i="2"/>
  <c r="L162" i="2"/>
  <c r="K161" i="2"/>
  <c r="J160" i="2"/>
  <c r="I159" i="2"/>
  <c r="H158" i="2"/>
  <c r="G157" i="2"/>
  <c r="F156" i="2"/>
  <c r="E155" i="2"/>
  <c r="D154" i="2"/>
  <c r="C153" i="2"/>
  <c r="B152" i="2"/>
  <c r="A151" i="2"/>
  <c r="O149" i="2"/>
  <c r="N148" i="2"/>
  <c r="M147" i="2"/>
  <c r="L146" i="2"/>
  <c r="K145" i="2"/>
  <c r="J144" i="2"/>
  <c r="I143" i="2"/>
  <c r="H142" i="2"/>
  <c r="G141" i="2"/>
  <c r="F140" i="2"/>
  <c r="E139" i="2"/>
  <c r="D138" i="2"/>
  <c r="C137" i="2"/>
  <c r="B136" i="2"/>
  <c r="A135" i="2"/>
  <c r="O133" i="2"/>
  <c r="N132" i="2"/>
  <c r="M131" i="2"/>
  <c r="L130" i="2"/>
  <c r="K129" i="2"/>
  <c r="J128" i="2"/>
  <c r="I127" i="2"/>
  <c r="H126" i="2"/>
  <c r="G125" i="2"/>
  <c r="F124" i="2"/>
  <c r="E123" i="2"/>
  <c r="D122" i="2"/>
  <c r="C121" i="2"/>
  <c r="B120" i="2"/>
  <c r="A119" i="2"/>
  <c r="E266" i="2"/>
  <c r="I257" i="2"/>
  <c r="I249" i="2"/>
  <c r="I244" i="2"/>
  <c r="K239" i="2"/>
  <c r="M234" i="2"/>
  <c r="F230" i="2"/>
  <c r="J225" i="2"/>
  <c r="F222" i="2"/>
  <c r="J219" i="2"/>
  <c r="A216" i="2"/>
  <c r="F213" i="2"/>
  <c r="O210" i="2"/>
  <c r="N207" i="2"/>
  <c r="N205" i="2"/>
  <c r="A204" i="2"/>
  <c r="N201" i="2"/>
  <c r="L199" i="2"/>
  <c r="J197" i="2"/>
  <c r="M195" i="2"/>
  <c r="D194" i="2"/>
  <c r="N192" i="2"/>
  <c r="E191" i="2"/>
  <c r="O189" i="2"/>
  <c r="J188" i="2"/>
  <c r="A187" i="2"/>
  <c r="K185" i="2"/>
  <c r="F184" i="2"/>
  <c r="N182" i="2"/>
  <c r="K181" i="2"/>
  <c r="H180" i="2"/>
  <c r="E179" i="2"/>
  <c r="B178" i="2"/>
  <c r="O176" i="2"/>
  <c r="M175" i="2"/>
  <c r="K174" i="2"/>
  <c r="H173" i="2"/>
  <c r="F172" i="2"/>
  <c r="D171" i="2"/>
  <c r="C170" i="2"/>
  <c r="B169" i="2"/>
  <c r="A168" i="2"/>
  <c r="O166" i="2"/>
  <c r="N165" i="2"/>
  <c r="M164" i="2"/>
  <c r="L163" i="2"/>
  <c r="K162" i="2"/>
  <c r="J161" i="2"/>
  <c r="I160" i="2"/>
  <c r="H159" i="2"/>
  <c r="G158" i="2"/>
  <c r="F157" i="2"/>
  <c r="E156" i="2"/>
  <c r="D155" i="2"/>
  <c r="C154" i="2"/>
  <c r="B153" i="2"/>
  <c r="A152" i="2"/>
  <c r="E276" i="2"/>
  <c r="C266" i="2"/>
  <c r="H257" i="2"/>
  <c r="G249" i="2"/>
  <c r="G244" i="2"/>
  <c r="J238" i="2"/>
  <c r="L234" i="2"/>
  <c r="B230" i="2"/>
  <c r="H225" i="2"/>
  <c r="E222" i="2"/>
  <c r="L218" i="2"/>
  <c r="O215" i="2"/>
  <c r="E213" i="2"/>
  <c r="M210" i="2"/>
  <c r="M207" i="2"/>
  <c r="J205" i="2"/>
  <c r="M203" i="2"/>
  <c r="M201" i="2"/>
  <c r="K199" i="2"/>
  <c r="I197" i="2"/>
  <c r="J195" i="2"/>
  <c r="C194" i="2"/>
  <c r="M192" i="2"/>
  <c r="D191" i="2"/>
  <c r="N189" i="2"/>
  <c r="I188" i="2"/>
  <c r="O186" i="2"/>
  <c r="J185" i="2"/>
  <c r="E184" i="2"/>
  <c r="M182" i="2"/>
  <c r="J181" i="2"/>
  <c r="G180" i="2"/>
  <c r="D179" i="2"/>
  <c r="A178" i="2"/>
  <c r="N176" i="2"/>
  <c r="L175" i="2"/>
  <c r="I174" i="2"/>
  <c r="G173" i="2"/>
  <c r="E172" i="2"/>
  <c r="C171" i="2"/>
  <c r="B170" i="2"/>
  <c r="A169" i="2"/>
  <c r="O167" i="2"/>
  <c r="N166" i="2"/>
  <c r="M165" i="2"/>
  <c r="L164" i="2"/>
  <c r="K163" i="2"/>
  <c r="J162" i="2"/>
  <c r="I161" i="2"/>
  <c r="H160" i="2"/>
  <c r="G159" i="2"/>
  <c r="F158" i="2"/>
  <c r="E157" i="2"/>
  <c r="D156" i="2"/>
  <c r="C155" i="2"/>
  <c r="B154" i="2"/>
  <c r="A153" i="2"/>
  <c r="O151" i="2"/>
  <c r="N150" i="2"/>
  <c r="M149" i="2"/>
  <c r="L148" i="2"/>
  <c r="K147" i="2"/>
  <c r="J146" i="2"/>
  <c r="I145" i="2"/>
  <c r="H144" i="2"/>
  <c r="G143" i="2"/>
  <c r="F142" i="2"/>
  <c r="E141" i="2"/>
  <c r="D140" i="2"/>
  <c r="C139" i="2"/>
  <c r="B138" i="2"/>
  <c r="A137" i="2"/>
  <c r="O135" i="2"/>
  <c r="N134" i="2"/>
  <c r="M133" i="2"/>
  <c r="L132" i="2"/>
  <c r="K131" i="2"/>
  <c r="J130" i="2"/>
  <c r="I129" i="2"/>
  <c r="H128" i="2"/>
  <c r="G127" i="2"/>
  <c r="F126" i="2"/>
  <c r="E125" i="2"/>
  <c r="D124" i="2"/>
  <c r="N275" i="2"/>
  <c r="B266" i="2"/>
  <c r="B256" i="2"/>
  <c r="E249" i="2"/>
  <c r="I243" i="2"/>
  <c r="F238" i="2"/>
  <c r="L233" i="2"/>
  <c r="A230" i="2"/>
  <c r="G225" i="2"/>
  <c r="C222" i="2"/>
  <c r="K218" i="2"/>
  <c r="N215" i="2"/>
  <c r="D213" i="2"/>
  <c r="C210" i="2"/>
  <c r="L207" i="2"/>
  <c r="H205" i="2"/>
  <c r="J203" i="2"/>
  <c r="L201" i="2"/>
  <c r="J199" i="2"/>
  <c r="H197" i="2"/>
  <c r="H195" i="2"/>
  <c r="B194" i="2"/>
  <c r="J192" i="2"/>
  <c r="C191" i="2"/>
  <c r="M189" i="2"/>
  <c r="F188" i="2"/>
  <c r="N186" i="2"/>
  <c r="I185" i="2"/>
  <c r="B184" i="2"/>
  <c r="L182" i="2"/>
  <c r="I181" i="2"/>
  <c r="F180" i="2"/>
  <c r="C179" i="2"/>
  <c r="O177" i="2"/>
  <c r="M176" i="2"/>
  <c r="J175" i="2"/>
  <c r="H174" i="2"/>
  <c r="F173" i="2"/>
  <c r="D172" i="2"/>
  <c r="B171" i="2"/>
  <c r="A170" i="2"/>
  <c r="O168" i="2"/>
  <c r="N167" i="2"/>
  <c r="M166" i="2"/>
  <c r="L165" i="2"/>
  <c r="K164" i="2"/>
  <c r="J163" i="2"/>
  <c r="I162" i="2"/>
  <c r="H161" i="2"/>
  <c r="G160" i="2"/>
  <c r="F159" i="2"/>
  <c r="E158" i="2"/>
  <c r="D157" i="2"/>
  <c r="C156" i="2"/>
  <c r="B155" i="2"/>
  <c r="A154" i="2"/>
  <c r="O152" i="2"/>
  <c r="N151" i="2"/>
  <c r="M150" i="2"/>
  <c r="L149" i="2"/>
  <c r="K148" i="2"/>
  <c r="J147" i="2"/>
  <c r="I146" i="2"/>
  <c r="H145" i="2"/>
  <c r="G144" i="2"/>
  <c r="F143" i="2"/>
  <c r="E142" i="2"/>
  <c r="D141" i="2"/>
  <c r="C140" i="2"/>
  <c r="B139" i="2"/>
  <c r="A138" i="2"/>
  <c r="O136" i="2"/>
  <c r="N135" i="2"/>
  <c r="M134" i="2"/>
  <c r="L133" i="2"/>
  <c r="K132" i="2"/>
  <c r="J131" i="2"/>
  <c r="I130" i="2"/>
  <c r="H129" i="2"/>
  <c r="G128" i="2"/>
  <c r="F127" i="2"/>
  <c r="E126" i="2"/>
  <c r="L275" i="2"/>
  <c r="I264" i="2"/>
  <c r="O255" i="2"/>
  <c r="F248" i="2"/>
  <c r="C243" i="2"/>
  <c r="E238" i="2"/>
  <c r="I233" i="2"/>
  <c r="N229" i="2"/>
  <c r="F225" i="2"/>
  <c r="F221" i="2"/>
  <c r="J218" i="2"/>
  <c r="L215" i="2"/>
  <c r="C213" i="2"/>
  <c r="B210" i="2"/>
  <c r="J207" i="2"/>
  <c r="G205" i="2"/>
  <c r="E203" i="2"/>
  <c r="I201" i="2"/>
  <c r="I199" i="2"/>
  <c r="G197" i="2"/>
  <c r="F195" i="2"/>
  <c r="A194" i="2"/>
  <c r="G192" i="2"/>
  <c r="B191" i="2"/>
  <c r="L189" i="2"/>
  <c r="C188" i="2"/>
  <c r="M186" i="2"/>
  <c r="H185" i="2"/>
  <c r="O183" i="2"/>
  <c r="K182" i="2"/>
  <c r="H181" i="2"/>
  <c r="E180" i="2"/>
  <c r="B179" i="2"/>
  <c r="N177" i="2"/>
  <c r="K176" i="2"/>
  <c r="I175" i="2"/>
  <c r="G174" i="2"/>
  <c r="E173" i="2"/>
  <c r="C172" i="2"/>
  <c r="A171" i="2"/>
  <c r="O169" i="2"/>
  <c r="N168" i="2"/>
  <c r="M167" i="2"/>
  <c r="L166" i="2"/>
  <c r="K165" i="2"/>
  <c r="J164" i="2"/>
  <c r="I163" i="2"/>
  <c r="H162" i="2"/>
  <c r="G161" i="2"/>
  <c r="F160" i="2"/>
  <c r="E159" i="2"/>
  <c r="D158" i="2"/>
  <c r="C157" i="2"/>
  <c r="B156" i="2"/>
  <c r="A155" i="2"/>
  <c r="O153" i="2"/>
  <c r="N152" i="2"/>
  <c r="M151" i="2"/>
  <c r="L150" i="2"/>
  <c r="K149" i="2"/>
  <c r="J148" i="2"/>
  <c r="I147" i="2"/>
  <c r="H146" i="2"/>
  <c r="G145" i="2"/>
  <c r="F144" i="2"/>
  <c r="E143" i="2"/>
  <c r="D142" i="2"/>
  <c r="C141" i="2"/>
  <c r="B140" i="2"/>
  <c r="A139" i="2"/>
  <c r="O137" i="2"/>
  <c r="N136" i="2"/>
  <c r="M135" i="2"/>
  <c r="L134" i="2"/>
  <c r="K133" i="2"/>
  <c r="J132" i="2"/>
  <c r="I131" i="2"/>
  <c r="H130" i="2"/>
  <c r="G129" i="2"/>
  <c r="F128" i="2"/>
  <c r="E127" i="2"/>
  <c r="D126" i="2"/>
  <c r="C125" i="2"/>
  <c r="B124" i="2"/>
  <c r="A274" i="2"/>
  <c r="H264" i="2"/>
  <c r="N255" i="2"/>
  <c r="O247" i="2"/>
  <c r="B243" i="2"/>
  <c r="D238" i="2"/>
  <c r="H233" i="2"/>
  <c r="A229" i="2"/>
  <c r="D225" i="2"/>
  <c r="E221" i="2"/>
  <c r="I218" i="2"/>
  <c r="K215" i="2"/>
  <c r="G212" i="2"/>
  <c r="A210" i="2"/>
  <c r="I207" i="2"/>
  <c r="F205" i="2"/>
  <c r="D203" i="2"/>
  <c r="F201" i="2"/>
  <c r="H199" i="2"/>
  <c r="F197" i="2"/>
  <c r="E195" i="2"/>
  <c r="O193" i="2"/>
  <c r="F192" i="2"/>
  <c r="A191" i="2"/>
  <c r="K189" i="2"/>
  <c r="B188" i="2"/>
  <c r="L186" i="2"/>
  <c r="G185" i="2"/>
  <c r="N183" i="2"/>
  <c r="J182" i="2"/>
  <c r="G181" i="2"/>
  <c r="D180" i="2"/>
  <c r="A179" i="2"/>
  <c r="L177" i="2"/>
  <c r="J176" i="2"/>
  <c r="H175" i="2"/>
  <c r="F174" i="2"/>
  <c r="D173" i="2"/>
  <c r="B172" i="2"/>
  <c r="O170" i="2"/>
  <c r="N169" i="2"/>
  <c r="M168" i="2"/>
  <c r="L167" i="2"/>
  <c r="K166" i="2"/>
  <c r="J165" i="2"/>
  <c r="I164" i="2"/>
  <c r="H163" i="2"/>
  <c r="G162" i="2"/>
  <c r="F161" i="2"/>
  <c r="E160" i="2"/>
  <c r="D159" i="2"/>
  <c r="C158" i="2"/>
  <c r="B157" i="2"/>
  <c r="A156" i="2"/>
  <c r="O154" i="2"/>
  <c r="N153" i="2"/>
  <c r="M152" i="2"/>
  <c r="L151" i="2"/>
  <c r="K150" i="2"/>
  <c r="J149" i="2"/>
  <c r="I148" i="2"/>
  <c r="H147" i="2"/>
  <c r="G146" i="2"/>
  <c r="F145" i="2"/>
  <c r="E144" i="2"/>
  <c r="D143" i="2"/>
  <c r="C142" i="2"/>
  <c r="B141" i="2"/>
  <c r="A140" i="2"/>
  <c r="O138" i="2"/>
  <c r="N137" i="2"/>
  <c r="M136" i="2"/>
  <c r="L135" i="2"/>
  <c r="K134" i="2"/>
  <c r="J133" i="2"/>
  <c r="I132" i="2"/>
  <c r="O273" i="2"/>
  <c r="C264" i="2"/>
  <c r="G254" i="2"/>
  <c r="N247" i="2"/>
  <c r="A243" i="2"/>
  <c r="O237" i="2"/>
  <c r="G233" i="2"/>
  <c r="K228" i="2"/>
  <c r="C225" i="2"/>
  <c r="D221" i="2"/>
  <c r="H218" i="2"/>
  <c r="J215" i="2"/>
  <c r="F212" i="2"/>
  <c r="O209" i="2"/>
  <c r="H207" i="2"/>
  <c r="E205" i="2"/>
  <c r="C203" i="2"/>
  <c r="A201" i="2"/>
  <c r="E199" i="2"/>
  <c r="E197" i="2"/>
  <c r="D195" i="2"/>
  <c r="N193" i="2"/>
  <c r="E192" i="2"/>
  <c r="O190" i="2"/>
  <c r="J189" i="2"/>
  <c r="A188" i="2"/>
  <c r="K186" i="2"/>
  <c r="F185" i="2"/>
  <c r="M183" i="2"/>
  <c r="I182" i="2"/>
  <c r="F181" i="2"/>
  <c r="C180" i="2"/>
  <c r="O178" i="2"/>
  <c r="K177" i="2"/>
  <c r="I176" i="2"/>
  <c r="G175" i="2"/>
  <c r="E174" i="2"/>
  <c r="C173" i="2"/>
  <c r="A172" i="2"/>
  <c r="N170" i="2"/>
  <c r="M169" i="2"/>
  <c r="L168" i="2"/>
  <c r="K167" i="2"/>
  <c r="J166" i="2"/>
  <c r="I165" i="2"/>
  <c r="H164" i="2"/>
  <c r="G163" i="2"/>
  <c r="F162" i="2"/>
  <c r="E161" i="2"/>
  <c r="D160" i="2"/>
  <c r="C159" i="2"/>
  <c r="B158" i="2"/>
  <c r="A157" i="2"/>
  <c r="O155" i="2"/>
  <c r="N154" i="2"/>
  <c r="M153" i="2"/>
  <c r="L152" i="2"/>
  <c r="K151" i="2"/>
  <c r="J150" i="2"/>
  <c r="I149" i="2"/>
  <c r="H148" i="2"/>
  <c r="G147" i="2"/>
  <c r="F146" i="2"/>
  <c r="E145" i="2"/>
  <c r="D144" i="2"/>
  <c r="M273" i="2"/>
  <c r="H262" i="2"/>
  <c r="F254" i="2"/>
  <c r="M247" i="2"/>
  <c r="M242" i="2"/>
  <c r="B237" i="2"/>
  <c r="E233" i="2"/>
  <c r="J228" i="2"/>
  <c r="C224" i="2"/>
  <c r="B221" i="2"/>
  <c r="G218" i="2"/>
  <c r="M214" i="2"/>
  <c r="E212" i="2"/>
  <c r="N209" i="2"/>
  <c r="G207" i="2"/>
  <c r="D205" i="2"/>
  <c r="B203" i="2"/>
  <c r="O200" i="2"/>
  <c r="A199" i="2"/>
  <c r="D197" i="2"/>
  <c r="C195" i="2"/>
  <c r="K193" i="2"/>
  <c r="D192" i="2"/>
  <c r="N190" i="2"/>
  <c r="G189" i="2"/>
  <c r="O187" i="2"/>
  <c r="J186" i="2"/>
  <c r="C185" i="2"/>
  <c r="L183" i="2"/>
  <c r="H182" i="2"/>
  <c r="E181" i="2"/>
  <c r="B180" i="2"/>
  <c r="M178" i="2"/>
  <c r="J177" i="2"/>
  <c r="H176" i="2"/>
  <c r="F175" i="2"/>
  <c r="D174" i="2"/>
  <c r="B173" i="2"/>
  <c r="O171" i="2"/>
  <c r="M170" i="2"/>
  <c r="L169" i="2"/>
  <c r="K168" i="2"/>
  <c r="J167" i="2"/>
  <c r="I166" i="2"/>
  <c r="H165" i="2"/>
  <c r="G164" i="2"/>
  <c r="F163" i="2"/>
  <c r="E162" i="2"/>
  <c r="D161" i="2"/>
  <c r="C160" i="2"/>
  <c r="B159" i="2"/>
  <c r="A158" i="2"/>
  <c r="O156" i="2"/>
  <c r="N155" i="2"/>
  <c r="M154" i="2"/>
  <c r="L153" i="2"/>
  <c r="K152" i="2"/>
  <c r="J151" i="2"/>
  <c r="I150" i="2"/>
  <c r="H149" i="2"/>
  <c r="G148" i="2"/>
  <c r="F147" i="2"/>
  <c r="E146" i="2"/>
  <c r="D145" i="2"/>
  <c r="C144" i="2"/>
  <c r="B143" i="2"/>
  <c r="A142" i="2"/>
  <c r="O140" i="2"/>
  <c r="N139" i="2"/>
  <c r="M138" i="2"/>
  <c r="L137" i="2"/>
  <c r="K136" i="2"/>
  <c r="J135" i="2"/>
  <c r="I134" i="2"/>
  <c r="H133" i="2"/>
  <c r="G132" i="2"/>
  <c r="F131" i="2"/>
  <c r="E130" i="2"/>
  <c r="D129" i="2"/>
  <c r="C128" i="2"/>
  <c r="B127" i="2"/>
  <c r="A126" i="2"/>
  <c r="O124" i="2"/>
  <c r="N123" i="2"/>
  <c r="M122" i="2"/>
  <c r="A272" i="2"/>
  <c r="G262" i="2"/>
  <c r="E254" i="2"/>
  <c r="L247" i="2"/>
  <c r="M241" i="2"/>
  <c r="N236" i="2"/>
  <c r="D233" i="2"/>
  <c r="I228" i="2"/>
  <c r="A224" i="2"/>
  <c r="A221" i="2"/>
  <c r="D218" i="2"/>
  <c r="K214" i="2"/>
  <c r="D212" i="2"/>
  <c r="L209" i="2"/>
  <c r="A207" i="2"/>
  <c r="C205" i="2"/>
  <c r="A203" i="2"/>
  <c r="N200" i="2"/>
  <c r="L198" i="2"/>
  <c r="O196" i="2"/>
  <c r="B195" i="2"/>
  <c r="H193" i="2"/>
  <c r="C192" i="2"/>
  <c r="M190" i="2"/>
  <c r="D189" i="2"/>
  <c r="N187" i="2"/>
  <c r="I186" i="2"/>
  <c r="O184" i="2"/>
  <c r="K183" i="2"/>
  <c r="G182" i="2"/>
  <c r="D181" i="2"/>
  <c r="A180" i="2"/>
  <c r="L178" i="2"/>
  <c r="I177" i="2"/>
  <c r="G176" i="2"/>
  <c r="E175" i="2"/>
  <c r="C174" i="2"/>
  <c r="A173" i="2"/>
  <c r="N171" i="2"/>
  <c r="L170" i="2"/>
  <c r="K169" i="2"/>
  <c r="J168" i="2"/>
  <c r="I167" i="2"/>
  <c r="H166" i="2"/>
  <c r="G165" i="2"/>
  <c r="F164" i="2"/>
  <c r="E163" i="2"/>
  <c r="D162" i="2"/>
  <c r="C161" i="2"/>
  <c r="B160" i="2"/>
  <c r="A159" i="2"/>
  <c r="O157" i="2"/>
  <c r="N156" i="2"/>
  <c r="M155" i="2"/>
  <c r="L154" i="2"/>
  <c r="K153" i="2"/>
  <c r="J152" i="2"/>
  <c r="I151" i="2"/>
  <c r="H150" i="2"/>
  <c r="G149" i="2"/>
  <c r="F148" i="2"/>
  <c r="E147" i="2"/>
  <c r="D146" i="2"/>
  <c r="C145" i="2"/>
  <c r="B144" i="2"/>
  <c r="A143" i="2"/>
  <c r="O141" i="2"/>
  <c r="N140" i="2"/>
  <c r="M139" i="2"/>
  <c r="L138" i="2"/>
  <c r="K137" i="2"/>
  <c r="J136" i="2"/>
  <c r="I135" i="2"/>
  <c r="H134" i="2"/>
  <c r="G133" i="2"/>
  <c r="F132" i="2"/>
  <c r="E131" i="2"/>
  <c r="D130" i="2"/>
  <c r="O271" i="2"/>
  <c r="F262" i="2"/>
  <c r="N252" i="2"/>
  <c r="K246" i="2"/>
  <c r="H241" i="2"/>
  <c r="K236" i="2"/>
  <c r="C232" i="2"/>
  <c r="F228" i="2"/>
  <c r="O223" i="2"/>
  <c r="O220" i="2"/>
  <c r="H217" i="2"/>
  <c r="J214" i="2"/>
  <c r="C212" i="2"/>
  <c r="K209" i="2"/>
  <c r="L206" i="2"/>
  <c r="O204" i="2"/>
  <c r="O202" i="2"/>
  <c r="M200" i="2"/>
  <c r="K198" i="2"/>
  <c r="L196" i="2"/>
  <c r="A195" i="2"/>
  <c r="G193" i="2"/>
  <c r="B192" i="2"/>
  <c r="L190" i="2"/>
  <c r="C189" i="2"/>
  <c r="M187" i="2"/>
  <c r="H186" i="2"/>
  <c r="N184" i="2"/>
  <c r="J183" i="2"/>
  <c r="F182" i="2"/>
  <c r="C181" i="2"/>
  <c r="N179" i="2"/>
  <c r="J178" i="2"/>
  <c r="H177" i="2"/>
  <c r="F176" i="2"/>
  <c r="D175" i="2"/>
  <c r="B174" i="2"/>
  <c r="O172" i="2"/>
  <c r="M171" i="2"/>
  <c r="K170" i="2"/>
  <c r="J169" i="2"/>
  <c r="I168" i="2"/>
  <c r="H167" i="2"/>
  <c r="G166" i="2"/>
  <c r="F165" i="2"/>
  <c r="E164" i="2"/>
  <c r="D163" i="2"/>
  <c r="C162" i="2"/>
  <c r="B161" i="2"/>
  <c r="A160" i="2"/>
  <c r="O158" i="2"/>
  <c r="N157" i="2"/>
  <c r="M156" i="2"/>
  <c r="L155" i="2"/>
  <c r="K154" i="2"/>
  <c r="J153" i="2"/>
  <c r="I152" i="2"/>
  <c r="H151" i="2"/>
  <c r="G150" i="2"/>
  <c r="F149" i="2"/>
  <c r="E148" i="2"/>
  <c r="D147" i="2"/>
  <c r="C146" i="2"/>
  <c r="B145" i="2"/>
  <c r="A144" i="2"/>
  <c r="N271" i="2"/>
  <c r="O260" i="2"/>
  <c r="M252" i="2"/>
  <c r="G246" i="2"/>
  <c r="G241" i="2"/>
  <c r="J236" i="2"/>
  <c r="O231" i="2"/>
  <c r="E228" i="2"/>
  <c r="N223" i="2"/>
  <c r="N220" i="2"/>
  <c r="G217" i="2"/>
  <c r="I214" i="2"/>
  <c r="B212" i="2"/>
  <c r="A209" i="2"/>
  <c r="K206" i="2"/>
  <c r="L204" i="2"/>
  <c r="N202" i="2"/>
  <c r="L200" i="2"/>
  <c r="J198" i="2"/>
  <c r="H196" i="2"/>
  <c r="O194" i="2"/>
  <c r="F193" i="2"/>
  <c r="A192" i="2"/>
  <c r="K190" i="2"/>
  <c r="B189" i="2"/>
  <c r="L187" i="2"/>
  <c r="G186" i="2"/>
  <c r="M184" i="2"/>
  <c r="I183" i="2"/>
  <c r="E182" i="2"/>
  <c r="B181" i="2"/>
  <c r="M179" i="2"/>
  <c r="I178" i="2"/>
  <c r="G177" i="2"/>
  <c r="E176" i="2"/>
  <c r="C175" i="2"/>
  <c r="A174" i="2"/>
  <c r="N172" i="2"/>
  <c r="L171" i="2"/>
  <c r="J170" i="2"/>
  <c r="I169" i="2"/>
  <c r="H168" i="2"/>
  <c r="G167" i="2"/>
  <c r="F166" i="2"/>
  <c r="E165" i="2"/>
  <c r="D164" i="2"/>
  <c r="C163" i="2"/>
  <c r="B162" i="2"/>
  <c r="A161" i="2"/>
  <c r="O159" i="2"/>
  <c r="N158" i="2"/>
  <c r="M157" i="2"/>
  <c r="L156" i="2"/>
  <c r="K155" i="2"/>
  <c r="J154" i="2"/>
  <c r="I153" i="2"/>
  <c r="H152" i="2"/>
  <c r="G151" i="2"/>
  <c r="F150" i="2"/>
  <c r="E149" i="2"/>
  <c r="D148" i="2"/>
  <c r="C147" i="2"/>
  <c r="B146" i="2"/>
  <c r="A145" i="2"/>
  <c r="O143" i="2"/>
  <c r="G268" i="2"/>
  <c r="E259" i="2"/>
  <c r="A251" i="2"/>
  <c r="C245" i="2"/>
  <c r="O239" i="2"/>
  <c r="C235" i="2"/>
  <c r="J231" i="2"/>
  <c r="N226" i="2"/>
  <c r="K222" i="2"/>
  <c r="M219" i="2"/>
  <c r="A217" i="2"/>
  <c r="I213" i="2"/>
  <c r="C211" i="2"/>
  <c r="K208" i="2"/>
  <c r="F206" i="2"/>
  <c r="D204" i="2"/>
  <c r="B202" i="2"/>
  <c r="C200" i="2"/>
  <c r="F198" i="2"/>
  <c r="D196" i="2"/>
  <c r="G194" i="2"/>
  <c r="B193" i="2"/>
  <c r="L191" i="2"/>
  <c r="C190" i="2"/>
  <c r="M188" i="2"/>
  <c r="H187" i="2"/>
  <c r="N185" i="2"/>
  <c r="I184" i="2"/>
  <c r="E183" i="2"/>
  <c r="O181" i="2"/>
  <c r="K180" i="2"/>
  <c r="H179" i="2"/>
  <c r="E178" i="2"/>
  <c r="C177" i="2"/>
  <c r="A176" i="2"/>
  <c r="N174" i="2"/>
  <c r="L173" i="2"/>
  <c r="J172" i="2"/>
  <c r="H171" i="2"/>
  <c r="F170" i="2"/>
  <c r="E169" i="2"/>
  <c r="D168" i="2"/>
  <c r="C167" i="2"/>
  <c r="B166" i="2"/>
  <c r="A165" i="2"/>
  <c r="O163" i="2"/>
  <c r="N162" i="2"/>
  <c r="M161" i="2"/>
  <c r="L160" i="2"/>
  <c r="K159" i="2"/>
  <c r="J158" i="2"/>
  <c r="I157" i="2"/>
  <c r="H156" i="2"/>
  <c r="G155" i="2"/>
  <c r="F154" i="2"/>
  <c r="E153" i="2"/>
  <c r="B268" i="2"/>
  <c r="D259" i="2"/>
  <c r="O250" i="2"/>
  <c r="M244" i="2"/>
  <c r="N239" i="2"/>
  <c r="B235" i="2"/>
  <c r="I230" i="2"/>
  <c r="M226" i="2"/>
  <c r="H222" i="2"/>
  <c r="L219" i="2"/>
  <c r="O216" i="2"/>
  <c r="H213" i="2"/>
  <c r="B211" i="2"/>
  <c r="J208" i="2"/>
  <c r="E206" i="2"/>
  <c r="C204" i="2"/>
  <c r="A202" i="2"/>
  <c r="N199" i="2"/>
  <c r="C198" i="2"/>
  <c r="C196" i="2"/>
  <c r="F194" i="2"/>
  <c r="A193" i="2"/>
  <c r="I191" i="2"/>
  <c r="B190" i="2"/>
  <c r="L188" i="2"/>
  <c r="E187" i="2"/>
  <c r="M185" i="2"/>
  <c r="H184" i="2"/>
  <c r="D183" i="2"/>
  <c r="M181" i="2"/>
  <c r="J180" i="2"/>
  <c r="G179" i="2"/>
  <c r="D178" i="2"/>
  <c r="B177" i="2"/>
  <c r="O175" i="2"/>
  <c r="M174" i="2"/>
  <c r="K173" i="2"/>
  <c r="I172" i="2"/>
  <c r="F171" i="2"/>
  <c r="E170" i="2"/>
  <c r="D169" i="2"/>
  <c r="C168" i="2"/>
  <c r="B167" i="2"/>
  <c r="A166" i="2"/>
  <c r="O164" i="2"/>
  <c r="N163" i="2"/>
  <c r="M162" i="2"/>
  <c r="L161" i="2"/>
  <c r="K160" i="2"/>
  <c r="J159" i="2"/>
  <c r="I158" i="2"/>
  <c r="H157" i="2"/>
  <c r="G156" i="2"/>
  <c r="F155" i="2"/>
  <c r="E154" i="2"/>
  <c r="D153" i="2"/>
  <c r="C152" i="2"/>
  <c r="B151" i="2"/>
  <c r="A150" i="2"/>
  <c r="O148" i="2"/>
  <c r="N147" i="2"/>
  <c r="M146" i="2"/>
  <c r="L145" i="2"/>
  <c r="K144" i="2"/>
  <c r="H236" i="2"/>
  <c r="C217" i="2"/>
  <c r="E204" i="2"/>
  <c r="E193" i="2"/>
  <c r="A186" i="2"/>
  <c r="I179" i="2"/>
  <c r="M172" i="2"/>
  <c r="E167" i="2"/>
  <c r="N161" i="2"/>
  <c r="J155" i="2"/>
  <c r="C151" i="2"/>
  <c r="L147" i="2"/>
  <c r="N143" i="2"/>
  <c r="N141" i="2"/>
  <c r="E140" i="2"/>
  <c r="F138" i="2"/>
  <c r="F136" i="2"/>
  <c r="F134" i="2"/>
  <c r="H132" i="2"/>
  <c r="N130" i="2"/>
  <c r="B129" i="2"/>
  <c r="K127" i="2"/>
  <c r="O125" i="2"/>
  <c r="J124" i="2"/>
  <c r="D123" i="2"/>
  <c r="A122" i="2"/>
  <c r="N120" i="2"/>
  <c r="L119" i="2"/>
  <c r="J118" i="2"/>
  <c r="I117" i="2"/>
  <c r="H116" i="2"/>
  <c r="G115" i="2"/>
  <c r="F114" i="2"/>
  <c r="E113" i="2"/>
  <c r="D112" i="2"/>
  <c r="C111" i="2"/>
  <c r="B110" i="2"/>
  <c r="A109" i="2"/>
  <c r="O107" i="2"/>
  <c r="N106" i="2"/>
  <c r="M105" i="2"/>
  <c r="L104" i="2"/>
  <c r="K103" i="2"/>
  <c r="J102" i="2"/>
  <c r="I101" i="2"/>
  <c r="H100" i="2"/>
  <c r="G99" i="2"/>
  <c r="F98" i="2"/>
  <c r="E97" i="2"/>
  <c r="D96" i="2"/>
  <c r="C95" i="2"/>
  <c r="B94" i="2"/>
  <c r="A93" i="2"/>
  <c r="O91" i="2"/>
  <c r="N90" i="2"/>
  <c r="M89" i="2"/>
  <c r="L88" i="2"/>
  <c r="K87" i="2"/>
  <c r="J86" i="2"/>
  <c r="I85" i="2"/>
  <c r="H84" i="2"/>
  <c r="G83" i="2"/>
  <c r="F82" i="2"/>
  <c r="E81" i="2"/>
  <c r="D80" i="2"/>
  <c r="C79" i="2"/>
  <c r="B78" i="2"/>
  <c r="A77" i="2"/>
  <c r="O75" i="2"/>
  <c r="N74" i="2"/>
  <c r="M73" i="2"/>
  <c r="L72" i="2"/>
  <c r="K71" i="2"/>
  <c r="J70" i="2"/>
  <c r="I69" i="2"/>
  <c r="H68" i="2"/>
  <c r="G67" i="2"/>
  <c r="F66" i="2"/>
  <c r="E65" i="2"/>
  <c r="D64" i="2"/>
  <c r="C63" i="2"/>
  <c r="B62" i="2"/>
  <c r="A61" i="2"/>
  <c r="O59" i="2"/>
  <c r="N58" i="2"/>
  <c r="M57" i="2"/>
  <c r="L56" i="2"/>
  <c r="K55" i="2"/>
  <c r="J54" i="2"/>
  <c r="I53" i="2"/>
  <c r="H52" i="2"/>
  <c r="C270" i="2"/>
  <c r="G236" i="2"/>
  <c r="B217" i="2"/>
  <c r="K202" i="2"/>
  <c r="D193" i="2"/>
  <c r="O185" i="2"/>
  <c r="H178" i="2"/>
  <c r="L172" i="2"/>
  <c r="D167" i="2"/>
  <c r="O160" i="2"/>
  <c r="I155" i="2"/>
  <c r="O150" i="2"/>
  <c r="B147" i="2"/>
  <c r="M143" i="2"/>
  <c r="M141" i="2"/>
  <c r="O139" i="2"/>
  <c r="E138" i="2"/>
  <c r="E136" i="2"/>
  <c r="E134" i="2"/>
  <c r="E132" i="2"/>
  <c r="M130" i="2"/>
  <c r="A129" i="2"/>
  <c r="J127" i="2"/>
  <c r="N125" i="2"/>
  <c r="I124" i="2"/>
  <c r="C123" i="2"/>
  <c r="O121" i="2"/>
  <c r="M120" i="2"/>
  <c r="K119" i="2"/>
  <c r="I118" i="2"/>
  <c r="H117" i="2"/>
  <c r="G116" i="2"/>
  <c r="F115" i="2"/>
  <c r="E114" i="2"/>
  <c r="D113" i="2"/>
  <c r="C112" i="2"/>
  <c r="B111" i="2"/>
  <c r="A110" i="2"/>
  <c r="O108" i="2"/>
  <c r="N107" i="2"/>
  <c r="M106" i="2"/>
  <c r="L105" i="2"/>
  <c r="K104" i="2"/>
  <c r="J103" i="2"/>
  <c r="I102" i="2"/>
  <c r="H101" i="2"/>
  <c r="G100" i="2"/>
  <c r="F99" i="2"/>
  <c r="E98" i="2"/>
  <c r="D97" i="2"/>
  <c r="C96" i="2"/>
  <c r="B95" i="2"/>
  <c r="A94" i="2"/>
  <c r="O92" i="2"/>
  <c r="N91" i="2"/>
  <c r="M90" i="2"/>
  <c r="L89" i="2"/>
  <c r="K88" i="2"/>
  <c r="J87" i="2"/>
  <c r="I86" i="2"/>
  <c r="H85" i="2"/>
  <c r="G84" i="2"/>
  <c r="F83" i="2"/>
  <c r="E82" i="2"/>
  <c r="D81" i="2"/>
  <c r="C80" i="2"/>
  <c r="B79" i="2"/>
  <c r="A78" i="2"/>
  <c r="O76" i="2"/>
  <c r="N75" i="2"/>
  <c r="M74" i="2"/>
  <c r="L73" i="2"/>
  <c r="K72" i="2"/>
  <c r="J71" i="2"/>
  <c r="I70" i="2"/>
  <c r="H69" i="2"/>
  <c r="G68" i="2"/>
  <c r="F67" i="2"/>
  <c r="E66" i="2"/>
  <c r="D65" i="2"/>
  <c r="C64" i="2"/>
  <c r="B63" i="2"/>
  <c r="A62" i="2"/>
  <c r="O60" i="2"/>
  <c r="N59" i="2"/>
  <c r="M58" i="2"/>
  <c r="L57" i="2"/>
  <c r="K56" i="2"/>
  <c r="J55" i="2"/>
  <c r="I54" i="2"/>
  <c r="H53" i="2"/>
  <c r="G52" i="2"/>
  <c r="F51" i="2"/>
  <c r="A270" i="2"/>
  <c r="F235" i="2"/>
  <c r="H214" i="2"/>
  <c r="H202" i="2"/>
  <c r="C193" i="2"/>
  <c r="L184" i="2"/>
  <c r="G178" i="2"/>
  <c r="K172" i="2"/>
  <c r="E166" i="2"/>
  <c r="N160" i="2"/>
  <c r="H155" i="2"/>
  <c r="E150" i="2"/>
  <c r="A147" i="2"/>
  <c r="L143" i="2"/>
  <c r="L141" i="2"/>
  <c r="L139" i="2"/>
  <c r="C138" i="2"/>
  <c r="D136" i="2"/>
  <c r="D134" i="2"/>
  <c r="D132" i="2"/>
  <c r="K130" i="2"/>
  <c r="O128" i="2"/>
  <c r="H127" i="2"/>
  <c r="M125" i="2"/>
  <c r="H124" i="2"/>
  <c r="B123" i="2"/>
  <c r="N121" i="2"/>
  <c r="L120" i="2"/>
  <c r="J119" i="2"/>
  <c r="H118" i="2"/>
  <c r="G117" i="2"/>
  <c r="F116" i="2"/>
  <c r="E115" i="2"/>
  <c r="D114" i="2"/>
  <c r="C113" i="2"/>
  <c r="B112" i="2"/>
  <c r="A111" i="2"/>
  <c r="O109" i="2"/>
  <c r="N108" i="2"/>
  <c r="M107" i="2"/>
  <c r="L106" i="2"/>
  <c r="K105" i="2"/>
  <c r="J104" i="2"/>
  <c r="I103" i="2"/>
  <c r="H102" i="2"/>
  <c r="G101" i="2"/>
  <c r="F100" i="2"/>
  <c r="E99" i="2"/>
  <c r="D98" i="2"/>
  <c r="C97" i="2"/>
  <c r="B96" i="2"/>
  <c r="A95" i="2"/>
  <c r="O93" i="2"/>
  <c r="N92" i="2"/>
  <c r="M91" i="2"/>
  <c r="L90" i="2"/>
  <c r="K89" i="2"/>
  <c r="J88" i="2"/>
  <c r="I87" i="2"/>
  <c r="H86" i="2"/>
  <c r="G85" i="2"/>
  <c r="F84" i="2"/>
  <c r="E83" i="2"/>
  <c r="D82" i="2"/>
  <c r="C81" i="2"/>
  <c r="B80" i="2"/>
  <c r="A79" i="2"/>
  <c r="O77" i="2"/>
  <c r="N76" i="2"/>
  <c r="M75" i="2"/>
  <c r="L74" i="2"/>
  <c r="K73" i="2"/>
  <c r="J72" i="2"/>
  <c r="I71" i="2"/>
  <c r="H70" i="2"/>
  <c r="G69" i="2"/>
  <c r="F68" i="2"/>
  <c r="E67" i="2"/>
  <c r="D66" i="2"/>
  <c r="C65" i="2"/>
  <c r="B64" i="2"/>
  <c r="A63" i="2"/>
  <c r="O61" i="2"/>
  <c r="N60" i="2"/>
  <c r="M59" i="2"/>
  <c r="O269" i="2"/>
  <c r="N231" i="2"/>
  <c r="G214" i="2"/>
  <c r="C202" i="2"/>
  <c r="O191" i="2"/>
  <c r="K184" i="2"/>
  <c r="F178" i="2"/>
  <c r="K171" i="2"/>
  <c r="D166" i="2"/>
  <c r="M160" i="2"/>
  <c r="I154" i="2"/>
  <c r="D150" i="2"/>
  <c r="O146" i="2"/>
  <c r="K143" i="2"/>
  <c r="K141" i="2"/>
  <c r="K139" i="2"/>
  <c r="M137" i="2"/>
  <c r="C136" i="2"/>
  <c r="C134" i="2"/>
  <c r="C132" i="2"/>
  <c r="G130" i="2"/>
  <c r="N128" i="2"/>
  <c r="D127" i="2"/>
  <c r="L125" i="2"/>
  <c r="G124" i="2"/>
  <c r="A123" i="2"/>
  <c r="M121" i="2"/>
  <c r="K120" i="2"/>
  <c r="I119" i="2"/>
  <c r="G118" i="2"/>
  <c r="F117" i="2"/>
  <c r="E116" i="2"/>
  <c r="D115" i="2"/>
  <c r="C114" i="2"/>
  <c r="B113" i="2"/>
  <c r="A112" i="2"/>
  <c r="O110" i="2"/>
  <c r="N109" i="2"/>
  <c r="M108" i="2"/>
  <c r="L107" i="2"/>
  <c r="K106" i="2"/>
  <c r="J105" i="2"/>
  <c r="I104" i="2"/>
  <c r="H103" i="2"/>
  <c r="G102" i="2"/>
  <c r="F101" i="2"/>
  <c r="E100" i="2"/>
  <c r="D99" i="2"/>
  <c r="C98" i="2"/>
  <c r="B97" i="2"/>
  <c r="A96" i="2"/>
  <c r="O94" i="2"/>
  <c r="N93" i="2"/>
  <c r="M92" i="2"/>
  <c r="L91" i="2"/>
  <c r="K90" i="2"/>
  <c r="J89" i="2"/>
  <c r="I88" i="2"/>
  <c r="H87" i="2"/>
  <c r="G86" i="2"/>
  <c r="F85" i="2"/>
  <c r="E84" i="2"/>
  <c r="D83" i="2"/>
  <c r="C82" i="2"/>
  <c r="B81" i="2"/>
  <c r="A80" i="2"/>
  <c r="O78" i="2"/>
  <c r="N77" i="2"/>
  <c r="M76" i="2"/>
  <c r="L75" i="2"/>
  <c r="K74" i="2"/>
  <c r="M260" i="2"/>
  <c r="M231" i="2"/>
  <c r="F214" i="2"/>
  <c r="K200" i="2"/>
  <c r="N191" i="2"/>
  <c r="J184" i="2"/>
  <c r="F177" i="2"/>
  <c r="J171" i="2"/>
  <c r="C166" i="2"/>
  <c r="N159" i="2"/>
  <c r="H154" i="2"/>
  <c r="C150" i="2"/>
  <c r="N146" i="2"/>
  <c r="J143" i="2"/>
  <c r="J141" i="2"/>
  <c r="J139" i="2"/>
  <c r="J137" i="2"/>
  <c r="A136" i="2"/>
  <c r="B134" i="2"/>
  <c r="B132" i="2"/>
  <c r="F130" i="2"/>
  <c r="M128" i="2"/>
  <c r="C127" i="2"/>
  <c r="K125" i="2"/>
  <c r="E124" i="2"/>
  <c r="O122" i="2"/>
  <c r="L121" i="2"/>
  <c r="J120" i="2"/>
  <c r="H119" i="2"/>
  <c r="F118" i="2"/>
  <c r="E117" i="2"/>
  <c r="D116" i="2"/>
  <c r="C115" i="2"/>
  <c r="B114" i="2"/>
  <c r="A113" i="2"/>
  <c r="O111" i="2"/>
  <c r="N110" i="2"/>
  <c r="M109" i="2"/>
  <c r="L108" i="2"/>
  <c r="K107" i="2"/>
  <c r="J106" i="2"/>
  <c r="I105" i="2"/>
  <c r="H104" i="2"/>
  <c r="G103" i="2"/>
  <c r="F102" i="2"/>
  <c r="E101" i="2"/>
  <c r="D100" i="2"/>
  <c r="C99" i="2"/>
  <c r="B98" i="2"/>
  <c r="A97" i="2"/>
  <c r="O95" i="2"/>
  <c r="N94" i="2"/>
  <c r="M93" i="2"/>
  <c r="L92" i="2"/>
  <c r="K91" i="2"/>
  <c r="J90" i="2"/>
  <c r="I89" i="2"/>
  <c r="H88" i="2"/>
  <c r="G87" i="2"/>
  <c r="F86" i="2"/>
  <c r="E85" i="2"/>
  <c r="D84" i="2"/>
  <c r="C83" i="2"/>
  <c r="B82" i="2"/>
  <c r="A81" i="2"/>
  <c r="O79" i="2"/>
  <c r="N78" i="2"/>
  <c r="M77" i="2"/>
  <c r="L76" i="2"/>
  <c r="K75" i="2"/>
  <c r="J74" i="2"/>
  <c r="I73" i="2"/>
  <c r="H72" i="2"/>
  <c r="G71" i="2"/>
  <c r="F70" i="2"/>
  <c r="E69" i="2"/>
  <c r="D68" i="2"/>
  <c r="C67" i="2"/>
  <c r="B66" i="2"/>
  <c r="A65" i="2"/>
  <c r="L260" i="2"/>
  <c r="L231" i="2"/>
  <c r="A212" i="2"/>
  <c r="J200" i="2"/>
  <c r="M191" i="2"/>
  <c r="H183" i="2"/>
  <c r="E177" i="2"/>
  <c r="I171" i="2"/>
  <c r="D165" i="2"/>
  <c r="M159" i="2"/>
  <c r="G154" i="2"/>
  <c r="B150" i="2"/>
  <c r="K146" i="2"/>
  <c r="H143" i="2"/>
  <c r="I141" i="2"/>
  <c r="I139" i="2"/>
  <c r="I137" i="2"/>
  <c r="K135" i="2"/>
  <c r="A134" i="2"/>
  <c r="A132" i="2"/>
  <c r="C130" i="2"/>
  <c r="L128" i="2"/>
  <c r="A127" i="2"/>
  <c r="J125" i="2"/>
  <c r="C124" i="2"/>
  <c r="N122" i="2"/>
  <c r="K121" i="2"/>
  <c r="I120" i="2"/>
  <c r="G119" i="2"/>
  <c r="E118" i="2"/>
  <c r="D117" i="2"/>
  <c r="C116" i="2"/>
  <c r="B115" i="2"/>
  <c r="A114" i="2"/>
  <c r="O112" i="2"/>
  <c r="N111" i="2"/>
  <c r="M110" i="2"/>
  <c r="L109" i="2"/>
  <c r="K108" i="2"/>
  <c r="J107" i="2"/>
  <c r="I106" i="2"/>
  <c r="H105" i="2"/>
  <c r="G104" i="2"/>
  <c r="F103" i="2"/>
  <c r="E102" i="2"/>
  <c r="D101" i="2"/>
  <c r="C100" i="2"/>
  <c r="B99" i="2"/>
  <c r="A98" i="2"/>
  <c r="O96" i="2"/>
  <c r="N95" i="2"/>
  <c r="M94" i="2"/>
  <c r="L93" i="2"/>
  <c r="K92" i="2"/>
  <c r="J91" i="2"/>
  <c r="I90" i="2"/>
  <c r="H89" i="2"/>
  <c r="G88" i="2"/>
  <c r="F87" i="2"/>
  <c r="E86" i="2"/>
  <c r="D85" i="2"/>
  <c r="C84" i="2"/>
  <c r="B83" i="2"/>
  <c r="A82" i="2"/>
  <c r="O80" i="2"/>
  <c r="N79" i="2"/>
  <c r="M78" i="2"/>
  <c r="L77" i="2"/>
  <c r="K76" i="2"/>
  <c r="J75" i="2"/>
  <c r="I74" i="2"/>
  <c r="H73" i="2"/>
  <c r="G72" i="2"/>
  <c r="F71" i="2"/>
  <c r="E70" i="2"/>
  <c r="F259" i="2"/>
  <c r="E227" i="2"/>
  <c r="E211" i="2"/>
  <c r="G200" i="2"/>
  <c r="H190" i="2"/>
  <c r="G183" i="2"/>
  <c r="D177" i="2"/>
  <c r="I170" i="2"/>
  <c r="C165" i="2"/>
  <c r="L159" i="2"/>
  <c r="H153" i="2"/>
  <c r="N149" i="2"/>
  <c r="A146" i="2"/>
  <c r="C143" i="2"/>
  <c r="H141" i="2"/>
  <c r="H139" i="2"/>
  <c r="H137" i="2"/>
  <c r="H135" i="2"/>
  <c r="N133" i="2"/>
  <c r="O131" i="2"/>
  <c r="B130" i="2"/>
  <c r="K128" i="2"/>
  <c r="O126" i="2"/>
  <c r="I125" i="2"/>
  <c r="A124" i="2"/>
  <c r="L122" i="2"/>
  <c r="J121" i="2"/>
  <c r="H120" i="2"/>
  <c r="F119" i="2"/>
  <c r="D118" i="2"/>
  <c r="C117" i="2"/>
  <c r="B116" i="2"/>
  <c r="A115" i="2"/>
  <c r="O113" i="2"/>
  <c r="N112" i="2"/>
  <c r="M111" i="2"/>
  <c r="L110" i="2"/>
  <c r="K109" i="2"/>
  <c r="J108" i="2"/>
  <c r="I107" i="2"/>
  <c r="H106" i="2"/>
  <c r="G105" i="2"/>
  <c r="F104" i="2"/>
  <c r="E103" i="2"/>
  <c r="D102" i="2"/>
  <c r="C101" i="2"/>
  <c r="B100" i="2"/>
  <c r="A99" i="2"/>
  <c r="O97" i="2"/>
  <c r="N96" i="2"/>
  <c r="M95" i="2"/>
  <c r="L94" i="2"/>
  <c r="K93" i="2"/>
  <c r="J92" i="2"/>
  <c r="I91" i="2"/>
  <c r="H90" i="2"/>
  <c r="G89" i="2"/>
  <c r="F88" i="2"/>
  <c r="E87" i="2"/>
  <c r="D86" i="2"/>
  <c r="C85" i="2"/>
  <c r="B84" i="2"/>
  <c r="A83" i="2"/>
  <c r="O81" i="2"/>
  <c r="N80" i="2"/>
  <c r="M79" i="2"/>
  <c r="L78" i="2"/>
  <c r="K77" i="2"/>
  <c r="J76" i="2"/>
  <c r="L252" i="2"/>
  <c r="B227" i="2"/>
  <c r="D211" i="2"/>
  <c r="I198" i="2"/>
  <c r="E190" i="2"/>
  <c r="F183" i="2"/>
  <c r="D176" i="2"/>
  <c r="H170" i="2"/>
  <c r="B165" i="2"/>
  <c r="M158" i="2"/>
  <c r="G153" i="2"/>
  <c r="D149" i="2"/>
  <c r="O145" i="2"/>
  <c r="O142" i="2"/>
  <c r="F141" i="2"/>
  <c r="G139" i="2"/>
  <c r="G137" i="2"/>
  <c r="G135" i="2"/>
  <c r="I133" i="2"/>
  <c r="N131" i="2"/>
  <c r="A130" i="2"/>
  <c r="I128" i="2"/>
  <c r="N126" i="2"/>
  <c r="H125" i="2"/>
  <c r="O123" i="2"/>
  <c r="K122" i="2"/>
  <c r="I121" i="2"/>
  <c r="G120" i="2"/>
  <c r="E119" i="2"/>
  <c r="C118" i="2"/>
  <c r="B117" i="2"/>
  <c r="A116" i="2"/>
  <c r="O114" i="2"/>
  <c r="N113" i="2"/>
  <c r="M112" i="2"/>
  <c r="L111" i="2"/>
  <c r="K110" i="2"/>
  <c r="J109" i="2"/>
  <c r="I108" i="2"/>
  <c r="H107" i="2"/>
  <c r="G106" i="2"/>
  <c r="F105" i="2"/>
  <c r="E104" i="2"/>
  <c r="D103" i="2"/>
  <c r="C102" i="2"/>
  <c r="B101" i="2"/>
  <c r="A100" i="2"/>
  <c r="O98" i="2"/>
  <c r="N97" i="2"/>
  <c r="M96" i="2"/>
  <c r="L95" i="2"/>
  <c r="K94" i="2"/>
  <c r="J93" i="2"/>
  <c r="I92" i="2"/>
  <c r="H91" i="2"/>
  <c r="G90" i="2"/>
  <c r="F89" i="2"/>
  <c r="E88" i="2"/>
  <c r="D87" i="2"/>
  <c r="F251" i="2"/>
  <c r="A227" i="2"/>
  <c r="O208" i="2"/>
  <c r="H198" i="2"/>
  <c r="D190" i="2"/>
  <c r="D182" i="2"/>
  <c r="C176" i="2"/>
  <c r="G170" i="2"/>
  <c r="C164" i="2"/>
  <c r="L158" i="2"/>
  <c r="F153" i="2"/>
  <c r="C149" i="2"/>
  <c r="N145" i="2"/>
  <c r="N142" i="2"/>
  <c r="A141" i="2"/>
  <c r="F139" i="2"/>
  <c r="F137" i="2"/>
  <c r="F135" i="2"/>
  <c r="F133" i="2"/>
  <c r="L131" i="2"/>
  <c r="O129" i="2"/>
  <c r="E128" i="2"/>
  <c r="M126" i="2"/>
  <c r="F125" i="2"/>
  <c r="M123" i="2"/>
  <c r="J122" i="2"/>
  <c r="H121" i="2"/>
  <c r="F120" i="2"/>
  <c r="D119" i="2"/>
  <c r="B118" i="2"/>
  <c r="A117" i="2"/>
  <c r="O115" i="2"/>
  <c r="N114" i="2"/>
  <c r="M113" i="2"/>
  <c r="L112" i="2"/>
  <c r="K111" i="2"/>
  <c r="J110" i="2"/>
  <c r="I109" i="2"/>
  <c r="H108" i="2"/>
  <c r="G107" i="2"/>
  <c r="F106" i="2"/>
  <c r="E105" i="2"/>
  <c r="D104" i="2"/>
  <c r="C103" i="2"/>
  <c r="B102" i="2"/>
  <c r="A101" i="2"/>
  <c r="O99" i="2"/>
  <c r="N98" i="2"/>
  <c r="M97" i="2"/>
  <c r="L96" i="2"/>
  <c r="K95" i="2"/>
  <c r="J94" i="2"/>
  <c r="I93" i="2"/>
  <c r="B251" i="2"/>
  <c r="J223" i="2"/>
  <c r="N208" i="2"/>
  <c r="G198" i="2"/>
  <c r="A189" i="2"/>
  <c r="C182" i="2"/>
  <c r="B176" i="2"/>
  <c r="H169" i="2"/>
  <c r="B164" i="2"/>
  <c r="K158" i="2"/>
  <c r="G152" i="2"/>
  <c r="B149" i="2"/>
  <c r="M145" i="2"/>
  <c r="M142" i="2"/>
  <c r="M140" i="2"/>
  <c r="D139" i="2"/>
  <c r="E137" i="2"/>
  <c r="E135" i="2"/>
  <c r="E133" i="2"/>
  <c r="H131" i="2"/>
  <c r="N129" i="2"/>
  <c r="D128" i="2"/>
  <c r="L126" i="2"/>
  <c r="D125" i="2"/>
  <c r="L123" i="2"/>
  <c r="I122" i="2"/>
  <c r="G121" i="2"/>
  <c r="E120" i="2"/>
  <c r="C119" i="2"/>
  <c r="A118" i="2"/>
  <c r="O116" i="2"/>
  <c r="N115" i="2"/>
  <c r="M114" i="2"/>
  <c r="L113" i="2"/>
  <c r="K112" i="2"/>
  <c r="J111" i="2"/>
  <c r="I110" i="2"/>
  <c r="H109" i="2"/>
  <c r="G108" i="2"/>
  <c r="F107" i="2"/>
  <c r="E106" i="2"/>
  <c r="D105" i="2"/>
  <c r="C104" i="2"/>
  <c r="B103" i="2"/>
  <c r="A102" i="2"/>
  <c r="O100" i="2"/>
  <c r="N99" i="2"/>
  <c r="M98" i="2"/>
  <c r="L97" i="2"/>
  <c r="K96" i="2"/>
  <c r="J95" i="2"/>
  <c r="F246" i="2"/>
  <c r="H223" i="2"/>
  <c r="M208" i="2"/>
  <c r="G196" i="2"/>
  <c r="O188" i="2"/>
  <c r="A182" i="2"/>
  <c r="B175" i="2"/>
  <c r="G169" i="2"/>
  <c r="A164" i="2"/>
  <c r="L157" i="2"/>
  <c r="F152" i="2"/>
  <c r="A149" i="2"/>
  <c r="J145" i="2"/>
  <c r="L142" i="2"/>
  <c r="L140" i="2"/>
  <c r="N138" i="2"/>
  <c r="D137" i="2"/>
  <c r="D135" i="2"/>
  <c r="D133" i="2"/>
  <c r="G131" i="2"/>
  <c r="M129" i="2"/>
  <c r="B128" i="2"/>
  <c r="K126" i="2"/>
  <c r="B125" i="2"/>
  <c r="K123" i="2"/>
  <c r="H122" i="2"/>
  <c r="F121" i="2"/>
  <c r="D120" i="2"/>
  <c r="B119" i="2"/>
  <c r="O117" i="2"/>
  <c r="N116" i="2"/>
  <c r="M115" i="2"/>
  <c r="L114" i="2"/>
  <c r="K113" i="2"/>
  <c r="J112" i="2"/>
  <c r="I111" i="2"/>
  <c r="H110" i="2"/>
  <c r="G109" i="2"/>
  <c r="F108" i="2"/>
  <c r="E107" i="2"/>
  <c r="D106" i="2"/>
  <c r="C105" i="2"/>
  <c r="B104" i="2"/>
  <c r="D241" i="2"/>
  <c r="N219" i="2"/>
  <c r="G204" i="2"/>
  <c r="I194" i="2"/>
  <c r="I187" i="2"/>
  <c r="K179" i="2"/>
  <c r="N173" i="2"/>
  <c r="E168" i="2"/>
  <c r="A162" i="2"/>
  <c r="J156" i="2"/>
  <c r="E151" i="2"/>
  <c r="A148" i="2"/>
  <c r="L144" i="2"/>
  <c r="G142" i="2"/>
  <c r="H140" i="2"/>
  <c r="H138" i="2"/>
  <c r="H136" i="2"/>
  <c r="J134" i="2"/>
  <c r="O132" i="2"/>
  <c r="A131" i="2"/>
  <c r="E129" i="2"/>
  <c r="M127" i="2"/>
  <c r="C126" i="2"/>
  <c r="L124" i="2"/>
  <c r="G123" i="2"/>
  <c r="C122" i="2"/>
  <c r="A121" i="2"/>
  <c r="N119" i="2"/>
  <c r="L118" i="2"/>
  <c r="K117" i="2"/>
  <c r="J116" i="2"/>
  <c r="I115" i="2"/>
  <c r="H114" i="2"/>
  <c r="G113" i="2"/>
  <c r="F112" i="2"/>
  <c r="E111" i="2"/>
  <c r="C240" i="2"/>
  <c r="F217" i="2"/>
  <c r="F204" i="2"/>
  <c r="H194" i="2"/>
  <c r="D186" i="2"/>
  <c r="J179" i="2"/>
  <c r="M173" i="2"/>
  <c r="F167" i="2"/>
  <c r="O161" i="2"/>
  <c r="I156" i="2"/>
  <c r="D151" i="2"/>
  <c r="O147" i="2"/>
  <c r="I144" i="2"/>
  <c r="B142" i="2"/>
  <c r="G140" i="2"/>
  <c r="G138" i="2"/>
  <c r="G136" i="2"/>
  <c r="G134" i="2"/>
  <c r="M132" i="2"/>
  <c r="O130" i="2"/>
  <c r="C129" i="2"/>
  <c r="L127" i="2"/>
  <c r="B126" i="2"/>
  <c r="K124" i="2"/>
  <c r="F123" i="2"/>
  <c r="B122" i="2"/>
  <c r="O120" i="2"/>
  <c r="M119" i="2"/>
  <c r="K118" i="2"/>
  <c r="J117" i="2"/>
  <c r="I116" i="2"/>
  <c r="H115" i="2"/>
  <c r="G114" i="2"/>
  <c r="F113" i="2"/>
  <c r="E112" i="2"/>
  <c r="D111" i="2"/>
  <c r="C110" i="2"/>
  <c r="B109" i="2"/>
  <c r="A108" i="2"/>
  <c r="O106" i="2"/>
  <c r="N105" i="2"/>
  <c r="M104" i="2"/>
  <c r="L103" i="2"/>
  <c r="K102" i="2"/>
  <c r="J101" i="2"/>
  <c r="I100" i="2"/>
  <c r="H99" i="2"/>
  <c r="G98" i="2"/>
  <c r="O180" i="2"/>
  <c r="D152" i="2"/>
  <c r="I138" i="2"/>
  <c r="A128" i="2"/>
  <c r="D121" i="2"/>
  <c r="J115" i="2"/>
  <c r="D110" i="2"/>
  <c r="O105" i="2"/>
  <c r="M101" i="2"/>
  <c r="I98" i="2"/>
  <c r="G95" i="2"/>
  <c r="C93" i="2"/>
  <c r="A91" i="2"/>
  <c r="N88" i="2"/>
  <c r="L86" i="2"/>
  <c r="L84" i="2"/>
  <c r="L82" i="2"/>
  <c r="L80" i="2"/>
  <c r="D79" i="2"/>
  <c r="D77" i="2"/>
  <c r="E75" i="2"/>
  <c r="J73" i="2"/>
  <c r="B72" i="2"/>
  <c r="K70" i="2"/>
  <c r="A69" i="2"/>
  <c r="K67" i="2"/>
  <c r="C66" i="2"/>
  <c r="L64" i="2"/>
  <c r="H63" i="2"/>
  <c r="D62" i="2"/>
  <c r="L60" i="2"/>
  <c r="H59" i="2"/>
  <c r="E58" i="2"/>
  <c r="B57" i="2"/>
  <c r="N55" i="2"/>
  <c r="K54" i="2"/>
  <c r="F53" i="2"/>
  <c r="C52" i="2"/>
  <c r="A51" i="2"/>
  <c r="O49" i="2"/>
  <c r="N48" i="2"/>
  <c r="M47" i="2"/>
  <c r="L46" i="2"/>
  <c r="K45" i="2"/>
  <c r="J44" i="2"/>
  <c r="I43" i="2"/>
  <c r="H42" i="2"/>
  <c r="G41" i="2"/>
  <c r="F40" i="2"/>
  <c r="E39" i="2"/>
  <c r="D38" i="2"/>
  <c r="C37" i="2"/>
  <c r="B36" i="2"/>
  <c r="A35" i="2"/>
  <c r="O33" i="2"/>
  <c r="N32" i="2"/>
  <c r="M31" i="2"/>
  <c r="L30" i="2"/>
  <c r="K29" i="2"/>
  <c r="J28" i="2"/>
  <c r="I27" i="2"/>
  <c r="H26" i="2"/>
  <c r="G25" i="2"/>
  <c r="F24" i="2"/>
  <c r="E23" i="2"/>
  <c r="D22" i="2"/>
  <c r="C21" i="2"/>
  <c r="B20" i="2"/>
  <c r="A19" i="2"/>
  <c r="O17" i="2"/>
  <c r="N16" i="2"/>
  <c r="M15" i="2"/>
  <c r="K18" i="2"/>
  <c r="N23" i="2"/>
  <c r="G16" i="2"/>
  <c r="F16" i="2"/>
  <c r="G18" i="2"/>
  <c r="N53" i="2"/>
  <c r="M41" i="2"/>
  <c r="C31" i="2"/>
  <c r="H20" i="2"/>
  <c r="H93" i="2"/>
  <c r="F65" i="2"/>
  <c r="E50" i="2"/>
  <c r="H37" i="2"/>
  <c r="E246" i="2"/>
  <c r="N180" i="2"/>
  <c r="F151" i="2"/>
  <c r="B137" i="2"/>
  <c r="O127" i="2"/>
  <c r="B121" i="2"/>
  <c r="K114" i="2"/>
  <c r="F109" i="2"/>
  <c r="B105" i="2"/>
  <c r="L101" i="2"/>
  <c r="H98" i="2"/>
  <c r="F95" i="2"/>
  <c r="B93" i="2"/>
  <c r="O90" i="2"/>
  <c r="M88" i="2"/>
  <c r="K86" i="2"/>
  <c r="K84" i="2"/>
  <c r="K82" i="2"/>
  <c r="K80" i="2"/>
  <c r="K78" i="2"/>
  <c r="C77" i="2"/>
  <c r="D75" i="2"/>
  <c r="G73" i="2"/>
  <c r="A72" i="2"/>
  <c r="G70" i="2"/>
  <c r="O68" i="2"/>
  <c r="J67" i="2"/>
  <c r="A66" i="2"/>
  <c r="K64" i="2"/>
  <c r="G63" i="2"/>
  <c r="C62" i="2"/>
  <c r="K60" i="2"/>
  <c r="G59" i="2"/>
  <c r="D58" i="2"/>
  <c r="A57" i="2"/>
  <c r="M55" i="2"/>
  <c r="H54" i="2"/>
  <c r="E53" i="2"/>
  <c r="B52" i="2"/>
  <c r="O50" i="2"/>
  <c r="N49" i="2"/>
  <c r="M48" i="2"/>
  <c r="L47" i="2"/>
  <c r="K46" i="2"/>
  <c r="J45" i="2"/>
  <c r="I44" i="2"/>
  <c r="H43" i="2"/>
  <c r="G42" i="2"/>
  <c r="F41" i="2"/>
  <c r="E40" i="2"/>
  <c r="D39" i="2"/>
  <c r="C38" i="2"/>
  <c r="B37" i="2"/>
  <c r="A36" i="2"/>
  <c r="O34" i="2"/>
  <c r="N33" i="2"/>
  <c r="M32" i="2"/>
  <c r="L31" i="2"/>
  <c r="K30" i="2"/>
  <c r="J29" i="2"/>
  <c r="I28" i="2"/>
  <c r="H27" i="2"/>
  <c r="G26" i="2"/>
  <c r="F25" i="2"/>
  <c r="E24" i="2"/>
  <c r="D23" i="2"/>
  <c r="C22" i="2"/>
  <c r="B21" i="2"/>
  <c r="A20" i="2"/>
  <c r="O18" i="2"/>
  <c r="N17" i="2"/>
  <c r="M16" i="2"/>
  <c r="L15" i="2"/>
  <c r="K20" i="2"/>
  <c r="F15" i="2"/>
  <c r="G17" i="2"/>
  <c r="E16" i="2"/>
  <c r="K52" i="2"/>
  <c r="O43" i="2"/>
  <c r="F34" i="2"/>
  <c r="J22" i="2"/>
  <c r="H123" i="2"/>
  <c r="I81" i="2"/>
  <c r="A60" i="2"/>
  <c r="N43" i="2"/>
  <c r="D246" i="2"/>
  <c r="L180" i="2"/>
  <c r="M148" i="2"/>
  <c r="L136" i="2"/>
  <c r="N127" i="2"/>
  <c r="C120" i="2"/>
  <c r="J114" i="2"/>
  <c r="E109" i="2"/>
  <c r="A105" i="2"/>
  <c r="K101" i="2"/>
  <c r="K97" i="2"/>
  <c r="E95" i="2"/>
  <c r="H92" i="2"/>
  <c r="F90" i="2"/>
  <c r="D88" i="2"/>
  <c r="C86" i="2"/>
  <c r="J84" i="2"/>
  <c r="J82" i="2"/>
  <c r="J80" i="2"/>
  <c r="J78" i="2"/>
  <c r="B77" i="2"/>
  <c r="C75" i="2"/>
  <c r="F73" i="2"/>
  <c r="O71" i="2"/>
  <c r="D70" i="2"/>
  <c r="N68" i="2"/>
  <c r="I67" i="2"/>
  <c r="O65" i="2"/>
  <c r="J64" i="2"/>
  <c r="F63" i="2"/>
  <c r="N61" i="2"/>
  <c r="J60" i="2"/>
  <c r="F59" i="2"/>
  <c r="C58" i="2"/>
  <c r="O56" i="2"/>
  <c r="L55" i="2"/>
  <c r="G54" i="2"/>
  <c r="D53" i="2"/>
  <c r="A52" i="2"/>
  <c r="N50" i="2"/>
  <c r="M49" i="2"/>
  <c r="L48" i="2"/>
  <c r="K47" i="2"/>
  <c r="J46" i="2"/>
  <c r="I45" i="2"/>
  <c r="H44" i="2"/>
  <c r="G43" i="2"/>
  <c r="F42" i="2"/>
  <c r="E41" i="2"/>
  <c r="D40" i="2"/>
  <c r="C39" i="2"/>
  <c r="B38" i="2"/>
  <c r="A37" i="2"/>
  <c r="O35" i="2"/>
  <c r="N34" i="2"/>
  <c r="M33" i="2"/>
  <c r="L32" i="2"/>
  <c r="K31" i="2"/>
  <c r="J30" i="2"/>
  <c r="I29" i="2"/>
  <c r="H28" i="2"/>
  <c r="G27" i="2"/>
  <c r="F26" i="2"/>
  <c r="E25" i="2"/>
  <c r="D24" i="2"/>
  <c r="C23" i="2"/>
  <c r="B22" i="2"/>
  <c r="A21" i="2"/>
  <c r="O19" i="2"/>
  <c r="N18" i="2"/>
  <c r="M17" i="2"/>
  <c r="L16" i="2"/>
  <c r="K15" i="2"/>
  <c r="I16" i="2"/>
  <c r="L21" i="2"/>
  <c r="I18" i="2"/>
  <c r="I19" i="2"/>
  <c r="I20" i="2"/>
  <c r="B55" i="2"/>
  <c r="K39" i="2"/>
  <c r="B30" i="2"/>
  <c r="G19" i="2"/>
  <c r="G96" i="2"/>
  <c r="K66" i="2"/>
  <c r="J52" i="2"/>
  <c r="I38" i="2"/>
  <c r="F241" i="2"/>
  <c r="A175" i="2"/>
  <c r="C148" i="2"/>
  <c r="I136" i="2"/>
  <c r="J126" i="2"/>
  <c r="A120" i="2"/>
  <c r="I114" i="2"/>
  <c r="D109" i="2"/>
  <c r="O104" i="2"/>
  <c r="N100" i="2"/>
  <c r="J97" i="2"/>
  <c r="D95" i="2"/>
  <c r="G92" i="2"/>
  <c r="E90" i="2"/>
  <c r="C88" i="2"/>
  <c r="B86" i="2"/>
  <c r="I84" i="2"/>
  <c r="I82" i="2"/>
  <c r="I80" i="2"/>
  <c r="I78" i="2"/>
  <c r="I76" i="2"/>
  <c r="B75" i="2"/>
  <c r="E73" i="2"/>
  <c r="N71" i="2"/>
  <c r="C70" i="2"/>
  <c r="M68" i="2"/>
  <c r="H67" i="2"/>
  <c r="N65" i="2"/>
  <c r="I64" i="2"/>
  <c r="E63" i="2"/>
  <c r="M61" i="2"/>
  <c r="I60" i="2"/>
  <c r="E59" i="2"/>
  <c r="B58" i="2"/>
  <c r="N56" i="2"/>
  <c r="I55" i="2"/>
  <c r="F54" i="2"/>
  <c r="C53" i="2"/>
  <c r="O51" i="2"/>
  <c r="M50" i="2"/>
  <c r="L49" i="2"/>
  <c r="K48" i="2"/>
  <c r="J47" i="2"/>
  <c r="I46" i="2"/>
  <c r="H45" i="2"/>
  <c r="G44" i="2"/>
  <c r="F43" i="2"/>
  <c r="E42" i="2"/>
  <c r="D41" i="2"/>
  <c r="C40" i="2"/>
  <c r="B39" i="2"/>
  <c r="A38" i="2"/>
  <c r="O36" i="2"/>
  <c r="N35" i="2"/>
  <c r="M34" i="2"/>
  <c r="L33" i="2"/>
  <c r="K32" i="2"/>
  <c r="J31" i="2"/>
  <c r="I30" i="2"/>
  <c r="H29" i="2"/>
  <c r="G28" i="2"/>
  <c r="F27" i="2"/>
  <c r="E26" i="2"/>
  <c r="D25" i="2"/>
  <c r="C24" i="2"/>
  <c r="B23" i="2"/>
  <c r="A22" i="2"/>
  <c r="O20" i="2"/>
  <c r="N19" i="2"/>
  <c r="M18" i="2"/>
  <c r="L17" i="2"/>
  <c r="K16" i="2"/>
  <c r="J15" i="2"/>
  <c r="H15" i="2"/>
  <c r="M22" i="2"/>
  <c r="L22" i="2"/>
  <c r="H19" i="2"/>
  <c r="H51" i="2"/>
  <c r="I37" i="2"/>
  <c r="A29" i="2"/>
  <c r="E17" i="2"/>
  <c r="C131" i="2"/>
  <c r="I83" i="2"/>
  <c r="I62" i="2"/>
  <c r="B47" i="2"/>
  <c r="L222" i="2"/>
  <c r="O174" i="2"/>
  <c r="B148" i="2"/>
  <c r="C135" i="2"/>
  <c r="I126" i="2"/>
  <c r="O119" i="2"/>
  <c r="J113" i="2"/>
  <c r="C109" i="2"/>
  <c r="N104" i="2"/>
  <c r="M100" i="2"/>
  <c r="I97" i="2"/>
  <c r="I94" i="2"/>
  <c r="F92" i="2"/>
  <c r="D90" i="2"/>
  <c r="B88" i="2"/>
  <c r="A86" i="2"/>
  <c r="A84" i="2"/>
  <c r="H82" i="2"/>
  <c r="H80" i="2"/>
  <c r="H78" i="2"/>
  <c r="H76" i="2"/>
  <c r="A75" i="2"/>
  <c r="D73" i="2"/>
  <c r="M71" i="2"/>
  <c r="B70" i="2"/>
  <c r="L68" i="2"/>
  <c r="D67" i="2"/>
  <c r="M65" i="2"/>
  <c r="H64" i="2"/>
  <c r="D63" i="2"/>
  <c r="L61" i="2"/>
  <c r="H60" i="2"/>
  <c r="D59" i="2"/>
  <c r="A58" i="2"/>
  <c r="M56" i="2"/>
  <c r="H55" i="2"/>
  <c r="E54" i="2"/>
  <c r="B53" i="2"/>
  <c r="N51" i="2"/>
  <c r="L50" i="2"/>
  <c r="K49" i="2"/>
  <c r="J48" i="2"/>
  <c r="I47" i="2"/>
  <c r="H46" i="2"/>
  <c r="G45" i="2"/>
  <c r="F44" i="2"/>
  <c r="E43" i="2"/>
  <c r="D42" i="2"/>
  <c r="C41" i="2"/>
  <c r="B40" i="2"/>
  <c r="A39" i="2"/>
  <c r="O37" i="2"/>
  <c r="N36" i="2"/>
  <c r="M35" i="2"/>
  <c r="L34" i="2"/>
  <c r="K33" i="2"/>
  <c r="J32" i="2"/>
  <c r="I31" i="2"/>
  <c r="H30" i="2"/>
  <c r="G29" i="2"/>
  <c r="F28" i="2"/>
  <c r="E27" i="2"/>
  <c r="D26" i="2"/>
  <c r="C25" i="2"/>
  <c r="B24" i="2"/>
  <c r="A23" i="2"/>
  <c r="O21" i="2"/>
  <c r="N20" i="2"/>
  <c r="M19" i="2"/>
  <c r="L18" i="2"/>
  <c r="K17" i="2"/>
  <c r="J16" i="2"/>
  <c r="I15" i="2"/>
  <c r="H17" i="2"/>
  <c r="E15" i="2"/>
  <c r="D15" i="2"/>
  <c r="F50" i="2"/>
  <c r="J38" i="2"/>
  <c r="O27" i="2"/>
  <c r="D16" i="2"/>
  <c r="O162" i="2"/>
  <c r="J99" i="2"/>
  <c r="I77" i="2"/>
  <c r="M63" i="2"/>
  <c r="D49" i="2"/>
  <c r="A220" i="2"/>
  <c r="O173" i="2"/>
  <c r="O144" i="2"/>
  <c r="B135" i="2"/>
  <c r="G126" i="2"/>
  <c r="O118" i="2"/>
  <c r="I113" i="2"/>
  <c r="E108" i="2"/>
  <c r="A104" i="2"/>
  <c r="L100" i="2"/>
  <c r="H97" i="2"/>
  <c r="H94" i="2"/>
  <c r="E92" i="2"/>
  <c r="C90" i="2"/>
  <c r="A88" i="2"/>
  <c r="O85" i="2"/>
  <c r="O83" i="2"/>
  <c r="G82" i="2"/>
  <c r="G80" i="2"/>
  <c r="G78" i="2"/>
  <c r="G76" i="2"/>
  <c r="O74" i="2"/>
  <c r="C73" i="2"/>
  <c r="L71" i="2"/>
  <c r="A70" i="2"/>
  <c r="K68" i="2"/>
  <c r="B67" i="2"/>
  <c r="L65" i="2"/>
  <c r="G64" i="2"/>
  <c r="O62" i="2"/>
  <c r="K61" i="2"/>
  <c r="G60" i="2"/>
  <c r="C59" i="2"/>
  <c r="O57" i="2"/>
  <c r="J56" i="2"/>
  <c r="G55" i="2"/>
  <c r="D54" i="2"/>
  <c r="A53" i="2"/>
  <c r="M51" i="2"/>
  <c r="K50" i="2"/>
  <c r="J49" i="2"/>
  <c r="I48" i="2"/>
  <c r="H47" i="2"/>
  <c r="G46" i="2"/>
  <c r="F45" i="2"/>
  <c r="E44" i="2"/>
  <c r="D43" i="2"/>
  <c r="C42" i="2"/>
  <c r="B41" i="2"/>
  <c r="A40" i="2"/>
  <c r="O38" i="2"/>
  <c r="N37" i="2"/>
  <c r="M36" i="2"/>
  <c r="L35" i="2"/>
  <c r="K34" i="2"/>
  <c r="J33" i="2"/>
  <c r="I32" i="2"/>
  <c r="H31" i="2"/>
  <c r="G30" i="2"/>
  <c r="F29" i="2"/>
  <c r="E28" i="2"/>
  <c r="D27" i="2"/>
  <c r="C26" i="2"/>
  <c r="B25" i="2"/>
  <c r="A24" i="2"/>
  <c r="O22" i="2"/>
  <c r="N21" i="2"/>
  <c r="M20" i="2"/>
  <c r="L19" i="2"/>
  <c r="J17" i="2"/>
  <c r="O24" i="2"/>
  <c r="A45" i="2"/>
  <c r="M25" i="2"/>
  <c r="F91" i="2"/>
  <c r="A68" i="2"/>
  <c r="A55" i="2"/>
  <c r="L41" i="2"/>
  <c r="O219" i="2"/>
  <c r="F169" i="2"/>
  <c r="N144" i="2"/>
  <c r="O134" i="2"/>
  <c r="A125" i="2"/>
  <c r="N118" i="2"/>
  <c r="H113" i="2"/>
  <c r="D108" i="2"/>
  <c r="O103" i="2"/>
  <c r="K100" i="2"/>
  <c r="G97" i="2"/>
  <c r="G94" i="2"/>
  <c r="D92" i="2"/>
  <c r="B90" i="2"/>
  <c r="O87" i="2"/>
  <c r="N85" i="2"/>
  <c r="N83" i="2"/>
  <c r="N81" i="2"/>
  <c r="F80" i="2"/>
  <c r="F78" i="2"/>
  <c r="F76" i="2"/>
  <c r="H74" i="2"/>
  <c r="B73" i="2"/>
  <c r="H71" i="2"/>
  <c r="O69" i="2"/>
  <c r="J68" i="2"/>
  <c r="A67" i="2"/>
  <c r="K65" i="2"/>
  <c r="F64" i="2"/>
  <c r="N62" i="2"/>
  <c r="J61" i="2"/>
  <c r="F60" i="2"/>
  <c r="B59" i="2"/>
  <c r="N57" i="2"/>
  <c r="I56" i="2"/>
  <c r="F55" i="2"/>
  <c r="C54" i="2"/>
  <c r="O52" i="2"/>
  <c r="L51" i="2"/>
  <c r="J50" i="2"/>
  <c r="I49" i="2"/>
  <c r="H48" i="2"/>
  <c r="G47" i="2"/>
  <c r="F46" i="2"/>
  <c r="E45" i="2"/>
  <c r="D44" i="2"/>
  <c r="C43" i="2"/>
  <c r="B42" i="2"/>
  <c r="A41" i="2"/>
  <c r="O39" i="2"/>
  <c r="N38" i="2"/>
  <c r="M37" i="2"/>
  <c r="L36" i="2"/>
  <c r="K35" i="2"/>
  <c r="J34" i="2"/>
  <c r="I33" i="2"/>
  <c r="H32" i="2"/>
  <c r="G31" i="2"/>
  <c r="F30" i="2"/>
  <c r="E29" i="2"/>
  <c r="D28" i="2"/>
  <c r="C27" i="2"/>
  <c r="B26" i="2"/>
  <c r="A25" i="2"/>
  <c r="O23" i="2"/>
  <c r="N22" i="2"/>
  <c r="M21" i="2"/>
  <c r="L20" i="2"/>
  <c r="K19" i="2"/>
  <c r="J18" i="2"/>
  <c r="I17" i="2"/>
  <c r="H16" i="2"/>
  <c r="G15" i="2"/>
  <c r="J20" i="2"/>
  <c r="E56" i="2"/>
  <c r="N42" i="2"/>
  <c r="D32" i="2"/>
  <c r="F18" i="2"/>
  <c r="G111" i="2"/>
  <c r="A71" i="2"/>
  <c r="O44" i="2"/>
  <c r="I206" i="2"/>
  <c r="G168" i="2"/>
  <c r="M144" i="2"/>
  <c r="C133" i="2"/>
  <c r="N124" i="2"/>
  <c r="M118" i="2"/>
  <c r="I112" i="2"/>
  <c r="C108" i="2"/>
  <c r="N103" i="2"/>
  <c r="J100" i="2"/>
  <c r="F97" i="2"/>
  <c r="F94" i="2"/>
  <c r="C92" i="2"/>
  <c r="A90" i="2"/>
  <c r="N87" i="2"/>
  <c r="M85" i="2"/>
  <c r="M83" i="2"/>
  <c r="M81" i="2"/>
  <c r="E80" i="2"/>
  <c r="E78" i="2"/>
  <c r="E76" i="2"/>
  <c r="G74" i="2"/>
  <c r="A73" i="2"/>
  <c r="E71" i="2"/>
  <c r="N69" i="2"/>
  <c r="I68" i="2"/>
  <c r="O66" i="2"/>
  <c r="J65" i="2"/>
  <c r="E64" i="2"/>
  <c r="M62" i="2"/>
  <c r="I61" i="2"/>
  <c r="E60" i="2"/>
  <c r="A59" i="2"/>
  <c r="K57" i="2"/>
  <c r="H56" i="2"/>
  <c r="E55" i="2"/>
  <c r="B54" i="2"/>
  <c r="N52" i="2"/>
  <c r="K51" i="2"/>
  <c r="I50" i="2"/>
  <c r="H49" i="2"/>
  <c r="G48" i="2"/>
  <c r="F47" i="2"/>
  <c r="E46" i="2"/>
  <c r="D45" i="2"/>
  <c r="C44" i="2"/>
  <c r="B43" i="2"/>
  <c r="A42" i="2"/>
  <c r="O40" i="2"/>
  <c r="N39" i="2"/>
  <c r="M38" i="2"/>
  <c r="L37" i="2"/>
  <c r="K36" i="2"/>
  <c r="J35" i="2"/>
  <c r="I34" i="2"/>
  <c r="H33" i="2"/>
  <c r="G32" i="2"/>
  <c r="F31" i="2"/>
  <c r="E30" i="2"/>
  <c r="D29" i="2"/>
  <c r="C28" i="2"/>
  <c r="B27" i="2"/>
  <c r="A26" i="2"/>
  <c r="J19" i="2"/>
  <c r="H18" i="2"/>
  <c r="N26" i="2"/>
  <c r="N102" i="2"/>
  <c r="A76" i="2"/>
  <c r="M53" i="2"/>
  <c r="H206" i="2"/>
  <c r="F168" i="2"/>
  <c r="K142" i="2"/>
  <c r="B133" i="2"/>
  <c r="M124" i="2"/>
  <c r="N117" i="2"/>
  <c r="H112" i="2"/>
  <c r="B108" i="2"/>
  <c r="M103" i="2"/>
  <c r="M99" i="2"/>
  <c r="J96" i="2"/>
  <c r="E94" i="2"/>
  <c r="B92" i="2"/>
  <c r="O89" i="2"/>
  <c r="M87" i="2"/>
  <c r="L85" i="2"/>
  <c r="L83" i="2"/>
  <c r="L81" i="2"/>
  <c r="L79" i="2"/>
  <c r="D78" i="2"/>
  <c r="D76" i="2"/>
  <c r="F74" i="2"/>
  <c r="O72" i="2"/>
  <c r="D71" i="2"/>
  <c r="M69" i="2"/>
  <c r="E68" i="2"/>
  <c r="N66" i="2"/>
  <c r="I65" i="2"/>
  <c r="A64" i="2"/>
  <c r="L62" i="2"/>
  <c r="H61" i="2"/>
  <c r="D60" i="2"/>
  <c r="O58" i="2"/>
  <c r="J57" i="2"/>
  <c r="G56" i="2"/>
  <c r="D55" i="2"/>
  <c r="A54" i="2"/>
  <c r="M52" i="2"/>
  <c r="J51" i="2"/>
  <c r="H50" i="2"/>
  <c r="G49" i="2"/>
  <c r="F48" i="2"/>
  <c r="E47" i="2"/>
  <c r="D46" i="2"/>
  <c r="C45" i="2"/>
  <c r="B44" i="2"/>
  <c r="A43" i="2"/>
  <c r="O41" i="2"/>
  <c r="N40" i="2"/>
  <c r="M39" i="2"/>
  <c r="L38" i="2"/>
  <c r="K37" i="2"/>
  <c r="J36" i="2"/>
  <c r="I35" i="2"/>
  <c r="H34" i="2"/>
  <c r="G33" i="2"/>
  <c r="F32" i="2"/>
  <c r="E31" i="2"/>
  <c r="D30" i="2"/>
  <c r="C29" i="2"/>
  <c r="B28" i="2"/>
  <c r="A27" i="2"/>
  <c r="O25" i="2"/>
  <c r="N24" i="2"/>
  <c r="M23" i="2"/>
  <c r="K21" i="2"/>
  <c r="H36" i="2"/>
  <c r="K23" i="2"/>
  <c r="K140" i="2"/>
  <c r="D89" i="2"/>
  <c r="I72" i="2"/>
  <c r="J58" i="2"/>
  <c r="C48" i="2"/>
  <c r="J39" i="2"/>
  <c r="G206" i="2"/>
  <c r="B163" i="2"/>
  <c r="J142" i="2"/>
  <c r="A133" i="2"/>
  <c r="J123" i="2"/>
  <c r="M117" i="2"/>
  <c r="G112" i="2"/>
  <c r="D107" i="2"/>
  <c r="A103" i="2"/>
  <c r="L99" i="2"/>
  <c r="I96" i="2"/>
  <c r="D94" i="2"/>
  <c r="A92" i="2"/>
  <c r="N89" i="2"/>
  <c r="L87" i="2"/>
  <c r="K85" i="2"/>
  <c r="K83" i="2"/>
  <c r="K81" i="2"/>
  <c r="K79" i="2"/>
  <c r="C78" i="2"/>
  <c r="C76" i="2"/>
  <c r="E74" i="2"/>
  <c r="N72" i="2"/>
  <c r="C71" i="2"/>
  <c r="L69" i="2"/>
  <c r="C68" i="2"/>
  <c r="M66" i="2"/>
  <c r="H65" i="2"/>
  <c r="O63" i="2"/>
  <c r="K62" i="2"/>
  <c r="G61" i="2"/>
  <c r="C60" i="2"/>
  <c r="L58" i="2"/>
  <c r="I57" i="2"/>
  <c r="F56" i="2"/>
  <c r="C55" i="2"/>
  <c r="O53" i="2"/>
  <c r="L52" i="2"/>
  <c r="I51" i="2"/>
  <c r="G50" i="2"/>
  <c r="F49" i="2"/>
  <c r="E48" i="2"/>
  <c r="D47" i="2"/>
  <c r="C46" i="2"/>
  <c r="B45" i="2"/>
  <c r="A44" i="2"/>
  <c r="O42" i="2"/>
  <c r="N41" i="2"/>
  <c r="M40" i="2"/>
  <c r="L39" i="2"/>
  <c r="K38" i="2"/>
  <c r="J37" i="2"/>
  <c r="I36" i="2"/>
  <c r="H35" i="2"/>
  <c r="G34" i="2"/>
  <c r="F33" i="2"/>
  <c r="E32" i="2"/>
  <c r="D31" i="2"/>
  <c r="C30" i="2"/>
  <c r="B29" i="2"/>
  <c r="A28" i="2"/>
  <c r="O26" i="2"/>
  <c r="N25" i="2"/>
  <c r="M24" i="2"/>
  <c r="L23" i="2"/>
  <c r="K22" i="2"/>
  <c r="J21" i="2"/>
  <c r="F17" i="2"/>
  <c r="E49" i="2"/>
  <c r="L40" i="2"/>
  <c r="E33" i="2"/>
  <c r="I21" i="2"/>
  <c r="M116" i="2"/>
  <c r="I79" i="2"/>
  <c r="E61" i="2"/>
  <c r="A46" i="2"/>
  <c r="F196" i="2"/>
  <c r="A163" i="2"/>
  <c r="I142" i="2"/>
  <c r="D131" i="2"/>
  <c r="I123" i="2"/>
  <c r="L117" i="2"/>
  <c r="H111" i="2"/>
  <c r="C107" i="2"/>
  <c r="O102" i="2"/>
  <c r="K99" i="2"/>
  <c r="H96" i="2"/>
  <c r="C94" i="2"/>
  <c r="G91" i="2"/>
  <c r="E89" i="2"/>
  <c r="C87" i="2"/>
  <c r="J85" i="2"/>
  <c r="J83" i="2"/>
  <c r="J81" i="2"/>
  <c r="J79" i="2"/>
  <c r="J77" i="2"/>
  <c r="B76" i="2"/>
  <c r="D74" i="2"/>
  <c r="M72" i="2"/>
  <c r="B71" i="2"/>
  <c r="K69" i="2"/>
  <c r="B68" i="2"/>
  <c r="L66" i="2"/>
  <c r="G65" i="2"/>
  <c r="N63" i="2"/>
  <c r="J62" i="2"/>
  <c r="F61" i="2"/>
  <c r="B60" i="2"/>
  <c r="K58" i="2"/>
  <c r="H57" i="2"/>
  <c r="D48" i="2"/>
  <c r="C47" i="2"/>
  <c r="B46" i="2"/>
  <c r="G35" i="2"/>
  <c r="L24" i="2"/>
  <c r="C15" i="2"/>
  <c r="E196" i="2"/>
  <c r="B107" i="2"/>
  <c r="B85" i="2"/>
  <c r="J69" i="2"/>
  <c r="D56" i="2"/>
  <c r="M42" i="2"/>
  <c r="K187" i="2"/>
  <c r="K156" i="2"/>
  <c r="K138" i="2"/>
  <c r="J129" i="2"/>
  <c r="E122" i="2"/>
  <c r="L115" i="2"/>
  <c r="F110" i="2"/>
  <c r="B106" i="2"/>
  <c r="O101" i="2"/>
  <c r="K98" i="2"/>
  <c r="I95" i="2"/>
  <c r="E93" i="2"/>
  <c r="C91" i="2"/>
  <c r="A89" i="2"/>
  <c r="N86" i="2"/>
  <c r="N84" i="2"/>
  <c r="N82" i="2"/>
  <c r="F81" i="2"/>
  <c r="F79" i="2"/>
  <c r="F77" i="2"/>
  <c r="G75" i="2"/>
  <c r="O73" i="2"/>
  <c r="D72" i="2"/>
  <c r="M70" i="2"/>
  <c r="C69" i="2"/>
  <c r="M67" i="2"/>
  <c r="H66" i="2"/>
  <c r="N64" i="2"/>
  <c r="J63" i="2"/>
  <c r="F62" i="2"/>
  <c r="B61" i="2"/>
  <c r="J59" i="2"/>
  <c r="G58" i="2"/>
  <c r="D57" i="2"/>
  <c r="A56" i="2"/>
  <c r="M54" i="2"/>
  <c r="J53" i="2"/>
  <c r="E52" i="2"/>
  <c r="C51" i="2"/>
  <c r="B50" i="2"/>
  <c r="A49" i="2"/>
  <c r="O47" i="2"/>
  <c r="N46" i="2"/>
  <c r="M45" i="2"/>
  <c r="L44" i="2"/>
  <c r="K43" i="2"/>
  <c r="J42" i="2"/>
  <c r="I41" i="2"/>
  <c r="H40" i="2"/>
  <c r="G39" i="2"/>
  <c r="F38" i="2"/>
  <c r="E37" i="2"/>
  <c r="D36" i="2"/>
  <c r="C35" i="2"/>
  <c r="B34" i="2"/>
  <c r="A33" i="2"/>
  <c r="O31" i="2"/>
  <c r="N30" i="2"/>
  <c r="M29" i="2"/>
  <c r="L28" i="2"/>
  <c r="K27" i="2"/>
  <c r="J26" i="2"/>
  <c r="I25" i="2"/>
  <c r="H24" i="2"/>
  <c r="G23" i="2"/>
  <c r="F22" i="2"/>
  <c r="E21" i="2"/>
  <c r="D20" i="2"/>
  <c r="C19" i="2"/>
  <c r="B18" i="2"/>
  <c r="A17" i="2"/>
  <c r="O15" i="2"/>
  <c r="B87" i="2"/>
  <c r="G57" i="2"/>
  <c r="K40" i="2"/>
  <c r="J187" i="2"/>
  <c r="E152" i="2"/>
  <c r="J138" i="2"/>
  <c r="F129" i="2"/>
  <c r="E121" i="2"/>
  <c r="K115" i="2"/>
  <c r="E110" i="2"/>
  <c r="A106" i="2"/>
  <c r="N101" i="2"/>
  <c r="J98" i="2"/>
  <c r="H95" i="2"/>
  <c r="D93" i="2"/>
  <c r="B91" i="2"/>
  <c r="O88" i="2"/>
  <c r="M86" i="2"/>
  <c r="M84" i="2"/>
  <c r="M82" i="2"/>
  <c r="M80" i="2"/>
  <c r="E79" i="2"/>
  <c r="E77" i="2"/>
  <c r="F75" i="2"/>
  <c r="N73" i="2"/>
  <c r="C72" i="2"/>
  <c r="L70" i="2"/>
  <c r="B69" i="2"/>
  <c r="L67" i="2"/>
  <c r="G66" i="2"/>
  <c r="M64" i="2"/>
  <c r="I63" i="2"/>
  <c r="E62" i="2"/>
  <c r="M60" i="2"/>
  <c r="I59" i="2"/>
  <c r="F58" i="2"/>
  <c r="C57" i="2"/>
  <c r="O55" i="2"/>
  <c r="L54" i="2"/>
  <c r="G53" i="2"/>
  <c r="D52" i="2"/>
  <c r="B51" i="2"/>
  <c r="A50" i="2"/>
  <c r="O48" i="2"/>
  <c r="N47" i="2"/>
  <c r="M46" i="2"/>
  <c r="L45" i="2"/>
  <c r="K44" i="2"/>
  <c r="J43" i="2"/>
  <c r="I42" i="2"/>
  <c r="H41" i="2"/>
  <c r="G40" i="2"/>
  <c r="F39" i="2"/>
  <c r="E38" i="2"/>
  <c r="D37" i="2"/>
  <c r="C36" i="2"/>
  <c r="B35" i="2"/>
  <c r="A34" i="2"/>
  <c r="O32" i="2"/>
  <c r="N31" i="2"/>
  <c r="M30" i="2"/>
  <c r="L29" i="2"/>
  <c r="K28" i="2"/>
  <c r="J27" i="2"/>
  <c r="I26" i="2"/>
  <c r="H25" i="2"/>
  <c r="G24" i="2"/>
  <c r="F23" i="2"/>
  <c r="E22" i="2"/>
  <c r="D21" i="2"/>
  <c r="C20" i="2"/>
  <c r="B19" i="2"/>
  <c r="A18" i="2"/>
  <c r="O16" i="2"/>
  <c r="N15" i="2"/>
  <c r="C74" i="2"/>
  <c r="G51" i="2"/>
  <c r="G36" i="2"/>
  <c r="C106" i="2"/>
  <c r="O84" i="2"/>
  <c r="N70" i="2"/>
  <c r="K59" i="2"/>
  <c r="C50" i="2"/>
  <c r="J41" i="2"/>
  <c r="C34" i="2"/>
  <c r="N27" i="2"/>
  <c r="H22" i="2"/>
  <c r="B17" i="2"/>
  <c r="H58" i="2"/>
  <c r="H21" i="2"/>
  <c r="F57" i="2"/>
  <c r="M26" i="2"/>
  <c r="E57" i="2"/>
  <c r="L26" i="2"/>
  <c r="J66" i="2"/>
  <c r="A15" i="2"/>
  <c r="B56" i="2"/>
  <c r="A31" i="2"/>
  <c r="L63" i="2"/>
  <c r="L194" i="2"/>
  <c r="M102" i="2"/>
  <c r="H83" i="2"/>
  <c r="F69" i="2"/>
  <c r="I58" i="2"/>
  <c r="C49" i="2"/>
  <c r="J40" i="2"/>
  <c r="D33" i="2"/>
  <c r="M27" i="2"/>
  <c r="G22" i="2"/>
  <c r="C16" i="2"/>
  <c r="B49" i="2"/>
  <c r="C33" i="2"/>
  <c r="L27" i="2"/>
  <c r="B16" i="2"/>
  <c r="O67" i="2"/>
  <c r="I39" i="2"/>
  <c r="G21" i="2"/>
  <c r="A16" i="2"/>
  <c r="A48" i="2"/>
  <c r="C32" i="2"/>
  <c r="F21" i="2"/>
  <c r="H79" i="2"/>
  <c r="C56" i="2"/>
  <c r="G20" i="2"/>
  <c r="E96" i="2"/>
  <c r="F20" i="2"/>
  <c r="B65" i="2"/>
  <c r="B31" i="2"/>
  <c r="G77" i="2"/>
  <c r="N44" i="2"/>
  <c r="H75" i="2"/>
  <c r="D19" i="2"/>
  <c r="I52" i="2"/>
  <c r="B89" i="2"/>
  <c r="J23" i="2"/>
  <c r="L42" i="2"/>
  <c r="N188" i="2"/>
  <c r="L102" i="2"/>
  <c r="O82" i="2"/>
  <c r="D69" i="2"/>
  <c r="I40" i="2"/>
  <c r="B33" i="2"/>
  <c r="N67" i="2"/>
  <c r="B15" i="2"/>
  <c r="F96" i="2"/>
  <c r="H38" i="2"/>
  <c r="G38" i="2"/>
  <c r="O54" i="2"/>
  <c r="K25" i="2"/>
  <c r="N45" i="2"/>
  <c r="F36" i="2"/>
  <c r="K53" i="2"/>
  <c r="H62" i="2"/>
  <c r="K157" i="2"/>
  <c r="I99" i="2"/>
  <c r="H81" i="2"/>
  <c r="B48" i="2"/>
  <c r="K26" i="2"/>
  <c r="O46" i="2"/>
  <c r="B131" i="2"/>
  <c r="G37" i="2"/>
  <c r="F93" i="2"/>
  <c r="F19" i="2"/>
  <c r="E36" i="2"/>
  <c r="C89" i="2"/>
  <c r="A74" i="2"/>
  <c r="D18" i="2"/>
  <c r="F111" i="2"/>
  <c r="O28" i="2"/>
  <c r="J157" i="2"/>
  <c r="L98" i="2"/>
  <c r="G81" i="2"/>
  <c r="H39" i="2"/>
  <c r="B32" i="2"/>
  <c r="I140" i="2"/>
  <c r="L25" i="2"/>
  <c r="H77" i="2"/>
  <c r="E20" i="2"/>
  <c r="N54" i="2"/>
  <c r="K24" i="2"/>
  <c r="F122" i="2"/>
  <c r="B74" i="2"/>
  <c r="F52" i="2"/>
  <c r="D61" i="2"/>
  <c r="I23" i="2"/>
  <c r="J140" i="2"/>
  <c r="A47" i="2"/>
  <c r="G79" i="2"/>
  <c r="A32" i="2"/>
  <c r="O45" i="2"/>
  <c r="L129" i="2"/>
  <c r="F37" i="2"/>
  <c r="O30" i="2"/>
  <c r="K63" i="2"/>
  <c r="L116" i="2"/>
  <c r="G62" i="2"/>
  <c r="A87" i="2"/>
  <c r="I66" i="2"/>
  <c r="J25" i="2"/>
  <c r="E19" i="2"/>
  <c r="J24" i="2"/>
  <c r="O29" i="2"/>
  <c r="G93" i="2"/>
  <c r="M44" i="2"/>
  <c r="E18" i="2"/>
  <c r="L43" i="2"/>
  <c r="O64" i="2"/>
  <c r="F35" i="2"/>
  <c r="E35" i="2"/>
  <c r="E51" i="2"/>
  <c r="G122" i="2"/>
  <c r="E91" i="2"/>
  <c r="I75" i="2"/>
  <c r="L53" i="2"/>
  <c r="D91" i="2"/>
  <c r="M43" i="2"/>
  <c r="K116" i="2"/>
  <c r="N29" i="2"/>
  <c r="F72" i="2"/>
  <c r="C18" i="2"/>
  <c r="A30" i="2"/>
  <c r="I24" i="2"/>
  <c r="G110" i="2"/>
  <c r="O86" i="2"/>
  <c r="E72" i="2"/>
  <c r="C61" i="2"/>
  <c r="D51" i="2"/>
  <c r="K42" i="2"/>
  <c r="E34" i="2"/>
  <c r="N28" i="2"/>
  <c r="H23" i="2"/>
  <c r="D17" i="2"/>
  <c r="D35" i="2"/>
  <c r="A107" i="2"/>
  <c r="A85" i="2"/>
  <c r="O70" i="2"/>
  <c r="L59" i="2"/>
  <c r="D50" i="2"/>
  <c r="K41" i="2"/>
  <c r="D34" i="2"/>
  <c r="M28" i="2"/>
  <c r="I22" i="2"/>
  <c r="C17" i="2"/>
  <c r="N225" i="2"/>
  <c r="B270" i="2"/>
  <c r="C272" i="2"/>
  <c r="I273" i="2"/>
  <c r="J252" i="2"/>
  <c r="I231" i="2"/>
  <c r="A213" i="2"/>
  <c r="O262" i="2"/>
  <c r="A242" i="2"/>
  <c r="M271" i="2"/>
  <c r="L250" i="2"/>
  <c r="L229" i="2"/>
  <c r="G227" i="2"/>
  <c r="H244" i="2"/>
  <c r="I261" i="2"/>
  <c r="I223" i="2"/>
  <c r="J240" i="2"/>
  <c r="K257" i="2"/>
  <c r="L274" i="2"/>
  <c r="I236" i="2"/>
  <c r="J253" i="2"/>
  <c r="K270" i="2"/>
  <c r="O242" i="2"/>
  <c r="H273" i="2"/>
  <c r="A228" i="2"/>
  <c r="E272" i="2"/>
  <c r="D251" i="2"/>
  <c r="E230" i="2"/>
  <c r="O211" i="2"/>
  <c r="K261" i="2"/>
  <c r="K240" i="2"/>
  <c r="G270" i="2"/>
  <c r="H249" i="2"/>
  <c r="G228" i="2"/>
  <c r="H228" i="2"/>
  <c r="I245" i="2"/>
  <c r="J262" i="2"/>
  <c r="J224" i="2"/>
  <c r="K241" i="2"/>
  <c r="L258" i="2"/>
  <c r="M275" i="2"/>
  <c r="J237" i="2"/>
  <c r="K254" i="2"/>
  <c r="L271" i="2"/>
  <c r="N263" i="2"/>
  <c r="A260" i="2"/>
  <c r="H252" i="2"/>
  <c r="O259" i="2"/>
  <c r="O270" i="2"/>
  <c r="O249" i="2"/>
  <c r="O228" i="2"/>
  <c r="N210" i="2"/>
  <c r="F260" i="2"/>
  <c r="F239" i="2"/>
  <c r="C269" i="2"/>
  <c r="C248" i="2"/>
  <c r="I229" i="2"/>
  <c r="J246" i="2"/>
  <c r="K263" i="2"/>
  <c r="K225" i="2"/>
  <c r="L242" i="2"/>
  <c r="M259" i="2"/>
  <c r="N276" i="2"/>
  <c r="K238" i="2"/>
  <c r="L255" i="2"/>
  <c r="M272" i="2"/>
  <c r="K269" i="2"/>
  <c r="J248" i="2"/>
  <c r="J227" i="2"/>
  <c r="M209" i="2"/>
  <c r="B259" i="2"/>
  <c r="A238" i="2"/>
  <c r="M267" i="2"/>
  <c r="M246" i="2"/>
  <c r="J230" i="2"/>
  <c r="K247" i="2"/>
  <c r="L264" i="2"/>
  <c r="L226" i="2"/>
  <c r="M243" i="2"/>
  <c r="O277" i="2"/>
  <c r="L239" i="2"/>
  <c r="M256" i="2"/>
  <c r="N273" i="2"/>
</calcChain>
</file>

<file path=xl/sharedStrings.xml><?xml version="1.0" encoding="utf-8"?>
<sst xmlns="http://schemas.openxmlformats.org/spreadsheetml/2006/main" count="3744" uniqueCount="1324">
  <si>
    <t>DTIA Compliance Knowledge Base</t>
  </si>
  <si>
    <t>Countries</t>
  </si>
  <si>
    <t>Acts</t>
  </si>
  <si>
    <t>Regulators</t>
  </si>
  <si>
    <t>Topics</t>
  </si>
  <si>
    <t>Compliance sections</t>
  </si>
  <si>
    <t>How to use</t>
  </si>
  <si>
    <t>1. Open the Query sheet.</t>
  </si>
  <si>
    <t>2. Pick a Country, Category, Topic, Data Type, Financial Relevance or Authority — or type a keyword.</t>
  </si>
  <si>
    <t>3. Matching sections appear below, each with its Act and page reference for the source document.</t>
  </si>
  <si>
    <t>4. The Compliance Database sheet holds every extracted section; Acts / Regulators / Topics summarise them.</t>
  </si>
  <si>
    <t>DTIA Query Engine</t>
  </si>
  <si>
    <t>Choose filters (leave as 'All' to ignore), then read the results below.</t>
  </si>
  <si>
    <t>Country</t>
  </si>
  <si>
    <t>All</t>
  </si>
  <si>
    <t>Category</t>
  </si>
  <si>
    <t>Topic</t>
  </si>
  <si>
    <t>Data Type</t>
  </si>
  <si>
    <t>Financial Relevance</t>
  </si>
  <si>
    <t>Authority</t>
  </si>
  <si>
    <t>Keyword (free text)</t>
  </si>
  <si>
    <t>Matching sections (of 264 total):</t>
  </si>
  <si>
    <t>Act</t>
  </si>
  <si>
    <t>Section</t>
  </si>
  <si>
    <t>Heading</t>
  </si>
  <si>
    <t>Pages</t>
  </si>
  <si>
    <t>Confidence</t>
  </si>
  <si>
    <t>Data Types</t>
  </si>
  <si>
    <t>Summary</t>
  </si>
  <si>
    <t>DTIA Summary</t>
  </si>
  <si>
    <t>Requirements</t>
  </si>
  <si>
    <t>Source Quote</t>
  </si>
  <si>
    <t>South Africa</t>
  </si>
  <si>
    <t>1. FSCA Conduct Standard 1 of 2025 - Requirements for FIs providing FE initiatives</t>
  </si>
  <si>
    <t>1</t>
  </si>
  <si>
    <t>Definitions</t>
  </si>
  <si>
    <t>2–3</t>
  </si>
  <si>
    <t>Low</t>
  </si>
  <si>
    <t>High (explicit)</t>
  </si>
  <si>
    <t>Personal Information</t>
  </si>
  <si>
    <t>Defines key terms including 'financial customer', 'financial education', 'financial education initiative', 'Financial Sector Code', 'GN500', 'monitoring', and 'service provider' as per the Act.</t>
  </si>
  <si>
    <t>In this Schedule, "the Act" means the Financial Sector Regulation Act, 2017 () and any word or expression to which a meaning has been assigned in the Act bears the meaning so assigned to it, and unless the context otherwise indicates –</t>
  </si>
  <si>
    <t>2</t>
  </si>
  <si>
    <t>Application, purpose and proportional application</t>
  </si>
  <si>
    <t>3</t>
  </si>
  <si>
    <t>Processing</t>
  </si>
  <si>
    <t>Specifies that the Conduct Standard applies to financial institutions providing financial education initiatives and outlines its purpose to protect financial customers and ensure appropriate standards of behaviour, governance and oversight.</t>
  </si>
  <si>
    <t>[Must] This Conduct Standard is only applicable where a financial institution provides or offers a financial education initiative, including the provision of a financial education initiative by a service provider.
[Must] The purpose of this Conduct Standard is aimed at ensuring – (a) the protection of financial customers by ensuring that financial education initiatives provided by financial institutions are appropriate and support the ability of financial customers to make more informed and/or sound financial decisions about their personal finances or others that fall under their responsibility, as well as the financial health of their small, medium and micro-enterprises; and (b) that a financial institution providing financial education initiatives takes reasonable steps to ensure appropriate standards of behaviour, governance and oversight when, (i) developing content, implementing, monitoring and evaluating a financial education initiative; and (ii) reporting on the effectiveness, efficiency and appropriateness of a financial education initiative, including reporting to the Authority.
[Must] The requirements in this Conduct Standard, where appropriate, may be applied in a manner that is proportional to the nature, size, complexity and risk profile of the financial institution concerned as well as the nature and target group of the relevant financial education initiative.</t>
  </si>
  <si>
    <t>This Conduct Standard is only applicable where a financial institution provides or offers a financial education initiative, including the provision of a financial education initiative by a service provider.</t>
  </si>
  <si>
    <t>Governance arrangements</t>
  </si>
  <si>
    <t>3–4</t>
  </si>
  <si>
    <t>Governance</t>
  </si>
  <si>
    <t>Financial institutions must have governance arrangements to oversee financial education initiatives, including monitoring and reviewing design, suitability, and effectiveness, and ensuring appropriate reporting to the Authority.</t>
  </si>
  <si>
    <t>[Must] A financial institution must have appropriate governance arrangements in place to oversee the design and implementation of financial education initiatives.
[Must] The governance arrangements referred to in subparagraph (1) must include establishing and implementing appropriate oversight arrangements to monitor and review the design, suitability and effectiveness of its financial education initiatives on an ongoing basis.
[Must] A financial institution must have appropriate systems, processes, policies and controls in place to ensure appropriate reporting on financial education initiatives, pre- and post-implementation, to the Authority.
[Must] A financial institution must take reasonable steps to ensure that the relevant employee and service provider responsible for the design and implementation of a financial education initiative possesses the necessary skills, knowledge and expertise to fulfil their functions.
[Must] A financial institution must take reasonable steps to ensure that the governance arrangements referred to in this paragraph also apply to a service provider, including that it obtains sufficient information from that service provider, to ensure that these financial education initiatives are, and remain, effective in achieving the intended outcomes.
[Must] A financial institution retains responsibility and accountability for all regulatory obligations pertaining to the provision of financial education initiatives as set out in this Conduct Standard, regardless of whether such financial education initiative is performed by the financial institution itself or by a service provider.</t>
  </si>
  <si>
    <t>A financial institution must have appropriate governance arrangements in place to oversee the design and implementation of financial education initiatives.</t>
  </si>
  <si>
    <t>4</t>
  </si>
  <si>
    <t>Design and development requirements for financial education initiatives</t>
  </si>
  <si>
    <t>Data Collection</t>
  </si>
  <si>
    <t>Financial education initiatives must aim to enable natural persons and SMEs to make informed financial decisions and encourage positive customer behaviour, with content based on objective information and distinct from marketing campaigns.</t>
  </si>
  <si>
    <t>[Must] Financial education initiative provided by a financial institution should aim to enable natural persons and small, medium and micro-enterprises to make more informed decisions, about their own finances and financial well-being or the finances and financial well-being of others that fall under their responsibility; and in respect of financial decision making, encourage positive customer behaviour, influence behavioural change and contribute to long-term skills development.
[May] A financial institution may use any delivery platform for a financial education initiative, provided that the delivery platform is appropriate for the type of financial education initiative and the identified target group, to ensure appropriate and effective reach.
[Must] The content of a financial education initiative provided by a financial institution must be based on objective and impartial information, generally accepted methodologies, research and trends.
[Must] The content of a financial education initiative provided by a financial institution must be targeted suitably at the appropriate target group, taking into account the identified needs of the target group and financial inclusion objectives.
[Must] The content of a financial education initiative provided by a financial institution must be distinct from any brand specific financial product or financial service sales process or marketing campaign.
[Must] The content of a financial education initiative provided by a financial institution must be brand agnostic, but may unpack the meaning of different types of financial concepts and terms related to a particular financial product or financial service, or categories of financial products or financial services.</t>
  </si>
  <si>
    <t>Financial education initiative provided by a financial institution should aim to enable natural persons and small, medium and micro-enterprises to make more informed decisions, about their own finances and financial well-being or the finances and financial well-being of others that fall under their responsibility;</t>
  </si>
  <si>
    <t>5</t>
  </si>
  <si>
    <t>Location and logistics</t>
  </si>
  <si>
    <t>4–5</t>
  </si>
  <si>
    <t>Data Sharing</t>
  </si>
  <si>
    <t>Financial Sector Conduct Authority</t>
  </si>
  <si>
    <t>Financial institutions must ensure effective location and logistics for face-to-face and virtual initiatives, consider contingency plans, measure outcomes, and report to the Authority without excessive marketing.</t>
  </si>
  <si>
    <t>[Must] A financial institution providing face-to-face financial education initiatives must utilise a location that is appropriate for this purpose to ensure that the financial education initiative is effective.
[Must] A financial institution providing virtual financial education initiatives must ensure that the virtual platform is appropriate for this purpose to ensure that the financial education initiative is effective.
[Should] A financial institution should consider contingency plans for unforeseen circumstances regarding implementation of financial education initiatives.
[Must] The outcomes of financial education initiatives must be measurable in order to, amongst other things and to the extent possible, demonstrate effectiveness; and measure impact.
[Must] The manner used by a financial institution to measure the outcomes of each financial education initiative provided must be appropriate for the specific initiative and relate directly to the outcome.
[Must] A financial institution must monitor and evaluate each financial education initiative that is provided, to amongst other things assess its effectiveness; identify areas for improvement; and collect data, which can and should (where relevant) be used to improve the effectiveness of future programmes.
[Must Not] A financial institution may not use a financial education initiative for excessive marketing of a specific brand or financial institution; or marketing and sales of a specific financial product or financial service.
[Must] Subject to a determination made in accordance with subparagraph (2), a financial institution must report information relating to the provision of financial education initiatives in accordance with this Conduct Standard to the Authority.</t>
  </si>
  <si>
    <t>A financial institution must monitor and evaluate each financial education initiative that is provided, to amongst other things – assess its effectiveness; identify areas for improvement; and collect data, which can and should (where relevant) be used to improve the effectiveness of future programmes.</t>
  </si>
  <si>
    <t>2024 Open Finance_FSCA Position Paper</t>
  </si>
  <si>
    <t>EXECUTIVE SUMMARY</t>
  </si>
  <si>
    <t>Other</t>
  </si>
  <si>
    <t>High</t>
  </si>
  <si>
    <t>FSCA</t>
  </si>
  <si>
    <t>FSCA outlines policy recommendations for Open Finance, including mandatory regulation, licensing, data protection frameworks, risk management, and consumer recourse mechanisms.</t>
  </si>
  <si>
    <t>The FSCA continues to support mandating Open Finance in future, noting that the foundational Open Finance Programme of Work will likely need to take place in preparation to optimise the value to be derived from Open Finance and mimimise market disruption.</t>
  </si>
  <si>
    <t>The data subject (customer) requests a financial service from a fintech (data user), for</t>
  </si>
  <si>
    <t>8</t>
  </si>
  <si>
    <t>BACKGROUND AND INTRODUCTION</t>
  </si>
  <si>
    <t>Background on FSCA's process for developing Open Finance policy, including consultations and risks associated with data sharing in the absence of tailored regulatory frameworks.</t>
  </si>
  <si>
    <t>The fintech processes the request and, within its flow, it requires access to data holders</t>
  </si>
  <si>
    <t>UNDERSTANDING OPEN FINANCE, OPEN BANKING AND THE DATA</t>
  </si>
  <si>
    <t>5–8</t>
  </si>
  <si>
    <t>Proposed definitions of Open Finance and Open Banking, emphasizing consent-based data sharing with third parties and the data-sharing ecosystem structure.</t>
  </si>
  <si>
    <t>Open finance means the practice of financial institutions sharing their financial customer's financial data with third parties, subject to that customer's full consent, for the provision of open finance services by those third parties, and any activities connected therewith.</t>
  </si>
  <si>
    <t>The data subject consents (providing an authentication factor) to access the data from</t>
  </si>
  <si>
    <t>The fintech app connects to its back-end server, which has a secure, private, and</t>
  </si>
  <si>
    <t>Unknown</t>
  </si>
  <si>
    <t>POLICY CONSIDERATIONS AND RISKS</t>
  </si>
  <si>
    <t>9–13</t>
  </si>
  <si>
    <t>Medium</t>
  </si>
  <si>
    <t>Policy considerations and risks related to Open Finance are discussed, including global approaches, potential benefits for financial resilience, inclusion, and competition, and identified risks such as financial exclusion and cybersecurity threats.</t>
  </si>
  <si>
    <t>Policy considerations and risks related to Open Finance have been thoroughly interrogated in past IFWG9, FSCA10 and National Payment System Department (NPSD) publications11.</t>
  </si>
  <si>
    <t>COMMENTS RECEIVED ON DRAFT POSITION PAPER</t>
  </si>
  <si>
    <t>13–16</t>
  </si>
  <si>
    <t>Stakeholders provided feedback on the FSCA's Draft Position Paper, preferring voluntary Open Finance approaches, emphasizing customer experience, competition, alignment with POPIA, liability frameworks, financial literacy, and international case studies.</t>
  </si>
  <si>
    <t>The FSCA received 16 submissions from stakeholders across different industry segments (see Annexure B).</t>
  </si>
  <si>
    <t>6</t>
  </si>
  <si>
    <t>INFORMATION REQUEST No 2 of 2023</t>
  </si>
  <si>
    <t>16–17</t>
  </si>
  <si>
    <t>Survey results indicate early-stage Open Finance adoption in South Africa, with financial institutions generating revenue from Open Finance activities, varying service offerings, and a willingness to employ risk management frameworks.</t>
  </si>
  <si>
    <t>More than 400 submissions were received in response to the FSCA's Information Request No 2 of 2023.</t>
  </si>
  <si>
    <t>7</t>
  </si>
  <si>
    <t>FSCA OPEN FINANCE POLICY RECOMMENDATIONS</t>
  </si>
  <si>
    <t>17–20</t>
  </si>
  <si>
    <t>Cross-border Transfer, Data Sharing, Consent</t>
  </si>
  <si>
    <t>Financial Data</t>
  </si>
  <si>
    <t>FSCA recommends voluntary adoption of Open Finance with phased mandatory implementation, focusing on data sharing, consent, risk management, and standards for financial institutions and TPPs.</t>
  </si>
  <si>
    <t>Proposes voluntary adoption of Open Finance with phased mandatory implementation, requiring consent frameworks, risk management, and API standards for financial data sharing.</t>
  </si>
  <si>
    <t>[Must] Persons participating in Open Finance should be regulated for safe and ethical sharing of user consent-based financial data to TPPs
[Must] Consent should be explicit, informed, specific, and not aggregated with other consents
[Must] Providers may not continue to share or utilise consumers' data once consent is withdrawn</t>
  </si>
  <si>
    <t>The FSCA aims to promote responsible Open Finance and recommends the following: Persons participating in Open Finance should be regulated for the safe and ethical sharing of user consent-based financial data to TPPs.</t>
  </si>
  <si>
    <t>PROGRAMME OF WORK GOING FORWARD</t>
  </si>
  <si>
    <t>20–21</t>
  </si>
  <si>
    <t>Data Sharing, Consent</t>
  </si>
  <si>
    <t>FSCA outlines Programme of Work for Open Finance, including developing API standards, consent frameworks, and consumer awareness mechanisms.</t>
  </si>
  <si>
    <t>FSCA plans to develop API standards, consent frameworks, and consumer awareness mechanisms through workshops and advisory group engagement.</t>
  </si>
  <si>
    <t>[Must] Developing open API standards for data sharing
[Must] Developing suitable consent, risk management and disclosure frameworks</t>
  </si>
  <si>
    <t>The FSCA will hold a series of engagements and workshops with stakeholders to further unpack submissions made to date, in support of the following Programme of Work: Developing open APIs standards, developing suitable consent, risk management and disclosure frameworks.</t>
  </si>
  <si>
    <t>9</t>
  </si>
  <si>
    <t>ANNEXURE A: OPEN FINANCE APPROACH ACROSS VARIOUS JURISDICTIONS</t>
  </si>
  <si>
    <t>21–23</t>
  </si>
  <si>
    <t>Cross-border Transfer, Data Sharing</t>
  </si>
  <si>
    <t>Compares Open Finance approaches across jurisdictions, highlighting voluntary (Singapore, US, Nigeria) and mandated (Brazil, UK, EU) models with varying regulatory frameworks.</t>
  </si>
  <si>
    <t>Describes jurisdictional approaches to Open Finance, including voluntary and mandated models with different regulatory frameworks and implementation requirements.</t>
  </si>
  <si>
    <t>Voluntary approach – Open Finance/ Open Banking in Singapore, the US, and Nigeria; Mandated approach – Open Finance/ Open Banking in Brazil, the United Kingdom, and European Union.</t>
  </si>
  <si>
    <t>11</t>
  </si>
  <si>
    <t>ANNEXURE C: PROPOSED OPEN FINANCE ROAD MAP</t>
  </si>
  <si>
    <t>24</t>
  </si>
  <si>
    <t>Details proposed Open Finance roadmap with timelines for developing API standards, consent frameworks, and consumer awareness mechanisms.</t>
  </si>
  <si>
    <t>Outlines phased implementation timeline for Open Finance, including API standards, consent frameworks, and consumer empowerment by 2026.</t>
  </si>
  <si>
    <t>[Must] Developing API standards by 31 March 2026
[Must] Developing consent, risk management and disclosure frameworks by 30 September 2026</t>
  </si>
  <si>
    <t>Developing API standards – Advisory Group, 31 March 2026; Developing suitable consent, risk management and disclosure frameworks – FSCA, 30 September 2026.</t>
  </si>
  <si>
    <t>Conduct-Standard-3-of-2020-BANKS-Annexure-A</t>
  </si>
  <si>
    <t>Application and general obligations</t>
  </si>
  <si>
    <t>5–7</t>
  </si>
  <si>
    <t>Fair treatment of financial customers</t>
  </si>
  <si>
    <t>[Must] A bank must conduct Its business in a manner that prioritises the fair treatment of financial customers.</t>
  </si>
  <si>
    <t>A bank must conduct Its business in a manner that prioritises the fair treatment of financial customers.</t>
  </si>
  <si>
    <t>Culture and governance</t>
  </si>
  <si>
    <t>7–22</t>
  </si>
  <si>
    <t>Governance, Risk Management, Compliance, Internal Controls</t>
  </si>
  <si>
    <t>Financial Data, Customer Information</t>
  </si>
  <si>
    <t>Financial Sector Conduct Authority (FSCA)</t>
  </si>
  <si>
    <t>Banks must maintain integrity, honesty, and transparency in business practices and ensure fair treatment of financial customers through governance arrangements.</t>
  </si>
  <si>
    <t>Banks must implement governance structures to ensure fair customer treatment and compliance with conduct standards through oversight mechanisms.</t>
  </si>
  <si>
    <t>[Must] A bank must at all times conduct its business with integrity
[Must] A bank must act honestly, fairly, with due skill, care and diligence, and in a manner that does not bring the financial sector into disrepute
[Must] A bank must organise and manage its affairs responsibly and efficiently
[Must] A bank must avoid or, where avoidance is not possible, manage and mitigate actual or potential conflicts of interest
[Must] A bank must deal with the Authority in an open and cooperative manner
[Must] A bank must conduct its business transparently and with due regard to the Information needs of its financial customers
[Must] A bank must document, adopt, implement and monitor the effectiveness of appropriate governance arrangements that are reasonably necessary to ensure adherence to the requirements in section 2(4) and 3(1)
[Must] The governance arrangements must be proportionate to the nature, scale and complexity of the bank's activities and business model
[Must] The governance arrangements must describe how the bank will comply with this section through appropriate policies and procedures
[Must] The governance arrangements must address roles and responsibilities of the governing body and key persons
[Must] The governance arrangements must address remuneration, compensation and incentive practices
[Must] The governance arrangements must address conflicts of interest
[Must] The governance arrangements must address disclosure of interests in related and inter-related parties
[Must] The governance arrangements must address record keeping
[Must] The governance arrangements must address communication with the Authority
[Must] The governance arrangements must address decision making and management procedures, including delegation of authority arrangements
[Must] The governance arrangements must address risk management, compliance and internal control procedures, including segregation of duties and functions
[Must] The governance arrangements must address security, integrity, privacy and confidentiality of information
[Must] The governance arrangements must provide for regular risk-based monitoring and evaluation of the adequacy and effectiveness of the bank's systems, processes, procedures and internal control mechanisms
[Must] The monitoring and evaluation must consider systems, processes, procedures and internal control mechanisms to ensure compliance with this Conduct Standard and other applicable legislation
[Must] The monitoring and evaluation must consider systems, processes, procedures and internal control mechanisms to ensure the effectiveness of the bank's practices in relation to fair treatment of financial customers
[Must] The governing body of a bank is accountable for the approval, establishment, embedment, ongoing review of, and continued compliance with the bank's governance arrangements to reasonably ensure fair treatment of financial customers</t>
  </si>
  <si>
    <t>A bank must at all times conduct Its business with integrity; act honestly, fairly, with due skill, care and diligence, and in a manner that does not bring the financial sector into disrepute; organise and manage its affairs responsibly and efficiently; avoid or, where avoidance is not possible, manage and mitigate actual or potential conflicts of interest; deal with the Authority in an open and cooperative manner; and conduct Its business transparently and with due regard to the Information needs of its financial customers.</t>
  </si>
  <si>
    <t>Design, suitability and performance requirements for financial products and financial</t>
  </si>
  <si>
    <t>Additlonal requirements in respect of retail financial CUStOMETS ........::ssccsessssereareees 10</t>
  </si>
  <si>
    <t>Additlonal requirements in respect of retail financial CUStOMETS ........::ssccsessssereareees</t>
  </si>
  <si>
    <t>10</t>
  </si>
  <si>
    <t>Termination, closure or switching of financlal products or financlal services by the</t>
  </si>
  <si>
    <t>(3)</t>
  </si>
  <si>
    <t>22–23</t>
  </si>
  <si>
    <t>Customer Information</t>
  </si>
  <si>
    <t>Customer Information, Termination</t>
  </si>
  <si>
    <t>Banks must disclose reasons for refusal, withdrawal, termination or closure of financial products/services to customers.</t>
  </si>
  <si>
    <t>[Must] When taking actions referred to in subsection (1), a bank must disclose reasons for refusal, withdrawal, termination or closure to the financial customer.
[May] A bank may take actions without providing prior notice or reasons if compelled by law, has reasonable suspicion of illegal use, or has made necessary reports to authority.</t>
  </si>
  <si>
    <t>Subject to subsection (4), a bank must, when it takes any of the actions referred to in subsection (1), disclose to the financial customer the reasons for the refusal, withdrawal, termination or closure.</t>
  </si>
  <si>
    <t>Short title ANG COMMENCOMEONE.......:::ssescccccsccssssssscccnsssesseuserenecsenenscessnssasseoooserssessessensss 23</t>
  </si>
  <si>
    <t>2–5</t>
  </si>
  <si>
    <t>None</t>
  </si>
  <si>
    <t>In this Conduct Standard, "the Act" means the Financial Sector Regulation Act, 2017 ()</t>
  </si>
  <si>
    <t>Directive in respect of cybersecurity and cyber-resilisnce within the national payment system</t>
  </si>
  <si>
    <t>3–5</t>
  </si>
  <si>
    <t>Personal Information, Financial Data, Customer Data, Employee Data</t>
  </si>
  <si>
    <t>Defines critical service provider, compromise, cyber-attack, cyber-event, cyber-incident, cyber-resilience, cyber-risk, cybersecurity, cyber-threat, information asset, information system, information technology system, multi-factor authentication, payment institution, payment system Financial Market Infrastructure, operator, senior management, sensitive information, vulnerability assessment.</t>
  </si>
  <si>
    <t>Definitions 1.1 to 1.19</t>
  </si>
  <si>
    <t>Background</t>
  </si>
  <si>
    <t>Cross-border Transfer, International Processing, Data Storage, Data Residency, Security, Encryption, Access Control, Processing, Collection, Retention, Deletion, Data Sharing, Third Party Processing, Outsourcing, Cloud Services, Incident Reporting, Breach Notification, Consent, Customer Information, Employee Information, Special Personal Information, Children, Financial Data, KYC, AML, Governance, Record Keeping</t>
  </si>
  <si>
    <t>Explains the role of SARB in payment systems, NPS structure, and evolving cyber risks in digitized payment environments.</t>
  </si>
  <si>
    <t>Background 2.1 to 2.6</t>
  </si>
  <si>
    <t>Purpose</t>
  </si>
  <si>
    <t>Security, Governance, Record Keeping</t>
  </si>
  <si>
    <t>SARB issues directive to impose cybersecurity and cyber-resilience requirements on payment institutions and systems.</t>
  </si>
  <si>
    <t>Purpose 3.1</t>
  </si>
  <si>
    <t>Directive</t>
  </si>
  <si>
    <t>7–16</t>
  </si>
  <si>
    <t>Security</t>
  </si>
  <si>
    <t>Cybersecurity, Incident Reporting, Response and recovery, Testing, Information sharing, Situational awareness, Learning and evolving</t>
  </si>
  <si>
    <t>SARB</t>
  </si>
  <si>
    <t>Payment institutions and operators must develop and maintain cybersecurity and cyber-resilience frameworks with specific governance, critical asset identification, security measures, detection, response, recovery, testing, information sharing, situational awareness, and learning capabilities.</t>
  </si>
  <si>
    <t>Requires payment institutions to implement comprehensive cybersecurity frameworks including governance, critical asset identification, security controls, incident response, and regular testing to ensure resilience against cyber threats.</t>
  </si>
  <si>
    <t>[Must] Payment institutions and operators must develop and maintain cybersecurity and cyber-resilience frameworks that include the following: cyber-governance, identification of critical operations and information assets, cybersecurity measures, detection, response and recovery, testing, information sharing, situational awareness, and learning and evolving.
[Must] Payment institutions and operators must have written effective cyber-governance arrangements that define cybersecurity objectives, outline people/processes/technology requirements, require board/senior management to determine cyber-risk tolerance, approve policies, oversee implementation, review annually, align with operational risk management, comply with standards, articulate cyber-risk controls, appoint senior executives, and ensure information sharing with SARB.
[Must] Payment institutions and operators must identify critical technology, operations, processes, information assets requiring protection against cyber-compromise, and internal/external dependencies to strengthen security and resilience.
[Must] Payment institutions and operators must ensure cybersecurity frameworks include security controls to protect confidentiality, integrity, and availability of services and information, with measures such as protective controls, access control, multi-factor authentication, encryption, and mitigation of interconnected risks.
[Must] Payment institutions and operators must ensure cyber-attack trigger points and detection measures to continuously detect and monitor anomalous events and activities, including multi-layered trigger indicators and detection controls.
[Must] Payment institutions or operators must have arrangements to enable safe and swift resumption of critical operations within two hours (or extended timelines with SARB approval) after cyber-attack detection.
[Must] Payment institutions or operators must develop and implement cyber-resilience testing programmes including test scenarios, penetration testing, system change testing, and regular vulnerability assessments.
[Must] Payment institutions or operators must share cyber threat and risk information with regulators, cybersecurity agencies, and trusted parties while ensuring compliance with data protection laws and the Cybercrimes Act.
[Must] Payment institutions or operators must understand the cyber-threat landscape, develop cyber-threat intelligence processes, and ensure collection of information about cyber-threats from other payment institutions to identify threats and develop detection, protection, and recovery measures.
[Must] Payment institutions or operators must ensure cybersecurity frameworks are adaptive, learn from previous incidents, monitor technological developments, and include predictive capabilities to proactively counter cyber-events.
[Must] Payment institutions or operators must report material cyber-incidents to SARB within 24 hours and provide a detailed report within 48 hours, including incident details, impact, recovery period, and systemic effects.
[Must] Payment institutions or operators must provide regular updates to SARB once incidents are remediated and operations have resumed.</t>
  </si>
  <si>
    <t>Payment institutions and operators must develop and maintain cybersecurity and cyber-resilience frameworks that include the following: cyber-governance, identification of critical operations and information assets, cybersecurity measures, detection, response and recovery, testing, information sharing, situational awareness, and learning and evolving.</t>
  </si>
  <si>
    <t>Supervision and compliance monitoring</t>
  </si>
  <si>
    <t>16–19</t>
  </si>
  <si>
    <t>Supervision and compliance monitoring, Inspection authority, Document access, Premises entry</t>
  </si>
  <si>
    <t>SARB may conduct supervisory inspections on payment institutions or operators with prior written notification, access to premises, and authority to inspect documents and systems without consent in specific circumstances.</t>
  </si>
  <si>
    <t>SARB has authority to conduct inspections with written notice, access to premises, and inspection of documents/systems without consent if certain conditions are met, ensuring compliance with cybersecurity directives.</t>
  </si>
  <si>
    <t>[May] SARB may conduct supervisory onsite or offsite inspections on payment institutions or operators to promote compliance with this directive.
[Must] SARB must provide written notification to payment institutions or operators prior to onsite inspection, specifying dates, SARB representatives, review period, and required documentation.
[Must] SARB representatives must produce a letter of authority and identity document upon entry to premises for verification.
[May] SARB representatives may enter premises without prior consent for business operations or with prior consent for private residences where business is conducted.
[May] SARB representatives may enter premises without prior notice if authorized by a warrant from a judge or magistrate.
[May] SARB representatives may enter premises without prior notice if a senior SARB staff member believes a warrant will be issued, delay in obtaining the warrant is likely to defeat the purpose, and entry is necessary for the inspection.
[Must] SARB representatives have the right to access any part of premises, documents, and systems during inspections, including opening strongrooms, examining documents, questioning persons, and taking copies of relevant items.
[Must] SARB representatives must provide written and signed receipts for documents or items taken during inspections.
[May] Payment institutions or operators may examine, copy, and make extracts from documents taken by SARB during normal office hours under supervision.
[Must] SARB representatives may require answers or documents from persons questioned during inspections, even if the person objects on grounds of incrimination.</t>
  </si>
  <si>
    <t>The SARB may at any time conduct a supervisory onsite or offsite inspection on payment institutions or operators, in a form and manner that the SARB may determine, to promote compliance with this directive.</t>
  </si>
  <si>
    <t>Effective date and non-compliance</t>
  </si>
  <si>
    <t>19–20</t>
  </si>
  <si>
    <t>Effective date, Compliance</t>
  </si>
  <si>
    <t>Directive effective three months after publication; SARB may amend requirements; payment institutions must comply.</t>
  </si>
  <si>
    <t>Specifies effective date and compliance obligation for payment institutions under the directive.</t>
  </si>
  <si>
    <t>[Condition] This directive will be effective three months after its publication
[Must] Payment institutions or operators must comply with the requirements or conditions as stipulated in this directive
[Authority] SARB reserves the right to amend any requirements in this directive</t>
  </si>
  <si>
    <t>Effective date and non-compliance
7.1. This directive will be effective three months after its publication. The SARB reserves the right to amend any requirements in this directive.</t>
  </si>
  <si>
    <t>FICA (Financial Intelligence Centre Act, 38 of 2001</t>
  </si>
  <si>
    <t>2.</t>
  </si>
  <si>
    <t>Defines supervisory bodies under FICA, including financial regulators and authorities.</t>
  </si>
  <si>
    <t>[Must] Supervisory bodies include Financial Services Board, South African Reserve Bank, etc.</t>
  </si>
  <si>
    <t>1. The Financial Services Board established by the Financial Services Board Act, 1990 (Act 97 of 1990).</t>
  </si>
  <si>
    <t>(1) A Financial Intelligence Centre is hereby  established as an institution outside</t>
  </si>
  <si>
    <t>Defines 'property' as any property or service derived from unlawful activities.</t>
  </si>
  <si>
    <t>[Must] In terms of section 1 of the Prevention Act, this term means 'any property or any service, advantage, benefit or reward which was derived, received or retained, directly or indirectly, in the Republic or elsewhere, at any time before or after the commencement of this Act, in connection with or as a result of any unlawful activity commenced by any person, and includes any property representing property so derived'.</t>
  </si>
  <si>
    <t>2. In terms of section 1 of the Prevention Act, this term means 'any property or any service, advantage, benefit or reward which was derived, received or retained, directly or indirectly, in the Republic or elsewhere, at any time before or after the commencement of this Act, in connection with or as a result of any unlawful activity commenced by any person, and includes any property representing property so derived'.</t>
  </si>
  <si>
    <t>In terms  of  section 1 of the  Prevention  Act,  this  term  means  "any  property</t>
  </si>
  <si>
    <t>The substitution for section 7A of the following section:</t>
  </si>
  <si>
    <t>Amends section 7A of Prevention of Organised Crime Act with additional defences for reporting obligations.</t>
  </si>
  <si>
    <t>[May] Defence may be raised if person reported knowledge/suspicion under FICA
[May] Defence may be raised if person complied with internal reporting rules
[May] Defence may be raised if person reported to responsible person</t>
  </si>
  <si>
    <t>2. The substitution for section 7A of the following section: Defence 7A. (1) If a person is charged with committing an offence under section 2(1)(a) or (b), 4, 5 or 6, that person may raise as a defence the fact that he or she had reported a knowledge or suspicion in terms of section 29 of the Financial Intelligence Centre Act, 2001.</t>
  </si>
  <si>
    <t>(1) The principal objective of the  Centre  is  to assist in the identification of the</t>
  </si>
  <si>
    <t>1–2</t>
  </si>
  <si>
    <t>Defines 'money' as any movable, immovable, corporeal or incorporeal thing.</t>
  </si>
  <si>
    <t>[Must] In terms of section 1 of the Prevention Act, this term means 'money or any other movable, immovable, corporeal or incorporeal thing, and includes any rights, privileges, claims and securities and any interest therein and all proceeds thereof'.</t>
  </si>
  <si>
    <t>3. In terms of section 1 of the Prevention Act, this term means 'money or any other movable, immovable, corporeal or incorporeal thing, and includes any rights, privileges, claims and securities and any interest therein and all proceeds thereof'.</t>
  </si>
  <si>
    <t>In terms of section 1 of the  Prevention  Act,  this t m n means  "money or any  other  movable,  immovable,</t>
  </si>
  <si>
    <t>Ir terms  of  section I of the  Prevention  Act,  this  term  means  "conduct  which  constitutes  a  crime</t>
  </si>
  <si>
    <t>Processing, Data Sharing, Data Storage, Retention</t>
  </si>
  <si>
    <t>Centre must process, analyse information, inform authorities, monitor compliance, and retain information.</t>
  </si>
  <si>
    <t>Centre must process, analyse information disclosed to it, inform authorities, monitor compliance, and retain information.</t>
  </si>
  <si>
    <t>[Must] process, analyse and interpret information disclosed to it, and obtained by it, in terms of this Act
[Must] inform, advise and cooperate with investigating authorities, supervisory bodies, the South African Revenue Service and the intelligence services
[Must] monitor and give guidance to accountable institutions, supervisory bodies and other persons regarding the performance by them of their duties and their compliance with the provisions of this Act
[Must] retain the information referred to in paragraph (a) in the manner and for the period required by this Act</t>
  </si>
  <si>
    <t>4. To achieve its objectives the Centre must- (a) process, analyse and interpret information disclosed to it, and obtained by it, in terms of this Act; (b) inform, advise and cooperate with investigating authorities, supervisory bodies, the South African Revenue Service and the intelligence services; (c) monitor and give guidance to accountable institutions, supervisory bodies and other persons regarding the performance by them of their duties and their compliance with the provisions of this Act; (d) retain the information referred to in paragraph (a) in the manner and for the period required by this Act.</t>
  </si>
  <si>
    <t>To achieve its objectives the Centre  must-</t>
  </si>
  <si>
    <t>The amendment of section 77-</t>
  </si>
  <si>
    <t>25</t>
  </si>
  <si>
    <t>Amends section 77 of FICA by deleting specific regulatory provisions.</t>
  </si>
  <si>
    <t>[Must] Deletion from subsection (1) of paragraph (b) of section 77
[Must] Deletion from subsection (1) of paragraph (c) of section 77</t>
  </si>
  <si>
    <t>4. The amendment of section 77- 3.1 by the deletion from subsection (1) of paragraph (b); and 3.2 by the deletion from subsection (1) of paragraph (c).</t>
  </si>
  <si>
    <t>(1) The  Centre may do all that  is necessary  or  expedient to  perform  its functions</t>
  </si>
  <si>
    <t>Cloud Services, Financial Data</t>
  </si>
  <si>
    <t>Centre may do all necessary actions to perform functions, including staff management and banking.</t>
  </si>
  <si>
    <t>Centre may determine staff establishment, appoint employees, obtain services, acquire property, open bank accounts, insure itself, perform legal acts, engage in lawful activities, and do incidental acts.</t>
  </si>
  <si>
    <t>[Must] determine its own staff establishment and the terms and conditions of employment for its staff within a policy framework determined by the Minister
[Must] appoint employees and seconded personnel to posts on its staff establishment
[Must] obtain the services of any person by agreement, including any state department, functionary or institution, to perform any specific act or function
[Must] acquire or dispose of any right in or to property, but rights in respect of immovable property may be acquired or disposed of only with the consent of the Minister
[Must] open and operate its own bank accounts, subject to the Public Finance Management Act, 1999
[Must] insure itself against any loss, damage, risk or liability
[Must] perform legal acts or institute or defend any legal action in its own name
[Must] engage in any lawful activity, whether alone or together with any other organisation in the Republic or elsewhere, aimed at promoting its objectives
[Must] do anything that is incidental to the exercise of any of its powers</t>
  </si>
  <si>
    <t>5. (1) The Centre may do all that is necessary or expedient to perform its functions effectively, which includes the power to-- (a) determine its own staff establishment and the terms and conditions of employment for its staff within a policy framework determined by the Minister; (b) appoint employees and seconded personnel to posts on its staff establishment; (c) obtain the services of any person by agreement, including any state department, functionary or institution, to perform any specific act or function; (d) acquire or dispose of any right in or to property, but rights in respect of immovable property may be acquired or disposed of only with the consent of the Minister; (e) open and operate its own bank accounts, subject to the Public Finance Management Act, 1999; (f) insure itself against any loss, damage, risk or liability; (g) perform legal acts or institute or defend any legal action in its own name; (h) engage in any lawful activity, whether alone or together with any other organisation in the Republic or elsewhere, aimed at promoting its objectives; (i) do anything that is incidental to the exercise of any of its powers.</t>
  </si>
  <si>
    <t>(1) The  Minister may remove  the  Director  from</t>
  </si>
  <si>
    <t>Minister may remove Director from office on grounds of misconduct, incapacity or incompetence.</t>
  </si>
  <si>
    <t>[Must] The Minister may remove the Director from office only on the grounds referred to in section 13 or on the grounds of misconduct, incapacity or incompetence</t>
  </si>
  <si>
    <t>7. (1) The Minister may remove the Director from office only on the grounds referred to in section 13 or on the grounds of misconduct, incapacity or incompetence.</t>
  </si>
  <si>
    <t>If the Minister has given notice in the Gazette of any  appointment of a person as the</t>
  </si>
  <si>
    <t>Gazette notice of appointment serves as proof of appointment.</t>
  </si>
  <si>
    <t>Gazette notice of appointment may be presented in court as proof of appointment.</t>
  </si>
  <si>
    <t>[Must] If the Minister has given notice in the Gazette of any appointment of a person as the Director or as acting director, this notice may be presented in a Court as proof of the appointment</t>
  </si>
  <si>
    <t>9. If the Minister has given notice in the Gazette of any appointment of a person as the Director or as acting director, this notice may be presented in a Court as proof of the appointment.</t>
  </si>
  <si>
    <t>(1) The Director-</t>
  </si>
  <si>
    <t>(1) The staff of the  Centre consists (of-</t>
  </si>
  <si>
    <t>12</t>
  </si>
  <si>
    <t>(1) No person  other than the Director  may be  appointed or  seconded  to  perform</t>
  </si>
  <si>
    <t>13</t>
  </si>
  <si>
    <t>(1) No person  may be appointed a:$ the Director  of the Centre unless-</t>
  </si>
  <si>
    <t>14</t>
  </si>
  <si>
    <t>(1) The  funds of the  Centre consist of-</t>
  </si>
  <si>
    <t>Centre's funds consist of parliamentary appropriations, government grants, and legally acquired money.</t>
  </si>
  <si>
    <t>Centre's funds consist of money appropriated annually by Parliament, government grants, and other money legally acquired with Minister's approval.</t>
  </si>
  <si>
    <t>[Must] money appropriated annually by Parliament for the purposes of the Centre
[Must] any government grants made to it
[Must] any other money legally acquired by it, provided that the Centre may accept donations only with the prior written approval of the Minister</t>
  </si>
  <si>
    <t>14. (1) The funds of the Centre consist of- (a) money appropriated annually by Parliament for the purposes of the Centre; (b) any government grants made to it; and (c) any other money legally acquired by it, provided that the Centre may accept donations only with the prior written approval of the Minister.</t>
  </si>
  <si>
    <t>15</t>
  </si>
  <si>
    <t>The Auditor-General  must audit and report on the  accounts and financial records</t>
  </si>
  <si>
    <t>Auditor-General must audit and report on Centre's accounts and financial records.</t>
  </si>
  <si>
    <t>[Must] The Auditor-General must audit and report on the accounts and financial records of the Centre</t>
  </si>
  <si>
    <t>15. The Auditor-General must audit and report on the accounts and financial records of the Centre.</t>
  </si>
  <si>
    <t>16</t>
  </si>
  <si>
    <t>(1) The Director may-</t>
  </si>
  <si>
    <t>Director may delegate powers to staff or instruct staff to perform functions.</t>
  </si>
  <si>
    <t>Director may delegate powers to staff or instruct staff to perform functions, with conditions.</t>
  </si>
  <si>
    <t>[Must] delegate, in writing, any of the powers entrusted to the Centre in terms of this Act to a member of the staff of the Centre
[Must] instruct a member of the staff to perform any of the functions assigned to the Centre in terms of this Act</t>
  </si>
  <si>
    <t>16. (1) The Director may- (a) delegate, in writing, any of the powers entrusted to the Centre in terms of this Act to a member of the staff of the Centre; or (b) instruct a member of the staff to perform any of the functions assigned to the Centre in terms of this Act.</t>
  </si>
  <si>
    <t>18</t>
  </si>
  <si>
    <t>(1) The  Council  must-</t>
  </si>
  <si>
    <t>5–6</t>
  </si>
  <si>
    <t>Council must advise Minister on policies, best practices, and Centre's performance.</t>
  </si>
  <si>
    <t>Council must advise Minister on policies and best practices to identify proceeds of unlawful activities, exercise powers of Minister, and Centre's performance.</t>
  </si>
  <si>
    <t>[Must] on the Minister's request or at its own initiative, advise the Minister on policies and best practices to identify the proceeds of unlawful activities
[Must] advise the Minister on the exercise by the Minister of the powers entrusted to the Minister in terms of this Act
[Must] advise the Centre concerning the performance by the Centre of its functions
[Must] act as a forum in which the Centre, associations representing categories of accountable institutions, organs of state and supervisory bodies can consult one another</t>
  </si>
  <si>
    <t>18. (1) The Council must- (a) on the Minister's request or at its own initiative, advise the Minister on- (i) policies and best practices to identify the proceeds of unlawful activities; (ii) the exercise by the Minister of the powers entrusted to the Minister in terms of this Act; (b) advise the Centre concerning the performance by the Centre of its functions; and (c) act as a forum in which the Centre, associations representing categories of accountable institutions, organs of state and supervisory bodies can consult one another.</t>
  </si>
  <si>
    <t>19</t>
  </si>
  <si>
    <t>(1) The Council consists of the Director  and each of the  following, namely-</t>
  </si>
  <si>
    <t>Council consists of Director and specified representatives from government bodies and institutions.</t>
  </si>
  <si>
    <t>Council consists of Director and representatives from National Treasury, Police Service, Justice Department, Public Prosecutions, Intelligence Agency, Secret Service, Reserve Bank, Revenue Service, accountable institutions, and supervisory bodies.</t>
  </si>
  <si>
    <t>[Must] The Council consists of the Director and each of the following: the Director-General of the National Treasury; the Commissioner of the South African Police Service; the Director-General of the Department of Justice and Constitutional Development; the National Director of Public Prosecutions; the Director-General of the National Intelligence Agency; the Director-General of the South African Secret Service; the Governor of the South African Reserve Bank; the Commissioner for the South African Revenue Service; persons representing categories of accountable institutions; persons representing supervisory bodies; and any other persons or bodies requested by the Minister</t>
  </si>
  <si>
    <t>19. (1) The Council consists of the Director and each of the following, namely- the Director-General of the National Treasury; the Commissioner of the South African Police Service; the Director-General of the Department of Justice and Constitutional Development; the National Director of Public Prosecutions; the Director-General of the National Intelligence Agency; the Director-General of the South African Secret Service; the Governor of the South African Reserve Bank; the Commissioner for the South African Revenue Service; persons representing categories of accountable institutions requested by the Minister to nominate representatives; persons representing supervisory bodies requested by the Minister to nominate representatives; and any other persons or bodies requested by the Minister to nominate representatives.</t>
  </si>
  <si>
    <t>An  attorney  as  defined in the Attorneys Act, 1979 (Act 53 of 1979).</t>
  </si>
  <si>
    <t>23–24</t>
  </si>
  <si>
    <t>Defines accountable institutions under FICA, including banks, insurance companies, and other financial entities.</t>
  </si>
  <si>
    <t>[Must] Accountable institutions include banks, insurance companies, and other financial entities</t>
  </si>
  <si>
    <t>19. An attorney as defined in the Attorneys Act, 1979 (Act 53 of 1979). A person who carries on the business of a bank as defined in the Banks Act, 1990 (Act 94 of 1990).</t>
  </si>
  <si>
    <t>20</t>
  </si>
  <si>
    <t>(1) The chairperson of the  Council may call  a  meeting of the Council, but  must</t>
  </si>
  <si>
    <t>6–7</t>
  </si>
  <si>
    <t>Minister</t>
  </si>
  <si>
    <t>Chairperson may call Council meetings but must call a meeting if Minister requests.</t>
  </si>
  <si>
    <t>[Must] The chairperson of the Council may call a meeting of the Council, but must call a meeting if the Minister so requests.</t>
  </si>
  <si>
    <t>20. (1) The chairperson of the Council may call a meeting of the Council, but must call a meeting if the Minister so requests.</t>
  </si>
  <si>
    <t>22</t>
  </si>
  <si>
    <t>(1) Whenever an accountable institution establishes a business relationship or</t>
  </si>
  <si>
    <t>7–8</t>
  </si>
  <si>
    <t>KYC</t>
  </si>
  <si>
    <t>Record Keeping</t>
  </si>
  <si>
    <t>Accountable institutions</t>
  </si>
  <si>
    <t>Accountable institutions must keep records of client identity, business relationships, transactions, and related details.</t>
  </si>
  <si>
    <t>Mandatory record-keeping of client identity and transaction details for financial institutions.</t>
  </si>
  <si>
    <t>[Must] Whenever an accountable institution establishes a business relationship or concludes a transaction with a client, the accountable institution must keep record of the identity of the client.
[Must] If the client is acting on behalf of another person, the accountable institution must keep record of the identity of that person and the client's authority to act on behalf of that person.
[Must] If another person is acting on behalf of the client, the accountable institution must keep record of the identity of that person and that person's authority to act on behalf of the client.
[Must] The accountable institution must keep record of the manner in which the identity of the persons referred to in paragraphs (a), (b) and (c) was established.
[Must] The accountable institution must keep record of the nature of that business relationship or transaction.
[Must] In the case of a transaction, the accountable institution must keep record of the amount involved and the parties to that transaction.
[Must] The accountable institution must keep record of all accounts involved in transactions concluded by the accountable institution in the course of that business relationship.
[Must] The accountable institution must keep record of all accounts involved in that single transaction.
[Must] The accountable institution must keep record of the name of the person who obtained the information referred to in paragraphs (a), (b) and (c) on behalf of the accountable institution.
[Must] The accountable institution must keep record of any document or copy of a document obtained by the accountable institution in order to verify a person's identity in terms of section 21(1) or (2).</t>
  </si>
  <si>
    <t>22. (1) Whenever an accountable institution establishes a business relationship or concludes a transaction with a client, whether the transaction is a single transaction or concluded in the course of a business relationship which that accountable institution has with the client, the accountable institution must keep record of- the identity of the client; if the client is acting on behalf of another person- (i) the identity of the person on whose behalf the client is acting; and (ii) the client's authority to act on behalf of that other person; if another person is acting on behalf of the client- (i) the identity of that other person; and (ii) that other person's authority to act on behalf of the client; the manner in which the identity of the persons referred to in paragraphs (a), (b) and (c) was established; the nature of that business relationship or transaction; in the case of a transaction- (i) the amount involved; and (ii) the parties to that transaction; all accounts that are involved in- (i) transactions concluded by that accountable institution in the course of that business relationship; and (ii) that single transaction; the name of the person who obtained the information referred to in paragraphs (a), (b) and (c) on behalf of the accountable institution; and any document or copy of a document obtained by the accountable institution in order to verify a person's identity in terms of section 21(1) or (2).</t>
  </si>
  <si>
    <t>23</t>
  </si>
  <si>
    <t>An  accountable institution must  keep the records referred to in section 22 which</t>
  </si>
  <si>
    <t>Retention</t>
  </si>
  <si>
    <t>Records must be kept for at least five years from termination of business relationship or transaction date.</t>
  </si>
  <si>
    <t>Records retention period of five years for financial transactions.</t>
  </si>
  <si>
    <t>[Must] An accountable institution must keep the records referred to in section 22 which relate to the establishment of a business relationship for at least five years from the date on which the business relationship is terminated.
[Must] An accountable institution must keep the records referred to in section 22 which relate to a transaction which is concluded for at least five years from the date on which that transaction is concluded.</t>
  </si>
  <si>
    <t>23. An accountable institution must keep the records referred to in section 22 which relate to- (a) the establishment of a business relationship, for at least five years from the date on which the business relationship is terminated; (b) a transaction which is concluded, for at least five years from the date on which that transaction is concluded.</t>
  </si>
  <si>
    <t>(1) The  duties  imposed by section  22 on  an accountable  institution to keep record</t>
  </si>
  <si>
    <t>Third parties may perform record-keeping duties for accountable institutions with access to records.</t>
  </si>
  <si>
    <t>Third parties can handle records if accountable institution has access to them.</t>
  </si>
  <si>
    <t>[May] The duties imposed by section 22 on an accountable institution to keep record of the matters specified in that section may be performed by a third party on behalf of the accountable institution as long as the accountable institution has free and easy access to the records.
[Must] If a third party referred to in subsection (1) fails to properly comply with the requirements of section 22 on behalf of the accountable institution concerned, the accountable institution is liable for that failure.
[Must] If an accountable institution appoints a third party to perform the duties imposed on it by section 22, the accountable institution must forthwith provide the Centre with the prescribed particulars regarding the third party.</t>
  </si>
  <si>
    <t>24. (1) The duties imposed by section 22 on an accountable institution to keep record of the matters specified in that section may be performed by a third party on behalf of the accountable institution as long as the accountable institution has free and easy access to the records. (2) If a third party referred to in subsection (1) fails to properly comply with the requirements of section 22 on behalf of the accountable institution concerned, the accountable institution is liable for that failure. (3) If an accountable institution appoints a third party to perform the duties imposed on it by section 22, the accountable institution must forthwith provide the Centre with the prescribed particulars regarding the third party.</t>
  </si>
  <si>
    <t>A record kept in terms of section  22 (or section  24, or a certified extract of any such</t>
  </si>
  <si>
    <t>Records produced in court are admissible as evidence of facts contained in them.</t>
  </si>
  <si>
    <t>Records from section 22 or 24 are admissible in court as evidence.</t>
  </si>
  <si>
    <t>[Must] A record kept in terms of section 22 (or section 24, or a certified extract of any such record, or a certified printout of any extract of an electronic record) is on its mere production in a matter before a court admissible as evidence of any fact contained in it.</t>
  </si>
  <si>
    <t>25. A record kept in terms of section 22 (or section 24, or a certified extract of any such record, or a certified printout of any extract of an electronic record) is on its mere production in a matter before a court admissible as evidence of any fact contained in it.</t>
  </si>
  <si>
    <t>26</t>
  </si>
  <si>
    <t>(1) An authorised representative of the  Centre has access during ordinary working</t>
  </si>
  <si>
    <t>8–9</t>
  </si>
  <si>
    <t>Financial Intelligence Centre</t>
  </si>
  <si>
    <t>Centre's authorized representatives may access records with warrants for money laundering investigations.</t>
  </si>
  <si>
    <t>Centre can access records with warrants for investigations.</t>
  </si>
  <si>
    <t>[May] An authorised representative of the Centre has access during ordinary working hours to any records kept by or on behalf of an accountable institution in terms of section 22 or section 24, and may examine, make extracts from or copies of, any such records.
[Must] The authorised representative of the Centre may exercise the powers mentioned in subsection (1) only by virtue of a warrant issued in chambers by a magistrate or regional magistrate or judge of an area of jurisdiction within which the records or any of them are kept, or within which the accountable institution conducts business.
[Must] A warrant may only be issued if it appears to the judge, magistrate or regional magistrate from information on oath or affirmation that there are reasonable grounds to believe that the records referred to in subsection (1) may assist the Centre to identify the proceeds of unlawful activities or to combat money laundering activities.
[Must] An accountable institution must without delay give to an authorised representative of the Centre all reasonable assistance necessary to enable that representative to exercise the powers mentioned in subsection (1).</t>
  </si>
  <si>
    <t>26. (1) An authorised representative of the Centre has access during ordinary working hours to any records kept by or on behalf of an accountable institution in terms of section 22 or section 24, and may examine, make extracts from or copies of, any such records. (2) The authorised representative of the Centre may, except in the case of records which the public is entitled to have access to, exercise the powers mentioned in subsection (1) only by virtue of a warrant issued in chambers by a magistrate or regional magistrate or judge of an area of jurisdiction within which the records or any of them are kept, or within which the accountable institution conducts business. (3) A warrant may only be issued if it appears to the judge, magistrate or regional magistrate from information on oath or affirmation that there are reasonable grounds to believe that the records referred to in subsection (1) may assist the Centre to identify the proceeds of unlawful activities or to combat money laundering activities. (5) An accountable institution must without delay give to an authorised representative of the Centre all reasonable assistance necessary to enable that representative to exercise the powers mentioned in subsection (1).</t>
  </si>
  <si>
    <t>28</t>
  </si>
  <si>
    <t>An  accountable institution and a reporting institution must,  within the prescribed</t>
  </si>
  <si>
    <t>Accountable institutions must report cash transactions exceeding prescribed amounts to Centre.</t>
  </si>
  <si>
    <t>Mandatory reporting of cash transactions above thresholds to Centre.</t>
  </si>
  <si>
    <t>[Must] An accountable institution and a reporting institution must, within the prescribed period, report to the Centre the prescribed particulars concerning a transaction concluded with a client if in terms of the transaction an amount of cash in excess of the prescribed amount is paid by the accountable institution or reporting institution to the client, or to a person acting on behalf of the client, or to a person on whose behalf the client is acting.
[Must] An accountable institution and a reporting institution must, within the prescribed period, report to the Centre the prescribed particulars concerning a transaction concluded with a client if in terms of the transaction an amount of cash in excess of the prescribed amount is received by the accountable institution or reporting institution from the client, or from a person acting on behalf of the client, or from a person on whose behalf the client is acting.</t>
  </si>
  <si>
    <t>28. An accountable institution and a reporting institution must, within the prescribed period, report to the Centre the prescribed particulars concerning a transaction concluded with a client if in terms of the transaction an amount of cash in excess of the prescribed amount- (a) is paid by the accountable institution or reporting institution to the client, or to a person acting on behalf of the client, or to a person on whose behalf the client is acting; or (b) is received by the accountable institution or reporting institution from the client, or from a person acting on behalf of the client, or from a person on whose behalf the client is acting.</t>
  </si>
  <si>
    <t>29</t>
  </si>
  <si>
    <t>(1) A person who carries on a businl:ss or is in charge of or  manages a business  or</t>
  </si>
  <si>
    <t>9–10</t>
  </si>
  <si>
    <t>Businesses and individuals</t>
  </si>
  <si>
    <t>Persons must report suspicious transactions or activities to Centre if they suspect money laundering.</t>
  </si>
  <si>
    <t>Mandatory reporting of suspicious transactions to Centre.</t>
  </si>
  <si>
    <t>[Must] A person who carries on a business or is in charge of or manages a business or who is employed by a business and who knows or suspects that- (i) facilitated or is likely to facilitate the transfer of the proceeds of unlawful activities; (ii) has no apparent business or lawful purpose; (iii) is conducted for the purpose of avoiding giving rise to a reporting duty under this Act; or (iv) may be relevant to the investigation of an evasion or attempted evasion of a duty to pay any tax, duty or levy imposed by legislation administered by the Commissioner for the South African Revenue Service, must, within the prescribed period after the knowledge was acquired or the suspicion arose, report to the Centre the grounds for the knowledge or suspicion and the prescribed particulars concerning the transaction or series of transactions.</t>
  </si>
  <si>
    <t>29. (1) A person who carries on a business or is in charge of or manages a business or who is employed by a business and who knows or suspects that- (i) facilitated or is likely to facilitate the transfer of the proceeds of unlawful activities; (ii) has no apparent business or lawful purpose; (iii) is conducted for the purpose of avoiding giving rise to a reporting duty under this Act; or (iv) may be relevant to the investigation of an evasion or attempted evasion of a duty to pay any tax, duty or levy imposed by legislation administered by the Commissioner for the South African Revenue Service, must, within the prescribed period after the knowledge was acquired or the suspicion arose, report to the Centre the grounds for the knowledge or suspicion and the prescribed particulars concerning the transaction or series of transactions.</t>
  </si>
  <si>
    <t>30</t>
  </si>
  <si>
    <t>(1)  A person intending to convey an amount of cash in  excess of the  prescribed</t>
  </si>
  <si>
    <t>10–11</t>
  </si>
  <si>
    <t>Persons must report cash conveyances exceeding prescribed amounts to Centre.</t>
  </si>
  <si>
    <t>Mandatory reporting of cash movements across borders to Centre.</t>
  </si>
  <si>
    <t>[Must] A person intending to convey an amount of cash in excess of the prescribed amount to or from the Republic must, before that person conveys the cash into or out of the Republic, report the prescribed particulars concerning that conveyance to a person authorised by the Minister.
[Must] A person authorised in terms of subsection (1) must without delay send a copy of the report to the Centre.</t>
  </si>
  <si>
    <t>30. (1) A person intending to convey an amount of cash in excess of the prescribed amount to or from the Republic must, before that person conveys the cash into or out of the Republic, report the prescribed particulars concerning that conveyance to a person authorised by the Minister. (2) A person authorised in terms of subsection (1) must without delay send a copy of the report to the Centre.</t>
  </si>
  <si>
    <t>32</t>
  </si>
  <si>
    <t>(1) A report  in terns of section 28,29 or 31 to the  Centre and a  report in terms of  15</t>
  </si>
  <si>
    <t>Reports must be made in prescribed manner and additional information may be requested.</t>
  </si>
  <si>
    <t>Reports must be submitted in prescribed format with additional information possible.</t>
  </si>
  <si>
    <t>[Must] A report in terms of section 28, 29 or 31 to the Centre and a report in terms of section 30(1) to a person authorised by the Minister must be made in the prescribed manner.
[May] The Centre, or an investigating authority acting with the permission of the Centre or under the authority of an authorised officer, may request an accountable institution, a reporting institution or any other person that has made a report in terms of section 28, 29 or 31 to furnish the Centre or that investigating authority with such additional information concerning the report and the grounds for the report as the Centre or the investigating authority may reasonably require for the performance by it of its functions.
[Must] When an institution or a person referred to in subsection (2) receives a request under that subsection, that institution or person must furnish the Centre without delay with such additional information concerning the report and the grounds for the report as that institution or person may have available.</t>
  </si>
  <si>
    <t>32. (1) A report in terms of section 28, 29 or 31 to the Centre and a report in terms of section 30(1) to a person authorised by the Minister must be made in the prescribed manner. (2) The Centre, or an investigating authority acting with the permission of the Centre or under the authority of an authorised officer, may request an accountable institution, a reporting institution or any other person that has made a report in terms of section 28, 29 or 31 to furnish the Centre or that investigating authority with such additional information concerning the report and the grounds for the report as the Centre or the investigating authority may reasonably require for the performance by it of its functions. (3) When an institution or a person referred to in subsection (2) receives a request under that subsection, that institution or person must furnish the Centre without delay with such additional information concerning the report and the grounds for the report as that institution or person may have available.</t>
  </si>
  <si>
    <t>33</t>
  </si>
  <si>
    <t>An accountable institution, reporting institution or person required to make a</t>
  </si>
  <si>
    <t>Transactions may continue after reporting unless Centre directs otherwise.</t>
  </si>
  <si>
    <t>Transactions can continue after reporting unless Centre intervenes.</t>
  </si>
  <si>
    <t>[May] An accountable institution, reporting institution or person required to make a report to the Centre in terms of section 28 or 29 may continue with and carry out the transaction in respect of which the report is required to be made unless the Centre directs the accountable institution, reporting institution or person in terms of section 34 not to proceed with the transaction.</t>
  </si>
  <si>
    <t>33. An accountable institution, reporting institution or person required to make a report to the Centre in terms of section 28 or 29, may continue with and carry out the transaction in respect of which the report is required to be made unless the Centre directs the accountable institution, reporting institution or person in terms of section 34 not to proceed with the transaction.</t>
  </si>
  <si>
    <t>34</t>
  </si>
  <si>
    <t>(1) If the  Centre,  after  consulting</t>
  </si>
  <si>
    <t>Centre may direct non-proceeding with transactions suspected of money laundering.</t>
  </si>
  <si>
    <t>Centre can halt transactions suspected of money laundering for up to five days.</t>
  </si>
  <si>
    <t>[May] If the Centre, after consulting an accountable institution, a reporting institution or a person required to make a report in terms of section 28 or 29, has reasonable grounds to suspect that a transaction or a proposed transaction may involve the proceeds of unlawful activities or may constitute money laundering or may constitute a transaction contemplated in section 29(1)(b), it may direct the accountable institution, reporting institution or person in writing not to proceed with the carrying out of that transaction or proposed transaction or any other transaction in respect of the funds affected by that transaction or proposed transaction for a period as may be determined by the Centre, which may not be more than five days, in order to allow the Centre to make the necessary inquiries concerning the transaction.</t>
  </si>
  <si>
    <t>34. (1) If the Centre, after consulting an accountable institution, a reporting institution or a person required to make a report in terms of section 28 or 29, has reasonable grounds to suspect that a transaction or a proposed transaction may involve the proceeds of unlawful activities or may constitute money laundering or may constitute a transaction contemplated in section 29(1)(b), it may direct the accountable institution, reporting institution or person in writing not to proceed with the carrying out of that transaction or proposed transaction or any other transaction in respect of the funds affected by that transaction or proposed transaction for a period as may be determined by the Centre, which may not be more than five days, in order to allow the Centre- (a) to make the necessary inquiries concerning the transaction; and (b) if the Centre deems it appropriate, to inform and advise an investigating authority or the National Director of Public Prosecutions.</t>
  </si>
  <si>
    <t>35</t>
  </si>
  <si>
    <t>(1) A judge designated by</t>
  </si>
  <si>
    <t>11–12</t>
  </si>
  <si>
    <t>Judge</t>
  </si>
  <si>
    <t>Judges may order institutions to report transactions suspected of money laundering.</t>
  </si>
  <si>
    <t>Judges can order institutions to report transactions for money laundering monitoring.</t>
  </si>
  <si>
    <t>[May] A judge designated by the Minister of Justice for the purposes of the Interception and Monitoring Prohibition Act, 1992, may, upon written application by the Centre, order an accountable institution to report to the Centre, on such terms and in such confidential manner as may be specified in the order, all transactions concluded by a specified person with the accountable institution or all transactions conducted in respect of a specified account or facility at the accountable institution, if there are reasonable grounds to suspect that- (a) that person has transferred or may transfer the proceeds of unlawful activities to the accountable institution or is using or may use the accountable institution for money laundering purposes or for the purpose of any transaction contemplated in section 29(1)(b); or (b) that account or other facility has received or may receive the proceeds of unlawful activities or is being or may be used for money laundering purposes or for the purpose of any transaction contemplated in section 29(1)(b).</t>
  </si>
  <si>
    <t>35. (1) A judge designated by the Minister of Justice for the purposes of the Interception and Monitoring Prohibition Act, 1992, may, upon written application by the Centre, order an accountable institution to report to the Centre, on such terms and in such confidential manner as may be specified in the order, all transactions concluded by a specified person with the accountable institution or all transactions conducted in respect of a specified account or facility at the accountable institution, if there are reasonable grounds to suspect that- (a) that person has transferred or may transfer the proceeds of unlawful activities to the accountable institution or is using or may use the accountable institution for money laundering purposes or for the purpose of any transaction contemplated in section 29(1)(b); or (b) that account or other facility has received or may receive the proceeds of unlawful activities or is being or may be used for money laundering purposes or for the purpose of any transaction contemplated in section 29(1)(b).</t>
  </si>
  <si>
    <t>36</t>
  </si>
  <si>
    <t>(1) If a supervisory  body or  the South African Revenue  Service knows  or  suspects</t>
  </si>
  <si>
    <t>Incident Reporting</t>
  </si>
  <si>
    <t>Incident Reporting, Breach Notification</t>
  </si>
  <si>
    <t>Financial Intelligence Centre (Centre)</t>
  </si>
  <si>
    <t>Supervisory bodies or South African Revenue Service must report suspected money laundering activities to Centre with relevant information.</t>
  </si>
  <si>
    <t>Requires reporting of suspected money laundering to Centre with supporting records for investigation.</t>
  </si>
  <si>
    <t>[Must] If a supervisory body or South African Revenue Service knows or suspects an accountable institution has received proceeds of unlawful activities, must advise Centre and furnish all information and records reasonably required
[Must] If Centre believes supervisory body or South African Revenue Service may have information indicating money laundering, must request confirmation or rebuttal and furnish information if confirmed</t>
  </si>
  <si>
    <t>36. (1) If a supervisory body or the South African Revenue Service knows or suspects that an accountable institution... has received or is about to receive the proceeds of unlawful activities... must advise the Centre of that fact and furnish the Centre with all information and any records...</t>
  </si>
  <si>
    <t>37</t>
  </si>
  <si>
    <t>(1) Subject to subsection  (2),  no  duty of secrecy or confidentiality or any other</t>
  </si>
  <si>
    <t>12–13</t>
  </si>
  <si>
    <t>No duty of secrecy affects compliance with reporting obligations to Centre for money laundering investigations.</t>
  </si>
  <si>
    <t>Compliance with reporting to Centre is not subject to confidentiality obligations.</t>
  </si>
  <si>
    <t>[Must] No duty of secrecy or confidentiality affects compliance by accountable institutions, supervisory bodies, reporting institutions, South African Revenue Service with reporting provisions of this Part</t>
  </si>
  <si>
    <t>37. (1) Subject to subsection (2), no duty of secrecy or confidentiality or any other restriction on the disclosure of information... affects compliance by an accountable institution, reporting institution, supervisory body, reporting institution, South African Revenue Service or any other person with a provision of this Part.</t>
  </si>
  <si>
    <t>38</t>
  </si>
  <si>
    <t>(1) No action, whether criminal  or  civil,  lies  against an accountable institution,</t>
  </si>
  <si>
    <t>No legal action lies against entities complying with reporting obligations to Centre for money laundering investigations.</t>
  </si>
  <si>
    <t>Reporting to Centre for money laundering investigations is protected from legal consequences.</t>
  </si>
  <si>
    <t>[Must] No action, whether criminal or civil, lies against an accountable institution, reporting institution, supervisory body, South African Revenue Service or any other person complying in good faith with a provision of this Part</t>
  </si>
  <si>
    <t>38. (1) No action, whether criminal or civil, lies against an accountable institution, reporting institution, supervisory body, South African Revenue Service or any other person complying in good faith with a provision of this Part...</t>
  </si>
  <si>
    <t>40</t>
  </si>
  <si>
    <t>(1) No person is entitled  to  information held by the  Centre, except-</t>
  </si>
  <si>
    <t>13–14</t>
  </si>
  <si>
    <t>Centre may disclose information to specific entities for money laundering investigations with safeguards.</t>
  </si>
  <si>
    <t>Centre may share information with investigating authorities, intelligence services, accountable institutions, and supervisory bodies for money laundering investigations with confidentiality safeguards.</t>
  </si>
  <si>
    <t>[Must] No person entitled to information held by Centre except investigating authorities, intelligence services, accountable institutions, supervisory bodies, courts or entities with written agreements</t>
  </si>
  <si>
    <t>40. (1) No person is entitled to information held by the Centre, except- (a) an investigating authority inside the Republic... (b) an entity outside the Republic performing similar functions... (c) an accountable institution... (d) a supervisory body... (e) in terms of an order of a court; or (f) in terms of other national legislation.</t>
  </si>
  <si>
    <t>41</t>
  </si>
  <si>
    <t>No person may  disclose confidential information  held by or obtained from the</t>
  </si>
  <si>
    <t>Confidential information held by Centre may not be disclosed except for specific purposes.</t>
  </si>
  <si>
    <t>Centre's confidential information may only be disclosed for specific purposes like legal proceedings, compliance with legislation, or with Centre's permission.</t>
  </si>
  <si>
    <t>[Must] No person may disclose confidential information held by or obtained from Centre except within scope of powers, for carrying out provisions of Act, with Centre's permission, for legal proceedings, or in terms of court order</t>
  </si>
  <si>
    <t>41. No person may disclose confidential information held by or obtained from the Centre except- (a) within the scope of that person's powers and duties in terms of any legislation; (b) for the purpose of carrying out the provisions of this Act; (c) with the permission of the Centre; (d) for the purpose of legal proceedings... (e) in terms of an order of court.</t>
  </si>
  <si>
    <t>42</t>
  </si>
  <si>
    <t>(1) An accountable institution must formulate and implement internal rules</t>
  </si>
  <si>
    <t>14–15</t>
  </si>
  <si>
    <t>Accountable institutions must create internal rules for identifying persons, record-keeping, and transaction reporting.</t>
  </si>
  <si>
    <t>Accountable institutions must implement internal rules for identifying persons, record-keeping, and transaction reporting to comply with money laundering regulations.</t>
  </si>
  <si>
    <t>[Must] Accountable institution must formulate and implement internal rules concerning establishment and verification of identity of persons, information to be kept, manner of keeping records, steps to determine reportable transactions</t>
  </si>
  <si>
    <t>42. (1) An accountable institution must formulate and implement internal rules concerning- (a) the establishment and verification of the identity of persons whom the institution must identify in terms of Part 1 of this Chapter; (b) the information of which record must be kept in terms of Part 2 of this Chapter; (c) the manner in which and place at which such records must be kept; (d) the steps to be taken to determine when a transaction is reportable to ensure the institution complies with its duties under this Act; and (e) such other matters as may be prescribed.</t>
  </si>
  <si>
    <t>43</t>
  </si>
  <si>
    <t>An accountable institution must-</t>
  </si>
  <si>
    <t>Accountable institutions must provide training and appoint compliance officers.</t>
  </si>
  <si>
    <t>Accountable institutions must train employees and appoint compliance officers to ensure adherence to money laundering regulations.</t>
  </si>
  <si>
    <t>[Must] Accountable institution must provide training to employees to enable compliance with provisions of Act and internal rules
[Must] Accountable institution must appoint a person responsible for ensuring compliance with provisions of Act and internal rules</t>
  </si>
  <si>
    <t>43. An accountable institution must- (a) provide training to its employees, to enable them to comply with the provisions of this Act and the internal rules applicable to them; (b) appoint a person with the responsibility to ensure compliance by- (i) the employees of the accountable institution with the provisions of this Act and the internal rules applicable to them; (ii) the accountable institution with its obligations under this Act.</t>
  </si>
  <si>
    <t>44</t>
  </si>
  <si>
    <t>If the  Centre in the performance of  it,s functions  has  reasonable  grounds</t>
  </si>
  <si>
    <t>Centre may refer suspected non-compliance to supervisory bodies or investigating authorities.</t>
  </si>
  <si>
    <t>Centre may refer suspected money laundering non-compliance to supervisory bodies or investigating authorities for remedial action.</t>
  </si>
  <si>
    <t>[May] If Centre has reasonable grounds to suspect non-compliance, may refer matter to relevant investigating authority or supervisory body</t>
  </si>
  <si>
    <t>44. If the Centre in the performance of its functions has reasonable grounds to suspect that an accountable institution... has contravened or failed to comply with any provision of this Act... it may, if it considers it appropriate to do so, refer the matter to- (a) a relevant investigating authority; or (b) an appropriate supervisory body or other public body or authority detected by it...</t>
  </si>
  <si>
    <t>45</t>
  </si>
  <si>
    <t>(1) Each supervisory body is responsible for supervising compliance with the</t>
  </si>
  <si>
    <t>Supervisory bodies must investigate Centre referrals and remedy suspected non-compliance.</t>
  </si>
  <si>
    <t>Supervisory bodies must investigate Centre referrals and take steps to remedy suspected money laundering non-compliance.</t>
  </si>
  <si>
    <t>[Must] Each supervisory body is responsible for supervising compliance with provisions of this Chapter by accountable institutions regulated by it</t>
  </si>
  <si>
    <t>45. (1) Each supervisory body is responsible for supervising compliance with the provisions of this Chapter by each accountable institution regulated or supervised by it.</t>
  </si>
  <si>
    <t>46</t>
  </si>
  <si>
    <t>(1) An accountable institution  that  performs any act to give effect to a  business</t>
  </si>
  <si>
    <t>Accountable institutions that perform transactions in contravention of identification requirements are guilty of offences.</t>
  </si>
  <si>
    <t>Accountable institutions that fail to identify persons in transactions are subject to offences under this Act.</t>
  </si>
  <si>
    <t>[Must] Accountable institution that performs any act to give effect to a business relationship or single transaction in contravention of section 21(1) is guilty of an offence</t>
  </si>
  <si>
    <t>46. (1) An accountable institution that performs any act to give effect to a business relationship or single transaction in contravention of section  21(1) is guilty of an offence.</t>
  </si>
  <si>
    <t>47</t>
  </si>
  <si>
    <t>An accountable institution  that  fails  tc+-</t>
  </si>
  <si>
    <t>Accountable institutions that fail to keep records as required are guilty of offences.</t>
  </si>
  <si>
    <t>Accountable institutions that fail to maintain records as required by the Act are subject to offences.</t>
  </si>
  <si>
    <t>[Must] Accountable institution that fails to keep record of information in terms of section 22(1); or keep such records in accordance with section 23 or 24(1); or comply with section 24(3) is guilty of an offence</t>
  </si>
  <si>
    <t>47. An accountable institution that fails to- (a) keep record of information in terms of section 22(1); or (b) keep such records in accordance with section 23 or section 24(1); or (c) comply with the provisions of section 24(3), is guilty of an offence.</t>
  </si>
  <si>
    <t>48</t>
  </si>
  <si>
    <t>Any person who wilfully tampers with a  record  kept in terms of section  22 or</t>
  </si>
  <si>
    <t>15–16</t>
  </si>
  <si>
    <t>Wilful tampering or destruction of records is an offence.</t>
  </si>
  <si>
    <t>Wilful tampering or destruction of records required by the Act is subject to criminal penalties.</t>
  </si>
  <si>
    <t>[Must] Any person who wilfully tampers with a record kept in terms of section 22 or section 24(1), or wilfully destroys such a record, otherwise than in accordance with section 23, is guilty of an offence</t>
  </si>
  <si>
    <t>48. Any person who wilfully tampers with a record kept in terms of section 22 or section 24(1), or wilfully destroys such a record, otherwise than in accordance with section 23, is guilty of an offence.</t>
  </si>
  <si>
    <t>49</t>
  </si>
  <si>
    <t>An accountable institution that  fails to give  assistance to a  representative of the</t>
  </si>
  <si>
    <t>Accountable institutions that fail to assist Centre representatives are guilty of offences.</t>
  </si>
  <si>
    <t>Accountable institutions that fail to assist Centre representatives with investigations are subject to offences.</t>
  </si>
  <si>
    <t>[Must] Accountable institution that fails to give assistance to a representative of the Centre in accordance with section 26(5) is guilty of an offence</t>
  </si>
  <si>
    <t>49. An accountable institution that fails to give assistance to a representative of the Centre in accordance with section 26(5), is guilty of an offence.</t>
  </si>
  <si>
    <t>51</t>
  </si>
  <si>
    <t>An accountable institution or reporting  institution that fails, within the  prescribed</t>
  </si>
  <si>
    <t>Accountable institutions that fail to report cash transactions are guilty of offences.</t>
  </si>
  <si>
    <t>Accountable institutions that fail to report cash transactions within prescribed periods are subject to offences.</t>
  </si>
  <si>
    <t>[Must] Accountable institution or reporting institution that fails, within the prescribed period, to report to the Centre the prescribed information in respect of a cash transaction in accordance with section 28 is guilty of an offence</t>
  </si>
  <si>
    <t>51. An accountable institution or reporting institution that fails, within the prescribed period, to report to the Centre the prescribed information in respect of a cash transaction in accordance with section 28, is guilty of an offence.</t>
  </si>
  <si>
    <t>52</t>
  </si>
  <si>
    <t>(1) Any  person who  fails, within the: prescribed period, to report to the Centre the</t>
  </si>
  <si>
    <t>Failure to report suspicious transactions is an offence.</t>
  </si>
  <si>
    <t>Failure to report suspicious transactions within prescribed periods is subject to criminal penalties.</t>
  </si>
  <si>
    <t>[Must] Any person who fails, within the prescribed period, to report to the Centre the prescribed information in respect of a suspicious or unusual transaction or series of transactions or enquiry in accordance with section 29(1) or (2) is guilty of an offence</t>
  </si>
  <si>
    <t>52. (1) Any person who fails, within the prescribed period, to report to the Centre the prescribed information in respect of a suspicious or unusual transaction or series of transactions or enquiry in accordance with section 29(1) or (2), is guilty of an offence.</t>
  </si>
  <si>
    <t>53</t>
  </si>
  <si>
    <t>(1) Any  person  referred to  in  section  29(3)  who discloses a  fact or information</t>
  </si>
  <si>
    <t>Unauthorized disclosure of information to Centre is an offence.</t>
  </si>
  <si>
    <t>Unauthorized disclosure of information to Centre is subject to criminal penalties.</t>
  </si>
  <si>
    <t>[Must] Any person who discloses a fact or information contemplated in section 29(3) otherwise than in the circumstances or for the purposes authorised in that section is guilty of an offence</t>
  </si>
  <si>
    <t>53. (1) Any person referred to in section 29(3) who discloses a fact or information contemplated in that section, otherwise than in the circumstances or for the purposes authorised in that section, is guilty of an offence.</t>
  </si>
  <si>
    <t>54</t>
  </si>
  <si>
    <t>Any  person who wilfully fails  to  report  the conveyance of cash  into  or out of the</t>
  </si>
  <si>
    <t>Wilful failure to report cash conveyance is an offence.</t>
  </si>
  <si>
    <t>Wilful failure to report cash conveyance into or out of Republic is subject to criminal penalties.</t>
  </si>
  <si>
    <t>[Must] Any person who wilfully fails to report the conveyance of cash into or out of the Republic in accordance with section 30(1) is guilty of an offence</t>
  </si>
  <si>
    <t>54. Any person who wilfully fails to report the conveyance of cash into or out of the Republic in accordance with section 30(1), is guilty of an offence.</t>
  </si>
  <si>
    <t>55</t>
  </si>
  <si>
    <t>A person referred to in rsection 30(2) who fails to send a report regarding the</t>
  </si>
  <si>
    <t>Failure to send cash conveyance reports is an offence.</t>
  </si>
  <si>
    <t>Failure to send cash conveyance reports to Centre is subject to criminal penalties.</t>
  </si>
  <si>
    <t>[Must] A person referred to in section 30(2) who fails to send a report regarding the conveyance of cash to the Centre in accordance with that section is guilty of an offence</t>
  </si>
  <si>
    <t>55. A person referred to in section 30(2) who fails to send a report regarding the conveyance of cash to the Centre in accordance with that section, is guilty of an offence.</t>
  </si>
  <si>
    <t>57</t>
  </si>
  <si>
    <t>An  accountable institution, reporting, institution or  any other person that fails to</t>
  </si>
  <si>
    <t>Enforcement</t>
  </si>
  <si>
    <t>Centre</t>
  </si>
  <si>
    <t>Accountable institutions failing to comply with Centre's requests are guilty of an offence.</t>
  </si>
  <si>
    <t>Offence for non-compliance with Centre's requests; requires adherence to Centre's directives.</t>
  </si>
  <si>
    <t>[Must] comply with a request made by Centre or investigating authority acting under authority of an authorised office in terms of section 32(2)</t>
  </si>
  <si>
    <t>An accountable institution, reporting, institution or any other person that fails to comply with a request made by Centre or an investigating authority acting under the authority of an authorised office in terms of section 32(2), is guilty of an offence.</t>
  </si>
  <si>
    <t>58</t>
  </si>
  <si>
    <t>An  accountable institution that fails 'to comply  with a  direction by the  Centre in</t>
  </si>
  <si>
    <t>Accountable institutions failing to comply with Centre's directions are guilty of an offence.</t>
  </si>
  <si>
    <t>Offence for non-compliance with Centre's directions; requires adherence to Centre's directives.</t>
  </si>
  <si>
    <t>[Must] comply with a direction by Centre in terms of section 34(1)</t>
  </si>
  <si>
    <t>An accountable institution that fails to comply with a direction by Centre in terms of section 34(1), is guilty of an offence.</t>
  </si>
  <si>
    <t>60</t>
  </si>
  <si>
    <t>(1) Any  person who-</t>
  </si>
  <si>
    <t>Offences for disclosing, tampering with, or misusing Centre's confidential information.</t>
  </si>
  <si>
    <t>Offence for disclosing, tampering with, or misusing Centre's confidential information; requires adherence to Centre's information handling rules.</t>
  </si>
  <si>
    <t>[Must Not] disclose confidential information held by or obtained from Centre
[Must Not] wilfully destroy or tamper with information kept by Centre
[Must Not] use information obtained from Centre otherwise than in accordance with section 40</t>
  </si>
  <si>
    <t>Any person who discloses confidential information held by or obtained from Centre; wilfully destroys or tampers with information kept by Centre; or uses information obtained from Centre otherwise than in accordance with section 40, is guilty of an offence.</t>
  </si>
  <si>
    <t>62</t>
  </si>
  <si>
    <t>An accountable institution that fails to-</t>
  </si>
  <si>
    <t>17</t>
  </si>
  <si>
    <t>Accountable institutions failing to provide training or appoint compliance officers are guilty of an offence.</t>
  </si>
  <si>
    <t>Offence for failing to provide employee training or appoint compliance officers; requires adherence to training and compliance officer requirements.</t>
  </si>
  <si>
    <t>[Must] provide training to employees in accordance with section 43(a)
[Must] appoint the person referred to in section 43(b)</t>
  </si>
  <si>
    <t>An accountable institution that fails to provide training to its employees in accordance with section 43(a); or appoint the person referred to in section 43(b), is guilty of an offence.</t>
  </si>
  <si>
    <t>63</t>
  </si>
  <si>
    <t>Any  person who obstructs, hinders  or  threatens  an official or  representative of the</t>
  </si>
  <si>
    <t>Obstructing Centre officials in performing duties is an offence.</t>
  </si>
  <si>
    <t>Offence for obstructing Centre officials; requires non-obstruction of Centre officials' duties.</t>
  </si>
  <si>
    <t>[Must Not] obstruct, hinder or threaten Centre officials in performance of duties</t>
  </si>
  <si>
    <t>Any person who obstructs, hinders or threatens Centre officials in the performance of their duties or exercise of powers in terms of this Act, is guilty of an offence.</t>
  </si>
  <si>
    <t>64</t>
  </si>
  <si>
    <t>Any  person who  conducts, or causes  to  be  conducted,  two or more transactions</t>
  </si>
  <si>
    <t>Conducting transactions to avoid reporting duties is an offence.</t>
  </si>
  <si>
    <t>Offence for conducting transactions to avoid reporting duties; requires full reporting of transactions.</t>
  </si>
  <si>
    <t>[Must Not] conduct two or more transactions with purpose to avoid reporting duty under Act</t>
  </si>
  <si>
    <t>Any person who conducts, or causes to be conducted, two or more transactions with the purpose, in whole or in part, of avoiding giving rise to a reporting duty under this Act, is guilty of an offence.</t>
  </si>
  <si>
    <t>66</t>
  </si>
  <si>
    <t>Any  person who, without  authority ':o do so, wilfully causes  a computer  system</t>
  </si>
  <si>
    <t>Unauthorised modification of Centre's computer systems is an offence.</t>
  </si>
  <si>
    <t>Offence for unauthorised modification of Centre's computer systems; requires adherence to system integrity.</t>
  </si>
  <si>
    <t>[Must Not] without authority to do so, wilfully causes Centre's computer system to be modified, destroyed, erased or operation impaired</t>
  </si>
  <si>
    <t>Any person who, without authority to do so, wilfully causes Centre's computer system to be modified, destroyed, erased or operation impaired, is guilty of an offence.</t>
  </si>
  <si>
    <t>67</t>
  </si>
  <si>
    <t>For the purposes of sections 65 and 66-</t>
  </si>
  <si>
    <t>Defines key terms for computer systems and data handling.</t>
  </si>
  <si>
    <t>Defines terms like 'access', 'application', 'computer system', and 'data' for compliance purposes.</t>
  </si>
  <si>
    <t>For the purposes of sections 65 and 66: 'access' means rendering application or data in a form that enables a person to take account of it; 'application' means set of instructions for computer system; 'computer system' means electronic data processing device; 'data' means representation of information capable of being processed in a computer system.</t>
  </si>
  <si>
    <t>68</t>
  </si>
  <si>
    <t>(1) A person convicted of an offence mentioned in this Chapter, other than an</t>
  </si>
  <si>
    <t>Penalties for offences under this Act, including imprisonment and fines.</t>
  </si>
  <si>
    <t>Penalties for non-compliance: imprisonment up to 15 years or fine up to R10 million for most offences; specific penalties for certain offences.</t>
  </si>
  <si>
    <t>[Must] liable to imprisonment for a period not exceeding 15 years or fine not exceeding R10,000,000</t>
  </si>
  <si>
    <t>A person convicted of an offence mentioned in this Chapter, other than an offence mentioned in subsection (2), is liable to imprisonment for a period not exceeding 15 years or to a fine not exceeding R10,000,000.</t>
  </si>
  <si>
    <t>69</t>
  </si>
  <si>
    <t>If a person who is an employee, director or trustee</t>
  </si>
  <si>
    <t>18–19</t>
  </si>
  <si>
    <t>Defences for employees, directors, or trustees of accountable institutions charged with offences.</t>
  </si>
  <si>
    <t>Defences for employees/directors/trustees: compliance with internal rules, reporting to responsible person, or reporting to superior.</t>
  </si>
  <si>
    <t>[Must] had complied with applicable obligations in internal rules relating to reporting of information
[Must] reported the matter to the person charged with responsibility for compliance
[Must] reported the matter to superior if applicable</t>
  </si>
  <si>
    <t>If a person who is an employee, director or trustee of an accountable institution is charged with committing an offence under section 52, that person may raise as a defence the fact that he or she had complied with applicable obligations in internal rules relating to reporting of information; or reported the matter to the person charged with responsibility for compliance; or reported the matter to superior if applicable.</t>
  </si>
  <si>
    <t>70</t>
  </si>
  <si>
    <t>t(1) A  police official or person authorised by the  Minister  to  receive  a  report  under</t>
  </si>
  <si>
    <t>Police</t>
  </si>
  <si>
    <t>Search, seizure, and forfeiture of cash related to financial intelligence.</t>
  </si>
  <si>
    <t>Procedures for searching, seizing, and forfeiting cash suspected of being involved in money laundering.</t>
  </si>
  <si>
    <t>[Must] search any person, container or other thing in which cash is suspected to be found
[Must] seize any cash suspected to be involved in money laundering
[Must] return seized cash to person within 90 days unless specific conditions apply</t>
  </si>
  <si>
    <t>A police official or person authorised by the Minister to receive a report under section 30(1), who has reasonable grounds to suspect that an offence under section 54 has been or is about to be committed, may search any person, container or other thing in which cash is suspected to be found.</t>
  </si>
  <si>
    <t>71</t>
  </si>
  <si>
    <t>(1) A  regional court has  penal jurisdiction  to  impose any  penalty  mentioned in</t>
  </si>
  <si>
    <t>Courts</t>
  </si>
  <si>
    <t>Courts have jurisdiction to impose penalties and forfeiture orders.</t>
  </si>
  <si>
    <t>Courts have jurisdiction to impose penalties and forfeiture orders even if amounts exceed their jurisdictional limits.</t>
  </si>
  <si>
    <t>[Must] regional court has penal jurisdiction to impose penalties mentioned in section 68(1)
[Must] magistrate's court has penal jurisdiction to impose penalties mentioned in section 68(2)
[Must] magistrate's court or regional court has jurisdiction to make forfeiture orders</t>
  </si>
  <si>
    <t>A regional court has penal jurisdiction to impose any penalty mentioned in section 68(1), even though that penalty may exceed the penal jurisdiction of that court.</t>
  </si>
  <si>
    <t>(1) The Minister may, after consulting the Council and the Centre, and on</t>
  </si>
  <si>
    <t>21</t>
  </si>
  <si>
    <t>72</t>
  </si>
  <si>
    <t>This Act does not detract from-</t>
  </si>
  <si>
    <t>Exemptions</t>
  </si>
  <si>
    <t>Amendments to the list of accountable institutions by the Minister.</t>
  </si>
  <si>
    <t>Minister may amend list of accountable institutions by Gazette notice after consulting Council and Centre.</t>
  </si>
  <si>
    <t>[Must] amend list of accountable institutions in Schedule 1 by notice in Gazette</t>
  </si>
  <si>
    <t>The Minister may, by notice in the Gazette, amend the list of accountable institutions in Schedule 1 to add, delete, or make technical changes to the list after consulting Council and Centre.</t>
  </si>
  <si>
    <t>75</t>
  </si>
  <si>
    <t>(1) The Minister may, by notice in the Gazette, amend the list of supervisory</t>
  </si>
  <si>
    <t>21–22</t>
  </si>
  <si>
    <t>76</t>
  </si>
  <si>
    <t>(1) The Minister may, by notice in the Gazette, amend the list of reporting</t>
  </si>
  <si>
    <t>Minister may amend reporting institutions list via Gazette notice with conditions for additions/deletions and parliamentary approval.</t>
  </si>
  <si>
    <t>[Must] Minister may amend list of reporting institutions by adding or deleting persons/categories
[Must] Minister must give 30 days' written notice to affected person for single case
[Must] Minister must give 60 days' written notice to category of persons for group cases
[Must] Amendments must be approved by Parliament before Gazette publication</t>
  </si>
  <si>
    <t>76. (1) The Minister may, by notice in the Gazette, amend the list of reporting institutions in Schedule 3</t>
  </si>
  <si>
    <t>77</t>
  </si>
  <si>
    <t>(1) The Minister, after consulting  the  Council and the Centre,  may  make,  repeal</t>
  </si>
  <si>
    <t>Minister may make/repeal/amend regulations after consulting Council and Centre, with specific provisions for different institutions and penalties.</t>
  </si>
  <si>
    <t>[May] Regulations may differ for different institutions or categories
[May] Regulations may be limited to specific institutions or categories
[May] Regulations may prescribe imprisonment up to 6 months or fine up to R100 000 for contraventions
[Must] Regulations must be reviewed by Council within two years of publication
[Must] Regulations must be tabled in Parliament before Gazette publication</t>
  </si>
  <si>
    <t>77. (1) The Minister, after consulting the Council and the Centre, may make, repeal and amend regulations concerning any matter</t>
  </si>
  <si>
    <t>78</t>
  </si>
  <si>
    <t>The  Minister, the  Centre or  an employee or representative of the Centre,  or  any</t>
  </si>
  <si>
    <t>Persons performing functions under the Act are not liable for actions taken in good faith.</t>
  </si>
  <si>
    <t>[Must Not] Persons performing functions under Act are not liable for actions taken in good faith</t>
  </si>
  <si>
    <t>78. The Minister, the Centre or an employee or representative of the Centre, or any other person performing a function or exercising a power in terms of this Act, is not liable for anything done in good faith in terms of or in furthering the objectives of this Act.</t>
  </si>
  <si>
    <t>80</t>
  </si>
  <si>
    <t>The footnotes in this Act have been  inserted only  for  ease of reference to relevant  25</t>
  </si>
  <si>
    <t>Footnotes in the Act are for reference only and do not have legal force.</t>
  </si>
  <si>
    <t>80. The footnotes in this Act have been inserted only for ease of reference to relevant provisions of the Prevention Act. They are not part of this Act. They do not have the force of law.</t>
  </si>
  <si>
    <t>81</t>
  </si>
  <si>
    <t>(1) Until the date refened to in section 82(2), the person designated for the</t>
  </si>
  <si>
    <t>Designated persons continue to hold office until section 82(2) date, with transitional provisions for pending cases.</t>
  </si>
  <si>
    <t>[Must] Designated persons continue to hold office as if Act had not been passed
[Must] Pending proceedings under Prevention Act must be dealt with as if Act had not been passed</t>
  </si>
  <si>
    <t>81. (1) Until the date referred to in section 82(2), the person designated for the purposes of section 7 of the Prevention Act will be deemed to have been duly designated and will continue to hold office as if this Act had not been passed.</t>
  </si>
  <si>
    <t>82</t>
  </si>
  <si>
    <t>(1) This Act is called the Financial Intelligence  Centre  Act, 2001, and  takes effect</t>
  </si>
  <si>
    <t>President</t>
  </si>
  <si>
    <t>Act takes effect on date fixed by President, with specific transitional provisions for sections.</t>
  </si>
  <si>
    <t>[Must] Act takes effect on date fixed by President by proclamation
[Must] Section 79 does not take effect before section 29 takes effect
[Must] Section 21(2) takes effect one year after section 21(1) takes effect</t>
  </si>
  <si>
    <t>82. (1) This Act is called the Financial Intelligence Centre Act, 2001, and takes effect on a date fixed by the President by proclamation in the Gazette.</t>
  </si>
  <si>
    <t>161</t>
  </si>
  <si>
    <t>An  accountable institution that fails to-</t>
  </si>
  <si>
    <t>Accountable institutions failing to implement internal rules are guilty of an offence.</t>
  </si>
  <si>
    <t>Offence for failing to formulate and implement internal rules; requires adherence to internal rules for compliance.</t>
  </si>
  <si>
    <t>[Must] formulate and implement internal rules in accordance with section 42(1)
[Must] make internal rules available to employees in accordance with section 42(3)
[Must] make a copy of internal rules available to Centre or supervisory body in accordance with section 42(4)</t>
  </si>
  <si>
    <t>An accountable institution that fails to formulate and implement internal rules in accordance with section 42(1) and make internal rules available to employees in accordance with section 42(3); or make a copy of internal rules available to Centre or supervisory body in accordance with section 42(4), is guilty of an offence.</t>
  </si>
  <si>
    <t>391</t>
  </si>
  <si>
    <t>A certificate issued by an official  of the  Centre that information specified in the</t>
  </si>
  <si>
    <t>Certificate from Centre is admissible as evidence in court for reported money laundering transactions.</t>
  </si>
  <si>
    <t>Centre's certificates for reported transactions are admissible evidence in legal proceedings.</t>
  </si>
  <si>
    <t>[Must] Certificate issued by Centre that information was reported or sent to Centre in terms of sections 28, 29, 30(2) or 31 is admissible as evidence in court</t>
  </si>
  <si>
    <t>391. A certificate issued by an official of the Centre that information specified in the certificate was reported or sent to the Centre in terms of section 28, 29, 30(2) or 31 is, subject to section 38(3), on its mere production in a matter before a court admissible as evidence...</t>
  </si>
  <si>
    <t>615</t>
  </si>
  <si>
    <t>(1) Any person  who,  without authority to do so, wilfully  accesses  or causes any 35</t>
  </si>
  <si>
    <t>17–18</t>
  </si>
  <si>
    <t>Unauthorised access to Centre's computer systems is an offence.</t>
  </si>
  <si>
    <t>Offence for unauthorised access to Centre's computer systems; requires adherence to access controls.</t>
  </si>
  <si>
    <t>[Must Not] without authority to do so, wilfully accesses or causes any person to access Centre's computer system</t>
  </si>
  <si>
    <t>Any person who, without authority to do so, wilfully accesses or causes any other person to access Centre's computer system, is guilty of an offence.</t>
  </si>
  <si>
    <t>Financial Advisory and Intermediary Services Act (FAIS) 37 of 2002</t>
  </si>
  <si>
    <t>(1) In this  Act,  unless the context  indicates otherwise-</t>
  </si>
  <si>
    <t>4–7</t>
  </si>
  <si>
    <t>Defines key terms including 'advice', 'financial product', 'financial services provider', and related concepts for regulatory purposes.</t>
  </si>
  <si>
    <t>[Must] In this Act, unless the context indicates otherwise</t>
  </si>
  <si>
    <t>1. (1) In this Act, unless the context indicates otherwise-</t>
  </si>
  <si>
    <t>The amendment of section 4</t>
  </si>
  <si>
    <t>Amends section 10 by substituting paragraphs for stock-brokers and financial instrument traders.</t>
  </si>
  <si>
    <t>[Must] any stock-broker as defined in section 1 of the Stock Exchanges Control Act, 1985 [or any person contemplated in paragraph (d), (e) or (f) of section 4(1) of that Act]
[Must] any financial instrument trader as defined in section 1 of the Financial Markets Control Act, 1989 [or any person contemplated in paragraph (n), (w) or (h) of section 5(1) of that Act]</t>
  </si>
  <si>
    <t>1. The amendment of section 10 by the substitution in subsection (3) for paragraphs (a) and (b) of the following paragraphs: "(a) any stock-broker as defined in section 1 of the Stock Exchanges Control Act, 1985 [or any person contemplated in paragraph (d), (e) or (f) of section 4(1) of that Act]; or (b) any financial instrument trader as defined in section 1 of the Financial Markets Control Act, 1989 (Act 5 of 1989) [or any person contemplated in paragraph (n), (w) or (h) of section 5(1) of that Act]."</t>
  </si>
  <si>
    <t>The  amendment of section 5-</t>
  </si>
  <si>
    <t>The amendment of section 10</t>
  </si>
  <si>
    <t>The executive  officer  and  deputy executive officer of the  Board  are  respectively  the</t>
  </si>
  <si>
    <t>Designates the registrar and deputy registrar as the executive and deputy executive officers of the Board.</t>
  </si>
  <si>
    <t>[Must] The executive officer and deputy executive officer of the Board are respectively the registrar and deputy registrar of financial services providers</t>
  </si>
  <si>
    <t>2. The executive officer and deputy executive officer of the Board are respectively the registrar and deputy registrar of financial services providers</t>
  </si>
  <si>
    <t>The amendment of section 12</t>
  </si>
  <si>
    <t>30–31</t>
  </si>
  <si>
    <t>Amends section 12 by substituting a paragraph that members must carry on business in accordance with rules and may not effect transactions with persons requiring authorization without verification.</t>
  </si>
  <si>
    <t>[Must] a member carries on a business contemplated in section 4(1) in accordance with the provisions of the rules
[Must Not] a member may not effect a transaction with a person whom the member reasonably believes requires authorisation as a financial services provider or the status of a representative in terms of the Financial Advisory and Intermediary Services Act, 2001, without having taken reasonable measures to ascertain that such person has the required authorisation or status</t>
  </si>
  <si>
    <t>2. The amendment of section 12 by the substitution for paragraph (d) of subsection (1) of the following paragraph: "(d) that a member carries on a business contemplated in section 4(1) in accordance with the provisions of the rules; and a member may not effect a transaction with a person whom the member reasonably believes requires authorisation as a financial services provider or the status of a representative in terms of the Financial Advisory and Intermediary Services Act, 2001, without having taken reasonable measures to ascertain that such person has the required authorisation or status."</t>
  </si>
  <si>
    <t>The amendment of sectior</t>
  </si>
  <si>
    <t>The  amendment  of section 211</t>
  </si>
  <si>
    <t>33–34</t>
  </si>
  <si>
    <t>(1) When anything is required or permitted to be done by the registrar in terms of</t>
  </si>
  <si>
    <t>Cross-border Transfer</t>
  </si>
  <si>
    <t>Registrar</t>
  </si>
  <si>
    <t>Regulates registrar's powers to extend periods, direct information furnishing, and handle misleading publications.</t>
  </si>
  <si>
    <t>[Must] When anything is required or permitted to be done by the registrar within a particular period, the registrar may extend it for any sufficient cause
[Must] The registrar may direct an authorised financial services provider or representative to furnish specified information or documents
[Must] If any advertisement, brochure or similar document is misleading, the registrar may direct cessation of publication or changes
[Must] If a person is contravening or failing to comply with the Act, the registrar may direct furnishing information, appearing before the registrar, or making arrangements for obligations
[Must] If significant prejudice or damage to clients has occurred, the registrar may apply to a Court for an order restraining business
[Must] If prejudice or damage may have occurred to a client, the registrar may refer the matter to the Office</t>
  </si>
  <si>
    <t>4. (1) When anything is required or permitted to be done by the registrar in terms of this Act within a particular period, the registrar may on application or on own initiative before the expiry of that period, extend it for any sufficient cause.</t>
  </si>
  <si>
    <t>The  amendment</t>
  </si>
  <si>
    <t>31</t>
  </si>
  <si>
    <t>Amends section 45 by deleting specific subparagraphs and substituting wording related to financial exchanges and members.</t>
  </si>
  <si>
    <t>[Must] but who is carrying on the business of a stock exchange or of a member [or of a person requiring approval in terms of section 41 as the case may be]</t>
  </si>
  <si>
    <t>4. The amendment of section 45 by the deletion of subparagraph (iii) of paragraph (a) of subsection (1); by the deletion of the word "or" at the end of subparagraph (ii) of paragraph (b) of subsection (1), and of subparagraph (iii) of the said paragraph (b); and by the substitution for the words following on subparagraph (iii) of paragraph (b) of subsection (1) of the following words: "but who is carrying on the business of a stock exchange or of a member [or of a person requiring approval in terms of section 41 as the case may be; and".</t>
  </si>
  <si>
    <t>The amendment of section</t>
  </si>
  <si>
    <t>( 1 ) There is an Advisory Committee  on Financial  Services  Providers which may on</t>
  </si>
  <si>
    <t>Advisory Committee on Financial Services Providers may investigate and report on matters relating to financial services providers, consisting of chairperson, members including medical schemes representative, product suppliers, providers, and clients. Members appointed by Minister after consultation with Board.</t>
  </si>
  <si>
    <t>[Must] Advisory Committee may investigate and report on matters relating to financial services providers
[Must] Advisory Committee consists of chairperson and members including medical schemes representative, product suppliers, financial services providers and clients
[Must] Registrar is a member of Advisory Committee without voting power
[Must] Members hold office for period determined by Minister
[Must] Non-state employees must be paid remuneration and allowances
[Must] Advisory Committee may meet or arrange for performance of functions
[Must] Registrar may submit relevant information to Advisory Committee
[Must] Advisory Committee may call assistance to investigate matters
[Must] Registrar responsible for administrative work
[Must] Expenditure must be paid from Board funds with approval</t>
  </si>
  <si>
    <t>5. (1) There is an Advisory Committee on Financial Services Providers which may on its own initiative, or must at the request of the Minister or the registrar, investigate and report or advise on any matter relating to financial services providers.</t>
  </si>
  <si>
    <t>( 11 The  Minister may, on  such  conditions as  the Minister may determine (which the</t>
  </si>
  <si>
    <t>Minister, Board, Registrar</t>
  </si>
  <si>
    <t>Minister, Board and registrar may delegate powers to others with conditions, including to National Treasury, other officials, or registrar. Delegations may be amended or withdrawn at any time.</t>
  </si>
  <si>
    <t>[May] Minister may delegate powers to National Treasury, other officials, or registrar with conditions
[May] Board may delegate powers to chairperson, members, or registrar with conditions
[May] Registrar may delegate powers to other Board members, appointed persons, or recognized bodies
[May] Delegations may be amended or withdrawn at any time</t>
  </si>
  <si>
    <t>6. (11) The Minister may, on such conditions as the Minister may determine (which the Minister may at any time thereafter amend or withdraw). delegate any power conferred upon the Minister by this Act, excluding the power to make regulations under section 35.</t>
  </si>
  <si>
    <t>The amendment of section 48</t>
  </si>
  <si>
    <t>31–32</t>
  </si>
  <si>
    <t>Amends section 48 by substituting a paragraph that contravenes specific sections of the Act.</t>
  </si>
  <si>
    <t>[Must Not] contravenes a provision of section 3(1) or (2), 4(1)[or (2)] or 14</t>
  </si>
  <si>
    <t>6. The amendment of section 48 by the substitution for paragraph (a) of subsection (1) of the following paragraph: "(a) contravenes a provision of section 3(1) or (2), 4(1)[or (2)] or 14;".</t>
  </si>
  <si>
    <t>34–35</t>
  </si>
  <si>
    <t>(1 ) With effect from  a date  determined by the  Minister by notice in the Guzerte. a</t>
  </si>
  <si>
    <t>A person may not act as a financial services provider without being issued a licence under section 8. Transactions concluded after the effective date must be between authorized providers and clients.</t>
  </si>
  <si>
    <t>[Must Not] Person may not act as financial services provider without licence under section 8</t>
  </si>
  <si>
    <t>7. (1) With effect from a date determined by the Minister by notice in the Gazette, a person may not act or offer to act as a financial services provider unless such person has been issued with a licence under section 8.</t>
  </si>
  <si>
    <t>The substitution of the follow-</t>
  </si>
  <si>
    <t>Substitutes the heading and subsection for section 50 to define court powers to declare members, officers, or employees disqualified.</t>
  </si>
  <si>
    <t>7. The substitution of the following heading and subsection for the leading and subsection (1) of section 50: "Powers of court to declare member, officer or employee of member disqualified"</t>
  </si>
  <si>
    <t>(1) An application for an authorisation referred to in section 7( 1). including an</t>
  </si>
  <si>
    <t>11–13</t>
  </si>
  <si>
    <t>Applications for authorization must be submitted to registrar with information to satisfy fit and proper requirements, including personal character, competence, financial soundness. Registrar may impose conditions on licenses.</t>
  </si>
  <si>
    <t>[Must] Applications for authorization must be submitted to registrar with information to satisfy fit and proper requirements
[May] Registrar may impose conditions on licenses based on applicant facts, service category, and fit and proper requirements</t>
  </si>
  <si>
    <t>8. (1) An application for an authorisation referred to in section 7(1), including an application by an applicant not domiciled in the Republic, must be submitted to the registrar in the form and manner determined by the registrar by notice in the Gazette, and be accompanied by information to satisfy the registrar that the applicant complies with the requirements for fit and proper financial services providers or categories of providers.</t>
  </si>
  <si>
    <t>The substitution of the follow.</t>
  </si>
  <si>
    <t>35–36</t>
  </si>
  <si>
    <t>Substitutes the heading and subsection for section 31 to define court powers to declare members, officers, or employees disqualified.</t>
  </si>
  <si>
    <t>8. The substitution of the following heading and subsection for the heading and subsection (1) of section 31: "Power of court to declare member or officer or employee of member disqualified"</t>
  </si>
  <si>
    <t>(1 ) The registrar may, subject to subsection (2), at  any  time  suspend  any  licence if</t>
  </si>
  <si>
    <t>Registrar may suspend a license if licensee no longer meets requirements, after informing licensee and giving opportunity to respond. Suspension may be provisional or final.</t>
  </si>
  <si>
    <t>[May] Registrar may suspend license if licensee no longer meets requirements
[Must] Registrar must inform licensee of intention to suspend and grounds
[Must] Registrar must give licensee reasonable opportunity to respond</t>
  </si>
  <si>
    <t>9. (1) The registrar may, subject to subsection (2), at any time suspend any licence if satisfied on the basis of available facts and information, that the licensee no longer meets the requirements contemplated in section 8</t>
  </si>
  <si>
    <t>(1 ) The registrar may at any  time  withdraw  any licence  (including the licence of</t>
  </si>
  <si>
    <t>Registrar may withdraw a license if licensee provided false information or failed to comply with the Act in a material manner. Withdrawn licenses are debarred from reapplying for a period specified by registrar.</t>
  </si>
  <si>
    <t>[May] Registrar may withdraw license if licensee provided false information or failed to comply with Act in material manner
[Must] Person whose license has been withdrawn is debarred from applying for new license for period specified by registrar</t>
  </si>
  <si>
    <t>10. (1) The registrar may at any time withdraw any licence (including the licence of a licensee under provisional or final suspension in terms of section 9), if satisfied on the basis of available facts and information that the licensee- (a) did not, when applying for the licence, make a full disclosure of all relevant information to the registrar, or furnished false or misleading information; or (b) has since such issue contravened or failed to comply with any provision of this Act in a material manner.</t>
  </si>
  <si>
    <t>( I ) A  licence lapses--</t>
  </si>
  <si>
    <t>A license lapses if the licensee becomes permanently incapable of business due to physical/mental disease, serious injury, death, sequestration, dissolution, or voluntary surrender.</t>
  </si>
  <si>
    <t>[Must] A license lapses where the licensee (natural person) becomes permanently incapable of business due to physical/mental disease, serious injury, death, or sequestration
[Must] A license lapses where the licensee (other person) is finally liquidated or dissolved
[Must] A license lapses where the business becomes dormant
[Must] A license lapses where the licensee voluntarily surrenders the license</t>
  </si>
  <si>
    <t>11. (I) A licence lapses-- (la) where the licensee, being a natural person- (i) becomes permanently incapable of carrying on any business due to physical or mental disease or serious injury; (ii) is finally sequestrated; or (iii) dies; (b) where the licensee, being any other person, is finally liquidated or dissolved: (ci where the business of the licensee has become dormant: and (d) in any other case, where the licensee voluntarily and finally surrenders the licence to the registrar.</t>
  </si>
  <si>
    <t>Definitions  and  application</t>
  </si>
  <si>
    <t>Defines terms and applies to the Act's administration and authorization of financial services providers.</t>
  </si>
  <si>
    <t>12. Definitions and application</t>
  </si>
  <si>
    <t>( 1) The registrar may exempt a  product  supplier  who is authorised or approved</t>
  </si>
  <si>
    <t>registrar</t>
  </si>
  <si>
    <t>Regulator may exempt product suppliers from submitting some or all information required for authorization, provided they apply for exemption and comply with registrar's requirements.</t>
  </si>
  <si>
    <t>[May] Regulator may exempt product suppliers from submitting some or all information required for authorization</t>
  </si>
  <si>
    <t>12. (1) The registrar may exempt a product supplier who is authorised or approved under a particular law to conduct business as a financial institution and who is required to apply for authorisation under section 8, from submitting some or all of the information otherwise required from an applicant: Provided that the product supplier- (a) applies for exemption when submitting the application: and (b) complies with the requirements of the registrar with regard to information still supplementary to, but separate from, the supplier's authorisation or approval under a particular law as a financial institution.</t>
  </si>
  <si>
    <t>(1) An authorised financial services  provider  must ensure that any  representative</t>
  </si>
  <si>
    <t>authorised financial services provider</t>
  </si>
  <si>
    <t>Representatives who no longer comply with requirements must be prohibited from rendering services, removed from the register, and any unconcluded business must be properly concluded.</t>
  </si>
  <si>
    <t>Requires debarment of representatives who no longer comply with requirements, removal from register, and proper conclusion of unconcluded business.</t>
  </si>
  <si>
    <t>[Must] Representatives who no longer comply with requirements must be prohibited from rendering services and have their names removed from the register
[Must] The provider must ensure debarment does not prejudice client interests and properly conclude any unconcluded business</t>
  </si>
  <si>
    <t>14. (1) An authorised financial services provider must ensure that any representative of the provider who no longer complies with the requirements referred to in section 13(2)(a) is prohibited by such provider from rendering any new financial service by withdrawing any authority to act on behalf of the provider, and that the representative's name, and the names of the key individuals of the representative, are removed from the register referred to in section 13(3): Provided that any such provider must immediately take steps to ensure that the debarment does not prejudice the interests of clients of the representative, and that any unconcluded business of the representative is properly concluded.</t>
  </si>
  <si>
    <t>(1) (a) The registrar  must, after consultation with the Advisory  Committee and</t>
  </si>
  <si>
    <t>Regulator must draft, publish, and enforce codes of conduct for financial services providers and representatives, including specific codes for deposit-related services.</t>
  </si>
  <si>
    <t>Requires regulator to draft, publish, and enforce codes of conduct for financial services providers and representatives, including specific codes for deposit-related services.</t>
  </si>
  <si>
    <t>[Must] Regulator must draft a code of conduct for authorized financial services providers after consultation with Advisory Committee and industry bodies
[Must] Code of conduct must be published by notice in the Gazette and become binding on all authorized providers and representatives
[May] Different codes of conduct may be drafted for different categories of providers and representatives
[Must] A code of conduct must be drafted for deposit-related services with a term not exceeding 12 months</t>
  </si>
  <si>
    <t>15. (1) (a) The registrar must, after consultation with the Advisory Committee and with representative bodies of the financial services industry and client and consumer bodies determined by the Advisory Committee, draft a code of conduct for authorized financial services providers. (b) The code must, after consultation, be published by notice in the Gazette and, on any such publication, become binding on all authorized financial services providers and representatives referred to therein.</t>
  </si>
  <si>
    <t>( 1 ) A code of conduct must  be  drafted  in such a manner as to  ensure that the clients</t>
  </si>
  <si>
    <t>Code of conduct must ensure clients can make informed decisions, have their financial needs satisfied, and comply with statutory and common law requirements.</t>
  </si>
  <si>
    <t>[Must] Code of conduct must ensure clients can make informed decisions, have their reasonable financial needs satisfied, and authorized providers must act honestly and fairly
[Must] Code of conduct must include provisions for adequate disclosures, record-keeping, avoidance of fraudulent advertising, safe-keeping of funds, and professional indemnity insurance</t>
  </si>
  <si>
    <t>16. (1) A code of conduct must be drafted in such a manner as to ensure that the clients being rendered financial services will be able to make informed decisions, that their reasonable financial needs regarding financial products will be appropriately and suitably satisfied and that for those purposes authorized financial services providers and their representatives are obliged by the provisions of such code to - (a) act honestly and fairly, and with due skill, care and diligence, in the interests of clients and the integrity of the financial services industry; (b) have and employ effectively the resources, procedures and appropriate technological systems for the proper performance of professional activities; (c) seek from clients appropriate and available information regarding their financial situations, financial product experience and objectives in connection with the financial service required; (d) act with circumspection and treat clients fairly in a situation of conflicting interests; and (e) comply with all applicable statutory or common law requirements applicable to the conduct of business.</t>
  </si>
  <si>
    <t>( I ) (a) Any authorised financial services provider</t>
  </si>
  <si>
    <t>Authorized providers must appoint compliance officers to monitor compliance with the Act, submit reports to the registrar, and maintain procedures for compliance.</t>
  </si>
  <si>
    <t>Requires appointment of compliance officers to monitor compliance, submit reports to registrar, and maintain procedures for compliance.</t>
  </si>
  <si>
    <t>[Must] Authorized providers with more than one key individual or representative must appoint one or more compliance officers to monitor compliance with the Act
[Must] Compliance officers must be approved by the registrar in accordance with criteria and guidelines determined by the Advisory Committee
[Must] Authorized providers must establish and maintain procedures to ensure compliance with the Act
[Must] Compliance officers must submit reports to the registrar in the manner and as determined by the registrar</t>
  </si>
  <si>
    <t>17. (1) (a) Any authorized financial services provider with more than one key individual or one or more representatives must, subject to section 35(1)(c), appoint one or more compliance officers to monitor compliance with this Act by the provider and such representative or representatives, particularly in accordance with the procedures contemplated in subsection (3), and to take responsibility for liaison with the registrar. (b) Such person may be a director, member, auditor, trustee, principal officer, public officer or company secretary of any such provider, or any other person with suitable qualifications and experience determined by the registrar by notice in the Gazette, after consultation with the Advisory Committee. (c) The provisions of section 19(5) and (6), relating to an auditor of an authorized financial services provider, apply with the necessary changes to a compliance officer. (2) A compliance officer must be approved by the registrar in accordance with the criteria and guidelines determined by the Advisory Committee. (3) An authorized financial services provider must establish and maintain procedures to be followed by the provider and any representative concerned in order to ensure compliance with this Act. (4) An authorized financial services provider who carries on a business with only one key individual or without any representative must submit reports to the registrar in the manner and as from time to time determined by the registrar by notice in the Gazette for different categories of compliance officers, after consultation with the Advisory Committee.</t>
  </si>
  <si>
    <t>An authorised  financial  services  provider  must,  except to the extent exempted by</t>
  </si>
  <si>
    <t>Providers must maintain records for five years regarding premature cancellations, complaints, compliance, non-compliance, and representative compliance.</t>
  </si>
  <si>
    <t>Requires providers to maintain records for five years regarding premature cancellations, complaints, compliance, non-compliance, and representative compliance.</t>
  </si>
  <si>
    <t>[Must] Providers must maintain records for a minimum period of five years regarding known premature cancellations of transactions or financial products by clients
[Must] Providers must maintain records for a minimum period of five years regarding complaints received and whether resolved
[Must] Providers must maintain records for a minimum period of five years regarding continued compliance with requirements
[Must] Providers must maintain records for a minimum period of five years regarding cases of non-compliance with the Act and reasons for non-compliance
[Must] Providers must maintain records for a minimum period of five years regarding continued compliance by representatives with requirements</t>
  </si>
  <si>
    <t>18. An authorized financial services provider must, except to the extent exempted by the registrar, maintain records for a minimum period of five years regarding- (a) known premature cancellations of transactions or financial products by clients; (b) complaints received together with an indication whether or not any such complaint has been resolved; (c) the continued compliance with the requirements referred to in section 8; (d) cases of non-compliance with this Act, and the reasons for such non-compliance; and (e) the continued compliance by representatives with the requirements referred to in section 13(1) and (2).</t>
  </si>
  <si>
    <t>( I ) Except to the  extent exempted by the  registrar. an authorised financial services</t>
  </si>
  <si>
    <t>Providers must maintain full accounting records, prepare audited financial statements, and submit reports to the registrar.</t>
  </si>
  <si>
    <t>Requires providers to maintain full accounting records, prepare audited financial statements, and submit reports to the registrar.</t>
  </si>
  <si>
    <t>[Must] Providers must maintain full and proper accounting records on a continual basis, brought up to date monthly
[Must] Providers must annually prepare financial statements reflecting the financial position and results of operations
[Must] Financial statements must be audited and reported on by an external auditor approved by the registrar
[Must] Providers must submit to the registrar a report confirming the amount of money and assets held on behalf of clients
[Must] Providers must ensure that money and assets held on behalf of clients are kept separate from the provider's business</t>
  </si>
  <si>
    <t>19. (1) Except to the extent exempted by the registrar, an authorized financial services provider must, in respect of the business carried on by the provider as authorized under the provider's licence- (a) maintain full and proper accounting records on a continual basis, brought up to date monthly; and (b) annually prepare, in respect of the relevant financial year of the provider, financial statements reflecting, with suitable particulars, the financial position of the business as at the last day of the financial year in question, and the results of the operations and cash flow information for the period then ended. (2) (a) An authorized financial services provider must cause the statements referred to in subsection (1)(b) to be audited and reported on by an external auditor approved by the registrar, in order to produce- (i) an audited balance sheet, including such notes thereon or documents attached thereto as may be necessary; (ii) an audited income statement, including such notes thereon or documents attached thereto as may be necessary; and (iii) an audited statement of the source and application of funds. (4) The auditor of an authorized financial services provider must report to and inform the registrar in writing of any irregularity or suspected irregularity in the conduct or the affairs of the authorized financial services provider concerned of which the auditor became aware in performing functions as auditor and which, in the opinion of the auditor, is material.</t>
  </si>
  <si>
    <t>(1) There is an office to be known as the</t>
  </si>
  <si>
    <t>Board</t>
  </si>
  <si>
    <t>Office of the Ombud for Financial Services Providers must consider and dispose of complaints in a procedurally fair, informal, economical and expeditious manner.</t>
  </si>
  <si>
    <t>Ombud must consider and dispose of complaints in a procedurally fair, informal, economical and expeditious manner.</t>
  </si>
  <si>
    <t>[Must] Ombud must consider and dispose of complaints in a procedurally fair, informal, economical and expeditious manner</t>
  </si>
  <si>
    <t>20. (1) There is an office to be known as the Office of the Ombud for Financial Services Providers. (2) The functions of the Office are performed by the Ombud for Financial Services Providers. (3) The objective of the Ombud is to consider and dispose of complaints in a procedurally fair, informal, economical and expeditious manner and by reference to what is equitable in all the circumstances, with due regard to- (a) the contractual arrangement or other legal relationship between the complainant and any other party to the complaint; and (b) the provisions of this Act.</t>
  </si>
  <si>
    <t>(1) The  Board,  after  consultation with  the  Advisory  Committee-</t>
  </si>
  <si>
    <t>(1) The  funds of the Office consist of-</t>
  </si>
  <si>
    <t>Office funds must be sourced from Board-approved budget and other sources, deposited in a bank registered under Banks Act, 1990, and used for expenses with possible investment.</t>
  </si>
  <si>
    <t>[Must] funds provided by the Board on the basis of a budget submitted by the Ombud and approved by the latter
[Must] funds accruing to the Office from any other source
[Must] deposit all funds in an account opened with a bank registered under the Banks Act, 1990
[Must] utilise funds for defrayal of expenses incurred in performance of functions
[May] invest funds not required for immediate use</t>
  </si>
  <si>
    <t>22. (1) The funds of the Office consist of- (a) funds provided by the Board on the basis of a budget submitted by the Ombud and approved by the latter; and (b) funds accruing to the Office from any other source. (2) The Ombud must deposit all funds in an account opened with a bank registered under the Banks Act, 1990. (3) The Ombud must utilise such funds for the defrayal of expenses incurred in the performance of functions under this Act, and may invest funds which are not required for immediate use.</t>
  </si>
  <si>
    <t>(1) The  Ombud is the  accounting officer in respect of all funds  received  and all</t>
  </si>
  <si>
    <t>Auditor-General</t>
  </si>
  <si>
    <t>Ombud must maintain full financial records and prepare annual statements audited by Auditor-General within three months of financial year end.</t>
  </si>
  <si>
    <t>[Must] keep a full and correct record of all funds received and payments made, and all assets, liabilities and financial transactions
[Must] prepare annual financial statements within three months after financial year end
[Must] have records and financial statements audited by Auditor-General</t>
  </si>
  <si>
    <t>23. (1) The Ombud is the accounting officer in respect of all funds received and all payments made in respect of expenses incurred by the Office. (2) The Ombud as accounting officer must- (a) keep a full and correct record of all funds received and payments made and all assets, liabilities and financial transactions of the Office; (b) as soon as is practicable, but not later than three months after the end of every financial year, prepare annual financial statements reflecting, with appropriate particulars, all funds received and payments made during, and all such assets, liabilities and transactions at the end of, the relevant financial year. (3) The records and financial statements mentioned in subsection (2) must be audited by the Auditor-General.</t>
  </si>
  <si>
    <t>The  Ombud may for the performance of functions in the Office and as  a  charge</t>
  </si>
  <si>
    <t>Ombud may hire property, enter agreements, insure, employ staff, and do anything necessary for its functions.</t>
  </si>
  <si>
    <t>[May] hire, purchase or otherwise acquire property
[May] enter into agreements for performance of specific acts or services
[May] insure the Office against loss, damage, risk or liability
[May] employ persons to assist the Ombud, determine terms of appointment, and delegate administrative functions
[May] obtain professional advice as may reasonably be required
[May] do anything necessary or expedient for achievement of Ombud's objectives</t>
  </si>
  <si>
    <t>24. The Ombud may for the performance of functions in the Office and as a charge against or for the benefit of the funds of the Office, as the case may be- (a) hire, purchase or otherwise acquire property, and let, sell or otherwise dispose of property so purchased or acquired; (b) enter into an agreement with any person for the performance of any specific act or function or the rendering of specific services; (c) insure the Office against any loss, damage, risk or liability; (d) employ persons to assist the Ombud, determine their terms of appointment and, subject to such conditions as may be determined by the Ombud, delegate or assign to any such employee, including a deputy ombud, any administrative function vesting in the Ombud in terms of this Part; (e) obtain such professional advice as may reasonably be required: and (f) in general, do anything which is necessary or expedient for the achievement of the objective of the Ombud.</t>
  </si>
  <si>
    <t>(1) The Office may not be disestablished</t>
  </si>
  <si>
    <t>Parliament</t>
  </si>
  <si>
    <t>Office may not be disestablished or liquidated except by an Act of Parliament.</t>
  </si>
  <si>
    <t>[Must] Office may not be disestablished or liquidated except by an Act of Parliament</t>
  </si>
  <si>
    <t>25. (1) The Office may not be disestablished or liquidated except by an Act of Parliament. (2) In the event of any such disestablishment or liquidation, the surplus assets of the Office (if any) accrue to the Board.</t>
  </si>
  <si>
    <t>(1) The  Board may. after  consultation  with  the Advisory Committee.  make rules.</t>
  </si>
  <si>
    <t>Board may make rules regarding complaints, categories of complainants, complaint types, rights of complainants, and procedures.</t>
  </si>
  <si>
    <t>[May] Board may make rules including different rules for different categories of complaints
[Must] Board must ensure rules do not detract from Ombud's independence
[Must] Board must publish rules made under subsection (1) in the Gazette</t>
  </si>
  <si>
    <t>26. (1) The Board may, after consultation with the Advisory Committee, make rules including different rules in respect of different categories of complaints or investigations by the Ombud, regarding- any matter which is required or permitted under this Act to be regulated by rule; the category of persons qualifying as complainants; the type of complaint justiciable by the Ombud, including a complaint relating to a financial service rendered by a person not authorised as a financial services provider or a person acting on behalf of such first-mentioned person; the rights of complainants in connection with complaints, including the manner of submitting a complaint to the authorised financial services provider or representative concerned; the rights and duties of any such provider or representative on receipt of any complaint, particularly in connection with the furnishing of replies to the complainant; the rights of a complainant to submit a complaint to the Ombud where the complainant is not satisfied with any reply received from the provider or representative concerned; the circumstances under which a complaint may be dismissed without consideration of its merits; the power of the Ombud to fix a time limit for any aspect of the proceedings before the Ombud and to extend a time limit; payment to the Office by the authorised financial services provider or representative involved in any complaint submitted to the Ombud, of case fees in respect of the consideration of the complaint by the Ombud; (c) liaison between the Ombud and the registrar, and administrative duties of those functionaries regarding mutual administrative support, exchange of information and reports, other regular consultations and avoidance of overlapping of their respective functions; and (d) any other administrative or procedural matter necessary or expedient for the better achievement of the objects of this Part, but which is not inconsistent with a provision of this Act. (2) The Board must- (a) ensure that no rule made under subsection (1) detracts from or affects the independence of the Ombud in any material way; (b) publish rules made under subsection (1) in the Gazette.</t>
  </si>
  <si>
    <t>27</t>
  </si>
  <si>
    <t>(1 ) On submission of a complaint  to  the Office, the Ombud must-</t>
  </si>
  <si>
    <t>Ombud must determine complaint eligibility, suspend prescription, and follow specific procedures for investigations.</t>
  </si>
  <si>
    <t>[Must] determine whether complaint meets requirements of rules
[Must] official receipt of complaint suspends prescription for three years
[Must] decline to investigate complaints where act/omission occurred more than three years before complaint receipt
[Must] decline to investigate complaints where court proceedings have been instituted
[May] may determine complaint should be dealt with by court or other dispute resolution process
[Must] must not proceed with investigation unless all interested parties have been informed
[Must] must provide opportunity for response to complaint
[May] may follow procedures including mediation and allow legal representation
[Must] must explore reasonable prospect of resolving complaint by conciliation
[May] may make recommendations for conciliation with acceptance or rejection</t>
  </si>
  <si>
    <t>27. (1) On submission of a complaint to the Office, the Ombud must- (a) determine whether the requirements of the rules contemplated in section 26(1)(a)(iv) have been complied with; (b) otherwise officially receive the complaint if it qualifies as a complaint. (2) Official receipt of a complaint by the Ombud suspends the running of prescription in terms of the Prescription Act, 1969, for the period after such receipt of the complaint until the complaint has either been withdrawn, or determined by the Ombud or the board of appeal, as the case may be. (3) The following jurisdictional provisions apply to the Ombud in respect of the investigation of complaints: (a) (i) The Ombud must decline to investigate any complaint which relates to an act or omission which occurred on or after the date of commencement of this Act but on a date more than three years before the date of receipt of such complaint by the Office. (ii) Where the complainant was unaware of the occurrence of the act or omission contemplated in subparagraph (i), the period of three years commences from the date of the occurrence of the act or omission. (b) The Ombud must decline to investigate any complaint where court proceedings have been instituted. (4) The Ombud must not proceed with investigation unless all interested parties have been informed. (5) The Ombud must provide opportunity for response to complaint. (6) The Ombud may follow procedures including mediation and allow legal representation. (7) The Omb: must explore reasonable prospect of resolving complaint by conciliation.</t>
  </si>
  <si>
    <t>(1) The Ombud must in any case where a matter has not been settled or a</t>
  </si>
  <si>
    <t>Ombud must issue determinations, send copies to registrar and parties, and determinations are treated as court judgments.</t>
  </si>
  <si>
    <t>[Must] issue determinations with copies sent to registrar and parties
[Must] determinations are treated as civil judgments of a court
[Must] determinations are only appealable to board of appeal</t>
  </si>
  <si>
    <t>28. (1) The Ombud must issue determinations with copies sent to the registrar and all parties concerned with the complaint and, if no notice of appeal to the board of appeal has been lodged within the period required therefor, to the clerk or registrar of court which would have had jurisdiction in the matter had it been heard by a Court. (2) Where a notice of appeal has been lodged, the Ombud must send a copy of the final decision of the board of appeal to any such clerk or registrar. (3) A determination or a final decision of the board of appeal is regarded as a civil judgment of a Court, had the matter in question been heard by a Court, and must be so noted by the clerk or registrar, as the case may be, of that court. (4) A determination is only appealable to the board of appeal if the complexity of the matter or the reasonable likelihood that the board of appeal may reach a different conclusion.</t>
  </si>
  <si>
    <t>(1) The  Ombud must keep proper files and  records  in  respect of complaints as well</t>
  </si>
  <si>
    <t>Ombud must keep proper files and records of complaints and determinations, with access for registrar and fee-based public access.</t>
  </si>
  <si>
    <t>[Must] keep proper files and records of complaints and determinations
[Must] registrar has access to Ombud's files and records for performance of functions
[May] interested persons may obtain copies of records on payment of fee</t>
  </si>
  <si>
    <t>29. (1) The Ombud must keep proper files and records in respect of complaints as well as of any determination proceedings conducted in terms of section 28. (2) The registrar has, for the purposes of the performance of the registrar's functions under this or any other law, access to the Ombud's files and records and may without further proof rely on a copy of any record of proceedings signed by the Ombud. (3) Any interested person may, subject to the discretion of the Ombud and applicable rules of confidentiality, obtain a copy of any record on payment of a fee determined by the Ombud.</t>
  </si>
  <si>
    <t>(1) The  Ombud must during every year, within six months after the end of the</t>
  </si>
  <si>
    <t>Ombud must submit annual report to Board and Minister within six months after financial year end.</t>
  </si>
  <si>
    <t>[Must] submit annual report to Board within six months after financial year end
[Must] submit copy of report to Minister</t>
  </si>
  <si>
    <t>30. (1) The Ombud must during every year, within six months after the end of the financial year of the Ombud, submit a report to the Board on the affairs and functions of the Ombud during the financial year in question, including the annual financial statements referred to in section 23(2)(6). (2) The Ombud must at the same time submit a copy of the report to the Minister.</t>
  </si>
  <si>
    <t>A record  purporting to have</t>
  </si>
  <si>
    <t>Any person who-</t>
  </si>
  <si>
    <t>Contempt of court or interference with Ombud proceedings is an offence punishable by fine or imprisonment.</t>
  </si>
  <si>
    <t>[Guilty of offence] commit acts in respect of Ombud or investigations that would constitute contempt of court
[Guilty of offence] anticipate Ombud determination to influence it
[Guilty of offence] wilfully interrupt Ombud proceedings</t>
  </si>
  <si>
    <t>31. Any person who- (a) commits any act in respect of the Ombud or an investigation by the Ombud which, if committed in respect of a court of law, would have constituted contempt of court, is guilty of an offence and liable on conviction to any penalty which may be imposed on a conviction of contempt of court; or (b) anticipates a determination of the Ombud in any manner calculated to influence the determination, or wilfully interrupts any proceedings conducted by the Ombud, is guilty of an offence and liable on conviction to a fine or to imprisonment for a period not exceeding one year.</t>
  </si>
  <si>
    <t>(1) If a court-</t>
  </si>
  <si>
    <t>36–37</t>
  </si>
  <si>
    <t>Courts may declare members, officers, or employees disqualified for dishonest conduct in financial services.</t>
  </si>
  <si>
    <t>[Must] the court may declare that member, officer or employee of a member [or person] to be disqualified for an indefinite period or for a period specified by the court, from carrying on the business of a member or from being an officer or employee of a member</t>
  </si>
  <si>
    <t>31. (1) If a court convicts a member or officer or employee of a member [or a person approved in terms of section 51 of an offence under this Act or of an offence of which any dishonest act or omission is an element; or finds, in proceedings to which a member or officer or employee of a member [or a person approved in terms of section 51 or such person's officer or employee] is a party or in which such member's, officer's or employee's [or person's] conduct is called in question, that such member, officer or employee [or person] has been guilty of dishonest conduct, the court may (in addition, in a case referred to in paragraph (a) to any sentence it may impose) declare that member, officer or employee of a member [or person] to be disqualified for an indefinite period or for a period specified by the court, from carrying on the business of a member or from being an officer or employee of a member.</t>
  </si>
  <si>
    <t>CHAPTER VI</t>
  </si>
  <si>
    <t>Medium (minor interpretation)</t>
  </si>
  <si>
    <t>Ombud for Financial Services Providers</t>
  </si>
  <si>
    <t>Outlines enforcement mechanisms including ombud office, funding, accountability, and penalties for financial services providers.</t>
  </si>
  <si>
    <t>[Must] Appointment of Ombud and deputy ombuds
[Must] Funding of Office
[Must] Accountability
[Must] General administrative powers of Ombud
[Must] Disestablishment and liquidation of Office
[Must] Powers of Board
[Must] Receipt of complaints, prescription, jurisdiction and investigation
[Must] Determinations by Ombud
[Must] Record-keeping
[Must] Report of Ombud
[Must] Penalties</t>
  </si>
  <si>
    <t>32. CHAPTER VI ENFORCEMENT</t>
  </si>
  <si>
    <t>The registrar may take any steps  conducive  to client  education and the promotion</t>
  </si>
  <si>
    <t>Registrar may take steps to promote client education and awareness of Ombud and enforcement measures.</t>
  </si>
  <si>
    <t>[May] take steps conducive to client education and promotion of awareness of Ombud and enforcement measures</t>
  </si>
  <si>
    <t>32. The registrar may take any steps conducive to client education and the promotion of awareness of the nature and availability of the Ombud and other enforcement measures established by or in terms of this Act, including arrangements with the Ombud, representative bodies of the financial services industry, client and consumer bodies, or product suppliers and authorised financial services providers and their representatives to assist in the disclosure of information to the general public on matters dealt with in this Act.</t>
  </si>
  <si>
    <t>(1) The registrar may, when satisfied on the  basis</t>
  </si>
  <si>
    <t>Registrar may apply to court for restraining order and remedial steps if person contravenes or fails to comply with Act provisions.</t>
  </si>
  <si>
    <t>Registrar can seek court order to restrain contraventions and require remedial actions for affected clients.</t>
  </si>
  <si>
    <t>[Must] Registrar may apply to court for restraining order if person contravenes or fails to comply with Act provisions
[Must] Registrar may require remedial steps to rectify consequences of contraventions</t>
  </si>
  <si>
    <t>33. (1) The registrar may, when satisfied on the basis of available facts and information that a person has contravened or not complied with any provision of this Act, or is likely so to contravene or not to comply, apply to a Court for an order restraining such person from continuing to commit any such act or omission or from committing it in future, and requiring the person to take such remedial steps as the Court deems necessary to rectify the consequences of the act or omission.</t>
  </si>
  <si>
    <t>( I ) Subject to subsections (2) and (3), the  registrar may. after consultation with the</t>
  </si>
  <si>
    <t>24–25</t>
  </si>
  <si>
    <t>Registrar may declare business practices undesirable after consultation with Advisory Committee, subject to specific criteria.</t>
  </si>
  <si>
    <t>Registrar can declare business practices undesirable if they harm clients or public, with publication requirements.</t>
  </si>
  <si>
    <t>[Must] Registrar may declare business practice undesirable after consultation with Advisory Committee
[Must] Declaration must not harm client relations or unfairly affect clients
[Must] Registrar must publish intention to make declaration with reasons and invite written representations</t>
  </si>
  <si>
    <t>34. (1) Subject to subsections (2) and (3), the registrar may, after consultation with the Advisory Committee, by notice in the Gazette declare a particular business practice to be undesirable for all or a category of authorised financial services providers.</t>
  </si>
  <si>
    <t>(1 ) The Minister may by notice in the Gazerre, after  consultation  with the registrar 10</t>
  </si>
  <si>
    <t>Minister may make regulations for financial services providers, including prohibitions on unauthorized marketing and advertising.</t>
  </si>
  <si>
    <t>Regulations can prohibit unauthorized marketing, advertising, and use of titles indicating authorization.</t>
  </si>
  <si>
    <t>[Must] Minister may make regulations for financial services providers
[Must] Regulations may prohibit unauthorized marketing and advertising</t>
  </si>
  <si>
    <t>35. (1) The Minister may by notice in the Gazette, after consultation with the registrar and the Advisory Committee, make regulations relating to any matter which is required or permitted to be prescribed under this Act.</t>
  </si>
  <si>
    <t>( 1 ) The  plovisions of this Act do not apply to the rendering of financial services</t>
  </si>
  <si>
    <t>28–29</t>
  </si>
  <si>
    <t>This Act does not apply to financial services provided by certain entities including authorized users, clearing houses, central securities depositories, managers, executors, administrators, trustees, liquidators, and minors under specific conditions.</t>
  </si>
  <si>
    <t>Exemptions for specific entities from applying the Act to financial services, relevant for DTIA scope determination.</t>
  </si>
  <si>
    <t>[Must Not] The provisions of this Act do not apply to the rendering of financial services</t>
  </si>
  <si>
    <t>35. (1) The provisions of this Act do not apply to the rendering of financial services</t>
  </si>
  <si>
    <t>Any person w h o -</t>
  </si>
  <si>
    <t>Offence for making misleading statements or concealing material facts in financial services applications.</t>
  </si>
  <si>
    <t>False statements in financial services applications constitute offences with penalties.</t>
  </si>
  <si>
    <t>[Must] Person guilty of offence if they make misleading, false or deceptive statements or conceal material facts in applications</t>
  </si>
  <si>
    <t>36. Any person who (a) contravenes or fails to comply with a provision of section 7(1), 8(8), 13(1), 14(1), 18, 19(2) or 34(4) or (6): or (b) in any application in terms of this Act, deliberately makes a misleading, false or deceptive statement, or conceals any material fact, is guilty of an offence and is on conviction liable to a fine not exceeding R1 000 000 or to imprisonment for a period not exceeding 10 years, or to both such fine and such imprisonment.</t>
  </si>
  <si>
    <t>(1) In the consideration of the quantum of any  penalty  under  section 36, the  Court</t>
  </si>
  <si>
    <t>25–26</t>
  </si>
  <si>
    <t>Court</t>
  </si>
  <si>
    <t>Court must consider penalties from section 36 when determining penalty amounts under section 36.</t>
  </si>
  <si>
    <t>[Must] Court must consider any award made under section 33 when determining penalty quantum under section 36</t>
  </si>
  <si>
    <t>37. (1) In the consideration of the quantum of any penalty under section 36, the Court must take into consideration any award made or to be made under section 33, from the same cause.</t>
  </si>
  <si>
    <t>N o -</t>
  </si>
  <si>
    <t>Voluntary business closures must be approved by registrar to ensure client liabilities are met.</t>
  </si>
  <si>
    <t>Business closures must be approved by registrar to ensure client liabilities are met.</t>
  </si>
  <si>
    <t>[Must] Voluntary business closures must be approved by registrar to ensure client liabilities are met</t>
  </si>
  <si>
    <t>38. No application for the acceptance of the voluntary surrender of the estate in terms of section 3 of the Insolvency Act, 1936, of; special resolution relating to the winding-up, as contemplated in section 349 of the Companies Act, 1973, and registered in terms of that Act, of; written resolution relating to the winding-up, as contemplated in section 67 of the Close Corporations Act, 1984, and registered in terms of that section, of; or voluntary closure of business by any authorised financial services provider, or representative of such provider, and no special resolution in terms of the constitution of such a provider or representative which is not a company, to close its business, have legal force unless a copy or notice thereof has been lodged with the registrar and the registrar has declared that arrangements satisfactory to the registrar have been made to meet all liabilities under transactions entered into with clients prior to sequestration, winding-up or closure.</t>
  </si>
  <si>
    <t>39</t>
  </si>
  <si>
    <t>Any person who  feels aggrieved by any  decision  by the registrar or the Ombud</t>
  </si>
  <si>
    <t>Financial Services Board</t>
  </si>
  <si>
    <t>Appeal rights for decisions affecting clients by registrar or Ombud.</t>
  </si>
  <si>
    <t>Clients can appeal decisions by registrar or Ombud to Financial Services Board Board.</t>
  </si>
  <si>
    <t>[Must] Person aggrieved by registrar or Ombud decision may appeal to Financial Services Board Board</t>
  </si>
  <si>
    <t>39. Any person who feels aggrieved by any decision by the registrar or the Ombud under this Act which affects that person, may appeal to the board of appeal established by section 26(1) of the Financial Services Board Act, in respect of which section 26 applies with the necessary changes.</t>
  </si>
  <si>
    <t>No provision of this Act, and no act performed under or in terms of any such</t>
  </si>
  <si>
    <t>Client rights to legal redress unaffected by this Act.</t>
  </si>
  <si>
    <t>Client legal redress rights remain unaffected by this Act.</t>
  </si>
  <si>
    <t>[Must] No provision of this Act affects client rights to seek legal redress</t>
  </si>
  <si>
    <t>40. No provision of this Act, and no act performed under or in terms of any such provision, may be construed as affecting any right of a client, or other affected person, to seek appropriate legal redress in terms of common law or any other statutory law, and whether relating to civil or criminal matters, in respect of the rendering of any financial service by an authorised financial services provider, or representative of such provider, or any act of a person who is not an authorised financial services provider or a representative of such a provider.</t>
  </si>
  <si>
    <t>(1) (a) The Minister  must, after  consultation  with  the registrar, by notice in the</t>
  </si>
  <si>
    <t>26–27</t>
  </si>
  <si>
    <t>Minister must determine fees for registrar decisions and penalties for non-compliance.</t>
  </si>
  <si>
    <t>Fees for registrar decisions must be determined by Minister, with penalties for non-compliance.</t>
  </si>
  <si>
    <t>[Must] Minister must determine fees payable to registrar by persons seeking decisions
[Must] Penalties for non-furnished returns may be imposed by registrar</t>
  </si>
  <si>
    <t>41. (1) (a) The Minister must, after consultation with the registrar, by notice in the Gazette, determine the fees payable to the registrar by any person, or category of persons, seeking a decision or the performance of any other act by the registrar under this Act and referred to in section 3(1).</t>
  </si>
  <si>
    <t>The registrar may disclose information obtained</t>
  </si>
  <si>
    <t>Registrar may disclose information to authorities for public interest, with confidentiality conditions.</t>
  </si>
  <si>
    <t>Registrar may share client information with regulators and authorities for public interest, with confidentiality conditions.</t>
  </si>
  <si>
    <t>[Must] Registrar may disclose information to departments of state or financial regulators for public interest</t>
  </si>
  <si>
    <t>42. The registrar may disclose information obtained in the course of performing functions in terms of this Act, unless such disclosure will not be in the public interest, but subject to any guidelines issued by the Board to the registrar.</t>
  </si>
  <si>
    <t>The Minister. the  Board or a member  thereof, any  officer or  employee assisting the</t>
  </si>
  <si>
    <t>Minister, Board, and employees not liable for losses from lawful actions under this Act.</t>
  </si>
  <si>
    <t>Regulators not liable for losses from lawful actions under this Act.</t>
  </si>
  <si>
    <t>[Must] Minister, Board, and employees not liable for losses from lawful actions under this Act</t>
  </si>
  <si>
    <t>43. The Minister, the Board or a member thereof, any officer or employee assisting the Board, the registrar, the Advisory Committee or any member thereof, the Ombud and any employee in the Office of the Ombud, or other body or person performing any function in terms of this Act, is not liable for any loss sustained by or damage caused to any person as a result of anything done or omitted by any of them in the bona fide exercise of any power or carrying out of any duty or performance of any function under or in terms of a provision of this Act.</t>
  </si>
  <si>
    <t>(1 ) The registrar  may on or after  the commencement of this  Act, but prior to the</t>
  </si>
  <si>
    <t>27–28</t>
  </si>
  <si>
    <t>Registrar may exempt persons from provisions if they are already regulated or won't cause hardship.</t>
  </si>
  <si>
    <t>[Must] Registrar may exempt persons from provisions if they are already partially or wholly regulated by other law
[Must] Exemptions must not cause financial or other hardship to clients</t>
  </si>
  <si>
    <t>44. (1) The registrar may on or after the commencement of this Act, but prior to the date determined by the Minister in terms of section 7(1), exempt any person or category of persons from the provisions of that section if the registrar is satisfied that- (a) the rendering of any financial service by the applicant is already partially or wholly regulated by any other law; or (b) the application of the said section to the applicant will cause the applicant or clients of the applicant financial or other hardship or prejudice; and (c) the granting of the exemption will not- (i) conflict with the public interest; (ii) prejudice the interests of clients; and (iii) frustrate the achievement of the objects of this Act.</t>
  </si>
  <si>
    <t>This Act is called the Financial Advisory and Intermediary Services Act, 2002, 45</t>
  </si>
  <si>
    <t>29–30</t>
  </si>
  <si>
    <t>This Act is called the Financial Advisory and Intermediary Services Act, 2002 and comes into operation on a date fixed by the President by proclamation in the Gazette.</t>
  </si>
  <si>
    <t>46. This Act is called the Financial Advisory and Intermediary Services Act, 2002, 45 and comes into operation on a date fixed by the President by proclamation in the Gazette.</t>
  </si>
  <si>
    <t>50</t>
  </si>
  <si>
    <t>32–33</t>
  </si>
  <si>
    <t>[Must] the court may declare that member, officer or employee of a member [person or such person's officer or employee] to be disqualified for an indefinite period or for a period specified by the court, from carrying on the business of a member or from being an officer or employee of a member</t>
  </si>
  <si>
    <t>50. (1) If a court convicts a member or an officer or employee of a member [or a person approved in terms of section 41 under this Act or of an offence of which any dishonest act or omission is an element; or finds, in proceedings to which a member or an officer or employee of a member [a person approved in terms of section 41 or such person's officer or employee] is a party or in which [his] such member's, officer's or employee's conduct is called in question, that such member, officer or employee has been guilty of dishonest conduct, the court may (in addition, in a case referred to in paragraph (a), to any sentence it may impose) declare that member, officer or employee of a member [person or such person's officer or employee] to be disqualified for an indefinite period or for a period specified by the court, from carrying on the business of a member or from being an officer or employee of a  member.</t>
  </si>
  <si>
    <t>1993</t>
  </si>
  <si>
    <t>to the extent that such application is regulated in the code of conduct  contemplated</t>
  </si>
  <si>
    <t>Applies the Act to natural persons acting within official duties of the State unless otherwise determined by the Minister.</t>
  </si>
  <si>
    <t>[Must] to the extent that such application is regulated in the code of conduct</t>
  </si>
  <si>
    <t>1993. to the extent that such application is regulated in the code of conduct contemplated in section 15(2)(b).</t>
  </si>
  <si>
    <t>Joint Standard 1 of 2023 - IT Governance and Risk Management</t>
  </si>
  <si>
    <t>Definitions and interpretation</t>
  </si>
  <si>
    <t>Defines key terms including financial institutions, Authorities, fit and proper, and IT-related concepts for the Joint Standard.</t>
  </si>
  <si>
    <t>3. Definitions and interpretation</t>
  </si>
  <si>
    <t>Application</t>
  </si>
  <si>
    <t>Specifies that financial institutions must mitigate IT risks for all related entities, including foreign branches and subsidiaries, and align requirements with their risk profile.</t>
  </si>
  <si>
    <t>Financial institutions must address IT risks for all local and foreign entities under their control, including subsidiaries, to ensure compliance with the Joint Standard.</t>
  </si>
  <si>
    <t>[Must] A financial institution that is a bank, or a controlling company must ensure that any risks relating to IT risk from juristic persons and branches structured under the bank or the controlling company (both local and foreign), including all relevant subsidiaries approved in terms of section 52 of the Banks Act, 1990, are catered for and mitigated in the application of the requirements of this Joint Standard.
[Must] A financial institution that is an insurer or a controlling company of an insurance group must ensure that any risks relating to IT from juristic persons structured under the insurer or the controlling company (both local and foreign) and from the insurance group designated under section 10 of the Insurance Act, 2017 are catered for and mitigated in the application of the requirements of this Joint Standard.</t>
  </si>
  <si>
    <t>4.1 This Joint Standard applies to financial institutions as defined.</t>
  </si>
  <si>
    <t>Roles and responsibilities</t>
  </si>
  <si>
    <t>Governing body is ultimately responsible for IT compliance, must establish a sound IT risk management framework, and define roles and responsibilities.</t>
  </si>
  <si>
    <t>Governing body must ensure IT risk management framework and define roles for IT risk oversight.</t>
  </si>
  <si>
    <t>[Must] The governing body is ultimately responsible for ensuring that the financial institution complies with the requirements as set out in this Joint Standard.
[Must] The governing body must ensure, together with senior management, that a sound and robust IT risk management framework and IT strategy is established and maintained.
[Must] The governing body must clearly define the roles and responsibilities of all management, execution, oversight and control functions as well as committees established for the purpose of exercising oversight of IT risks.</t>
  </si>
  <si>
    <t>5.1 The governing body is ultimately responsible for ensuring that the financial institution complies with the requirements as set out in this Joint Standard.</t>
  </si>
  <si>
    <t>IT strategy</t>
  </si>
  <si>
    <t>Financial institutions must have IT strategy approved by governing body, aligned with business strategy, and reviewed annually.</t>
  </si>
  <si>
    <t>IT strategy must be approved by governing body, aligned with business strategy, and reviewed at least annually.</t>
  </si>
  <si>
    <t>[Must] A financial institution must ensure that its IT strategy is approved by the governing body and aligned with its overall business strategy.
[Must] The IT strategy of a financial institution must be reviewed regularly, but at least annually, in consideration of market, industry, technology and other relevant developments.</t>
  </si>
  <si>
    <t>6.1 A financial institution must ensure that its IT strategy is approved by the governing body and aligned with its overall business strategy.</t>
  </si>
  <si>
    <t>IT risk management framework</t>
  </si>
  <si>
    <t>6–8</t>
  </si>
  <si>
    <t>Financial institutions must establish an IT risk management framework approved by governing body, incorporating policies, risk identification, and monitoring processes.</t>
  </si>
  <si>
    <t>Financial institutions must establish an IT risk management framework that includes risk identification, assessment, and monitoring processes.</t>
  </si>
  <si>
    <t>[Must] A financial institution must establish an IT risk management framework to manage IT risks in a systematic and consistent manner.
[Must] The IT risk management framework of a financial institution must be approved by the governing body and reviewed regularly, but at least annually.
[Must] The IT risk management framework of a financial institution must, at a minimum, incorporate policies, standards and procedures in managing IT risks and safeguarding IT assets.
[Must] The IT risk management framework must include identification and prioritisation of IT assets.
[Must] The IT risk management framework must include identification and assessment of impact and likelihood of current and emerging threats, risks and vulnerabilities.
[Must] The IT risk management framework must include implementation of appropriate practices and controls to manage risks.
[Must] The IT risk management framework must include periodic updates and monitoring of risk assessments.
[Must] The IT risk management framework must include people management measures for staff, service providers and contractors.</t>
  </si>
  <si>
    <t>7.1 A financial institution must establish an IT risk management framework to manage IT risks in a systematic and consistent manner.</t>
  </si>
  <si>
    <t>Oversight of IT risk management</t>
  </si>
  <si>
    <t>Oversight of IT risk management must be incorporated into governance structures and reporting lines to the governing body.</t>
  </si>
  <si>
    <t>Oversight of IT risk management must be part of governance structures with reporting lines to the governing body.</t>
  </si>
  <si>
    <t>[Must] Oversight of IT risk management must be incorporated into the governance and risk management structures, processes and procedures of a financial institution, including provisions relating to reporting lines to the governing body.</t>
  </si>
  <si>
    <t>8.1 Oversight of IT risk management must be incorporated into the governance and risk management structures, processes and procedures of a financial institution, including provisions relating to reporting lines to the governing body.</t>
  </si>
  <si>
    <t>IT operations</t>
  </si>
  <si>
    <t>Financial institutions must implement robust IT service management policies, change management, incident handling, and backup procedures.</t>
  </si>
  <si>
    <t>Financial institutions must implement IT service management policies, change management, incident handling, and backup procedures.</t>
  </si>
  <si>
    <t>[Must] A financial institution must develop a robust set of IT service management policies, standards, processes and procedures (framework) which is essential for supporting IT systems, services and operations, managing changes, incidents and problems as well as ensuring the stability of the production IT environment.
[Must] The IT service management framework must comprise a governance structure for change management, software release management, incident and problem management as well as capacity management.
[Must] A financial institution must manage its IT operations based on documented and implemented policies, processes and procedures.
[Must] A financial institution must maintain efficiency of its IT operations, including, but not limited to the need to consider how to minimise potential incidents arising from the execution of manual tasks.
[Must] A financial institution must implement appropriate logging and monitoring procedures for critical IT operations to allow the detection, analysis and correction of incidents.
[Must] A financial institution must store the configuration of the IT assets and the links and interdependencies between the different IT assets, to enable an appropriate configuration management process.
[Must] A financial institution must implement performance, capacity planning and monitoring processes to prevent, detect and respond to important performance issues of IT systems and IT capacity shortages in a timely manner.
[Must] A financial institution must define and implement IT system backup and restoration procedures to ensure recovery of IT systems as required.
[Must] A financial institution must establish and implement an effective IT change management process to ensure that all changes to IT systems are recorded, tested, assessed, approved, implemented and verified in a controlled manner.
[Must] A financial institution must establish and implement a problem and incident management process to identify, track (including timing), log, categorise and classify incidents according to priority, based on business criticality.</t>
  </si>
  <si>
    <t>9.1 A financial institution must develop a robust set of IT service management policies, standards, processes and procedures (framework) which is essential for supporting IT systems, services and operations, managing changes, incidents and problems as well as ensuring the stability of the production IT environment.</t>
  </si>
  <si>
    <t>Handling of sensitive or confidential information</t>
  </si>
  <si>
    <t>Financial institutions must protect sensitive information, implement access controls, and ensure data accuracy and compliance with legislation.</t>
  </si>
  <si>
    <t>[Must] A financial institution must define, document and implement appropriate measures to protect sensitive or confidential information such as customer personal account and transaction data.
[Must] A financial institution must define, document and implement procedures for logical access control (identity and access management).
[Must] A financial institution must implement appropriate measures to address risks of data theft, data loss and data leakage from endpoint devices, customer service locations and call centres.
[Must] A financial institution must ensure that information processed, stored or transmitted between itself and its customers is accurate, reliable and complete.
[Must] A financial institution must conduct independent reviews to assess compliance with the measures implemented.
[Must] A financial institution must ensure that all personal information is processed in accordance with the requirements of all applicable legislation, including the Protection of Personal Information Act, 2013.</t>
  </si>
  <si>
    <t>10.1 A financial institution must define, document and implement appropriate measures to - (a) protect sensitive or confidential information such as customer personal account and transaction data which are stored and processed in systems; and (b) mitigate IT risks and protect information assets in accordance with its sensitivity classification.</t>
  </si>
  <si>
    <t>Risks associated with financial products and financial services</t>
  </si>
  <si>
    <t>Financial institutions</t>
  </si>
  <si>
    <t>Financial institutions must identify IT risks for financial products/services and implement security controls, system availability, and recovery capabilities proportional to risk exposure.</t>
  </si>
  <si>
    <t>Requires financial institutions to assess IT risks for financial products/services and implement proportional security controls, system availability, and recovery capabilities.</t>
  </si>
  <si>
    <t>[Must] A financial institution must clearly identify IT risks associated with the types of financial products or financial services being offered, and formulate security controls, system availability and recovery capabilities, which are commensurate with the level of risk exposure for all operations, including the internet-facing operations.</t>
  </si>
  <si>
    <t>A financial institution must clearly identify IT risks associated with the types of financial products or financial services being offered, and formulate security controls, system availability and recovery capabilities, which are commensurate with the level of risk exposure for all operations, including the internet-facing operations.</t>
  </si>
  <si>
    <t>IT programme and/or project management</t>
  </si>
  <si>
    <t>Financial institutions must develop IT programme/project management frameworks with governance, risk management, and change control processes, ensuring security requirements are independent and approved.</t>
  </si>
  <si>
    <t>Requires financial institutions to establish IT programme/project management frameworks with governance, risk assessment, and change control, ensuring security requirements are independent and approved.</t>
  </si>
  <si>
    <t>[Must] A financial institution must develop a framework and approach for IT programme and/or project management that incorporates the governance structures, policies and processes, stakeholder engagement, risks and issues management, change control, integration, and cost and benefit realisation.
[Must] A financial institution must establish and implement an IT programme and project management policies, procedures and processes that includes, as a minimum - IT programme and project objectives; roles and responsibilities, including governance and decision-making structures; IT programme and project risk assessment; IT programme and project plan, timeframe and steps; key milestones; and change management requirements.
[Must] A financial institution must ensure that its IT programme and project management policy confirms that IT security requirements are analysed and approved by a function that is independent from the development function.
[Must] A financial institution must identify, monitor and mitigate risks deriving from its portfolio of IT programmes and projects, considering risks that may result from interdependencies between different IT programmes and projects and from dependencies of multiple programmes and projects utilising the same resources and/or expertise.
[Must] A financial institution must ensure that before any acquisition or development of IT systems takes place, the functional and non-functional requirements (including information security requirements) are clearly defined and approved by the relevant governance structure.
[Must] A financial institution must follow its methodology for testing and approval of IT systems prior to implementation into the production environment. This methodology must consider the criticality of business processes and assets. The testing must ensure that new IT systems perform as intended. It must also use test environments that adequately reflect the production environment.
[Must] A financial institution must implement controls in the IT environment to ensure adequate segregation of duties between the pre-production environment that is a mirror of the production environment to mitigate the impact of risks introduced to the production systems.
[Must] A financial institution must implement appropriate measures to protect the integrity of the source codes of IT systems that are developed in-house. In addition, a financial institution must document the development, implementation, operation and/or configuration of the IT systems comprehensively to reduce any unnecessary dependency on subject matter experts.
[Must] A financial institution must ensure that the documentation of the IT system contains, where applicable, user documentation, technical system documentation and operating procedures.
[Must] A financial institution must ensure that processes for acquisition and development of IT systems applied by the department(s) responsible for IT must also apply to IT systems acquired by business functions outside the IT department, using a risk-based approach.
[Must] A financial institution must maintain a register of the critical applications, business functions and processes.</t>
  </si>
  <si>
    <t>A financial institution must develop a framework and approach for IT programme and/or project management that incorporates the governance structures, policies and processes, stakeholder engagement, risks and issues management, change control, integration, and cost and benefit realisation.</t>
  </si>
  <si>
    <t>IT resilience and business continuity</t>
  </si>
  <si>
    <t>Financial institutions must define recovery priorities, establish disaster recovery sites, implement IT resilience plans, and conduct business impact assessments for critical business functions.</t>
  </si>
  <si>
    <t>Requires financial institutions to define recovery priorities, establish disaster recovery sites, implement IT resilience plans, and conduct business impact assessments for critical business functions.</t>
  </si>
  <si>
    <t>[Must] A financial institution must define system recovery and business resumption priorities and establish specific Service Level Objectives including RTOs and RPOs for critical services and business processes.
[Must] A financial institution must identify and establish a disaster recovery site(s) that is geographically separate from the primary site to enable the recovery of critical systems and continuation of business operations, should a disruption occur at the primary site.
[Must] A financial institution must establish a sound IT resilience management process to maximise its abilities to provide services on an ongoing basis and to limit losses in the event of severe business disruption in line with any existing requirements issued in terms of a financial sector law and applicable to financial institutions.
[Must] A financial institution must conduct a business impact assessment by analysing its exposure to severe business disruptions and assessing its potential impacts (including on confidentiality, integrity and availability), quantitatively and qualitatively, using internal and/or external data and scenario analysis.
[Must] A business impact assessment referred to in paragraph 13.2 above must also consider the criticality of the identified and classified business functions, supporting processes, third parties and IT assets, and their interdependencies.
[Must] A financial institution must develop a sound IT resilience plan.
[Must] The IT resilience plan must specifically consider risks that could adversely impact IT systems and services.
[Must] The IT resilience plan must support the objective to protect and, if necessary, re-establish the confidentiality, integrity and availability of its business functions, supporting processes and IT assets.
[Must] The IT resilience plan must support critical business functions, business processes, IT assets and its interdependencies (including those provided by third parties, where applicable).
[Must] The IT resilience plan must cater for processes to enable the return to a state of normality in the event of severe business disruption.
[Must] The IT resilience plan must be aligned to the business impact assessment referred to in paragraph 13.2 above, for example, with redundancy of certain critical components to prevent disruptions caused by events impacting those components.
[Must] The IT resilience plan must be tested regularly, but at least annually. Various scenarios, including total shutdown or incapacitation of the primary site as well as component failure at the individual system or application cluster level, must be covered in IT resilience tests.
[Must] The IT resilience plan must be reviewed regularly, but at least annually. The review must be based on, amongst others, testing results, current threat intelligence and lessons learnt from previous events.
[Must] To achieve data centre resilience, a financial institution must assess the redundancy and fault tolerance in areas such as electrical power, air conditioning, fire suppression and data communications, to the extent applicable.
[Must] A financial institution must define, document and implement physical security measures to protect its premises, data centres and sensitive areas from unauthorised access and from environmental hazards.
[Must] A financial institution must test the recovery dependencies between systems. Bilateral or multilateral recovery testing must be conducted where networks and systems are linked to specific service providers, where applicable.</t>
  </si>
  <si>
    <t>A financial institution must define system recovery and business resumption priorities and establish specific Service Level Objectives including RTOs and RPOs for critical services and business processes.</t>
  </si>
  <si>
    <t>IT assurance</t>
  </si>
  <si>
    <t>Financial institutions must establish independent IT assurance functions to review compliance with IT policies and procedures and external requirements.</t>
  </si>
  <si>
    <t>Requires financial institutions to establish independent IT assurance functions to review compliance with IT policies and procedures and external requirements.</t>
  </si>
  <si>
    <t>[Must] The control functions and/or external assurance providers, must, have the capacity to independently review and provide objective assurance of compliance with all IT-related activities as outlined in the financial institution's policies and procedures as well as with external requirements.
[Must] A financial institution must through the control functions or an external assurance provider - establish an organisational structure and reporting lines for IT assurance within the control functions, where appropriate, in a way that preserves the independence and objectivity of the control functions.
[Must] A financial institution must through the control functions or an external assurance provider - determine whether changes in the existing operational environment influence the existing IT controls or require the adoption of additional measures to mitigate the risks involved. These changes must be in accordance with the financial institution's formal change management process.
[Must] A financial institution must through the control functions or an external assurance provider - maintain an IT assurance plan to examine and evaluate the adequacy and effectiveness of the financial institution's IT systems, internal control mechanisms and governance arrangements.</t>
  </si>
  <si>
    <t>The control functions and/or external assurance providers, must, have the capacity to independently review and provide objective assurance of compliance with all IT-related activities as outlined in the financial institution's policies and procedures as well as with external requirements.</t>
  </si>
  <si>
    <t>Notification and reporting requirements</t>
  </si>
  <si>
    <t>Financial institutions must notify the responsible authority of material IT incidents within a determined timeframe after classification.</t>
  </si>
  <si>
    <t>Requires financial institutions to notify the responsible authority of material IT incidents within a determined timeframe after classification.</t>
  </si>
  <si>
    <t>[Must] A financial institution must notify the responsible authority of the financial sector law in terms of which the financial institution is licensed or registered, in the form and manner determined by the Authorities, of any systems failure, malfunction, delay or other disruptive event, within the determined timeframe, after classifying the event as a material incident.</t>
  </si>
  <si>
    <t>A financial institution must notify the responsible authority of the financial sector law in terms of which the financial institution is licensed or registered, in the form and manner determined by the Authorities, of any systems failure, malfunction, delay or other disruptive event, within the determined timeframe, after classifying the event as a material incident.</t>
  </si>
  <si>
    <t>Short-title</t>
  </si>
  <si>
    <t>Joint Standard is titled 'IT Governance and Risk Management for Financial Institutions, 2023'.</t>
  </si>
  <si>
    <t>This Joint Standard is called ‘IT Governance and Risk Management for Financial Institutions, 2.023'.</t>
  </si>
  <si>
    <t>Joint Standard 2 of 2024  Cybersecurity &amp; Cyber resilience Requirements</t>
  </si>
  <si>
    <t>3–6</t>
  </si>
  <si>
    <t>Defines key terms including financial institutions, cyber incident, cybersecurity, and related concepts for the Joint Standard.</t>
  </si>
  <si>
    <t>Specifies which financial institutions must comply with the Joint Standard and ensures risks from juristic persons and branches are mitigated.</t>
  </si>
  <si>
    <t>Financial institutions must address cybersecurity risks from local and foreign juristic persons and branches.</t>
  </si>
  <si>
    <t>[Must] A financial institution that is a bank, or a controlling company must ensure that any risks relating to cybersecurity and cyber resilience from juristic persons (both local and foreign) and branches structured under the bank or the controlling company, including all relevant subsidiaries approved in terms of section 52 of the Banks Act, 1990, are catered for and mitigated in the application of the requirements of this Joint Standard.
[Must] A financial institution that is an insurer or the controlling company of an insurance group must ensure that any risks relating to cybersecurity and cyber resilience from juristic persons (both local and foreign) structured under the insurer or the insurance group designated under section 10 of the Insurance Act, 2017, are catered for and mitigated in the application of the requirements of this Joint Standard.</t>
  </si>
  <si>
    <t>3.2 A financial institution that is a bank, or a controlling company must ensure that any risks relating to cybersecurity and cyber resilience from juristic persons (both local and foreign) and branches structured under the bank or the controlling company, including all relevant subsidiaries approved in terms of section 52 of the Banks Act, 1990, are catered for and mitigated in the application of the requirements of this Joint Standard.</t>
  </si>
  <si>
    <t>Assigns responsibility for cybersecurity strategy and framework to the governing body and senior management.</t>
  </si>
  <si>
    <t>Governing body must ensure cybersecurity strategy and framework is established and maintained with senior management.</t>
  </si>
  <si>
    <t>[Must] The governing body is ultimately responsible for ensuring that the financial institution complies with the requirements set out in this Joint Standard.
[Must] The governing body must together with senior management, ensure that a sound and robust cybersecurity strategy and framework is established, implemented and maintained.
[Must] The governing body must require management to co-operate with other stakeholders, as relevant and appropriate, in order to enable financial sector cyber resilience.
[Must] The governing body must ensure that roles and responsibilities for security are clearly defined in the contract or Service Level Agreement with third-party service providers.</t>
  </si>
  <si>
    <t>4.1 The governing body is ultimately responsible for – ensuring that the financial institution complies with the requirements set out in this Joint Standard; and the oversight of cyber risk management, but may delegate primary oversight activities to an existing or new committee.</t>
  </si>
  <si>
    <t>Requires clear roles, responsibilities, and independent oversight for cyber risk management within governance structures.</t>
  </si>
  <si>
    <t>Financial institutions must define roles, ensure cyber risk management is integrated into governance, and establish a dedicated function with direct reporting to the governing body.</t>
  </si>
  <si>
    <t>[Must] clearly define the roles and responsibilities of all management functions (including lines of defence) as well as committees established for the purposes of exercising oversight of cyber risks
[Must] ensure cyber risk management is incorporated into the governance and risk management structures, processes and procedures of a financial institution. Direct reporting line to the governing body should be established in terms of the governance framework; ensure that a function(s) responsible for cyber and information security is established with adequate resources and appropriate authority
[Must] ensure that the oversight of the function(s) referred to in subparagraph 5.1.3 above, including control functions, has access to the governing body and is structured in a manner that ensures adequate segregation of duties and avoids any potential conflicts of interest</t>
  </si>
  <si>
    <t>5.1.1 clearly define the roles and responsibilities of all management functions (including lines of defence) as well as committees established for the purposes of exercising oversight of cyber risks</t>
  </si>
  <si>
    <t>Cybersecurity strategy and framework</t>
  </si>
  <si>
    <t>Requires financial institutions to establish, maintain, and review cybersecurity strategies and frameworks aligned with business objectives.</t>
  </si>
  <si>
    <t>Financial institutions must establish and maintain a cybersecurity strategy approved by the governing body, review it annually, and align it with enterprise risk management.</t>
  </si>
  <si>
    <t>[Must] establish and maintain a cybersecurity strategy that is approved by the governing body and aligned with its overall business strategy
[Must] review the cybersecurity strategy regularly, but at least annually, to address changes in the cyber threat landscape, allocate resources, identify and remediate gaps, and incorporate lessons learnt
[Must] establish a cybersecurity framework to manage cyber risks
[Must] align its cybersecurity framework with its enterprise risk management framework
[Must] establish cybersecurity policies, standards, processes and procedures that are informed by industry standards and best practices to manage cyber risks and safeguard IT systems and information assets, taking into consideration the evolving technology and cyber threat landscape
[Must] define and reassess regularly business risk tolerance relative to cybersecurity and ensure that it is consistent with the business strategy and risk appetite
[Must] establish metrics to track and manage cybersecurity risks and to inform related reporting from both a technical and business context</t>
  </si>
  <si>
    <t>6.1.1 establish and maintain a cybersecurity strategy that is approved by the governing body and aligned with its overall business strategy</t>
  </si>
  <si>
    <t>Cybersecurity and cyber resilience fundamentals</t>
  </si>
  <si>
    <t>8–15</t>
  </si>
  <si>
    <t>Learning and Evolving</t>
  </si>
  <si>
    <t>Financial institutions must implement adaptive cyber resilience capabilities that evolve with cyber threats.</t>
  </si>
  <si>
    <t>Requires continuous learning and adaptation to cyber threats through incident lessons and technological developments.</t>
  </si>
  <si>
    <t>[Must] implement adaptive cyber resilience capability that learns and evolves with dynamic nature of cyber risks
[Must] systematically identify and distil key lessons from cyber incidents to advance resilience capabilities
[Must] actively monitor technological developments and keep abreast of new cyber risk management processes
[Must] ensure cyber risk management practices go beyond reactive controls to include proactive protection</t>
  </si>
  <si>
    <t>Implement an adaptive cyber resilience capability that learns and evolves with the dynamic nature of cyber risks</t>
  </si>
  <si>
    <t>Cybersecurity hygiene practices</t>
  </si>
  <si>
    <t>15–17</t>
  </si>
  <si>
    <t>Access Control, User Access Management, Segregation of Duties, Least Privilege</t>
  </si>
  <si>
    <t>Authorities</t>
  </si>
  <si>
    <t>Financial institutions must implement access control policies, regular reviews, user access management, segregation of duties, least privilege, periodic access reviews, and similar security practices for IT systems and information assets.</t>
  </si>
  <si>
    <t>Requires access control policies, regular reviews, user access management, segregation of duties, least privilege, and periodic access reviews for IT systems and information assets.</t>
  </si>
  <si>
    <t>[Must] establish a security access control policy and a process to enforce strong password security controls for users' access to IT systems and information assets
[Must] ensure that the security access control policy is reviewed regularly
[Must] establish a user access management process to provision, change and revoke access rights to IT systems and information assets
[Must] apply the principles of ‘segregation of duties' and ‘least privilege' when granting user access to IT systems and information assets
[Must] ensure appropriate parties perform periodic user access reviews to verify the appropriateness of privileges granted to users
[Must] subject third-party service providers and contractors with access to financial institution's IT systems to the same monitoring and access restrictions as employees</t>
  </si>
  <si>
    <t>Cybersecurity hygiene practices 8.1 (a) establish a security access control policy and a process to enforce strong password security controls for users' access to IT systems and information assets</t>
  </si>
  <si>
    <t>Notifications and regulatory reporting</t>
  </si>
  <si>
    <t>Financial institutions must notify the responsible authority of material cyber incidents or information security compromises within specified timeframes.</t>
  </si>
  <si>
    <t>Requires financial institutions to notify the responsible authority of material cyber incidents or information security compromises.</t>
  </si>
  <si>
    <t>[Must] A financial institution must notify the responsible authority in the form and manner determined by the Authorities after classifying the following as a material incident – cyber incidents; or information security compromise
[Must] A financial institution must report such information related to the requirements in this Joint Standard to the Authorities as may be determined by the Authorities</t>
  </si>
  <si>
    <t>Notifications and regulatory reporting 9.1 A financial institution must notify the responsible authority in the form and manner determined by the Authorities, after classifying the following as a material incident – cyber incidents; or information security compromise.</t>
  </si>
  <si>
    <t>Short title and commencement</t>
  </si>
  <si>
    <t>This Joint Standard is titled 'Cybersecurity and Cyber Resilience Requirements for Financial Institutions, 2024' and comes into effect on a date to be determined by the Authorities.</t>
  </si>
  <si>
    <t>Short title and commencement 10.1 This Joint Standard is called Cybersecurity and Cyber Resilience Requirements for Financial Institutions, 2024 and comes into effect on the date indicated in paragraph 10.2 below.</t>
  </si>
  <si>
    <t>PA Directive</t>
  </si>
  <si>
    <t>Cloud Services</t>
  </si>
  <si>
    <t>Cloud Services, Data Offshoring</t>
  </si>
  <si>
    <t>Customer Data</t>
  </si>
  <si>
    <t>Prudential Authority (PA)</t>
  </si>
  <si>
    <t>PA clarifies policy on cloud computing and offshoring data for banks, noting existing practices and increasing cloud adoption.</t>
  </si>
  <si>
    <t>PA requires banks to define cloud computing and offshoring data policies aligned with risk appetite and regulatory obligations.</t>
  </si>
  <si>
    <t>[Definition] Cloud computing is defined as a model for enabling convenient, on-demand network access to a shared pool of configurable computing resources (e.g. networks, servers, storage facilities, applications and services) that can be rapidly provisioned and released with minimal management effort or service provider interaction.</t>
  </si>
  <si>
    <t>1.3.1 Cloud computing is defined as a model for enabling convenient, on-demand network access to a shared pool of configurable computing resources (e.g. networks, servers, storage facilities, applications and services) that can be rapidly provisioned and released with minimal management effort or service provider interaction.</t>
  </si>
  <si>
    <t>2–4</t>
  </si>
  <si>
    <t>Cloud Services, Data Offshoring, Risk Management, Governance</t>
  </si>
  <si>
    <t>PA mandates banks to implement risk-based approaches for cloud computing and data offshoring, with specific compliance requirements.</t>
  </si>
  <si>
    <t>Banks must have data strategy, governance framework, risk assessments, and documented agreements for cloud/offshoring activities to ensure regulatory compliance.</t>
  </si>
  <si>
    <t>[Must] Banks must have in place a formally defined and board approved data strategy and data governance framework.
[Must] Banks that use cloud computing and/or offshore their data must have a clearly defined policy for such activities, which is aligned with its business strategy and linked to its risk appetite.
[Must] Oversight of cloud computing and/or the offshoring of data must be incorporated into the governance structures, processes and procedures within the bank.
[Must] Banks must ensure that their risk and control frameworks, including the application thereof, are designed and operating effectively in order to manage the risks associated with the use of cloud computing and/or the offshoring of data.
[Must] Prior to undertaking a particular cloud computing and/or data offshoring initiative, the bank must assess whether the risk involved is within its risk appetite.
[Must] All strategic investments by the bank, including the use of cloud computing and/or the offshoring of data, must be subjected to appropriate due diligence.
[Must] Banks must take all reasonable measures to ensure the confidentiality, integrity and availability of its data, information technology (IT) applications or systems.
[Must] Banks that use cloud computing and/or offshore their data must ensure that they remain compliant with applicable legislation and regulations, both locally as well as in any country where the cloud services and/or data are hosted.
[Must Not] The use of cloud computing and/or the offshoring of data must not in any way infringe on the bank's supervisors or prevent any regulatory mandated access to information, nor must it impact on its regulators' ability to fulfil their duties.
[Must] Banks must have contingency plans to continue with operations and meet their core obligations, such as regulatory, statutory or otherwise, despite any cloud computing and/or offshoring of data arrangements which may be in place.
[Must] Banks must ensure that their intellectual property rights and contractual rights to data are not compromised, despite any cloud computing and/or offshoring of data arrangements which may be in place. Data must always be in a usable, readable and portable state, even when the contract is terminated.
[Must Not] Any cloud computing and/or offshoring of data arrangements must not impact on banks' ability to conduct forensic audits or investigations.
[Must] All cloud computing and/or offshoring of data arrangements must be contained in a documented, legally binding agreement.</t>
  </si>
  <si>
    <t>Banks must have in place a formally defined and board approved data strategy and data governance framework.</t>
  </si>
  <si>
    <t>Banks must provide PA with copies of the directive to their independent auditors for acknowledgment of receipt.</t>
  </si>
  <si>
    <t>Banks must acknowledge receipt of the directive by returning signed copies to PA for compliance tracking.</t>
  </si>
  <si>
    <t>[Must] Kindly ensure that a copy of this directive is made available to your institution's independent auditors. The attached acknowledgement of receipt duly completed and signed by both the chief executive officer of the institution and the said auditors should be returned to the PA at the earliest convenience of the aforementioned signatories.</t>
  </si>
  <si>
    <t>Kindly ensure that a copy of this directive is made available to your institution's independent auditors.</t>
  </si>
  <si>
    <t>POPIA_Regulations_-_Dec_2018</t>
  </si>
  <si>
    <t>In these Regulations, any word or expression to which a meaning has been assigned in</t>
  </si>
  <si>
    <t>Defines key terms including 'data message', 'form(s)', 'signature', 'submit', 'the Act', and 'writing' based on Electronic Communications and Transactions Act, 2002.</t>
  </si>
  <si>
    <t>[Definition] data message includes a data message as defined in section 1 of the Electronic Communications and Transactions Act, 2002
[Definition] form(s) means a form referred to in the annexures to these Regulations or any form which is substantially similar to that form
[Definition] signature includes an electronic signature as defined in section 1 of the Electronic Communications and Transactions Act, 2002
[Definition] submit means submit by data message, electronic communication, registered post, electronic mail, facsimile, or personal delivery
[Definition] the Act means the Protection of Personal Information Act, 2013
[Definition] writing includes writing as referred to in section 12 of the Electronic Communications and Transactions Act, 2002</t>
  </si>
  <si>
    <t>In these Regulations, any word or expression to which a meaning has been assigned in the Act has the meaning so assigned and, unless the context otherwise indicates: "data message" includes a data message as defined in section 1 of the Electronic Communications and Transactions Act, 2002; "form(s)" as referred to in these Regulations, means a form referred to in the annexures to these Regulations or any form which is substantially similar to that form; "signature" includes an electronic signature as defined in section 1 of the Electronic Communications and Transactions Act, 2002; "submit" means submit by (a) data message; (b) electronic communication; (c) registered post; (d) electronic mail; (e) facsimile; and (f) personal delivery; "the Act" means the Protection of Personal Information Act, 2013; and "writing" includes writing as referred to in section 12 of the Electronic Communications and Transactions Act, 2002.</t>
  </si>
  <si>
    <t>CONTACT DETAILS</t>
  </si>
  <si>
    <t>NOTICE OF A DECISION ON AN ASSESSMENT</t>
  </si>
  <si>
    <t>Information Regulator</t>
  </si>
  <si>
    <t>Regulator decides to conduct assessment of information processing compliance with POPIA.</t>
  </si>
  <si>
    <t>Regulator conducts assessment of information processing compliance with POPIA.</t>
  </si>
  <si>
    <t>[Must] Regulator has decided to conduct an assessment in terms of section 89(1) of the Protection of Personal Information Act 4 of 2013</t>
  </si>
  <si>
    <t>The Regulator has decided to conduct an assessment in terms of section 89(1) of the Protection of Personal Information Act 4 of 2013.</t>
  </si>
  <si>
    <t>In hierdie Regulasie het enige woord of uitdrukking waaraan ‟n betekenis ingevolge die</t>
  </si>
  <si>
    <t>45–46</t>
  </si>
  <si>
    <t>KONTAKBESONDERHEDE</t>
  </si>
  <si>
    <t>73</t>
  </si>
  <si>
    <t>Regulator</t>
  </si>
  <si>
    <t>Notification of the audit decision.</t>
  </si>
  <si>
    <t>[Must] The regulator has decided to conduct an audit.</t>
  </si>
  <si>
    <t>1. KENNISGEWING VAN 'N BESLUIT OOR 'N OUDIT Die Reguleerder het besluit om 'n oudit te doen ingevolge artikel 89(1) van die Wet op Beskerming van Persoonlike Inligting, 2:2013.</t>
  </si>
  <si>
    <t>KENNISGEWING VAN 'N BESLUIT OOR 'N OUDIT</t>
  </si>
  <si>
    <t>74–75</t>
  </si>
  <si>
    <t>(1) A data subject who wishes to object to the processing of personal information</t>
  </si>
  <si>
    <t>Data Subject Rights</t>
  </si>
  <si>
    <t>Data subjects must submit objections to processing on Form 1 to responsible parties for lawful processing under section 11(3)(a) of the Act.</t>
  </si>
  <si>
    <t>Data subjects can object to processing via Form 1; responsible parties must provide reasonable assistance free of charge.</t>
  </si>
  <si>
    <t>[Must] A data subject who wishes to object to the processing of personal information in terms of section 11(3)(a) of the Act, must submit the objection to the responsible party on Form 1
[Must] The responsible party, or a designated person, must render such reasonable assistance as is necessary, free of charge, to enable the data subject to make an objection on Form 1</t>
  </si>
  <si>
    <t>(1) A data subject who wishes to object to the processing of personal information in terms of section 11(3)(a) of the Act, must submit the objection to the responsible party on Form 1. (2) The responsible party, or a designated person, must render such reasonable assistance as is necessary, free of charge, to enable the data subject to make an objection on Form 1.</t>
  </si>
  <si>
    <t>INFORMATION PROCESSING TO BE ASSESSED</t>
  </si>
  <si>
    <t>Information processing to be assessed is specified.</t>
  </si>
  <si>
    <t>Information processing to be assessed is specified for compliance with POPIA.</t>
  </si>
  <si>
    <t>[Must] Information processing to be assessed is specified</t>
  </si>
  <si>
    <t>2. INFORMATION PROCESSING TO BE ASSESSED</t>
  </si>
  <si>
    <t>(1)</t>
  </si>
  <si>
    <t>Responsible party</t>
  </si>
  <si>
    <t>Data subjects must submit a complaint form to the responsible party for data processing under Article 11(3)(a) of the Act.</t>
  </si>
  <si>
    <t>Data subjects can request correction or deletion of personal information via Form 1; responsible parties must provide reasonable assistance at no cost.</t>
  </si>
  <si>
    <t>[Must] Data subject must submit Form 1 to responsible party for data processing under Article 11(3)(a) of the Act
[Must] Responsible party must provide reasonable assistance at no cost for data subject to complete Form 1</t>
  </si>
  <si>
    <t>„n Datasubjek wat beswaar wil aanteken teen die verwerking van persoonlike inligting ingevolge artikel 11(3)(a) van die Wet, moet die beswaar op Vorm 1 aan die verantwoordelike party voorlê. Die verantwoordelike party, of ‟n aangewese persoon, moet waar nodig redelike bystand lewer, kosteloos, om die datasubjek in staat te stel om ‟n beswaar op Vorm 1 te maak.</t>
  </si>
  <si>
    <t>INLIGTINGSVERWERKING WAT GEOUDITEER MOET WORD</t>
  </si>
  <si>
    <t>Information processing that must be audited.</t>
  </si>
  <si>
    <t>[Must] Specify information processing that must be audited.</t>
  </si>
  <si>
    <t>2. INLIGTINGSVERWERKING WAT GEOUDITEER MOET WORD</t>
  </si>
  <si>
    <t>INLIGTINGSVERWERKING WAT GEOUDIT MOET WORD</t>
  </si>
  <si>
    <t>(1) A data subject who wishes to request a correction or deletion of personal</t>
  </si>
  <si>
    <t>Data subjects must submit requests for correction or deletion of personal information on Form 2 to responsible parties for lawful processing under section 24(1) of the Act.</t>
  </si>
  <si>
    <t>Data subjects can request correction/deletion via Form 2; responsible parties must provide reasonable assistance free of charge.</t>
  </si>
  <si>
    <t>[Must] A data subject who wishes to request a correction or deletion of personal information or the destruction or deletion of a record of personal information in terms of section 24(1) of the Act, must submit a request to the responsible party on Form 2
[Must] The responsible party, or a designated person, must render such reasonable assistance, as is necessary free of charge, to enable a data subject to complete Form 2</t>
  </si>
  <si>
    <t>(1) A data subject who wishes to request a correction or deletion of personal information or the destruction or deletion of a record of personal information in terms of section 24(1) of the Act, must submit a request to the responsible party on Form 2. (2) The responsible party, or a designated person, must render such reasonable assistance, as is necessary free of charge, to enable a data subject to complete Form 2.</t>
  </si>
  <si>
    <t>Complete as is applicable.</t>
  </si>
  <si>
    <t>9–11</t>
  </si>
  <si>
    <t>11–17</t>
  </si>
  <si>
    <t>Provides form for requests to assess compliance with personal information processing.</t>
  </si>
  <si>
    <t>Allows entities to request assessments of compliance with personal information processing activities.</t>
  </si>
  <si>
    <t>[Must] Provide details of requester, responsible party, and information processing to be assessed</t>
  </si>
  <si>
    <t>REQUEST FOR AN ASSESSMENT SECTION 89(1) OF THE PROTECTION OF PERSONAL INFORMATION ACT 4 OF 2013</t>
  </si>
  <si>
    <t>17–29</t>
  </si>
  <si>
    <t>PERSONS AFFECTED BY THE RELEVANT INFORMATION PROCESSING PRACTICE/S</t>
  </si>
  <si>
    <t>Persons affected by relevant information processing practice/s are specified.</t>
  </si>
  <si>
    <t>Persons affected by relevant information processing practice/s are specified for compliance with POPIA.</t>
  </si>
  <si>
    <t>[Must] Persons affected by relevant information processing practice/s are specified</t>
  </si>
  <si>
    <t>3. PERSONS AFFECTED BY THE RELEVANT INFORMATION PROCESSING PRACTICE/S</t>
  </si>
  <si>
    <t>46–47</t>
  </si>
  <si>
    <t>Data subjects must submit a request form to the responsible party for correction or deletion of personal information under Article 24(1) of the Act.</t>
  </si>
  <si>
    <t>Data subjects can request correction or deletion of personal information via Form 2; responsible parties must provide reasonable assistance at no cost.</t>
  </si>
  <si>
    <t>[Must] Data subject must submit Form 2 to responsible party for correction or deletion of personal information under Article 24(1) of the Act
[Must] Responsible party must provide reasonable assistance at no cost for data subject to complete Form 2</t>
  </si>
  <si>
    <t>„n Datasubjek wat ‟n regstelling of skrapping van persoonlike inligting of die vernietiging of skrapping van ‟n rekord van persoonlike inligting ingevolge artikel 24(1) van die Wet wil aansoek doen, moet ‟n versoek op Vorm 2 aan die verantwoordelike party voorlê. Die verantwoordelike party, of ‟n aangewese persoon, moet waar nodig redelike bystand lewer, gratis, sodat ‟n datasubjek Vorm 2 kan invul.</t>
  </si>
  <si>
    <t>Vul in waar van toepassing.</t>
  </si>
  <si>
    <t>53–55</t>
  </si>
  <si>
    <t>55–61</t>
  </si>
  <si>
    <t>61–73</t>
  </si>
  <si>
    <t>Persons affected by the information processing practice.</t>
  </si>
  <si>
    <t>[Must] Identify persons affected by the information processing practice.</t>
  </si>
  <si>
    <t>3. PERSONE GERAAK DEUR DIE TERSAAKLIKE INLIGTINGSVERWERKINGSPRAKTYK(E)</t>
  </si>
  <si>
    <t>PERSONE GERAAK DEUR DIE TERSAAKLIKE INLIGTINGSVERWERKINGSPRAKTYK(E)</t>
  </si>
  <si>
    <t>(1) An information officer must, in addition to the responsibilities referred to in</t>
  </si>
  <si>
    <t>Governance, Record Keeping</t>
  </si>
  <si>
    <t>Information officers must develop compliance frameworks, conduct impact assessments, maintain manuals, and ensure internal awareness sessions for the Act.</t>
  </si>
  <si>
    <t>Information officers must implement compliance frameworks, conduct impact assessments, maintain manuals, and conduct awareness sessions.</t>
  </si>
  <si>
    <t>[Must] An information officer must, in addition to the responsibilities referred to in section 55(1) of the Act, ensure that a compliance framework is developed, implemented, monitored and maintained
[Must] An information officer must, in addition to the responsibilities referred to in section 55(1) of the Act, ensure that a personal information impact assessment is done to ensure that adequate measures and standards exist in order to comply with the conditions for the lawful processing of personal information
[Must] An information officer must, in addition to the responsibilities referred to in section 55(1) of the Act, ensure that a manual is developed, monitored, maintained and made available as prescribed in sections 14 and 51 of the Promotion of Access to Information Act, 2000
[Must] An information officer must, in addition to the responsibilities referred to in section 55(1) of the Act, ensure that internal measures are developed together with adequate systems to process requests for information or access thereto
[Must] An information officer must, in addition to the responsibilities referred to in section 55(1) of the Act, ensure that internal awareness sessions are conducted regarding the provisions of the Act, regulations made in terms of the Act, codes of conduct, or information obtained from the Regulator
[Must] The information officer shall upon request by any person, provide copies of the manual to that person upon the payment of a fee to be determined by the Regulator from time to time</t>
  </si>
  <si>
    <t>An information officer must, in addition to the responsibilities referred to in section 55(1) of the Act, ensure that- (a) a compliance framework is developed, implemented, monitored and maintained (b) a personal information impact assessment is done to ensure that adequate measures and standards exist in order to comply with the conditions for the lawful processing of personal information; (c) a manual is developed, monitored, maintained and made available as prescribed in sections 14 and 51 of the Promotion of Access to Information Act, 2000; (d) internal measures are developed together with adequate systems to process requests for information or access thereto; and (e) internal awareness sessions are conducted regarding the provisions of the Act, regulations made in terms of the Act, codes of conduct, or information obtained from the Regulator.</t>
  </si>
  <si>
    <t>THE REASON WHY AN ASSESSMENT IS REQUESTED</t>
  </si>
  <si>
    <t>THE REASON WHY AN ASSESSMENT IS TO BE CONDUCTED/ NOT TO BE CONDUCTED</t>
  </si>
  <si>
    <t>Reason for conducting or not conducting assessment is specified.</t>
  </si>
  <si>
    <t>Reason for conducting or not conducting assessment is specified for compliance with POPIA.</t>
  </si>
  <si>
    <t>[Must] Reason why an assessment is to be conducted/not to be conducted is specified</t>
  </si>
  <si>
    <t>4. THE REASON WHY AN ASSESSMENT IS TO BE CONDUCTED/NOT TO BE CONDUCTED</t>
  </si>
  <si>
    <t>Information officer</t>
  </si>
  <si>
    <t>Information officers must develop, implement, monitor and maintain a compliance framework.</t>
  </si>
  <si>
    <t>Information officers must establish a compliance framework, conduct impact assessments, develop guidelines, and hold awareness sessions.</t>
  </si>
  <si>
    <t>[Must] Information officer must develop, implement, monitor and maintain a compliance framework
[Must] Information officer must conduct personal information impact assessments
[Must] Information officer must develop, monitor, maintain and provide guidelines as per the Access to Information Act
[Must] Information officer must develop internal policies and systems for information requests
[Must] Information officer must hold internal awareness sessions on the Act, regulations, codes of conduct, and regulatory information</t>
  </si>
  <si>
    <t>„n Inligtingsbeampte moet, bykomend tot die verantwoordelikhede in artikel 55(1) van die Wet beoog, verseker dat- (a) ‟n voldoeningsraamwerk ontwikkel, geïmplementeer, gemonitor en onderhou word; (b) ‟n persoonlike inligtingsimpakassessering gedoen word om te verseker dat voldoende maatreëls en standaarde bestaan ten einde te voldoen aan die voorwaardes vir die wettige verwerking van persoonlike inligting; (c) ‟n handleiding ontwikkel, gemonitor, onderhou en beskikbaar gestel word soos in artikels 14 en 51 van die Wet op Bevordering van Toegang tot Inligting, 2000 (Wet van 2000), voorgeskryf; (d) interne maatreëls ontwikkel word saam met voldoende stelsels om versoeke om inligting of toegang daartoe te verwerk; en (e) interne bewustheidsessies oor die bepalings van die Wet, regulasies ingevolge die Wet uitgevaardig, gedragskode, of inligting van die Reguleerder verkry, gehou word.</t>
  </si>
  <si>
    <t>DIE REDE VIR DIE VERSOEK OM 'N OUDIT</t>
  </si>
  <si>
    <t>73–74</t>
  </si>
  <si>
    <t>Reasons for the request for an audit.</t>
  </si>
  <si>
    <t>[Must] State reasons for the request for an audit.</t>
  </si>
  <si>
    <t>4. DIE REDE VIR DIE VERSOEK OM 'N OUDIT</t>
  </si>
  <si>
    <t>WAAROM 'N OUDIT GEDOEN GAAN WORD/NIE GEDOEN GAAN WORD NIE</t>
  </si>
  <si>
    <t>A private or public body which is sufficiently representative of any class of</t>
  </si>
  <si>
    <t>Private or public bodies can apply for codes of conduct to the Regulator on Form 3 for industry-specific standards.</t>
  </si>
  <si>
    <t>Bodies can apply for codes of conduct via Form 3; Regulator may issue codes of conduct.</t>
  </si>
  <si>
    <t>[Must] A private or public body which is sufficiently representative of any class of bodies, or of any industry, profession, or vocation that wishes to apply for the issuing of a code of conduct in terms of section 61(1)(b) of the Act, must submit an application to the Regulator on Form 3</t>
  </si>
  <si>
    <t>A private or public body which is sufficiently representative of any class of bodies, or of any industry, profession, or vocation that wishes to apply for the issuing of a code of conduct in terms of section 61(1)(b) of the Act, must submit an application to the Regulator on Form 3.</t>
  </si>
  <si>
    <t>SPECIFIC ASPECTS OF THE PROCESSING OF INFORMATION THAT THE ASSESSMENT</t>
  </si>
  <si>
    <t>31–45</t>
  </si>
  <si>
    <t>Specific aspects of processing that assessment should address are specified.</t>
  </si>
  <si>
    <t>Specific aspects of processing that assessment should address are specified for compliance with POPIA.</t>
  </si>
  <si>
    <t>[Must] Specific aspects of processing of information that the assessment should address are specified</t>
  </si>
  <si>
    <t>5. SPECIFIC ASPECTS OF THE PROCESSING OF INFORMATION THAT THE ASSESSMENT SHOULD ADDRESS</t>
  </si>
  <si>
    <t>‟n Privaat of openbare liggaam wat voldoende verteenwoordigend van enige klas</t>
  </si>
  <si>
    <t>47–48</t>
  </si>
  <si>
    <t>Organizations must submit a request form to the regulator for the issuance of a code of conduct under Article 61(1)(b) of the Act.</t>
  </si>
  <si>
    <t>Organizations can request a code of conduct via Form 3; regulator must process the request.</t>
  </si>
  <si>
    <t>[Must] Organization must submit Form 3 to regulator for code of conduct under Article 61(1)(b) of the Act</t>
  </si>
  <si>
    <t>„n Privaat of openbare liggaam wat voldoende verteenwoordigend van enige klas van liggame, of van enige nywerheid, professie of ambag is wat om die uitreiking van ‟n gedragskode ingevolge artikel 61(1)(b) van die Wet wil aansoek doen, moet ‟n aansoek op Vorm 3 aan die Reguleerder voorlê.</t>
  </si>
  <si>
    <t>SPESIFIEKE ASPEKTE VAN DIE VERWERKING VAN INLIGTING WAAROP DIE OUDIT MOET</t>
  </si>
  <si>
    <t>74</t>
  </si>
  <si>
    <t>Specific aspects of information processing that the audit must cover.</t>
  </si>
  <si>
    <t>[Must] Specify specific aspects of information processing that the audit must cover.</t>
  </si>
  <si>
    <t>5. SPESIFIEKE ASPEKTE VAN DIE VERWERKING VAN INLIGTING WAAROP DIE OUDIT MOET INGAAN</t>
  </si>
  <si>
    <t>75–89</t>
  </si>
  <si>
    <t>Section 5 outlines specific aspects of information processing that the auditor must review.</t>
  </si>
  <si>
    <t>A responsible party who wishes to process personal information of a data subject</t>
  </si>
  <si>
    <t>Consent</t>
  </si>
  <si>
    <t>Responsible parties must obtain written consent for direct marketing via electronic communication using Form 4.</t>
  </si>
  <si>
    <t>Responsible parties must obtain written consent for direct marketing via Form 4.</t>
  </si>
  <si>
    <t>[Must] A responsible party who wishes to process personal information of a data subject for the purpose of direct marketing by electronic communication must in terms of section 69(2) of the Act submit a request for written consent to that data subject on Form 4</t>
  </si>
  <si>
    <t>A responsible party who wishes to process personal information of a data subject for the purpose of direct marketing by electronic communication must in terms of section 69(2) of the Act submit a request for written consent to that data subject on Form 4.</t>
  </si>
  <si>
    <t>PERIOD</t>
  </si>
  <si>
    <t>„n Verantwoordelike party wat die persoonlike inligting van ‟n datasubjek wil</t>
  </si>
  <si>
    <t>Responsible parties must obtain written consent from data subjects for direct marketing via electronic communication under Article 69(2) of the Act.</t>
  </si>
  <si>
    <t>Responsible parties must obtain written consent for direct marketing via Form 4; data subjects must provide consent for electronic communication.</t>
  </si>
  <si>
    <t>[Must] Responsible party must obtain written consent from data subject for direct marketing via electronic communication under Article 69(2) of the Act</t>
  </si>
  <si>
    <t>„n Verantwoordelike party wat die persoonlike inligting van ‟n datasubjek wil verwerk met die oog op regstreekse bemarking deur elektroniese kommunikasie moet ingevolge artikel 69(2) van die Wet ‟n versoek om skriftelike toestemming op Vorm 4 aan daardie datasubjek voorlê.</t>
  </si>
  <si>
    <t>TYDPERK</t>
  </si>
  <si>
    <t>Time period for the audit request.</t>
  </si>
  <si>
    <t>[Must] State the date when the audit request became known.
[Must] Explain the reason for the delay in requesting the audit (if any).</t>
  </si>
  <si>
    <t>6. TYDPERK Ek het die eerste keer op die ......... dag van .......... 20..... daarvan bewus geword dat die verwerking van inligting geoudit moet word</t>
  </si>
  <si>
    <t>Complaints must be submitted to the Regulator on Form 5 for investigation under section 74 of the Act.</t>
  </si>
  <si>
    <t>Complaints must be submitted to the Regulator on Form 5; Regulator handles complaints via Form 5.</t>
  </si>
  <si>
    <t>[Must] Any person who wishes to submit a complaint contemplated in section 74(1) of the Act must submit such a complaint to the Regulator on Part I of Form 5
[Must] A responsible party or a data subject who wishes to submit a complaint contemplated in section 74(2) of the Act must submit such a complaint to the Regulator on Part II of Form 5</t>
  </si>
  <si>
    <t>(1) Any person who wishes to submit a complaint contemplated in section 74(1) of the Act must submit such a complaint to the Regulator on Part I of Form 5. (2) A responsible party or a data subject who wishes to submit a complaint contemplated in section 74(2) of the Act must submit such a complaint to the Regulator on Part II of Form 5.</t>
  </si>
  <si>
    <t>DATA SUBJECT PARTICIPATION:</t>
  </si>
  <si>
    <t>Data subject has right to access and correct personal information held by responsible party as per POPIA sections 23 and 24.</t>
  </si>
  <si>
    <t>Data subject rights require access and correction of personal information under POPIA sections 23 and 24.</t>
  </si>
  <si>
    <t>[Must] Data subject has right to access personal information held by responsible party in terms of section 23 of POPIA
[Must] Data subject has right to request correction of personal information held by responsible party in terms of section 24 of POPIA</t>
  </si>
  <si>
    <t>Does the requester: Have the right to access personal information held by the responsible party in terms of section 23 of the Protection of Personal Information Act 4 of 2013: Yes/No/Not applicable. Have to right to request the responsible party to correct personal information in terms of section 24 of the Protection of Personal Information Act 4 of 2013: Yes/No/Not applicable.</t>
  </si>
  <si>
    <t>Complaints must be submitted to the regulator in the form of Form 5.</t>
  </si>
  <si>
    <t>Complaints must be filed with the regulator using Form 5; regulator must process complaints.</t>
  </si>
  <si>
    <t>[Must] Complainant must submit complaint to regulator on Form 5</t>
  </si>
  <si>
    <t>Enigiemand wat ‟n klagte in artikel 74(1) van die Wet bedoel, wil voorlê, moet sodanige klagte op Deel I van Vorm 5 aan die Reguleerder voorlê.</t>
  </si>
  <si>
    <t>DATASUBJEK DEELNAME:</t>
  </si>
  <si>
    <t>Data Sharing, Data Storage</t>
  </si>
  <si>
    <t>Data subject's participation in the audit request.</t>
  </si>
  <si>
    <t>[Must] Indicate whether the data subject has the right to access personal information.
[Must] Indicate whether the data subject has the right to correct personal information.</t>
  </si>
  <si>
    <t>7. DATASUBJEK DEELNAME: Het die versoeker: Die reg op toegang tot die persoonlike inligting wat die verantwoordelike party ingevolge artikel 23 van die Wet op Beskerming van Persoonlike Inligting, 2013, hou</t>
  </si>
  <si>
    <t>Regulator must inform data subjects and responsible parties of conciliation meetings and issues during complaint investigations.</t>
  </si>
  <si>
    <t>Regulator must inform data subjects and responsible parties of conciliation meetings and issues during investigations.</t>
  </si>
  <si>
    <t>[Must] If during the investigation of a complaint the Regulator decides to act as a conciliator in terms of section 76(1)(b) of the Act, and convene a conciliation meeting, the Regulator must, as soon as it is practically possible, inform the data subject and the responsible party implicated in the complaint on Form 6 of the following: (a) the Regulator's decision to act as a conciliator in the matter; and (b) the date, time and place of the conciliation meeting
[May] The Regulator may consolidate separate complaints, which are alleged to relate to the same interference with the protection of personal information by the same responsible party, in order to deal with the complaints in the same conciliation proceedings
[Must] The Regulator must ensure that all persons entitled to attend the conciliation meeting are notified within a reasonable time, of the date, time and place of the meeting
[May] The Regulator may request all the relevant documentation relating to the complaint from the data subject and the responsible party
[May] The Regulator may confer with the parties in person, by electronic communication means, or by any other means as is deemed appropriate
[Must] Where a conciliation meeting fails to take place, the Regulator must arrange for an alternative date and notify the persons entitled to attend the conciliation meeting accordingly
[Must] The Regulator must issue a conciliation certificate on Form 7 within a reasonable time after the date of the conclusion of the conciliation meeting
[Must] If the complaint is not resolved, or either or both of the parties did not attend a conciliation meeting, the Regulator must proceed with the complaint as provided for in terms of section 76 of the Act</t>
  </si>
  <si>
    <t>If during the investigation of a complaint the Regulator decides to act as a conciliator in terms of section 76(1)(b) of the Act, and convene a conciliation meeting, the Regulator must, as soon as it is practically possible, inform the data subject and the responsible party implicated in the complaint on Form 6 of the following: (a) the Regulator's decision to act as a conciliator in the matter; and (b) the date, time and place of the conciliation meeting. The Regulator- (a) may consolidate separate complaints, which are alleged to relate to the same interference with the protection of personal information by the same responsible party, in order to deal with the complaints in the same conciliation proceedings; (b) must ensure that all persons entitled to attend the conciliation meeting are notified within a reasonable time, of the date, time and place of the meeting; (c) may request all the relevant documentation relating to the complaint from the data subject and the responsible party; and (d) may confer with the parties in person, by electronic communication means, or by any other means as is deemed appropriate. Where a conciliation meeting fails to take place, the Regulator must arrange for an alternative date and notify the persons entitled to attend the conciliation meeting accordingly. The Regulator must issue a conciliation certificate on Form 7 within a reasonable time after the date of the conclusion of the conciliation meeting. If the complaint is not resolved, or either or both of the parties did not attend a conciliation meeting, the Regulator must proceed with the complaint as provided for in terms of section 76 of the Act.</t>
  </si>
  <si>
    <t>48–49</t>
  </si>
  <si>
    <t>Regulator may act as mediator during complaint investigations.</t>
  </si>
  <si>
    <t>Regulator may act as mediator during complaint investigations; must inform parties of mediation proceedings.</t>
  </si>
  <si>
    <t>[May] Regulator may act as mediator during complaint investigations
[Must] Regulator must inform data subject and responsible party of mediation proceedings</t>
  </si>
  <si>
    <t>Indien die Reguleerder tydens die ondersoek van ‟n klagte besluit om ingevolge artikel 76(1)(b) van die Wet as ‟n konsiliator op te tree, en ‟n konsiliasievergadering saamroep, moet die Reguleerder, so gou as prakties moontlik, die datasubjek en die geïmpliseerde verantwoordelike party op Vorm 6 oor die volgende in kennis stel: (a) die Reguleerder se besluit om as ‟n konsiliator in die aangeleentheid op te tree; en (b) die datum, tyd en plek van die konsiliasievergadering.</t>
  </si>
  <si>
    <t>(1) If the Regulator intends to investigate any matter contemplated in Chapter 10</t>
  </si>
  <si>
    <t>Regulator must handle complaints through Form 5 for investigation under section 74 of the Act.</t>
  </si>
  <si>
    <t>49–50</t>
  </si>
  <si>
    <t>Regulator must notify parties before conducting investigations.</t>
  </si>
  <si>
    <t>Regulator must notify parties before conducting investigations; parties must respond to notifications.</t>
  </si>
  <si>
    <t>[Must] Regulator must notify parties before conducting investigations
[Must] Regulator must inform responsible party of complaint or investigation subject</t>
  </si>
  <si>
    <t>Indien die Reguleerder voornemens is om enige aangeleentheid beoog in Hoofstuk 10 van die Wet beoog, te ondersoek, moet die Reguleerder ingevolge artikel 79 van die Wet die partye op wie die ondersoek betrekking het, op Deel I van Vorm 8 verwittig van sodanige voorneme voordat die ondersoek gedoen word.</t>
  </si>
  <si>
    <t>(1) If it appears from a complaint or any written reply to the complaint under</t>
  </si>
  <si>
    <t>Regulator must issue conciliation certificates on Form 7 after conciliation meetings.</t>
  </si>
  <si>
    <t>[Must] The Regulator must issue a conciliation certificate on Form 7 within a reasonable time after the date of the conclusion of the conciliation meeting</t>
  </si>
  <si>
    <t>The Regulator must issue a conciliation certificate on Form 7 within a reasonable time after the date of the conclusion of the conciliation meeting.</t>
  </si>
  <si>
    <t>50–51</t>
  </si>
  <si>
    <t>Regulator may facilitate settlements between parties during complaint investigations.</t>
  </si>
  <si>
    <t>Regulator may facilitate settlements between parties; must issue settlement certificates.</t>
  </si>
  <si>
    <t>[May] Regulator may facilitate settlements between parties
[Must] Regulator must issue settlement certificate on Form 10</t>
  </si>
  <si>
    <t>Indien dit uit ‟n klagte of enige skriftelike antwoord op die klagte kragtens artikel 79(b)(ii) van die Wet of tydens ‟n konsiliasievergadering, voorkom dat dit moontlik kan wees om ‟n skikking tussen die partye en indien gepas, bevredigende versekerings soos beoog in artikel 80 van die Wet, te verkry, kan die Reguleerder persoonlik oorleg pleeg met die partye, per elektroniese kommunikasiemiddele, of per enige ander middele soos gepas geag word om te poog om ‟n skikking te verkry en indien van toepassing, bevredigende versekerings soos beoog in artikel 80 van die Wet.</t>
  </si>
  <si>
    <t>Regulator must conduct audits and notify parties of audit findings.</t>
  </si>
  <si>
    <t>Regulator must conduct audits; must notify parties of audit findings.</t>
  </si>
  <si>
    <t>[Must] Regulator must conduct audits
Regulator must notify parties of audit findings</t>
  </si>
  <si>
    <t>„n Versoek om ‟n oudit ingevolge artikel 89(1) van die Wet moet op Deel 1 van Vorm 11 aan die Reguleerder voorgelê word.</t>
  </si>
  <si>
    <t>51–52</t>
  </si>
  <si>
    <t>Regulator must inform parties of developments during investigations.</t>
  </si>
  <si>
    <t>Regulator must inform parties of developments during investigations; must notify parties of investigation outcomes.</t>
  </si>
  <si>
    <t>[Must] Regulator must inform parties of developments during investigations
[Must] Regulator must notify parties of investigation outcomes</t>
  </si>
  <si>
    <t>Deur die loop van ‟n ondersoek moet die Reguleerder binne ‟n redelike tyd vanaf die datum waarop ‟n besluit geneem of stap gedoen word- (a) die klaer, die datasubjek (indien nie die klaer nie) en die verantwoordelike party ingelig hou van die ontwikkelings in die ondersoek; en (b) die klaer, datasubjek (indien nie klaer nie) en die verantwoordelike party verwittig van die uitslag van die ondersoek.</t>
  </si>
  <si>
    <t>These Regulations shall be called the Regulations relating to the Protection of</t>
  </si>
  <si>
    <t>Hierdie Regulasies heet die Regulasies op die Beskerming van Persoonlike Inligting</t>
  </si>
  <si>
    <t>52–53</t>
  </si>
  <si>
    <t>Regulations are titled 'Regulations on the Protection of Personal Information' and come into effect upon publication.</t>
  </si>
  <si>
    <t>Hierdie Regulasies heet die Regulasies op die Beskerming van Persoonlike Inligting en tree in werking op ‟n datum deur die Reguleerder by proklamasie in die Staatskoerant vasgestel.</t>
  </si>
  <si>
    <t>South Africa National Cybersecurity Policy Framework (NCPF) 2015</t>
  </si>
  <si>
    <t>1 . Introduction</t>
  </si>
  <si>
    <t>10–12</t>
  </si>
  <si>
    <t>Introduces South Africa's National Cybersecurity Policy Framework (NCPF) as part of government's outcome-based priorities to enhance safety through cybersecurity measures, recognizing cyber threats' personal, national, and international dimensions.</t>
  </si>
  <si>
    <t>1.1 A number of strategic interventions and tactical interventions have been successfully implemented over the past few years and other interventions are in the process of being implemented within the Justice, Crime Prevention and Security (JCPS) Cluster in the fight against crime with the objective of making South Africa Safe.</t>
  </si>
  <si>
    <t>have the potential to impact on our national security and economy.</t>
  </si>
  <si>
    <t>12–14</t>
  </si>
  <si>
    <t>Highlights South Africa's vulnerability to cybercrime, noting phishing and e-crime incidents targeting the country, with the banking sector being especially vulnerable.</t>
  </si>
  <si>
    <t>2.4 Statistics in 2011 indicate that South Africa was in the top three countries that are targeted for phishing purposes, the other countries are the USA and the UK.</t>
  </si>
  <si>
    <t>freedom of expression.</t>
  </si>
  <si>
    <t>Outlines the purpose of the NCPF to create a secure cyberspace that protects critical information infrastructure while strengthening shared human values and understanding of cybersecurity.</t>
  </si>
  <si>
    <t>3.1 The purpose of the NCPF is to create a secure, dependable, reliable and trustworthy cyber environment that facilitates the protection of critical information infrastructure whilst strengthening shared human values and understanding of Cybersecurity in support of national security imperatives and the economy.</t>
  </si>
  <si>
    <t>Key Objectives of the NCPF</t>
  </si>
  <si>
    <t>Sets strategic priorities for the NCPF, including centralizing cybersecurity coordination, fostering public-private cooperation, promoting international collaboration, and developing cybersecurity skills.</t>
  </si>
  <si>
    <t>4.1 The NCPF articulates the overall aim and objectives of the South African Government and sets out strategic priorities that will be pursued to achieve these objectives.</t>
  </si>
  <si>
    <t>Capacity to Respond to Cybersecurity Imperatives</t>
  </si>
  <si>
    <t>15–18</t>
  </si>
  <si>
    <t>Establishes a Cybersecurity Response Committee to oversee implementation, coordinate cybersecurity activities, and ensure protection of national critical information infrastructure.</t>
  </si>
  <si>
    <t>5.2 A dedicated JCPS Committee will be established within the JCPS Cluster to coordinate Cybersecurity activities, drive the implementation of the NCPF and manage the implementation of Output 8.</t>
  </si>
  <si>
    <t>Department of Telecommunications and Postal Services (DOC)</t>
  </si>
  <si>
    <t>Establishes Cybersecurity Hub within DOC to coordinate consultation between public sector, private sector, and civil society on cybersecurity matters.</t>
  </si>
  <si>
    <t>[Must] Coordinate general Cybersecurity activities, in consultation with JCPS CRC as well as including identifying stakeholders and developing public-private relationships and collaborating with any sector CSIRTs that may be established
[Must] Disseminate relevant information to other sector CSIRTs, vendors, technology experts on Cybersecurity developments
[Must] Provide best practice guidance on ICT security for Government, business and civil society
[Must] Initiate Cybersecurity awareness campaigns
[Must] Promote compliance with standards, procedures and policy developed by the JCPS Cybersecurity Response Committee regarding Cybersecurity matters with a bearing on national security
[Must] Encourage and facilitate the development of appropriate additional sector CSIRTs</t>
  </si>
  <si>
    <t>The Cybersecurity Hub will be operated within the DOC in accordance with national security guidelines and standards issued by the JCPS Cybersecurity Response Committee.</t>
  </si>
  <si>
    <t>Verification of Information Security Products and Systems</t>
  </si>
  <si>
    <t>Promotes development of National Information Security Verification Framework for assessing and certifying products/systems impacting national security.</t>
  </si>
  <si>
    <t>[Must] Facilitating effective partnerships between the Republic of South Africa and countries with established capacity to perform information security assessments and certifications
[Must] Facilitating effective partnerships between the Government of South Africa, the private sector, academic and research institutions to ensure capacity for information security assessments and certifications within the borders of the Republic
[Must] Developing National regulations for verification of products and systems with applications in Information Security
[Must] Facilitating effective partnerships among government institutions to ensure solutions are implemented in accordance with certification conditions and legislation
[Must] Establishing a body that will centrally coordinate the required national verification functions</t>
  </si>
  <si>
    <t>The NCPF therefore promotes the facilitation by the JCPS Cybersecurity Response Committee and the National Cybersecurity Hub of the development of a National Information Security Verification Framework</t>
  </si>
  <si>
    <t>NCII Protection</t>
  </si>
  <si>
    <t>Requires identification and protection of National Critical Information Infrastructure (NCII) through regulations and business-government partnerships.</t>
  </si>
  <si>
    <t>[Must] Developing National Critical Information Infrastructure regulations, relating, inter alia, to: Information Classification and Information Security Policy and Procedures
[Must] Third Party Access to NCII
[Must] Access to and authentication on NCII
[Must] Storage and archiving of critical databases
[Must] Incident management and business continuity
[Must] Physical and technical protection of all NCII</t>
  </si>
  <si>
    <t>The NCPF therefore seeks to ensure that appropriate steps are taken to ascertain that all National Critical Information Infrastructure (NCII) are identified and properly protected from a variety of threats.</t>
  </si>
  <si>
    <t>Cryptography</t>
  </si>
  <si>
    <t>Recognizes need to review existing cryptography legislation and develop an integrated regulatory framework.</t>
  </si>
  <si>
    <t>[Must] Review the existing legislation and regulations thereof
[Must] Develop an integrated regulatory framework for Cryptography for the country</t>
  </si>
  <si>
    <t>The NCPF recognises that there is a need to: Review the existing legislation and regulations thereof; and Develop an integrated regulatory framework for Cryptography for the country.</t>
  </si>
  <si>
    <t>Promotes development of integrated National E-identity and PKI strategy for secure e-government services.</t>
  </si>
  <si>
    <t>[Must] Promote the development of an integrated National E-identity and PKI strategy</t>
  </si>
  <si>
    <t>The NCPF seeks to address the fragmented approach by promoting the development of an integrated National E-identity and PKI strategy.</t>
  </si>
  <si>
    <t>1 1 . Promote and Strengthen Local and International Cooperation</t>
  </si>
  <si>
    <t>23–30</t>
  </si>
  <si>
    <t>Personal Information, Financial Data, Customer Data, Employee Data, Health Data, Children's Data, Biometric Data, Special Personal Information</t>
  </si>
  <si>
    <t>Promotes public-private-civil sector collaboration to enhance cybersecurity through joint knowledge, threat understanding, and trusted forums.</t>
  </si>
  <si>
    <t>[Must] Promotes public-private-civil sector collaboration to enhance cybersecurity through joint knowledge, threat understanding, and trusted forums.</t>
  </si>
  <si>
    <t>11.2.2 The NCPF thus promotes the establishment of collaboration with local stakeholders, with a focus on the following aspects: (a) Inclusion of the industry and creating an enabling environment for a successful partnership; (b) Encouraging private sector groups to address common security interests and collaborate with government including encouraging cooperation among groups from interdependent industries; (c) Bringing private sector and government together in trusted forums; and (d) Creating a common understanding of the threats and vulnerabilities that the country faces and the responses required.</t>
  </si>
  <si>
    <t>Sections</t>
  </si>
  <si>
    <t>Data Collection, Data Sharing, Definitions, Governance, Processing</t>
  </si>
  <si>
    <t>Consent, Cross-border Transfer, Data Sharing</t>
  </si>
  <si>
    <t>Financial Sector Conduct Authority, Financial Sector Conduct Authority (FSCA)</t>
  </si>
  <si>
    <t>Compliance, Customer Information, Fair treatment of financial customers, Governance, Internal Controls, Risk Management, Termination</t>
  </si>
  <si>
    <t>AML, Access Control, Breach Notification, Children, Cloud Services, Collection, Compliance, Consent, Cross-border Transfer, Customer Information, Cybersecurity, Data Residency, Data Sharing, Data Storage, Definitions, Deletion, Document access, Effective date, Employee Information, Encryption, Financial Data, Governance, Incident Reporting, Information sharing, Inspection authority, International Processing, KYC, Learning and evolving, Outsourcing, Premises entry, Processing, Record Keeping, Response and recovery, Retention, Security, Situational awareness, Special Personal Information, Supervision and compliance monitoring, Testing, Third Party Processing</t>
  </si>
  <si>
    <t>Accountable institutions, Businesses and individuals, Centre, Courts, Financial Intelligence Centre, Financial Intelligence Centre (Centre), Judge, Minister, Police, President</t>
  </si>
  <si>
    <t>Breach Notification, Cloud Services, Data Sharing, Data Storage, Financial Data, Incident Reporting, Processing, Record Keeping, Retention</t>
  </si>
  <si>
    <t>Auditor-General, Board, Court, Financial Services Board, Minister, Minister, Board, Registrar, Ombud for Financial Services Providers, Parliament, Registrar, authorised financial services provider, registrar</t>
  </si>
  <si>
    <t>Data Sharing, Financial Data, Record Keeping</t>
  </si>
  <si>
    <t>Incident Reporting, Security</t>
  </si>
  <si>
    <t>Authorities, Financial institutions</t>
  </si>
  <si>
    <t>Access Control, Application, Breach Notification, Cybersecurity strategy and framework, Definitions, Governance, Incident Reporting, Learning and Evolving, Least Privilege, Segregation of Duties, User Access Management</t>
  </si>
  <si>
    <t>Cloud Services, Data Offshoring, Governance, Record Keeping, Risk Management</t>
  </si>
  <si>
    <t>Information Regulator, Information officer, Regulator, Responsible party</t>
  </si>
  <si>
    <t>Consent, Data Sharing, Data Storage, Governance, Incident Reporting, Record Keeping</t>
  </si>
  <si>
    <t>AML, Access Control, Breach Notification, Children, Cloud Services, Collection, Consent, Cross-border Transfer, Customer Information, Data Residency, Data Sharing, Data Storage, Deletion, Employee Information, Encryption, Financial Data, Governance, Incident Reporting, International Processing, KYC, Outsourcing, Processing, Record Keeping, Retention, Security, Special Personal Information, Third Party Processing</t>
  </si>
  <si>
    <t>1. FSCA Conduct Standard 1 of 2025 - Requirements for FIs providing FE initiatives, Conduct-Standard-3-of-2020-BANKS-Annexure-A</t>
  </si>
  <si>
    <t>Joint Standard 1 of 2023 - IT Governance and Risk Management, Joint Standard 2 of 2024  Cybersecurity &amp; Cyber resilience Requirements</t>
  </si>
  <si>
    <t>FICA (Financial Intelligence Centre Act, 38 of 2001, Financial Advisory and Intermediary Services Act (FAIS) 37 of 2002</t>
  </si>
  <si>
    <t>Breach Notification</t>
  </si>
  <si>
    <t>Data Storage</t>
  </si>
  <si>
    <t>Access Control</t>
  </si>
  <si>
    <t>Risk Management</t>
  </si>
  <si>
    <t>Compliance</t>
  </si>
  <si>
    <t>International Processing</t>
  </si>
  <si>
    <t>Data Residency</t>
  </si>
  <si>
    <t>Encryption</t>
  </si>
  <si>
    <t>Collection</t>
  </si>
  <si>
    <t>Deletion</t>
  </si>
  <si>
    <t>Third Party Processing</t>
  </si>
  <si>
    <t>Outsourcing</t>
  </si>
  <si>
    <t>Employee Information</t>
  </si>
  <si>
    <t>Special Personal Information</t>
  </si>
  <si>
    <t>Children</t>
  </si>
  <si>
    <t>AML</t>
  </si>
  <si>
    <t>Data Offshoring</t>
  </si>
  <si>
    <t>Internal Controls</t>
  </si>
  <si>
    <t>Termination</t>
  </si>
  <si>
    <t>Cybersecurity</t>
  </si>
  <si>
    <t>Response and recovery</t>
  </si>
  <si>
    <t>Testing</t>
  </si>
  <si>
    <t>Information sharing</t>
  </si>
  <si>
    <t>Situational awareness</t>
  </si>
  <si>
    <t>Learning and evolving</t>
  </si>
  <si>
    <t>Inspection authority</t>
  </si>
  <si>
    <t>Document access</t>
  </si>
  <si>
    <t>Premises entry</t>
  </si>
  <si>
    <t>Effective date</t>
  </si>
  <si>
    <t>User Access Management</t>
  </si>
  <si>
    <t>Segregation of Duties</t>
  </si>
  <si>
    <t>Least Privilege</t>
  </si>
  <si>
    <t>Biometric Data</t>
  </si>
  <si>
    <t>Children's Data</t>
  </si>
  <si>
    <t>Employee Data</t>
  </si>
  <si>
    <t>Health Data</t>
  </si>
  <si>
    <t>match</t>
  </si>
  <si>
    <t>rank</t>
  </si>
  <si>
    <t>rankval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</si>
</sst>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1"/>
      <name val="Calibri"/>
    </font>
    <font>
      <b/>
      <sz val="16"/>
      <color rgb="FFFFFFFF"/>
      <name val="Calibri"/>
    </font>
    <font>
      <i/>
      <sz val="11"/>
      <name val="Calibri"/>
    </font>
    <font>
      <b/>
      <sz val="11"/>
      <name val="Calibri"/>
    </font>
    <font>
      <b/>
      <sz val="13"/>
      <name val="Calibri"/>
    </font>
  </fonts>
  <fills count="4">
    <fill>
      <patternFill patternType="none"/>
    </fill>
    <fill>
      <patternFill patternType="gray125"/>
    </fill>
    <fill>
      <patternFill patternType="solid">
        <fgColor rgb="FFD9EAD3"/>
      </patternFill>
    </fill>
    <fill>
      <patternFill patternType="solid">
        <fgColor rgb="FF1F4E78"/>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1">
    <xf numFmtId="0" fontId="0" fillId="0" borderId="0" xfId="0"/>
    <xf numFmtId="0" fontId="4" fillId="0" borderId="0" xfId="0" applyFont="1"/>
    <xf numFmtId="0" fontId="5" fillId="0" borderId="0" xfId="0" applyFont="1"/>
    <xf numFmtId="0" fontId="3" fillId="0" borderId="0" xfId="0" applyFont="1"/>
    <xf numFmtId="0" fontId="0" fillId="2" borderId="0" xfId="0" applyFill="1"/>
    <xf numFmtId="0" fontId="1" fillId="2" borderId="0" xfId="0" applyFont="1" applyFill="1"/>
    <xf numFmtId="0" fontId="0" fillId="0" borderId="0" xfId="0" applyAlignment="1">
      <alignment vertical="top" wrapText="1"/>
    </xf>
    <xf numFmtId="0" fontId="1" fillId="2" borderId="1" xfId="0" applyFont="1" applyFill="1" applyBorder="1" applyAlignment="1">
      <alignment horizontal="center" vertical="center" wrapText="1"/>
    </xf>
    <xf numFmtId="0" fontId="0" fillId="0" borderId="0" xfId="0" applyAlignment="1">
      <alignment wrapText="1"/>
    </xf>
    <xf numFmtId="0" fontId="0" fillId="0" borderId="0" xfId="0"/>
    <xf numFmtId="0" fontId="2" fillId="3" borderId="0" xfId="0" applyFont="1" applyFill="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plianceTable" displayName="ComplianceTable" ref="A1:O265">
  <autoFilter ref="A1:O265" xr:uid="{00000000-0009-0000-0100-000001000000}"/>
  <tableColumns count="15">
    <tableColumn id="1" xr3:uid="{00000000-0010-0000-0000-000001000000}" name="Country"/>
    <tableColumn id="2" xr3:uid="{00000000-0010-0000-0000-000002000000}" name="Act"/>
    <tableColumn id="3" xr3:uid="{00000000-0010-0000-0000-000003000000}" name="Section"/>
    <tableColumn id="4" xr3:uid="{00000000-0010-0000-0000-000004000000}" name="Heading"/>
    <tableColumn id="5" xr3:uid="{00000000-0010-0000-0000-000005000000}" name="Pages"/>
    <tableColumn id="6" xr3:uid="{00000000-0010-0000-0000-000006000000}" name="Category"/>
    <tableColumn id="7" xr3:uid="{00000000-0010-0000-0000-000007000000}" name="Financial Relevance"/>
    <tableColumn id="8" xr3:uid="{00000000-0010-0000-0000-000008000000}" name="Confidence"/>
    <tableColumn id="9" xr3:uid="{00000000-0010-0000-0000-000009000000}" name="Topics"/>
    <tableColumn id="10" xr3:uid="{00000000-0010-0000-0000-00000A000000}" name="Data Types"/>
    <tableColumn id="11" xr3:uid="{00000000-0010-0000-0000-00000B000000}" name="Authority"/>
    <tableColumn id="12" xr3:uid="{00000000-0010-0000-0000-00000C000000}" name="Summary"/>
    <tableColumn id="13" xr3:uid="{00000000-0010-0000-0000-00000D000000}" name="DTIA Summary"/>
    <tableColumn id="14" xr3:uid="{00000000-0010-0000-0000-00000E000000}" name="Requirements"/>
    <tableColumn id="15" xr3:uid="{00000000-0010-0000-0000-00000F000000}" name="Source Quot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ActsTable" displayName="ActsTable" ref="A1:F12">
  <autoFilter ref="A1:F12" xr:uid="{00000000-0009-0000-0100-000002000000}"/>
  <tableColumns count="6">
    <tableColumn id="1" xr3:uid="{00000000-0010-0000-0100-000001000000}" name="Country"/>
    <tableColumn id="2" xr3:uid="{00000000-0010-0000-0100-000002000000}" name="Act"/>
    <tableColumn id="3" xr3:uid="{00000000-0010-0000-0100-000003000000}" name="Sections"/>
    <tableColumn id="4" xr3:uid="{00000000-0010-0000-0100-000004000000}" name="Regulators"/>
    <tableColumn id="5" xr3:uid="{00000000-0010-0000-0100-000005000000}" name="Topics"/>
    <tableColumn id="6" xr3:uid="{00000000-0010-0000-0100-000006000000}" name="Financial Relevan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RegulatorTable" displayName="RegulatorTable" ref="A1:C33">
  <autoFilter ref="A1:C33" xr:uid="{00000000-0009-0000-0100-000003000000}"/>
  <tableColumns count="3">
    <tableColumn id="1" xr3:uid="{00000000-0010-0000-0200-000001000000}" name="Authority"/>
    <tableColumn id="2" xr3:uid="{00000000-0010-0000-0200-000002000000}" name="Countries"/>
    <tableColumn id="3" xr3:uid="{00000000-0010-0000-0200-000003000000}" name="Acts"/>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opicTable" displayName="TopicTable" ref="A1:B53">
  <autoFilter ref="A1:B53" xr:uid="{00000000-0009-0000-0100-000004000000}"/>
  <tableColumns count="2">
    <tableColumn id="1" xr3:uid="{00000000-0010-0000-0300-000001000000}" name="Topic"/>
    <tableColumn id="2" xr3:uid="{00000000-0010-0000-0300-000002000000}" name="Section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4"/>
  <sheetViews>
    <sheetView showGridLines="0" workbookViewId="0">
      <selection sqref="A1:C1"/>
    </sheetView>
  </sheetViews>
  <sheetFormatPr defaultRowHeight="14.4" x14ac:dyDescent="0.3"/>
  <cols>
    <col min="1" max="1" width="26" customWidth="1"/>
    <col min="2" max="2" width="14" customWidth="1"/>
  </cols>
  <sheetData>
    <row r="1" spans="1:3" ht="21" x14ac:dyDescent="0.4">
      <c r="A1" s="10" t="s">
        <v>0</v>
      </c>
      <c r="B1" s="9"/>
      <c r="C1" s="9"/>
    </row>
    <row r="3" spans="1:3" x14ac:dyDescent="0.3">
      <c r="A3" s="1" t="s">
        <v>1</v>
      </c>
      <c r="B3">
        <v>1</v>
      </c>
    </row>
    <row r="4" spans="1:3" x14ac:dyDescent="0.3">
      <c r="A4" s="1" t="s">
        <v>2</v>
      </c>
      <c r="B4">
        <v>11</v>
      </c>
    </row>
    <row r="5" spans="1:3" x14ac:dyDescent="0.3">
      <c r="A5" s="1" t="s">
        <v>3</v>
      </c>
      <c r="B5">
        <v>32</v>
      </c>
    </row>
    <row r="6" spans="1:3" x14ac:dyDescent="0.3">
      <c r="A6" s="1" t="s">
        <v>4</v>
      </c>
      <c r="B6">
        <v>52</v>
      </c>
    </row>
    <row r="7" spans="1:3" x14ac:dyDescent="0.3">
      <c r="A7" s="1" t="s">
        <v>5</v>
      </c>
      <c r="B7">
        <v>264</v>
      </c>
    </row>
    <row r="10" spans="1:3" ht="17.399999999999999" x14ac:dyDescent="0.35">
      <c r="A10" s="2" t="s">
        <v>6</v>
      </c>
    </row>
    <row r="11" spans="1:3" x14ac:dyDescent="0.3">
      <c r="A11" s="8" t="s">
        <v>7</v>
      </c>
      <c r="B11" s="9"/>
      <c r="C11" s="9"/>
    </row>
    <row r="12" spans="1:3" x14ac:dyDescent="0.3">
      <c r="A12" s="8" t="s">
        <v>8</v>
      </c>
      <c r="B12" s="9"/>
      <c r="C12" s="9"/>
    </row>
    <row r="13" spans="1:3" x14ac:dyDescent="0.3">
      <c r="A13" s="8" t="s">
        <v>9</v>
      </c>
      <c r="B13" s="9"/>
      <c r="C13" s="9"/>
    </row>
    <row r="14" spans="1:3" x14ac:dyDescent="0.3">
      <c r="A14" s="8" t="s">
        <v>10</v>
      </c>
      <c r="B14" s="9"/>
      <c r="C14" s="9"/>
    </row>
  </sheetData>
  <mergeCells count="5">
    <mergeCell ref="A13:C13"/>
    <mergeCell ref="A11:C11"/>
    <mergeCell ref="A1:C1"/>
    <mergeCell ref="A14:C14"/>
    <mergeCell ref="A12:C12"/>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277"/>
  <sheetViews>
    <sheetView showGridLines="0" tabSelected="1" workbookViewId="0">
      <pane ySplit="13" topLeftCell="A14" activePane="bottomLeft" state="frozen"/>
      <selection pane="bottomLeft" activeCell="B6" sqref="B6"/>
    </sheetView>
  </sheetViews>
  <sheetFormatPr defaultRowHeight="14.4" x14ac:dyDescent="0.3"/>
  <cols>
    <col min="1" max="1" width="16" customWidth="1"/>
    <col min="2" max="3" width="18" customWidth="1"/>
    <col min="4" max="4" width="45" customWidth="1"/>
    <col min="5" max="8" width="18" customWidth="1"/>
    <col min="9" max="10" width="45" customWidth="1"/>
    <col min="11" max="11" width="18" customWidth="1"/>
    <col min="12" max="13" width="45" customWidth="1"/>
    <col min="14" max="14" width="125.6640625" bestFit="1" customWidth="1"/>
    <col min="15" max="15" width="45" customWidth="1"/>
  </cols>
  <sheetData>
    <row r="1" spans="1:15" ht="21" x14ac:dyDescent="0.4">
      <c r="A1" s="10" t="s">
        <v>11</v>
      </c>
      <c r="B1" s="9"/>
      <c r="C1" s="9"/>
      <c r="D1" s="9"/>
    </row>
    <row r="3" spans="1:15" x14ac:dyDescent="0.3">
      <c r="A3" s="3" t="s">
        <v>12</v>
      </c>
    </row>
    <row r="4" spans="1:15" x14ac:dyDescent="0.3">
      <c r="A4" s="1" t="s">
        <v>13</v>
      </c>
      <c r="B4" s="4" t="s">
        <v>14</v>
      </c>
    </row>
    <row r="5" spans="1:15" x14ac:dyDescent="0.3">
      <c r="A5" s="1" t="s">
        <v>15</v>
      </c>
      <c r="B5" s="4" t="s">
        <v>14</v>
      </c>
    </row>
    <row r="6" spans="1:15" x14ac:dyDescent="0.3">
      <c r="A6" s="1" t="s">
        <v>16</v>
      </c>
      <c r="B6" s="4" t="s">
        <v>14</v>
      </c>
    </row>
    <row r="7" spans="1:15" x14ac:dyDescent="0.3">
      <c r="A7" s="1" t="s">
        <v>17</v>
      </c>
      <c r="B7" s="4" t="s">
        <v>14</v>
      </c>
    </row>
    <row r="8" spans="1:15" x14ac:dyDescent="0.3">
      <c r="A8" s="1" t="s">
        <v>18</v>
      </c>
      <c r="B8" s="4" t="s">
        <v>14</v>
      </c>
    </row>
    <row r="9" spans="1:15" x14ac:dyDescent="0.3">
      <c r="A9" s="1" t="s">
        <v>19</v>
      </c>
      <c r="B9" s="4" t="s">
        <v>14</v>
      </c>
    </row>
    <row r="10" spans="1:15" x14ac:dyDescent="0.3">
      <c r="A10" s="1" t="s">
        <v>20</v>
      </c>
      <c r="B10" s="4"/>
    </row>
    <row r="12" spans="1:15" x14ac:dyDescent="0.3">
      <c r="A12" s="1" t="s">
        <v>21</v>
      </c>
      <c r="C12" s="1">
        <f>Engine!$D$1</f>
        <v>264</v>
      </c>
    </row>
    <row r="13" spans="1:15" x14ac:dyDescent="0.3">
      <c r="A13" s="5" t="s">
        <v>13</v>
      </c>
      <c r="B13" s="5" t="s">
        <v>22</v>
      </c>
      <c r="C13" s="5" t="s">
        <v>23</v>
      </c>
      <c r="D13" s="5" t="s">
        <v>24</v>
      </c>
      <c r="E13" s="5" t="s">
        <v>25</v>
      </c>
      <c r="F13" s="5" t="s">
        <v>15</v>
      </c>
      <c r="G13" s="5" t="s">
        <v>18</v>
      </c>
      <c r="H13" s="5" t="s">
        <v>26</v>
      </c>
      <c r="I13" s="5" t="s">
        <v>4</v>
      </c>
      <c r="J13" s="5" t="s">
        <v>27</v>
      </c>
      <c r="K13" s="5" t="s">
        <v>19</v>
      </c>
      <c r="L13" s="5" t="s">
        <v>28</v>
      </c>
      <c r="M13" s="5" t="s">
        <v>29</v>
      </c>
      <c r="N13" s="5" t="s">
        <v>30</v>
      </c>
      <c r="O13" s="5" t="s">
        <v>31</v>
      </c>
    </row>
    <row r="14" spans="1:15" x14ac:dyDescent="0.3">
      <c r="A14" t="str">
        <f>IF(ISNA(MATCH(1,Engine!$C$2:$C$265,0)),"",INDEX('Compliance Database'!$A$2:$A$265,MATCH(1,Engine!$C$2:$C$265,0)))</f>
        <v>South Africa</v>
      </c>
      <c r="B14" t="str">
        <f>IF(ISNA(MATCH(1,Engine!$C$2:$C$265,0)),"",INDEX('Compliance Database'!$B$2:$B$265,MATCH(1,Engine!$C$2:$C$265,0)))</f>
        <v>1. FSCA Conduct Standard 1 of 2025 - Requirements for FIs providing FE initiatives</v>
      </c>
      <c r="C14" t="str">
        <f>IF(ISNA(MATCH(1,Engine!$C$2:$C$265,0)),"",INDEX('Compliance Database'!$C$2:$C$265,MATCH(1,Engine!$C$2:$C$265,0)))</f>
        <v>1</v>
      </c>
      <c r="D14" s="6" t="str">
        <f>IF(ISNA(MATCH(1,Engine!$C$2:$C$265,0)),"",INDEX('Compliance Database'!$D$2:$D$265,MATCH(1,Engine!$C$2:$C$265,0)))</f>
        <v>Definitions</v>
      </c>
      <c r="E14" t="str">
        <f>IF(ISNA(MATCH(1,Engine!$C$2:$C$265,0)),"",INDEX('Compliance Database'!$E$2:$E$265,MATCH(1,Engine!$C$2:$C$265,0)))</f>
        <v>2–3</v>
      </c>
      <c r="F14" t="str">
        <f>IF(ISNA(MATCH(1,Engine!$C$2:$C$265,0)),"",INDEX('Compliance Database'!$F$2:$F$265,MATCH(1,Engine!$C$2:$C$265,0)))</f>
        <v>Definitions</v>
      </c>
      <c r="G14" t="str">
        <f>IF(ISNA(MATCH(1,Engine!$C$2:$C$265,0)),"",INDEX('Compliance Database'!$G$2:$G$265,MATCH(1,Engine!$C$2:$C$265,0)))</f>
        <v>Low</v>
      </c>
      <c r="H14" t="str">
        <f>IF(ISNA(MATCH(1,Engine!$C$2:$C$265,0)),"",INDEX('Compliance Database'!$H$2:$H$265,MATCH(1,Engine!$C$2:$C$265,0)))</f>
        <v>High (explicit)</v>
      </c>
      <c r="I14" s="6" t="str">
        <f>IF(ISNA(MATCH(1,Engine!$C$2:$C$265,0)),"",INDEX('Compliance Database'!$I$2:$I$265,MATCH(1,Engine!$C$2:$C$265,0)))</f>
        <v>Definitions</v>
      </c>
      <c r="J14" s="6" t="str">
        <f>IF(ISNA(MATCH(1,Engine!$C$2:$C$265,0)),"",INDEX('Compliance Database'!$J$2:$J$265,MATCH(1,Engine!$C$2:$C$265,0)))</f>
        <v>Personal Information</v>
      </c>
      <c r="K14">
        <f>IF(ISNA(MATCH(1,Engine!$C$2:$C$265,0)),"",INDEX('Compliance Database'!$K$2:$K$265,MATCH(1,Engine!$C$2:$C$265,0)))</f>
        <v>0</v>
      </c>
      <c r="L14" s="6" t="str">
        <f>IF(ISNA(MATCH(1,Engine!$C$2:$C$265,0)),"",INDEX('Compliance Database'!$L$2:$L$265,MATCH(1,Engine!$C$2:$C$265,0)))</f>
        <v>Defines key terms including 'financial customer', 'financial education', 'financial education initiative', 'Financial Sector Code', 'GN500', 'monitoring', and 'service provider' as per the Act.</v>
      </c>
      <c r="M14" s="6">
        <f>IF(ISNA(MATCH(1,Engine!$C$2:$C$265,0)),"",INDEX('Compliance Database'!$M$2:$M$265,MATCH(1,Engine!$C$2:$C$265,0)))</f>
        <v>0</v>
      </c>
      <c r="N14" s="6">
        <f>IF(ISNA(MATCH(1,Engine!$C$2:$C$265,0)),"",INDEX('Compliance Database'!$N$2:$N$265,MATCH(1,Engine!$C$2:$C$265,0)))</f>
        <v>0</v>
      </c>
      <c r="O14" s="6" t="str">
        <f>IF(ISNA(MATCH(1,Engine!$C$2:$C$265,0)),"",INDEX('Compliance Database'!$O$2:$O$265,MATCH(1,Engine!$C$2:$C$265,0)))</f>
        <v>In this Schedule, "the Act" means the Financial Sector Regulation Act, 2017 () and any word or expression to which a meaning has been assigned in the Act bears the meaning so assigned to it, and unless the context otherwise indicates –</v>
      </c>
    </row>
    <row r="15" spans="1:15" x14ac:dyDescent="0.3">
      <c r="A15" t="str">
        <f>IF(ISNA(MATCH(2,Engine!$C$2:$C$265,0)),"",INDEX('Compliance Database'!$A$2:$A$265,MATCH(2,Engine!$C$2:$C$265,0)))</f>
        <v>South Africa</v>
      </c>
      <c r="B15" t="str">
        <f>IF(ISNA(MATCH(2,Engine!$C$2:$C$265,0)),"",INDEX('Compliance Database'!$B$2:$B$265,MATCH(2,Engine!$C$2:$C$265,0)))</f>
        <v>1. FSCA Conduct Standard 1 of 2025 - Requirements for FIs providing FE initiatives</v>
      </c>
      <c r="C15" t="str">
        <f>IF(ISNA(MATCH(2,Engine!$C$2:$C$265,0)),"",INDEX('Compliance Database'!$C$2:$C$265,MATCH(2,Engine!$C$2:$C$265,0)))</f>
        <v>2</v>
      </c>
      <c r="D15" s="6" t="str">
        <f>IF(ISNA(MATCH(2,Engine!$C$2:$C$265,0)),"",INDEX('Compliance Database'!$D$2:$D$265,MATCH(2,Engine!$C$2:$C$265,0)))</f>
        <v>Application, purpose and proportional application</v>
      </c>
      <c r="E15" t="str">
        <f>IF(ISNA(MATCH(2,Engine!$C$2:$C$265,0)),"",INDEX('Compliance Database'!$E$2:$E$265,MATCH(2,Engine!$C$2:$C$265,0)))</f>
        <v>3</v>
      </c>
      <c r="F15" t="str">
        <f>IF(ISNA(MATCH(2,Engine!$C$2:$C$265,0)),"",INDEX('Compliance Database'!$F$2:$F$265,MATCH(2,Engine!$C$2:$C$265,0)))</f>
        <v>Processing</v>
      </c>
      <c r="G15" t="str">
        <f>IF(ISNA(MATCH(2,Engine!$C$2:$C$265,0)),"",INDEX('Compliance Database'!$G$2:$G$265,MATCH(2,Engine!$C$2:$C$265,0)))</f>
        <v>Low</v>
      </c>
      <c r="H15" t="str">
        <f>IF(ISNA(MATCH(2,Engine!$C$2:$C$265,0)),"",INDEX('Compliance Database'!$H$2:$H$265,MATCH(2,Engine!$C$2:$C$265,0)))</f>
        <v>High (explicit)</v>
      </c>
      <c r="I15" s="6" t="str">
        <f>IF(ISNA(MATCH(2,Engine!$C$2:$C$265,0)),"",INDEX('Compliance Database'!$I$2:$I$265,MATCH(2,Engine!$C$2:$C$265,0)))</f>
        <v>Processing</v>
      </c>
      <c r="J15" s="6" t="str">
        <f>IF(ISNA(MATCH(2,Engine!$C$2:$C$265,0)),"",INDEX('Compliance Database'!$J$2:$J$265,MATCH(2,Engine!$C$2:$C$265,0)))</f>
        <v>Personal Information</v>
      </c>
      <c r="K15">
        <f>IF(ISNA(MATCH(2,Engine!$C$2:$C$265,0)),"",INDEX('Compliance Database'!$K$2:$K$265,MATCH(2,Engine!$C$2:$C$265,0)))</f>
        <v>0</v>
      </c>
      <c r="L15" s="6" t="str">
        <f>IF(ISNA(MATCH(2,Engine!$C$2:$C$265,0)),"",INDEX('Compliance Database'!$L$2:$L$265,MATCH(2,Engine!$C$2:$C$265,0)))</f>
        <v>Specifies that the Conduct Standard applies to financial institutions providing financial education initiatives and outlines its purpose to protect financial customers and ensure appropriate standards of behaviour, governance and oversight.</v>
      </c>
      <c r="M15" s="6">
        <f>IF(ISNA(MATCH(2,Engine!$C$2:$C$265,0)),"",INDEX('Compliance Database'!$M$2:$M$265,MATCH(2,Engine!$C$2:$C$265,0)))</f>
        <v>0</v>
      </c>
      <c r="N15" s="6" t="str">
        <f>IF(ISNA(MATCH(2,Engine!$C$2:$C$265,0)),"",INDEX('Compliance Database'!$N$2:$N$265,MATCH(2,Engine!$C$2:$C$265,0)))</f>
        <v>[Must] This Conduct Standard is only applicable where a financial institution provides or offers a financial education initiative, including the provision of a financial education initiative by a service provider.
[Must] The purpose of this Conduct Standard is aimed at ensuring – (a) the protection of financial customers by ensuring that financial education initiatives provided by financial institutions are appropriate and support the ability of financial customers to make more informed and/or sound financial decisions about their personal finances or others that fall under their responsibility, as well as the financial health of their small, medium and micro-enterprises; and (b) that a financial institution providing financial education initiatives takes reasonable steps to ensure appropriate standards of behaviour, governance and oversight when, (i) developing content, implementing, monitoring and evaluating a financial education initiative; and (ii) reporting on the effectiveness, efficiency and appropriateness of a financial education initiative, including reporting to the Authority.
[Must] The requirements in this Conduct Standard, where appropriate, may be applied in a manner that is proportional to the nature, size, complexity and risk profile of the financial institution concerned as well as the nature and target group of the relevant financial education initiative.</v>
      </c>
      <c r="O15" s="6" t="str">
        <f>IF(ISNA(MATCH(2,Engine!$C$2:$C$265,0)),"",INDEX('Compliance Database'!$O$2:$O$265,MATCH(2,Engine!$C$2:$C$265,0)))</f>
        <v>This Conduct Standard is only applicable where a financial institution provides or offers a financial education initiative, including the provision of a financial education initiative by a service provider.</v>
      </c>
    </row>
    <row r="16" spans="1:15" x14ac:dyDescent="0.3">
      <c r="A16" t="str">
        <f>IF(ISNA(MATCH(3,Engine!$C$2:$C$265,0)),"",INDEX('Compliance Database'!$A$2:$A$265,MATCH(3,Engine!$C$2:$C$265,0)))</f>
        <v>South Africa</v>
      </c>
      <c r="B16" t="str">
        <f>IF(ISNA(MATCH(3,Engine!$C$2:$C$265,0)),"",INDEX('Compliance Database'!$B$2:$B$265,MATCH(3,Engine!$C$2:$C$265,0)))</f>
        <v>1. FSCA Conduct Standard 1 of 2025 - Requirements for FIs providing FE initiatives</v>
      </c>
      <c r="C16" t="str">
        <f>IF(ISNA(MATCH(3,Engine!$C$2:$C$265,0)),"",INDEX('Compliance Database'!$C$2:$C$265,MATCH(3,Engine!$C$2:$C$265,0)))</f>
        <v>3</v>
      </c>
      <c r="D16" s="6" t="str">
        <f>IF(ISNA(MATCH(3,Engine!$C$2:$C$265,0)),"",INDEX('Compliance Database'!$D$2:$D$265,MATCH(3,Engine!$C$2:$C$265,0)))</f>
        <v>Governance arrangements</v>
      </c>
      <c r="E16" t="str">
        <f>IF(ISNA(MATCH(3,Engine!$C$2:$C$265,0)),"",INDEX('Compliance Database'!$E$2:$E$265,MATCH(3,Engine!$C$2:$C$265,0)))</f>
        <v>3–4</v>
      </c>
      <c r="F16" t="str">
        <f>IF(ISNA(MATCH(3,Engine!$C$2:$C$265,0)),"",INDEX('Compliance Database'!$F$2:$F$265,MATCH(3,Engine!$C$2:$C$265,0)))</f>
        <v>Governance</v>
      </c>
      <c r="G16" t="str">
        <f>IF(ISNA(MATCH(3,Engine!$C$2:$C$265,0)),"",INDEX('Compliance Database'!$G$2:$G$265,MATCH(3,Engine!$C$2:$C$265,0)))</f>
        <v>Low</v>
      </c>
      <c r="H16" t="str">
        <f>IF(ISNA(MATCH(3,Engine!$C$2:$C$265,0)),"",INDEX('Compliance Database'!$H$2:$H$265,MATCH(3,Engine!$C$2:$C$265,0)))</f>
        <v>High (explicit)</v>
      </c>
      <c r="I16" s="6" t="str">
        <f>IF(ISNA(MATCH(3,Engine!$C$2:$C$265,0)),"",INDEX('Compliance Database'!$I$2:$I$265,MATCH(3,Engine!$C$2:$C$265,0)))</f>
        <v>Governance</v>
      </c>
      <c r="J16" s="6" t="str">
        <f>IF(ISNA(MATCH(3,Engine!$C$2:$C$265,0)),"",INDEX('Compliance Database'!$J$2:$J$265,MATCH(3,Engine!$C$2:$C$265,0)))</f>
        <v>Personal Information</v>
      </c>
      <c r="K16">
        <f>IF(ISNA(MATCH(3,Engine!$C$2:$C$265,0)),"",INDEX('Compliance Database'!$K$2:$K$265,MATCH(3,Engine!$C$2:$C$265,0)))</f>
        <v>0</v>
      </c>
      <c r="L16" s="6" t="str">
        <f>IF(ISNA(MATCH(3,Engine!$C$2:$C$265,0)),"",INDEX('Compliance Database'!$L$2:$L$265,MATCH(3,Engine!$C$2:$C$265,0)))</f>
        <v>Financial institutions must have governance arrangements to oversee financial education initiatives, including monitoring and reviewing design, suitability, and effectiveness, and ensuring appropriate reporting to the Authority.</v>
      </c>
      <c r="M16" s="6">
        <f>IF(ISNA(MATCH(3,Engine!$C$2:$C$265,0)),"",INDEX('Compliance Database'!$M$2:$M$265,MATCH(3,Engine!$C$2:$C$265,0)))</f>
        <v>0</v>
      </c>
      <c r="N16" s="6" t="str">
        <f>IF(ISNA(MATCH(3,Engine!$C$2:$C$265,0)),"",INDEX('Compliance Database'!$N$2:$N$265,MATCH(3,Engine!$C$2:$C$265,0)))</f>
        <v>[Must] A financial institution must have appropriate governance arrangements in place to oversee the design and implementation of financial education initiatives.
[Must] The governance arrangements referred to in subparagraph (1) must include establishing and implementing appropriate oversight arrangements to monitor and review the design, suitability and effectiveness of its financial education initiatives on an ongoing basis.
[Must] A financial institution must have appropriate systems, processes, policies and controls in place to ensure appropriate reporting on financial education initiatives, pre- and post-implementation, to the Authority.
[Must] A financial institution must take reasonable steps to ensure that the relevant employee and service provider responsible for the design and implementation of a financial education initiative possesses the necessary skills, knowledge and expertise to fulfil their functions.
[Must] A financial institution must take reasonable steps to ensure that the governance arrangements referred to in this paragraph also apply to a service provider, including that it obtains sufficient information from that service provider, to ensure that these financial education initiatives are, and remain, effective in achieving the intended outcomes.
[Must] A financial institution retains responsibility and accountability for all regulatory obligations pertaining to the provision of financial education initiatives as set out in this Conduct Standard, regardless of whether such financial education initiative is performed by the financial institution itself or by a service provider.</v>
      </c>
      <c r="O16" s="6" t="str">
        <f>IF(ISNA(MATCH(3,Engine!$C$2:$C$265,0)),"",INDEX('Compliance Database'!$O$2:$O$265,MATCH(3,Engine!$C$2:$C$265,0)))</f>
        <v>A financial institution must have appropriate governance arrangements in place to oversee the design and implementation of financial education initiatives.</v>
      </c>
    </row>
    <row r="17" spans="1:15" x14ac:dyDescent="0.3">
      <c r="A17" t="str">
        <f>IF(ISNA(MATCH(4,Engine!$C$2:$C$265,0)),"",INDEX('Compliance Database'!$A$2:$A$265,MATCH(4,Engine!$C$2:$C$265,0)))</f>
        <v>South Africa</v>
      </c>
      <c r="B17" t="str">
        <f>IF(ISNA(MATCH(4,Engine!$C$2:$C$265,0)),"",INDEX('Compliance Database'!$B$2:$B$265,MATCH(4,Engine!$C$2:$C$265,0)))</f>
        <v>1. FSCA Conduct Standard 1 of 2025 - Requirements for FIs providing FE initiatives</v>
      </c>
      <c r="C17" t="str">
        <f>IF(ISNA(MATCH(4,Engine!$C$2:$C$265,0)),"",INDEX('Compliance Database'!$C$2:$C$265,MATCH(4,Engine!$C$2:$C$265,0)))</f>
        <v>4</v>
      </c>
      <c r="D17" s="6" t="str">
        <f>IF(ISNA(MATCH(4,Engine!$C$2:$C$265,0)),"",INDEX('Compliance Database'!$D$2:$D$265,MATCH(4,Engine!$C$2:$C$265,0)))</f>
        <v>Design and development requirements for financial education initiatives</v>
      </c>
      <c r="E17" t="str">
        <f>IF(ISNA(MATCH(4,Engine!$C$2:$C$265,0)),"",INDEX('Compliance Database'!$E$2:$E$265,MATCH(4,Engine!$C$2:$C$265,0)))</f>
        <v>4</v>
      </c>
      <c r="F17" t="str">
        <f>IF(ISNA(MATCH(4,Engine!$C$2:$C$265,0)),"",INDEX('Compliance Database'!$F$2:$F$265,MATCH(4,Engine!$C$2:$C$265,0)))</f>
        <v>Data Collection</v>
      </c>
      <c r="G17" t="str">
        <f>IF(ISNA(MATCH(4,Engine!$C$2:$C$265,0)),"",INDEX('Compliance Database'!$G$2:$G$265,MATCH(4,Engine!$C$2:$C$265,0)))</f>
        <v>Low</v>
      </c>
      <c r="H17" t="str">
        <f>IF(ISNA(MATCH(4,Engine!$C$2:$C$265,0)),"",INDEX('Compliance Database'!$H$2:$H$265,MATCH(4,Engine!$C$2:$C$265,0)))</f>
        <v>High (explicit)</v>
      </c>
      <c r="I17" s="6" t="str">
        <f>IF(ISNA(MATCH(4,Engine!$C$2:$C$265,0)),"",INDEX('Compliance Database'!$I$2:$I$265,MATCH(4,Engine!$C$2:$C$265,0)))</f>
        <v>Data Collection</v>
      </c>
      <c r="J17" s="6" t="str">
        <f>IF(ISNA(MATCH(4,Engine!$C$2:$C$265,0)),"",INDEX('Compliance Database'!$J$2:$J$265,MATCH(4,Engine!$C$2:$C$265,0)))</f>
        <v>Personal Information</v>
      </c>
      <c r="K17">
        <f>IF(ISNA(MATCH(4,Engine!$C$2:$C$265,0)),"",INDEX('Compliance Database'!$K$2:$K$265,MATCH(4,Engine!$C$2:$C$265,0)))</f>
        <v>0</v>
      </c>
      <c r="L17" s="6" t="str">
        <f>IF(ISNA(MATCH(4,Engine!$C$2:$C$265,0)),"",INDEX('Compliance Database'!$L$2:$L$265,MATCH(4,Engine!$C$2:$C$265,0)))</f>
        <v>Financial education initiatives must aim to enable natural persons and SMEs to make informed financial decisions and encourage positive customer behaviour, with content based on objective information and distinct from marketing campaigns.</v>
      </c>
      <c r="M17" s="6">
        <f>IF(ISNA(MATCH(4,Engine!$C$2:$C$265,0)),"",INDEX('Compliance Database'!$M$2:$M$265,MATCH(4,Engine!$C$2:$C$265,0)))</f>
        <v>0</v>
      </c>
      <c r="N17" s="6" t="str">
        <f>IF(ISNA(MATCH(4,Engine!$C$2:$C$265,0)),"",INDEX('Compliance Database'!$N$2:$N$265,MATCH(4,Engine!$C$2:$C$265,0)))</f>
        <v>[Must] Financial education initiative provided by a financial institution should aim to enable natural persons and small, medium and micro-enterprises to make more informed decisions, about their own finances and financial well-being or the finances and financial well-being of others that fall under their responsibility; and in respect of financial decision making, encourage positive customer behaviour, influence behavioural change and contribute to long-term skills development.
[May] A financial institution may use any delivery platform for a financial education initiative, provided that the delivery platform is appropriate for the type of financial education initiative and the identified target group, to ensure appropriate and effective reach.
[Must] The content of a financial education initiative provided by a financial institution must be based on objective and impartial information, generally accepted methodologies, research and trends.
[Must] The content of a financial education initiative provided by a financial institution must be targeted suitably at the appropriate target group, taking into account the identified needs of the target group and financial inclusion objectives.
[Must] The content of a financial education initiative provided by a financial institution must be distinct from any brand specific financial product or financial service sales process or marketing campaign.
[Must] The content of a financial education initiative provided by a financial institution must be brand agnostic, but may unpack the meaning of different types of financial concepts and terms related to a particular financial product or financial service, or categories of financial products or financial services.</v>
      </c>
      <c r="O17" s="6" t="str">
        <f>IF(ISNA(MATCH(4,Engine!$C$2:$C$265,0)),"",INDEX('Compliance Database'!$O$2:$O$265,MATCH(4,Engine!$C$2:$C$265,0)))</f>
        <v>Financial education initiative provided by a financial institution should aim to enable natural persons and small, medium and micro-enterprises to make more informed decisions, about their own finances and financial well-being or the finances and financial well-being of others that fall under their responsibility;</v>
      </c>
    </row>
    <row r="18" spans="1:15" x14ac:dyDescent="0.3">
      <c r="A18" t="str">
        <f>IF(ISNA(MATCH(5,Engine!$C$2:$C$265,0)),"",INDEX('Compliance Database'!$A$2:$A$265,MATCH(5,Engine!$C$2:$C$265,0)))</f>
        <v>South Africa</v>
      </c>
      <c r="B18" t="str">
        <f>IF(ISNA(MATCH(5,Engine!$C$2:$C$265,0)),"",INDEX('Compliance Database'!$B$2:$B$265,MATCH(5,Engine!$C$2:$C$265,0)))</f>
        <v>1. FSCA Conduct Standard 1 of 2025 - Requirements for FIs providing FE initiatives</v>
      </c>
      <c r="C18" t="str">
        <f>IF(ISNA(MATCH(5,Engine!$C$2:$C$265,0)),"",INDEX('Compliance Database'!$C$2:$C$265,MATCH(5,Engine!$C$2:$C$265,0)))</f>
        <v>5</v>
      </c>
      <c r="D18" s="6" t="str">
        <f>IF(ISNA(MATCH(5,Engine!$C$2:$C$265,0)),"",INDEX('Compliance Database'!$D$2:$D$265,MATCH(5,Engine!$C$2:$C$265,0)))</f>
        <v>Location and logistics</v>
      </c>
      <c r="E18" t="str">
        <f>IF(ISNA(MATCH(5,Engine!$C$2:$C$265,0)),"",INDEX('Compliance Database'!$E$2:$E$265,MATCH(5,Engine!$C$2:$C$265,0)))</f>
        <v>4–5</v>
      </c>
      <c r="F18" t="str">
        <f>IF(ISNA(MATCH(5,Engine!$C$2:$C$265,0)),"",INDEX('Compliance Database'!$F$2:$F$265,MATCH(5,Engine!$C$2:$C$265,0)))</f>
        <v>Data Sharing</v>
      </c>
      <c r="G18" t="str">
        <f>IF(ISNA(MATCH(5,Engine!$C$2:$C$265,0)),"",INDEX('Compliance Database'!$G$2:$G$265,MATCH(5,Engine!$C$2:$C$265,0)))</f>
        <v>Low</v>
      </c>
      <c r="H18" t="str">
        <f>IF(ISNA(MATCH(5,Engine!$C$2:$C$265,0)),"",INDEX('Compliance Database'!$H$2:$H$265,MATCH(5,Engine!$C$2:$C$265,0)))</f>
        <v>High (explicit)</v>
      </c>
      <c r="I18" s="6" t="str">
        <f>IF(ISNA(MATCH(5,Engine!$C$2:$C$265,0)),"",INDEX('Compliance Database'!$I$2:$I$265,MATCH(5,Engine!$C$2:$C$265,0)))</f>
        <v>Data Sharing</v>
      </c>
      <c r="J18" s="6" t="str">
        <f>IF(ISNA(MATCH(5,Engine!$C$2:$C$265,0)),"",INDEX('Compliance Database'!$J$2:$J$265,MATCH(5,Engine!$C$2:$C$265,0)))</f>
        <v>Personal Information</v>
      </c>
      <c r="K18" t="str">
        <f>IF(ISNA(MATCH(5,Engine!$C$2:$C$265,0)),"",INDEX('Compliance Database'!$K$2:$K$265,MATCH(5,Engine!$C$2:$C$265,0)))</f>
        <v>Financial Sector Conduct Authority</v>
      </c>
      <c r="L18" s="6" t="str">
        <f>IF(ISNA(MATCH(5,Engine!$C$2:$C$265,0)),"",INDEX('Compliance Database'!$L$2:$L$265,MATCH(5,Engine!$C$2:$C$265,0)))</f>
        <v>Financial institutions must ensure effective location and logistics for face-to-face and virtual initiatives, consider contingency plans, measure outcomes, and report to the Authority without excessive marketing.</v>
      </c>
      <c r="M18" s="6">
        <f>IF(ISNA(MATCH(5,Engine!$C$2:$C$265,0)),"",INDEX('Compliance Database'!$M$2:$M$265,MATCH(5,Engine!$C$2:$C$265,0)))</f>
        <v>0</v>
      </c>
      <c r="N18" s="6" t="str">
        <f>IF(ISNA(MATCH(5,Engine!$C$2:$C$265,0)),"",INDEX('Compliance Database'!$N$2:$N$265,MATCH(5,Engine!$C$2:$C$265,0)))</f>
        <v>[Must] A financial institution providing face-to-face financial education initiatives must utilise a location that is appropriate for this purpose to ensure that the financial education initiative is effective.
[Must] A financial institution providing virtual financial education initiatives must ensure that the virtual platform is appropriate for this purpose to ensure that the financial education initiative is effective.
[Should] A financial institution should consider contingency plans for unforeseen circumstances regarding implementation of financial education initiatives.
[Must] The outcomes of financial education initiatives must be measurable in order to, amongst other things and to the extent possible, demonstrate effectiveness; and measure impact.
[Must] The manner used by a financial institution to measure the outcomes of each financial education initiative provided must be appropriate for the specific initiative and relate directly to the outcome.
[Must] A financial institution must monitor and evaluate each financial education initiative that is provided, to amongst other things assess its effectiveness; identify areas for improvement; and collect data, which can and should (where relevant) be used to improve the effectiveness of future programmes.
[Must Not] A financial institution may not use a financial education initiative for excessive marketing of a specific brand or financial institution; or marketing and sales of a specific financial product or financial service.
[Must] Subject to a determination made in accordance with subparagraph (2), a financial institution must report information relating to the provision of financial education initiatives in accordance with this Conduct Standard to the Authority.</v>
      </c>
      <c r="O18" s="6" t="str">
        <f>IF(ISNA(MATCH(5,Engine!$C$2:$C$265,0)),"",INDEX('Compliance Database'!$O$2:$O$265,MATCH(5,Engine!$C$2:$C$265,0)))</f>
        <v>A financial institution must monitor and evaluate each financial education initiative that is provided, to amongst other things – assess its effectiveness; identify areas for improvement; and collect data, which can and should (where relevant) be used to improve the effectiveness of future programmes.</v>
      </c>
    </row>
    <row r="19" spans="1:15" x14ac:dyDescent="0.3">
      <c r="A19" t="str">
        <f>IF(ISNA(MATCH(6,Engine!$C$2:$C$265,0)),"",INDEX('Compliance Database'!$A$2:$A$265,MATCH(6,Engine!$C$2:$C$265,0)))</f>
        <v>South Africa</v>
      </c>
      <c r="B19" t="str">
        <f>IF(ISNA(MATCH(6,Engine!$C$2:$C$265,0)),"",INDEX('Compliance Database'!$B$2:$B$265,MATCH(6,Engine!$C$2:$C$265,0)))</f>
        <v>2024 Open Finance_FSCA Position Paper</v>
      </c>
      <c r="C19" t="str">
        <f>IF(ISNA(MATCH(6,Engine!$C$2:$C$265,0)),"",INDEX('Compliance Database'!$C$2:$C$265,MATCH(6,Engine!$C$2:$C$265,0)))</f>
        <v>1</v>
      </c>
      <c r="D19" s="6" t="str">
        <f>IF(ISNA(MATCH(6,Engine!$C$2:$C$265,0)),"",INDEX('Compliance Database'!$D$2:$D$265,MATCH(6,Engine!$C$2:$C$265,0)))</f>
        <v>EXECUTIVE SUMMARY</v>
      </c>
      <c r="E19" t="str">
        <f>IF(ISNA(MATCH(6,Engine!$C$2:$C$265,0)),"",INDEX('Compliance Database'!$E$2:$E$265,MATCH(6,Engine!$C$2:$C$265,0)))</f>
        <v>3–4</v>
      </c>
      <c r="F19" t="str">
        <f>IF(ISNA(MATCH(6,Engine!$C$2:$C$265,0)),"",INDEX('Compliance Database'!$F$2:$F$265,MATCH(6,Engine!$C$2:$C$265,0)))</f>
        <v>Other</v>
      </c>
      <c r="G19" t="str">
        <f>IF(ISNA(MATCH(6,Engine!$C$2:$C$265,0)),"",INDEX('Compliance Database'!$G$2:$G$265,MATCH(6,Engine!$C$2:$C$265,0)))</f>
        <v>High</v>
      </c>
      <c r="H19" t="str">
        <f>IF(ISNA(MATCH(6,Engine!$C$2:$C$265,0)),"",INDEX('Compliance Database'!$H$2:$H$265,MATCH(6,Engine!$C$2:$C$265,0)))</f>
        <v>High (explicit)</v>
      </c>
      <c r="I19" s="6">
        <f>IF(ISNA(MATCH(6,Engine!$C$2:$C$265,0)),"",INDEX('Compliance Database'!$I$2:$I$265,MATCH(6,Engine!$C$2:$C$265,0)))</f>
        <v>0</v>
      </c>
      <c r="J19" s="6">
        <f>IF(ISNA(MATCH(6,Engine!$C$2:$C$265,0)),"",INDEX('Compliance Database'!$J$2:$J$265,MATCH(6,Engine!$C$2:$C$265,0)))</f>
        <v>0</v>
      </c>
      <c r="K19" t="str">
        <f>IF(ISNA(MATCH(6,Engine!$C$2:$C$265,0)),"",INDEX('Compliance Database'!$K$2:$K$265,MATCH(6,Engine!$C$2:$C$265,0)))</f>
        <v>FSCA</v>
      </c>
      <c r="L19" s="6" t="str">
        <f>IF(ISNA(MATCH(6,Engine!$C$2:$C$265,0)),"",INDEX('Compliance Database'!$L$2:$L$265,MATCH(6,Engine!$C$2:$C$265,0)))</f>
        <v>FSCA outlines policy recommendations for Open Finance, including mandatory regulation, licensing, data protection frameworks, risk management, and consumer recourse mechanisms.</v>
      </c>
      <c r="M19" s="6">
        <f>IF(ISNA(MATCH(6,Engine!$C$2:$C$265,0)),"",INDEX('Compliance Database'!$M$2:$M$265,MATCH(6,Engine!$C$2:$C$265,0)))</f>
        <v>0</v>
      </c>
      <c r="N19" s="6">
        <f>IF(ISNA(MATCH(6,Engine!$C$2:$C$265,0)),"",INDEX('Compliance Database'!$N$2:$N$265,MATCH(6,Engine!$C$2:$C$265,0)))</f>
        <v>0</v>
      </c>
      <c r="O19" s="6" t="str">
        <f>IF(ISNA(MATCH(6,Engine!$C$2:$C$265,0)),"",INDEX('Compliance Database'!$O$2:$O$265,MATCH(6,Engine!$C$2:$C$265,0)))</f>
        <v>The FSCA continues to support mandating Open Finance in future, noting that the foundational Open Finance Programme of Work will likely need to take place in preparation to optimise the value to be derived from Open Finance and mimimise market disruption.</v>
      </c>
    </row>
    <row r="20" spans="1:15" x14ac:dyDescent="0.3">
      <c r="A20" t="str">
        <f>IF(ISNA(MATCH(7,Engine!$C$2:$C$265,0)),"",INDEX('Compliance Database'!$A$2:$A$265,MATCH(7,Engine!$C$2:$C$265,0)))</f>
        <v>South Africa</v>
      </c>
      <c r="B20" t="str">
        <f>IF(ISNA(MATCH(7,Engine!$C$2:$C$265,0)),"",INDEX('Compliance Database'!$B$2:$B$265,MATCH(7,Engine!$C$2:$C$265,0)))</f>
        <v>2024 Open Finance_FSCA Position Paper</v>
      </c>
      <c r="C20" t="str">
        <f>IF(ISNA(MATCH(7,Engine!$C$2:$C$265,0)),"",INDEX('Compliance Database'!$C$2:$C$265,MATCH(7,Engine!$C$2:$C$265,0)))</f>
        <v>1</v>
      </c>
      <c r="D20" s="6" t="str">
        <f>IF(ISNA(MATCH(7,Engine!$C$2:$C$265,0)),"",INDEX('Compliance Database'!$D$2:$D$265,MATCH(7,Engine!$C$2:$C$265,0)))</f>
        <v>The data subject (customer) requests a financial service from a fintech (data user), for</v>
      </c>
      <c r="E20" t="str">
        <f>IF(ISNA(MATCH(7,Engine!$C$2:$C$265,0)),"",INDEX('Compliance Database'!$E$2:$E$265,MATCH(7,Engine!$C$2:$C$265,0)))</f>
        <v>8</v>
      </c>
      <c r="F20" t="str">
        <f>IF(ISNA(MATCH(7,Engine!$C$2:$C$265,0)),"",INDEX('Compliance Database'!$F$2:$F$265,MATCH(7,Engine!$C$2:$C$265,0)))</f>
        <v>Other</v>
      </c>
      <c r="G20" t="str">
        <f>IF(ISNA(MATCH(7,Engine!$C$2:$C$265,0)),"",INDEX('Compliance Database'!$G$2:$G$265,MATCH(7,Engine!$C$2:$C$265,0)))</f>
        <v>High</v>
      </c>
      <c r="H20" t="str">
        <f>IF(ISNA(MATCH(7,Engine!$C$2:$C$265,0)),"",INDEX('Compliance Database'!$H$2:$H$265,MATCH(7,Engine!$C$2:$C$265,0)))</f>
        <v>High (explicit)</v>
      </c>
      <c r="I20" s="6">
        <f>IF(ISNA(MATCH(7,Engine!$C$2:$C$265,0)),"",INDEX('Compliance Database'!$I$2:$I$265,MATCH(7,Engine!$C$2:$C$265,0)))</f>
        <v>0</v>
      </c>
      <c r="J20" s="6">
        <f>IF(ISNA(MATCH(7,Engine!$C$2:$C$265,0)),"",INDEX('Compliance Database'!$J$2:$J$265,MATCH(7,Engine!$C$2:$C$265,0)))</f>
        <v>0</v>
      </c>
      <c r="K20" t="str">
        <f>IF(ISNA(MATCH(7,Engine!$C$2:$C$265,0)),"",INDEX('Compliance Database'!$K$2:$K$265,MATCH(7,Engine!$C$2:$C$265,0)))</f>
        <v>FSCA</v>
      </c>
      <c r="L20" s="6" t="str">
        <f>IF(ISNA(MATCH(7,Engine!$C$2:$C$265,0)),"",INDEX('Compliance Database'!$L$2:$L$265,MATCH(7,Engine!$C$2:$C$265,0)))</f>
        <v>FSCA outlines policy recommendations for Open Finance, including mandatory regulation, licensing, data protection frameworks, risk management, and consumer recourse mechanisms.</v>
      </c>
      <c r="M20" s="6">
        <f>IF(ISNA(MATCH(7,Engine!$C$2:$C$265,0)),"",INDEX('Compliance Database'!$M$2:$M$265,MATCH(7,Engine!$C$2:$C$265,0)))</f>
        <v>0</v>
      </c>
      <c r="N20" s="6">
        <f>IF(ISNA(MATCH(7,Engine!$C$2:$C$265,0)),"",INDEX('Compliance Database'!$N$2:$N$265,MATCH(7,Engine!$C$2:$C$265,0)))</f>
        <v>0</v>
      </c>
      <c r="O20" s="6" t="str">
        <f>IF(ISNA(MATCH(7,Engine!$C$2:$C$265,0)),"",INDEX('Compliance Database'!$O$2:$O$265,MATCH(7,Engine!$C$2:$C$265,0)))</f>
        <v>The FSCA continues to support mandating Open Finance in future, noting that the foundational Open Finance Programme of Work will likely need to take place in preparation to optimise the value to be derived from Open Finance and mimimise market disruption.</v>
      </c>
    </row>
    <row r="21" spans="1:15" x14ac:dyDescent="0.3">
      <c r="A21" t="str">
        <f>IF(ISNA(MATCH(8,Engine!$C$2:$C$265,0)),"",INDEX('Compliance Database'!$A$2:$A$265,MATCH(8,Engine!$C$2:$C$265,0)))</f>
        <v>South Africa</v>
      </c>
      <c r="B21" t="str">
        <f>IF(ISNA(MATCH(8,Engine!$C$2:$C$265,0)),"",INDEX('Compliance Database'!$B$2:$B$265,MATCH(8,Engine!$C$2:$C$265,0)))</f>
        <v>2024 Open Finance_FSCA Position Paper</v>
      </c>
      <c r="C21" t="str">
        <f>IF(ISNA(MATCH(8,Engine!$C$2:$C$265,0)),"",INDEX('Compliance Database'!$C$2:$C$265,MATCH(8,Engine!$C$2:$C$265,0)))</f>
        <v>2</v>
      </c>
      <c r="D21" s="6" t="str">
        <f>IF(ISNA(MATCH(8,Engine!$C$2:$C$265,0)),"",INDEX('Compliance Database'!$D$2:$D$265,MATCH(8,Engine!$C$2:$C$265,0)))</f>
        <v>BACKGROUND AND INTRODUCTION</v>
      </c>
      <c r="E21" t="str">
        <f>IF(ISNA(MATCH(8,Engine!$C$2:$C$265,0)),"",INDEX('Compliance Database'!$E$2:$E$265,MATCH(8,Engine!$C$2:$C$265,0)))</f>
        <v>4–5</v>
      </c>
      <c r="F21" t="str">
        <f>IF(ISNA(MATCH(8,Engine!$C$2:$C$265,0)),"",INDEX('Compliance Database'!$F$2:$F$265,MATCH(8,Engine!$C$2:$C$265,0)))</f>
        <v>Other</v>
      </c>
      <c r="G21" t="str">
        <f>IF(ISNA(MATCH(8,Engine!$C$2:$C$265,0)),"",INDEX('Compliance Database'!$G$2:$G$265,MATCH(8,Engine!$C$2:$C$265,0)))</f>
        <v>High</v>
      </c>
      <c r="H21" t="str">
        <f>IF(ISNA(MATCH(8,Engine!$C$2:$C$265,0)),"",INDEX('Compliance Database'!$H$2:$H$265,MATCH(8,Engine!$C$2:$C$265,0)))</f>
        <v>High (explicit)</v>
      </c>
      <c r="I21" s="6">
        <f>IF(ISNA(MATCH(8,Engine!$C$2:$C$265,0)),"",INDEX('Compliance Database'!$I$2:$I$265,MATCH(8,Engine!$C$2:$C$265,0)))</f>
        <v>0</v>
      </c>
      <c r="J21" s="6">
        <f>IF(ISNA(MATCH(8,Engine!$C$2:$C$265,0)),"",INDEX('Compliance Database'!$J$2:$J$265,MATCH(8,Engine!$C$2:$C$265,0)))</f>
        <v>0</v>
      </c>
      <c r="K21" t="str">
        <f>IF(ISNA(MATCH(8,Engine!$C$2:$C$265,0)),"",INDEX('Compliance Database'!$K$2:$K$265,MATCH(8,Engine!$C$2:$C$265,0)))</f>
        <v>FSCA</v>
      </c>
      <c r="L21" s="6" t="str">
        <f>IF(ISNA(MATCH(8,Engine!$C$2:$C$265,0)),"",INDEX('Compliance Database'!$L$2:$L$265,MATCH(8,Engine!$C$2:$C$265,0)))</f>
        <v>Background on FSCA's process for developing Open Finance policy, including consultations and risks associated with data sharing in the absence of tailored regulatory frameworks.</v>
      </c>
      <c r="M21" s="6">
        <f>IF(ISNA(MATCH(8,Engine!$C$2:$C$265,0)),"",INDEX('Compliance Database'!$M$2:$M$265,MATCH(8,Engine!$C$2:$C$265,0)))</f>
        <v>0</v>
      </c>
      <c r="N21" s="6">
        <f>IF(ISNA(MATCH(8,Engine!$C$2:$C$265,0)),"",INDEX('Compliance Database'!$N$2:$N$265,MATCH(8,Engine!$C$2:$C$265,0)))</f>
        <v>0</v>
      </c>
      <c r="O21" s="6" t="str">
        <f>IF(ISNA(MATCH(8,Engine!$C$2:$C$265,0)),"",INDEX('Compliance Database'!$O$2:$O$265,MATCH(8,Engine!$C$2:$C$265,0)))</f>
        <v>The FSCA continues to support mandating Open Finance in future, noting that the foundational Open Finance Programme of Work will likely need to take place in preparation to optimise the value to be derived from Open Finance and mimimise market disruption.</v>
      </c>
    </row>
    <row r="22" spans="1:15" x14ac:dyDescent="0.3">
      <c r="A22" t="str">
        <f>IF(ISNA(MATCH(9,Engine!$C$2:$C$265,0)),"",INDEX('Compliance Database'!$A$2:$A$265,MATCH(9,Engine!$C$2:$C$265,0)))</f>
        <v>South Africa</v>
      </c>
      <c r="B22" t="str">
        <f>IF(ISNA(MATCH(9,Engine!$C$2:$C$265,0)),"",INDEX('Compliance Database'!$B$2:$B$265,MATCH(9,Engine!$C$2:$C$265,0)))</f>
        <v>2024 Open Finance_FSCA Position Paper</v>
      </c>
      <c r="C22" t="str">
        <f>IF(ISNA(MATCH(9,Engine!$C$2:$C$265,0)),"",INDEX('Compliance Database'!$C$2:$C$265,MATCH(9,Engine!$C$2:$C$265,0)))</f>
        <v>2</v>
      </c>
      <c r="D22" s="6" t="str">
        <f>IF(ISNA(MATCH(9,Engine!$C$2:$C$265,0)),"",INDEX('Compliance Database'!$D$2:$D$265,MATCH(9,Engine!$C$2:$C$265,0)))</f>
        <v>The fintech processes the request and, within its flow, it requires access to data holders</v>
      </c>
      <c r="E22" t="str">
        <f>IF(ISNA(MATCH(9,Engine!$C$2:$C$265,0)),"",INDEX('Compliance Database'!$E$2:$E$265,MATCH(9,Engine!$C$2:$C$265,0)))</f>
        <v>8</v>
      </c>
      <c r="F22" t="str">
        <f>IF(ISNA(MATCH(9,Engine!$C$2:$C$265,0)),"",INDEX('Compliance Database'!$F$2:$F$265,MATCH(9,Engine!$C$2:$C$265,0)))</f>
        <v>Other</v>
      </c>
      <c r="G22" t="str">
        <f>IF(ISNA(MATCH(9,Engine!$C$2:$C$265,0)),"",INDEX('Compliance Database'!$G$2:$G$265,MATCH(9,Engine!$C$2:$C$265,0)))</f>
        <v>High</v>
      </c>
      <c r="H22" t="str">
        <f>IF(ISNA(MATCH(9,Engine!$C$2:$C$265,0)),"",INDEX('Compliance Database'!$H$2:$H$265,MATCH(9,Engine!$C$2:$C$265,0)))</f>
        <v>High (explicit)</v>
      </c>
      <c r="I22" s="6">
        <f>IF(ISNA(MATCH(9,Engine!$C$2:$C$265,0)),"",INDEX('Compliance Database'!$I$2:$I$265,MATCH(9,Engine!$C$2:$C$265,0)))</f>
        <v>0</v>
      </c>
      <c r="J22" s="6">
        <f>IF(ISNA(MATCH(9,Engine!$C$2:$C$265,0)),"",INDEX('Compliance Database'!$J$2:$J$265,MATCH(9,Engine!$C$2:$C$265,0)))</f>
        <v>0</v>
      </c>
      <c r="K22" t="str">
        <f>IF(ISNA(MATCH(9,Engine!$C$2:$C$265,0)),"",INDEX('Compliance Database'!$K$2:$K$265,MATCH(9,Engine!$C$2:$C$265,0)))</f>
        <v>FSCA</v>
      </c>
      <c r="L22" s="6" t="str">
        <f>IF(ISNA(MATCH(9,Engine!$C$2:$C$265,0)),"",INDEX('Compliance Database'!$L$2:$L$265,MATCH(9,Engine!$C$2:$C$265,0)))</f>
        <v>Background on FSCA's process for developing Open Finance policy, including consultations and risks associated with data sharing in the absence of tailored regulatory frameworks.</v>
      </c>
      <c r="M22" s="6">
        <f>IF(ISNA(MATCH(9,Engine!$C$2:$C$265,0)),"",INDEX('Compliance Database'!$M$2:$M$265,MATCH(9,Engine!$C$2:$C$265,0)))</f>
        <v>0</v>
      </c>
      <c r="N22" s="6">
        <f>IF(ISNA(MATCH(9,Engine!$C$2:$C$265,0)),"",INDEX('Compliance Database'!$N$2:$N$265,MATCH(9,Engine!$C$2:$C$265,0)))</f>
        <v>0</v>
      </c>
      <c r="O22" s="6" t="str">
        <f>IF(ISNA(MATCH(9,Engine!$C$2:$C$265,0)),"",INDEX('Compliance Database'!$O$2:$O$265,MATCH(9,Engine!$C$2:$C$265,0)))</f>
        <v>The FSCA continues to support mandating Open Finance in future, noting that the foundational Open Finance Programme of Work will likely need to take place in preparation to optimise the value to be derived from Open Finance and mimimise market disruption.</v>
      </c>
    </row>
    <row r="23" spans="1:15" x14ac:dyDescent="0.3">
      <c r="A23" t="str">
        <f>IF(ISNA(MATCH(10,Engine!$C$2:$C$265,0)),"",INDEX('Compliance Database'!$A$2:$A$265,MATCH(10,Engine!$C$2:$C$265,0)))</f>
        <v>South Africa</v>
      </c>
      <c r="B23" t="str">
        <f>IF(ISNA(MATCH(10,Engine!$C$2:$C$265,0)),"",INDEX('Compliance Database'!$B$2:$B$265,MATCH(10,Engine!$C$2:$C$265,0)))</f>
        <v>2024 Open Finance_FSCA Position Paper</v>
      </c>
      <c r="C23" t="str">
        <f>IF(ISNA(MATCH(10,Engine!$C$2:$C$265,0)),"",INDEX('Compliance Database'!$C$2:$C$265,MATCH(10,Engine!$C$2:$C$265,0)))</f>
        <v>3</v>
      </c>
      <c r="D23" s="6" t="str">
        <f>IF(ISNA(MATCH(10,Engine!$C$2:$C$265,0)),"",INDEX('Compliance Database'!$D$2:$D$265,MATCH(10,Engine!$C$2:$C$265,0)))</f>
        <v>UNDERSTANDING OPEN FINANCE, OPEN BANKING AND THE DATA</v>
      </c>
      <c r="E23" t="str">
        <f>IF(ISNA(MATCH(10,Engine!$C$2:$C$265,0)),"",INDEX('Compliance Database'!$E$2:$E$265,MATCH(10,Engine!$C$2:$C$265,0)))</f>
        <v>5–8</v>
      </c>
      <c r="F23" t="str">
        <f>IF(ISNA(MATCH(10,Engine!$C$2:$C$265,0)),"",INDEX('Compliance Database'!$F$2:$F$265,MATCH(10,Engine!$C$2:$C$265,0)))</f>
        <v>Other</v>
      </c>
      <c r="G23" t="str">
        <f>IF(ISNA(MATCH(10,Engine!$C$2:$C$265,0)),"",INDEX('Compliance Database'!$G$2:$G$265,MATCH(10,Engine!$C$2:$C$265,0)))</f>
        <v>High</v>
      </c>
      <c r="H23" t="str">
        <f>IF(ISNA(MATCH(10,Engine!$C$2:$C$265,0)),"",INDEX('Compliance Database'!$H$2:$H$265,MATCH(10,Engine!$C$2:$C$265,0)))</f>
        <v>High (explicit)</v>
      </c>
      <c r="I23" s="6">
        <f>IF(ISNA(MATCH(10,Engine!$C$2:$C$265,0)),"",INDEX('Compliance Database'!$I$2:$I$265,MATCH(10,Engine!$C$2:$C$265,0)))</f>
        <v>0</v>
      </c>
      <c r="J23" s="6">
        <f>IF(ISNA(MATCH(10,Engine!$C$2:$C$265,0)),"",INDEX('Compliance Database'!$J$2:$J$265,MATCH(10,Engine!$C$2:$C$265,0)))</f>
        <v>0</v>
      </c>
      <c r="K23" t="str">
        <f>IF(ISNA(MATCH(10,Engine!$C$2:$C$265,0)),"",INDEX('Compliance Database'!$K$2:$K$265,MATCH(10,Engine!$C$2:$C$265,0)))</f>
        <v>FSCA</v>
      </c>
      <c r="L23" s="6" t="str">
        <f>IF(ISNA(MATCH(10,Engine!$C$2:$C$265,0)),"",INDEX('Compliance Database'!$L$2:$L$265,MATCH(10,Engine!$C$2:$C$265,0)))</f>
        <v>Proposed definitions of Open Finance and Open Banking, emphasizing consent-based data sharing with third parties and the data-sharing ecosystem structure.</v>
      </c>
      <c r="M23" s="6">
        <f>IF(ISNA(MATCH(10,Engine!$C$2:$C$265,0)),"",INDEX('Compliance Database'!$M$2:$M$265,MATCH(10,Engine!$C$2:$C$265,0)))</f>
        <v>0</v>
      </c>
      <c r="N23" s="6">
        <f>IF(ISNA(MATCH(10,Engine!$C$2:$C$265,0)),"",INDEX('Compliance Database'!$N$2:$N$265,MATCH(10,Engine!$C$2:$C$265,0)))</f>
        <v>0</v>
      </c>
      <c r="O23" s="6" t="str">
        <f>IF(ISNA(MATCH(10,Engine!$C$2:$C$265,0)),"",INDEX('Compliance Database'!$O$2:$O$265,MATCH(10,Engine!$C$2:$C$265,0)))</f>
        <v>Open finance means the practice of financial institutions sharing their financial customer's financial data with third parties, subject to that customer's full consent, for the provision of open finance services by those third parties, and any activities connected therewith.</v>
      </c>
    </row>
    <row r="24" spans="1:15" x14ac:dyDescent="0.3">
      <c r="A24" t="str">
        <f>IF(ISNA(MATCH(11,Engine!$C$2:$C$265,0)),"",INDEX('Compliance Database'!$A$2:$A$265,MATCH(11,Engine!$C$2:$C$265,0)))</f>
        <v>South Africa</v>
      </c>
      <c r="B24" t="str">
        <f>IF(ISNA(MATCH(11,Engine!$C$2:$C$265,0)),"",INDEX('Compliance Database'!$B$2:$B$265,MATCH(11,Engine!$C$2:$C$265,0)))</f>
        <v>2024 Open Finance_FSCA Position Paper</v>
      </c>
      <c r="C24" t="str">
        <f>IF(ISNA(MATCH(11,Engine!$C$2:$C$265,0)),"",INDEX('Compliance Database'!$C$2:$C$265,MATCH(11,Engine!$C$2:$C$265,0)))</f>
        <v>3</v>
      </c>
      <c r="D24" s="6" t="str">
        <f>IF(ISNA(MATCH(11,Engine!$C$2:$C$265,0)),"",INDEX('Compliance Database'!$D$2:$D$265,MATCH(11,Engine!$C$2:$C$265,0)))</f>
        <v>The data subject consents (providing an authentication factor) to access the data from</v>
      </c>
      <c r="E24" t="str">
        <f>IF(ISNA(MATCH(11,Engine!$C$2:$C$265,0)),"",INDEX('Compliance Database'!$E$2:$E$265,MATCH(11,Engine!$C$2:$C$265,0)))</f>
        <v>8</v>
      </c>
      <c r="F24" t="str">
        <f>IF(ISNA(MATCH(11,Engine!$C$2:$C$265,0)),"",INDEX('Compliance Database'!$F$2:$F$265,MATCH(11,Engine!$C$2:$C$265,0)))</f>
        <v>Other</v>
      </c>
      <c r="G24" t="str">
        <f>IF(ISNA(MATCH(11,Engine!$C$2:$C$265,0)),"",INDEX('Compliance Database'!$G$2:$G$265,MATCH(11,Engine!$C$2:$C$265,0)))</f>
        <v>High</v>
      </c>
      <c r="H24" t="str">
        <f>IF(ISNA(MATCH(11,Engine!$C$2:$C$265,0)),"",INDEX('Compliance Database'!$H$2:$H$265,MATCH(11,Engine!$C$2:$C$265,0)))</f>
        <v>High (explicit)</v>
      </c>
      <c r="I24" s="6">
        <f>IF(ISNA(MATCH(11,Engine!$C$2:$C$265,0)),"",INDEX('Compliance Database'!$I$2:$I$265,MATCH(11,Engine!$C$2:$C$265,0)))</f>
        <v>0</v>
      </c>
      <c r="J24" s="6">
        <f>IF(ISNA(MATCH(11,Engine!$C$2:$C$265,0)),"",INDEX('Compliance Database'!$J$2:$J$265,MATCH(11,Engine!$C$2:$C$265,0)))</f>
        <v>0</v>
      </c>
      <c r="K24" t="str">
        <f>IF(ISNA(MATCH(11,Engine!$C$2:$C$265,0)),"",INDEX('Compliance Database'!$K$2:$K$265,MATCH(11,Engine!$C$2:$C$265,0)))</f>
        <v>FSCA</v>
      </c>
      <c r="L24" s="6" t="str">
        <f>IF(ISNA(MATCH(11,Engine!$C$2:$C$265,0)),"",INDEX('Compliance Database'!$L$2:$L$265,MATCH(11,Engine!$C$2:$C$265,0)))</f>
        <v>Proposed definitions of Open Finance and Open Banking, emphasizing consent-based data sharing with third parties and the data-sharing ecosystem structure.</v>
      </c>
      <c r="M24" s="6">
        <f>IF(ISNA(MATCH(11,Engine!$C$2:$C$265,0)),"",INDEX('Compliance Database'!$M$2:$M$265,MATCH(11,Engine!$C$2:$C$265,0)))</f>
        <v>0</v>
      </c>
      <c r="N24" s="6">
        <f>IF(ISNA(MATCH(11,Engine!$C$2:$C$265,0)),"",INDEX('Compliance Database'!$N$2:$N$265,MATCH(11,Engine!$C$2:$C$265,0)))</f>
        <v>0</v>
      </c>
      <c r="O24" s="6" t="str">
        <f>IF(ISNA(MATCH(11,Engine!$C$2:$C$265,0)),"",INDEX('Compliance Database'!$O$2:$O$265,MATCH(11,Engine!$C$2:$C$265,0)))</f>
        <v>Open finance means the practice of financial institutions sharing their financial customer's financial data with third parties, subject to that customer's full consent, for the provision of open finance services by those third parties, and any activities connected therewith.</v>
      </c>
    </row>
    <row r="25" spans="1:15" x14ac:dyDescent="0.3">
      <c r="A25" t="str">
        <f>IF(ISNA(MATCH(12,Engine!$C$2:$C$265,0)),"",INDEX('Compliance Database'!$A$2:$A$265,MATCH(12,Engine!$C$2:$C$265,0)))</f>
        <v>South Africa</v>
      </c>
      <c r="B25" t="str">
        <f>IF(ISNA(MATCH(12,Engine!$C$2:$C$265,0)),"",INDEX('Compliance Database'!$B$2:$B$265,MATCH(12,Engine!$C$2:$C$265,0)))</f>
        <v>2024 Open Finance_FSCA Position Paper</v>
      </c>
      <c r="C25" t="str">
        <f>IF(ISNA(MATCH(12,Engine!$C$2:$C$265,0)),"",INDEX('Compliance Database'!$C$2:$C$265,MATCH(12,Engine!$C$2:$C$265,0)))</f>
        <v>4</v>
      </c>
      <c r="D25" s="6" t="str">
        <f>IF(ISNA(MATCH(12,Engine!$C$2:$C$265,0)),"",INDEX('Compliance Database'!$D$2:$D$265,MATCH(12,Engine!$C$2:$C$265,0)))</f>
        <v>The fintech app connects to its back-end server, which has a secure, private, and</v>
      </c>
      <c r="E25" t="str">
        <f>IF(ISNA(MATCH(12,Engine!$C$2:$C$265,0)),"",INDEX('Compliance Database'!$E$2:$E$265,MATCH(12,Engine!$C$2:$C$265,0)))</f>
        <v>8</v>
      </c>
      <c r="F25" t="str">
        <f>IF(ISNA(MATCH(12,Engine!$C$2:$C$265,0)),"",INDEX('Compliance Database'!$F$2:$F$265,MATCH(12,Engine!$C$2:$C$265,0)))</f>
        <v>Other</v>
      </c>
      <c r="G25" t="str">
        <f>IF(ISNA(MATCH(12,Engine!$C$2:$C$265,0)),"",INDEX('Compliance Database'!$G$2:$G$265,MATCH(12,Engine!$C$2:$C$265,0)))</f>
        <v>Unknown</v>
      </c>
      <c r="H25" t="str">
        <f>IF(ISNA(MATCH(12,Engine!$C$2:$C$265,0)),"",INDEX('Compliance Database'!$H$2:$H$265,MATCH(12,Engine!$C$2:$C$265,0)))</f>
        <v>Low</v>
      </c>
      <c r="I25" s="6">
        <f>IF(ISNA(MATCH(12,Engine!$C$2:$C$265,0)),"",INDEX('Compliance Database'!$I$2:$I$265,MATCH(12,Engine!$C$2:$C$265,0)))</f>
        <v>0</v>
      </c>
      <c r="J25" s="6">
        <f>IF(ISNA(MATCH(12,Engine!$C$2:$C$265,0)),"",INDEX('Compliance Database'!$J$2:$J$265,MATCH(12,Engine!$C$2:$C$265,0)))</f>
        <v>0</v>
      </c>
      <c r="K25">
        <f>IF(ISNA(MATCH(12,Engine!$C$2:$C$265,0)),"",INDEX('Compliance Database'!$K$2:$K$265,MATCH(12,Engine!$C$2:$C$265,0)))</f>
        <v>0</v>
      </c>
      <c r="L25" s="6">
        <f>IF(ISNA(MATCH(12,Engine!$C$2:$C$265,0)),"",INDEX('Compliance Database'!$L$2:$L$265,MATCH(12,Engine!$C$2:$C$265,0)))</f>
        <v>0</v>
      </c>
      <c r="M25" s="6">
        <f>IF(ISNA(MATCH(12,Engine!$C$2:$C$265,0)),"",INDEX('Compliance Database'!$M$2:$M$265,MATCH(12,Engine!$C$2:$C$265,0)))</f>
        <v>0</v>
      </c>
      <c r="N25" s="6">
        <f>IF(ISNA(MATCH(12,Engine!$C$2:$C$265,0)),"",INDEX('Compliance Database'!$N$2:$N$265,MATCH(12,Engine!$C$2:$C$265,0)))</f>
        <v>0</v>
      </c>
      <c r="O25" s="6">
        <f>IF(ISNA(MATCH(12,Engine!$C$2:$C$265,0)),"",INDEX('Compliance Database'!$O$2:$O$265,MATCH(12,Engine!$C$2:$C$265,0)))</f>
        <v>0</v>
      </c>
    </row>
    <row r="26" spans="1:15" x14ac:dyDescent="0.3">
      <c r="A26" t="str">
        <f>IF(ISNA(MATCH(13,Engine!$C$2:$C$265,0)),"",INDEX('Compliance Database'!$A$2:$A$265,MATCH(13,Engine!$C$2:$C$265,0)))</f>
        <v>South Africa</v>
      </c>
      <c r="B26" t="str">
        <f>IF(ISNA(MATCH(13,Engine!$C$2:$C$265,0)),"",INDEX('Compliance Database'!$B$2:$B$265,MATCH(13,Engine!$C$2:$C$265,0)))</f>
        <v>2024 Open Finance_FSCA Position Paper</v>
      </c>
      <c r="C26" t="str">
        <f>IF(ISNA(MATCH(13,Engine!$C$2:$C$265,0)),"",INDEX('Compliance Database'!$C$2:$C$265,MATCH(13,Engine!$C$2:$C$265,0)))</f>
        <v>4</v>
      </c>
      <c r="D26" s="6" t="str">
        <f>IF(ISNA(MATCH(13,Engine!$C$2:$C$265,0)),"",INDEX('Compliance Database'!$D$2:$D$265,MATCH(13,Engine!$C$2:$C$265,0)))</f>
        <v>POLICY CONSIDERATIONS AND RISKS</v>
      </c>
      <c r="E26" t="str">
        <f>IF(ISNA(MATCH(13,Engine!$C$2:$C$265,0)),"",INDEX('Compliance Database'!$E$2:$E$265,MATCH(13,Engine!$C$2:$C$265,0)))</f>
        <v>9–13</v>
      </c>
      <c r="F26" t="str">
        <f>IF(ISNA(MATCH(13,Engine!$C$2:$C$265,0)),"",INDEX('Compliance Database'!$F$2:$F$265,MATCH(13,Engine!$C$2:$C$265,0)))</f>
        <v>Other</v>
      </c>
      <c r="G26" t="str">
        <f>IF(ISNA(MATCH(13,Engine!$C$2:$C$265,0)),"",INDEX('Compliance Database'!$G$2:$G$265,MATCH(13,Engine!$C$2:$C$265,0)))</f>
        <v>Low</v>
      </c>
      <c r="H26" t="str">
        <f>IF(ISNA(MATCH(13,Engine!$C$2:$C$265,0)),"",INDEX('Compliance Database'!$H$2:$H$265,MATCH(13,Engine!$C$2:$C$265,0)))</f>
        <v>Medium</v>
      </c>
      <c r="I26" s="6">
        <f>IF(ISNA(MATCH(13,Engine!$C$2:$C$265,0)),"",INDEX('Compliance Database'!$I$2:$I$265,MATCH(13,Engine!$C$2:$C$265,0)))</f>
        <v>0</v>
      </c>
      <c r="J26" s="6">
        <f>IF(ISNA(MATCH(13,Engine!$C$2:$C$265,0)),"",INDEX('Compliance Database'!$J$2:$J$265,MATCH(13,Engine!$C$2:$C$265,0)))</f>
        <v>0</v>
      </c>
      <c r="K26">
        <f>IF(ISNA(MATCH(13,Engine!$C$2:$C$265,0)),"",INDEX('Compliance Database'!$K$2:$K$265,MATCH(13,Engine!$C$2:$C$265,0)))</f>
        <v>0</v>
      </c>
      <c r="L26" s="6" t="str">
        <f>IF(ISNA(MATCH(13,Engine!$C$2:$C$265,0)),"",INDEX('Compliance Database'!$L$2:$L$265,MATCH(13,Engine!$C$2:$C$265,0)))</f>
        <v>Policy considerations and risks related to Open Finance are discussed, including global approaches, potential benefits for financial resilience, inclusion, and competition, and identified risks such as financial exclusion and cybersecurity threats.</v>
      </c>
      <c r="M26" s="6">
        <f>IF(ISNA(MATCH(13,Engine!$C$2:$C$265,0)),"",INDEX('Compliance Database'!$M$2:$M$265,MATCH(13,Engine!$C$2:$C$265,0)))</f>
        <v>0</v>
      </c>
      <c r="N26" s="6">
        <f>IF(ISNA(MATCH(13,Engine!$C$2:$C$265,0)),"",INDEX('Compliance Database'!$N$2:$N$265,MATCH(13,Engine!$C$2:$C$265,0)))</f>
        <v>0</v>
      </c>
      <c r="O26" s="6" t="str">
        <f>IF(ISNA(MATCH(13,Engine!$C$2:$C$265,0)),"",INDEX('Compliance Database'!$O$2:$O$265,MATCH(13,Engine!$C$2:$C$265,0)))</f>
        <v>Policy considerations and risks related to Open Finance have been thoroughly interrogated in past IFWG9, FSCA10 and National Payment System Department (NPSD) publications11.</v>
      </c>
    </row>
    <row r="27" spans="1:15" x14ac:dyDescent="0.3">
      <c r="A27" t="str">
        <f>IF(ISNA(MATCH(14,Engine!$C$2:$C$265,0)),"",INDEX('Compliance Database'!$A$2:$A$265,MATCH(14,Engine!$C$2:$C$265,0)))</f>
        <v>South Africa</v>
      </c>
      <c r="B27" t="str">
        <f>IF(ISNA(MATCH(14,Engine!$C$2:$C$265,0)),"",INDEX('Compliance Database'!$B$2:$B$265,MATCH(14,Engine!$C$2:$C$265,0)))</f>
        <v>2024 Open Finance_FSCA Position Paper</v>
      </c>
      <c r="C27" t="str">
        <f>IF(ISNA(MATCH(14,Engine!$C$2:$C$265,0)),"",INDEX('Compliance Database'!$C$2:$C$265,MATCH(14,Engine!$C$2:$C$265,0)))</f>
        <v>5</v>
      </c>
      <c r="D27" s="6" t="str">
        <f>IF(ISNA(MATCH(14,Engine!$C$2:$C$265,0)),"",INDEX('Compliance Database'!$D$2:$D$265,MATCH(14,Engine!$C$2:$C$265,0)))</f>
        <v>COMMENTS RECEIVED ON DRAFT POSITION PAPER</v>
      </c>
      <c r="E27" t="str">
        <f>IF(ISNA(MATCH(14,Engine!$C$2:$C$265,0)),"",INDEX('Compliance Database'!$E$2:$E$265,MATCH(14,Engine!$C$2:$C$265,0)))</f>
        <v>13–16</v>
      </c>
      <c r="F27" t="str">
        <f>IF(ISNA(MATCH(14,Engine!$C$2:$C$265,0)),"",INDEX('Compliance Database'!$F$2:$F$265,MATCH(14,Engine!$C$2:$C$265,0)))</f>
        <v>Other</v>
      </c>
      <c r="G27" t="str">
        <f>IF(ISNA(MATCH(14,Engine!$C$2:$C$265,0)),"",INDEX('Compliance Database'!$G$2:$G$265,MATCH(14,Engine!$C$2:$C$265,0)))</f>
        <v>Low</v>
      </c>
      <c r="H27" t="str">
        <f>IF(ISNA(MATCH(14,Engine!$C$2:$C$265,0)),"",INDEX('Compliance Database'!$H$2:$H$265,MATCH(14,Engine!$C$2:$C$265,0)))</f>
        <v>Medium</v>
      </c>
      <c r="I27" s="6">
        <f>IF(ISNA(MATCH(14,Engine!$C$2:$C$265,0)),"",INDEX('Compliance Database'!$I$2:$I$265,MATCH(14,Engine!$C$2:$C$265,0)))</f>
        <v>0</v>
      </c>
      <c r="J27" s="6">
        <f>IF(ISNA(MATCH(14,Engine!$C$2:$C$265,0)),"",INDEX('Compliance Database'!$J$2:$J$265,MATCH(14,Engine!$C$2:$C$265,0)))</f>
        <v>0</v>
      </c>
      <c r="K27">
        <f>IF(ISNA(MATCH(14,Engine!$C$2:$C$265,0)),"",INDEX('Compliance Database'!$K$2:$K$265,MATCH(14,Engine!$C$2:$C$265,0)))</f>
        <v>0</v>
      </c>
      <c r="L27" s="6" t="str">
        <f>IF(ISNA(MATCH(14,Engine!$C$2:$C$265,0)),"",INDEX('Compliance Database'!$L$2:$L$265,MATCH(14,Engine!$C$2:$C$265,0)))</f>
        <v>Stakeholders provided feedback on the FSCA's Draft Position Paper, preferring voluntary Open Finance approaches, emphasizing customer experience, competition, alignment with POPIA, liability frameworks, financial literacy, and international case studies.</v>
      </c>
      <c r="M27" s="6">
        <f>IF(ISNA(MATCH(14,Engine!$C$2:$C$265,0)),"",INDEX('Compliance Database'!$M$2:$M$265,MATCH(14,Engine!$C$2:$C$265,0)))</f>
        <v>0</v>
      </c>
      <c r="N27" s="6">
        <f>IF(ISNA(MATCH(14,Engine!$C$2:$C$265,0)),"",INDEX('Compliance Database'!$N$2:$N$265,MATCH(14,Engine!$C$2:$C$265,0)))</f>
        <v>0</v>
      </c>
      <c r="O27" s="6" t="str">
        <f>IF(ISNA(MATCH(14,Engine!$C$2:$C$265,0)),"",INDEX('Compliance Database'!$O$2:$O$265,MATCH(14,Engine!$C$2:$C$265,0)))</f>
        <v>The FSCA received 16 submissions from stakeholders across different industry segments (see Annexure B).</v>
      </c>
    </row>
    <row r="28" spans="1:15" x14ac:dyDescent="0.3">
      <c r="A28" t="str">
        <f>IF(ISNA(MATCH(15,Engine!$C$2:$C$265,0)),"",INDEX('Compliance Database'!$A$2:$A$265,MATCH(15,Engine!$C$2:$C$265,0)))</f>
        <v>South Africa</v>
      </c>
      <c r="B28" t="str">
        <f>IF(ISNA(MATCH(15,Engine!$C$2:$C$265,0)),"",INDEX('Compliance Database'!$B$2:$B$265,MATCH(15,Engine!$C$2:$C$265,0)))</f>
        <v>2024 Open Finance_FSCA Position Paper</v>
      </c>
      <c r="C28" t="str">
        <f>IF(ISNA(MATCH(15,Engine!$C$2:$C$265,0)),"",INDEX('Compliance Database'!$C$2:$C$265,MATCH(15,Engine!$C$2:$C$265,0)))</f>
        <v>6</v>
      </c>
      <c r="D28" s="6" t="str">
        <f>IF(ISNA(MATCH(15,Engine!$C$2:$C$265,0)),"",INDEX('Compliance Database'!$D$2:$D$265,MATCH(15,Engine!$C$2:$C$265,0)))</f>
        <v>INFORMATION REQUEST No 2 of 2023</v>
      </c>
      <c r="E28" t="str">
        <f>IF(ISNA(MATCH(15,Engine!$C$2:$C$265,0)),"",INDEX('Compliance Database'!$E$2:$E$265,MATCH(15,Engine!$C$2:$C$265,0)))</f>
        <v>16–17</v>
      </c>
      <c r="F28" t="str">
        <f>IF(ISNA(MATCH(15,Engine!$C$2:$C$265,0)),"",INDEX('Compliance Database'!$F$2:$F$265,MATCH(15,Engine!$C$2:$C$265,0)))</f>
        <v>Other</v>
      </c>
      <c r="G28" t="str">
        <f>IF(ISNA(MATCH(15,Engine!$C$2:$C$265,0)),"",INDEX('Compliance Database'!$G$2:$G$265,MATCH(15,Engine!$C$2:$C$265,0)))</f>
        <v>Low</v>
      </c>
      <c r="H28" t="str">
        <f>IF(ISNA(MATCH(15,Engine!$C$2:$C$265,0)),"",INDEX('Compliance Database'!$H$2:$H$265,MATCH(15,Engine!$C$2:$C$265,0)))</f>
        <v>Medium</v>
      </c>
      <c r="I28" s="6">
        <f>IF(ISNA(MATCH(15,Engine!$C$2:$C$265,0)),"",INDEX('Compliance Database'!$I$2:$I$265,MATCH(15,Engine!$C$2:$C$265,0)))</f>
        <v>0</v>
      </c>
      <c r="J28" s="6">
        <f>IF(ISNA(MATCH(15,Engine!$C$2:$C$265,0)),"",INDEX('Compliance Database'!$J$2:$J$265,MATCH(15,Engine!$C$2:$C$265,0)))</f>
        <v>0</v>
      </c>
      <c r="K28">
        <f>IF(ISNA(MATCH(15,Engine!$C$2:$C$265,0)),"",INDEX('Compliance Database'!$K$2:$K$265,MATCH(15,Engine!$C$2:$C$265,0)))</f>
        <v>0</v>
      </c>
      <c r="L28" s="6" t="str">
        <f>IF(ISNA(MATCH(15,Engine!$C$2:$C$265,0)),"",INDEX('Compliance Database'!$L$2:$L$265,MATCH(15,Engine!$C$2:$C$265,0)))</f>
        <v>Survey results indicate early-stage Open Finance adoption in South Africa, with financial institutions generating revenue from Open Finance activities, varying service offerings, and a willingness to employ risk management frameworks.</v>
      </c>
      <c r="M28" s="6">
        <f>IF(ISNA(MATCH(15,Engine!$C$2:$C$265,0)),"",INDEX('Compliance Database'!$M$2:$M$265,MATCH(15,Engine!$C$2:$C$265,0)))</f>
        <v>0</v>
      </c>
      <c r="N28" s="6">
        <f>IF(ISNA(MATCH(15,Engine!$C$2:$C$265,0)),"",INDEX('Compliance Database'!$N$2:$N$265,MATCH(15,Engine!$C$2:$C$265,0)))</f>
        <v>0</v>
      </c>
      <c r="O28" s="6" t="str">
        <f>IF(ISNA(MATCH(15,Engine!$C$2:$C$265,0)),"",INDEX('Compliance Database'!$O$2:$O$265,MATCH(15,Engine!$C$2:$C$265,0)))</f>
        <v>More than 400 submissions were received in response to the FSCA's Information Request No 2 of 2023.</v>
      </c>
    </row>
    <row r="29" spans="1:15" x14ac:dyDescent="0.3">
      <c r="A29" t="str">
        <f>IF(ISNA(MATCH(16,Engine!$C$2:$C$265,0)),"",INDEX('Compliance Database'!$A$2:$A$265,MATCH(16,Engine!$C$2:$C$265,0)))</f>
        <v>South Africa</v>
      </c>
      <c r="B29" t="str">
        <f>IF(ISNA(MATCH(16,Engine!$C$2:$C$265,0)),"",INDEX('Compliance Database'!$B$2:$B$265,MATCH(16,Engine!$C$2:$C$265,0)))</f>
        <v>2024 Open Finance_FSCA Position Paper</v>
      </c>
      <c r="C29" t="str">
        <f>IF(ISNA(MATCH(16,Engine!$C$2:$C$265,0)),"",INDEX('Compliance Database'!$C$2:$C$265,MATCH(16,Engine!$C$2:$C$265,0)))</f>
        <v>7</v>
      </c>
      <c r="D29" s="6" t="str">
        <f>IF(ISNA(MATCH(16,Engine!$C$2:$C$265,0)),"",INDEX('Compliance Database'!$D$2:$D$265,MATCH(16,Engine!$C$2:$C$265,0)))</f>
        <v>FSCA OPEN FINANCE POLICY RECOMMENDATIONS</v>
      </c>
      <c r="E29" t="str">
        <f>IF(ISNA(MATCH(16,Engine!$C$2:$C$265,0)),"",INDEX('Compliance Database'!$E$2:$E$265,MATCH(16,Engine!$C$2:$C$265,0)))</f>
        <v>17–20</v>
      </c>
      <c r="F29" t="str">
        <f>IF(ISNA(MATCH(16,Engine!$C$2:$C$265,0)),"",INDEX('Compliance Database'!$F$2:$F$265,MATCH(16,Engine!$C$2:$C$265,0)))</f>
        <v>Other</v>
      </c>
      <c r="G29" t="str">
        <f>IF(ISNA(MATCH(16,Engine!$C$2:$C$265,0)),"",INDEX('Compliance Database'!$G$2:$G$265,MATCH(16,Engine!$C$2:$C$265,0)))</f>
        <v>High</v>
      </c>
      <c r="H29" t="str">
        <f>IF(ISNA(MATCH(16,Engine!$C$2:$C$265,0)),"",INDEX('Compliance Database'!$H$2:$H$265,MATCH(16,Engine!$C$2:$C$265,0)))</f>
        <v>High (explicit)</v>
      </c>
      <c r="I29" s="6" t="str">
        <f>IF(ISNA(MATCH(16,Engine!$C$2:$C$265,0)),"",INDEX('Compliance Database'!$I$2:$I$265,MATCH(16,Engine!$C$2:$C$265,0)))</f>
        <v>Cross-border Transfer, Data Sharing, Consent</v>
      </c>
      <c r="J29" s="6" t="str">
        <f>IF(ISNA(MATCH(16,Engine!$C$2:$C$265,0)),"",INDEX('Compliance Database'!$J$2:$J$265,MATCH(16,Engine!$C$2:$C$265,0)))</f>
        <v>Financial Data</v>
      </c>
      <c r="K29" t="str">
        <f>IF(ISNA(MATCH(16,Engine!$C$2:$C$265,0)),"",INDEX('Compliance Database'!$K$2:$K$265,MATCH(16,Engine!$C$2:$C$265,0)))</f>
        <v>FSCA</v>
      </c>
      <c r="L29" s="6" t="str">
        <f>IF(ISNA(MATCH(16,Engine!$C$2:$C$265,0)),"",INDEX('Compliance Database'!$L$2:$L$265,MATCH(16,Engine!$C$2:$C$265,0)))</f>
        <v>FSCA recommends voluntary adoption of Open Finance with phased mandatory implementation, focusing on data sharing, consent, risk management, and standards for financial institutions and TPPs.</v>
      </c>
      <c r="M29" s="6" t="str">
        <f>IF(ISNA(MATCH(16,Engine!$C$2:$C$265,0)),"",INDEX('Compliance Database'!$M$2:$M$265,MATCH(16,Engine!$C$2:$C$265,0)))</f>
        <v>Proposes voluntary adoption of Open Finance with phased mandatory implementation, requiring consent frameworks, risk management, and API standards for financial data sharing.</v>
      </c>
      <c r="N29" s="6" t="str">
        <f>IF(ISNA(MATCH(16,Engine!$C$2:$C$265,0)),"",INDEX('Compliance Database'!$N$2:$N$265,MATCH(16,Engine!$C$2:$C$265,0)))</f>
        <v>[Must] Persons participating in Open Finance should be regulated for safe and ethical sharing of user consent-based financial data to TPPs
[Must] Consent should be explicit, informed, specific, and not aggregated with other consents
[Must] Providers may not continue to share or utilise consumers' data once consent is withdrawn</v>
      </c>
      <c r="O29" s="6" t="str">
        <f>IF(ISNA(MATCH(16,Engine!$C$2:$C$265,0)),"",INDEX('Compliance Database'!$O$2:$O$265,MATCH(16,Engine!$C$2:$C$265,0)))</f>
        <v>The FSCA aims to promote responsible Open Finance and recommends the following: Persons participating in Open Finance should be regulated for the safe and ethical sharing of user consent-based financial data to TPPs.</v>
      </c>
    </row>
    <row r="30" spans="1:15" x14ac:dyDescent="0.3">
      <c r="A30" t="str">
        <f>IF(ISNA(MATCH(17,Engine!$C$2:$C$265,0)),"",INDEX('Compliance Database'!$A$2:$A$265,MATCH(17,Engine!$C$2:$C$265,0)))</f>
        <v>South Africa</v>
      </c>
      <c r="B30" t="str">
        <f>IF(ISNA(MATCH(17,Engine!$C$2:$C$265,0)),"",INDEX('Compliance Database'!$B$2:$B$265,MATCH(17,Engine!$C$2:$C$265,0)))</f>
        <v>2024 Open Finance_FSCA Position Paper</v>
      </c>
      <c r="C30" t="str">
        <f>IF(ISNA(MATCH(17,Engine!$C$2:$C$265,0)),"",INDEX('Compliance Database'!$C$2:$C$265,MATCH(17,Engine!$C$2:$C$265,0)))</f>
        <v>8</v>
      </c>
      <c r="D30" s="6" t="str">
        <f>IF(ISNA(MATCH(17,Engine!$C$2:$C$265,0)),"",INDEX('Compliance Database'!$D$2:$D$265,MATCH(17,Engine!$C$2:$C$265,0)))</f>
        <v>PROGRAMME OF WORK GOING FORWARD</v>
      </c>
      <c r="E30" t="str">
        <f>IF(ISNA(MATCH(17,Engine!$C$2:$C$265,0)),"",INDEX('Compliance Database'!$E$2:$E$265,MATCH(17,Engine!$C$2:$C$265,0)))</f>
        <v>20–21</v>
      </c>
      <c r="F30" t="str">
        <f>IF(ISNA(MATCH(17,Engine!$C$2:$C$265,0)),"",INDEX('Compliance Database'!$F$2:$F$265,MATCH(17,Engine!$C$2:$C$265,0)))</f>
        <v>Other</v>
      </c>
      <c r="G30" t="str">
        <f>IF(ISNA(MATCH(17,Engine!$C$2:$C$265,0)),"",INDEX('Compliance Database'!$G$2:$G$265,MATCH(17,Engine!$C$2:$C$265,0)))</f>
        <v>High</v>
      </c>
      <c r="H30" t="str">
        <f>IF(ISNA(MATCH(17,Engine!$C$2:$C$265,0)),"",INDEX('Compliance Database'!$H$2:$H$265,MATCH(17,Engine!$C$2:$C$265,0)))</f>
        <v>High (explicit)</v>
      </c>
      <c r="I30" s="6" t="str">
        <f>IF(ISNA(MATCH(17,Engine!$C$2:$C$265,0)),"",INDEX('Compliance Database'!$I$2:$I$265,MATCH(17,Engine!$C$2:$C$265,0)))</f>
        <v>Data Sharing, Consent</v>
      </c>
      <c r="J30" s="6" t="str">
        <f>IF(ISNA(MATCH(17,Engine!$C$2:$C$265,0)),"",INDEX('Compliance Database'!$J$2:$J$265,MATCH(17,Engine!$C$2:$C$265,0)))</f>
        <v>Financial Data</v>
      </c>
      <c r="K30" t="str">
        <f>IF(ISNA(MATCH(17,Engine!$C$2:$C$265,0)),"",INDEX('Compliance Database'!$K$2:$K$265,MATCH(17,Engine!$C$2:$C$265,0)))</f>
        <v>FSCA</v>
      </c>
      <c r="L30" s="6" t="str">
        <f>IF(ISNA(MATCH(17,Engine!$C$2:$C$265,0)),"",INDEX('Compliance Database'!$L$2:$L$265,MATCH(17,Engine!$C$2:$C$265,0)))</f>
        <v>FSCA outlines Programme of Work for Open Finance, including developing API standards, consent frameworks, and consumer awareness mechanisms.</v>
      </c>
      <c r="M30" s="6" t="str">
        <f>IF(ISNA(MATCH(17,Engine!$C$2:$C$265,0)),"",INDEX('Compliance Database'!$M$2:$M$265,MATCH(17,Engine!$C$2:$C$265,0)))</f>
        <v>FSCA plans to develop API standards, consent frameworks, and consumer awareness mechanisms through workshops and advisory group engagement.</v>
      </c>
      <c r="N30" s="6" t="str">
        <f>IF(ISNA(MATCH(17,Engine!$C$2:$C$265,0)),"",INDEX('Compliance Database'!$N$2:$N$265,MATCH(17,Engine!$C$2:$C$265,0)))</f>
        <v>[Must] Developing open API standards for data sharing
[Must] Developing suitable consent, risk management and disclosure frameworks</v>
      </c>
      <c r="O30" s="6" t="str">
        <f>IF(ISNA(MATCH(17,Engine!$C$2:$C$265,0)),"",INDEX('Compliance Database'!$O$2:$O$265,MATCH(17,Engine!$C$2:$C$265,0)))</f>
        <v>The FSCA will hold a series of engagements and workshops with stakeholders to further unpack submissions made to date, in support of the following Programme of Work: Developing open APIs standards, developing suitable consent, risk management and disclosure frameworks.</v>
      </c>
    </row>
    <row r="31" spans="1:15" x14ac:dyDescent="0.3">
      <c r="A31" t="str">
        <f>IF(ISNA(MATCH(18,Engine!$C$2:$C$265,0)),"",INDEX('Compliance Database'!$A$2:$A$265,MATCH(18,Engine!$C$2:$C$265,0)))</f>
        <v>South Africa</v>
      </c>
      <c r="B31" t="str">
        <f>IF(ISNA(MATCH(18,Engine!$C$2:$C$265,0)),"",INDEX('Compliance Database'!$B$2:$B$265,MATCH(18,Engine!$C$2:$C$265,0)))</f>
        <v>2024 Open Finance_FSCA Position Paper</v>
      </c>
      <c r="C31" t="str">
        <f>IF(ISNA(MATCH(18,Engine!$C$2:$C$265,0)),"",INDEX('Compliance Database'!$C$2:$C$265,MATCH(18,Engine!$C$2:$C$265,0)))</f>
        <v>9</v>
      </c>
      <c r="D31" s="6" t="str">
        <f>IF(ISNA(MATCH(18,Engine!$C$2:$C$265,0)),"",INDEX('Compliance Database'!$D$2:$D$265,MATCH(18,Engine!$C$2:$C$265,0)))</f>
        <v>ANNEXURE A: OPEN FINANCE APPROACH ACROSS VARIOUS JURISDICTIONS</v>
      </c>
      <c r="E31" t="str">
        <f>IF(ISNA(MATCH(18,Engine!$C$2:$C$265,0)),"",INDEX('Compliance Database'!$E$2:$E$265,MATCH(18,Engine!$C$2:$C$265,0)))</f>
        <v>21–23</v>
      </c>
      <c r="F31" t="str">
        <f>IF(ISNA(MATCH(18,Engine!$C$2:$C$265,0)),"",INDEX('Compliance Database'!$F$2:$F$265,MATCH(18,Engine!$C$2:$C$265,0)))</f>
        <v>Other</v>
      </c>
      <c r="G31" t="str">
        <f>IF(ISNA(MATCH(18,Engine!$C$2:$C$265,0)),"",INDEX('Compliance Database'!$G$2:$G$265,MATCH(18,Engine!$C$2:$C$265,0)))</f>
        <v>Low</v>
      </c>
      <c r="H31" t="str">
        <f>IF(ISNA(MATCH(18,Engine!$C$2:$C$265,0)),"",INDEX('Compliance Database'!$H$2:$H$265,MATCH(18,Engine!$C$2:$C$265,0)))</f>
        <v>High (explicit)</v>
      </c>
      <c r="I31" s="6" t="str">
        <f>IF(ISNA(MATCH(18,Engine!$C$2:$C$265,0)),"",INDEX('Compliance Database'!$I$2:$I$265,MATCH(18,Engine!$C$2:$C$265,0)))</f>
        <v>Cross-border Transfer, Data Sharing</v>
      </c>
      <c r="J31" s="6" t="str">
        <f>IF(ISNA(MATCH(18,Engine!$C$2:$C$265,0)),"",INDEX('Compliance Database'!$J$2:$J$265,MATCH(18,Engine!$C$2:$C$265,0)))</f>
        <v>Financial Data</v>
      </c>
      <c r="K31">
        <f>IF(ISNA(MATCH(18,Engine!$C$2:$C$265,0)),"",INDEX('Compliance Database'!$K$2:$K$265,MATCH(18,Engine!$C$2:$C$265,0)))</f>
        <v>0</v>
      </c>
      <c r="L31" s="6" t="str">
        <f>IF(ISNA(MATCH(18,Engine!$C$2:$C$265,0)),"",INDEX('Compliance Database'!$L$2:$L$265,MATCH(18,Engine!$C$2:$C$265,0)))</f>
        <v>Compares Open Finance approaches across jurisdictions, highlighting voluntary (Singapore, US, Nigeria) and mandated (Brazil, UK, EU) models with varying regulatory frameworks.</v>
      </c>
      <c r="M31" s="6" t="str">
        <f>IF(ISNA(MATCH(18,Engine!$C$2:$C$265,0)),"",INDEX('Compliance Database'!$M$2:$M$265,MATCH(18,Engine!$C$2:$C$265,0)))</f>
        <v>Describes jurisdictional approaches to Open Finance, including voluntary and mandated models with different regulatory frameworks and implementation requirements.</v>
      </c>
      <c r="N31" s="6">
        <f>IF(ISNA(MATCH(18,Engine!$C$2:$C$265,0)),"",INDEX('Compliance Database'!$N$2:$N$265,MATCH(18,Engine!$C$2:$C$265,0)))</f>
        <v>0</v>
      </c>
      <c r="O31" s="6" t="str">
        <f>IF(ISNA(MATCH(18,Engine!$C$2:$C$265,0)),"",INDEX('Compliance Database'!$O$2:$O$265,MATCH(18,Engine!$C$2:$C$265,0)))</f>
        <v>Voluntary approach – Open Finance/ Open Banking in Singapore, the US, and Nigeria; Mandated approach – Open Finance/ Open Banking in Brazil, the United Kingdom, and European Union.</v>
      </c>
    </row>
    <row r="32" spans="1:15" x14ac:dyDescent="0.3">
      <c r="A32" t="str">
        <f>IF(ISNA(MATCH(19,Engine!$C$2:$C$265,0)),"",INDEX('Compliance Database'!$A$2:$A$265,MATCH(19,Engine!$C$2:$C$265,0)))</f>
        <v>South Africa</v>
      </c>
      <c r="B32" t="str">
        <f>IF(ISNA(MATCH(19,Engine!$C$2:$C$265,0)),"",INDEX('Compliance Database'!$B$2:$B$265,MATCH(19,Engine!$C$2:$C$265,0)))</f>
        <v>2024 Open Finance_FSCA Position Paper</v>
      </c>
      <c r="C32" t="str">
        <f>IF(ISNA(MATCH(19,Engine!$C$2:$C$265,0)),"",INDEX('Compliance Database'!$C$2:$C$265,MATCH(19,Engine!$C$2:$C$265,0)))</f>
        <v>11</v>
      </c>
      <c r="D32" s="6" t="str">
        <f>IF(ISNA(MATCH(19,Engine!$C$2:$C$265,0)),"",INDEX('Compliance Database'!$D$2:$D$265,MATCH(19,Engine!$C$2:$C$265,0)))</f>
        <v>ANNEXURE C: PROPOSED OPEN FINANCE ROAD MAP</v>
      </c>
      <c r="E32" t="str">
        <f>IF(ISNA(MATCH(19,Engine!$C$2:$C$265,0)),"",INDEX('Compliance Database'!$E$2:$E$265,MATCH(19,Engine!$C$2:$C$265,0)))</f>
        <v>24</v>
      </c>
      <c r="F32" t="str">
        <f>IF(ISNA(MATCH(19,Engine!$C$2:$C$265,0)),"",INDEX('Compliance Database'!$F$2:$F$265,MATCH(19,Engine!$C$2:$C$265,0)))</f>
        <v>Other</v>
      </c>
      <c r="G32" t="str">
        <f>IF(ISNA(MATCH(19,Engine!$C$2:$C$265,0)),"",INDEX('Compliance Database'!$G$2:$G$265,MATCH(19,Engine!$C$2:$C$265,0)))</f>
        <v>High</v>
      </c>
      <c r="H32" t="str">
        <f>IF(ISNA(MATCH(19,Engine!$C$2:$C$265,0)),"",INDEX('Compliance Database'!$H$2:$H$265,MATCH(19,Engine!$C$2:$C$265,0)))</f>
        <v>High (explicit)</v>
      </c>
      <c r="I32" s="6" t="str">
        <f>IF(ISNA(MATCH(19,Engine!$C$2:$C$265,0)),"",INDEX('Compliance Database'!$I$2:$I$265,MATCH(19,Engine!$C$2:$C$265,0)))</f>
        <v>Data Sharing, Consent</v>
      </c>
      <c r="J32" s="6" t="str">
        <f>IF(ISNA(MATCH(19,Engine!$C$2:$C$265,0)),"",INDEX('Compliance Database'!$J$2:$J$265,MATCH(19,Engine!$C$2:$C$265,0)))</f>
        <v>Financial Data</v>
      </c>
      <c r="K32" t="str">
        <f>IF(ISNA(MATCH(19,Engine!$C$2:$C$265,0)),"",INDEX('Compliance Database'!$K$2:$K$265,MATCH(19,Engine!$C$2:$C$265,0)))</f>
        <v>FSCA</v>
      </c>
      <c r="L32" s="6" t="str">
        <f>IF(ISNA(MATCH(19,Engine!$C$2:$C$265,0)),"",INDEX('Compliance Database'!$L$2:$L$265,MATCH(19,Engine!$C$2:$C$265,0)))</f>
        <v>Details proposed Open Finance roadmap with timelines for developing API standards, consent frameworks, and consumer awareness mechanisms.</v>
      </c>
      <c r="M32" s="6" t="str">
        <f>IF(ISNA(MATCH(19,Engine!$C$2:$C$265,0)),"",INDEX('Compliance Database'!$M$2:$M$265,MATCH(19,Engine!$C$2:$C$265,0)))</f>
        <v>Outlines phased implementation timeline for Open Finance, including API standards, consent frameworks, and consumer empowerment by 2026.</v>
      </c>
      <c r="N32" s="6" t="str">
        <f>IF(ISNA(MATCH(19,Engine!$C$2:$C$265,0)),"",INDEX('Compliance Database'!$N$2:$N$265,MATCH(19,Engine!$C$2:$C$265,0)))</f>
        <v>[Must] Developing API standards by 31 March 2026
[Must] Developing consent, risk management and disclosure frameworks by 30 September 2026</v>
      </c>
      <c r="O32" s="6" t="str">
        <f>IF(ISNA(MATCH(19,Engine!$C$2:$C$265,0)),"",INDEX('Compliance Database'!$O$2:$O$265,MATCH(19,Engine!$C$2:$C$265,0)))</f>
        <v>Developing API standards – Advisory Group, 31 March 2026; Developing suitable consent, risk management and disclosure frameworks – FSCA, 30 September 2026.</v>
      </c>
    </row>
    <row r="33" spans="1:15" x14ac:dyDescent="0.3">
      <c r="A33" t="str">
        <f>IF(ISNA(MATCH(20,Engine!$C$2:$C$265,0)),"",INDEX('Compliance Database'!$A$2:$A$265,MATCH(20,Engine!$C$2:$C$265,0)))</f>
        <v>South Africa</v>
      </c>
      <c r="B33" t="str">
        <f>IF(ISNA(MATCH(20,Engine!$C$2:$C$265,0)),"",INDEX('Compliance Database'!$B$2:$B$265,MATCH(20,Engine!$C$2:$C$265,0)))</f>
        <v>Conduct-Standard-3-of-2020-BANKS-Annexure-A</v>
      </c>
      <c r="C33" t="str">
        <f>IF(ISNA(MATCH(20,Engine!$C$2:$C$265,0)),"",INDEX('Compliance Database'!$C$2:$C$265,MATCH(20,Engine!$C$2:$C$265,0)))</f>
        <v>2</v>
      </c>
      <c r="D33" s="6" t="str">
        <f>IF(ISNA(MATCH(20,Engine!$C$2:$C$265,0)),"",INDEX('Compliance Database'!$D$2:$D$265,MATCH(20,Engine!$C$2:$C$265,0)))</f>
        <v>Application and general obligations</v>
      </c>
      <c r="E33" t="str">
        <f>IF(ISNA(MATCH(20,Engine!$C$2:$C$265,0)),"",INDEX('Compliance Database'!$E$2:$E$265,MATCH(20,Engine!$C$2:$C$265,0)))</f>
        <v>5–7</v>
      </c>
      <c r="F33" t="str">
        <f>IF(ISNA(MATCH(20,Engine!$C$2:$C$265,0)),"",INDEX('Compliance Database'!$F$2:$F$265,MATCH(20,Engine!$C$2:$C$265,0)))</f>
        <v>Other</v>
      </c>
      <c r="G33" t="str">
        <f>IF(ISNA(MATCH(20,Engine!$C$2:$C$265,0)),"",INDEX('Compliance Database'!$G$2:$G$265,MATCH(20,Engine!$C$2:$C$265,0)))</f>
        <v>High</v>
      </c>
      <c r="H33" t="str">
        <f>IF(ISNA(MATCH(20,Engine!$C$2:$C$265,0)),"",INDEX('Compliance Database'!$H$2:$H$265,MATCH(20,Engine!$C$2:$C$265,0)))</f>
        <v>Medium</v>
      </c>
      <c r="I33" s="6" t="str">
        <f>IF(ISNA(MATCH(20,Engine!$C$2:$C$265,0)),"",INDEX('Compliance Database'!$I$2:$I$265,MATCH(20,Engine!$C$2:$C$265,0)))</f>
        <v>Fair treatment of financial customers</v>
      </c>
      <c r="J33" s="6" t="str">
        <f>IF(ISNA(MATCH(20,Engine!$C$2:$C$265,0)),"",INDEX('Compliance Database'!$J$2:$J$265,MATCH(20,Engine!$C$2:$C$265,0)))</f>
        <v>Financial Data</v>
      </c>
      <c r="K33" t="str">
        <f>IF(ISNA(MATCH(20,Engine!$C$2:$C$265,0)),"",INDEX('Compliance Database'!$K$2:$K$265,MATCH(20,Engine!$C$2:$C$265,0)))</f>
        <v>Financial Sector Conduct Authority</v>
      </c>
      <c r="L33" s="6">
        <f>IF(ISNA(MATCH(20,Engine!$C$2:$C$265,0)),"",INDEX('Compliance Database'!$L$2:$L$265,MATCH(20,Engine!$C$2:$C$265,0)))</f>
        <v>0</v>
      </c>
      <c r="M33" s="6">
        <f>IF(ISNA(MATCH(20,Engine!$C$2:$C$265,0)),"",INDEX('Compliance Database'!$M$2:$M$265,MATCH(20,Engine!$C$2:$C$265,0)))</f>
        <v>0</v>
      </c>
      <c r="N33" s="6" t="str">
        <f>IF(ISNA(MATCH(20,Engine!$C$2:$C$265,0)),"",INDEX('Compliance Database'!$N$2:$N$265,MATCH(20,Engine!$C$2:$C$265,0)))</f>
        <v>[Must] A bank must conduct Its business in a manner that prioritises the fair treatment of financial customers.</v>
      </c>
      <c r="O33" s="6" t="str">
        <f>IF(ISNA(MATCH(20,Engine!$C$2:$C$265,0)),"",INDEX('Compliance Database'!$O$2:$O$265,MATCH(20,Engine!$C$2:$C$265,0)))</f>
        <v>A bank must conduct Its business in a manner that prioritises the fair treatment of financial customers.</v>
      </c>
    </row>
    <row r="34" spans="1:15" x14ac:dyDescent="0.3">
      <c r="A34" t="str">
        <f>IF(ISNA(MATCH(21,Engine!$C$2:$C$265,0)),"",INDEX('Compliance Database'!$A$2:$A$265,MATCH(21,Engine!$C$2:$C$265,0)))</f>
        <v>South Africa</v>
      </c>
      <c r="B34" t="str">
        <f>IF(ISNA(MATCH(21,Engine!$C$2:$C$265,0)),"",INDEX('Compliance Database'!$B$2:$B$265,MATCH(21,Engine!$C$2:$C$265,0)))</f>
        <v>Conduct-Standard-3-of-2020-BANKS-Annexure-A</v>
      </c>
      <c r="C34" t="str">
        <f>IF(ISNA(MATCH(21,Engine!$C$2:$C$265,0)),"",INDEX('Compliance Database'!$C$2:$C$265,MATCH(21,Engine!$C$2:$C$265,0)))</f>
        <v>3</v>
      </c>
      <c r="D34" s="6" t="str">
        <f>IF(ISNA(MATCH(21,Engine!$C$2:$C$265,0)),"",INDEX('Compliance Database'!$D$2:$D$265,MATCH(21,Engine!$C$2:$C$265,0)))</f>
        <v>Culture and governance</v>
      </c>
      <c r="E34" t="str">
        <f>IF(ISNA(MATCH(21,Engine!$C$2:$C$265,0)),"",INDEX('Compliance Database'!$E$2:$E$265,MATCH(21,Engine!$C$2:$C$265,0)))</f>
        <v>7–22</v>
      </c>
      <c r="F34" t="str">
        <f>IF(ISNA(MATCH(21,Engine!$C$2:$C$265,0)),"",INDEX('Compliance Database'!$F$2:$F$265,MATCH(21,Engine!$C$2:$C$265,0)))</f>
        <v>Governance</v>
      </c>
      <c r="G34" t="str">
        <f>IF(ISNA(MATCH(21,Engine!$C$2:$C$265,0)),"",INDEX('Compliance Database'!$G$2:$G$265,MATCH(21,Engine!$C$2:$C$265,0)))</f>
        <v>High</v>
      </c>
      <c r="H34" t="str">
        <f>IF(ISNA(MATCH(21,Engine!$C$2:$C$265,0)),"",INDEX('Compliance Database'!$H$2:$H$265,MATCH(21,Engine!$C$2:$C$265,0)))</f>
        <v>High (explicit)</v>
      </c>
      <c r="I34" s="6" t="str">
        <f>IF(ISNA(MATCH(21,Engine!$C$2:$C$265,0)),"",INDEX('Compliance Database'!$I$2:$I$265,MATCH(21,Engine!$C$2:$C$265,0)))</f>
        <v>Governance, Risk Management, Compliance, Internal Controls</v>
      </c>
      <c r="J34" s="6" t="str">
        <f>IF(ISNA(MATCH(21,Engine!$C$2:$C$265,0)),"",INDEX('Compliance Database'!$J$2:$J$265,MATCH(21,Engine!$C$2:$C$265,0)))</f>
        <v>Financial Data, Customer Information</v>
      </c>
      <c r="K34" t="str">
        <f>IF(ISNA(MATCH(21,Engine!$C$2:$C$265,0)),"",INDEX('Compliance Database'!$K$2:$K$265,MATCH(21,Engine!$C$2:$C$265,0)))</f>
        <v>Financial Sector Conduct Authority (FSCA)</v>
      </c>
      <c r="L34" s="6" t="str">
        <f>IF(ISNA(MATCH(21,Engine!$C$2:$C$265,0)),"",INDEX('Compliance Database'!$L$2:$L$265,MATCH(21,Engine!$C$2:$C$265,0)))</f>
        <v>Banks must maintain integrity, honesty, and transparency in business practices and ensure fair treatment of financial customers through governance arrangements.</v>
      </c>
      <c r="M34" s="6" t="str">
        <f>IF(ISNA(MATCH(21,Engine!$C$2:$C$265,0)),"",INDEX('Compliance Database'!$M$2:$M$265,MATCH(21,Engine!$C$2:$C$265,0)))</f>
        <v>Banks must implement governance structures to ensure fair customer treatment and compliance with conduct standards through oversight mechanisms.</v>
      </c>
      <c r="N34" s="6" t="str">
        <f>IF(ISNA(MATCH(21,Engine!$C$2:$C$265,0)),"",INDEX('Compliance Database'!$N$2:$N$265,MATCH(21,Engine!$C$2:$C$265,0)))</f>
        <v>[Must] A bank must at all times conduct its business with integrity
[Must] A bank must act honestly, fairly, with due skill, care and diligence, and in a manner that does not bring the financial sector into disrepute
[Must] A bank must organise and manage its affairs responsibly and efficiently
[Must] A bank must avoid or, where avoidance is not possible, manage and mitigate actual or potential conflicts of interest
[Must] A bank must deal with the Authority in an open and cooperative manner
[Must] A bank must conduct its business transparently and with due regard to the Information needs of its financial customers
[Must] A bank must document, adopt, implement and monitor the effectiveness of appropriate governance arrangements that are reasonably necessary to ensure adherence to the requirements in section 2(4) and 3(1)
[Must] The governance arrangements must be proportionate to the nature, scale and complexity of the bank's activities and business model
[Must] The governance arrangements must describe how the bank will comply with this section through appropriate policies and procedures
[Must] The governance arrangements must address roles and responsibilities of the governing body and key persons
[Must] The governance arrangements must address remuneration, compensation and incentive practices
[Must] The governance arrangements must address conflicts of interest
[Must] The governance arrangements must address disclosure of interests in related and inter-related parties
[Must] The governance arrangements must address record keeping
[Must] The governance arrangements must address communication with the Authority
[Must] The governance arrangements must address decision making and management procedures, including delegation of authority arrangements
[Must] The governance arrangements must address risk management, compliance and internal control procedures, including segregation of duties and functions
[Must] The governance arrangements must address security, integrity, privacy and confidentiality of information
[Must] The governance arrangements must provide for regular risk-based monitoring and evaluation of the adequacy and effectiveness of the bank's systems, processes, procedures and internal control mechanisms
[Must] The monitoring and evaluation must consider systems, processes, procedures and internal control mechanisms to ensure compliance with this Conduct Standard and other applicable legislation
[Must] The monitoring and evaluation must consider systems, processes, procedures and internal control mechanisms to ensure the effectiveness of the bank's practices in relation to fair treatment of financial customers
[Must] The governing body of a bank is accountable for the approval, establishment, embedment, ongoing review of, and continued compliance with the bank's governance arrangements to reasonably ensure fair treatment of financial customers</v>
      </c>
      <c r="O34" s="6" t="str">
        <f>IF(ISNA(MATCH(21,Engine!$C$2:$C$265,0)),"",INDEX('Compliance Database'!$O$2:$O$265,MATCH(21,Engine!$C$2:$C$265,0)))</f>
        <v>A bank must at all times conduct Its business with integrity; act honestly, fairly, with due skill, care and diligence, and in a manner that does not bring the financial sector into disrepute; organise and manage its affairs responsibly and efficiently; avoid or, where avoidance is not possible, manage and mitigate actual or potential conflicts of interest; deal with the Authority in an open and cooperative manner; and conduct Its business transparently and with due regard to the Information needs of its financial customers.</v>
      </c>
    </row>
    <row r="35" spans="1:15" x14ac:dyDescent="0.3">
      <c r="A35" t="str">
        <f>IF(ISNA(MATCH(22,Engine!$C$2:$C$265,0)),"",INDEX('Compliance Database'!$A$2:$A$265,MATCH(22,Engine!$C$2:$C$265,0)))</f>
        <v>South Africa</v>
      </c>
      <c r="B35" t="str">
        <f>IF(ISNA(MATCH(22,Engine!$C$2:$C$265,0)),"",INDEX('Compliance Database'!$B$2:$B$265,MATCH(22,Engine!$C$2:$C$265,0)))</f>
        <v>Conduct-Standard-3-of-2020-BANKS-Annexure-A</v>
      </c>
      <c r="C35" t="str">
        <f>IF(ISNA(MATCH(22,Engine!$C$2:$C$265,0)),"",INDEX('Compliance Database'!$C$2:$C$265,MATCH(22,Engine!$C$2:$C$265,0)))</f>
        <v>4</v>
      </c>
      <c r="D35" s="6" t="str">
        <f>IF(ISNA(MATCH(22,Engine!$C$2:$C$265,0)),"",INDEX('Compliance Database'!$D$2:$D$265,MATCH(22,Engine!$C$2:$C$265,0)))</f>
        <v>Design, suitability and performance requirements for financial products and financial</v>
      </c>
      <c r="E35" t="str">
        <f>IF(ISNA(MATCH(22,Engine!$C$2:$C$265,0)),"",INDEX('Compliance Database'!$E$2:$E$265,MATCH(22,Engine!$C$2:$C$265,0)))</f>
        <v>2</v>
      </c>
      <c r="F35" t="str">
        <f>IF(ISNA(MATCH(22,Engine!$C$2:$C$265,0)),"",INDEX('Compliance Database'!$F$2:$F$265,MATCH(22,Engine!$C$2:$C$265,0)))</f>
        <v>Other</v>
      </c>
      <c r="G35" t="str">
        <f>IF(ISNA(MATCH(22,Engine!$C$2:$C$265,0)),"",INDEX('Compliance Database'!$G$2:$G$265,MATCH(22,Engine!$C$2:$C$265,0)))</f>
        <v>High</v>
      </c>
      <c r="H35" t="str">
        <f>IF(ISNA(MATCH(22,Engine!$C$2:$C$265,0)),"",INDEX('Compliance Database'!$H$2:$H$265,MATCH(22,Engine!$C$2:$C$265,0)))</f>
        <v>Low</v>
      </c>
      <c r="I35" s="6">
        <f>IF(ISNA(MATCH(22,Engine!$C$2:$C$265,0)),"",INDEX('Compliance Database'!$I$2:$I$265,MATCH(22,Engine!$C$2:$C$265,0)))</f>
        <v>0</v>
      </c>
      <c r="J35" s="6">
        <f>IF(ISNA(MATCH(22,Engine!$C$2:$C$265,0)),"",INDEX('Compliance Database'!$J$2:$J$265,MATCH(22,Engine!$C$2:$C$265,0)))</f>
        <v>0</v>
      </c>
      <c r="K35">
        <f>IF(ISNA(MATCH(22,Engine!$C$2:$C$265,0)),"",INDEX('Compliance Database'!$K$2:$K$265,MATCH(22,Engine!$C$2:$C$265,0)))</f>
        <v>0</v>
      </c>
      <c r="L35" s="6">
        <f>IF(ISNA(MATCH(22,Engine!$C$2:$C$265,0)),"",INDEX('Compliance Database'!$L$2:$L$265,MATCH(22,Engine!$C$2:$C$265,0)))</f>
        <v>0</v>
      </c>
      <c r="M35" s="6">
        <f>IF(ISNA(MATCH(22,Engine!$C$2:$C$265,0)),"",INDEX('Compliance Database'!$M$2:$M$265,MATCH(22,Engine!$C$2:$C$265,0)))</f>
        <v>0</v>
      </c>
      <c r="N35" s="6">
        <f>IF(ISNA(MATCH(22,Engine!$C$2:$C$265,0)),"",INDEX('Compliance Database'!$N$2:$N$265,MATCH(22,Engine!$C$2:$C$265,0)))</f>
        <v>0</v>
      </c>
      <c r="O35" s="6" t="str">
        <f>IF(ISNA(MATCH(22,Engine!$C$2:$C$265,0)),"",INDEX('Compliance Database'!$O$2:$O$265,MATCH(22,Engine!$C$2:$C$265,0)))</f>
        <v>Design, suitability and performance requirements for financial products and financial</v>
      </c>
    </row>
    <row r="36" spans="1:15" x14ac:dyDescent="0.3">
      <c r="A36" t="str">
        <f>IF(ISNA(MATCH(23,Engine!$C$2:$C$265,0)),"",INDEX('Compliance Database'!$A$2:$A$265,MATCH(23,Engine!$C$2:$C$265,0)))</f>
        <v>South Africa</v>
      </c>
      <c r="B36" t="str">
        <f>IF(ISNA(MATCH(23,Engine!$C$2:$C$265,0)),"",INDEX('Compliance Database'!$B$2:$B$265,MATCH(23,Engine!$C$2:$C$265,0)))</f>
        <v>Conduct-Standard-3-of-2020-BANKS-Annexure-A</v>
      </c>
      <c r="C36" t="str">
        <f>IF(ISNA(MATCH(23,Engine!$C$2:$C$265,0)),"",INDEX('Compliance Database'!$C$2:$C$265,MATCH(23,Engine!$C$2:$C$265,0)))</f>
        <v>5</v>
      </c>
      <c r="D36" s="6" t="str">
        <f>IF(ISNA(MATCH(23,Engine!$C$2:$C$265,0)),"",INDEX('Compliance Database'!$D$2:$D$265,MATCH(23,Engine!$C$2:$C$265,0)))</f>
        <v>Additlonal requirements in respect of retail financial CUStOMETS ........::ssccsessssereareees 10</v>
      </c>
      <c r="E36" t="str">
        <f>IF(ISNA(MATCH(23,Engine!$C$2:$C$265,0)),"",INDEX('Compliance Database'!$E$2:$E$265,MATCH(23,Engine!$C$2:$C$265,0)))</f>
        <v>2</v>
      </c>
      <c r="F36" t="str">
        <f>IF(ISNA(MATCH(23,Engine!$C$2:$C$265,0)),"",INDEX('Compliance Database'!$F$2:$F$265,MATCH(23,Engine!$C$2:$C$265,0)))</f>
        <v>Other</v>
      </c>
      <c r="G36" t="str">
        <f>IF(ISNA(MATCH(23,Engine!$C$2:$C$265,0)),"",INDEX('Compliance Database'!$G$2:$G$265,MATCH(23,Engine!$C$2:$C$265,0)))</f>
        <v>High</v>
      </c>
      <c r="H36" t="str">
        <f>IF(ISNA(MATCH(23,Engine!$C$2:$C$265,0)),"",INDEX('Compliance Database'!$H$2:$H$265,MATCH(23,Engine!$C$2:$C$265,0)))</f>
        <v>Low</v>
      </c>
      <c r="I36" s="6">
        <f>IF(ISNA(MATCH(23,Engine!$C$2:$C$265,0)),"",INDEX('Compliance Database'!$I$2:$I$265,MATCH(23,Engine!$C$2:$C$265,0)))</f>
        <v>0</v>
      </c>
      <c r="J36" s="6">
        <f>IF(ISNA(MATCH(23,Engine!$C$2:$C$265,0)),"",INDEX('Compliance Database'!$J$2:$J$265,MATCH(23,Engine!$C$2:$C$265,0)))</f>
        <v>0</v>
      </c>
      <c r="K36">
        <f>IF(ISNA(MATCH(23,Engine!$C$2:$C$265,0)),"",INDEX('Compliance Database'!$K$2:$K$265,MATCH(23,Engine!$C$2:$C$265,0)))</f>
        <v>0</v>
      </c>
      <c r="L36" s="6">
        <f>IF(ISNA(MATCH(23,Engine!$C$2:$C$265,0)),"",INDEX('Compliance Database'!$L$2:$L$265,MATCH(23,Engine!$C$2:$C$265,0)))</f>
        <v>0</v>
      </c>
      <c r="M36" s="6">
        <f>IF(ISNA(MATCH(23,Engine!$C$2:$C$265,0)),"",INDEX('Compliance Database'!$M$2:$M$265,MATCH(23,Engine!$C$2:$C$265,0)))</f>
        <v>0</v>
      </c>
      <c r="N36" s="6">
        <f>IF(ISNA(MATCH(23,Engine!$C$2:$C$265,0)),"",INDEX('Compliance Database'!$N$2:$N$265,MATCH(23,Engine!$C$2:$C$265,0)))</f>
        <v>0</v>
      </c>
      <c r="O36" s="6" t="str">
        <f>IF(ISNA(MATCH(23,Engine!$C$2:$C$265,0)),"",INDEX('Compliance Database'!$O$2:$O$265,MATCH(23,Engine!$C$2:$C$265,0)))</f>
        <v>Additlonal requirements in respect of retail financial CUStOMETS ........::ssccsessssereareees</v>
      </c>
    </row>
    <row r="37" spans="1:15" x14ac:dyDescent="0.3">
      <c r="A37" t="str">
        <f>IF(ISNA(MATCH(24,Engine!$C$2:$C$265,0)),"",INDEX('Compliance Database'!$A$2:$A$265,MATCH(24,Engine!$C$2:$C$265,0)))</f>
        <v>South Africa</v>
      </c>
      <c r="B37" t="str">
        <f>IF(ISNA(MATCH(24,Engine!$C$2:$C$265,0)),"",INDEX('Compliance Database'!$B$2:$B$265,MATCH(24,Engine!$C$2:$C$265,0)))</f>
        <v>Conduct-Standard-3-of-2020-BANKS-Annexure-A</v>
      </c>
      <c r="C37" t="str">
        <f>IF(ISNA(MATCH(24,Engine!$C$2:$C$265,0)),"",INDEX('Compliance Database'!$C$2:$C$265,MATCH(24,Engine!$C$2:$C$265,0)))</f>
        <v>10</v>
      </c>
      <c r="D37" s="6" t="str">
        <f>IF(ISNA(MATCH(24,Engine!$C$2:$C$265,0)),"",INDEX('Compliance Database'!$D$2:$D$265,MATCH(24,Engine!$C$2:$C$265,0)))</f>
        <v>Termination, closure or switching of financlal products or financlal services by the</v>
      </c>
      <c r="E37" t="str">
        <f>IF(ISNA(MATCH(24,Engine!$C$2:$C$265,0)),"",INDEX('Compliance Database'!$E$2:$E$265,MATCH(24,Engine!$C$2:$C$265,0)))</f>
        <v>2</v>
      </c>
      <c r="F37" t="str">
        <f>IF(ISNA(MATCH(24,Engine!$C$2:$C$265,0)),"",INDEX('Compliance Database'!$F$2:$F$265,MATCH(24,Engine!$C$2:$C$265,0)))</f>
        <v>Other</v>
      </c>
      <c r="G37" t="str">
        <f>IF(ISNA(MATCH(24,Engine!$C$2:$C$265,0)),"",INDEX('Compliance Database'!$G$2:$G$265,MATCH(24,Engine!$C$2:$C$265,0)))</f>
        <v>High</v>
      </c>
      <c r="H37" t="str">
        <f>IF(ISNA(MATCH(24,Engine!$C$2:$C$265,0)),"",INDEX('Compliance Database'!$H$2:$H$265,MATCH(24,Engine!$C$2:$C$265,0)))</f>
        <v>Low</v>
      </c>
      <c r="I37" s="6">
        <f>IF(ISNA(MATCH(24,Engine!$C$2:$C$265,0)),"",INDEX('Compliance Database'!$I$2:$I$265,MATCH(24,Engine!$C$2:$C$265,0)))</f>
        <v>0</v>
      </c>
      <c r="J37" s="6">
        <f>IF(ISNA(MATCH(24,Engine!$C$2:$C$265,0)),"",INDEX('Compliance Database'!$J$2:$J$265,MATCH(24,Engine!$C$2:$C$265,0)))</f>
        <v>0</v>
      </c>
      <c r="K37">
        <f>IF(ISNA(MATCH(24,Engine!$C$2:$C$265,0)),"",INDEX('Compliance Database'!$K$2:$K$265,MATCH(24,Engine!$C$2:$C$265,0)))</f>
        <v>0</v>
      </c>
      <c r="L37" s="6">
        <f>IF(ISNA(MATCH(24,Engine!$C$2:$C$265,0)),"",INDEX('Compliance Database'!$L$2:$L$265,MATCH(24,Engine!$C$2:$C$265,0)))</f>
        <v>0</v>
      </c>
      <c r="M37" s="6">
        <f>IF(ISNA(MATCH(24,Engine!$C$2:$C$265,0)),"",INDEX('Compliance Database'!$M$2:$M$265,MATCH(24,Engine!$C$2:$C$265,0)))</f>
        <v>0</v>
      </c>
      <c r="N37" s="6">
        <f>IF(ISNA(MATCH(24,Engine!$C$2:$C$265,0)),"",INDEX('Compliance Database'!$N$2:$N$265,MATCH(24,Engine!$C$2:$C$265,0)))</f>
        <v>0</v>
      </c>
      <c r="O37" s="6" t="str">
        <f>IF(ISNA(MATCH(24,Engine!$C$2:$C$265,0)),"",INDEX('Compliance Database'!$O$2:$O$265,MATCH(24,Engine!$C$2:$C$265,0)))</f>
        <v>Termination, closure or switching of financlal products or financlal services by the</v>
      </c>
    </row>
    <row r="38" spans="1:15" x14ac:dyDescent="0.3">
      <c r="A38" t="str">
        <f>IF(ISNA(MATCH(25,Engine!$C$2:$C$265,0)),"",INDEX('Compliance Database'!$A$2:$A$265,MATCH(25,Engine!$C$2:$C$265,0)))</f>
        <v>South Africa</v>
      </c>
      <c r="B38" t="str">
        <f>IF(ISNA(MATCH(25,Engine!$C$2:$C$265,0)),"",INDEX('Compliance Database'!$B$2:$B$265,MATCH(25,Engine!$C$2:$C$265,0)))</f>
        <v>Conduct-Standard-3-of-2020-BANKS-Annexure-A</v>
      </c>
      <c r="C38" t="str">
        <f>IF(ISNA(MATCH(25,Engine!$C$2:$C$265,0)),"",INDEX('Compliance Database'!$C$2:$C$265,MATCH(25,Engine!$C$2:$C$265,0)))</f>
        <v>10</v>
      </c>
      <c r="D38" s="6" t="str">
        <f>IF(ISNA(MATCH(25,Engine!$C$2:$C$265,0)),"",INDEX('Compliance Database'!$D$2:$D$265,MATCH(25,Engine!$C$2:$C$265,0)))</f>
        <v>(3)</v>
      </c>
      <c r="E38" t="str">
        <f>IF(ISNA(MATCH(25,Engine!$C$2:$C$265,0)),"",INDEX('Compliance Database'!$E$2:$E$265,MATCH(25,Engine!$C$2:$C$265,0)))</f>
        <v>22–23</v>
      </c>
      <c r="F38" t="str">
        <f>IF(ISNA(MATCH(25,Engine!$C$2:$C$265,0)),"",INDEX('Compliance Database'!$F$2:$F$265,MATCH(25,Engine!$C$2:$C$265,0)))</f>
        <v>Customer Information</v>
      </c>
      <c r="G38" t="str">
        <f>IF(ISNA(MATCH(25,Engine!$C$2:$C$265,0)),"",INDEX('Compliance Database'!$G$2:$G$265,MATCH(25,Engine!$C$2:$C$265,0)))</f>
        <v>High</v>
      </c>
      <c r="H38" t="str">
        <f>IF(ISNA(MATCH(25,Engine!$C$2:$C$265,0)),"",INDEX('Compliance Database'!$H$2:$H$265,MATCH(25,Engine!$C$2:$C$265,0)))</f>
        <v>High (explicit)</v>
      </c>
      <c r="I38" s="6" t="str">
        <f>IF(ISNA(MATCH(25,Engine!$C$2:$C$265,0)),"",INDEX('Compliance Database'!$I$2:$I$265,MATCH(25,Engine!$C$2:$C$265,0)))</f>
        <v>Customer Information, Termination</v>
      </c>
      <c r="J38" s="6" t="str">
        <f>IF(ISNA(MATCH(25,Engine!$C$2:$C$265,0)),"",INDEX('Compliance Database'!$J$2:$J$265,MATCH(25,Engine!$C$2:$C$265,0)))</f>
        <v>Customer Information</v>
      </c>
      <c r="K38">
        <f>IF(ISNA(MATCH(25,Engine!$C$2:$C$265,0)),"",INDEX('Compliance Database'!$K$2:$K$265,MATCH(25,Engine!$C$2:$C$265,0)))</f>
        <v>0</v>
      </c>
      <c r="L38" s="6" t="str">
        <f>IF(ISNA(MATCH(25,Engine!$C$2:$C$265,0)),"",INDEX('Compliance Database'!$L$2:$L$265,MATCH(25,Engine!$C$2:$C$265,0)))</f>
        <v>Banks must disclose reasons for refusal, withdrawal, termination or closure of financial products/services to customers.</v>
      </c>
      <c r="M38" s="6" t="str">
        <f>IF(ISNA(MATCH(25,Engine!$C$2:$C$265,0)),"",INDEX('Compliance Database'!$M$2:$M$265,MATCH(25,Engine!$C$2:$C$265,0)))</f>
        <v>Banks must disclose reasons for refusal, withdrawal, termination or closure of financial products/services to customers.</v>
      </c>
      <c r="N38" s="6" t="str">
        <f>IF(ISNA(MATCH(25,Engine!$C$2:$C$265,0)),"",INDEX('Compliance Database'!$N$2:$N$265,MATCH(25,Engine!$C$2:$C$265,0)))</f>
        <v>[Must] When taking actions referred to in subsection (1), a bank must disclose reasons for refusal, withdrawal, termination or closure to the financial customer.
[May] A bank may take actions without providing prior notice or reasons if compelled by law, has reasonable suspicion of illegal use, or has made necessary reports to authority.</v>
      </c>
      <c r="O38" s="6" t="str">
        <f>IF(ISNA(MATCH(25,Engine!$C$2:$C$265,0)),"",INDEX('Compliance Database'!$O$2:$O$265,MATCH(25,Engine!$C$2:$C$265,0)))</f>
        <v>Subject to subsection (4), a bank must, when it takes any of the actions referred to in subsection (1), disclose to the financial customer the reasons for the refusal, withdrawal, termination or closure.</v>
      </c>
    </row>
    <row r="39" spans="1:15" x14ac:dyDescent="0.3">
      <c r="A39" t="str">
        <f>IF(ISNA(MATCH(26,Engine!$C$2:$C$265,0)),"",INDEX('Compliance Database'!$A$2:$A$265,MATCH(26,Engine!$C$2:$C$265,0)))</f>
        <v>South Africa</v>
      </c>
      <c r="B39" t="str">
        <f>IF(ISNA(MATCH(26,Engine!$C$2:$C$265,0)),"",INDEX('Compliance Database'!$B$2:$B$265,MATCH(26,Engine!$C$2:$C$265,0)))</f>
        <v>Conduct-Standard-3-of-2020-BANKS-Annexure-A</v>
      </c>
      <c r="C39" t="str">
        <f>IF(ISNA(MATCH(26,Engine!$C$2:$C$265,0)),"",INDEX('Compliance Database'!$C$2:$C$265,MATCH(26,Engine!$C$2:$C$265,0)))</f>
        <v>11</v>
      </c>
      <c r="D39" s="6" t="str">
        <f>IF(ISNA(MATCH(26,Engine!$C$2:$C$265,0)),"",INDEX('Compliance Database'!$D$2:$D$265,MATCH(26,Engine!$C$2:$C$265,0)))</f>
        <v>Short title ANG COMMENCOMEONE.......:::ssescccccsccssssssscccnsssesseuserenecsenenscessnssasseoooserssessessensss 23</v>
      </c>
      <c r="E39" t="str">
        <f>IF(ISNA(MATCH(26,Engine!$C$2:$C$265,0)),"",INDEX('Compliance Database'!$E$2:$E$265,MATCH(26,Engine!$C$2:$C$265,0)))</f>
        <v>2–5</v>
      </c>
      <c r="F39" t="str">
        <f>IF(ISNA(MATCH(26,Engine!$C$2:$C$265,0)),"",INDEX('Compliance Database'!$F$2:$F$265,MATCH(26,Engine!$C$2:$C$265,0)))</f>
        <v>Definitions</v>
      </c>
      <c r="G39" t="str">
        <f>IF(ISNA(MATCH(26,Engine!$C$2:$C$265,0)),"",INDEX('Compliance Database'!$G$2:$G$265,MATCH(26,Engine!$C$2:$C$265,0)))</f>
        <v>None</v>
      </c>
      <c r="H39" t="str">
        <f>IF(ISNA(MATCH(26,Engine!$C$2:$C$265,0)),"",INDEX('Compliance Database'!$H$2:$H$265,MATCH(26,Engine!$C$2:$C$265,0)))</f>
        <v>High</v>
      </c>
      <c r="I39" s="6">
        <f>IF(ISNA(MATCH(26,Engine!$C$2:$C$265,0)),"",INDEX('Compliance Database'!$I$2:$I$265,MATCH(26,Engine!$C$2:$C$265,0)))</f>
        <v>0</v>
      </c>
      <c r="J39" s="6">
        <f>IF(ISNA(MATCH(26,Engine!$C$2:$C$265,0)),"",INDEX('Compliance Database'!$J$2:$J$265,MATCH(26,Engine!$C$2:$C$265,0)))</f>
        <v>0</v>
      </c>
      <c r="K39" t="str">
        <f>IF(ISNA(MATCH(26,Engine!$C$2:$C$265,0)),"",INDEX('Compliance Database'!$K$2:$K$265,MATCH(26,Engine!$C$2:$C$265,0)))</f>
        <v>Financial Sector Conduct Authority</v>
      </c>
      <c r="L39" s="6">
        <f>IF(ISNA(MATCH(26,Engine!$C$2:$C$265,0)),"",INDEX('Compliance Database'!$L$2:$L$265,MATCH(26,Engine!$C$2:$C$265,0)))</f>
        <v>0</v>
      </c>
      <c r="M39" s="6">
        <f>IF(ISNA(MATCH(26,Engine!$C$2:$C$265,0)),"",INDEX('Compliance Database'!$M$2:$M$265,MATCH(26,Engine!$C$2:$C$265,0)))</f>
        <v>0</v>
      </c>
      <c r="N39" s="6">
        <f>IF(ISNA(MATCH(26,Engine!$C$2:$C$265,0)),"",INDEX('Compliance Database'!$N$2:$N$265,MATCH(26,Engine!$C$2:$C$265,0)))</f>
        <v>0</v>
      </c>
      <c r="O39" s="6" t="str">
        <f>IF(ISNA(MATCH(26,Engine!$C$2:$C$265,0)),"",INDEX('Compliance Database'!$O$2:$O$265,MATCH(26,Engine!$C$2:$C$265,0)))</f>
        <v>In this Conduct Standard, "the Act" means the Financial Sector Regulation Act, 2017 ()</v>
      </c>
    </row>
    <row r="40" spans="1:15" x14ac:dyDescent="0.3">
      <c r="A40" t="str">
        <f>IF(ISNA(MATCH(27,Engine!$C$2:$C$265,0)),"",INDEX('Compliance Database'!$A$2:$A$265,MATCH(27,Engine!$C$2:$C$265,0)))</f>
        <v>South Africa</v>
      </c>
      <c r="B40" t="str">
        <f>IF(ISNA(MATCH(27,Engine!$C$2:$C$265,0)),"",INDEX('Compliance Database'!$B$2:$B$265,MATCH(27,Engine!$C$2:$C$265,0)))</f>
        <v>Directive in respect of cybersecurity and cyber-resilisnce within the national payment system</v>
      </c>
      <c r="C40" t="str">
        <f>IF(ISNA(MATCH(27,Engine!$C$2:$C$265,0)),"",INDEX('Compliance Database'!$C$2:$C$265,MATCH(27,Engine!$C$2:$C$265,0)))</f>
        <v>1</v>
      </c>
      <c r="D40" s="6" t="str">
        <f>IF(ISNA(MATCH(27,Engine!$C$2:$C$265,0)),"",INDEX('Compliance Database'!$D$2:$D$265,MATCH(27,Engine!$C$2:$C$265,0)))</f>
        <v>Definitions</v>
      </c>
      <c r="E40" t="str">
        <f>IF(ISNA(MATCH(27,Engine!$C$2:$C$265,0)),"",INDEX('Compliance Database'!$E$2:$E$265,MATCH(27,Engine!$C$2:$C$265,0)))</f>
        <v>3–5</v>
      </c>
      <c r="F40" t="str">
        <f>IF(ISNA(MATCH(27,Engine!$C$2:$C$265,0)),"",INDEX('Compliance Database'!$F$2:$F$265,MATCH(27,Engine!$C$2:$C$265,0)))</f>
        <v>Definitions</v>
      </c>
      <c r="G40" t="str">
        <f>IF(ISNA(MATCH(27,Engine!$C$2:$C$265,0)),"",INDEX('Compliance Database'!$G$2:$G$265,MATCH(27,Engine!$C$2:$C$265,0)))</f>
        <v>Low</v>
      </c>
      <c r="H40" t="str">
        <f>IF(ISNA(MATCH(27,Engine!$C$2:$C$265,0)),"",INDEX('Compliance Database'!$H$2:$H$265,MATCH(27,Engine!$C$2:$C$265,0)))</f>
        <v>High (explicit)</v>
      </c>
      <c r="I40" s="6" t="str">
        <f>IF(ISNA(MATCH(27,Engine!$C$2:$C$265,0)),"",INDEX('Compliance Database'!$I$2:$I$265,MATCH(27,Engine!$C$2:$C$265,0)))</f>
        <v>Definitions</v>
      </c>
      <c r="J40" s="6" t="str">
        <f>IF(ISNA(MATCH(27,Engine!$C$2:$C$265,0)),"",INDEX('Compliance Database'!$J$2:$J$265,MATCH(27,Engine!$C$2:$C$265,0)))</f>
        <v>Personal Information, Financial Data, Customer Data, Employee Data</v>
      </c>
      <c r="K40">
        <f>IF(ISNA(MATCH(27,Engine!$C$2:$C$265,0)),"",INDEX('Compliance Database'!$K$2:$K$265,MATCH(27,Engine!$C$2:$C$265,0)))</f>
        <v>0</v>
      </c>
      <c r="L40" s="6" t="str">
        <f>IF(ISNA(MATCH(27,Engine!$C$2:$C$265,0)),"",INDEX('Compliance Database'!$L$2:$L$265,MATCH(27,Engine!$C$2:$C$265,0)))</f>
        <v>Defines critical service provider, compromise, cyber-attack, cyber-event, cyber-incident, cyber-resilience, cyber-risk, cybersecurity, cyber-threat, information asset, information system, information technology system, multi-factor authentication, payment institution, payment system Financial Market Infrastructure, operator, senior management, sensitive information, vulnerability assessment.</v>
      </c>
      <c r="M40" s="6">
        <f>IF(ISNA(MATCH(27,Engine!$C$2:$C$265,0)),"",INDEX('Compliance Database'!$M$2:$M$265,MATCH(27,Engine!$C$2:$C$265,0)))</f>
        <v>0</v>
      </c>
      <c r="N40" s="6">
        <f>IF(ISNA(MATCH(27,Engine!$C$2:$C$265,0)),"",INDEX('Compliance Database'!$N$2:$N$265,MATCH(27,Engine!$C$2:$C$265,0)))</f>
        <v>0</v>
      </c>
      <c r="O40" s="6" t="str">
        <f>IF(ISNA(MATCH(27,Engine!$C$2:$C$265,0)),"",INDEX('Compliance Database'!$O$2:$O$265,MATCH(27,Engine!$C$2:$C$265,0)))</f>
        <v>Definitions 1.1 to 1.19</v>
      </c>
    </row>
    <row r="41" spans="1:15" x14ac:dyDescent="0.3">
      <c r="A41" t="str">
        <f>IF(ISNA(MATCH(28,Engine!$C$2:$C$265,0)),"",INDEX('Compliance Database'!$A$2:$A$265,MATCH(28,Engine!$C$2:$C$265,0)))</f>
        <v>South Africa</v>
      </c>
      <c r="B41" t="str">
        <f>IF(ISNA(MATCH(28,Engine!$C$2:$C$265,0)),"",INDEX('Compliance Database'!$B$2:$B$265,MATCH(28,Engine!$C$2:$C$265,0)))</f>
        <v>Directive in respect of cybersecurity and cyber-resilisnce within the national payment system</v>
      </c>
      <c r="C41" t="str">
        <f>IF(ISNA(MATCH(28,Engine!$C$2:$C$265,0)),"",INDEX('Compliance Database'!$C$2:$C$265,MATCH(28,Engine!$C$2:$C$265,0)))</f>
        <v>2</v>
      </c>
      <c r="D41" s="6" t="str">
        <f>IF(ISNA(MATCH(28,Engine!$C$2:$C$265,0)),"",INDEX('Compliance Database'!$D$2:$D$265,MATCH(28,Engine!$C$2:$C$265,0)))</f>
        <v>Background</v>
      </c>
      <c r="E41" t="str">
        <f>IF(ISNA(MATCH(28,Engine!$C$2:$C$265,0)),"",INDEX('Compliance Database'!$E$2:$E$265,MATCH(28,Engine!$C$2:$C$265,0)))</f>
        <v>5–7</v>
      </c>
      <c r="F41" t="str">
        <f>IF(ISNA(MATCH(28,Engine!$C$2:$C$265,0)),"",INDEX('Compliance Database'!$F$2:$F$265,MATCH(28,Engine!$C$2:$C$265,0)))</f>
        <v>Background</v>
      </c>
      <c r="G41" t="str">
        <f>IF(ISNA(MATCH(28,Engine!$C$2:$C$265,0)),"",INDEX('Compliance Database'!$G$2:$G$265,MATCH(28,Engine!$C$2:$C$265,0)))</f>
        <v>Low</v>
      </c>
      <c r="H41" t="str">
        <f>IF(ISNA(MATCH(28,Engine!$C$2:$C$265,0)),"",INDEX('Compliance Database'!$H$2:$H$265,MATCH(28,Engine!$C$2:$C$265,0)))</f>
        <v>High (explicit)</v>
      </c>
      <c r="I41" s="6" t="str">
        <f>IF(ISNA(MATCH(28,Engine!$C$2:$C$265,0)),"",INDEX('Compliance Database'!$I$2:$I$265,MATCH(28,Engine!$C$2:$C$265,0)))</f>
        <v>Cross-border Transfer, International Processing, Data Storage, Data Residency, Security, Encryption, Access Control, Processing, Collection, Retention, Deletion, Data Sharing, Third Party Processing, Outsourcing, Cloud Services, Incident Reporting, Breach Notification, Consent, Customer Information, Employee Information, Special Personal Information, Children, Financial Data, KYC, AML, Governance, Record Keeping</v>
      </c>
      <c r="J41" s="6" t="str">
        <f>IF(ISNA(MATCH(28,Engine!$C$2:$C$265,0)),"",INDEX('Compliance Database'!$J$2:$J$265,MATCH(28,Engine!$C$2:$C$265,0)))</f>
        <v>Financial Data</v>
      </c>
      <c r="K41">
        <f>IF(ISNA(MATCH(28,Engine!$C$2:$C$265,0)),"",INDEX('Compliance Database'!$K$2:$K$265,MATCH(28,Engine!$C$2:$C$265,0)))</f>
        <v>0</v>
      </c>
      <c r="L41" s="6" t="str">
        <f>IF(ISNA(MATCH(28,Engine!$C$2:$C$265,0)),"",INDEX('Compliance Database'!$L$2:$L$265,MATCH(28,Engine!$C$2:$C$265,0)))</f>
        <v>Explains the role of SARB in payment systems, NPS structure, and evolving cyber risks in digitized payment environments.</v>
      </c>
      <c r="M41" s="6">
        <f>IF(ISNA(MATCH(28,Engine!$C$2:$C$265,0)),"",INDEX('Compliance Database'!$M$2:$M$265,MATCH(28,Engine!$C$2:$C$265,0)))</f>
        <v>0</v>
      </c>
      <c r="N41" s="6">
        <f>IF(ISNA(MATCH(28,Engine!$C$2:$C$265,0)),"",INDEX('Compliance Database'!$N$2:$N$265,MATCH(28,Engine!$C$2:$C$265,0)))</f>
        <v>0</v>
      </c>
      <c r="O41" s="6" t="str">
        <f>IF(ISNA(MATCH(28,Engine!$C$2:$C$265,0)),"",INDEX('Compliance Database'!$O$2:$O$265,MATCH(28,Engine!$C$2:$C$265,0)))</f>
        <v>Background 2.1 to 2.6</v>
      </c>
    </row>
    <row r="42" spans="1:15" x14ac:dyDescent="0.3">
      <c r="A42" t="str">
        <f>IF(ISNA(MATCH(29,Engine!$C$2:$C$265,0)),"",INDEX('Compliance Database'!$A$2:$A$265,MATCH(29,Engine!$C$2:$C$265,0)))</f>
        <v>South Africa</v>
      </c>
      <c r="B42" t="str">
        <f>IF(ISNA(MATCH(29,Engine!$C$2:$C$265,0)),"",INDEX('Compliance Database'!$B$2:$B$265,MATCH(29,Engine!$C$2:$C$265,0)))</f>
        <v>Directive in respect of cybersecurity and cyber-resilisnce within the national payment system</v>
      </c>
      <c r="C42" t="str">
        <f>IF(ISNA(MATCH(29,Engine!$C$2:$C$265,0)),"",INDEX('Compliance Database'!$C$2:$C$265,MATCH(29,Engine!$C$2:$C$265,0)))</f>
        <v>3</v>
      </c>
      <c r="D42" s="6" t="str">
        <f>IF(ISNA(MATCH(29,Engine!$C$2:$C$265,0)),"",INDEX('Compliance Database'!$D$2:$D$265,MATCH(29,Engine!$C$2:$C$265,0)))</f>
        <v>Purpose</v>
      </c>
      <c r="E42" t="str">
        <f>IF(ISNA(MATCH(29,Engine!$C$2:$C$265,0)),"",INDEX('Compliance Database'!$E$2:$E$265,MATCH(29,Engine!$C$2:$C$265,0)))</f>
        <v>7</v>
      </c>
      <c r="F42" t="str">
        <f>IF(ISNA(MATCH(29,Engine!$C$2:$C$265,0)),"",INDEX('Compliance Database'!$F$2:$F$265,MATCH(29,Engine!$C$2:$C$265,0)))</f>
        <v>Purpose</v>
      </c>
      <c r="G42" t="str">
        <f>IF(ISNA(MATCH(29,Engine!$C$2:$C$265,0)),"",INDEX('Compliance Database'!$G$2:$G$265,MATCH(29,Engine!$C$2:$C$265,0)))</f>
        <v>Low</v>
      </c>
      <c r="H42" t="str">
        <f>IF(ISNA(MATCH(29,Engine!$C$2:$C$265,0)),"",INDEX('Compliance Database'!$H$2:$H$265,MATCH(29,Engine!$C$2:$C$265,0)))</f>
        <v>High (explicit)</v>
      </c>
      <c r="I42" s="6" t="str">
        <f>IF(ISNA(MATCH(29,Engine!$C$2:$C$265,0)),"",INDEX('Compliance Database'!$I$2:$I$265,MATCH(29,Engine!$C$2:$C$265,0)))</f>
        <v>Security, Governance, Record Keeping</v>
      </c>
      <c r="J42" s="6" t="str">
        <f>IF(ISNA(MATCH(29,Engine!$C$2:$C$265,0)),"",INDEX('Compliance Database'!$J$2:$J$265,MATCH(29,Engine!$C$2:$C$265,0)))</f>
        <v>Financial Data</v>
      </c>
      <c r="K42">
        <f>IF(ISNA(MATCH(29,Engine!$C$2:$C$265,0)),"",INDEX('Compliance Database'!$K$2:$K$265,MATCH(29,Engine!$C$2:$C$265,0)))</f>
        <v>0</v>
      </c>
      <c r="L42" s="6" t="str">
        <f>IF(ISNA(MATCH(29,Engine!$C$2:$C$265,0)),"",INDEX('Compliance Database'!$L$2:$L$265,MATCH(29,Engine!$C$2:$C$265,0)))</f>
        <v>SARB issues directive to impose cybersecurity and cyber-resilience requirements on payment institutions and systems.</v>
      </c>
      <c r="M42" s="6">
        <f>IF(ISNA(MATCH(29,Engine!$C$2:$C$265,0)),"",INDEX('Compliance Database'!$M$2:$M$265,MATCH(29,Engine!$C$2:$C$265,0)))</f>
        <v>0</v>
      </c>
      <c r="N42" s="6">
        <f>IF(ISNA(MATCH(29,Engine!$C$2:$C$265,0)),"",INDEX('Compliance Database'!$N$2:$N$265,MATCH(29,Engine!$C$2:$C$265,0)))</f>
        <v>0</v>
      </c>
      <c r="O42" s="6" t="str">
        <f>IF(ISNA(MATCH(29,Engine!$C$2:$C$265,0)),"",INDEX('Compliance Database'!$O$2:$O$265,MATCH(29,Engine!$C$2:$C$265,0)))</f>
        <v>Purpose 3.1</v>
      </c>
    </row>
    <row r="43" spans="1:15" ht="409.6" x14ac:dyDescent="0.3">
      <c r="A43" t="str">
        <f>IF(ISNA(MATCH(30,Engine!$C$2:$C$265,0)),"",INDEX('Compliance Database'!$A$2:$A$265,MATCH(30,Engine!$C$2:$C$265,0)))</f>
        <v>South Africa</v>
      </c>
      <c r="B43" t="str">
        <f>IF(ISNA(MATCH(30,Engine!$C$2:$C$265,0)),"",INDEX('Compliance Database'!$B$2:$B$265,MATCH(30,Engine!$C$2:$C$265,0)))</f>
        <v>Directive in respect of cybersecurity and cyber-resilisnce within the national payment system</v>
      </c>
      <c r="C43" t="str">
        <f>IF(ISNA(MATCH(30,Engine!$C$2:$C$265,0)),"",INDEX('Compliance Database'!$C$2:$C$265,MATCH(30,Engine!$C$2:$C$265,0)))</f>
        <v>5</v>
      </c>
      <c r="D43" s="6" t="str">
        <f>IF(ISNA(MATCH(30,Engine!$C$2:$C$265,0)),"",INDEX('Compliance Database'!$D$2:$D$265,MATCH(30,Engine!$C$2:$C$265,0)))</f>
        <v>Directive</v>
      </c>
      <c r="E43" t="str">
        <f>IF(ISNA(MATCH(30,Engine!$C$2:$C$265,0)),"",INDEX('Compliance Database'!$E$2:$E$265,MATCH(30,Engine!$C$2:$C$265,0)))</f>
        <v>7–16</v>
      </c>
      <c r="F43" t="str">
        <f>IF(ISNA(MATCH(30,Engine!$C$2:$C$265,0)),"",INDEX('Compliance Database'!$F$2:$F$265,MATCH(30,Engine!$C$2:$C$265,0)))</f>
        <v>Security</v>
      </c>
      <c r="G43" t="str">
        <f>IF(ISNA(MATCH(30,Engine!$C$2:$C$265,0)),"",INDEX('Compliance Database'!$G$2:$G$265,MATCH(30,Engine!$C$2:$C$265,0)))</f>
        <v>High</v>
      </c>
      <c r="H43" t="str">
        <f>IF(ISNA(MATCH(30,Engine!$C$2:$C$265,0)),"",INDEX('Compliance Database'!$H$2:$H$265,MATCH(30,Engine!$C$2:$C$265,0)))</f>
        <v>High (explicit)</v>
      </c>
      <c r="I43" s="6" t="str">
        <f>IF(ISNA(MATCH(30,Engine!$C$2:$C$265,0)),"",INDEX('Compliance Database'!$I$2:$I$265,MATCH(30,Engine!$C$2:$C$265,0)))</f>
        <v>Cybersecurity, Incident Reporting, Response and recovery, Testing, Information sharing, Situational awareness, Learning and evolving</v>
      </c>
      <c r="J43" s="6" t="str">
        <f>IF(ISNA(MATCH(30,Engine!$C$2:$C$265,0)),"",INDEX('Compliance Database'!$J$2:$J$265,MATCH(30,Engine!$C$2:$C$265,0)))</f>
        <v>Financial Data</v>
      </c>
      <c r="K43" t="str">
        <f>IF(ISNA(MATCH(30,Engine!$C$2:$C$265,0)),"",INDEX('Compliance Database'!$K$2:$K$265,MATCH(30,Engine!$C$2:$C$265,0)))</f>
        <v>SARB</v>
      </c>
      <c r="L43" s="6" t="str">
        <f>IF(ISNA(MATCH(30,Engine!$C$2:$C$265,0)),"",INDEX('Compliance Database'!$L$2:$L$265,MATCH(30,Engine!$C$2:$C$265,0)))</f>
        <v>Payment institutions and operators must develop and maintain cybersecurity and cyber-resilience frameworks with specific governance, critical asset identification, security measures, detection, response, recovery, testing, information sharing, situational awareness, and learning capabilities.</v>
      </c>
      <c r="M43" s="6" t="str">
        <f>IF(ISNA(MATCH(30,Engine!$C$2:$C$265,0)),"",INDEX('Compliance Database'!$M$2:$M$265,MATCH(30,Engine!$C$2:$C$265,0)))</f>
        <v>Requires payment institutions to implement comprehensive cybersecurity frameworks including governance, critical asset identification, security controls, incident response, and regular testing to ensure resilience against cyber threats.</v>
      </c>
      <c r="N43" s="6" t="str">
        <f>IF(ISNA(MATCH(30,Engine!$C$2:$C$265,0)),"",INDEX('Compliance Database'!$N$2:$N$265,MATCH(30,Engine!$C$2:$C$265,0)))</f>
        <v>[Must] Payment institutions and operators must develop and maintain cybersecurity and cyber-resilience frameworks that include the following: cyber-governance, identification of critical operations and information assets, cybersecurity measures, detection, response and recovery, testing, information sharing, situational awareness, and learning and evolving.
[Must] Payment institutions and operators must have written effective cyber-governance arrangements that define cybersecurity objectives, outline people/processes/technology requirements, require board/senior management to determine cyber-risk tolerance, approve policies, oversee implementation, review annually, align with operational risk management, comply with standards, articulate cyber-risk controls, appoint senior executives, and ensure information sharing with SARB.
[Must] Payment institutions and operators must identify critical technology, operations, processes, information assets requiring protection against cyber-compromise, and internal/external dependencies to strengthen security and resilience.
[Must] Payment institutions and operators must ensure cybersecurity frameworks include security controls to protect confidentiality, integrity, and availability of services and information, with measures such as protective controls, access control, multi-factor authentication, encryption, and mitigation of interconnected risks.
[Must] Payment institutions and operators must ensure cyber-attack trigger points and detection measures to continuously detect and monitor anomalous events and activities, including multi-layered trigger indicators and detection controls.
[Must] Payment institutions or operators must have arrangements to enable safe and swift resumption of critical operations within two hours (or extended timelines with SARB approval) after cyber-attack detection.
[Must] Payment institutions or operators must develop and implement cyber-resilience testing programmes including test scenarios, penetration testing, system change testing, and regular vulnerability assessments.
[Must] Payment institutions or operators must share cyber threat and risk information with regulators, cybersecurity agencies, and trusted parties while ensuring compliance with data protection laws and the Cybercrimes Act.
[Must] Payment institutions or operators must understand the cyber-threat landscape, develop cyber-threat intelligence processes, and ensure collection of information about cyber-threats from other payment institutions to identify threats and develop detection, protection, and recovery measures.
[Must] Payment institutions or operators must ensure cybersecurity frameworks are adaptive, learn from previous incidents, monitor technological developments, and include predictive capabilities to proactively counter cyber-events.
[Must] Payment institutions or operators must report material cyber-incidents to SARB within 24 hours and provide a detailed report within 48 hours, including incident details, impact, recovery period, and systemic effects.
[Must] Payment institutions or operators must provide regular updates to SARB once incidents are remediated and operations have resumed.</v>
      </c>
      <c r="O43" s="6" t="str">
        <f>IF(ISNA(MATCH(30,Engine!$C$2:$C$265,0)),"",INDEX('Compliance Database'!$O$2:$O$265,MATCH(30,Engine!$C$2:$C$265,0)))</f>
        <v>Payment institutions and operators must develop and maintain cybersecurity and cyber-resilience frameworks that include the following: cyber-governance, identification of critical operations and information assets, cybersecurity measures, detection, response and recovery, testing, information sharing, situational awareness, and learning and evolving.</v>
      </c>
    </row>
    <row r="44" spans="1:15" ht="409.6" x14ac:dyDescent="0.3">
      <c r="A44" t="str">
        <f>IF(ISNA(MATCH(31,Engine!$C$2:$C$265,0)),"",INDEX('Compliance Database'!$A$2:$A$265,MATCH(31,Engine!$C$2:$C$265,0)))</f>
        <v>South Africa</v>
      </c>
      <c r="B44" t="str">
        <f>IF(ISNA(MATCH(31,Engine!$C$2:$C$265,0)),"",INDEX('Compliance Database'!$B$2:$B$265,MATCH(31,Engine!$C$2:$C$265,0)))</f>
        <v>Directive in respect of cybersecurity and cyber-resilisnce within the national payment system</v>
      </c>
      <c r="C44" t="str">
        <f>IF(ISNA(MATCH(31,Engine!$C$2:$C$265,0)),"",INDEX('Compliance Database'!$C$2:$C$265,MATCH(31,Engine!$C$2:$C$265,0)))</f>
        <v>6</v>
      </c>
      <c r="D44" s="6" t="str">
        <f>IF(ISNA(MATCH(31,Engine!$C$2:$C$265,0)),"",INDEX('Compliance Database'!$D$2:$D$265,MATCH(31,Engine!$C$2:$C$265,0)))</f>
        <v>Supervision and compliance monitoring</v>
      </c>
      <c r="E44" t="str">
        <f>IF(ISNA(MATCH(31,Engine!$C$2:$C$265,0)),"",INDEX('Compliance Database'!$E$2:$E$265,MATCH(31,Engine!$C$2:$C$265,0)))</f>
        <v>16–19</v>
      </c>
      <c r="F44" t="str">
        <f>IF(ISNA(MATCH(31,Engine!$C$2:$C$265,0)),"",INDEX('Compliance Database'!$F$2:$F$265,MATCH(31,Engine!$C$2:$C$265,0)))</f>
        <v>Supervision and compliance monitoring</v>
      </c>
      <c r="G44" t="str">
        <f>IF(ISNA(MATCH(31,Engine!$C$2:$C$265,0)),"",INDEX('Compliance Database'!$G$2:$G$265,MATCH(31,Engine!$C$2:$C$265,0)))</f>
        <v>High</v>
      </c>
      <c r="H44" t="str">
        <f>IF(ISNA(MATCH(31,Engine!$C$2:$C$265,0)),"",INDEX('Compliance Database'!$H$2:$H$265,MATCH(31,Engine!$C$2:$C$265,0)))</f>
        <v>High (explicit)</v>
      </c>
      <c r="I44" s="6" t="str">
        <f>IF(ISNA(MATCH(31,Engine!$C$2:$C$265,0)),"",INDEX('Compliance Database'!$I$2:$I$265,MATCH(31,Engine!$C$2:$C$265,0)))</f>
        <v>Supervision and compliance monitoring, Inspection authority, Document access, Premises entry</v>
      </c>
      <c r="J44" s="6" t="str">
        <f>IF(ISNA(MATCH(31,Engine!$C$2:$C$265,0)),"",INDEX('Compliance Database'!$J$2:$J$265,MATCH(31,Engine!$C$2:$C$265,0)))</f>
        <v>Financial Data</v>
      </c>
      <c r="K44" t="str">
        <f>IF(ISNA(MATCH(31,Engine!$C$2:$C$265,0)),"",INDEX('Compliance Database'!$K$2:$K$265,MATCH(31,Engine!$C$2:$C$265,0)))</f>
        <v>SARB</v>
      </c>
      <c r="L44" s="6" t="str">
        <f>IF(ISNA(MATCH(31,Engine!$C$2:$C$265,0)),"",INDEX('Compliance Database'!$L$2:$L$265,MATCH(31,Engine!$C$2:$C$265,0)))</f>
        <v>SARB may conduct supervisory inspections on payment institutions or operators with prior written notification, access to premises, and authority to inspect documents and systems without consent in specific circumstances.</v>
      </c>
      <c r="M44" s="6" t="str">
        <f>IF(ISNA(MATCH(31,Engine!$C$2:$C$265,0)),"",INDEX('Compliance Database'!$M$2:$M$265,MATCH(31,Engine!$C$2:$C$265,0)))</f>
        <v>SARB has authority to conduct inspections with written notice, access to premises, and inspection of documents/systems without consent if certain conditions are met, ensuring compliance with cybersecurity directives.</v>
      </c>
      <c r="N44" s="6" t="str">
        <f>IF(ISNA(MATCH(31,Engine!$C$2:$C$265,0)),"",INDEX('Compliance Database'!$N$2:$N$265,MATCH(31,Engine!$C$2:$C$265,0)))</f>
        <v>[May] SARB may conduct supervisory onsite or offsite inspections on payment institutions or operators to promote compliance with this directive.
[Must] SARB must provide written notification to payment institutions or operators prior to onsite inspection, specifying dates, SARB representatives, review period, and required documentation.
[Must] SARB representatives must produce a letter of authority and identity document upon entry to premises for verification.
[May] SARB representatives may enter premises without prior consent for business operations or with prior consent for private residences where business is conducted.
[May] SARB representatives may enter premises without prior notice if authorized by a warrant from a judge or magistrate.
[May] SARB representatives may enter premises without prior notice if a senior SARB staff member believes a warrant will be issued, delay in obtaining the warrant is likely to defeat the purpose, and entry is necessary for the inspection.
[Must] SARB representatives have the right to access any part of premises, documents, and systems during inspections, including opening strongrooms, examining documents, questioning persons, and taking copies of relevant items.
[Must] SARB representatives must provide written and signed receipts for documents or items taken during inspections.
[May] Payment institutions or operators may examine, copy, and make extracts from documents taken by SARB during normal office hours under supervision.
[Must] SARB representatives may require answers or documents from persons questioned during inspections, even if the person objects on grounds of incrimination.</v>
      </c>
      <c r="O44" s="6" t="str">
        <f>IF(ISNA(MATCH(31,Engine!$C$2:$C$265,0)),"",INDEX('Compliance Database'!$O$2:$O$265,MATCH(31,Engine!$C$2:$C$265,0)))</f>
        <v>The SARB may at any time conduct a supervisory onsite or offsite inspection on payment institutions or operators, in a form and manner that the SARB may determine, to promote compliance with this directive.</v>
      </c>
    </row>
    <row r="45" spans="1:15" ht="129.6" x14ac:dyDescent="0.3">
      <c r="A45" t="str">
        <f>IF(ISNA(MATCH(32,Engine!$C$2:$C$265,0)),"",INDEX('Compliance Database'!$A$2:$A$265,MATCH(32,Engine!$C$2:$C$265,0)))</f>
        <v>South Africa</v>
      </c>
      <c r="B45" t="str">
        <f>IF(ISNA(MATCH(32,Engine!$C$2:$C$265,0)),"",INDEX('Compliance Database'!$B$2:$B$265,MATCH(32,Engine!$C$2:$C$265,0)))</f>
        <v>Directive in respect of cybersecurity and cyber-resilisnce within the national payment system</v>
      </c>
      <c r="C45" t="str">
        <f>IF(ISNA(MATCH(32,Engine!$C$2:$C$265,0)),"",INDEX('Compliance Database'!$C$2:$C$265,MATCH(32,Engine!$C$2:$C$265,0)))</f>
        <v>7</v>
      </c>
      <c r="D45" s="6" t="str">
        <f>IF(ISNA(MATCH(32,Engine!$C$2:$C$265,0)),"",INDEX('Compliance Database'!$D$2:$D$265,MATCH(32,Engine!$C$2:$C$265,0)))</f>
        <v>Effective date and non-compliance</v>
      </c>
      <c r="E45" t="str">
        <f>IF(ISNA(MATCH(32,Engine!$C$2:$C$265,0)),"",INDEX('Compliance Database'!$E$2:$E$265,MATCH(32,Engine!$C$2:$C$265,0)))</f>
        <v>19–20</v>
      </c>
      <c r="F45" t="str">
        <f>IF(ISNA(MATCH(32,Engine!$C$2:$C$265,0)),"",INDEX('Compliance Database'!$F$2:$F$265,MATCH(32,Engine!$C$2:$C$265,0)))</f>
        <v>Other</v>
      </c>
      <c r="G45" t="str">
        <f>IF(ISNA(MATCH(32,Engine!$C$2:$C$265,0)),"",INDEX('Compliance Database'!$G$2:$G$265,MATCH(32,Engine!$C$2:$C$265,0)))</f>
        <v>High</v>
      </c>
      <c r="H45" t="str">
        <f>IF(ISNA(MATCH(32,Engine!$C$2:$C$265,0)),"",INDEX('Compliance Database'!$H$2:$H$265,MATCH(32,Engine!$C$2:$C$265,0)))</f>
        <v>High (explicit)</v>
      </c>
      <c r="I45" s="6" t="str">
        <f>IF(ISNA(MATCH(32,Engine!$C$2:$C$265,0)),"",INDEX('Compliance Database'!$I$2:$I$265,MATCH(32,Engine!$C$2:$C$265,0)))</f>
        <v>Effective date, Compliance</v>
      </c>
      <c r="J45" s="6" t="str">
        <f>IF(ISNA(MATCH(32,Engine!$C$2:$C$265,0)),"",INDEX('Compliance Database'!$J$2:$J$265,MATCH(32,Engine!$C$2:$C$265,0)))</f>
        <v>Customer Information</v>
      </c>
      <c r="K45" t="str">
        <f>IF(ISNA(MATCH(32,Engine!$C$2:$C$265,0)),"",INDEX('Compliance Database'!$K$2:$K$265,MATCH(32,Engine!$C$2:$C$265,0)))</f>
        <v>SARB</v>
      </c>
      <c r="L45" s="6" t="str">
        <f>IF(ISNA(MATCH(32,Engine!$C$2:$C$265,0)),"",INDEX('Compliance Database'!$L$2:$L$265,MATCH(32,Engine!$C$2:$C$265,0)))</f>
        <v>Directive effective three months after publication; SARB may amend requirements; payment institutions must comply.</v>
      </c>
      <c r="M45" s="6" t="str">
        <f>IF(ISNA(MATCH(32,Engine!$C$2:$C$265,0)),"",INDEX('Compliance Database'!$M$2:$M$265,MATCH(32,Engine!$C$2:$C$265,0)))</f>
        <v>Specifies effective date and compliance obligation for payment institutions under the directive.</v>
      </c>
      <c r="N45" s="6" t="str">
        <f>IF(ISNA(MATCH(32,Engine!$C$2:$C$265,0)),"",INDEX('Compliance Database'!$N$2:$N$265,MATCH(32,Engine!$C$2:$C$265,0)))</f>
        <v>[Condition] This directive will be effective three months after its publication
[Must] Payment institutions or operators must comply with the requirements or conditions as stipulated in this directive
[Authority] SARB reserves the right to amend any requirements in this directive</v>
      </c>
      <c r="O45" s="6" t="str">
        <f>IF(ISNA(MATCH(32,Engine!$C$2:$C$265,0)),"",INDEX('Compliance Database'!$O$2:$O$265,MATCH(32,Engine!$C$2:$C$265,0)))</f>
        <v>Effective date and non-compliance
7.1. This directive will be effective three months after its publication. The SARB reserves the right to amend any requirements in this directive.</v>
      </c>
    </row>
    <row r="46" spans="1:15" ht="28.8" x14ac:dyDescent="0.3">
      <c r="A46" t="str">
        <f>IF(ISNA(MATCH(33,Engine!$C$2:$C$265,0)),"",INDEX('Compliance Database'!$A$2:$A$265,MATCH(33,Engine!$C$2:$C$265,0)))</f>
        <v>South Africa</v>
      </c>
      <c r="B46" t="str">
        <f>IF(ISNA(MATCH(33,Engine!$C$2:$C$265,0)),"",INDEX('Compliance Database'!$B$2:$B$265,MATCH(33,Engine!$C$2:$C$265,0)))</f>
        <v>FICA (Financial Intelligence Centre Act, 38 of 2001</v>
      </c>
      <c r="C46" t="str">
        <f>IF(ISNA(MATCH(33,Engine!$C$2:$C$265,0)),"",INDEX('Compliance Database'!$C$2:$C$265,MATCH(33,Engine!$C$2:$C$265,0)))</f>
        <v>1</v>
      </c>
      <c r="D46" s="6" t="str">
        <f>IF(ISNA(MATCH(33,Engine!$C$2:$C$265,0)),"",INDEX('Compliance Database'!$D$2:$D$265,MATCH(33,Engine!$C$2:$C$265,0)))</f>
        <v>2.</v>
      </c>
      <c r="E46" t="str">
        <f>IF(ISNA(MATCH(33,Engine!$C$2:$C$265,0)),"",INDEX('Compliance Database'!$E$2:$E$265,MATCH(33,Engine!$C$2:$C$265,0)))</f>
        <v>24</v>
      </c>
      <c r="F46" t="str">
        <f>IF(ISNA(MATCH(33,Engine!$C$2:$C$265,0)),"",INDEX('Compliance Database'!$F$2:$F$265,MATCH(33,Engine!$C$2:$C$265,0)))</f>
        <v>Definitions</v>
      </c>
      <c r="G46" t="str">
        <f>IF(ISNA(MATCH(33,Engine!$C$2:$C$265,0)),"",INDEX('Compliance Database'!$G$2:$G$265,MATCH(33,Engine!$C$2:$C$265,0)))</f>
        <v>High</v>
      </c>
      <c r="H46" t="str">
        <f>IF(ISNA(MATCH(33,Engine!$C$2:$C$265,0)),"",INDEX('Compliance Database'!$H$2:$H$265,MATCH(33,Engine!$C$2:$C$265,0)))</f>
        <v>High (explicit)</v>
      </c>
      <c r="I46" s="6">
        <f>IF(ISNA(MATCH(33,Engine!$C$2:$C$265,0)),"",INDEX('Compliance Database'!$I$2:$I$265,MATCH(33,Engine!$C$2:$C$265,0)))</f>
        <v>0</v>
      </c>
      <c r="J46" s="6">
        <f>IF(ISNA(MATCH(33,Engine!$C$2:$C$265,0)),"",INDEX('Compliance Database'!$J$2:$J$265,MATCH(33,Engine!$C$2:$C$265,0)))</f>
        <v>0</v>
      </c>
      <c r="K46">
        <f>IF(ISNA(MATCH(33,Engine!$C$2:$C$265,0)),"",INDEX('Compliance Database'!$K$2:$K$265,MATCH(33,Engine!$C$2:$C$265,0)))</f>
        <v>0</v>
      </c>
      <c r="L46" s="6" t="str">
        <f>IF(ISNA(MATCH(33,Engine!$C$2:$C$265,0)),"",INDEX('Compliance Database'!$L$2:$L$265,MATCH(33,Engine!$C$2:$C$265,0)))</f>
        <v>Defines supervisory bodies under FICA, including financial regulators and authorities.</v>
      </c>
      <c r="M46" s="6">
        <f>IF(ISNA(MATCH(33,Engine!$C$2:$C$265,0)),"",INDEX('Compliance Database'!$M$2:$M$265,MATCH(33,Engine!$C$2:$C$265,0)))</f>
        <v>0</v>
      </c>
      <c r="N46" s="6" t="str">
        <f>IF(ISNA(MATCH(33,Engine!$C$2:$C$265,0)),"",INDEX('Compliance Database'!$N$2:$N$265,MATCH(33,Engine!$C$2:$C$265,0)))</f>
        <v>[Must] Supervisory bodies include Financial Services Board, South African Reserve Bank, etc.</v>
      </c>
      <c r="O46" s="6" t="str">
        <f>IF(ISNA(MATCH(33,Engine!$C$2:$C$265,0)),"",INDEX('Compliance Database'!$O$2:$O$265,MATCH(33,Engine!$C$2:$C$265,0)))</f>
        <v>1. The Financial Services Board established by the Financial Services Board Act, 1990 (Act 97 of 1990).</v>
      </c>
    </row>
    <row r="47" spans="1:15" ht="129.6" x14ac:dyDescent="0.3">
      <c r="A47" t="str">
        <f>IF(ISNA(MATCH(34,Engine!$C$2:$C$265,0)),"",INDEX('Compliance Database'!$A$2:$A$265,MATCH(34,Engine!$C$2:$C$265,0)))</f>
        <v>South Africa</v>
      </c>
      <c r="B47" t="str">
        <f>IF(ISNA(MATCH(34,Engine!$C$2:$C$265,0)),"",INDEX('Compliance Database'!$B$2:$B$265,MATCH(34,Engine!$C$2:$C$265,0)))</f>
        <v>FICA (Financial Intelligence Centre Act, 38 of 2001</v>
      </c>
      <c r="C47" t="str">
        <f>IF(ISNA(MATCH(34,Engine!$C$2:$C$265,0)),"",INDEX('Compliance Database'!$C$2:$C$265,MATCH(34,Engine!$C$2:$C$265,0)))</f>
        <v>2</v>
      </c>
      <c r="D47" s="6" t="str">
        <f>IF(ISNA(MATCH(34,Engine!$C$2:$C$265,0)),"",INDEX('Compliance Database'!$D$2:$D$265,MATCH(34,Engine!$C$2:$C$265,0)))</f>
        <v>(1) A Financial Intelligence Centre is hereby  established as an institution outside</v>
      </c>
      <c r="E47" t="str">
        <f>IF(ISNA(MATCH(34,Engine!$C$2:$C$265,0)),"",INDEX('Compliance Database'!$E$2:$E$265,MATCH(34,Engine!$C$2:$C$265,0)))</f>
        <v>1</v>
      </c>
      <c r="F47" t="str">
        <f>IF(ISNA(MATCH(34,Engine!$C$2:$C$265,0)),"",INDEX('Compliance Database'!$F$2:$F$265,MATCH(34,Engine!$C$2:$C$265,0)))</f>
        <v>Definitions</v>
      </c>
      <c r="G47" t="str">
        <f>IF(ISNA(MATCH(34,Engine!$C$2:$C$265,0)),"",INDEX('Compliance Database'!$G$2:$G$265,MATCH(34,Engine!$C$2:$C$265,0)))</f>
        <v>High</v>
      </c>
      <c r="H47" t="str">
        <f>IF(ISNA(MATCH(34,Engine!$C$2:$C$265,0)),"",INDEX('Compliance Database'!$H$2:$H$265,MATCH(34,Engine!$C$2:$C$265,0)))</f>
        <v>High (explicit)</v>
      </c>
      <c r="I47" s="6">
        <f>IF(ISNA(MATCH(34,Engine!$C$2:$C$265,0)),"",INDEX('Compliance Database'!$I$2:$I$265,MATCH(34,Engine!$C$2:$C$265,0)))</f>
        <v>0</v>
      </c>
      <c r="J47" s="6">
        <f>IF(ISNA(MATCH(34,Engine!$C$2:$C$265,0)),"",INDEX('Compliance Database'!$J$2:$J$265,MATCH(34,Engine!$C$2:$C$265,0)))</f>
        <v>0</v>
      </c>
      <c r="K47">
        <f>IF(ISNA(MATCH(34,Engine!$C$2:$C$265,0)),"",INDEX('Compliance Database'!$K$2:$K$265,MATCH(34,Engine!$C$2:$C$265,0)))</f>
        <v>0</v>
      </c>
      <c r="L47" s="6" t="str">
        <f>IF(ISNA(MATCH(34,Engine!$C$2:$C$265,0)),"",INDEX('Compliance Database'!$L$2:$L$265,MATCH(34,Engine!$C$2:$C$265,0)))</f>
        <v>Defines 'property' as any property or service derived from unlawful activities.</v>
      </c>
      <c r="M47" s="6">
        <f>IF(ISNA(MATCH(34,Engine!$C$2:$C$265,0)),"",INDEX('Compliance Database'!$M$2:$M$265,MATCH(34,Engine!$C$2:$C$265,0)))</f>
        <v>0</v>
      </c>
      <c r="N47" s="6" t="str">
        <f>IF(ISNA(MATCH(34,Engine!$C$2:$C$265,0)),"",INDEX('Compliance Database'!$N$2:$N$265,MATCH(34,Engine!$C$2:$C$265,0)))</f>
        <v>[Must] In terms of section 1 of the Prevention Act, this term means 'any property or any service, advantage, benefit or reward which was derived, received or retained, directly or indirectly, in the Republic or elsewhere, at any time before or after the commencement of this Act, in connection with or as a result of any unlawful activity commenced by any person, and includes any property representing property so derived'.</v>
      </c>
      <c r="O47" s="6" t="str">
        <f>IF(ISNA(MATCH(34,Engine!$C$2:$C$265,0)),"",INDEX('Compliance Database'!$O$2:$O$265,MATCH(34,Engine!$C$2:$C$265,0)))</f>
        <v>2. In terms of section 1 of the Prevention Act, this term means 'any property or any service, advantage, benefit or reward which was derived, received or retained, directly or indirectly, in the Republic or elsewhere, at any time before or after the commencement of this Act, in connection with or as a result of any unlawful activity commenced by any person, and includes any property representing property so derived'.</v>
      </c>
    </row>
    <row r="48" spans="1:15" ht="129.6" x14ac:dyDescent="0.3">
      <c r="A48" t="str">
        <f>IF(ISNA(MATCH(35,Engine!$C$2:$C$265,0)),"",INDEX('Compliance Database'!$A$2:$A$265,MATCH(35,Engine!$C$2:$C$265,0)))</f>
        <v>South Africa</v>
      </c>
      <c r="B48" t="str">
        <f>IF(ISNA(MATCH(35,Engine!$C$2:$C$265,0)),"",INDEX('Compliance Database'!$B$2:$B$265,MATCH(35,Engine!$C$2:$C$265,0)))</f>
        <v>FICA (Financial Intelligence Centre Act, 38 of 2001</v>
      </c>
      <c r="C48" t="str">
        <f>IF(ISNA(MATCH(35,Engine!$C$2:$C$265,0)),"",INDEX('Compliance Database'!$C$2:$C$265,MATCH(35,Engine!$C$2:$C$265,0)))</f>
        <v>2</v>
      </c>
      <c r="D48" s="6" t="str">
        <f>IF(ISNA(MATCH(35,Engine!$C$2:$C$265,0)),"",INDEX('Compliance Database'!$D$2:$D$265,MATCH(35,Engine!$C$2:$C$265,0)))</f>
        <v>In terms  of  section 1 of the  Prevention  Act,  this  term  means  "any  property</v>
      </c>
      <c r="E48" t="str">
        <f>IF(ISNA(MATCH(35,Engine!$C$2:$C$265,0)),"",INDEX('Compliance Database'!$E$2:$E$265,MATCH(35,Engine!$C$2:$C$265,0)))</f>
        <v>2</v>
      </c>
      <c r="F48" t="str">
        <f>IF(ISNA(MATCH(35,Engine!$C$2:$C$265,0)),"",INDEX('Compliance Database'!$F$2:$F$265,MATCH(35,Engine!$C$2:$C$265,0)))</f>
        <v>Definitions</v>
      </c>
      <c r="G48" t="str">
        <f>IF(ISNA(MATCH(35,Engine!$C$2:$C$265,0)),"",INDEX('Compliance Database'!$G$2:$G$265,MATCH(35,Engine!$C$2:$C$265,0)))</f>
        <v>High</v>
      </c>
      <c r="H48" t="str">
        <f>IF(ISNA(MATCH(35,Engine!$C$2:$C$265,0)),"",INDEX('Compliance Database'!$H$2:$H$265,MATCH(35,Engine!$C$2:$C$265,0)))</f>
        <v>High (explicit)</v>
      </c>
      <c r="I48" s="6">
        <f>IF(ISNA(MATCH(35,Engine!$C$2:$C$265,0)),"",INDEX('Compliance Database'!$I$2:$I$265,MATCH(35,Engine!$C$2:$C$265,0)))</f>
        <v>0</v>
      </c>
      <c r="J48" s="6">
        <f>IF(ISNA(MATCH(35,Engine!$C$2:$C$265,0)),"",INDEX('Compliance Database'!$J$2:$J$265,MATCH(35,Engine!$C$2:$C$265,0)))</f>
        <v>0</v>
      </c>
      <c r="K48">
        <f>IF(ISNA(MATCH(35,Engine!$C$2:$C$265,0)),"",INDEX('Compliance Database'!$K$2:$K$265,MATCH(35,Engine!$C$2:$C$265,0)))</f>
        <v>0</v>
      </c>
      <c r="L48" s="6" t="str">
        <f>IF(ISNA(MATCH(35,Engine!$C$2:$C$265,0)),"",INDEX('Compliance Database'!$L$2:$L$265,MATCH(35,Engine!$C$2:$C$265,0)))</f>
        <v>Defines 'property' as any property or service derived from unlawful activities.</v>
      </c>
      <c r="M48" s="6">
        <f>IF(ISNA(MATCH(35,Engine!$C$2:$C$265,0)),"",INDEX('Compliance Database'!$M$2:$M$265,MATCH(35,Engine!$C$2:$C$265,0)))</f>
        <v>0</v>
      </c>
      <c r="N48" s="6" t="str">
        <f>IF(ISNA(MATCH(35,Engine!$C$2:$C$265,0)),"",INDEX('Compliance Database'!$N$2:$N$265,MATCH(35,Engine!$C$2:$C$265,0)))</f>
        <v>[Must] In terms of section 1 of the Prevention Act, this term means 'any property or any service, advantage, benefit or reward which was derived, received or retained, directly or indirectly, in the Republic or elsewhere, at any time before or after the commencement of this Act, in connection with or as a result of any unlawful activity commenced by any person, and includes any property representing property so derived'.</v>
      </c>
      <c r="O48" s="6" t="str">
        <f>IF(ISNA(MATCH(35,Engine!$C$2:$C$265,0)),"",INDEX('Compliance Database'!$O$2:$O$265,MATCH(35,Engine!$C$2:$C$265,0)))</f>
        <v>2. In terms of section 1 of the Prevention Act, this term means 'any property or any service, advantage, benefit or reward which was derived, received or retained, directly or indirectly, in the Republic or elsewhere, at any time before or after the commencement of this Act, in connection with or as a result of any unlawful activity commenced by any person, and includes any property representing property so derived'.</v>
      </c>
    </row>
    <row r="49" spans="1:15" ht="115.2" x14ac:dyDescent="0.3">
      <c r="A49" t="str">
        <f>IF(ISNA(MATCH(36,Engine!$C$2:$C$265,0)),"",INDEX('Compliance Database'!$A$2:$A$265,MATCH(36,Engine!$C$2:$C$265,0)))</f>
        <v>South Africa</v>
      </c>
      <c r="B49" t="str">
        <f>IF(ISNA(MATCH(36,Engine!$C$2:$C$265,0)),"",INDEX('Compliance Database'!$B$2:$B$265,MATCH(36,Engine!$C$2:$C$265,0)))</f>
        <v>FICA (Financial Intelligence Centre Act, 38 of 2001</v>
      </c>
      <c r="C49" t="str">
        <f>IF(ISNA(MATCH(36,Engine!$C$2:$C$265,0)),"",INDEX('Compliance Database'!$C$2:$C$265,MATCH(36,Engine!$C$2:$C$265,0)))</f>
        <v>2</v>
      </c>
      <c r="D49" s="6" t="str">
        <f>IF(ISNA(MATCH(36,Engine!$C$2:$C$265,0)),"",INDEX('Compliance Database'!$D$2:$D$265,MATCH(36,Engine!$C$2:$C$265,0)))</f>
        <v>The substitution for section 7A of the following section:</v>
      </c>
      <c r="E49" t="str">
        <f>IF(ISNA(MATCH(36,Engine!$C$2:$C$265,0)),"",INDEX('Compliance Database'!$E$2:$E$265,MATCH(36,Engine!$C$2:$C$265,0)))</f>
        <v>24</v>
      </c>
      <c r="F49" t="str">
        <f>IF(ISNA(MATCH(36,Engine!$C$2:$C$265,0)),"",INDEX('Compliance Database'!$F$2:$F$265,MATCH(36,Engine!$C$2:$C$265,0)))</f>
        <v>Other</v>
      </c>
      <c r="G49" t="str">
        <f>IF(ISNA(MATCH(36,Engine!$C$2:$C$265,0)),"",INDEX('Compliance Database'!$G$2:$G$265,MATCH(36,Engine!$C$2:$C$265,0)))</f>
        <v>High</v>
      </c>
      <c r="H49" t="str">
        <f>IF(ISNA(MATCH(36,Engine!$C$2:$C$265,0)),"",INDEX('Compliance Database'!$H$2:$H$265,MATCH(36,Engine!$C$2:$C$265,0)))</f>
        <v>High (explicit)</v>
      </c>
      <c r="I49" s="6">
        <f>IF(ISNA(MATCH(36,Engine!$C$2:$C$265,0)),"",INDEX('Compliance Database'!$I$2:$I$265,MATCH(36,Engine!$C$2:$C$265,0)))</f>
        <v>0</v>
      </c>
      <c r="J49" s="6">
        <f>IF(ISNA(MATCH(36,Engine!$C$2:$C$265,0)),"",INDEX('Compliance Database'!$J$2:$J$265,MATCH(36,Engine!$C$2:$C$265,0)))</f>
        <v>0</v>
      </c>
      <c r="K49">
        <f>IF(ISNA(MATCH(36,Engine!$C$2:$C$265,0)),"",INDEX('Compliance Database'!$K$2:$K$265,MATCH(36,Engine!$C$2:$C$265,0)))</f>
        <v>0</v>
      </c>
      <c r="L49" s="6" t="str">
        <f>IF(ISNA(MATCH(36,Engine!$C$2:$C$265,0)),"",INDEX('Compliance Database'!$L$2:$L$265,MATCH(36,Engine!$C$2:$C$265,0)))</f>
        <v>Amends section 7A of Prevention of Organised Crime Act with additional defences for reporting obligations.</v>
      </c>
      <c r="M49" s="6">
        <f>IF(ISNA(MATCH(36,Engine!$C$2:$C$265,0)),"",INDEX('Compliance Database'!$M$2:$M$265,MATCH(36,Engine!$C$2:$C$265,0)))</f>
        <v>0</v>
      </c>
      <c r="N49" s="6" t="str">
        <f>IF(ISNA(MATCH(36,Engine!$C$2:$C$265,0)),"",INDEX('Compliance Database'!$N$2:$N$265,MATCH(36,Engine!$C$2:$C$265,0)))</f>
        <v>[May] Defence may be raised if person reported knowledge/suspicion under FICA
[May] Defence may be raised if person complied with internal reporting rules
[May] Defence may be raised if person reported to responsible person</v>
      </c>
      <c r="O49" s="6" t="str">
        <f>IF(ISNA(MATCH(36,Engine!$C$2:$C$265,0)),"",INDEX('Compliance Database'!$O$2:$O$265,MATCH(36,Engine!$C$2:$C$265,0)))</f>
        <v>2. The substitution for section 7A of the following section: Defence 7A. (1) If a person is charged with committing an offence under section 2(1)(a) or (b), 4, 5 or 6, that person may raise as a defence the fact that he or she had reported a knowledge or suspicion in terms of section 29 of the Financial Intelligence Centre Act, 2001.</v>
      </c>
    </row>
    <row r="50" spans="1:15" ht="72" x14ac:dyDescent="0.3">
      <c r="A50" t="str">
        <f>IF(ISNA(MATCH(37,Engine!$C$2:$C$265,0)),"",INDEX('Compliance Database'!$A$2:$A$265,MATCH(37,Engine!$C$2:$C$265,0)))</f>
        <v>South Africa</v>
      </c>
      <c r="B50" t="str">
        <f>IF(ISNA(MATCH(37,Engine!$C$2:$C$265,0)),"",INDEX('Compliance Database'!$B$2:$B$265,MATCH(37,Engine!$C$2:$C$265,0)))</f>
        <v>FICA (Financial Intelligence Centre Act, 38 of 2001</v>
      </c>
      <c r="C50" t="str">
        <f>IF(ISNA(MATCH(37,Engine!$C$2:$C$265,0)),"",INDEX('Compliance Database'!$C$2:$C$265,MATCH(37,Engine!$C$2:$C$265,0)))</f>
        <v>3</v>
      </c>
      <c r="D50" s="6" t="str">
        <f>IF(ISNA(MATCH(37,Engine!$C$2:$C$265,0)),"",INDEX('Compliance Database'!$D$2:$D$265,MATCH(37,Engine!$C$2:$C$265,0)))</f>
        <v>(1) The principal objective of the  Centre  is  to assist in the identification of the</v>
      </c>
      <c r="E50" t="str">
        <f>IF(ISNA(MATCH(37,Engine!$C$2:$C$265,0)),"",INDEX('Compliance Database'!$E$2:$E$265,MATCH(37,Engine!$C$2:$C$265,0)))</f>
        <v>1–2</v>
      </c>
      <c r="F50" t="str">
        <f>IF(ISNA(MATCH(37,Engine!$C$2:$C$265,0)),"",INDEX('Compliance Database'!$F$2:$F$265,MATCH(37,Engine!$C$2:$C$265,0)))</f>
        <v>Definitions</v>
      </c>
      <c r="G50" t="str">
        <f>IF(ISNA(MATCH(37,Engine!$C$2:$C$265,0)),"",INDEX('Compliance Database'!$G$2:$G$265,MATCH(37,Engine!$C$2:$C$265,0)))</f>
        <v>High</v>
      </c>
      <c r="H50" t="str">
        <f>IF(ISNA(MATCH(37,Engine!$C$2:$C$265,0)),"",INDEX('Compliance Database'!$H$2:$H$265,MATCH(37,Engine!$C$2:$C$265,0)))</f>
        <v>High (explicit)</v>
      </c>
      <c r="I50" s="6">
        <f>IF(ISNA(MATCH(37,Engine!$C$2:$C$265,0)),"",INDEX('Compliance Database'!$I$2:$I$265,MATCH(37,Engine!$C$2:$C$265,0)))</f>
        <v>0</v>
      </c>
      <c r="J50" s="6">
        <f>IF(ISNA(MATCH(37,Engine!$C$2:$C$265,0)),"",INDEX('Compliance Database'!$J$2:$J$265,MATCH(37,Engine!$C$2:$C$265,0)))</f>
        <v>0</v>
      </c>
      <c r="K50">
        <f>IF(ISNA(MATCH(37,Engine!$C$2:$C$265,0)),"",INDEX('Compliance Database'!$K$2:$K$265,MATCH(37,Engine!$C$2:$C$265,0)))</f>
        <v>0</v>
      </c>
      <c r="L50" s="6" t="str">
        <f>IF(ISNA(MATCH(37,Engine!$C$2:$C$265,0)),"",INDEX('Compliance Database'!$L$2:$L$265,MATCH(37,Engine!$C$2:$C$265,0)))</f>
        <v>Defines 'money' as any movable, immovable, corporeal or incorporeal thing.</v>
      </c>
      <c r="M50" s="6">
        <f>IF(ISNA(MATCH(37,Engine!$C$2:$C$265,0)),"",INDEX('Compliance Database'!$M$2:$M$265,MATCH(37,Engine!$C$2:$C$265,0)))</f>
        <v>0</v>
      </c>
      <c r="N50" s="6" t="str">
        <f>IF(ISNA(MATCH(37,Engine!$C$2:$C$265,0)),"",INDEX('Compliance Database'!$N$2:$N$265,MATCH(37,Engine!$C$2:$C$265,0)))</f>
        <v>[Must] In terms of section 1 of the Prevention Act, this term means 'money or any other movable, immovable, corporeal or incorporeal thing, and includes any rights, privileges, claims and securities and any interest therein and all proceeds thereof'.</v>
      </c>
      <c r="O50" s="6" t="str">
        <f>IF(ISNA(MATCH(37,Engine!$C$2:$C$265,0)),"",INDEX('Compliance Database'!$O$2:$O$265,MATCH(37,Engine!$C$2:$C$265,0)))</f>
        <v>3. In terms of section 1 of the Prevention Act, this term means 'money or any other movable, immovable, corporeal or incorporeal thing, and includes any rights, privileges, claims and securities and any interest therein and all proceeds thereof'.</v>
      </c>
    </row>
    <row r="51" spans="1:15" ht="72" x14ac:dyDescent="0.3">
      <c r="A51" t="str">
        <f>IF(ISNA(MATCH(38,Engine!$C$2:$C$265,0)),"",INDEX('Compliance Database'!$A$2:$A$265,MATCH(38,Engine!$C$2:$C$265,0)))</f>
        <v>South Africa</v>
      </c>
      <c r="B51" t="str">
        <f>IF(ISNA(MATCH(38,Engine!$C$2:$C$265,0)),"",INDEX('Compliance Database'!$B$2:$B$265,MATCH(38,Engine!$C$2:$C$265,0)))</f>
        <v>FICA (Financial Intelligence Centre Act, 38 of 2001</v>
      </c>
      <c r="C51" t="str">
        <f>IF(ISNA(MATCH(38,Engine!$C$2:$C$265,0)),"",INDEX('Compliance Database'!$C$2:$C$265,MATCH(38,Engine!$C$2:$C$265,0)))</f>
        <v>3</v>
      </c>
      <c r="D51" s="6" t="str">
        <f>IF(ISNA(MATCH(38,Engine!$C$2:$C$265,0)),"",INDEX('Compliance Database'!$D$2:$D$265,MATCH(38,Engine!$C$2:$C$265,0)))</f>
        <v>In terms of section 1 of the  Prevention  Act,  this t m n means  "money or any  other  movable,  immovable,</v>
      </c>
      <c r="E51" t="str">
        <f>IF(ISNA(MATCH(38,Engine!$C$2:$C$265,0)),"",INDEX('Compliance Database'!$E$2:$E$265,MATCH(38,Engine!$C$2:$C$265,0)))</f>
        <v>2</v>
      </c>
      <c r="F51" t="str">
        <f>IF(ISNA(MATCH(38,Engine!$C$2:$C$265,0)),"",INDEX('Compliance Database'!$F$2:$F$265,MATCH(38,Engine!$C$2:$C$265,0)))</f>
        <v>Definitions</v>
      </c>
      <c r="G51" t="str">
        <f>IF(ISNA(MATCH(38,Engine!$C$2:$C$265,0)),"",INDEX('Compliance Database'!$G$2:$G$265,MATCH(38,Engine!$C$2:$C$265,0)))</f>
        <v>High</v>
      </c>
      <c r="H51" t="str">
        <f>IF(ISNA(MATCH(38,Engine!$C$2:$C$265,0)),"",INDEX('Compliance Database'!$H$2:$H$265,MATCH(38,Engine!$C$2:$C$265,0)))</f>
        <v>High (explicit)</v>
      </c>
      <c r="I51" s="6">
        <f>IF(ISNA(MATCH(38,Engine!$C$2:$C$265,0)),"",INDEX('Compliance Database'!$I$2:$I$265,MATCH(38,Engine!$C$2:$C$265,0)))</f>
        <v>0</v>
      </c>
      <c r="J51" s="6">
        <f>IF(ISNA(MATCH(38,Engine!$C$2:$C$265,0)),"",INDEX('Compliance Database'!$J$2:$J$265,MATCH(38,Engine!$C$2:$C$265,0)))</f>
        <v>0</v>
      </c>
      <c r="K51">
        <f>IF(ISNA(MATCH(38,Engine!$C$2:$C$265,0)),"",INDEX('Compliance Database'!$K$2:$K$265,MATCH(38,Engine!$C$2:$C$265,0)))</f>
        <v>0</v>
      </c>
      <c r="L51" s="6" t="str">
        <f>IF(ISNA(MATCH(38,Engine!$C$2:$C$265,0)),"",INDEX('Compliance Database'!$L$2:$L$265,MATCH(38,Engine!$C$2:$C$265,0)))</f>
        <v>Defines 'money' as any movable, immovable, corporeal or incorporeal thing.</v>
      </c>
      <c r="M51" s="6">
        <f>IF(ISNA(MATCH(38,Engine!$C$2:$C$265,0)),"",INDEX('Compliance Database'!$M$2:$M$265,MATCH(38,Engine!$C$2:$C$265,0)))</f>
        <v>0</v>
      </c>
      <c r="N51" s="6" t="str">
        <f>IF(ISNA(MATCH(38,Engine!$C$2:$C$265,0)),"",INDEX('Compliance Database'!$N$2:$N$265,MATCH(38,Engine!$C$2:$C$265,0)))</f>
        <v>[Must] In terms of section 1 of the Prevention Act, this term means 'money or any other movable, immovable, corporeal or incorporeal thing, and includes any rights, privileges, claims and securities and any interest therein and all proceeds thereof'.</v>
      </c>
      <c r="O51" s="6" t="str">
        <f>IF(ISNA(MATCH(38,Engine!$C$2:$C$265,0)),"",INDEX('Compliance Database'!$O$2:$O$265,MATCH(38,Engine!$C$2:$C$265,0)))</f>
        <v>3. In terms of section 1 of the Prevention Act, this term means 'money or any other movable, immovable, corporeal or incorporeal thing, and includes any rights, privileges, claims and securities and any interest therein and all proceeds thereof'.</v>
      </c>
    </row>
    <row r="52" spans="1:15" ht="230.4" x14ac:dyDescent="0.3">
      <c r="A52" t="str">
        <f>IF(ISNA(MATCH(39,Engine!$C$2:$C$265,0)),"",INDEX('Compliance Database'!$A$2:$A$265,MATCH(39,Engine!$C$2:$C$265,0)))</f>
        <v>South Africa</v>
      </c>
      <c r="B52" t="str">
        <f>IF(ISNA(MATCH(39,Engine!$C$2:$C$265,0)),"",INDEX('Compliance Database'!$B$2:$B$265,MATCH(39,Engine!$C$2:$C$265,0)))</f>
        <v>FICA (Financial Intelligence Centre Act, 38 of 2001</v>
      </c>
      <c r="C52" t="str">
        <f>IF(ISNA(MATCH(39,Engine!$C$2:$C$265,0)),"",INDEX('Compliance Database'!$C$2:$C$265,MATCH(39,Engine!$C$2:$C$265,0)))</f>
        <v>4</v>
      </c>
      <c r="D52" s="6" t="str">
        <f>IF(ISNA(MATCH(39,Engine!$C$2:$C$265,0)),"",INDEX('Compliance Database'!$D$2:$D$265,MATCH(39,Engine!$C$2:$C$265,0)))</f>
        <v>Ir terms  of  section I of the  Prevention  Act,  this  term  means  "conduct  which  constitutes  a  crime</v>
      </c>
      <c r="E52" t="str">
        <f>IF(ISNA(MATCH(39,Engine!$C$2:$C$265,0)),"",INDEX('Compliance Database'!$E$2:$E$265,MATCH(39,Engine!$C$2:$C$265,0)))</f>
        <v>2</v>
      </c>
      <c r="F52" t="str">
        <f>IF(ISNA(MATCH(39,Engine!$C$2:$C$265,0)),"",INDEX('Compliance Database'!$F$2:$F$265,MATCH(39,Engine!$C$2:$C$265,0)))</f>
        <v>Other</v>
      </c>
      <c r="G52" t="str">
        <f>IF(ISNA(MATCH(39,Engine!$C$2:$C$265,0)),"",INDEX('Compliance Database'!$G$2:$G$265,MATCH(39,Engine!$C$2:$C$265,0)))</f>
        <v>High</v>
      </c>
      <c r="H52" t="str">
        <f>IF(ISNA(MATCH(39,Engine!$C$2:$C$265,0)),"",INDEX('Compliance Database'!$H$2:$H$265,MATCH(39,Engine!$C$2:$C$265,0)))</f>
        <v>High (explicit)</v>
      </c>
      <c r="I52" s="6" t="str">
        <f>IF(ISNA(MATCH(39,Engine!$C$2:$C$265,0)),"",INDEX('Compliance Database'!$I$2:$I$265,MATCH(39,Engine!$C$2:$C$265,0)))</f>
        <v>Processing, Data Sharing, Data Storage, Retention</v>
      </c>
      <c r="J52" s="6" t="str">
        <f>IF(ISNA(MATCH(39,Engine!$C$2:$C$265,0)),"",INDEX('Compliance Database'!$J$2:$J$265,MATCH(39,Engine!$C$2:$C$265,0)))</f>
        <v>Financial Data</v>
      </c>
      <c r="K52">
        <f>IF(ISNA(MATCH(39,Engine!$C$2:$C$265,0)),"",INDEX('Compliance Database'!$K$2:$K$265,MATCH(39,Engine!$C$2:$C$265,0)))</f>
        <v>0</v>
      </c>
      <c r="L52" s="6" t="str">
        <f>IF(ISNA(MATCH(39,Engine!$C$2:$C$265,0)),"",INDEX('Compliance Database'!$L$2:$L$265,MATCH(39,Engine!$C$2:$C$265,0)))</f>
        <v>Centre must process, analyse information, inform authorities, monitor compliance, and retain information.</v>
      </c>
      <c r="M52" s="6" t="str">
        <f>IF(ISNA(MATCH(39,Engine!$C$2:$C$265,0)),"",INDEX('Compliance Database'!$M$2:$M$265,MATCH(39,Engine!$C$2:$C$265,0)))</f>
        <v>Centre must process, analyse information disclosed to it, inform authorities, monitor compliance, and retain information.</v>
      </c>
      <c r="N52" s="6" t="str">
        <f>IF(ISNA(MATCH(39,Engine!$C$2:$C$265,0)),"",INDEX('Compliance Database'!$N$2:$N$265,MATCH(39,Engine!$C$2:$C$265,0)))</f>
        <v>[Must] process, analyse and interpret information disclosed to it, and obtained by it, in terms of this Act
[Must] inform, advise and cooperate with investigating authorities, supervisory bodies, the South African Revenue Service and the intelligence services
[Must] monitor and give guidance to accountable institutions, supervisory bodies and other persons regarding the performance by them of their duties and their compliance with the provisions of this Act
[Must] retain the information referred to in paragraph (a) in the manner and for the period required by this Act</v>
      </c>
      <c r="O52" s="6" t="str">
        <f>IF(ISNA(MATCH(39,Engine!$C$2:$C$265,0)),"",INDEX('Compliance Database'!$O$2:$O$265,MATCH(39,Engine!$C$2:$C$265,0)))</f>
        <v>4. To achieve its objectives the Centre must- (a) process, analyse and interpret information disclosed to it, and obtained by it, in terms of this Act; (b) inform, advise and cooperate with investigating authorities, supervisory bodies, the South African Revenue Service and the intelligence services; (c) monitor and give guidance to accountable institutions, supervisory bodies and other persons regarding the performance by them of their duties and their compliance with the provisions of this Act; (d) retain the information referred to in paragraph (a) in the manner and for the period required by this Act.</v>
      </c>
    </row>
    <row r="53" spans="1:15" ht="230.4" x14ac:dyDescent="0.3">
      <c r="A53" t="str">
        <f>IF(ISNA(MATCH(40,Engine!$C$2:$C$265,0)),"",INDEX('Compliance Database'!$A$2:$A$265,MATCH(40,Engine!$C$2:$C$265,0)))</f>
        <v>South Africa</v>
      </c>
      <c r="B53" t="str">
        <f>IF(ISNA(MATCH(40,Engine!$C$2:$C$265,0)),"",INDEX('Compliance Database'!$B$2:$B$265,MATCH(40,Engine!$C$2:$C$265,0)))</f>
        <v>FICA (Financial Intelligence Centre Act, 38 of 2001</v>
      </c>
      <c r="C53" t="str">
        <f>IF(ISNA(MATCH(40,Engine!$C$2:$C$265,0)),"",INDEX('Compliance Database'!$C$2:$C$265,MATCH(40,Engine!$C$2:$C$265,0)))</f>
        <v>4</v>
      </c>
      <c r="D53" s="6" t="str">
        <f>IF(ISNA(MATCH(40,Engine!$C$2:$C$265,0)),"",INDEX('Compliance Database'!$D$2:$D$265,MATCH(40,Engine!$C$2:$C$265,0)))</f>
        <v>To achieve its objectives the Centre  must-</v>
      </c>
      <c r="E53" t="str">
        <f>IF(ISNA(MATCH(40,Engine!$C$2:$C$265,0)),"",INDEX('Compliance Database'!$E$2:$E$265,MATCH(40,Engine!$C$2:$C$265,0)))</f>
        <v>2</v>
      </c>
      <c r="F53" t="str">
        <f>IF(ISNA(MATCH(40,Engine!$C$2:$C$265,0)),"",INDEX('Compliance Database'!$F$2:$F$265,MATCH(40,Engine!$C$2:$C$265,0)))</f>
        <v>Other</v>
      </c>
      <c r="G53" t="str">
        <f>IF(ISNA(MATCH(40,Engine!$C$2:$C$265,0)),"",INDEX('Compliance Database'!$G$2:$G$265,MATCH(40,Engine!$C$2:$C$265,0)))</f>
        <v>High</v>
      </c>
      <c r="H53" t="str">
        <f>IF(ISNA(MATCH(40,Engine!$C$2:$C$265,0)),"",INDEX('Compliance Database'!$H$2:$H$265,MATCH(40,Engine!$C$2:$C$265,0)))</f>
        <v>High (explicit)</v>
      </c>
      <c r="I53" s="6" t="str">
        <f>IF(ISNA(MATCH(40,Engine!$C$2:$C$265,0)),"",INDEX('Compliance Database'!$I$2:$I$265,MATCH(40,Engine!$C$2:$C$265,0)))</f>
        <v>Processing, Data Sharing, Data Storage, Retention</v>
      </c>
      <c r="J53" s="6" t="str">
        <f>IF(ISNA(MATCH(40,Engine!$C$2:$C$265,0)),"",INDEX('Compliance Database'!$J$2:$J$265,MATCH(40,Engine!$C$2:$C$265,0)))</f>
        <v>Financial Data</v>
      </c>
      <c r="K53">
        <f>IF(ISNA(MATCH(40,Engine!$C$2:$C$265,0)),"",INDEX('Compliance Database'!$K$2:$K$265,MATCH(40,Engine!$C$2:$C$265,0)))</f>
        <v>0</v>
      </c>
      <c r="L53" s="6" t="str">
        <f>IF(ISNA(MATCH(40,Engine!$C$2:$C$265,0)),"",INDEX('Compliance Database'!$L$2:$L$265,MATCH(40,Engine!$C$2:$C$265,0)))</f>
        <v>Centre must process, analyse information, inform authorities, monitor compliance, and retain information.</v>
      </c>
      <c r="M53" s="6" t="str">
        <f>IF(ISNA(MATCH(40,Engine!$C$2:$C$265,0)),"",INDEX('Compliance Database'!$M$2:$M$265,MATCH(40,Engine!$C$2:$C$265,0)))</f>
        <v>Centre must process, analyse information disclosed to it, inform authorities, monitor compliance, and retain information.</v>
      </c>
      <c r="N53" s="6" t="str">
        <f>IF(ISNA(MATCH(40,Engine!$C$2:$C$265,0)),"",INDEX('Compliance Database'!$N$2:$N$265,MATCH(40,Engine!$C$2:$C$265,0)))</f>
        <v>[Must] process, analyse and interpret information disclosed to it, and obtained by it, in terms of this Act
[Must] inform, advise and cooperate with investigating authorities, supervisory bodies, the South African Revenue Service and the intelligence services
[Must] monitor and give guidance to accountable institutions, supervisory bodies and other persons regarding the performance by them of their duties and their compliance with the provisions of this Act
[Must] retain the information referred to in paragraph (a) in the manner and for the period required by this Act</v>
      </c>
      <c r="O53" s="6" t="str">
        <f>IF(ISNA(MATCH(40,Engine!$C$2:$C$265,0)),"",INDEX('Compliance Database'!$O$2:$O$265,MATCH(40,Engine!$C$2:$C$265,0)))</f>
        <v>4. To achieve its objectives the Centre must- (a) process, analyse and interpret information disclosed to it, and obtained by it, in terms of this Act; (b) inform, advise and cooperate with investigating authorities, supervisory bodies, the South African Revenue Service and the intelligence services; (c) monitor and give guidance to accountable institutions, supervisory bodies and other persons regarding the performance by them of their duties and their compliance with the provisions of this Act; (d) retain the information referred to in paragraph (a) in the manner and for the period required by this Act.</v>
      </c>
    </row>
    <row r="54" spans="1:15" ht="72" x14ac:dyDescent="0.3">
      <c r="A54" t="str">
        <f>IF(ISNA(MATCH(41,Engine!$C$2:$C$265,0)),"",INDEX('Compliance Database'!$A$2:$A$265,MATCH(41,Engine!$C$2:$C$265,0)))</f>
        <v>South Africa</v>
      </c>
      <c r="B54" t="str">
        <f>IF(ISNA(MATCH(41,Engine!$C$2:$C$265,0)),"",INDEX('Compliance Database'!$B$2:$B$265,MATCH(41,Engine!$C$2:$C$265,0)))</f>
        <v>FICA (Financial Intelligence Centre Act, 38 of 2001</v>
      </c>
      <c r="C54" t="str">
        <f>IF(ISNA(MATCH(41,Engine!$C$2:$C$265,0)),"",INDEX('Compliance Database'!$C$2:$C$265,MATCH(41,Engine!$C$2:$C$265,0)))</f>
        <v>4</v>
      </c>
      <c r="D54" s="6" t="str">
        <f>IF(ISNA(MATCH(41,Engine!$C$2:$C$265,0)),"",INDEX('Compliance Database'!$D$2:$D$265,MATCH(41,Engine!$C$2:$C$265,0)))</f>
        <v>The amendment of section 77-</v>
      </c>
      <c r="E54" t="str">
        <f>IF(ISNA(MATCH(41,Engine!$C$2:$C$265,0)),"",INDEX('Compliance Database'!$E$2:$E$265,MATCH(41,Engine!$C$2:$C$265,0)))</f>
        <v>25</v>
      </c>
      <c r="F54" t="str">
        <f>IF(ISNA(MATCH(41,Engine!$C$2:$C$265,0)),"",INDEX('Compliance Database'!$F$2:$F$265,MATCH(41,Engine!$C$2:$C$265,0)))</f>
        <v>Other</v>
      </c>
      <c r="G54" t="str">
        <f>IF(ISNA(MATCH(41,Engine!$C$2:$C$265,0)),"",INDEX('Compliance Database'!$G$2:$G$265,MATCH(41,Engine!$C$2:$C$265,0)))</f>
        <v>High</v>
      </c>
      <c r="H54" t="str">
        <f>IF(ISNA(MATCH(41,Engine!$C$2:$C$265,0)),"",INDEX('Compliance Database'!$H$2:$H$265,MATCH(41,Engine!$C$2:$C$265,0)))</f>
        <v>High (explicit)</v>
      </c>
      <c r="I54" s="6">
        <f>IF(ISNA(MATCH(41,Engine!$C$2:$C$265,0)),"",INDEX('Compliance Database'!$I$2:$I$265,MATCH(41,Engine!$C$2:$C$265,0)))</f>
        <v>0</v>
      </c>
      <c r="J54" s="6">
        <f>IF(ISNA(MATCH(41,Engine!$C$2:$C$265,0)),"",INDEX('Compliance Database'!$J$2:$J$265,MATCH(41,Engine!$C$2:$C$265,0)))</f>
        <v>0</v>
      </c>
      <c r="K54">
        <f>IF(ISNA(MATCH(41,Engine!$C$2:$C$265,0)),"",INDEX('Compliance Database'!$K$2:$K$265,MATCH(41,Engine!$C$2:$C$265,0)))</f>
        <v>0</v>
      </c>
      <c r="L54" s="6" t="str">
        <f>IF(ISNA(MATCH(41,Engine!$C$2:$C$265,0)),"",INDEX('Compliance Database'!$L$2:$L$265,MATCH(41,Engine!$C$2:$C$265,0)))</f>
        <v>Amends section 77 of FICA by deleting specific regulatory provisions.</v>
      </c>
      <c r="M54" s="6">
        <f>IF(ISNA(MATCH(41,Engine!$C$2:$C$265,0)),"",INDEX('Compliance Database'!$M$2:$M$265,MATCH(41,Engine!$C$2:$C$265,0)))</f>
        <v>0</v>
      </c>
      <c r="N54" s="6" t="str">
        <f>IF(ISNA(MATCH(41,Engine!$C$2:$C$265,0)),"",INDEX('Compliance Database'!$N$2:$N$265,MATCH(41,Engine!$C$2:$C$265,0)))</f>
        <v>[Must] Deletion from subsection (1) of paragraph (b) of section 77
[Must] Deletion from subsection (1) of paragraph (c) of section 77</v>
      </c>
      <c r="O54" s="6" t="str">
        <f>IF(ISNA(MATCH(41,Engine!$C$2:$C$265,0)),"",INDEX('Compliance Database'!$O$2:$O$265,MATCH(41,Engine!$C$2:$C$265,0)))</f>
        <v>4. The amendment of section 77- 3.1 by the deletion from subsection (1) of paragraph (b); and 3.2 by the deletion from subsection (1) of paragraph (c).</v>
      </c>
    </row>
    <row r="55" spans="1:15" ht="409.6" x14ac:dyDescent="0.3">
      <c r="A55" t="str">
        <f>IF(ISNA(MATCH(42,Engine!$C$2:$C$265,0)),"",INDEX('Compliance Database'!$A$2:$A$265,MATCH(42,Engine!$C$2:$C$265,0)))</f>
        <v>South Africa</v>
      </c>
      <c r="B55" t="str">
        <f>IF(ISNA(MATCH(42,Engine!$C$2:$C$265,0)),"",INDEX('Compliance Database'!$B$2:$B$265,MATCH(42,Engine!$C$2:$C$265,0)))</f>
        <v>FICA (Financial Intelligence Centre Act, 38 of 2001</v>
      </c>
      <c r="C55" t="str">
        <f>IF(ISNA(MATCH(42,Engine!$C$2:$C$265,0)),"",INDEX('Compliance Database'!$C$2:$C$265,MATCH(42,Engine!$C$2:$C$265,0)))</f>
        <v>5</v>
      </c>
      <c r="D55" s="6" t="str">
        <f>IF(ISNA(MATCH(42,Engine!$C$2:$C$265,0)),"",INDEX('Compliance Database'!$D$2:$D$265,MATCH(42,Engine!$C$2:$C$265,0)))</f>
        <v>(1) The  Centre may do all that  is necessary  or  expedient to  perform  its functions</v>
      </c>
      <c r="E55" t="str">
        <f>IF(ISNA(MATCH(42,Engine!$C$2:$C$265,0)),"",INDEX('Compliance Database'!$E$2:$E$265,MATCH(42,Engine!$C$2:$C$265,0)))</f>
        <v>2–3</v>
      </c>
      <c r="F55" t="str">
        <f>IF(ISNA(MATCH(42,Engine!$C$2:$C$265,0)),"",INDEX('Compliance Database'!$F$2:$F$265,MATCH(42,Engine!$C$2:$C$265,0)))</f>
        <v>Other</v>
      </c>
      <c r="G55" t="str">
        <f>IF(ISNA(MATCH(42,Engine!$C$2:$C$265,0)),"",INDEX('Compliance Database'!$G$2:$G$265,MATCH(42,Engine!$C$2:$C$265,0)))</f>
        <v>High</v>
      </c>
      <c r="H55" t="str">
        <f>IF(ISNA(MATCH(42,Engine!$C$2:$C$265,0)),"",INDEX('Compliance Database'!$H$2:$H$265,MATCH(42,Engine!$C$2:$C$265,0)))</f>
        <v>High (explicit)</v>
      </c>
      <c r="I55" s="6" t="str">
        <f>IF(ISNA(MATCH(42,Engine!$C$2:$C$265,0)),"",INDEX('Compliance Database'!$I$2:$I$265,MATCH(42,Engine!$C$2:$C$265,0)))</f>
        <v>Cloud Services, Financial Data</v>
      </c>
      <c r="J55" s="6" t="str">
        <f>IF(ISNA(MATCH(42,Engine!$C$2:$C$265,0)),"",INDEX('Compliance Database'!$J$2:$J$265,MATCH(42,Engine!$C$2:$C$265,0)))</f>
        <v>Financial Data</v>
      </c>
      <c r="K55">
        <f>IF(ISNA(MATCH(42,Engine!$C$2:$C$265,0)),"",INDEX('Compliance Database'!$K$2:$K$265,MATCH(42,Engine!$C$2:$C$265,0)))</f>
        <v>0</v>
      </c>
      <c r="L55" s="6" t="str">
        <f>IF(ISNA(MATCH(42,Engine!$C$2:$C$265,0)),"",INDEX('Compliance Database'!$L$2:$L$265,MATCH(42,Engine!$C$2:$C$265,0)))</f>
        <v>Centre may do all necessary actions to perform functions, including staff management and banking.</v>
      </c>
      <c r="M55" s="6" t="str">
        <f>IF(ISNA(MATCH(42,Engine!$C$2:$C$265,0)),"",INDEX('Compliance Database'!$M$2:$M$265,MATCH(42,Engine!$C$2:$C$265,0)))</f>
        <v>Centre may determine staff establishment, appoint employees, obtain services, acquire property, open bank accounts, insure itself, perform legal acts, engage in lawful activities, and do incidental acts.</v>
      </c>
      <c r="N55" s="6" t="str">
        <f>IF(ISNA(MATCH(42,Engine!$C$2:$C$265,0)),"",INDEX('Compliance Database'!$N$2:$N$265,MATCH(42,Engine!$C$2:$C$265,0)))</f>
        <v>[Must] determine its own staff establishment and the terms and conditions of employment for its staff within a policy framework determined by the Minister
[Must] appoint employees and seconded personnel to posts on its staff establishment
[Must] obtain the services of any person by agreement, including any state department, functionary or institution, to perform any specific act or function
[Must] acquire or dispose of any right in or to property, but rights in respect of immovable property may be acquired or disposed of only with the consent of the Minister
[Must] open and operate its own bank accounts, subject to the Public Finance Management Act, 1999
[Must] insure itself against any loss, damage, risk or liability
[Must] perform legal acts or institute or defend any legal action in its own name
[Must] engage in any lawful activity, whether alone or together with any other organisation in the Republic or elsewhere, aimed at promoting its objectives
[Must] do anything that is incidental to the exercise of any of its powers</v>
      </c>
      <c r="O55" s="6" t="str">
        <f>IF(ISNA(MATCH(42,Engine!$C$2:$C$265,0)),"",INDEX('Compliance Database'!$O$2:$O$265,MATCH(42,Engine!$C$2:$C$265,0)))</f>
        <v>5. (1) The Centre may do all that is necessary or expedient to perform its functions effectively, which includes the power to-- (a) determine its own staff establishment and the terms and conditions of employment for its staff within a policy framework determined by the Minister; (b) appoint employees and seconded personnel to posts on its staff establishment; (c) obtain the services of any person by agreement, including any state department, functionary or institution, to perform any specific act or function; (d) acquire or dispose of any right in or to property, but rights in respect of immovable property may be acquired or disposed of only with the consent of the Minister; (e) open and operate its own bank accounts, subject to the Public Finance Management Act, 1999; (f) insure itself against any loss, damage, risk or liability; (g) perform legal acts or institute or defend any legal action in its own name; (h) engage in any lawful activity, whether alone or together with any other organisation in the Republic or elsewhere, aimed at promoting its objectives; (i) do anything that is incidental to the exercise of any of its powers.</v>
      </c>
    </row>
    <row r="56" spans="1:15" ht="57.6" x14ac:dyDescent="0.3">
      <c r="A56" t="str">
        <f>IF(ISNA(MATCH(43,Engine!$C$2:$C$265,0)),"",INDEX('Compliance Database'!$A$2:$A$265,MATCH(43,Engine!$C$2:$C$265,0)))</f>
        <v>South Africa</v>
      </c>
      <c r="B56" t="str">
        <f>IF(ISNA(MATCH(43,Engine!$C$2:$C$265,0)),"",INDEX('Compliance Database'!$B$2:$B$265,MATCH(43,Engine!$C$2:$C$265,0)))</f>
        <v>FICA (Financial Intelligence Centre Act, 38 of 2001</v>
      </c>
      <c r="C56" t="str">
        <f>IF(ISNA(MATCH(43,Engine!$C$2:$C$265,0)),"",INDEX('Compliance Database'!$C$2:$C$265,MATCH(43,Engine!$C$2:$C$265,0)))</f>
        <v>7</v>
      </c>
      <c r="D56" s="6" t="str">
        <f>IF(ISNA(MATCH(43,Engine!$C$2:$C$265,0)),"",INDEX('Compliance Database'!$D$2:$D$265,MATCH(43,Engine!$C$2:$C$265,0)))</f>
        <v>(1) The  Minister may remove  the  Director  from</v>
      </c>
      <c r="E56" t="str">
        <f>IF(ISNA(MATCH(43,Engine!$C$2:$C$265,0)),"",INDEX('Compliance Database'!$E$2:$E$265,MATCH(43,Engine!$C$2:$C$265,0)))</f>
        <v>3</v>
      </c>
      <c r="F56" t="str">
        <f>IF(ISNA(MATCH(43,Engine!$C$2:$C$265,0)),"",INDEX('Compliance Database'!$F$2:$F$265,MATCH(43,Engine!$C$2:$C$265,0)))</f>
        <v>Other</v>
      </c>
      <c r="G56" t="str">
        <f>IF(ISNA(MATCH(43,Engine!$C$2:$C$265,0)),"",INDEX('Compliance Database'!$G$2:$G$265,MATCH(43,Engine!$C$2:$C$265,0)))</f>
        <v>High</v>
      </c>
      <c r="H56" t="str">
        <f>IF(ISNA(MATCH(43,Engine!$C$2:$C$265,0)),"",INDEX('Compliance Database'!$H$2:$H$265,MATCH(43,Engine!$C$2:$C$265,0)))</f>
        <v>High (explicit)</v>
      </c>
      <c r="I56" s="6">
        <f>IF(ISNA(MATCH(43,Engine!$C$2:$C$265,0)),"",INDEX('Compliance Database'!$I$2:$I$265,MATCH(43,Engine!$C$2:$C$265,0)))</f>
        <v>0</v>
      </c>
      <c r="J56" s="6">
        <f>IF(ISNA(MATCH(43,Engine!$C$2:$C$265,0)),"",INDEX('Compliance Database'!$J$2:$J$265,MATCH(43,Engine!$C$2:$C$265,0)))</f>
        <v>0</v>
      </c>
      <c r="K56">
        <f>IF(ISNA(MATCH(43,Engine!$C$2:$C$265,0)),"",INDEX('Compliance Database'!$K$2:$K$265,MATCH(43,Engine!$C$2:$C$265,0)))</f>
        <v>0</v>
      </c>
      <c r="L56" s="6" t="str">
        <f>IF(ISNA(MATCH(43,Engine!$C$2:$C$265,0)),"",INDEX('Compliance Database'!$L$2:$L$265,MATCH(43,Engine!$C$2:$C$265,0)))</f>
        <v>Minister may remove Director from office on grounds of misconduct, incapacity or incompetence.</v>
      </c>
      <c r="M56" s="6" t="str">
        <f>IF(ISNA(MATCH(43,Engine!$C$2:$C$265,0)),"",INDEX('Compliance Database'!$M$2:$M$265,MATCH(43,Engine!$C$2:$C$265,0)))</f>
        <v>Minister may remove Director from office on grounds of misconduct, incapacity or incompetence.</v>
      </c>
      <c r="N56" s="6" t="str">
        <f>IF(ISNA(MATCH(43,Engine!$C$2:$C$265,0)),"",INDEX('Compliance Database'!$N$2:$N$265,MATCH(43,Engine!$C$2:$C$265,0)))</f>
        <v>[Must] The Minister may remove the Director from office only on the grounds referred to in section 13 or on the grounds of misconduct, incapacity or incompetence</v>
      </c>
      <c r="O56" s="6" t="str">
        <f>IF(ISNA(MATCH(43,Engine!$C$2:$C$265,0)),"",INDEX('Compliance Database'!$O$2:$O$265,MATCH(43,Engine!$C$2:$C$265,0)))</f>
        <v>7. (1) The Minister may remove the Director from office only on the grounds referred to in section 13 or on the grounds of misconduct, incapacity or incompetence.</v>
      </c>
    </row>
    <row r="57" spans="1:15" ht="57.6" x14ac:dyDescent="0.3">
      <c r="A57" t="str">
        <f>IF(ISNA(MATCH(44,Engine!$C$2:$C$265,0)),"",INDEX('Compliance Database'!$A$2:$A$265,MATCH(44,Engine!$C$2:$C$265,0)))</f>
        <v>South Africa</v>
      </c>
      <c r="B57" t="str">
        <f>IF(ISNA(MATCH(44,Engine!$C$2:$C$265,0)),"",INDEX('Compliance Database'!$B$2:$B$265,MATCH(44,Engine!$C$2:$C$265,0)))</f>
        <v>FICA (Financial Intelligence Centre Act, 38 of 2001</v>
      </c>
      <c r="C57" t="str">
        <f>IF(ISNA(MATCH(44,Engine!$C$2:$C$265,0)),"",INDEX('Compliance Database'!$C$2:$C$265,MATCH(44,Engine!$C$2:$C$265,0)))</f>
        <v>9</v>
      </c>
      <c r="D57" s="6" t="str">
        <f>IF(ISNA(MATCH(44,Engine!$C$2:$C$265,0)),"",INDEX('Compliance Database'!$D$2:$D$265,MATCH(44,Engine!$C$2:$C$265,0)))</f>
        <v>If the Minister has given notice in the Gazette of any  appointment of a person as the</v>
      </c>
      <c r="E57" t="str">
        <f>IF(ISNA(MATCH(44,Engine!$C$2:$C$265,0)),"",INDEX('Compliance Database'!$E$2:$E$265,MATCH(44,Engine!$C$2:$C$265,0)))</f>
        <v>3</v>
      </c>
      <c r="F57" t="str">
        <f>IF(ISNA(MATCH(44,Engine!$C$2:$C$265,0)),"",INDEX('Compliance Database'!$F$2:$F$265,MATCH(44,Engine!$C$2:$C$265,0)))</f>
        <v>Other</v>
      </c>
      <c r="G57" t="str">
        <f>IF(ISNA(MATCH(44,Engine!$C$2:$C$265,0)),"",INDEX('Compliance Database'!$G$2:$G$265,MATCH(44,Engine!$C$2:$C$265,0)))</f>
        <v>High</v>
      </c>
      <c r="H57" t="str">
        <f>IF(ISNA(MATCH(44,Engine!$C$2:$C$265,0)),"",INDEX('Compliance Database'!$H$2:$H$265,MATCH(44,Engine!$C$2:$C$265,0)))</f>
        <v>High (explicit)</v>
      </c>
      <c r="I57" s="6">
        <f>IF(ISNA(MATCH(44,Engine!$C$2:$C$265,0)),"",INDEX('Compliance Database'!$I$2:$I$265,MATCH(44,Engine!$C$2:$C$265,0)))</f>
        <v>0</v>
      </c>
      <c r="J57" s="6">
        <f>IF(ISNA(MATCH(44,Engine!$C$2:$C$265,0)),"",INDEX('Compliance Database'!$J$2:$J$265,MATCH(44,Engine!$C$2:$C$265,0)))</f>
        <v>0</v>
      </c>
      <c r="K57">
        <f>IF(ISNA(MATCH(44,Engine!$C$2:$C$265,0)),"",INDEX('Compliance Database'!$K$2:$K$265,MATCH(44,Engine!$C$2:$C$265,0)))</f>
        <v>0</v>
      </c>
      <c r="L57" s="6" t="str">
        <f>IF(ISNA(MATCH(44,Engine!$C$2:$C$265,0)),"",INDEX('Compliance Database'!$L$2:$L$265,MATCH(44,Engine!$C$2:$C$265,0)))</f>
        <v>Gazette notice of appointment serves as proof of appointment.</v>
      </c>
      <c r="M57" s="6" t="str">
        <f>IF(ISNA(MATCH(44,Engine!$C$2:$C$265,0)),"",INDEX('Compliance Database'!$M$2:$M$265,MATCH(44,Engine!$C$2:$C$265,0)))</f>
        <v>Gazette notice of appointment may be presented in court as proof of appointment.</v>
      </c>
      <c r="N57" s="6" t="str">
        <f>IF(ISNA(MATCH(44,Engine!$C$2:$C$265,0)),"",INDEX('Compliance Database'!$N$2:$N$265,MATCH(44,Engine!$C$2:$C$265,0)))</f>
        <v>[Must] If the Minister has given notice in the Gazette of any appointment of a person as the Director or as acting director, this notice may be presented in a Court as proof of the appointment</v>
      </c>
      <c r="O57" s="6" t="str">
        <f>IF(ISNA(MATCH(44,Engine!$C$2:$C$265,0)),"",INDEX('Compliance Database'!$O$2:$O$265,MATCH(44,Engine!$C$2:$C$265,0)))</f>
        <v>9. If the Minister has given notice in the Gazette of any appointment of a person as the Director or as acting director, this notice may be presented in a Court as proof of the appointment.</v>
      </c>
    </row>
    <row r="58" spans="1:15" x14ac:dyDescent="0.3">
      <c r="A58" t="str">
        <f>IF(ISNA(MATCH(45,Engine!$C$2:$C$265,0)),"",INDEX('Compliance Database'!$A$2:$A$265,MATCH(45,Engine!$C$2:$C$265,0)))</f>
        <v>South Africa</v>
      </c>
      <c r="B58" t="str">
        <f>IF(ISNA(MATCH(45,Engine!$C$2:$C$265,0)),"",INDEX('Compliance Database'!$B$2:$B$265,MATCH(45,Engine!$C$2:$C$265,0)))</f>
        <v>FICA (Financial Intelligence Centre Act, 38 of 2001</v>
      </c>
      <c r="C58" t="str">
        <f>IF(ISNA(MATCH(45,Engine!$C$2:$C$265,0)),"",INDEX('Compliance Database'!$C$2:$C$265,MATCH(45,Engine!$C$2:$C$265,0)))</f>
        <v>10</v>
      </c>
      <c r="D58" s="6" t="str">
        <f>IF(ISNA(MATCH(45,Engine!$C$2:$C$265,0)),"",INDEX('Compliance Database'!$D$2:$D$265,MATCH(45,Engine!$C$2:$C$265,0)))</f>
        <v>(1) The Director-</v>
      </c>
      <c r="E58" t="str">
        <f>IF(ISNA(MATCH(45,Engine!$C$2:$C$265,0)),"",INDEX('Compliance Database'!$E$2:$E$265,MATCH(45,Engine!$C$2:$C$265,0)))</f>
        <v>3–4</v>
      </c>
      <c r="F58" t="str">
        <f>IF(ISNA(MATCH(45,Engine!$C$2:$C$265,0)),"",INDEX('Compliance Database'!$F$2:$F$265,MATCH(45,Engine!$C$2:$C$265,0)))</f>
        <v>Other</v>
      </c>
      <c r="G58" t="str">
        <f>IF(ISNA(MATCH(45,Engine!$C$2:$C$265,0)),"",INDEX('Compliance Database'!$G$2:$G$265,MATCH(45,Engine!$C$2:$C$265,0)))</f>
        <v>Unknown</v>
      </c>
      <c r="H58" t="str">
        <f>IF(ISNA(MATCH(45,Engine!$C$2:$C$265,0)),"",INDEX('Compliance Database'!$H$2:$H$265,MATCH(45,Engine!$C$2:$C$265,0)))</f>
        <v>Low</v>
      </c>
      <c r="I58" s="6">
        <f>IF(ISNA(MATCH(45,Engine!$C$2:$C$265,0)),"",INDEX('Compliance Database'!$I$2:$I$265,MATCH(45,Engine!$C$2:$C$265,0)))</f>
        <v>0</v>
      </c>
      <c r="J58" s="6">
        <f>IF(ISNA(MATCH(45,Engine!$C$2:$C$265,0)),"",INDEX('Compliance Database'!$J$2:$J$265,MATCH(45,Engine!$C$2:$C$265,0)))</f>
        <v>0</v>
      </c>
      <c r="K58">
        <f>IF(ISNA(MATCH(45,Engine!$C$2:$C$265,0)),"",INDEX('Compliance Database'!$K$2:$K$265,MATCH(45,Engine!$C$2:$C$265,0)))</f>
        <v>0</v>
      </c>
      <c r="L58" s="6">
        <f>IF(ISNA(MATCH(45,Engine!$C$2:$C$265,0)),"",INDEX('Compliance Database'!$L$2:$L$265,MATCH(45,Engine!$C$2:$C$265,0)))</f>
        <v>0</v>
      </c>
      <c r="M58" s="6">
        <f>IF(ISNA(MATCH(45,Engine!$C$2:$C$265,0)),"",INDEX('Compliance Database'!$M$2:$M$265,MATCH(45,Engine!$C$2:$C$265,0)))</f>
        <v>0</v>
      </c>
      <c r="N58" s="6">
        <f>IF(ISNA(MATCH(45,Engine!$C$2:$C$265,0)),"",INDEX('Compliance Database'!$N$2:$N$265,MATCH(45,Engine!$C$2:$C$265,0)))</f>
        <v>0</v>
      </c>
      <c r="O58" s="6">
        <f>IF(ISNA(MATCH(45,Engine!$C$2:$C$265,0)),"",INDEX('Compliance Database'!$O$2:$O$265,MATCH(45,Engine!$C$2:$C$265,0)))</f>
        <v>0</v>
      </c>
    </row>
    <row r="59" spans="1:15" x14ac:dyDescent="0.3">
      <c r="A59" t="str">
        <f>IF(ISNA(MATCH(46,Engine!$C$2:$C$265,0)),"",INDEX('Compliance Database'!$A$2:$A$265,MATCH(46,Engine!$C$2:$C$265,0)))</f>
        <v>South Africa</v>
      </c>
      <c r="B59" t="str">
        <f>IF(ISNA(MATCH(46,Engine!$C$2:$C$265,0)),"",INDEX('Compliance Database'!$B$2:$B$265,MATCH(46,Engine!$C$2:$C$265,0)))</f>
        <v>FICA (Financial Intelligence Centre Act, 38 of 2001</v>
      </c>
      <c r="C59" t="str">
        <f>IF(ISNA(MATCH(46,Engine!$C$2:$C$265,0)),"",INDEX('Compliance Database'!$C$2:$C$265,MATCH(46,Engine!$C$2:$C$265,0)))</f>
        <v>11</v>
      </c>
      <c r="D59" s="6" t="str">
        <f>IF(ISNA(MATCH(46,Engine!$C$2:$C$265,0)),"",INDEX('Compliance Database'!$D$2:$D$265,MATCH(46,Engine!$C$2:$C$265,0)))</f>
        <v>(1) The staff of the  Centre consists (of-</v>
      </c>
      <c r="E59" t="str">
        <f>IF(ISNA(MATCH(46,Engine!$C$2:$C$265,0)),"",INDEX('Compliance Database'!$E$2:$E$265,MATCH(46,Engine!$C$2:$C$265,0)))</f>
        <v>4</v>
      </c>
      <c r="F59" t="str">
        <f>IF(ISNA(MATCH(46,Engine!$C$2:$C$265,0)),"",INDEX('Compliance Database'!$F$2:$F$265,MATCH(46,Engine!$C$2:$C$265,0)))</f>
        <v>Other</v>
      </c>
      <c r="G59" t="str">
        <f>IF(ISNA(MATCH(46,Engine!$C$2:$C$265,0)),"",INDEX('Compliance Database'!$G$2:$G$265,MATCH(46,Engine!$C$2:$C$265,0)))</f>
        <v>Unknown</v>
      </c>
      <c r="H59" t="str">
        <f>IF(ISNA(MATCH(46,Engine!$C$2:$C$265,0)),"",INDEX('Compliance Database'!$H$2:$H$265,MATCH(46,Engine!$C$2:$C$265,0)))</f>
        <v>Low</v>
      </c>
      <c r="I59" s="6">
        <f>IF(ISNA(MATCH(46,Engine!$C$2:$C$265,0)),"",INDEX('Compliance Database'!$I$2:$I$265,MATCH(46,Engine!$C$2:$C$265,0)))</f>
        <v>0</v>
      </c>
      <c r="J59" s="6">
        <f>IF(ISNA(MATCH(46,Engine!$C$2:$C$265,0)),"",INDEX('Compliance Database'!$J$2:$J$265,MATCH(46,Engine!$C$2:$C$265,0)))</f>
        <v>0</v>
      </c>
      <c r="K59">
        <f>IF(ISNA(MATCH(46,Engine!$C$2:$C$265,0)),"",INDEX('Compliance Database'!$K$2:$K$265,MATCH(46,Engine!$C$2:$C$265,0)))</f>
        <v>0</v>
      </c>
      <c r="L59" s="6">
        <f>IF(ISNA(MATCH(46,Engine!$C$2:$C$265,0)),"",INDEX('Compliance Database'!$L$2:$L$265,MATCH(46,Engine!$C$2:$C$265,0)))</f>
        <v>0</v>
      </c>
      <c r="M59" s="6">
        <f>IF(ISNA(MATCH(46,Engine!$C$2:$C$265,0)),"",INDEX('Compliance Database'!$M$2:$M$265,MATCH(46,Engine!$C$2:$C$265,0)))</f>
        <v>0</v>
      </c>
      <c r="N59" s="6">
        <f>IF(ISNA(MATCH(46,Engine!$C$2:$C$265,0)),"",INDEX('Compliance Database'!$N$2:$N$265,MATCH(46,Engine!$C$2:$C$265,0)))</f>
        <v>0</v>
      </c>
      <c r="O59" s="6">
        <f>IF(ISNA(MATCH(46,Engine!$C$2:$C$265,0)),"",INDEX('Compliance Database'!$O$2:$O$265,MATCH(46,Engine!$C$2:$C$265,0)))</f>
        <v>0</v>
      </c>
    </row>
    <row r="60" spans="1:15" ht="28.8" x14ac:dyDescent="0.3">
      <c r="A60" t="str">
        <f>IF(ISNA(MATCH(47,Engine!$C$2:$C$265,0)),"",INDEX('Compliance Database'!$A$2:$A$265,MATCH(47,Engine!$C$2:$C$265,0)))</f>
        <v>South Africa</v>
      </c>
      <c r="B60" t="str">
        <f>IF(ISNA(MATCH(47,Engine!$C$2:$C$265,0)),"",INDEX('Compliance Database'!$B$2:$B$265,MATCH(47,Engine!$C$2:$C$265,0)))</f>
        <v>FICA (Financial Intelligence Centre Act, 38 of 2001</v>
      </c>
      <c r="C60" t="str">
        <f>IF(ISNA(MATCH(47,Engine!$C$2:$C$265,0)),"",INDEX('Compliance Database'!$C$2:$C$265,MATCH(47,Engine!$C$2:$C$265,0)))</f>
        <v>12</v>
      </c>
      <c r="D60" s="6" t="str">
        <f>IF(ISNA(MATCH(47,Engine!$C$2:$C$265,0)),"",INDEX('Compliance Database'!$D$2:$D$265,MATCH(47,Engine!$C$2:$C$265,0)))</f>
        <v>(1) No person  other than the Director  may be  appointed or  seconded  to  perform</v>
      </c>
      <c r="E60" t="str">
        <f>IF(ISNA(MATCH(47,Engine!$C$2:$C$265,0)),"",INDEX('Compliance Database'!$E$2:$E$265,MATCH(47,Engine!$C$2:$C$265,0)))</f>
        <v>4</v>
      </c>
      <c r="F60" t="str">
        <f>IF(ISNA(MATCH(47,Engine!$C$2:$C$265,0)),"",INDEX('Compliance Database'!$F$2:$F$265,MATCH(47,Engine!$C$2:$C$265,0)))</f>
        <v>Other</v>
      </c>
      <c r="G60" t="str">
        <f>IF(ISNA(MATCH(47,Engine!$C$2:$C$265,0)),"",INDEX('Compliance Database'!$G$2:$G$265,MATCH(47,Engine!$C$2:$C$265,0)))</f>
        <v>Unknown</v>
      </c>
      <c r="H60" t="str">
        <f>IF(ISNA(MATCH(47,Engine!$C$2:$C$265,0)),"",INDEX('Compliance Database'!$H$2:$H$265,MATCH(47,Engine!$C$2:$C$265,0)))</f>
        <v>Low</v>
      </c>
      <c r="I60" s="6">
        <f>IF(ISNA(MATCH(47,Engine!$C$2:$C$265,0)),"",INDEX('Compliance Database'!$I$2:$I$265,MATCH(47,Engine!$C$2:$C$265,0)))</f>
        <v>0</v>
      </c>
      <c r="J60" s="6">
        <f>IF(ISNA(MATCH(47,Engine!$C$2:$C$265,0)),"",INDEX('Compliance Database'!$J$2:$J$265,MATCH(47,Engine!$C$2:$C$265,0)))</f>
        <v>0</v>
      </c>
      <c r="K60">
        <f>IF(ISNA(MATCH(47,Engine!$C$2:$C$265,0)),"",INDEX('Compliance Database'!$K$2:$K$265,MATCH(47,Engine!$C$2:$C$265,0)))</f>
        <v>0</v>
      </c>
      <c r="L60" s="6">
        <f>IF(ISNA(MATCH(47,Engine!$C$2:$C$265,0)),"",INDEX('Compliance Database'!$L$2:$L$265,MATCH(47,Engine!$C$2:$C$265,0)))</f>
        <v>0</v>
      </c>
      <c r="M60" s="6">
        <f>IF(ISNA(MATCH(47,Engine!$C$2:$C$265,0)),"",INDEX('Compliance Database'!$M$2:$M$265,MATCH(47,Engine!$C$2:$C$265,0)))</f>
        <v>0</v>
      </c>
      <c r="N60" s="6">
        <f>IF(ISNA(MATCH(47,Engine!$C$2:$C$265,0)),"",INDEX('Compliance Database'!$N$2:$N$265,MATCH(47,Engine!$C$2:$C$265,0)))</f>
        <v>0</v>
      </c>
      <c r="O60" s="6">
        <f>IF(ISNA(MATCH(47,Engine!$C$2:$C$265,0)),"",INDEX('Compliance Database'!$O$2:$O$265,MATCH(47,Engine!$C$2:$C$265,0)))</f>
        <v>0</v>
      </c>
    </row>
    <row r="61" spans="1:15" ht="28.8" x14ac:dyDescent="0.3">
      <c r="A61" t="str">
        <f>IF(ISNA(MATCH(48,Engine!$C$2:$C$265,0)),"",INDEX('Compliance Database'!$A$2:$A$265,MATCH(48,Engine!$C$2:$C$265,0)))</f>
        <v>South Africa</v>
      </c>
      <c r="B61" t="str">
        <f>IF(ISNA(MATCH(48,Engine!$C$2:$C$265,0)),"",INDEX('Compliance Database'!$B$2:$B$265,MATCH(48,Engine!$C$2:$C$265,0)))</f>
        <v>FICA (Financial Intelligence Centre Act, 38 of 2001</v>
      </c>
      <c r="C61" t="str">
        <f>IF(ISNA(MATCH(48,Engine!$C$2:$C$265,0)),"",INDEX('Compliance Database'!$C$2:$C$265,MATCH(48,Engine!$C$2:$C$265,0)))</f>
        <v>13</v>
      </c>
      <c r="D61" s="6" t="str">
        <f>IF(ISNA(MATCH(48,Engine!$C$2:$C$265,0)),"",INDEX('Compliance Database'!$D$2:$D$265,MATCH(48,Engine!$C$2:$C$265,0)))</f>
        <v>(1) No person  may be appointed a:$ the Director  of the Centre unless-</v>
      </c>
      <c r="E61" t="str">
        <f>IF(ISNA(MATCH(48,Engine!$C$2:$C$265,0)),"",INDEX('Compliance Database'!$E$2:$E$265,MATCH(48,Engine!$C$2:$C$265,0)))</f>
        <v>4–5</v>
      </c>
      <c r="F61" t="str">
        <f>IF(ISNA(MATCH(48,Engine!$C$2:$C$265,0)),"",INDEX('Compliance Database'!$F$2:$F$265,MATCH(48,Engine!$C$2:$C$265,0)))</f>
        <v>Other</v>
      </c>
      <c r="G61" t="str">
        <f>IF(ISNA(MATCH(48,Engine!$C$2:$C$265,0)),"",INDEX('Compliance Database'!$G$2:$G$265,MATCH(48,Engine!$C$2:$C$265,0)))</f>
        <v>Unknown</v>
      </c>
      <c r="H61" t="str">
        <f>IF(ISNA(MATCH(48,Engine!$C$2:$C$265,0)),"",INDEX('Compliance Database'!$H$2:$H$265,MATCH(48,Engine!$C$2:$C$265,0)))</f>
        <v>Low</v>
      </c>
      <c r="I61" s="6">
        <f>IF(ISNA(MATCH(48,Engine!$C$2:$C$265,0)),"",INDEX('Compliance Database'!$I$2:$I$265,MATCH(48,Engine!$C$2:$C$265,0)))</f>
        <v>0</v>
      </c>
      <c r="J61" s="6">
        <f>IF(ISNA(MATCH(48,Engine!$C$2:$C$265,0)),"",INDEX('Compliance Database'!$J$2:$J$265,MATCH(48,Engine!$C$2:$C$265,0)))</f>
        <v>0</v>
      </c>
      <c r="K61">
        <f>IF(ISNA(MATCH(48,Engine!$C$2:$C$265,0)),"",INDEX('Compliance Database'!$K$2:$K$265,MATCH(48,Engine!$C$2:$C$265,0)))</f>
        <v>0</v>
      </c>
      <c r="L61" s="6">
        <f>IF(ISNA(MATCH(48,Engine!$C$2:$C$265,0)),"",INDEX('Compliance Database'!$L$2:$L$265,MATCH(48,Engine!$C$2:$C$265,0)))</f>
        <v>0</v>
      </c>
      <c r="M61" s="6">
        <f>IF(ISNA(MATCH(48,Engine!$C$2:$C$265,0)),"",INDEX('Compliance Database'!$M$2:$M$265,MATCH(48,Engine!$C$2:$C$265,0)))</f>
        <v>0</v>
      </c>
      <c r="N61" s="6">
        <f>IF(ISNA(MATCH(48,Engine!$C$2:$C$265,0)),"",INDEX('Compliance Database'!$N$2:$N$265,MATCH(48,Engine!$C$2:$C$265,0)))</f>
        <v>0</v>
      </c>
      <c r="O61" s="6">
        <f>IF(ISNA(MATCH(48,Engine!$C$2:$C$265,0)),"",INDEX('Compliance Database'!$O$2:$O$265,MATCH(48,Engine!$C$2:$C$265,0)))</f>
        <v>0</v>
      </c>
    </row>
    <row r="62" spans="1:15" ht="115.2" x14ac:dyDescent="0.3">
      <c r="A62" t="str">
        <f>IF(ISNA(MATCH(49,Engine!$C$2:$C$265,0)),"",INDEX('Compliance Database'!$A$2:$A$265,MATCH(49,Engine!$C$2:$C$265,0)))</f>
        <v>South Africa</v>
      </c>
      <c r="B62" t="str">
        <f>IF(ISNA(MATCH(49,Engine!$C$2:$C$265,0)),"",INDEX('Compliance Database'!$B$2:$B$265,MATCH(49,Engine!$C$2:$C$265,0)))</f>
        <v>FICA (Financial Intelligence Centre Act, 38 of 2001</v>
      </c>
      <c r="C62" t="str">
        <f>IF(ISNA(MATCH(49,Engine!$C$2:$C$265,0)),"",INDEX('Compliance Database'!$C$2:$C$265,MATCH(49,Engine!$C$2:$C$265,0)))</f>
        <v>14</v>
      </c>
      <c r="D62" s="6" t="str">
        <f>IF(ISNA(MATCH(49,Engine!$C$2:$C$265,0)),"",INDEX('Compliance Database'!$D$2:$D$265,MATCH(49,Engine!$C$2:$C$265,0)))</f>
        <v>(1) The  funds of the  Centre consist of-</v>
      </c>
      <c r="E62" t="str">
        <f>IF(ISNA(MATCH(49,Engine!$C$2:$C$265,0)),"",INDEX('Compliance Database'!$E$2:$E$265,MATCH(49,Engine!$C$2:$C$265,0)))</f>
        <v>5</v>
      </c>
      <c r="F62" t="str">
        <f>IF(ISNA(MATCH(49,Engine!$C$2:$C$265,0)),"",INDEX('Compliance Database'!$F$2:$F$265,MATCH(49,Engine!$C$2:$C$265,0)))</f>
        <v>Other</v>
      </c>
      <c r="G62" t="str">
        <f>IF(ISNA(MATCH(49,Engine!$C$2:$C$265,0)),"",INDEX('Compliance Database'!$G$2:$G$265,MATCH(49,Engine!$C$2:$C$265,0)))</f>
        <v>High</v>
      </c>
      <c r="H62" t="str">
        <f>IF(ISNA(MATCH(49,Engine!$C$2:$C$265,0)),"",INDEX('Compliance Database'!$H$2:$H$265,MATCH(49,Engine!$C$2:$C$265,0)))</f>
        <v>High (explicit)</v>
      </c>
      <c r="I62" s="6">
        <f>IF(ISNA(MATCH(49,Engine!$C$2:$C$265,0)),"",INDEX('Compliance Database'!$I$2:$I$265,MATCH(49,Engine!$C$2:$C$265,0)))</f>
        <v>0</v>
      </c>
      <c r="J62" s="6" t="str">
        <f>IF(ISNA(MATCH(49,Engine!$C$2:$C$265,0)),"",INDEX('Compliance Database'!$J$2:$J$265,MATCH(49,Engine!$C$2:$C$265,0)))</f>
        <v>Financial Data</v>
      </c>
      <c r="K62">
        <f>IF(ISNA(MATCH(49,Engine!$C$2:$C$265,0)),"",INDEX('Compliance Database'!$K$2:$K$265,MATCH(49,Engine!$C$2:$C$265,0)))</f>
        <v>0</v>
      </c>
      <c r="L62" s="6" t="str">
        <f>IF(ISNA(MATCH(49,Engine!$C$2:$C$265,0)),"",INDEX('Compliance Database'!$L$2:$L$265,MATCH(49,Engine!$C$2:$C$265,0)))</f>
        <v>Centre's funds consist of parliamentary appropriations, government grants, and legally acquired money.</v>
      </c>
      <c r="M62" s="6" t="str">
        <f>IF(ISNA(MATCH(49,Engine!$C$2:$C$265,0)),"",INDEX('Compliance Database'!$M$2:$M$265,MATCH(49,Engine!$C$2:$C$265,0)))</f>
        <v>Centre's funds consist of money appropriated annually by Parliament, government grants, and other money legally acquired with Minister's approval.</v>
      </c>
      <c r="N62" s="6" t="str">
        <f>IF(ISNA(MATCH(49,Engine!$C$2:$C$265,0)),"",INDEX('Compliance Database'!$N$2:$N$265,MATCH(49,Engine!$C$2:$C$265,0)))</f>
        <v>[Must] money appropriated annually by Parliament for the purposes of the Centre
[Must] any government grants made to it
[Must] any other money legally acquired by it, provided that the Centre may accept donations only with the prior written approval of the Minister</v>
      </c>
      <c r="O62" s="6" t="str">
        <f>IF(ISNA(MATCH(49,Engine!$C$2:$C$265,0)),"",INDEX('Compliance Database'!$O$2:$O$265,MATCH(49,Engine!$C$2:$C$265,0)))</f>
        <v>14. (1) The funds of the Centre consist of- (a) money appropriated annually by Parliament for the purposes of the Centre; (b) any government grants made to it; and (c) any other money legally acquired by it, provided that the Centre may accept donations only with the prior written approval of the Minister.</v>
      </c>
    </row>
    <row r="63" spans="1:15" ht="28.8" x14ac:dyDescent="0.3">
      <c r="A63" t="str">
        <f>IF(ISNA(MATCH(50,Engine!$C$2:$C$265,0)),"",INDEX('Compliance Database'!$A$2:$A$265,MATCH(50,Engine!$C$2:$C$265,0)))</f>
        <v>South Africa</v>
      </c>
      <c r="B63" t="str">
        <f>IF(ISNA(MATCH(50,Engine!$C$2:$C$265,0)),"",INDEX('Compliance Database'!$B$2:$B$265,MATCH(50,Engine!$C$2:$C$265,0)))</f>
        <v>FICA (Financial Intelligence Centre Act, 38 of 2001</v>
      </c>
      <c r="C63" t="str">
        <f>IF(ISNA(MATCH(50,Engine!$C$2:$C$265,0)),"",INDEX('Compliance Database'!$C$2:$C$265,MATCH(50,Engine!$C$2:$C$265,0)))</f>
        <v>15</v>
      </c>
      <c r="D63" s="6" t="str">
        <f>IF(ISNA(MATCH(50,Engine!$C$2:$C$265,0)),"",INDEX('Compliance Database'!$D$2:$D$265,MATCH(50,Engine!$C$2:$C$265,0)))</f>
        <v>The Auditor-General  must audit and report on the  accounts and financial records</v>
      </c>
      <c r="E63" t="str">
        <f>IF(ISNA(MATCH(50,Engine!$C$2:$C$265,0)),"",INDEX('Compliance Database'!$E$2:$E$265,MATCH(50,Engine!$C$2:$C$265,0)))</f>
        <v>5</v>
      </c>
      <c r="F63" t="str">
        <f>IF(ISNA(MATCH(50,Engine!$C$2:$C$265,0)),"",INDEX('Compliance Database'!$F$2:$F$265,MATCH(50,Engine!$C$2:$C$265,0)))</f>
        <v>Other</v>
      </c>
      <c r="G63" t="str">
        <f>IF(ISNA(MATCH(50,Engine!$C$2:$C$265,0)),"",INDEX('Compliance Database'!$G$2:$G$265,MATCH(50,Engine!$C$2:$C$265,0)))</f>
        <v>High</v>
      </c>
      <c r="H63" t="str">
        <f>IF(ISNA(MATCH(50,Engine!$C$2:$C$265,0)),"",INDEX('Compliance Database'!$H$2:$H$265,MATCH(50,Engine!$C$2:$C$265,0)))</f>
        <v>High (explicit)</v>
      </c>
      <c r="I63" s="6">
        <f>IF(ISNA(MATCH(50,Engine!$C$2:$C$265,0)),"",INDEX('Compliance Database'!$I$2:$I$265,MATCH(50,Engine!$C$2:$C$265,0)))</f>
        <v>0</v>
      </c>
      <c r="J63" s="6" t="str">
        <f>IF(ISNA(MATCH(50,Engine!$C$2:$C$265,0)),"",INDEX('Compliance Database'!$J$2:$J$265,MATCH(50,Engine!$C$2:$C$265,0)))</f>
        <v>Financial Data</v>
      </c>
      <c r="K63">
        <f>IF(ISNA(MATCH(50,Engine!$C$2:$C$265,0)),"",INDEX('Compliance Database'!$K$2:$K$265,MATCH(50,Engine!$C$2:$C$265,0)))</f>
        <v>0</v>
      </c>
      <c r="L63" s="6" t="str">
        <f>IF(ISNA(MATCH(50,Engine!$C$2:$C$265,0)),"",INDEX('Compliance Database'!$L$2:$L$265,MATCH(50,Engine!$C$2:$C$265,0)))</f>
        <v>Auditor-General must audit and report on Centre's accounts and financial records.</v>
      </c>
      <c r="M63" s="6" t="str">
        <f>IF(ISNA(MATCH(50,Engine!$C$2:$C$265,0)),"",INDEX('Compliance Database'!$M$2:$M$265,MATCH(50,Engine!$C$2:$C$265,0)))</f>
        <v>Auditor-General must audit and report on Centre's accounts and financial records.</v>
      </c>
      <c r="N63" s="6" t="str">
        <f>IF(ISNA(MATCH(50,Engine!$C$2:$C$265,0)),"",INDEX('Compliance Database'!$N$2:$N$265,MATCH(50,Engine!$C$2:$C$265,0)))</f>
        <v>[Must] The Auditor-General must audit and report on the accounts and financial records of the Centre</v>
      </c>
      <c r="O63" s="6" t="str">
        <f>IF(ISNA(MATCH(50,Engine!$C$2:$C$265,0)),"",INDEX('Compliance Database'!$O$2:$O$265,MATCH(50,Engine!$C$2:$C$265,0)))</f>
        <v>15. The Auditor-General must audit and report on the accounts and financial records of the Centre.</v>
      </c>
    </row>
    <row r="64" spans="1:15" ht="100.8" x14ac:dyDescent="0.3">
      <c r="A64" t="str">
        <f>IF(ISNA(MATCH(51,Engine!$C$2:$C$265,0)),"",INDEX('Compliance Database'!$A$2:$A$265,MATCH(51,Engine!$C$2:$C$265,0)))</f>
        <v>South Africa</v>
      </c>
      <c r="B64" t="str">
        <f>IF(ISNA(MATCH(51,Engine!$C$2:$C$265,0)),"",INDEX('Compliance Database'!$B$2:$B$265,MATCH(51,Engine!$C$2:$C$265,0)))</f>
        <v>FICA (Financial Intelligence Centre Act, 38 of 2001</v>
      </c>
      <c r="C64" t="str">
        <f>IF(ISNA(MATCH(51,Engine!$C$2:$C$265,0)),"",INDEX('Compliance Database'!$C$2:$C$265,MATCH(51,Engine!$C$2:$C$265,0)))</f>
        <v>16</v>
      </c>
      <c r="D64" s="6" t="str">
        <f>IF(ISNA(MATCH(51,Engine!$C$2:$C$265,0)),"",INDEX('Compliance Database'!$D$2:$D$265,MATCH(51,Engine!$C$2:$C$265,0)))</f>
        <v>(1) The Director may-</v>
      </c>
      <c r="E64" t="str">
        <f>IF(ISNA(MATCH(51,Engine!$C$2:$C$265,0)),"",INDEX('Compliance Database'!$E$2:$E$265,MATCH(51,Engine!$C$2:$C$265,0)))</f>
        <v>5</v>
      </c>
      <c r="F64" t="str">
        <f>IF(ISNA(MATCH(51,Engine!$C$2:$C$265,0)),"",INDEX('Compliance Database'!$F$2:$F$265,MATCH(51,Engine!$C$2:$C$265,0)))</f>
        <v>Other</v>
      </c>
      <c r="G64" t="str">
        <f>IF(ISNA(MATCH(51,Engine!$C$2:$C$265,0)),"",INDEX('Compliance Database'!$G$2:$G$265,MATCH(51,Engine!$C$2:$C$265,0)))</f>
        <v>High</v>
      </c>
      <c r="H64" t="str">
        <f>IF(ISNA(MATCH(51,Engine!$C$2:$C$265,0)),"",INDEX('Compliance Database'!$H$2:$H$265,MATCH(51,Engine!$C$2:$C$265,0)))</f>
        <v>High (explicit)</v>
      </c>
      <c r="I64" s="6">
        <f>IF(ISNA(MATCH(51,Engine!$C$2:$C$265,0)),"",INDEX('Compliance Database'!$I$2:$I$265,MATCH(51,Engine!$C$2:$C$265,0)))</f>
        <v>0</v>
      </c>
      <c r="J64" s="6" t="str">
        <f>IF(ISNA(MATCH(51,Engine!$C$2:$C$265,0)),"",INDEX('Compliance Database'!$J$2:$J$265,MATCH(51,Engine!$C$2:$C$265,0)))</f>
        <v>Financial Data</v>
      </c>
      <c r="K64">
        <f>IF(ISNA(MATCH(51,Engine!$C$2:$C$265,0)),"",INDEX('Compliance Database'!$K$2:$K$265,MATCH(51,Engine!$C$2:$C$265,0)))</f>
        <v>0</v>
      </c>
      <c r="L64" s="6" t="str">
        <f>IF(ISNA(MATCH(51,Engine!$C$2:$C$265,0)),"",INDEX('Compliance Database'!$L$2:$L$265,MATCH(51,Engine!$C$2:$C$265,0)))</f>
        <v>Director may delegate powers to staff or instruct staff to perform functions.</v>
      </c>
      <c r="M64" s="6" t="str">
        <f>IF(ISNA(MATCH(51,Engine!$C$2:$C$265,0)),"",INDEX('Compliance Database'!$M$2:$M$265,MATCH(51,Engine!$C$2:$C$265,0)))</f>
        <v>Director may delegate powers to staff or instruct staff to perform functions, with conditions.</v>
      </c>
      <c r="N64" s="6" t="str">
        <f>IF(ISNA(MATCH(51,Engine!$C$2:$C$265,0)),"",INDEX('Compliance Database'!$N$2:$N$265,MATCH(51,Engine!$C$2:$C$265,0)))</f>
        <v>[Must] delegate, in writing, any of the powers entrusted to the Centre in terms of this Act to a member of the staff of the Centre
[Must] instruct a member of the staff to perform any of the functions assigned to the Centre in terms of this Act</v>
      </c>
      <c r="O64" s="6" t="str">
        <f>IF(ISNA(MATCH(51,Engine!$C$2:$C$265,0)),"",INDEX('Compliance Database'!$O$2:$O$265,MATCH(51,Engine!$C$2:$C$265,0)))</f>
        <v>16. (1) The Director may- (a) delegate, in writing, any of the powers entrusted to the Centre in terms of this Act to a member of the staff of the Centre; or (b) instruct a member of the staff to perform any of the functions assigned to the Centre in terms of this Act.</v>
      </c>
    </row>
    <row r="65" spans="1:15" ht="230.4" x14ac:dyDescent="0.3">
      <c r="A65" t="str">
        <f>IF(ISNA(MATCH(52,Engine!$C$2:$C$265,0)),"",INDEX('Compliance Database'!$A$2:$A$265,MATCH(52,Engine!$C$2:$C$265,0)))</f>
        <v>South Africa</v>
      </c>
      <c r="B65" t="str">
        <f>IF(ISNA(MATCH(52,Engine!$C$2:$C$265,0)),"",INDEX('Compliance Database'!$B$2:$B$265,MATCH(52,Engine!$C$2:$C$265,0)))</f>
        <v>FICA (Financial Intelligence Centre Act, 38 of 2001</v>
      </c>
      <c r="C65" t="str">
        <f>IF(ISNA(MATCH(52,Engine!$C$2:$C$265,0)),"",INDEX('Compliance Database'!$C$2:$C$265,MATCH(52,Engine!$C$2:$C$265,0)))</f>
        <v>18</v>
      </c>
      <c r="D65" s="6" t="str">
        <f>IF(ISNA(MATCH(52,Engine!$C$2:$C$265,0)),"",INDEX('Compliance Database'!$D$2:$D$265,MATCH(52,Engine!$C$2:$C$265,0)))</f>
        <v>(1) The  Council  must-</v>
      </c>
      <c r="E65" t="str">
        <f>IF(ISNA(MATCH(52,Engine!$C$2:$C$265,0)),"",INDEX('Compliance Database'!$E$2:$E$265,MATCH(52,Engine!$C$2:$C$265,0)))</f>
        <v>5–6</v>
      </c>
      <c r="F65" t="str">
        <f>IF(ISNA(MATCH(52,Engine!$C$2:$C$265,0)),"",INDEX('Compliance Database'!$F$2:$F$265,MATCH(52,Engine!$C$2:$C$265,0)))</f>
        <v>Other</v>
      </c>
      <c r="G65" t="str">
        <f>IF(ISNA(MATCH(52,Engine!$C$2:$C$265,0)),"",INDEX('Compliance Database'!$G$2:$G$265,MATCH(52,Engine!$C$2:$C$265,0)))</f>
        <v>High</v>
      </c>
      <c r="H65" t="str">
        <f>IF(ISNA(MATCH(52,Engine!$C$2:$C$265,0)),"",INDEX('Compliance Database'!$H$2:$H$265,MATCH(52,Engine!$C$2:$C$265,0)))</f>
        <v>High (explicit)</v>
      </c>
      <c r="I65" s="6" t="str">
        <f>IF(ISNA(MATCH(52,Engine!$C$2:$C$265,0)),"",INDEX('Compliance Database'!$I$2:$I$265,MATCH(52,Engine!$C$2:$C$265,0)))</f>
        <v>Data Sharing</v>
      </c>
      <c r="J65" s="6" t="str">
        <f>IF(ISNA(MATCH(52,Engine!$C$2:$C$265,0)),"",INDEX('Compliance Database'!$J$2:$J$265,MATCH(52,Engine!$C$2:$C$265,0)))</f>
        <v>Financial Data</v>
      </c>
      <c r="K65">
        <f>IF(ISNA(MATCH(52,Engine!$C$2:$C$265,0)),"",INDEX('Compliance Database'!$K$2:$K$265,MATCH(52,Engine!$C$2:$C$265,0)))</f>
        <v>0</v>
      </c>
      <c r="L65" s="6" t="str">
        <f>IF(ISNA(MATCH(52,Engine!$C$2:$C$265,0)),"",INDEX('Compliance Database'!$L$2:$L$265,MATCH(52,Engine!$C$2:$C$265,0)))</f>
        <v>Council must advise Minister on policies, best practices, and Centre's performance.</v>
      </c>
      <c r="M65" s="6" t="str">
        <f>IF(ISNA(MATCH(52,Engine!$C$2:$C$265,0)),"",INDEX('Compliance Database'!$M$2:$M$265,MATCH(52,Engine!$C$2:$C$265,0)))</f>
        <v>Council must advise Minister on policies and best practices to identify proceeds of unlawful activities, exercise powers of Minister, and Centre's performance.</v>
      </c>
      <c r="N65" s="6" t="str">
        <f>IF(ISNA(MATCH(52,Engine!$C$2:$C$265,0)),"",INDEX('Compliance Database'!$N$2:$N$265,MATCH(52,Engine!$C$2:$C$265,0)))</f>
        <v>[Must] on the Minister's request or at its own initiative, advise the Minister on policies and best practices to identify the proceeds of unlawful activities
[Must] advise the Minister on the exercise by the Minister of the powers entrusted to the Minister in terms of this Act
[Must] advise the Centre concerning the performance by the Centre of its functions
[Must] act as a forum in which the Centre, associations representing categories of accountable institutions, organs of state and supervisory bodies can consult one another</v>
      </c>
      <c r="O65" s="6" t="str">
        <f>IF(ISNA(MATCH(52,Engine!$C$2:$C$265,0)),"",INDEX('Compliance Database'!$O$2:$O$265,MATCH(52,Engine!$C$2:$C$265,0)))</f>
        <v>18. (1) The Council must- (a) on the Minister's request or at its own initiative, advise the Minister on- (i) policies and best practices to identify the proceeds of unlawful activities; (ii) the exercise by the Minister of the powers entrusted to the Minister in terms of this Act; (b) advise the Centre concerning the performance by the Centre of its functions; and (c) act as a forum in which the Centre, associations representing categories of accountable institutions, organs of state and supervisory bodies can consult one another.</v>
      </c>
    </row>
    <row r="66" spans="1:15" ht="259.2" x14ac:dyDescent="0.3">
      <c r="A66" t="str">
        <f>IF(ISNA(MATCH(53,Engine!$C$2:$C$265,0)),"",INDEX('Compliance Database'!$A$2:$A$265,MATCH(53,Engine!$C$2:$C$265,0)))</f>
        <v>South Africa</v>
      </c>
      <c r="B66" t="str">
        <f>IF(ISNA(MATCH(53,Engine!$C$2:$C$265,0)),"",INDEX('Compliance Database'!$B$2:$B$265,MATCH(53,Engine!$C$2:$C$265,0)))</f>
        <v>FICA (Financial Intelligence Centre Act, 38 of 2001</v>
      </c>
      <c r="C66" t="str">
        <f>IF(ISNA(MATCH(53,Engine!$C$2:$C$265,0)),"",INDEX('Compliance Database'!$C$2:$C$265,MATCH(53,Engine!$C$2:$C$265,0)))</f>
        <v>19</v>
      </c>
      <c r="D66" s="6" t="str">
        <f>IF(ISNA(MATCH(53,Engine!$C$2:$C$265,0)),"",INDEX('Compliance Database'!$D$2:$D$265,MATCH(53,Engine!$C$2:$C$265,0)))</f>
        <v>(1) The Council consists of the Director  and each of the  following, namely-</v>
      </c>
      <c r="E66" t="str">
        <f>IF(ISNA(MATCH(53,Engine!$C$2:$C$265,0)),"",INDEX('Compliance Database'!$E$2:$E$265,MATCH(53,Engine!$C$2:$C$265,0)))</f>
        <v>6</v>
      </c>
      <c r="F66" t="str">
        <f>IF(ISNA(MATCH(53,Engine!$C$2:$C$265,0)),"",INDEX('Compliance Database'!$F$2:$F$265,MATCH(53,Engine!$C$2:$C$265,0)))</f>
        <v>Other</v>
      </c>
      <c r="G66" t="str">
        <f>IF(ISNA(MATCH(53,Engine!$C$2:$C$265,0)),"",INDEX('Compliance Database'!$G$2:$G$265,MATCH(53,Engine!$C$2:$C$265,0)))</f>
        <v>High</v>
      </c>
      <c r="H66" t="str">
        <f>IF(ISNA(MATCH(53,Engine!$C$2:$C$265,0)),"",INDEX('Compliance Database'!$H$2:$H$265,MATCH(53,Engine!$C$2:$C$265,0)))</f>
        <v>High (explicit)</v>
      </c>
      <c r="I66" s="6">
        <f>IF(ISNA(MATCH(53,Engine!$C$2:$C$265,0)),"",INDEX('Compliance Database'!$I$2:$I$265,MATCH(53,Engine!$C$2:$C$265,0)))</f>
        <v>0</v>
      </c>
      <c r="J66" s="6">
        <f>IF(ISNA(MATCH(53,Engine!$C$2:$C$265,0)),"",INDEX('Compliance Database'!$J$2:$J$265,MATCH(53,Engine!$C$2:$C$265,0)))</f>
        <v>0</v>
      </c>
      <c r="K66">
        <f>IF(ISNA(MATCH(53,Engine!$C$2:$C$265,0)),"",INDEX('Compliance Database'!$K$2:$K$265,MATCH(53,Engine!$C$2:$C$265,0)))</f>
        <v>0</v>
      </c>
      <c r="L66" s="6" t="str">
        <f>IF(ISNA(MATCH(53,Engine!$C$2:$C$265,0)),"",INDEX('Compliance Database'!$L$2:$L$265,MATCH(53,Engine!$C$2:$C$265,0)))</f>
        <v>Council consists of Director and specified representatives from government bodies and institutions.</v>
      </c>
      <c r="M66" s="6" t="str">
        <f>IF(ISNA(MATCH(53,Engine!$C$2:$C$265,0)),"",INDEX('Compliance Database'!$M$2:$M$265,MATCH(53,Engine!$C$2:$C$265,0)))</f>
        <v>Council consists of Director and representatives from National Treasury, Police Service, Justice Department, Public Prosecutions, Intelligence Agency, Secret Service, Reserve Bank, Revenue Service, accountable institutions, and supervisory bodies.</v>
      </c>
      <c r="N66" s="6" t="str">
        <f>IF(ISNA(MATCH(53,Engine!$C$2:$C$265,0)),"",INDEX('Compliance Database'!$N$2:$N$265,MATCH(53,Engine!$C$2:$C$265,0)))</f>
        <v>[Must] The Council consists of the Director and each of the following: the Director-General of the National Treasury; the Commissioner of the South African Police Service; the Director-General of the Department of Justice and Constitutional Development; the National Director of Public Prosecutions; the Director-General of the National Intelligence Agency; the Director-General of the South African Secret Service; the Governor of the South African Reserve Bank; the Commissioner for the South African Revenue Service; persons representing categories of accountable institutions; persons representing supervisory bodies; and any other persons or bodies requested by the Minister</v>
      </c>
      <c r="O66" s="6" t="str">
        <f>IF(ISNA(MATCH(53,Engine!$C$2:$C$265,0)),"",INDEX('Compliance Database'!$O$2:$O$265,MATCH(53,Engine!$C$2:$C$265,0)))</f>
        <v>19. (1) The Council consists of the Director and each of the following, namely- the Director-General of the National Treasury; the Commissioner of the South African Police Service; the Director-General of the Department of Justice and Constitutional Development; the National Director of Public Prosecutions; the Director-General of the National Intelligence Agency; the Director-General of the South African Secret Service; the Governor of the South African Reserve Bank; the Commissioner for the South African Revenue Service; persons representing categories of accountable institutions requested by the Minister to nominate representatives; persons representing supervisory bodies requested by the Minister to nominate representatives; and any other persons or bodies requested by the Minister to nominate representatives.</v>
      </c>
    </row>
    <row r="67" spans="1:15" ht="57.6" x14ac:dyDescent="0.3">
      <c r="A67" t="str">
        <f>IF(ISNA(MATCH(54,Engine!$C$2:$C$265,0)),"",INDEX('Compliance Database'!$A$2:$A$265,MATCH(54,Engine!$C$2:$C$265,0)))</f>
        <v>South Africa</v>
      </c>
      <c r="B67" t="str">
        <f>IF(ISNA(MATCH(54,Engine!$C$2:$C$265,0)),"",INDEX('Compliance Database'!$B$2:$B$265,MATCH(54,Engine!$C$2:$C$265,0)))</f>
        <v>FICA (Financial Intelligence Centre Act, 38 of 2001</v>
      </c>
      <c r="C67" t="str">
        <f>IF(ISNA(MATCH(54,Engine!$C$2:$C$265,0)),"",INDEX('Compliance Database'!$C$2:$C$265,MATCH(54,Engine!$C$2:$C$265,0)))</f>
        <v>19</v>
      </c>
      <c r="D67" s="6" t="str">
        <f>IF(ISNA(MATCH(54,Engine!$C$2:$C$265,0)),"",INDEX('Compliance Database'!$D$2:$D$265,MATCH(54,Engine!$C$2:$C$265,0)))</f>
        <v>An  attorney  as  defined in the Attorneys Act, 1979 (Act 53 of 1979).</v>
      </c>
      <c r="E67" t="str">
        <f>IF(ISNA(MATCH(54,Engine!$C$2:$C$265,0)),"",INDEX('Compliance Database'!$E$2:$E$265,MATCH(54,Engine!$C$2:$C$265,0)))</f>
        <v>23–24</v>
      </c>
      <c r="F67" t="str">
        <f>IF(ISNA(MATCH(54,Engine!$C$2:$C$265,0)),"",INDEX('Compliance Database'!$F$2:$F$265,MATCH(54,Engine!$C$2:$C$265,0)))</f>
        <v>Definitions</v>
      </c>
      <c r="G67" t="str">
        <f>IF(ISNA(MATCH(54,Engine!$C$2:$C$265,0)),"",INDEX('Compliance Database'!$G$2:$G$265,MATCH(54,Engine!$C$2:$C$265,0)))</f>
        <v>High</v>
      </c>
      <c r="H67" t="str">
        <f>IF(ISNA(MATCH(54,Engine!$C$2:$C$265,0)),"",INDEX('Compliance Database'!$H$2:$H$265,MATCH(54,Engine!$C$2:$C$265,0)))</f>
        <v>High (explicit)</v>
      </c>
      <c r="I67" s="6">
        <f>IF(ISNA(MATCH(54,Engine!$C$2:$C$265,0)),"",INDEX('Compliance Database'!$I$2:$I$265,MATCH(54,Engine!$C$2:$C$265,0)))</f>
        <v>0</v>
      </c>
      <c r="J67" s="6">
        <f>IF(ISNA(MATCH(54,Engine!$C$2:$C$265,0)),"",INDEX('Compliance Database'!$J$2:$J$265,MATCH(54,Engine!$C$2:$C$265,0)))</f>
        <v>0</v>
      </c>
      <c r="K67">
        <f>IF(ISNA(MATCH(54,Engine!$C$2:$C$265,0)),"",INDEX('Compliance Database'!$K$2:$K$265,MATCH(54,Engine!$C$2:$C$265,0)))</f>
        <v>0</v>
      </c>
      <c r="L67" s="6" t="str">
        <f>IF(ISNA(MATCH(54,Engine!$C$2:$C$265,0)),"",INDEX('Compliance Database'!$L$2:$L$265,MATCH(54,Engine!$C$2:$C$265,0)))</f>
        <v>Defines accountable institutions under FICA, including banks, insurance companies, and other financial entities.</v>
      </c>
      <c r="M67" s="6">
        <f>IF(ISNA(MATCH(54,Engine!$C$2:$C$265,0)),"",INDEX('Compliance Database'!$M$2:$M$265,MATCH(54,Engine!$C$2:$C$265,0)))</f>
        <v>0</v>
      </c>
      <c r="N67" s="6" t="str">
        <f>IF(ISNA(MATCH(54,Engine!$C$2:$C$265,0)),"",INDEX('Compliance Database'!$N$2:$N$265,MATCH(54,Engine!$C$2:$C$265,0)))</f>
        <v>[Must] Accountable institutions include banks, insurance companies, and other financial entities</v>
      </c>
      <c r="O67" s="6" t="str">
        <f>IF(ISNA(MATCH(54,Engine!$C$2:$C$265,0)),"",INDEX('Compliance Database'!$O$2:$O$265,MATCH(54,Engine!$C$2:$C$265,0)))</f>
        <v>19. An attorney as defined in the Attorneys Act, 1979 (Act 53 of 1979). A person who carries on the business of a bank as defined in the Banks Act, 1990 (Act 94 of 1990).</v>
      </c>
    </row>
    <row r="68" spans="1:15" ht="43.2" x14ac:dyDescent="0.3">
      <c r="A68" t="str">
        <f>IF(ISNA(MATCH(55,Engine!$C$2:$C$265,0)),"",INDEX('Compliance Database'!$A$2:$A$265,MATCH(55,Engine!$C$2:$C$265,0)))</f>
        <v>South Africa</v>
      </c>
      <c r="B68" t="str">
        <f>IF(ISNA(MATCH(55,Engine!$C$2:$C$265,0)),"",INDEX('Compliance Database'!$B$2:$B$265,MATCH(55,Engine!$C$2:$C$265,0)))</f>
        <v>FICA (Financial Intelligence Centre Act, 38 of 2001</v>
      </c>
      <c r="C68" t="str">
        <f>IF(ISNA(MATCH(55,Engine!$C$2:$C$265,0)),"",INDEX('Compliance Database'!$C$2:$C$265,MATCH(55,Engine!$C$2:$C$265,0)))</f>
        <v>20</v>
      </c>
      <c r="D68" s="6" t="str">
        <f>IF(ISNA(MATCH(55,Engine!$C$2:$C$265,0)),"",INDEX('Compliance Database'!$D$2:$D$265,MATCH(55,Engine!$C$2:$C$265,0)))</f>
        <v>(1) The chairperson of the  Council may call  a  meeting of the Council, but  must</v>
      </c>
      <c r="E68" t="str">
        <f>IF(ISNA(MATCH(55,Engine!$C$2:$C$265,0)),"",INDEX('Compliance Database'!$E$2:$E$265,MATCH(55,Engine!$C$2:$C$265,0)))</f>
        <v>6–7</v>
      </c>
      <c r="F68" t="str">
        <f>IF(ISNA(MATCH(55,Engine!$C$2:$C$265,0)),"",INDEX('Compliance Database'!$F$2:$F$265,MATCH(55,Engine!$C$2:$C$265,0)))</f>
        <v>Other</v>
      </c>
      <c r="G68" t="str">
        <f>IF(ISNA(MATCH(55,Engine!$C$2:$C$265,0)),"",INDEX('Compliance Database'!$G$2:$G$265,MATCH(55,Engine!$C$2:$C$265,0)))</f>
        <v>Low</v>
      </c>
      <c r="H68" t="str">
        <f>IF(ISNA(MATCH(55,Engine!$C$2:$C$265,0)),"",INDEX('Compliance Database'!$H$2:$H$265,MATCH(55,Engine!$C$2:$C$265,0)))</f>
        <v>High (explicit)</v>
      </c>
      <c r="I68" s="6">
        <f>IF(ISNA(MATCH(55,Engine!$C$2:$C$265,0)),"",INDEX('Compliance Database'!$I$2:$I$265,MATCH(55,Engine!$C$2:$C$265,0)))</f>
        <v>0</v>
      </c>
      <c r="J68" s="6">
        <f>IF(ISNA(MATCH(55,Engine!$C$2:$C$265,0)),"",INDEX('Compliance Database'!$J$2:$J$265,MATCH(55,Engine!$C$2:$C$265,0)))</f>
        <v>0</v>
      </c>
      <c r="K68" t="str">
        <f>IF(ISNA(MATCH(55,Engine!$C$2:$C$265,0)),"",INDEX('Compliance Database'!$K$2:$K$265,MATCH(55,Engine!$C$2:$C$265,0)))</f>
        <v>Minister</v>
      </c>
      <c r="L68" s="6" t="str">
        <f>IF(ISNA(MATCH(55,Engine!$C$2:$C$265,0)),"",INDEX('Compliance Database'!$L$2:$L$265,MATCH(55,Engine!$C$2:$C$265,0)))</f>
        <v>Chairperson may call Council meetings but must call a meeting if Minister requests.</v>
      </c>
      <c r="M68" s="6">
        <f>IF(ISNA(MATCH(55,Engine!$C$2:$C$265,0)),"",INDEX('Compliance Database'!$M$2:$M$265,MATCH(55,Engine!$C$2:$C$265,0)))</f>
        <v>0</v>
      </c>
      <c r="N68" s="6" t="str">
        <f>IF(ISNA(MATCH(55,Engine!$C$2:$C$265,0)),"",INDEX('Compliance Database'!$N$2:$N$265,MATCH(55,Engine!$C$2:$C$265,0)))</f>
        <v>[Must] The chairperson of the Council may call a meeting of the Council, but must call a meeting if the Minister so requests.</v>
      </c>
      <c r="O68" s="6" t="str">
        <f>IF(ISNA(MATCH(55,Engine!$C$2:$C$265,0)),"",INDEX('Compliance Database'!$O$2:$O$265,MATCH(55,Engine!$C$2:$C$265,0)))</f>
        <v>20. (1) The chairperson of the Council may call a meeting of the Council, but must call a meeting if the Minister so requests.</v>
      </c>
    </row>
    <row r="69" spans="1:15" ht="409.6" x14ac:dyDescent="0.3">
      <c r="A69" t="str">
        <f>IF(ISNA(MATCH(56,Engine!$C$2:$C$265,0)),"",INDEX('Compliance Database'!$A$2:$A$265,MATCH(56,Engine!$C$2:$C$265,0)))</f>
        <v>South Africa</v>
      </c>
      <c r="B69" t="str">
        <f>IF(ISNA(MATCH(56,Engine!$C$2:$C$265,0)),"",INDEX('Compliance Database'!$B$2:$B$265,MATCH(56,Engine!$C$2:$C$265,0)))</f>
        <v>FICA (Financial Intelligence Centre Act, 38 of 2001</v>
      </c>
      <c r="C69" t="str">
        <f>IF(ISNA(MATCH(56,Engine!$C$2:$C$265,0)),"",INDEX('Compliance Database'!$C$2:$C$265,MATCH(56,Engine!$C$2:$C$265,0)))</f>
        <v>22</v>
      </c>
      <c r="D69" s="6" t="str">
        <f>IF(ISNA(MATCH(56,Engine!$C$2:$C$265,0)),"",INDEX('Compliance Database'!$D$2:$D$265,MATCH(56,Engine!$C$2:$C$265,0)))</f>
        <v>(1) Whenever an accountable institution establishes a business relationship or</v>
      </c>
      <c r="E69" t="str">
        <f>IF(ISNA(MATCH(56,Engine!$C$2:$C$265,0)),"",INDEX('Compliance Database'!$E$2:$E$265,MATCH(56,Engine!$C$2:$C$265,0)))</f>
        <v>7–8</v>
      </c>
      <c r="F69" t="str">
        <f>IF(ISNA(MATCH(56,Engine!$C$2:$C$265,0)),"",INDEX('Compliance Database'!$F$2:$F$265,MATCH(56,Engine!$C$2:$C$265,0)))</f>
        <v>KYC</v>
      </c>
      <c r="G69" t="str">
        <f>IF(ISNA(MATCH(56,Engine!$C$2:$C$265,0)),"",INDEX('Compliance Database'!$G$2:$G$265,MATCH(56,Engine!$C$2:$C$265,0)))</f>
        <v>High</v>
      </c>
      <c r="H69" t="str">
        <f>IF(ISNA(MATCH(56,Engine!$C$2:$C$265,0)),"",INDEX('Compliance Database'!$H$2:$H$265,MATCH(56,Engine!$C$2:$C$265,0)))</f>
        <v>High (explicit)</v>
      </c>
      <c r="I69" s="6" t="str">
        <f>IF(ISNA(MATCH(56,Engine!$C$2:$C$265,0)),"",INDEX('Compliance Database'!$I$2:$I$265,MATCH(56,Engine!$C$2:$C$265,0)))</f>
        <v>Record Keeping</v>
      </c>
      <c r="J69" s="6" t="str">
        <f>IF(ISNA(MATCH(56,Engine!$C$2:$C$265,0)),"",INDEX('Compliance Database'!$J$2:$J$265,MATCH(56,Engine!$C$2:$C$265,0)))</f>
        <v>Personal Information</v>
      </c>
      <c r="K69" t="str">
        <f>IF(ISNA(MATCH(56,Engine!$C$2:$C$265,0)),"",INDEX('Compliance Database'!$K$2:$K$265,MATCH(56,Engine!$C$2:$C$265,0)))</f>
        <v>Accountable institutions</v>
      </c>
      <c r="L69" s="6" t="str">
        <f>IF(ISNA(MATCH(56,Engine!$C$2:$C$265,0)),"",INDEX('Compliance Database'!$L$2:$L$265,MATCH(56,Engine!$C$2:$C$265,0)))</f>
        <v>Accountable institutions must keep records of client identity, business relationships, transactions, and related details.</v>
      </c>
      <c r="M69" s="6" t="str">
        <f>IF(ISNA(MATCH(56,Engine!$C$2:$C$265,0)),"",INDEX('Compliance Database'!$M$2:$M$265,MATCH(56,Engine!$C$2:$C$265,0)))</f>
        <v>Mandatory record-keeping of client identity and transaction details for financial institutions.</v>
      </c>
      <c r="N69" s="6" t="str">
        <f>IF(ISNA(MATCH(56,Engine!$C$2:$C$265,0)),"",INDEX('Compliance Database'!$N$2:$N$265,MATCH(56,Engine!$C$2:$C$265,0)))</f>
        <v>[Must] Whenever an accountable institution establishes a business relationship or concludes a transaction with a client, the accountable institution must keep record of the identity of the client.
[Must] If the client is acting on behalf of another person, the accountable institution must keep record of the identity of that person and the client's authority to act on behalf of that person.
[Must] If another person is acting on behalf of the client, the accountable institution must keep record of the identity of that person and that person's authority to act on behalf of the client.
[Must] The accountable institution must keep record of the manner in which the identity of the persons referred to in paragraphs (a), (b) and (c) was established.
[Must] The accountable institution must keep record of the nature of that business relationship or transaction.
[Must] In the case of a transaction, the accountable institution must keep record of the amount involved and the parties to that transaction.
[Must] The accountable institution must keep record of all accounts involved in transactions concluded by the accountable institution in the course of that business relationship.
[Must] The accountable institution must keep record of all accounts involved in that single transaction.
[Must] The accountable institution must keep record of the name of the person who obtained the information referred to in paragraphs (a), (b) and (c) on behalf of the accountable institution.
[Must] The accountable institution must keep record of any document or copy of a document obtained by the accountable institution in order to verify a person's identity in terms of section 21(1) or (2).</v>
      </c>
      <c r="O69" s="6" t="str">
        <f>IF(ISNA(MATCH(56,Engine!$C$2:$C$265,0)),"",INDEX('Compliance Database'!$O$2:$O$265,MATCH(56,Engine!$C$2:$C$265,0)))</f>
        <v>22. (1) Whenever an accountable institution establishes a business relationship or concludes a transaction with a client, whether the transaction is a single transaction or concluded in the course of a business relationship which that accountable institution has with the client, the accountable institution must keep record of- the identity of the client; if the client is acting on behalf of another person- (i) the identity of the person on whose behalf the client is acting; and (ii) the client's authority to act on behalf of that other person; if another person is acting on behalf of the client- (i) the identity of that other person; and (ii) that other person's authority to act on behalf of the client; the manner in which the identity of the persons referred to in paragraphs (a), (b) and (c) was established; the nature of that business relationship or transaction; in the case of a transaction- (i) the amount involved; and (ii) the parties to that transaction; all accounts that are involved in- (i) transactions concluded by that accountable institution in the course of that business relationship; and (ii) that single transaction; the name of the person who obtained the information referred to in paragraphs (a), (b) and (c) on behalf of the accountable institution; and any document or copy of a document obtained by the accountable institution in order to verify a person's identity in terms of section 21(1) or (2).</v>
      </c>
    </row>
    <row r="70" spans="1:15" ht="158.4" x14ac:dyDescent="0.3">
      <c r="A70" t="str">
        <f>IF(ISNA(MATCH(57,Engine!$C$2:$C$265,0)),"",INDEX('Compliance Database'!$A$2:$A$265,MATCH(57,Engine!$C$2:$C$265,0)))</f>
        <v>South Africa</v>
      </c>
      <c r="B70" t="str">
        <f>IF(ISNA(MATCH(57,Engine!$C$2:$C$265,0)),"",INDEX('Compliance Database'!$B$2:$B$265,MATCH(57,Engine!$C$2:$C$265,0)))</f>
        <v>FICA (Financial Intelligence Centre Act, 38 of 2001</v>
      </c>
      <c r="C70" t="str">
        <f>IF(ISNA(MATCH(57,Engine!$C$2:$C$265,0)),"",INDEX('Compliance Database'!$C$2:$C$265,MATCH(57,Engine!$C$2:$C$265,0)))</f>
        <v>23</v>
      </c>
      <c r="D70" s="6" t="str">
        <f>IF(ISNA(MATCH(57,Engine!$C$2:$C$265,0)),"",INDEX('Compliance Database'!$D$2:$D$265,MATCH(57,Engine!$C$2:$C$265,0)))</f>
        <v>An  accountable institution must  keep the records referred to in section 22 which</v>
      </c>
      <c r="E70" t="str">
        <f>IF(ISNA(MATCH(57,Engine!$C$2:$C$265,0)),"",INDEX('Compliance Database'!$E$2:$E$265,MATCH(57,Engine!$C$2:$C$265,0)))</f>
        <v>8</v>
      </c>
      <c r="F70" t="str">
        <f>IF(ISNA(MATCH(57,Engine!$C$2:$C$265,0)),"",INDEX('Compliance Database'!$F$2:$F$265,MATCH(57,Engine!$C$2:$C$265,0)))</f>
        <v>Retention</v>
      </c>
      <c r="G70" t="str">
        <f>IF(ISNA(MATCH(57,Engine!$C$2:$C$265,0)),"",INDEX('Compliance Database'!$G$2:$G$265,MATCH(57,Engine!$C$2:$C$265,0)))</f>
        <v>High</v>
      </c>
      <c r="H70" t="str">
        <f>IF(ISNA(MATCH(57,Engine!$C$2:$C$265,0)),"",INDEX('Compliance Database'!$H$2:$H$265,MATCH(57,Engine!$C$2:$C$265,0)))</f>
        <v>High (explicit)</v>
      </c>
      <c r="I70" s="6" t="str">
        <f>IF(ISNA(MATCH(57,Engine!$C$2:$C$265,0)),"",INDEX('Compliance Database'!$I$2:$I$265,MATCH(57,Engine!$C$2:$C$265,0)))</f>
        <v>Retention</v>
      </c>
      <c r="J70" s="6" t="str">
        <f>IF(ISNA(MATCH(57,Engine!$C$2:$C$265,0)),"",INDEX('Compliance Database'!$J$2:$J$265,MATCH(57,Engine!$C$2:$C$265,0)))</f>
        <v>Personal Information</v>
      </c>
      <c r="K70" t="str">
        <f>IF(ISNA(MATCH(57,Engine!$C$2:$C$265,0)),"",INDEX('Compliance Database'!$K$2:$K$265,MATCH(57,Engine!$C$2:$C$265,0)))</f>
        <v>Accountable institutions</v>
      </c>
      <c r="L70" s="6" t="str">
        <f>IF(ISNA(MATCH(57,Engine!$C$2:$C$265,0)),"",INDEX('Compliance Database'!$L$2:$L$265,MATCH(57,Engine!$C$2:$C$265,0)))</f>
        <v>Records must be kept for at least five years from termination of business relationship or transaction date.</v>
      </c>
      <c r="M70" s="6" t="str">
        <f>IF(ISNA(MATCH(57,Engine!$C$2:$C$265,0)),"",INDEX('Compliance Database'!$M$2:$M$265,MATCH(57,Engine!$C$2:$C$265,0)))</f>
        <v>Records retention period of five years for financial transactions.</v>
      </c>
      <c r="N70" s="6" t="str">
        <f>IF(ISNA(MATCH(57,Engine!$C$2:$C$265,0)),"",INDEX('Compliance Database'!$N$2:$N$265,MATCH(57,Engine!$C$2:$C$265,0)))</f>
        <v>[Must] An accountable institution must keep the records referred to in section 22 which relate to the establishment of a business relationship for at least five years from the date on which the business relationship is terminated.
[Must] An accountable institution must keep the records referred to in section 22 which relate to a transaction which is concluded for at least five years from the date on which that transaction is concluded.</v>
      </c>
      <c r="O70" s="6" t="str">
        <f>IF(ISNA(MATCH(57,Engine!$C$2:$C$265,0)),"",INDEX('Compliance Database'!$O$2:$O$265,MATCH(57,Engine!$C$2:$C$265,0)))</f>
        <v>23. An accountable institution must keep the records referred to in section 22 which relate to- (a) the establishment of a business relationship, for at least five years from the date on which the business relationship is terminated; (b) a transaction which is concluded, for at least five years from the date on which that transaction is concluded.</v>
      </c>
    </row>
    <row r="71" spans="1:15" ht="259.2" x14ac:dyDescent="0.3">
      <c r="A71" t="str">
        <f>IF(ISNA(MATCH(58,Engine!$C$2:$C$265,0)),"",INDEX('Compliance Database'!$A$2:$A$265,MATCH(58,Engine!$C$2:$C$265,0)))</f>
        <v>South Africa</v>
      </c>
      <c r="B71" t="str">
        <f>IF(ISNA(MATCH(58,Engine!$C$2:$C$265,0)),"",INDEX('Compliance Database'!$B$2:$B$265,MATCH(58,Engine!$C$2:$C$265,0)))</f>
        <v>FICA (Financial Intelligence Centre Act, 38 of 2001</v>
      </c>
      <c r="C71" t="str">
        <f>IF(ISNA(MATCH(58,Engine!$C$2:$C$265,0)),"",INDEX('Compliance Database'!$C$2:$C$265,MATCH(58,Engine!$C$2:$C$265,0)))</f>
        <v>24</v>
      </c>
      <c r="D71" s="6" t="str">
        <f>IF(ISNA(MATCH(58,Engine!$C$2:$C$265,0)),"",INDEX('Compliance Database'!$D$2:$D$265,MATCH(58,Engine!$C$2:$C$265,0)))</f>
        <v>(1) The  duties  imposed by section  22 on  an accountable  institution to keep record</v>
      </c>
      <c r="E71" t="str">
        <f>IF(ISNA(MATCH(58,Engine!$C$2:$C$265,0)),"",INDEX('Compliance Database'!$E$2:$E$265,MATCH(58,Engine!$C$2:$C$265,0)))</f>
        <v>8</v>
      </c>
      <c r="F71" t="str">
        <f>IF(ISNA(MATCH(58,Engine!$C$2:$C$265,0)),"",INDEX('Compliance Database'!$F$2:$F$265,MATCH(58,Engine!$C$2:$C$265,0)))</f>
        <v>Record Keeping</v>
      </c>
      <c r="G71" t="str">
        <f>IF(ISNA(MATCH(58,Engine!$C$2:$C$265,0)),"",INDEX('Compliance Database'!$G$2:$G$265,MATCH(58,Engine!$C$2:$C$265,0)))</f>
        <v>High</v>
      </c>
      <c r="H71" t="str">
        <f>IF(ISNA(MATCH(58,Engine!$C$2:$C$265,0)),"",INDEX('Compliance Database'!$H$2:$H$265,MATCH(58,Engine!$C$2:$C$265,0)))</f>
        <v>High (explicit)</v>
      </c>
      <c r="I71" s="6" t="str">
        <f>IF(ISNA(MATCH(58,Engine!$C$2:$C$265,0)),"",INDEX('Compliance Database'!$I$2:$I$265,MATCH(58,Engine!$C$2:$C$265,0)))</f>
        <v>Record Keeping</v>
      </c>
      <c r="J71" s="6" t="str">
        <f>IF(ISNA(MATCH(58,Engine!$C$2:$C$265,0)),"",INDEX('Compliance Database'!$J$2:$J$265,MATCH(58,Engine!$C$2:$C$265,0)))</f>
        <v>Personal Information</v>
      </c>
      <c r="K71" t="str">
        <f>IF(ISNA(MATCH(58,Engine!$C$2:$C$265,0)),"",INDEX('Compliance Database'!$K$2:$K$265,MATCH(58,Engine!$C$2:$C$265,0)))</f>
        <v>Accountable institutions</v>
      </c>
      <c r="L71" s="6" t="str">
        <f>IF(ISNA(MATCH(58,Engine!$C$2:$C$265,0)),"",INDEX('Compliance Database'!$L$2:$L$265,MATCH(58,Engine!$C$2:$C$265,0)))</f>
        <v>Third parties may perform record-keeping duties for accountable institutions with access to records.</v>
      </c>
      <c r="M71" s="6" t="str">
        <f>IF(ISNA(MATCH(58,Engine!$C$2:$C$265,0)),"",INDEX('Compliance Database'!$M$2:$M$265,MATCH(58,Engine!$C$2:$C$265,0)))</f>
        <v>Third parties can handle records if accountable institution has access to them.</v>
      </c>
      <c r="N71" s="6" t="str">
        <f>IF(ISNA(MATCH(58,Engine!$C$2:$C$265,0)),"",INDEX('Compliance Database'!$N$2:$N$265,MATCH(58,Engine!$C$2:$C$265,0)))</f>
        <v>[May] The duties imposed by section 22 on an accountable institution to keep record of the matters specified in that section may be performed by a third party on behalf of the accountable institution as long as the accountable institution has free and easy access to the records.
[Must] If a third party referred to in subsection (1) fails to properly comply with the requirements of section 22 on behalf of the accountable institution concerned, the accountable institution is liable for that failure.
[Must] If an accountable institution appoints a third party to perform the duties imposed on it by section 22, the accountable institution must forthwith provide the Centre with the prescribed particulars regarding the third party.</v>
      </c>
      <c r="O71" s="6" t="str">
        <f>IF(ISNA(MATCH(58,Engine!$C$2:$C$265,0)),"",INDEX('Compliance Database'!$O$2:$O$265,MATCH(58,Engine!$C$2:$C$265,0)))</f>
        <v>24. (1) The duties imposed by section 22 on an accountable institution to keep record of the matters specified in that section may be performed by a third party on behalf of the accountable institution as long as the accountable institution has free and easy access to the records. (2) If a third party referred to in subsection (1) fails to properly comply with the requirements of section 22 on behalf of the accountable institution concerned, the accountable institution is liable for that failure. (3) If an accountable institution appoints a third party to perform the duties imposed on it by section 22, the accountable institution must forthwith provide the Centre with the prescribed particulars regarding the third party.</v>
      </c>
    </row>
    <row r="72" spans="1:15" ht="86.4" x14ac:dyDescent="0.3">
      <c r="A72" t="str">
        <f>IF(ISNA(MATCH(59,Engine!$C$2:$C$265,0)),"",INDEX('Compliance Database'!$A$2:$A$265,MATCH(59,Engine!$C$2:$C$265,0)))</f>
        <v>South Africa</v>
      </c>
      <c r="B72" t="str">
        <f>IF(ISNA(MATCH(59,Engine!$C$2:$C$265,0)),"",INDEX('Compliance Database'!$B$2:$B$265,MATCH(59,Engine!$C$2:$C$265,0)))</f>
        <v>FICA (Financial Intelligence Centre Act, 38 of 2001</v>
      </c>
      <c r="C72" t="str">
        <f>IF(ISNA(MATCH(59,Engine!$C$2:$C$265,0)),"",INDEX('Compliance Database'!$C$2:$C$265,MATCH(59,Engine!$C$2:$C$265,0)))</f>
        <v>25</v>
      </c>
      <c r="D72" s="6" t="str">
        <f>IF(ISNA(MATCH(59,Engine!$C$2:$C$265,0)),"",INDEX('Compliance Database'!$D$2:$D$265,MATCH(59,Engine!$C$2:$C$265,0)))</f>
        <v>A record kept in terms of section  22 (or section  24, or a certified extract of any such</v>
      </c>
      <c r="E72" t="str">
        <f>IF(ISNA(MATCH(59,Engine!$C$2:$C$265,0)),"",INDEX('Compliance Database'!$E$2:$E$265,MATCH(59,Engine!$C$2:$C$265,0)))</f>
        <v>8</v>
      </c>
      <c r="F72" t="str">
        <f>IF(ISNA(MATCH(59,Engine!$C$2:$C$265,0)),"",INDEX('Compliance Database'!$F$2:$F$265,MATCH(59,Engine!$C$2:$C$265,0)))</f>
        <v>Record Keeping</v>
      </c>
      <c r="G72" t="str">
        <f>IF(ISNA(MATCH(59,Engine!$C$2:$C$265,0)),"",INDEX('Compliance Database'!$G$2:$G$265,MATCH(59,Engine!$C$2:$C$265,0)))</f>
        <v>Low</v>
      </c>
      <c r="H72" t="str">
        <f>IF(ISNA(MATCH(59,Engine!$C$2:$C$265,0)),"",INDEX('Compliance Database'!$H$2:$H$265,MATCH(59,Engine!$C$2:$C$265,0)))</f>
        <v>High (explicit)</v>
      </c>
      <c r="I72" s="6" t="str">
        <f>IF(ISNA(MATCH(59,Engine!$C$2:$C$265,0)),"",INDEX('Compliance Database'!$I$2:$I$265,MATCH(59,Engine!$C$2:$C$265,0)))</f>
        <v>Record Keeping</v>
      </c>
      <c r="J72" s="6" t="str">
        <f>IF(ISNA(MATCH(59,Engine!$C$2:$C$265,0)),"",INDEX('Compliance Database'!$J$2:$J$265,MATCH(59,Engine!$C$2:$C$265,0)))</f>
        <v>Personal Information</v>
      </c>
      <c r="K72">
        <f>IF(ISNA(MATCH(59,Engine!$C$2:$C$265,0)),"",INDEX('Compliance Database'!$K$2:$K$265,MATCH(59,Engine!$C$2:$C$265,0)))</f>
        <v>0</v>
      </c>
      <c r="L72" s="6" t="str">
        <f>IF(ISNA(MATCH(59,Engine!$C$2:$C$265,0)),"",INDEX('Compliance Database'!$L$2:$L$265,MATCH(59,Engine!$C$2:$C$265,0)))</f>
        <v>Records produced in court are admissible as evidence of facts contained in them.</v>
      </c>
      <c r="M72" s="6" t="str">
        <f>IF(ISNA(MATCH(59,Engine!$C$2:$C$265,0)),"",INDEX('Compliance Database'!$M$2:$M$265,MATCH(59,Engine!$C$2:$C$265,0)))</f>
        <v>Records from section 22 or 24 are admissible in court as evidence.</v>
      </c>
      <c r="N72" s="6" t="str">
        <f>IF(ISNA(MATCH(59,Engine!$C$2:$C$265,0)),"",INDEX('Compliance Database'!$N$2:$N$265,MATCH(59,Engine!$C$2:$C$265,0)))</f>
        <v>[Must] A record kept in terms of section 22 (or section 24, or a certified extract of any such record, or a certified printout of any extract of an electronic record) is on its mere production in a matter before a court admissible as evidence of any fact contained in it.</v>
      </c>
      <c r="O72" s="6" t="str">
        <f>IF(ISNA(MATCH(59,Engine!$C$2:$C$265,0)),"",INDEX('Compliance Database'!$O$2:$O$265,MATCH(59,Engine!$C$2:$C$265,0)))</f>
        <v>25. A record kept in terms of section 22 (or section 24, or a certified extract of any such record, or a certified printout of any extract of an electronic record) is on its mere production in a matter before a court admissible as evidence of any fact contained in it.</v>
      </c>
    </row>
    <row r="73" spans="1:15" ht="403.2" x14ac:dyDescent="0.3">
      <c r="A73" t="str">
        <f>IF(ISNA(MATCH(60,Engine!$C$2:$C$265,0)),"",INDEX('Compliance Database'!$A$2:$A$265,MATCH(60,Engine!$C$2:$C$265,0)))</f>
        <v>South Africa</v>
      </c>
      <c r="B73" t="str">
        <f>IF(ISNA(MATCH(60,Engine!$C$2:$C$265,0)),"",INDEX('Compliance Database'!$B$2:$B$265,MATCH(60,Engine!$C$2:$C$265,0)))</f>
        <v>FICA (Financial Intelligence Centre Act, 38 of 2001</v>
      </c>
      <c r="C73" t="str">
        <f>IF(ISNA(MATCH(60,Engine!$C$2:$C$265,0)),"",INDEX('Compliance Database'!$C$2:$C$265,MATCH(60,Engine!$C$2:$C$265,0)))</f>
        <v>26</v>
      </c>
      <c r="D73" s="6" t="str">
        <f>IF(ISNA(MATCH(60,Engine!$C$2:$C$265,0)),"",INDEX('Compliance Database'!$D$2:$D$265,MATCH(60,Engine!$C$2:$C$265,0)))</f>
        <v>(1) An authorised representative of the  Centre has access during ordinary working</v>
      </c>
      <c r="E73" t="str">
        <f>IF(ISNA(MATCH(60,Engine!$C$2:$C$265,0)),"",INDEX('Compliance Database'!$E$2:$E$265,MATCH(60,Engine!$C$2:$C$265,0)))</f>
        <v>8–9</v>
      </c>
      <c r="F73" t="str">
        <f>IF(ISNA(MATCH(60,Engine!$C$2:$C$265,0)),"",INDEX('Compliance Database'!$F$2:$F$265,MATCH(60,Engine!$C$2:$C$265,0)))</f>
        <v>Other</v>
      </c>
      <c r="G73" t="str">
        <f>IF(ISNA(MATCH(60,Engine!$C$2:$C$265,0)),"",INDEX('Compliance Database'!$G$2:$G$265,MATCH(60,Engine!$C$2:$C$265,0)))</f>
        <v>High</v>
      </c>
      <c r="H73" t="str">
        <f>IF(ISNA(MATCH(60,Engine!$C$2:$C$265,0)),"",INDEX('Compliance Database'!$H$2:$H$265,MATCH(60,Engine!$C$2:$C$265,0)))</f>
        <v>High (explicit)</v>
      </c>
      <c r="I73" s="6">
        <f>IF(ISNA(MATCH(60,Engine!$C$2:$C$265,0)),"",INDEX('Compliance Database'!$I$2:$I$265,MATCH(60,Engine!$C$2:$C$265,0)))</f>
        <v>0</v>
      </c>
      <c r="J73" s="6" t="str">
        <f>IF(ISNA(MATCH(60,Engine!$C$2:$C$265,0)),"",INDEX('Compliance Database'!$J$2:$J$265,MATCH(60,Engine!$C$2:$C$265,0)))</f>
        <v>Personal Information</v>
      </c>
      <c r="K73" t="str">
        <f>IF(ISNA(MATCH(60,Engine!$C$2:$C$265,0)),"",INDEX('Compliance Database'!$K$2:$K$265,MATCH(60,Engine!$C$2:$C$265,0)))</f>
        <v>Financial Intelligence Centre</v>
      </c>
      <c r="L73" s="6" t="str">
        <f>IF(ISNA(MATCH(60,Engine!$C$2:$C$265,0)),"",INDEX('Compliance Database'!$L$2:$L$265,MATCH(60,Engine!$C$2:$C$265,0)))</f>
        <v>Centre's authorized representatives may access records with warrants for money laundering investigations.</v>
      </c>
      <c r="M73" s="6" t="str">
        <f>IF(ISNA(MATCH(60,Engine!$C$2:$C$265,0)),"",INDEX('Compliance Database'!$M$2:$M$265,MATCH(60,Engine!$C$2:$C$265,0)))</f>
        <v>Centre can access records with warrants for investigations.</v>
      </c>
      <c r="N73" s="6" t="str">
        <f>IF(ISNA(MATCH(60,Engine!$C$2:$C$265,0)),"",INDEX('Compliance Database'!$N$2:$N$265,MATCH(60,Engine!$C$2:$C$265,0)))</f>
        <v>[May] An authorised representative of the Centre has access during ordinary working hours to any records kept by or on behalf of an accountable institution in terms of section 22 or section 24, and may examine, make extracts from or copies of, any such records.
[Must] The authorised representative of the Centre may exercise the powers mentioned in subsection (1) only by virtue of a warrant issued in chambers by a magistrate or regional magistrate or judge of an area of jurisdiction within which the records or any of them are kept, or within which the accountable institution conducts business.
[Must] A warrant may only be issued if it appears to the judge, magistrate or regional magistrate from information on oath or affirmation that there are reasonable grounds to believe that the records referred to in subsection (1) may assist the Centre to identify the proceeds of unlawful activities or to combat money laundering activities.
[Must] An accountable institution must without delay give to an authorised representative of the Centre all reasonable assistance necessary to enable that representative to exercise the powers mentioned in subsection (1).</v>
      </c>
      <c r="O73" s="6" t="str">
        <f>IF(ISNA(MATCH(60,Engine!$C$2:$C$265,0)),"",INDEX('Compliance Database'!$O$2:$O$265,MATCH(60,Engine!$C$2:$C$265,0)))</f>
        <v>26. (1) An authorised representative of the Centre has access during ordinary working hours to any records kept by or on behalf of an accountable institution in terms of section 22 or section 24, and may examine, make extracts from or copies of, any such records. (2) The authorised representative of the Centre may, except in the case of records which the public is entitled to have access to, exercise the powers mentioned in subsection (1) only by virtue of a warrant issued in chambers by a magistrate or regional magistrate or judge of an area of jurisdiction within which the records or any of them are kept, or within which the accountable institution conducts business. (3) A warrant may only be issued if it appears to the judge, magistrate or regional magistrate from information on oath or affirmation that there are reasonable grounds to believe that the records referred to in subsection (1) may assist the Centre to identify the proceeds of unlawful activities or to combat money laundering activities. (5) An accountable institution must without delay give to an authorised representative of the Centre all reasonable assistance necessary to enable that representative to exercise the powers mentioned in subsection (1).</v>
      </c>
    </row>
    <row r="74" spans="1:15" ht="273.60000000000002" x14ac:dyDescent="0.3">
      <c r="A74" t="str">
        <f>IF(ISNA(MATCH(61,Engine!$C$2:$C$265,0)),"",INDEX('Compliance Database'!$A$2:$A$265,MATCH(61,Engine!$C$2:$C$265,0)))</f>
        <v>South Africa</v>
      </c>
      <c r="B74" t="str">
        <f>IF(ISNA(MATCH(61,Engine!$C$2:$C$265,0)),"",INDEX('Compliance Database'!$B$2:$B$265,MATCH(61,Engine!$C$2:$C$265,0)))</f>
        <v>FICA (Financial Intelligence Centre Act, 38 of 2001</v>
      </c>
      <c r="C74" t="str">
        <f>IF(ISNA(MATCH(61,Engine!$C$2:$C$265,0)),"",INDEX('Compliance Database'!$C$2:$C$265,MATCH(61,Engine!$C$2:$C$265,0)))</f>
        <v>28</v>
      </c>
      <c r="D74" s="6" t="str">
        <f>IF(ISNA(MATCH(61,Engine!$C$2:$C$265,0)),"",INDEX('Compliance Database'!$D$2:$D$265,MATCH(61,Engine!$C$2:$C$265,0)))</f>
        <v>An  accountable institution and a reporting institution must,  within the prescribed</v>
      </c>
      <c r="E74" t="str">
        <f>IF(ISNA(MATCH(61,Engine!$C$2:$C$265,0)),"",INDEX('Compliance Database'!$E$2:$E$265,MATCH(61,Engine!$C$2:$C$265,0)))</f>
        <v>9</v>
      </c>
      <c r="F74" t="str">
        <f>IF(ISNA(MATCH(61,Engine!$C$2:$C$265,0)),"",INDEX('Compliance Database'!$F$2:$F$265,MATCH(61,Engine!$C$2:$C$265,0)))</f>
        <v>Other</v>
      </c>
      <c r="G74" t="str">
        <f>IF(ISNA(MATCH(61,Engine!$C$2:$C$265,0)),"",INDEX('Compliance Database'!$G$2:$G$265,MATCH(61,Engine!$C$2:$C$265,0)))</f>
        <v>High</v>
      </c>
      <c r="H74" t="str">
        <f>IF(ISNA(MATCH(61,Engine!$C$2:$C$265,0)),"",INDEX('Compliance Database'!$H$2:$H$265,MATCH(61,Engine!$C$2:$C$265,0)))</f>
        <v>High (explicit)</v>
      </c>
      <c r="I74" s="6">
        <f>IF(ISNA(MATCH(61,Engine!$C$2:$C$265,0)),"",INDEX('Compliance Database'!$I$2:$I$265,MATCH(61,Engine!$C$2:$C$265,0)))</f>
        <v>0</v>
      </c>
      <c r="J74" s="6" t="str">
        <f>IF(ISNA(MATCH(61,Engine!$C$2:$C$265,0)),"",INDEX('Compliance Database'!$J$2:$J$265,MATCH(61,Engine!$C$2:$C$265,0)))</f>
        <v>Financial Data</v>
      </c>
      <c r="K74" t="str">
        <f>IF(ISNA(MATCH(61,Engine!$C$2:$C$265,0)),"",INDEX('Compliance Database'!$K$2:$K$265,MATCH(61,Engine!$C$2:$C$265,0)))</f>
        <v>Accountable institutions</v>
      </c>
      <c r="L74" s="6" t="str">
        <f>IF(ISNA(MATCH(61,Engine!$C$2:$C$265,0)),"",INDEX('Compliance Database'!$L$2:$L$265,MATCH(61,Engine!$C$2:$C$265,0)))</f>
        <v>Accountable institutions must report cash transactions exceeding prescribed amounts to Centre.</v>
      </c>
      <c r="M74" s="6" t="str">
        <f>IF(ISNA(MATCH(61,Engine!$C$2:$C$265,0)),"",INDEX('Compliance Database'!$M$2:$M$265,MATCH(61,Engine!$C$2:$C$265,0)))</f>
        <v>Mandatory reporting of cash transactions above thresholds to Centre.</v>
      </c>
      <c r="N74" s="6" t="str">
        <f>IF(ISNA(MATCH(61,Engine!$C$2:$C$265,0)),"",INDEX('Compliance Database'!$N$2:$N$265,MATCH(61,Engine!$C$2:$C$265,0)))</f>
        <v>[Must] An accountable institution and a reporting institution must, within the prescribed period, report to the Centre the prescribed particulars concerning a transaction concluded with a client if in terms of the transaction an amount of cash in excess of the prescribed amount is paid by the accountable institution or reporting institution to the client, or to a person acting on behalf of the client, or to a person on whose behalf the client is acting.
[Must] An accountable institution and a reporting institution must, within the prescribed period, report to the Centre the prescribed particulars concerning a transaction concluded with a client if in terms of the transaction an amount of cash in excess of the prescribed amount is received by the accountable institution or reporting institution from the client, or from a person acting on behalf of the client, or from a person on whose behalf the client is acting.</v>
      </c>
      <c r="O74" s="6" t="str">
        <f>IF(ISNA(MATCH(61,Engine!$C$2:$C$265,0)),"",INDEX('Compliance Database'!$O$2:$O$265,MATCH(61,Engine!$C$2:$C$265,0)))</f>
        <v>28. An accountable institution and a reporting institution must, within the prescribed period, report to the Centre the prescribed particulars concerning a transaction concluded with a client if in terms of the transaction an amount of cash in excess of the prescribed amount- (a) is paid by the accountable institution or reporting institution to the client, or to a person acting on behalf of the client, or to a person on whose behalf the client is acting; or (b) is received by the accountable institution or reporting institution from the client, or from a person acting on behalf of the client, or from a person on whose behalf the client is acting.</v>
      </c>
    </row>
    <row r="75" spans="1:15" ht="244.8" x14ac:dyDescent="0.3">
      <c r="A75" t="str">
        <f>IF(ISNA(MATCH(62,Engine!$C$2:$C$265,0)),"",INDEX('Compliance Database'!$A$2:$A$265,MATCH(62,Engine!$C$2:$C$265,0)))</f>
        <v>South Africa</v>
      </c>
      <c r="B75" t="str">
        <f>IF(ISNA(MATCH(62,Engine!$C$2:$C$265,0)),"",INDEX('Compliance Database'!$B$2:$B$265,MATCH(62,Engine!$C$2:$C$265,0)))</f>
        <v>FICA (Financial Intelligence Centre Act, 38 of 2001</v>
      </c>
      <c r="C75" t="str">
        <f>IF(ISNA(MATCH(62,Engine!$C$2:$C$265,0)),"",INDEX('Compliance Database'!$C$2:$C$265,MATCH(62,Engine!$C$2:$C$265,0)))</f>
        <v>29</v>
      </c>
      <c r="D75" s="6" t="str">
        <f>IF(ISNA(MATCH(62,Engine!$C$2:$C$265,0)),"",INDEX('Compliance Database'!$D$2:$D$265,MATCH(62,Engine!$C$2:$C$265,0)))</f>
        <v>(1) A person who carries on a businl:ss or is in charge of or  manages a business  or</v>
      </c>
      <c r="E75" t="str">
        <f>IF(ISNA(MATCH(62,Engine!$C$2:$C$265,0)),"",INDEX('Compliance Database'!$E$2:$E$265,MATCH(62,Engine!$C$2:$C$265,0)))</f>
        <v>9–10</v>
      </c>
      <c r="F75" t="str">
        <f>IF(ISNA(MATCH(62,Engine!$C$2:$C$265,0)),"",INDEX('Compliance Database'!$F$2:$F$265,MATCH(62,Engine!$C$2:$C$265,0)))</f>
        <v>Other</v>
      </c>
      <c r="G75" t="str">
        <f>IF(ISNA(MATCH(62,Engine!$C$2:$C$265,0)),"",INDEX('Compliance Database'!$G$2:$G$265,MATCH(62,Engine!$C$2:$C$265,0)))</f>
        <v>High</v>
      </c>
      <c r="H75" t="str">
        <f>IF(ISNA(MATCH(62,Engine!$C$2:$C$265,0)),"",INDEX('Compliance Database'!$H$2:$H$265,MATCH(62,Engine!$C$2:$C$265,0)))</f>
        <v>High (explicit)</v>
      </c>
      <c r="I75" s="6">
        <f>IF(ISNA(MATCH(62,Engine!$C$2:$C$265,0)),"",INDEX('Compliance Database'!$I$2:$I$265,MATCH(62,Engine!$C$2:$C$265,0)))</f>
        <v>0</v>
      </c>
      <c r="J75" s="6" t="str">
        <f>IF(ISNA(MATCH(62,Engine!$C$2:$C$265,0)),"",INDEX('Compliance Database'!$J$2:$J$265,MATCH(62,Engine!$C$2:$C$265,0)))</f>
        <v>Personal Information</v>
      </c>
      <c r="K75" t="str">
        <f>IF(ISNA(MATCH(62,Engine!$C$2:$C$265,0)),"",INDEX('Compliance Database'!$K$2:$K$265,MATCH(62,Engine!$C$2:$C$265,0)))</f>
        <v>Businesses and individuals</v>
      </c>
      <c r="L75" s="6" t="str">
        <f>IF(ISNA(MATCH(62,Engine!$C$2:$C$265,0)),"",INDEX('Compliance Database'!$L$2:$L$265,MATCH(62,Engine!$C$2:$C$265,0)))</f>
        <v>Persons must report suspicious transactions or activities to Centre if they suspect money laundering.</v>
      </c>
      <c r="M75" s="6" t="str">
        <f>IF(ISNA(MATCH(62,Engine!$C$2:$C$265,0)),"",INDEX('Compliance Database'!$M$2:$M$265,MATCH(62,Engine!$C$2:$C$265,0)))</f>
        <v>Mandatory reporting of suspicious transactions to Centre.</v>
      </c>
      <c r="N75" s="6" t="str">
        <f>IF(ISNA(MATCH(62,Engine!$C$2:$C$265,0)),"",INDEX('Compliance Database'!$N$2:$N$265,MATCH(62,Engine!$C$2:$C$265,0)))</f>
        <v>[Must] A person who carries on a business or is in charge of or manages a business or who is employed by a business and who knows or suspects that- (i) facilitated or is likely to facilitate the transfer of the proceeds of unlawful activities; (ii) has no apparent business or lawful purpose; (iii) is conducted for the purpose of avoiding giving rise to a reporting duty under this Act; or (iv) may be relevant to the investigation of an evasion or attempted evasion of a duty to pay any tax, duty or levy imposed by legislation administered by the Commissioner for the South African Revenue Service, must, within the prescribed period after the knowledge was acquired or the suspicion arose, report to the Centre the grounds for the knowledge or suspicion and the prescribed particulars concerning the transaction or series of transactions.</v>
      </c>
      <c r="O75" s="6" t="str">
        <f>IF(ISNA(MATCH(62,Engine!$C$2:$C$265,0)),"",INDEX('Compliance Database'!$O$2:$O$265,MATCH(62,Engine!$C$2:$C$265,0)))</f>
        <v>29. (1) A person who carries on a business or is in charge of or manages a business or who is employed by a business and who knows or suspects that- (i) facilitated or is likely to facilitate the transfer of the proceeds of unlawful activities; (ii) has no apparent business or lawful purpose; (iii) is conducted for the purpose of avoiding giving rise to a reporting duty under this Act; or (iv) may be relevant to the investigation of an evasion or attempted evasion of a duty to pay any tax, duty or levy imposed by legislation administered by the Commissioner for the South African Revenue Service, must, within the prescribed period after the knowledge was acquired or the suspicion arose, report to the Centre the grounds for the knowledge or suspicion and the prescribed particulars concerning the transaction or series of transactions.</v>
      </c>
    </row>
    <row r="76" spans="1:15" ht="144" x14ac:dyDescent="0.3">
      <c r="A76" t="str">
        <f>IF(ISNA(MATCH(63,Engine!$C$2:$C$265,0)),"",INDEX('Compliance Database'!$A$2:$A$265,MATCH(63,Engine!$C$2:$C$265,0)))</f>
        <v>South Africa</v>
      </c>
      <c r="B76" t="str">
        <f>IF(ISNA(MATCH(63,Engine!$C$2:$C$265,0)),"",INDEX('Compliance Database'!$B$2:$B$265,MATCH(63,Engine!$C$2:$C$265,0)))</f>
        <v>FICA (Financial Intelligence Centre Act, 38 of 2001</v>
      </c>
      <c r="C76" t="str">
        <f>IF(ISNA(MATCH(63,Engine!$C$2:$C$265,0)),"",INDEX('Compliance Database'!$C$2:$C$265,MATCH(63,Engine!$C$2:$C$265,0)))</f>
        <v>30</v>
      </c>
      <c r="D76" s="6" t="str">
        <f>IF(ISNA(MATCH(63,Engine!$C$2:$C$265,0)),"",INDEX('Compliance Database'!$D$2:$D$265,MATCH(63,Engine!$C$2:$C$265,0)))</f>
        <v>(1)  A person intending to convey an amount of cash in  excess of the  prescribed</v>
      </c>
      <c r="E76" t="str">
        <f>IF(ISNA(MATCH(63,Engine!$C$2:$C$265,0)),"",INDEX('Compliance Database'!$E$2:$E$265,MATCH(63,Engine!$C$2:$C$265,0)))</f>
        <v>10–11</v>
      </c>
      <c r="F76" t="str">
        <f>IF(ISNA(MATCH(63,Engine!$C$2:$C$265,0)),"",INDEX('Compliance Database'!$F$2:$F$265,MATCH(63,Engine!$C$2:$C$265,0)))</f>
        <v>Other</v>
      </c>
      <c r="G76" t="str">
        <f>IF(ISNA(MATCH(63,Engine!$C$2:$C$265,0)),"",INDEX('Compliance Database'!$G$2:$G$265,MATCH(63,Engine!$C$2:$C$265,0)))</f>
        <v>High</v>
      </c>
      <c r="H76" t="str">
        <f>IF(ISNA(MATCH(63,Engine!$C$2:$C$265,0)),"",INDEX('Compliance Database'!$H$2:$H$265,MATCH(63,Engine!$C$2:$C$265,0)))</f>
        <v>High (explicit)</v>
      </c>
      <c r="I76" s="6">
        <f>IF(ISNA(MATCH(63,Engine!$C$2:$C$265,0)),"",INDEX('Compliance Database'!$I$2:$I$265,MATCH(63,Engine!$C$2:$C$265,0)))</f>
        <v>0</v>
      </c>
      <c r="J76" s="6" t="str">
        <f>IF(ISNA(MATCH(63,Engine!$C$2:$C$265,0)),"",INDEX('Compliance Database'!$J$2:$J$265,MATCH(63,Engine!$C$2:$C$265,0)))</f>
        <v>Financial Data</v>
      </c>
      <c r="K76" t="str">
        <f>IF(ISNA(MATCH(63,Engine!$C$2:$C$265,0)),"",INDEX('Compliance Database'!$K$2:$K$265,MATCH(63,Engine!$C$2:$C$265,0)))</f>
        <v>Minister</v>
      </c>
      <c r="L76" s="6" t="str">
        <f>IF(ISNA(MATCH(63,Engine!$C$2:$C$265,0)),"",INDEX('Compliance Database'!$L$2:$L$265,MATCH(63,Engine!$C$2:$C$265,0)))</f>
        <v>Persons must report cash conveyances exceeding prescribed amounts to Centre.</v>
      </c>
      <c r="M76" s="6" t="str">
        <f>IF(ISNA(MATCH(63,Engine!$C$2:$C$265,0)),"",INDEX('Compliance Database'!$M$2:$M$265,MATCH(63,Engine!$C$2:$C$265,0)))</f>
        <v>Mandatory reporting of cash movements across borders to Centre.</v>
      </c>
      <c r="N76" s="6" t="str">
        <f>IF(ISNA(MATCH(63,Engine!$C$2:$C$265,0)),"",INDEX('Compliance Database'!$N$2:$N$265,MATCH(63,Engine!$C$2:$C$265,0)))</f>
        <v>[Must] A person intending to convey an amount of cash in excess of the prescribed amount to or from the Republic must, before that person conveys the cash into or out of the Republic, report the prescribed particulars concerning that conveyance to a person authorised by the Minister.
[Must] A person authorised in terms of subsection (1) must without delay send a copy of the report to the Centre.</v>
      </c>
      <c r="O76" s="6" t="str">
        <f>IF(ISNA(MATCH(63,Engine!$C$2:$C$265,0)),"",INDEX('Compliance Database'!$O$2:$O$265,MATCH(63,Engine!$C$2:$C$265,0)))</f>
        <v>30. (1) A person intending to convey an amount of cash in excess of the prescribed amount to or from the Republic must, before that person conveys the cash into or out of the Republic, report the prescribed particulars concerning that conveyance to a person authorised by the Minister. (2) A person authorised in terms of subsection (1) must without delay send a copy of the report to the Centre.</v>
      </c>
    </row>
    <row r="77" spans="1:15" ht="345.6" x14ac:dyDescent="0.3">
      <c r="A77" t="str">
        <f>IF(ISNA(MATCH(64,Engine!$C$2:$C$265,0)),"",INDEX('Compliance Database'!$A$2:$A$265,MATCH(64,Engine!$C$2:$C$265,0)))</f>
        <v>South Africa</v>
      </c>
      <c r="B77" t="str">
        <f>IF(ISNA(MATCH(64,Engine!$C$2:$C$265,0)),"",INDEX('Compliance Database'!$B$2:$B$265,MATCH(64,Engine!$C$2:$C$265,0)))</f>
        <v>FICA (Financial Intelligence Centre Act, 38 of 2001</v>
      </c>
      <c r="C77" t="str">
        <f>IF(ISNA(MATCH(64,Engine!$C$2:$C$265,0)),"",INDEX('Compliance Database'!$C$2:$C$265,MATCH(64,Engine!$C$2:$C$265,0)))</f>
        <v>32</v>
      </c>
      <c r="D77" s="6" t="str">
        <f>IF(ISNA(MATCH(64,Engine!$C$2:$C$265,0)),"",INDEX('Compliance Database'!$D$2:$D$265,MATCH(64,Engine!$C$2:$C$265,0)))</f>
        <v>(1) A report  in terns of section 28,29 or 31 to the  Centre and a  report in terms of  15</v>
      </c>
      <c r="E77" t="str">
        <f>IF(ISNA(MATCH(64,Engine!$C$2:$C$265,0)),"",INDEX('Compliance Database'!$E$2:$E$265,MATCH(64,Engine!$C$2:$C$265,0)))</f>
        <v>11</v>
      </c>
      <c r="F77" t="str">
        <f>IF(ISNA(MATCH(64,Engine!$C$2:$C$265,0)),"",INDEX('Compliance Database'!$F$2:$F$265,MATCH(64,Engine!$C$2:$C$265,0)))</f>
        <v>Other</v>
      </c>
      <c r="G77" t="str">
        <f>IF(ISNA(MATCH(64,Engine!$C$2:$C$265,0)),"",INDEX('Compliance Database'!$G$2:$G$265,MATCH(64,Engine!$C$2:$C$265,0)))</f>
        <v>High</v>
      </c>
      <c r="H77" t="str">
        <f>IF(ISNA(MATCH(64,Engine!$C$2:$C$265,0)),"",INDEX('Compliance Database'!$H$2:$H$265,MATCH(64,Engine!$C$2:$C$265,0)))</f>
        <v>High (explicit)</v>
      </c>
      <c r="I77" s="6">
        <f>IF(ISNA(MATCH(64,Engine!$C$2:$C$265,0)),"",INDEX('Compliance Database'!$I$2:$I$265,MATCH(64,Engine!$C$2:$C$265,0)))</f>
        <v>0</v>
      </c>
      <c r="J77" s="6" t="str">
        <f>IF(ISNA(MATCH(64,Engine!$C$2:$C$265,0)),"",INDEX('Compliance Database'!$J$2:$J$265,MATCH(64,Engine!$C$2:$C$265,0)))</f>
        <v>Financial Data</v>
      </c>
      <c r="K77" t="str">
        <f>IF(ISNA(MATCH(64,Engine!$C$2:$C$265,0)),"",INDEX('Compliance Database'!$K$2:$K$265,MATCH(64,Engine!$C$2:$C$265,0)))</f>
        <v>Financial Intelligence Centre</v>
      </c>
      <c r="L77" s="6" t="str">
        <f>IF(ISNA(MATCH(64,Engine!$C$2:$C$265,0)),"",INDEX('Compliance Database'!$L$2:$L$265,MATCH(64,Engine!$C$2:$C$265,0)))</f>
        <v>Reports must be made in prescribed manner and additional information may be requested.</v>
      </c>
      <c r="M77" s="6" t="str">
        <f>IF(ISNA(MATCH(64,Engine!$C$2:$C$265,0)),"",INDEX('Compliance Database'!$M$2:$M$265,MATCH(64,Engine!$C$2:$C$265,0)))</f>
        <v>Reports must be submitted in prescribed format with additional information possible.</v>
      </c>
      <c r="N77" s="6" t="str">
        <f>IF(ISNA(MATCH(64,Engine!$C$2:$C$265,0)),"",INDEX('Compliance Database'!$N$2:$N$265,MATCH(64,Engine!$C$2:$C$265,0)))</f>
        <v>[Must] A report in terms of section 28, 29 or 31 to the Centre and a report in terms of section 30(1) to a person authorised by the Minister must be made in the prescribed manner.
[May] The Centre, or an investigating authority acting with the permission of the Centre or under the authority of an authorised officer, may request an accountable institution, a reporting institution or any other person that has made a report in terms of section 28, 29 or 31 to furnish the Centre or that investigating authority with such additional information concerning the report and the grounds for the report as the Centre or the investigating authority may reasonably require for the performance by it of its functions.
[Must] When an institution or a person referred to in subsection (2) receives a request under that subsection, that institution or person must furnish the Centre without delay with such additional information concerning the report and the grounds for the report as that institution or person may have available.</v>
      </c>
      <c r="O77" s="6" t="str">
        <f>IF(ISNA(MATCH(64,Engine!$C$2:$C$265,0)),"",INDEX('Compliance Database'!$O$2:$O$265,MATCH(64,Engine!$C$2:$C$265,0)))</f>
        <v>32. (1) A report in terms of section 28, 29 or 31 to the Centre and a report in terms of section 30(1) to a person authorised by the Minister must be made in the prescribed manner. (2) The Centre, or an investigating authority acting with the permission of the Centre or under the authority of an authorised officer, may request an accountable institution, a reporting institution or any other person that has made a report in terms of section 28, 29 or 31 to furnish the Centre or that investigating authority with such additional information concerning the report and the grounds for the report as the Centre or the investigating authority may reasonably require for the performance by it of its functions. (3) When an institution or a person referred to in subsection (2) receives a request under that subsection, that institution or person must furnish the Centre without delay with such additional information concerning the report and the grounds for the report as that institution or person may have available.</v>
      </c>
    </row>
    <row r="78" spans="1:15" ht="115.2" x14ac:dyDescent="0.3">
      <c r="A78" t="str">
        <f>IF(ISNA(MATCH(65,Engine!$C$2:$C$265,0)),"",INDEX('Compliance Database'!$A$2:$A$265,MATCH(65,Engine!$C$2:$C$265,0)))</f>
        <v>South Africa</v>
      </c>
      <c r="B78" t="str">
        <f>IF(ISNA(MATCH(65,Engine!$C$2:$C$265,0)),"",INDEX('Compliance Database'!$B$2:$B$265,MATCH(65,Engine!$C$2:$C$265,0)))</f>
        <v>FICA (Financial Intelligence Centre Act, 38 of 2001</v>
      </c>
      <c r="C78" t="str">
        <f>IF(ISNA(MATCH(65,Engine!$C$2:$C$265,0)),"",INDEX('Compliance Database'!$C$2:$C$265,MATCH(65,Engine!$C$2:$C$265,0)))</f>
        <v>33</v>
      </c>
      <c r="D78" s="6" t="str">
        <f>IF(ISNA(MATCH(65,Engine!$C$2:$C$265,0)),"",INDEX('Compliance Database'!$D$2:$D$265,MATCH(65,Engine!$C$2:$C$265,0)))</f>
        <v>An accountable institution, reporting institution or person required to make a</v>
      </c>
      <c r="E78" t="str">
        <f>IF(ISNA(MATCH(65,Engine!$C$2:$C$265,0)),"",INDEX('Compliance Database'!$E$2:$E$265,MATCH(65,Engine!$C$2:$C$265,0)))</f>
        <v>11</v>
      </c>
      <c r="F78" t="str">
        <f>IF(ISNA(MATCH(65,Engine!$C$2:$C$265,0)),"",INDEX('Compliance Database'!$F$2:$F$265,MATCH(65,Engine!$C$2:$C$265,0)))</f>
        <v>Other</v>
      </c>
      <c r="G78" t="str">
        <f>IF(ISNA(MATCH(65,Engine!$C$2:$C$265,0)),"",INDEX('Compliance Database'!$G$2:$G$265,MATCH(65,Engine!$C$2:$C$265,0)))</f>
        <v>High</v>
      </c>
      <c r="H78" t="str">
        <f>IF(ISNA(MATCH(65,Engine!$C$2:$C$265,0)),"",INDEX('Compliance Database'!$H$2:$H$265,MATCH(65,Engine!$C$2:$C$265,0)))</f>
        <v>High (explicit)</v>
      </c>
      <c r="I78" s="6">
        <f>IF(ISNA(MATCH(65,Engine!$C$2:$C$265,0)),"",INDEX('Compliance Database'!$I$2:$I$265,MATCH(65,Engine!$C$2:$C$265,0)))</f>
        <v>0</v>
      </c>
      <c r="J78" s="6" t="str">
        <f>IF(ISNA(MATCH(65,Engine!$C$2:$C$265,0)),"",INDEX('Compliance Database'!$J$2:$J$265,MATCH(65,Engine!$C$2:$C$265,0)))</f>
        <v>Financial Data</v>
      </c>
      <c r="K78" t="str">
        <f>IF(ISNA(MATCH(65,Engine!$C$2:$C$265,0)),"",INDEX('Compliance Database'!$K$2:$K$265,MATCH(65,Engine!$C$2:$C$265,0)))</f>
        <v>Financial Intelligence Centre</v>
      </c>
      <c r="L78" s="6" t="str">
        <f>IF(ISNA(MATCH(65,Engine!$C$2:$C$265,0)),"",INDEX('Compliance Database'!$L$2:$L$265,MATCH(65,Engine!$C$2:$C$265,0)))</f>
        <v>Transactions may continue after reporting unless Centre directs otherwise.</v>
      </c>
      <c r="M78" s="6" t="str">
        <f>IF(ISNA(MATCH(65,Engine!$C$2:$C$265,0)),"",INDEX('Compliance Database'!$M$2:$M$265,MATCH(65,Engine!$C$2:$C$265,0)))</f>
        <v>Transactions can continue after reporting unless Centre intervenes.</v>
      </c>
      <c r="N78" s="6" t="str">
        <f>IF(ISNA(MATCH(65,Engine!$C$2:$C$265,0)),"",INDEX('Compliance Database'!$N$2:$N$265,MATCH(65,Engine!$C$2:$C$265,0)))</f>
        <v>[May] An accountable institution, reporting institution or person required to make a report to the Centre in terms of section 28 or 29 may continue with and carry out the transaction in respect of which the report is required to be made unless the Centre directs the accountable institution, reporting institution or person in terms of section 34 not to proceed with the transaction.</v>
      </c>
      <c r="O78" s="6" t="str">
        <f>IF(ISNA(MATCH(65,Engine!$C$2:$C$265,0)),"",INDEX('Compliance Database'!$O$2:$O$265,MATCH(65,Engine!$C$2:$C$265,0)))</f>
        <v>33. An accountable institution, reporting institution or person required to make a report to the Centre in terms of section 28 or 29, may continue with and carry out the transaction in respect of which the report is required to be made unless the Centre directs the accountable institution, reporting institution or person in terms of section 34 not to proceed with the transaction.</v>
      </c>
    </row>
    <row r="79" spans="1:15" ht="288" x14ac:dyDescent="0.3">
      <c r="A79" t="str">
        <f>IF(ISNA(MATCH(66,Engine!$C$2:$C$265,0)),"",INDEX('Compliance Database'!$A$2:$A$265,MATCH(66,Engine!$C$2:$C$265,0)))</f>
        <v>South Africa</v>
      </c>
      <c r="B79" t="str">
        <f>IF(ISNA(MATCH(66,Engine!$C$2:$C$265,0)),"",INDEX('Compliance Database'!$B$2:$B$265,MATCH(66,Engine!$C$2:$C$265,0)))</f>
        <v>FICA (Financial Intelligence Centre Act, 38 of 2001</v>
      </c>
      <c r="C79" t="str">
        <f>IF(ISNA(MATCH(66,Engine!$C$2:$C$265,0)),"",INDEX('Compliance Database'!$C$2:$C$265,MATCH(66,Engine!$C$2:$C$265,0)))</f>
        <v>34</v>
      </c>
      <c r="D79" s="6" t="str">
        <f>IF(ISNA(MATCH(66,Engine!$C$2:$C$265,0)),"",INDEX('Compliance Database'!$D$2:$D$265,MATCH(66,Engine!$C$2:$C$265,0)))</f>
        <v>(1) If the  Centre,  after  consulting</v>
      </c>
      <c r="E79" t="str">
        <f>IF(ISNA(MATCH(66,Engine!$C$2:$C$265,0)),"",INDEX('Compliance Database'!$E$2:$E$265,MATCH(66,Engine!$C$2:$C$265,0)))</f>
        <v>11</v>
      </c>
      <c r="F79" t="str">
        <f>IF(ISNA(MATCH(66,Engine!$C$2:$C$265,0)),"",INDEX('Compliance Database'!$F$2:$F$265,MATCH(66,Engine!$C$2:$C$265,0)))</f>
        <v>Other</v>
      </c>
      <c r="G79" t="str">
        <f>IF(ISNA(MATCH(66,Engine!$C$2:$C$265,0)),"",INDEX('Compliance Database'!$G$2:$G$265,MATCH(66,Engine!$C$2:$C$265,0)))</f>
        <v>High</v>
      </c>
      <c r="H79" t="str">
        <f>IF(ISNA(MATCH(66,Engine!$C$2:$C$265,0)),"",INDEX('Compliance Database'!$H$2:$H$265,MATCH(66,Engine!$C$2:$C$265,0)))</f>
        <v>High (explicit)</v>
      </c>
      <c r="I79" s="6">
        <f>IF(ISNA(MATCH(66,Engine!$C$2:$C$265,0)),"",INDEX('Compliance Database'!$I$2:$I$265,MATCH(66,Engine!$C$2:$C$265,0)))</f>
        <v>0</v>
      </c>
      <c r="J79" s="6" t="str">
        <f>IF(ISNA(MATCH(66,Engine!$C$2:$C$265,0)),"",INDEX('Compliance Database'!$J$2:$J$265,MATCH(66,Engine!$C$2:$C$265,0)))</f>
        <v>Financial Data</v>
      </c>
      <c r="K79" t="str">
        <f>IF(ISNA(MATCH(66,Engine!$C$2:$C$265,0)),"",INDEX('Compliance Database'!$K$2:$K$265,MATCH(66,Engine!$C$2:$C$265,0)))</f>
        <v>Financial Intelligence Centre</v>
      </c>
      <c r="L79" s="6" t="str">
        <f>IF(ISNA(MATCH(66,Engine!$C$2:$C$265,0)),"",INDEX('Compliance Database'!$L$2:$L$265,MATCH(66,Engine!$C$2:$C$265,0)))</f>
        <v>Centre may direct non-proceeding with transactions suspected of money laundering.</v>
      </c>
      <c r="M79" s="6" t="str">
        <f>IF(ISNA(MATCH(66,Engine!$C$2:$C$265,0)),"",INDEX('Compliance Database'!$M$2:$M$265,MATCH(66,Engine!$C$2:$C$265,0)))</f>
        <v>Centre can halt transactions suspected of money laundering for up to five days.</v>
      </c>
      <c r="N79" s="6" t="str">
        <f>IF(ISNA(MATCH(66,Engine!$C$2:$C$265,0)),"",INDEX('Compliance Database'!$N$2:$N$265,MATCH(66,Engine!$C$2:$C$265,0)))</f>
        <v>[May] If the Centre, after consulting an accountable institution, a reporting institution or a person required to make a report in terms of section 28 or 29, has reasonable grounds to suspect that a transaction or a proposed transaction may involve the proceeds of unlawful activities or may constitute money laundering or may constitute a transaction contemplated in section 29(1)(b), it may direct the accountable institution, reporting institution or person in writing not to proceed with the carrying out of that transaction or proposed transaction or any other transaction in respect of the funds affected by that transaction or proposed transaction for a period as may be determined by the Centre, which may not be more than five days, in order to allow the Centre to make the necessary inquiries concerning the transaction.</v>
      </c>
      <c r="O79" s="6" t="str">
        <f>IF(ISNA(MATCH(66,Engine!$C$2:$C$265,0)),"",INDEX('Compliance Database'!$O$2:$O$265,MATCH(66,Engine!$C$2:$C$265,0)))</f>
        <v>34. (1) If the Centre, after consulting an accountable institution, a reporting institution or a person required to make a report in terms of section 28 or 29, has reasonable grounds to suspect that a transaction or a proposed transaction may involve the proceeds of unlawful activities or may constitute money laundering or may constitute a transaction contemplated in section 29(1)(b), it may direct the accountable institution, reporting institution or person in writing not to proceed with the carrying out of that transaction or proposed transaction or any other transaction in respect of the funds affected by that transaction or proposed transaction for a period as may be determined by the Centre, which may not be more than five days, in order to allow the Centre- (a) to make the necessary inquiries concerning the transaction; and (b) if the Centre deems it appropriate, to inform and advise an investigating authority or the National Director of Public Prosecutions.</v>
      </c>
    </row>
    <row r="80" spans="1:15" ht="302.39999999999998" x14ac:dyDescent="0.3">
      <c r="A80" t="str">
        <f>IF(ISNA(MATCH(67,Engine!$C$2:$C$265,0)),"",INDEX('Compliance Database'!$A$2:$A$265,MATCH(67,Engine!$C$2:$C$265,0)))</f>
        <v>South Africa</v>
      </c>
      <c r="B80" t="str">
        <f>IF(ISNA(MATCH(67,Engine!$C$2:$C$265,0)),"",INDEX('Compliance Database'!$B$2:$B$265,MATCH(67,Engine!$C$2:$C$265,0)))</f>
        <v>FICA (Financial Intelligence Centre Act, 38 of 2001</v>
      </c>
      <c r="C80" t="str">
        <f>IF(ISNA(MATCH(67,Engine!$C$2:$C$265,0)),"",INDEX('Compliance Database'!$C$2:$C$265,MATCH(67,Engine!$C$2:$C$265,0)))</f>
        <v>35</v>
      </c>
      <c r="D80" s="6" t="str">
        <f>IF(ISNA(MATCH(67,Engine!$C$2:$C$265,0)),"",INDEX('Compliance Database'!$D$2:$D$265,MATCH(67,Engine!$C$2:$C$265,0)))</f>
        <v>(1) A judge designated by</v>
      </c>
      <c r="E80" t="str">
        <f>IF(ISNA(MATCH(67,Engine!$C$2:$C$265,0)),"",INDEX('Compliance Database'!$E$2:$E$265,MATCH(67,Engine!$C$2:$C$265,0)))</f>
        <v>11–12</v>
      </c>
      <c r="F80" t="str">
        <f>IF(ISNA(MATCH(67,Engine!$C$2:$C$265,0)),"",INDEX('Compliance Database'!$F$2:$F$265,MATCH(67,Engine!$C$2:$C$265,0)))</f>
        <v>Other</v>
      </c>
      <c r="G80" t="str">
        <f>IF(ISNA(MATCH(67,Engine!$C$2:$C$265,0)),"",INDEX('Compliance Database'!$G$2:$G$265,MATCH(67,Engine!$C$2:$C$265,0)))</f>
        <v>High</v>
      </c>
      <c r="H80" t="str">
        <f>IF(ISNA(MATCH(67,Engine!$C$2:$C$265,0)),"",INDEX('Compliance Database'!$H$2:$H$265,MATCH(67,Engine!$C$2:$C$265,0)))</f>
        <v>High (explicit)</v>
      </c>
      <c r="I80" s="6">
        <f>IF(ISNA(MATCH(67,Engine!$C$2:$C$265,0)),"",INDEX('Compliance Database'!$I$2:$I$265,MATCH(67,Engine!$C$2:$C$265,0)))</f>
        <v>0</v>
      </c>
      <c r="J80" s="6" t="str">
        <f>IF(ISNA(MATCH(67,Engine!$C$2:$C$265,0)),"",INDEX('Compliance Database'!$J$2:$J$265,MATCH(67,Engine!$C$2:$C$265,0)))</f>
        <v>Financial Data</v>
      </c>
      <c r="K80" t="str">
        <f>IF(ISNA(MATCH(67,Engine!$C$2:$C$265,0)),"",INDEX('Compliance Database'!$K$2:$K$265,MATCH(67,Engine!$C$2:$C$265,0)))</f>
        <v>Judge</v>
      </c>
      <c r="L80" s="6" t="str">
        <f>IF(ISNA(MATCH(67,Engine!$C$2:$C$265,0)),"",INDEX('Compliance Database'!$L$2:$L$265,MATCH(67,Engine!$C$2:$C$265,0)))</f>
        <v>Judges may order institutions to report transactions suspected of money laundering.</v>
      </c>
      <c r="M80" s="6" t="str">
        <f>IF(ISNA(MATCH(67,Engine!$C$2:$C$265,0)),"",INDEX('Compliance Database'!$M$2:$M$265,MATCH(67,Engine!$C$2:$C$265,0)))</f>
        <v>Judges can order institutions to report transactions for money laundering monitoring.</v>
      </c>
      <c r="N80" s="6" t="str">
        <f>IF(ISNA(MATCH(67,Engine!$C$2:$C$265,0)),"",INDEX('Compliance Database'!$N$2:$N$265,MATCH(67,Engine!$C$2:$C$265,0)))</f>
        <v>[May] A judge designated by the Minister of Justice for the purposes of the Interception and Monitoring Prohibition Act, 1992, may, upon written application by the Centre, order an accountable institution to report to the Centre, on such terms and in such confidential manner as may be specified in the order, all transactions concluded by a specified person with the accountable institution or all transactions conducted in respect of a specified account or facility at the accountable institution, if there are reasonable grounds to suspect that- (a) that person has transferred or may transfer the proceeds of unlawful activities to the accountable institution or is using or may use the accountable institution for money laundering purposes or for the purpose of any transaction contemplated in section 29(1)(b); or (b) that account or other facility has received or may receive the proceeds of unlawful activities or is being or may be used for money laundering purposes or for the purpose of any transaction contemplated in section 29(1)(b).</v>
      </c>
      <c r="O80" s="6" t="str">
        <f>IF(ISNA(MATCH(67,Engine!$C$2:$C$265,0)),"",INDEX('Compliance Database'!$O$2:$O$265,MATCH(67,Engine!$C$2:$C$265,0)))</f>
        <v>35. (1) A judge designated by the Minister of Justice for the purposes of the Interception and Monitoring Prohibition Act, 1992, may, upon written application by the Centre, order an accountable institution to report to the Centre, on such terms and in such confidential manner as may be specified in the order, all transactions concluded by a specified person with the accountable institution or all transactions conducted in respect of a specified account or facility at the accountable institution, if there are reasonable grounds to suspect that- (a) that person has transferred or may transfer the proceeds of unlawful activities to the accountable institution or is using or may use the accountable institution for money laundering purposes or for the purpose of any transaction contemplated in section 29(1)(b); or (b) that account or other facility has received or may receive the proceeds of unlawful activities or is being or may be used for money laundering purposes or for the purpose of any transaction contemplated in section 29(1)(b).</v>
      </c>
    </row>
    <row r="81" spans="1:15" ht="158.4" x14ac:dyDescent="0.3">
      <c r="A81" t="str">
        <f>IF(ISNA(MATCH(68,Engine!$C$2:$C$265,0)),"",INDEX('Compliance Database'!$A$2:$A$265,MATCH(68,Engine!$C$2:$C$265,0)))</f>
        <v>South Africa</v>
      </c>
      <c r="B81" t="str">
        <f>IF(ISNA(MATCH(68,Engine!$C$2:$C$265,0)),"",INDEX('Compliance Database'!$B$2:$B$265,MATCH(68,Engine!$C$2:$C$265,0)))</f>
        <v>FICA (Financial Intelligence Centre Act, 38 of 2001</v>
      </c>
      <c r="C81" t="str">
        <f>IF(ISNA(MATCH(68,Engine!$C$2:$C$265,0)),"",INDEX('Compliance Database'!$C$2:$C$265,MATCH(68,Engine!$C$2:$C$265,0)))</f>
        <v>36</v>
      </c>
      <c r="D81" s="6" t="str">
        <f>IF(ISNA(MATCH(68,Engine!$C$2:$C$265,0)),"",INDEX('Compliance Database'!$D$2:$D$265,MATCH(68,Engine!$C$2:$C$265,0)))</f>
        <v>(1) If a supervisory  body or  the South African Revenue  Service knows  or  suspects</v>
      </c>
      <c r="E81" t="str">
        <f>IF(ISNA(MATCH(68,Engine!$C$2:$C$265,0)),"",INDEX('Compliance Database'!$E$2:$E$265,MATCH(68,Engine!$C$2:$C$265,0)))</f>
        <v>12</v>
      </c>
      <c r="F81" t="str">
        <f>IF(ISNA(MATCH(68,Engine!$C$2:$C$265,0)),"",INDEX('Compliance Database'!$F$2:$F$265,MATCH(68,Engine!$C$2:$C$265,0)))</f>
        <v>Incident Reporting</v>
      </c>
      <c r="G81" t="str">
        <f>IF(ISNA(MATCH(68,Engine!$C$2:$C$265,0)),"",INDEX('Compliance Database'!$G$2:$G$265,MATCH(68,Engine!$C$2:$C$265,0)))</f>
        <v>High</v>
      </c>
      <c r="H81" t="str">
        <f>IF(ISNA(MATCH(68,Engine!$C$2:$C$265,0)),"",INDEX('Compliance Database'!$H$2:$H$265,MATCH(68,Engine!$C$2:$C$265,0)))</f>
        <v>High (explicit)</v>
      </c>
      <c r="I81" s="6" t="str">
        <f>IF(ISNA(MATCH(68,Engine!$C$2:$C$265,0)),"",INDEX('Compliance Database'!$I$2:$I$265,MATCH(68,Engine!$C$2:$C$265,0)))</f>
        <v>Incident Reporting, Breach Notification</v>
      </c>
      <c r="J81" s="6" t="str">
        <f>IF(ISNA(MATCH(68,Engine!$C$2:$C$265,0)),"",INDEX('Compliance Database'!$J$2:$J$265,MATCH(68,Engine!$C$2:$C$265,0)))</f>
        <v>Financial Data</v>
      </c>
      <c r="K81" t="str">
        <f>IF(ISNA(MATCH(68,Engine!$C$2:$C$265,0)),"",INDEX('Compliance Database'!$K$2:$K$265,MATCH(68,Engine!$C$2:$C$265,0)))</f>
        <v>Financial Intelligence Centre (Centre)</v>
      </c>
      <c r="L81" s="6" t="str">
        <f>IF(ISNA(MATCH(68,Engine!$C$2:$C$265,0)),"",INDEX('Compliance Database'!$L$2:$L$265,MATCH(68,Engine!$C$2:$C$265,0)))</f>
        <v>Supervisory bodies or South African Revenue Service must report suspected money laundering activities to Centre with relevant information.</v>
      </c>
      <c r="M81" s="6" t="str">
        <f>IF(ISNA(MATCH(68,Engine!$C$2:$C$265,0)),"",INDEX('Compliance Database'!$M$2:$M$265,MATCH(68,Engine!$C$2:$C$265,0)))</f>
        <v>Requires reporting of suspected money laundering to Centre with supporting records for investigation.</v>
      </c>
      <c r="N81" s="6" t="str">
        <f>IF(ISNA(MATCH(68,Engine!$C$2:$C$265,0)),"",INDEX('Compliance Database'!$N$2:$N$265,MATCH(68,Engine!$C$2:$C$265,0)))</f>
        <v>[Must] If a supervisory body or South African Revenue Service knows or suspects an accountable institution has received proceeds of unlawful activities, must advise Centre and furnish all information and records reasonably required
[Must] If Centre believes supervisory body or South African Revenue Service may have information indicating money laundering, must request confirmation or rebuttal and furnish information if confirmed</v>
      </c>
      <c r="O81" s="6" t="str">
        <f>IF(ISNA(MATCH(68,Engine!$C$2:$C$265,0)),"",INDEX('Compliance Database'!$O$2:$O$265,MATCH(68,Engine!$C$2:$C$265,0)))</f>
        <v>36. (1) If a supervisory body or the South African Revenue Service knows or suspects that an accountable institution... has received or is about to receive the proceeds of unlawful activities... must advise the Centre of that fact and furnish the Centre with all information and any records...</v>
      </c>
    </row>
    <row r="82" spans="1:15" ht="100.8" x14ac:dyDescent="0.3">
      <c r="A82" t="str">
        <f>IF(ISNA(MATCH(69,Engine!$C$2:$C$265,0)),"",INDEX('Compliance Database'!$A$2:$A$265,MATCH(69,Engine!$C$2:$C$265,0)))</f>
        <v>South Africa</v>
      </c>
      <c r="B82" t="str">
        <f>IF(ISNA(MATCH(69,Engine!$C$2:$C$265,0)),"",INDEX('Compliance Database'!$B$2:$B$265,MATCH(69,Engine!$C$2:$C$265,0)))</f>
        <v>FICA (Financial Intelligence Centre Act, 38 of 2001</v>
      </c>
      <c r="C82" t="str">
        <f>IF(ISNA(MATCH(69,Engine!$C$2:$C$265,0)),"",INDEX('Compliance Database'!$C$2:$C$265,MATCH(69,Engine!$C$2:$C$265,0)))</f>
        <v>37</v>
      </c>
      <c r="D82" s="6" t="str">
        <f>IF(ISNA(MATCH(69,Engine!$C$2:$C$265,0)),"",INDEX('Compliance Database'!$D$2:$D$265,MATCH(69,Engine!$C$2:$C$265,0)))</f>
        <v>(1) Subject to subsection  (2),  no  duty of secrecy or confidentiality or any other</v>
      </c>
      <c r="E82" t="str">
        <f>IF(ISNA(MATCH(69,Engine!$C$2:$C$265,0)),"",INDEX('Compliance Database'!$E$2:$E$265,MATCH(69,Engine!$C$2:$C$265,0)))</f>
        <v>12–13</v>
      </c>
      <c r="F82" t="str">
        <f>IF(ISNA(MATCH(69,Engine!$C$2:$C$265,0)),"",INDEX('Compliance Database'!$F$2:$F$265,MATCH(69,Engine!$C$2:$C$265,0)))</f>
        <v>Incident Reporting</v>
      </c>
      <c r="G82" t="str">
        <f>IF(ISNA(MATCH(69,Engine!$C$2:$C$265,0)),"",INDEX('Compliance Database'!$G$2:$G$265,MATCH(69,Engine!$C$2:$C$265,0)))</f>
        <v>High</v>
      </c>
      <c r="H82" t="str">
        <f>IF(ISNA(MATCH(69,Engine!$C$2:$C$265,0)),"",INDEX('Compliance Database'!$H$2:$H$265,MATCH(69,Engine!$C$2:$C$265,0)))</f>
        <v>High (explicit)</v>
      </c>
      <c r="I82" s="6" t="str">
        <f>IF(ISNA(MATCH(69,Engine!$C$2:$C$265,0)),"",INDEX('Compliance Database'!$I$2:$I$265,MATCH(69,Engine!$C$2:$C$265,0)))</f>
        <v>Incident Reporting, Breach Notification</v>
      </c>
      <c r="J82" s="6" t="str">
        <f>IF(ISNA(MATCH(69,Engine!$C$2:$C$265,0)),"",INDEX('Compliance Database'!$J$2:$J$265,MATCH(69,Engine!$C$2:$C$265,0)))</f>
        <v>Financial Data</v>
      </c>
      <c r="K82" t="str">
        <f>IF(ISNA(MATCH(69,Engine!$C$2:$C$265,0)),"",INDEX('Compliance Database'!$K$2:$K$265,MATCH(69,Engine!$C$2:$C$265,0)))</f>
        <v>Financial Intelligence Centre (Centre)</v>
      </c>
      <c r="L82" s="6" t="str">
        <f>IF(ISNA(MATCH(69,Engine!$C$2:$C$265,0)),"",INDEX('Compliance Database'!$L$2:$L$265,MATCH(69,Engine!$C$2:$C$265,0)))</f>
        <v>No duty of secrecy affects compliance with reporting obligations to Centre for money laundering investigations.</v>
      </c>
      <c r="M82" s="6" t="str">
        <f>IF(ISNA(MATCH(69,Engine!$C$2:$C$265,0)),"",INDEX('Compliance Database'!$M$2:$M$265,MATCH(69,Engine!$C$2:$C$265,0)))</f>
        <v>Compliance with reporting to Centre is not subject to confidentiality obligations.</v>
      </c>
      <c r="N82" s="6" t="str">
        <f>IF(ISNA(MATCH(69,Engine!$C$2:$C$265,0)),"",INDEX('Compliance Database'!$N$2:$N$265,MATCH(69,Engine!$C$2:$C$265,0)))</f>
        <v>[Must] No duty of secrecy or confidentiality affects compliance by accountable institutions, supervisory bodies, reporting institutions, South African Revenue Service with reporting provisions of this Part</v>
      </c>
      <c r="O82" s="6" t="str">
        <f>IF(ISNA(MATCH(69,Engine!$C$2:$C$265,0)),"",INDEX('Compliance Database'!$O$2:$O$265,MATCH(69,Engine!$C$2:$C$265,0)))</f>
        <v>37. (1) Subject to subsection (2), no duty of secrecy or confidentiality or any other restriction on the disclosure of information... affects compliance by an accountable institution, reporting institution, supervisory body, reporting institution, South African Revenue Service or any other person with a provision of this Part.</v>
      </c>
    </row>
    <row r="83" spans="1:15" ht="72" x14ac:dyDescent="0.3">
      <c r="A83" t="str">
        <f>IF(ISNA(MATCH(70,Engine!$C$2:$C$265,0)),"",INDEX('Compliance Database'!$A$2:$A$265,MATCH(70,Engine!$C$2:$C$265,0)))</f>
        <v>South Africa</v>
      </c>
      <c r="B83" t="str">
        <f>IF(ISNA(MATCH(70,Engine!$C$2:$C$265,0)),"",INDEX('Compliance Database'!$B$2:$B$265,MATCH(70,Engine!$C$2:$C$265,0)))</f>
        <v>FICA (Financial Intelligence Centre Act, 38 of 2001</v>
      </c>
      <c r="C83" t="str">
        <f>IF(ISNA(MATCH(70,Engine!$C$2:$C$265,0)),"",INDEX('Compliance Database'!$C$2:$C$265,MATCH(70,Engine!$C$2:$C$265,0)))</f>
        <v>38</v>
      </c>
      <c r="D83" s="6" t="str">
        <f>IF(ISNA(MATCH(70,Engine!$C$2:$C$265,0)),"",INDEX('Compliance Database'!$D$2:$D$265,MATCH(70,Engine!$C$2:$C$265,0)))</f>
        <v>(1) No action, whether criminal  or  civil,  lies  against an accountable institution,</v>
      </c>
      <c r="E83" t="str">
        <f>IF(ISNA(MATCH(70,Engine!$C$2:$C$265,0)),"",INDEX('Compliance Database'!$E$2:$E$265,MATCH(70,Engine!$C$2:$C$265,0)))</f>
        <v>13</v>
      </c>
      <c r="F83" t="str">
        <f>IF(ISNA(MATCH(70,Engine!$C$2:$C$265,0)),"",INDEX('Compliance Database'!$F$2:$F$265,MATCH(70,Engine!$C$2:$C$265,0)))</f>
        <v>Incident Reporting</v>
      </c>
      <c r="G83" t="str">
        <f>IF(ISNA(MATCH(70,Engine!$C$2:$C$265,0)),"",INDEX('Compliance Database'!$G$2:$G$265,MATCH(70,Engine!$C$2:$C$265,0)))</f>
        <v>High</v>
      </c>
      <c r="H83" t="str">
        <f>IF(ISNA(MATCH(70,Engine!$C$2:$C$265,0)),"",INDEX('Compliance Database'!$H$2:$H$265,MATCH(70,Engine!$C$2:$C$265,0)))</f>
        <v>High (explicit)</v>
      </c>
      <c r="I83" s="6" t="str">
        <f>IF(ISNA(MATCH(70,Engine!$C$2:$C$265,0)),"",INDEX('Compliance Database'!$I$2:$I$265,MATCH(70,Engine!$C$2:$C$265,0)))</f>
        <v>Incident Reporting, Breach Notification</v>
      </c>
      <c r="J83" s="6" t="str">
        <f>IF(ISNA(MATCH(70,Engine!$C$2:$C$265,0)),"",INDEX('Compliance Database'!$J$2:$J$265,MATCH(70,Engine!$C$2:$C$265,0)))</f>
        <v>Financial Data</v>
      </c>
      <c r="K83" t="str">
        <f>IF(ISNA(MATCH(70,Engine!$C$2:$C$265,0)),"",INDEX('Compliance Database'!$K$2:$K$265,MATCH(70,Engine!$C$2:$C$265,0)))</f>
        <v>Financial Intelligence Centre (Centre)</v>
      </c>
      <c r="L83" s="6" t="str">
        <f>IF(ISNA(MATCH(70,Engine!$C$2:$C$265,0)),"",INDEX('Compliance Database'!$L$2:$L$265,MATCH(70,Engine!$C$2:$C$265,0)))</f>
        <v>No legal action lies against entities complying with reporting obligations to Centre for money laundering investigations.</v>
      </c>
      <c r="M83" s="6" t="str">
        <f>IF(ISNA(MATCH(70,Engine!$C$2:$C$265,0)),"",INDEX('Compliance Database'!$M$2:$M$265,MATCH(70,Engine!$C$2:$C$265,0)))</f>
        <v>Reporting to Centre for money laundering investigations is protected from legal consequences.</v>
      </c>
      <c r="N83" s="6" t="str">
        <f>IF(ISNA(MATCH(70,Engine!$C$2:$C$265,0)),"",INDEX('Compliance Database'!$N$2:$N$265,MATCH(70,Engine!$C$2:$C$265,0)))</f>
        <v>[Must] No action, whether criminal or civil, lies against an accountable institution, reporting institution, supervisory body, South African Revenue Service or any other person complying in good faith with a provision of this Part</v>
      </c>
      <c r="O83" s="6" t="str">
        <f>IF(ISNA(MATCH(70,Engine!$C$2:$C$265,0)),"",INDEX('Compliance Database'!$O$2:$O$265,MATCH(70,Engine!$C$2:$C$265,0)))</f>
        <v>38. (1) No action, whether criminal or civil, lies against an accountable institution, reporting institution, supervisory body, South African Revenue Service or any other person complying in good faith with a provision of this Part...</v>
      </c>
    </row>
    <row r="84" spans="1:15" ht="100.8" x14ac:dyDescent="0.3">
      <c r="A84" t="str">
        <f>IF(ISNA(MATCH(71,Engine!$C$2:$C$265,0)),"",INDEX('Compliance Database'!$A$2:$A$265,MATCH(71,Engine!$C$2:$C$265,0)))</f>
        <v>South Africa</v>
      </c>
      <c r="B84" t="str">
        <f>IF(ISNA(MATCH(71,Engine!$C$2:$C$265,0)),"",INDEX('Compliance Database'!$B$2:$B$265,MATCH(71,Engine!$C$2:$C$265,0)))</f>
        <v>FICA (Financial Intelligence Centre Act, 38 of 2001</v>
      </c>
      <c r="C84" t="str">
        <f>IF(ISNA(MATCH(71,Engine!$C$2:$C$265,0)),"",INDEX('Compliance Database'!$C$2:$C$265,MATCH(71,Engine!$C$2:$C$265,0)))</f>
        <v>40</v>
      </c>
      <c r="D84" s="6" t="str">
        <f>IF(ISNA(MATCH(71,Engine!$C$2:$C$265,0)),"",INDEX('Compliance Database'!$D$2:$D$265,MATCH(71,Engine!$C$2:$C$265,0)))</f>
        <v>(1) No person is entitled  to  information held by the  Centre, except-</v>
      </c>
      <c r="E84" t="str">
        <f>IF(ISNA(MATCH(71,Engine!$C$2:$C$265,0)),"",INDEX('Compliance Database'!$E$2:$E$265,MATCH(71,Engine!$C$2:$C$265,0)))</f>
        <v>13–14</v>
      </c>
      <c r="F84" t="str">
        <f>IF(ISNA(MATCH(71,Engine!$C$2:$C$265,0)),"",INDEX('Compliance Database'!$F$2:$F$265,MATCH(71,Engine!$C$2:$C$265,0)))</f>
        <v>Incident Reporting</v>
      </c>
      <c r="G84" t="str">
        <f>IF(ISNA(MATCH(71,Engine!$C$2:$C$265,0)),"",INDEX('Compliance Database'!$G$2:$G$265,MATCH(71,Engine!$C$2:$C$265,0)))</f>
        <v>High</v>
      </c>
      <c r="H84" t="str">
        <f>IF(ISNA(MATCH(71,Engine!$C$2:$C$265,0)),"",INDEX('Compliance Database'!$H$2:$H$265,MATCH(71,Engine!$C$2:$C$265,0)))</f>
        <v>High (explicit)</v>
      </c>
      <c r="I84" s="6" t="str">
        <f>IF(ISNA(MATCH(71,Engine!$C$2:$C$265,0)),"",INDEX('Compliance Database'!$I$2:$I$265,MATCH(71,Engine!$C$2:$C$265,0)))</f>
        <v>Incident Reporting, Breach Notification</v>
      </c>
      <c r="J84" s="6" t="str">
        <f>IF(ISNA(MATCH(71,Engine!$C$2:$C$265,0)),"",INDEX('Compliance Database'!$J$2:$J$265,MATCH(71,Engine!$C$2:$C$265,0)))</f>
        <v>Financial Data</v>
      </c>
      <c r="K84" t="str">
        <f>IF(ISNA(MATCH(71,Engine!$C$2:$C$265,0)),"",INDEX('Compliance Database'!$K$2:$K$265,MATCH(71,Engine!$C$2:$C$265,0)))</f>
        <v>Financial Intelligence Centre (Centre)</v>
      </c>
      <c r="L84" s="6" t="str">
        <f>IF(ISNA(MATCH(71,Engine!$C$2:$C$265,0)),"",INDEX('Compliance Database'!$L$2:$L$265,MATCH(71,Engine!$C$2:$C$265,0)))</f>
        <v>Centre may disclose information to specific entities for money laundering investigations with safeguards.</v>
      </c>
      <c r="M84" s="6" t="str">
        <f>IF(ISNA(MATCH(71,Engine!$C$2:$C$265,0)),"",INDEX('Compliance Database'!$M$2:$M$265,MATCH(71,Engine!$C$2:$C$265,0)))</f>
        <v>Centre may share information with investigating authorities, intelligence services, accountable institutions, and supervisory bodies for money laundering investigations with confidentiality safeguards.</v>
      </c>
      <c r="N84" s="6" t="str">
        <f>IF(ISNA(MATCH(71,Engine!$C$2:$C$265,0)),"",INDEX('Compliance Database'!$N$2:$N$265,MATCH(71,Engine!$C$2:$C$265,0)))</f>
        <v>[Must] No person entitled to information held by Centre except investigating authorities, intelligence services, accountable institutions, supervisory bodies, courts or entities with written agreements</v>
      </c>
      <c r="O84" s="6" t="str">
        <f>IF(ISNA(MATCH(71,Engine!$C$2:$C$265,0)),"",INDEX('Compliance Database'!$O$2:$O$265,MATCH(71,Engine!$C$2:$C$265,0)))</f>
        <v>40. (1) No person is entitled to information held by the Centre, except- (a) an investigating authority inside the Republic... (b) an entity outside the Republic performing similar functions... (c) an accountable institution... (d) a supervisory body... (e) in terms of an order of a court; or (f) in terms of other national legislation.</v>
      </c>
    </row>
    <row r="85" spans="1:15" ht="100.8" x14ac:dyDescent="0.3">
      <c r="A85" t="str">
        <f>IF(ISNA(MATCH(72,Engine!$C$2:$C$265,0)),"",INDEX('Compliance Database'!$A$2:$A$265,MATCH(72,Engine!$C$2:$C$265,0)))</f>
        <v>South Africa</v>
      </c>
      <c r="B85" t="str">
        <f>IF(ISNA(MATCH(72,Engine!$C$2:$C$265,0)),"",INDEX('Compliance Database'!$B$2:$B$265,MATCH(72,Engine!$C$2:$C$265,0)))</f>
        <v>FICA (Financial Intelligence Centre Act, 38 of 2001</v>
      </c>
      <c r="C85" t="str">
        <f>IF(ISNA(MATCH(72,Engine!$C$2:$C$265,0)),"",INDEX('Compliance Database'!$C$2:$C$265,MATCH(72,Engine!$C$2:$C$265,0)))</f>
        <v>41</v>
      </c>
      <c r="D85" s="6" t="str">
        <f>IF(ISNA(MATCH(72,Engine!$C$2:$C$265,0)),"",INDEX('Compliance Database'!$D$2:$D$265,MATCH(72,Engine!$C$2:$C$265,0)))</f>
        <v>No person may  disclose confidential information  held by or obtained from the</v>
      </c>
      <c r="E85" t="str">
        <f>IF(ISNA(MATCH(72,Engine!$C$2:$C$265,0)),"",INDEX('Compliance Database'!$E$2:$E$265,MATCH(72,Engine!$C$2:$C$265,0)))</f>
        <v>14</v>
      </c>
      <c r="F85" t="str">
        <f>IF(ISNA(MATCH(72,Engine!$C$2:$C$265,0)),"",INDEX('Compliance Database'!$F$2:$F$265,MATCH(72,Engine!$C$2:$C$265,0)))</f>
        <v>Incident Reporting</v>
      </c>
      <c r="G85" t="str">
        <f>IF(ISNA(MATCH(72,Engine!$C$2:$C$265,0)),"",INDEX('Compliance Database'!$G$2:$G$265,MATCH(72,Engine!$C$2:$C$265,0)))</f>
        <v>High</v>
      </c>
      <c r="H85" t="str">
        <f>IF(ISNA(MATCH(72,Engine!$C$2:$C$265,0)),"",INDEX('Compliance Database'!$H$2:$H$265,MATCH(72,Engine!$C$2:$C$265,0)))</f>
        <v>High (explicit)</v>
      </c>
      <c r="I85" s="6" t="str">
        <f>IF(ISNA(MATCH(72,Engine!$C$2:$C$265,0)),"",INDEX('Compliance Database'!$I$2:$I$265,MATCH(72,Engine!$C$2:$C$265,0)))</f>
        <v>Incident Reporting, Breach Notification</v>
      </c>
      <c r="J85" s="6" t="str">
        <f>IF(ISNA(MATCH(72,Engine!$C$2:$C$265,0)),"",INDEX('Compliance Database'!$J$2:$J$265,MATCH(72,Engine!$C$2:$C$265,0)))</f>
        <v>Financial Data</v>
      </c>
      <c r="K85" t="str">
        <f>IF(ISNA(MATCH(72,Engine!$C$2:$C$265,0)),"",INDEX('Compliance Database'!$K$2:$K$265,MATCH(72,Engine!$C$2:$C$265,0)))</f>
        <v>Financial Intelligence Centre (Centre)</v>
      </c>
      <c r="L85" s="6" t="str">
        <f>IF(ISNA(MATCH(72,Engine!$C$2:$C$265,0)),"",INDEX('Compliance Database'!$L$2:$L$265,MATCH(72,Engine!$C$2:$C$265,0)))</f>
        <v>Confidential information held by Centre may not be disclosed except for specific purposes.</v>
      </c>
      <c r="M85" s="6" t="str">
        <f>IF(ISNA(MATCH(72,Engine!$C$2:$C$265,0)),"",INDEX('Compliance Database'!$M$2:$M$265,MATCH(72,Engine!$C$2:$C$265,0)))</f>
        <v>Centre's confidential information may only be disclosed for specific purposes like legal proceedings, compliance with legislation, or with Centre's permission.</v>
      </c>
      <c r="N85" s="6" t="str">
        <f>IF(ISNA(MATCH(72,Engine!$C$2:$C$265,0)),"",INDEX('Compliance Database'!$N$2:$N$265,MATCH(72,Engine!$C$2:$C$265,0)))</f>
        <v>[Must] No person may disclose confidential information held by or obtained from Centre except within scope of powers, for carrying out provisions of Act, with Centre's permission, for legal proceedings, or in terms of court order</v>
      </c>
      <c r="O85" s="6" t="str">
        <f>IF(ISNA(MATCH(72,Engine!$C$2:$C$265,0)),"",INDEX('Compliance Database'!$O$2:$O$265,MATCH(72,Engine!$C$2:$C$265,0)))</f>
        <v>41. No person may disclose confidential information held by or obtained from the Centre except- (a) within the scope of that person's powers and duties in terms of any legislation; (b) for the purpose of carrying out the provisions of this Act; (c) with the permission of the Centre; (d) for the purpose of legal proceedings... (e) in terms of an order of court.</v>
      </c>
    </row>
    <row r="86" spans="1:15" ht="172.8" x14ac:dyDescent="0.3">
      <c r="A86" t="str">
        <f>IF(ISNA(MATCH(73,Engine!$C$2:$C$265,0)),"",INDEX('Compliance Database'!$A$2:$A$265,MATCH(73,Engine!$C$2:$C$265,0)))</f>
        <v>South Africa</v>
      </c>
      <c r="B86" t="str">
        <f>IF(ISNA(MATCH(73,Engine!$C$2:$C$265,0)),"",INDEX('Compliance Database'!$B$2:$B$265,MATCH(73,Engine!$C$2:$C$265,0)))</f>
        <v>FICA (Financial Intelligence Centre Act, 38 of 2001</v>
      </c>
      <c r="C86" t="str">
        <f>IF(ISNA(MATCH(73,Engine!$C$2:$C$265,0)),"",INDEX('Compliance Database'!$C$2:$C$265,MATCH(73,Engine!$C$2:$C$265,0)))</f>
        <v>42</v>
      </c>
      <c r="D86" s="6" t="str">
        <f>IF(ISNA(MATCH(73,Engine!$C$2:$C$265,0)),"",INDEX('Compliance Database'!$D$2:$D$265,MATCH(73,Engine!$C$2:$C$265,0)))</f>
        <v>(1) An accountable institution must formulate and implement internal rules</v>
      </c>
      <c r="E86" t="str">
        <f>IF(ISNA(MATCH(73,Engine!$C$2:$C$265,0)),"",INDEX('Compliance Database'!$E$2:$E$265,MATCH(73,Engine!$C$2:$C$265,0)))</f>
        <v>14–15</v>
      </c>
      <c r="F86" t="str">
        <f>IF(ISNA(MATCH(73,Engine!$C$2:$C$265,0)),"",INDEX('Compliance Database'!$F$2:$F$265,MATCH(73,Engine!$C$2:$C$265,0)))</f>
        <v>Incident Reporting</v>
      </c>
      <c r="G86" t="str">
        <f>IF(ISNA(MATCH(73,Engine!$C$2:$C$265,0)),"",INDEX('Compliance Database'!$G$2:$G$265,MATCH(73,Engine!$C$2:$C$265,0)))</f>
        <v>High</v>
      </c>
      <c r="H86" t="str">
        <f>IF(ISNA(MATCH(73,Engine!$C$2:$C$265,0)),"",INDEX('Compliance Database'!$H$2:$H$265,MATCH(73,Engine!$C$2:$C$265,0)))</f>
        <v>High (explicit)</v>
      </c>
      <c r="I86" s="6" t="str">
        <f>IF(ISNA(MATCH(73,Engine!$C$2:$C$265,0)),"",INDEX('Compliance Database'!$I$2:$I$265,MATCH(73,Engine!$C$2:$C$265,0)))</f>
        <v>Incident Reporting, Breach Notification</v>
      </c>
      <c r="J86" s="6" t="str">
        <f>IF(ISNA(MATCH(73,Engine!$C$2:$C$265,0)),"",INDEX('Compliance Database'!$J$2:$J$265,MATCH(73,Engine!$C$2:$C$265,0)))</f>
        <v>Financial Data</v>
      </c>
      <c r="K86" t="str">
        <f>IF(ISNA(MATCH(73,Engine!$C$2:$C$265,0)),"",INDEX('Compliance Database'!$K$2:$K$265,MATCH(73,Engine!$C$2:$C$265,0)))</f>
        <v>Financial Intelligence Centre (Centre)</v>
      </c>
      <c r="L86" s="6" t="str">
        <f>IF(ISNA(MATCH(73,Engine!$C$2:$C$265,0)),"",INDEX('Compliance Database'!$L$2:$L$265,MATCH(73,Engine!$C$2:$C$265,0)))</f>
        <v>Accountable institutions must create internal rules for identifying persons, record-keeping, and transaction reporting.</v>
      </c>
      <c r="M86" s="6" t="str">
        <f>IF(ISNA(MATCH(73,Engine!$C$2:$C$265,0)),"",INDEX('Compliance Database'!$M$2:$M$265,MATCH(73,Engine!$C$2:$C$265,0)))</f>
        <v>Accountable institutions must implement internal rules for identifying persons, record-keeping, and transaction reporting to comply with money laundering regulations.</v>
      </c>
      <c r="N86" s="6" t="str">
        <f>IF(ISNA(MATCH(73,Engine!$C$2:$C$265,0)),"",INDEX('Compliance Database'!$N$2:$N$265,MATCH(73,Engine!$C$2:$C$265,0)))</f>
        <v>[Must] Accountable institution must formulate and implement internal rules concerning establishment and verification of identity of persons, information to be kept, manner of keeping records, steps to determine reportable transactions</v>
      </c>
      <c r="O86" s="6" t="str">
        <f>IF(ISNA(MATCH(73,Engine!$C$2:$C$265,0)),"",INDEX('Compliance Database'!$O$2:$O$265,MATCH(73,Engine!$C$2:$C$265,0)))</f>
        <v>42. (1) An accountable institution must formulate and implement internal rules concerning- (a) the establishment and verification of the identity of persons whom the institution must identify in terms of Part 1 of this Chapter; (b) the information of which record must be kept in terms of Part 2 of this Chapter; (c) the manner in which and place at which such records must be kept; (d) the steps to be taken to determine when a transaction is reportable to ensure the institution complies with its duties under this Act; and (e) such other matters as may be prescribed.</v>
      </c>
    </row>
    <row r="87" spans="1:15" ht="129.6" x14ac:dyDescent="0.3">
      <c r="A87" t="str">
        <f>IF(ISNA(MATCH(74,Engine!$C$2:$C$265,0)),"",INDEX('Compliance Database'!$A$2:$A$265,MATCH(74,Engine!$C$2:$C$265,0)))</f>
        <v>South Africa</v>
      </c>
      <c r="B87" t="str">
        <f>IF(ISNA(MATCH(74,Engine!$C$2:$C$265,0)),"",INDEX('Compliance Database'!$B$2:$B$265,MATCH(74,Engine!$C$2:$C$265,0)))</f>
        <v>FICA (Financial Intelligence Centre Act, 38 of 2001</v>
      </c>
      <c r="C87" t="str">
        <f>IF(ISNA(MATCH(74,Engine!$C$2:$C$265,0)),"",INDEX('Compliance Database'!$C$2:$C$265,MATCH(74,Engine!$C$2:$C$265,0)))</f>
        <v>43</v>
      </c>
      <c r="D87" s="6" t="str">
        <f>IF(ISNA(MATCH(74,Engine!$C$2:$C$265,0)),"",INDEX('Compliance Database'!$D$2:$D$265,MATCH(74,Engine!$C$2:$C$265,0)))</f>
        <v>An accountable institution must-</v>
      </c>
      <c r="E87" t="str">
        <f>IF(ISNA(MATCH(74,Engine!$C$2:$C$265,0)),"",INDEX('Compliance Database'!$E$2:$E$265,MATCH(74,Engine!$C$2:$C$265,0)))</f>
        <v>15</v>
      </c>
      <c r="F87" t="str">
        <f>IF(ISNA(MATCH(74,Engine!$C$2:$C$265,0)),"",INDEX('Compliance Database'!$F$2:$F$265,MATCH(74,Engine!$C$2:$C$265,0)))</f>
        <v>Incident Reporting</v>
      </c>
      <c r="G87" t="str">
        <f>IF(ISNA(MATCH(74,Engine!$C$2:$C$265,0)),"",INDEX('Compliance Database'!$G$2:$G$265,MATCH(74,Engine!$C$2:$C$265,0)))</f>
        <v>High</v>
      </c>
      <c r="H87" t="str">
        <f>IF(ISNA(MATCH(74,Engine!$C$2:$C$265,0)),"",INDEX('Compliance Database'!$H$2:$H$265,MATCH(74,Engine!$C$2:$C$265,0)))</f>
        <v>High (explicit)</v>
      </c>
      <c r="I87" s="6" t="str">
        <f>IF(ISNA(MATCH(74,Engine!$C$2:$C$265,0)),"",INDEX('Compliance Database'!$I$2:$I$265,MATCH(74,Engine!$C$2:$C$265,0)))</f>
        <v>Incident Reporting, Breach Notification</v>
      </c>
      <c r="J87" s="6" t="str">
        <f>IF(ISNA(MATCH(74,Engine!$C$2:$C$265,0)),"",INDEX('Compliance Database'!$J$2:$J$265,MATCH(74,Engine!$C$2:$C$265,0)))</f>
        <v>Financial Data</v>
      </c>
      <c r="K87" t="str">
        <f>IF(ISNA(MATCH(74,Engine!$C$2:$C$265,0)),"",INDEX('Compliance Database'!$K$2:$K$265,MATCH(74,Engine!$C$2:$C$265,0)))</f>
        <v>Financial Intelligence Centre (Centre)</v>
      </c>
      <c r="L87" s="6" t="str">
        <f>IF(ISNA(MATCH(74,Engine!$C$2:$C$265,0)),"",INDEX('Compliance Database'!$L$2:$L$265,MATCH(74,Engine!$C$2:$C$265,0)))</f>
        <v>Accountable institutions must provide training and appoint compliance officers.</v>
      </c>
      <c r="M87" s="6" t="str">
        <f>IF(ISNA(MATCH(74,Engine!$C$2:$C$265,0)),"",INDEX('Compliance Database'!$M$2:$M$265,MATCH(74,Engine!$C$2:$C$265,0)))</f>
        <v>Accountable institutions must train employees and appoint compliance officers to ensure adherence to money laundering regulations.</v>
      </c>
      <c r="N87" s="6" t="str">
        <f>IF(ISNA(MATCH(74,Engine!$C$2:$C$265,0)),"",INDEX('Compliance Database'!$N$2:$N$265,MATCH(74,Engine!$C$2:$C$265,0)))</f>
        <v>[Must] Accountable institution must provide training to employees to enable compliance with provisions of Act and internal rules
[Must] Accountable institution must appoint a person responsible for ensuring compliance with provisions of Act and internal rules</v>
      </c>
      <c r="O87" s="6" t="str">
        <f>IF(ISNA(MATCH(74,Engine!$C$2:$C$265,0)),"",INDEX('Compliance Database'!$O$2:$O$265,MATCH(74,Engine!$C$2:$C$265,0)))</f>
        <v>43. An accountable institution must- (a) provide training to its employees, to enable them to comply with the provisions of this Act and the internal rules applicable to them; (b) appoint a person with the responsibility to ensure compliance by- (i) the employees of the accountable institution with the provisions of this Act and the internal rules applicable to them; (ii) the accountable institution with its obligations under this Act.</v>
      </c>
    </row>
    <row r="88" spans="1:15" ht="115.2" x14ac:dyDescent="0.3">
      <c r="A88" t="str">
        <f>IF(ISNA(MATCH(75,Engine!$C$2:$C$265,0)),"",INDEX('Compliance Database'!$A$2:$A$265,MATCH(75,Engine!$C$2:$C$265,0)))</f>
        <v>South Africa</v>
      </c>
      <c r="B88" t="str">
        <f>IF(ISNA(MATCH(75,Engine!$C$2:$C$265,0)),"",INDEX('Compliance Database'!$B$2:$B$265,MATCH(75,Engine!$C$2:$C$265,0)))</f>
        <v>FICA (Financial Intelligence Centre Act, 38 of 2001</v>
      </c>
      <c r="C88" t="str">
        <f>IF(ISNA(MATCH(75,Engine!$C$2:$C$265,0)),"",INDEX('Compliance Database'!$C$2:$C$265,MATCH(75,Engine!$C$2:$C$265,0)))</f>
        <v>44</v>
      </c>
      <c r="D88" s="6" t="str">
        <f>IF(ISNA(MATCH(75,Engine!$C$2:$C$265,0)),"",INDEX('Compliance Database'!$D$2:$D$265,MATCH(75,Engine!$C$2:$C$265,0)))</f>
        <v>If the  Centre in the performance of  it,s functions  has  reasonable  grounds</v>
      </c>
      <c r="E88" t="str">
        <f>IF(ISNA(MATCH(75,Engine!$C$2:$C$265,0)),"",INDEX('Compliance Database'!$E$2:$E$265,MATCH(75,Engine!$C$2:$C$265,0)))</f>
        <v>15</v>
      </c>
      <c r="F88" t="str">
        <f>IF(ISNA(MATCH(75,Engine!$C$2:$C$265,0)),"",INDEX('Compliance Database'!$F$2:$F$265,MATCH(75,Engine!$C$2:$C$265,0)))</f>
        <v>Incident Reporting</v>
      </c>
      <c r="G88" t="str">
        <f>IF(ISNA(MATCH(75,Engine!$C$2:$C$265,0)),"",INDEX('Compliance Database'!$G$2:$G$265,MATCH(75,Engine!$C$2:$C$265,0)))</f>
        <v>High</v>
      </c>
      <c r="H88" t="str">
        <f>IF(ISNA(MATCH(75,Engine!$C$2:$C$265,0)),"",INDEX('Compliance Database'!$H$2:$H$265,MATCH(75,Engine!$C$2:$C$265,0)))</f>
        <v>High (explicit)</v>
      </c>
      <c r="I88" s="6" t="str">
        <f>IF(ISNA(MATCH(75,Engine!$C$2:$C$265,0)),"",INDEX('Compliance Database'!$I$2:$I$265,MATCH(75,Engine!$C$2:$C$265,0)))</f>
        <v>Incident Reporting, Breach Notification</v>
      </c>
      <c r="J88" s="6" t="str">
        <f>IF(ISNA(MATCH(75,Engine!$C$2:$C$265,0)),"",INDEX('Compliance Database'!$J$2:$J$265,MATCH(75,Engine!$C$2:$C$265,0)))</f>
        <v>Financial Data</v>
      </c>
      <c r="K88" t="str">
        <f>IF(ISNA(MATCH(75,Engine!$C$2:$C$265,0)),"",INDEX('Compliance Database'!$K$2:$K$265,MATCH(75,Engine!$C$2:$C$265,0)))</f>
        <v>Financial Intelligence Centre (Centre)</v>
      </c>
      <c r="L88" s="6" t="str">
        <f>IF(ISNA(MATCH(75,Engine!$C$2:$C$265,0)),"",INDEX('Compliance Database'!$L$2:$L$265,MATCH(75,Engine!$C$2:$C$265,0)))</f>
        <v>Centre may refer suspected non-compliance to supervisory bodies or investigating authorities.</v>
      </c>
      <c r="M88" s="6" t="str">
        <f>IF(ISNA(MATCH(75,Engine!$C$2:$C$265,0)),"",INDEX('Compliance Database'!$M$2:$M$265,MATCH(75,Engine!$C$2:$C$265,0)))</f>
        <v>Centre may refer suspected money laundering non-compliance to supervisory bodies or investigating authorities for remedial action.</v>
      </c>
      <c r="N88" s="6" t="str">
        <f>IF(ISNA(MATCH(75,Engine!$C$2:$C$265,0)),"",INDEX('Compliance Database'!$N$2:$N$265,MATCH(75,Engine!$C$2:$C$265,0)))</f>
        <v>[May] If Centre has reasonable grounds to suspect non-compliance, may refer matter to relevant investigating authority or supervisory body</v>
      </c>
      <c r="O88" s="6" t="str">
        <f>IF(ISNA(MATCH(75,Engine!$C$2:$C$265,0)),"",INDEX('Compliance Database'!$O$2:$O$265,MATCH(75,Engine!$C$2:$C$265,0)))</f>
        <v>44. If the Centre in the performance of its functions has reasonable grounds to suspect that an accountable institution... has contravened or failed to comply with any provision of this Act... it may, if it considers it appropriate to do so, refer the matter to- (a) a relevant investigating authority; or (b) an appropriate supervisory body or other public body or authority detected by it...</v>
      </c>
    </row>
    <row r="89" spans="1:15" ht="57.6" x14ac:dyDescent="0.3">
      <c r="A89" t="str">
        <f>IF(ISNA(MATCH(76,Engine!$C$2:$C$265,0)),"",INDEX('Compliance Database'!$A$2:$A$265,MATCH(76,Engine!$C$2:$C$265,0)))</f>
        <v>South Africa</v>
      </c>
      <c r="B89" t="str">
        <f>IF(ISNA(MATCH(76,Engine!$C$2:$C$265,0)),"",INDEX('Compliance Database'!$B$2:$B$265,MATCH(76,Engine!$C$2:$C$265,0)))</f>
        <v>FICA (Financial Intelligence Centre Act, 38 of 2001</v>
      </c>
      <c r="C89" t="str">
        <f>IF(ISNA(MATCH(76,Engine!$C$2:$C$265,0)),"",INDEX('Compliance Database'!$C$2:$C$265,MATCH(76,Engine!$C$2:$C$265,0)))</f>
        <v>45</v>
      </c>
      <c r="D89" s="6" t="str">
        <f>IF(ISNA(MATCH(76,Engine!$C$2:$C$265,0)),"",INDEX('Compliance Database'!$D$2:$D$265,MATCH(76,Engine!$C$2:$C$265,0)))</f>
        <v>(1) Each supervisory body is responsible for supervising compliance with the</v>
      </c>
      <c r="E89" t="str">
        <f>IF(ISNA(MATCH(76,Engine!$C$2:$C$265,0)),"",INDEX('Compliance Database'!$E$2:$E$265,MATCH(76,Engine!$C$2:$C$265,0)))</f>
        <v>15</v>
      </c>
      <c r="F89" t="str">
        <f>IF(ISNA(MATCH(76,Engine!$C$2:$C$265,0)),"",INDEX('Compliance Database'!$F$2:$F$265,MATCH(76,Engine!$C$2:$C$265,0)))</f>
        <v>Incident Reporting</v>
      </c>
      <c r="G89" t="str">
        <f>IF(ISNA(MATCH(76,Engine!$C$2:$C$265,0)),"",INDEX('Compliance Database'!$G$2:$G$265,MATCH(76,Engine!$C$2:$C$265,0)))</f>
        <v>High</v>
      </c>
      <c r="H89" t="str">
        <f>IF(ISNA(MATCH(76,Engine!$C$2:$C$265,0)),"",INDEX('Compliance Database'!$H$2:$H$265,MATCH(76,Engine!$C$2:$C$265,0)))</f>
        <v>High (explicit)</v>
      </c>
      <c r="I89" s="6" t="str">
        <f>IF(ISNA(MATCH(76,Engine!$C$2:$C$265,0)),"",INDEX('Compliance Database'!$I$2:$I$265,MATCH(76,Engine!$C$2:$C$265,0)))</f>
        <v>Incident Reporting, Breach Notification</v>
      </c>
      <c r="J89" s="6" t="str">
        <f>IF(ISNA(MATCH(76,Engine!$C$2:$C$265,0)),"",INDEX('Compliance Database'!$J$2:$J$265,MATCH(76,Engine!$C$2:$C$265,0)))</f>
        <v>Financial Data</v>
      </c>
      <c r="K89" t="str">
        <f>IF(ISNA(MATCH(76,Engine!$C$2:$C$265,0)),"",INDEX('Compliance Database'!$K$2:$K$265,MATCH(76,Engine!$C$2:$C$265,0)))</f>
        <v>Financial Intelligence Centre (Centre)</v>
      </c>
      <c r="L89" s="6" t="str">
        <f>IF(ISNA(MATCH(76,Engine!$C$2:$C$265,0)),"",INDEX('Compliance Database'!$L$2:$L$265,MATCH(76,Engine!$C$2:$C$265,0)))</f>
        <v>Supervisory bodies must investigate Centre referrals and remedy suspected non-compliance.</v>
      </c>
      <c r="M89" s="6" t="str">
        <f>IF(ISNA(MATCH(76,Engine!$C$2:$C$265,0)),"",INDEX('Compliance Database'!$M$2:$M$265,MATCH(76,Engine!$C$2:$C$265,0)))</f>
        <v>Supervisory bodies must investigate Centre referrals and take steps to remedy suspected money laundering non-compliance.</v>
      </c>
      <c r="N89" s="6" t="str">
        <f>IF(ISNA(MATCH(76,Engine!$C$2:$C$265,0)),"",INDEX('Compliance Database'!$N$2:$N$265,MATCH(76,Engine!$C$2:$C$265,0)))</f>
        <v>[Must] Each supervisory body is responsible for supervising compliance with provisions of this Chapter by accountable institutions regulated by it</v>
      </c>
      <c r="O89" s="6" t="str">
        <f>IF(ISNA(MATCH(76,Engine!$C$2:$C$265,0)),"",INDEX('Compliance Database'!$O$2:$O$265,MATCH(76,Engine!$C$2:$C$265,0)))</f>
        <v>45. (1) Each supervisory body is responsible for supervising compliance with the provisions of this Chapter by each accountable institution regulated or supervised by it.</v>
      </c>
    </row>
    <row r="90" spans="1:15" ht="57.6" x14ac:dyDescent="0.3">
      <c r="A90" t="str">
        <f>IF(ISNA(MATCH(77,Engine!$C$2:$C$265,0)),"",INDEX('Compliance Database'!$A$2:$A$265,MATCH(77,Engine!$C$2:$C$265,0)))</f>
        <v>South Africa</v>
      </c>
      <c r="B90" t="str">
        <f>IF(ISNA(MATCH(77,Engine!$C$2:$C$265,0)),"",INDEX('Compliance Database'!$B$2:$B$265,MATCH(77,Engine!$C$2:$C$265,0)))</f>
        <v>FICA (Financial Intelligence Centre Act, 38 of 2001</v>
      </c>
      <c r="C90" t="str">
        <f>IF(ISNA(MATCH(77,Engine!$C$2:$C$265,0)),"",INDEX('Compliance Database'!$C$2:$C$265,MATCH(77,Engine!$C$2:$C$265,0)))</f>
        <v>46</v>
      </c>
      <c r="D90" s="6" t="str">
        <f>IF(ISNA(MATCH(77,Engine!$C$2:$C$265,0)),"",INDEX('Compliance Database'!$D$2:$D$265,MATCH(77,Engine!$C$2:$C$265,0)))</f>
        <v>(1) An accountable institution  that  performs any act to give effect to a  business</v>
      </c>
      <c r="E90" t="str">
        <f>IF(ISNA(MATCH(77,Engine!$C$2:$C$265,0)),"",INDEX('Compliance Database'!$E$2:$E$265,MATCH(77,Engine!$C$2:$C$265,0)))</f>
        <v>15</v>
      </c>
      <c r="F90" t="str">
        <f>IF(ISNA(MATCH(77,Engine!$C$2:$C$265,0)),"",INDEX('Compliance Database'!$F$2:$F$265,MATCH(77,Engine!$C$2:$C$265,0)))</f>
        <v>Incident Reporting</v>
      </c>
      <c r="G90" t="str">
        <f>IF(ISNA(MATCH(77,Engine!$C$2:$C$265,0)),"",INDEX('Compliance Database'!$G$2:$G$265,MATCH(77,Engine!$C$2:$C$265,0)))</f>
        <v>High</v>
      </c>
      <c r="H90" t="str">
        <f>IF(ISNA(MATCH(77,Engine!$C$2:$C$265,0)),"",INDEX('Compliance Database'!$H$2:$H$265,MATCH(77,Engine!$C$2:$C$265,0)))</f>
        <v>High (explicit)</v>
      </c>
      <c r="I90" s="6" t="str">
        <f>IF(ISNA(MATCH(77,Engine!$C$2:$C$265,0)),"",INDEX('Compliance Database'!$I$2:$I$265,MATCH(77,Engine!$C$2:$C$265,0)))</f>
        <v>Incident Reporting, Breach Notification</v>
      </c>
      <c r="J90" s="6" t="str">
        <f>IF(ISNA(MATCH(77,Engine!$C$2:$C$265,0)),"",INDEX('Compliance Database'!$J$2:$J$265,MATCH(77,Engine!$C$2:$C$265,0)))</f>
        <v>Financial Data</v>
      </c>
      <c r="K90" t="str">
        <f>IF(ISNA(MATCH(77,Engine!$C$2:$C$265,0)),"",INDEX('Compliance Database'!$K$2:$K$265,MATCH(77,Engine!$C$2:$C$265,0)))</f>
        <v>Financial Intelligence Centre (Centre)</v>
      </c>
      <c r="L90" s="6" t="str">
        <f>IF(ISNA(MATCH(77,Engine!$C$2:$C$265,0)),"",INDEX('Compliance Database'!$L$2:$L$265,MATCH(77,Engine!$C$2:$C$265,0)))</f>
        <v>Accountable institutions that perform transactions in contravention of identification requirements are guilty of offences.</v>
      </c>
      <c r="M90" s="6" t="str">
        <f>IF(ISNA(MATCH(77,Engine!$C$2:$C$265,0)),"",INDEX('Compliance Database'!$M$2:$M$265,MATCH(77,Engine!$C$2:$C$265,0)))</f>
        <v>Accountable institutions that fail to identify persons in transactions are subject to offences under this Act.</v>
      </c>
      <c r="N90" s="6" t="str">
        <f>IF(ISNA(MATCH(77,Engine!$C$2:$C$265,0)),"",INDEX('Compliance Database'!$N$2:$N$265,MATCH(77,Engine!$C$2:$C$265,0)))</f>
        <v>[Must] Accountable institution that performs any act to give effect to a business relationship or single transaction in contravention of section 21(1) is guilty of an offence</v>
      </c>
      <c r="O90" s="6" t="str">
        <f>IF(ISNA(MATCH(77,Engine!$C$2:$C$265,0)),"",INDEX('Compliance Database'!$O$2:$O$265,MATCH(77,Engine!$C$2:$C$265,0)))</f>
        <v>46. (1) An accountable institution that performs any act to give effect to a business relationship or single transaction in contravention of section  21(1) is guilty of an offence.</v>
      </c>
    </row>
    <row r="91" spans="1:15" ht="72" x14ac:dyDescent="0.3">
      <c r="A91" t="str">
        <f>IF(ISNA(MATCH(78,Engine!$C$2:$C$265,0)),"",INDEX('Compliance Database'!$A$2:$A$265,MATCH(78,Engine!$C$2:$C$265,0)))</f>
        <v>South Africa</v>
      </c>
      <c r="B91" t="str">
        <f>IF(ISNA(MATCH(78,Engine!$C$2:$C$265,0)),"",INDEX('Compliance Database'!$B$2:$B$265,MATCH(78,Engine!$C$2:$C$265,0)))</f>
        <v>FICA (Financial Intelligence Centre Act, 38 of 2001</v>
      </c>
      <c r="C91" t="str">
        <f>IF(ISNA(MATCH(78,Engine!$C$2:$C$265,0)),"",INDEX('Compliance Database'!$C$2:$C$265,MATCH(78,Engine!$C$2:$C$265,0)))</f>
        <v>47</v>
      </c>
      <c r="D91" s="6" t="str">
        <f>IF(ISNA(MATCH(78,Engine!$C$2:$C$265,0)),"",INDEX('Compliance Database'!$D$2:$D$265,MATCH(78,Engine!$C$2:$C$265,0)))</f>
        <v>An accountable institution  that  fails  tc+-</v>
      </c>
      <c r="E91" t="str">
        <f>IF(ISNA(MATCH(78,Engine!$C$2:$C$265,0)),"",INDEX('Compliance Database'!$E$2:$E$265,MATCH(78,Engine!$C$2:$C$265,0)))</f>
        <v>15</v>
      </c>
      <c r="F91" t="str">
        <f>IF(ISNA(MATCH(78,Engine!$C$2:$C$265,0)),"",INDEX('Compliance Database'!$F$2:$F$265,MATCH(78,Engine!$C$2:$C$265,0)))</f>
        <v>Incident Reporting</v>
      </c>
      <c r="G91" t="str">
        <f>IF(ISNA(MATCH(78,Engine!$C$2:$C$265,0)),"",INDEX('Compliance Database'!$G$2:$G$265,MATCH(78,Engine!$C$2:$C$265,0)))</f>
        <v>High</v>
      </c>
      <c r="H91" t="str">
        <f>IF(ISNA(MATCH(78,Engine!$C$2:$C$265,0)),"",INDEX('Compliance Database'!$H$2:$H$265,MATCH(78,Engine!$C$2:$C$265,0)))</f>
        <v>High (explicit)</v>
      </c>
      <c r="I91" s="6" t="str">
        <f>IF(ISNA(MATCH(78,Engine!$C$2:$C$265,0)),"",INDEX('Compliance Database'!$I$2:$I$265,MATCH(78,Engine!$C$2:$C$265,0)))</f>
        <v>Incident Reporting, Breach Notification</v>
      </c>
      <c r="J91" s="6" t="str">
        <f>IF(ISNA(MATCH(78,Engine!$C$2:$C$265,0)),"",INDEX('Compliance Database'!$J$2:$J$265,MATCH(78,Engine!$C$2:$C$265,0)))</f>
        <v>Financial Data</v>
      </c>
      <c r="K91" t="str">
        <f>IF(ISNA(MATCH(78,Engine!$C$2:$C$265,0)),"",INDEX('Compliance Database'!$K$2:$K$265,MATCH(78,Engine!$C$2:$C$265,0)))</f>
        <v>Financial Intelligence Centre (Centre)</v>
      </c>
      <c r="L91" s="6" t="str">
        <f>IF(ISNA(MATCH(78,Engine!$C$2:$C$265,0)),"",INDEX('Compliance Database'!$L$2:$L$265,MATCH(78,Engine!$C$2:$C$265,0)))</f>
        <v>Accountable institutions that fail to keep records as required are guilty of offences.</v>
      </c>
      <c r="M91" s="6" t="str">
        <f>IF(ISNA(MATCH(78,Engine!$C$2:$C$265,0)),"",INDEX('Compliance Database'!$M$2:$M$265,MATCH(78,Engine!$C$2:$C$265,0)))</f>
        <v>Accountable institutions that fail to maintain records as required by the Act are subject to offences.</v>
      </c>
      <c r="N91" s="6" t="str">
        <f>IF(ISNA(MATCH(78,Engine!$C$2:$C$265,0)),"",INDEX('Compliance Database'!$N$2:$N$265,MATCH(78,Engine!$C$2:$C$265,0)))</f>
        <v>[Must] Accountable institution that fails to keep record of information in terms of section 22(1); or keep such records in accordance with section 23 or 24(1); or comply with section 24(3) is guilty of an offence</v>
      </c>
      <c r="O91" s="6" t="str">
        <f>IF(ISNA(MATCH(78,Engine!$C$2:$C$265,0)),"",INDEX('Compliance Database'!$O$2:$O$265,MATCH(78,Engine!$C$2:$C$265,0)))</f>
        <v>47. An accountable institution that fails to- (a) keep record of information in terms of section 22(1); or (b) keep such records in accordance with section 23 or section 24(1); or (c) comply with the provisions of section 24(3), is guilty of an offence.</v>
      </c>
    </row>
    <row r="92" spans="1:15" ht="57.6" x14ac:dyDescent="0.3">
      <c r="A92" t="str">
        <f>IF(ISNA(MATCH(79,Engine!$C$2:$C$265,0)),"",INDEX('Compliance Database'!$A$2:$A$265,MATCH(79,Engine!$C$2:$C$265,0)))</f>
        <v>South Africa</v>
      </c>
      <c r="B92" t="str">
        <f>IF(ISNA(MATCH(79,Engine!$C$2:$C$265,0)),"",INDEX('Compliance Database'!$B$2:$B$265,MATCH(79,Engine!$C$2:$C$265,0)))</f>
        <v>FICA (Financial Intelligence Centre Act, 38 of 2001</v>
      </c>
      <c r="C92" t="str">
        <f>IF(ISNA(MATCH(79,Engine!$C$2:$C$265,0)),"",INDEX('Compliance Database'!$C$2:$C$265,MATCH(79,Engine!$C$2:$C$265,0)))</f>
        <v>48</v>
      </c>
      <c r="D92" s="6" t="str">
        <f>IF(ISNA(MATCH(79,Engine!$C$2:$C$265,0)),"",INDEX('Compliance Database'!$D$2:$D$265,MATCH(79,Engine!$C$2:$C$265,0)))</f>
        <v>Any person who wilfully tampers with a  record  kept in terms of section  22 or</v>
      </c>
      <c r="E92" t="str">
        <f>IF(ISNA(MATCH(79,Engine!$C$2:$C$265,0)),"",INDEX('Compliance Database'!$E$2:$E$265,MATCH(79,Engine!$C$2:$C$265,0)))</f>
        <v>15–16</v>
      </c>
      <c r="F92" t="str">
        <f>IF(ISNA(MATCH(79,Engine!$C$2:$C$265,0)),"",INDEX('Compliance Database'!$F$2:$F$265,MATCH(79,Engine!$C$2:$C$265,0)))</f>
        <v>Incident Reporting</v>
      </c>
      <c r="G92" t="str">
        <f>IF(ISNA(MATCH(79,Engine!$C$2:$C$265,0)),"",INDEX('Compliance Database'!$G$2:$G$265,MATCH(79,Engine!$C$2:$C$265,0)))</f>
        <v>High</v>
      </c>
      <c r="H92" t="str">
        <f>IF(ISNA(MATCH(79,Engine!$C$2:$C$265,0)),"",INDEX('Compliance Database'!$H$2:$H$265,MATCH(79,Engine!$C$2:$C$265,0)))</f>
        <v>High (explicit)</v>
      </c>
      <c r="I92" s="6" t="str">
        <f>IF(ISNA(MATCH(79,Engine!$C$2:$C$265,0)),"",INDEX('Compliance Database'!$I$2:$I$265,MATCH(79,Engine!$C$2:$C$265,0)))</f>
        <v>Incident Reporting, Breach Notification</v>
      </c>
      <c r="J92" s="6" t="str">
        <f>IF(ISNA(MATCH(79,Engine!$C$2:$C$265,0)),"",INDEX('Compliance Database'!$J$2:$J$265,MATCH(79,Engine!$C$2:$C$265,0)))</f>
        <v>Financial Data</v>
      </c>
      <c r="K92" t="str">
        <f>IF(ISNA(MATCH(79,Engine!$C$2:$C$265,0)),"",INDEX('Compliance Database'!$K$2:$K$265,MATCH(79,Engine!$C$2:$C$265,0)))</f>
        <v>Financial Intelligence Centre (Centre)</v>
      </c>
      <c r="L92" s="6" t="str">
        <f>IF(ISNA(MATCH(79,Engine!$C$2:$C$265,0)),"",INDEX('Compliance Database'!$L$2:$L$265,MATCH(79,Engine!$C$2:$C$265,0)))</f>
        <v>Wilful tampering or destruction of records is an offence.</v>
      </c>
      <c r="M92" s="6" t="str">
        <f>IF(ISNA(MATCH(79,Engine!$C$2:$C$265,0)),"",INDEX('Compliance Database'!$M$2:$M$265,MATCH(79,Engine!$C$2:$C$265,0)))</f>
        <v>Wilful tampering or destruction of records required by the Act is subject to criminal penalties.</v>
      </c>
      <c r="N92" s="6" t="str">
        <f>IF(ISNA(MATCH(79,Engine!$C$2:$C$265,0)),"",INDEX('Compliance Database'!$N$2:$N$265,MATCH(79,Engine!$C$2:$C$265,0)))</f>
        <v>[Must] Any person who wilfully tampers with a record kept in terms of section 22 or section 24(1), or wilfully destroys such a record, otherwise than in accordance with section 23, is guilty of an offence</v>
      </c>
      <c r="O92" s="6" t="str">
        <f>IF(ISNA(MATCH(79,Engine!$C$2:$C$265,0)),"",INDEX('Compliance Database'!$O$2:$O$265,MATCH(79,Engine!$C$2:$C$265,0)))</f>
        <v>48. Any person who wilfully tampers with a record kept in terms of section 22 or section 24(1), or wilfully destroys such a record, otherwise than in accordance with section 23, is guilty of an offence.</v>
      </c>
    </row>
    <row r="93" spans="1:15" ht="57.6" x14ac:dyDescent="0.3">
      <c r="A93" t="str">
        <f>IF(ISNA(MATCH(80,Engine!$C$2:$C$265,0)),"",INDEX('Compliance Database'!$A$2:$A$265,MATCH(80,Engine!$C$2:$C$265,0)))</f>
        <v>South Africa</v>
      </c>
      <c r="B93" t="str">
        <f>IF(ISNA(MATCH(80,Engine!$C$2:$C$265,0)),"",INDEX('Compliance Database'!$B$2:$B$265,MATCH(80,Engine!$C$2:$C$265,0)))</f>
        <v>FICA (Financial Intelligence Centre Act, 38 of 2001</v>
      </c>
      <c r="C93" t="str">
        <f>IF(ISNA(MATCH(80,Engine!$C$2:$C$265,0)),"",INDEX('Compliance Database'!$C$2:$C$265,MATCH(80,Engine!$C$2:$C$265,0)))</f>
        <v>49</v>
      </c>
      <c r="D93" s="6" t="str">
        <f>IF(ISNA(MATCH(80,Engine!$C$2:$C$265,0)),"",INDEX('Compliance Database'!$D$2:$D$265,MATCH(80,Engine!$C$2:$C$265,0)))</f>
        <v>An accountable institution that  fails to give  assistance to a  representative of the</v>
      </c>
      <c r="E93" t="str">
        <f>IF(ISNA(MATCH(80,Engine!$C$2:$C$265,0)),"",INDEX('Compliance Database'!$E$2:$E$265,MATCH(80,Engine!$C$2:$C$265,0)))</f>
        <v>16</v>
      </c>
      <c r="F93" t="str">
        <f>IF(ISNA(MATCH(80,Engine!$C$2:$C$265,0)),"",INDEX('Compliance Database'!$F$2:$F$265,MATCH(80,Engine!$C$2:$C$265,0)))</f>
        <v>Incident Reporting</v>
      </c>
      <c r="G93" t="str">
        <f>IF(ISNA(MATCH(80,Engine!$C$2:$C$265,0)),"",INDEX('Compliance Database'!$G$2:$G$265,MATCH(80,Engine!$C$2:$C$265,0)))</f>
        <v>High</v>
      </c>
      <c r="H93" t="str">
        <f>IF(ISNA(MATCH(80,Engine!$C$2:$C$265,0)),"",INDEX('Compliance Database'!$H$2:$H$265,MATCH(80,Engine!$C$2:$C$265,0)))</f>
        <v>High (explicit)</v>
      </c>
      <c r="I93" s="6" t="str">
        <f>IF(ISNA(MATCH(80,Engine!$C$2:$C$265,0)),"",INDEX('Compliance Database'!$I$2:$I$265,MATCH(80,Engine!$C$2:$C$265,0)))</f>
        <v>Incident Reporting, Breach Notification</v>
      </c>
      <c r="J93" s="6" t="str">
        <f>IF(ISNA(MATCH(80,Engine!$C$2:$C$265,0)),"",INDEX('Compliance Database'!$J$2:$J$265,MATCH(80,Engine!$C$2:$C$265,0)))</f>
        <v>Financial Data</v>
      </c>
      <c r="K93" t="str">
        <f>IF(ISNA(MATCH(80,Engine!$C$2:$C$265,0)),"",INDEX('Compliance Database'!$K$2:$K$265,MATCH(80,Engine!$C$2:$C$265,0)))</f>
        <v>Financial Intelligence Centre (Centre)</v>
      </c>
      <c r="L93" s="6" t="str">
        <f>IF(ISNA(MATCH(80,Engine!$C$2:$C$265,0)),"",INDEX('Compliance Database'!$L$2:$L$265,MATCH(80,Engine!$C$2:$C$265,0)))</f>
        <v>Accountable institutions that fail to assist Centre representatives are guilty of offences.</v>
      </c>
      <c r="M93" s="6" t="str">
        <f>IF(ISNA(MATCH(80,Engine!$C$2:$C$265,0)),"",INDEX('Compliance Database'!$M$2:$M$265,MATCH(80,Engine!$C$2:$C$265,0)))</f>
        <v>Accountable institutions that fail to assist Centre representatives with investigations are subject to offences.</v>
      </c>
      <c r="N93" s="6" t="str">
        <f>IF(ISNA(MATCH(80,Engine!$C$2:$C$265,0)),"",INDEX('Compliance Database'!$N$2:$N$265,MATCH(80,Engine!$C$2:$C$265,0)))</f>
        <v>[Must] Accountable institution that fails to give assistance to a representative of the Centre in accordance with section 26(5) is guilty of an offence</v>
      </c>
      <c r="O93" s="6" t="str">
        <f>IF(ISNA(MATCH(80,Engine!$C$2:$C$265,0)),"",INDEX('Compliance Database'!$O$2:$O$265,MATCH(80,Engine!$C$2:$C$265,0)))</f>
        <v>49. An accountable institution that fails to give assistance to a representative of the Centre in accordance with section 26(5), is guilty of an offence.</v>
      </c>
    </row>
    <row r="94" spans="1:15" ht="72" x14ac:dyDescent="0.3">
      <c r="A94" t="str">
        <f>IF(ISNA(MATCH(81,Engine!$C$2:$C$265,0)),"",INDEX('Compliance Database'!$A$2:$A$265,MATCH(81,Engine!$C$2:$C$265,0)))</f>
        <v>South Africa</v>
      </c>
      <c r="B94" t="str">
        <f>IF(ISNA(MATCH(81,Engine!$C$2:$C$265,0)),"",INDEX('Compliance Database'!$B$2:$B$265,MATCH(81,Engine!$C$2:$C$265,0)))</f>
        <v>FICA (Financial Intelligence Centre Act, 38 of 2001</v>
      </c>
      <c r="C94" t="str">
        <f>IF(ISNA(MATCH(81,Engine!$C$2:$C$265,0)),"",INDEX('Compliance Database'!$C$2:$C$265,MATCH(81,Engine!$C$2:$C$265,0)))</f>
        <v>51</v>
      </c>
      <c r="D94" s="6" t="str">
        <f>IF(ISNA(MATCH(81,Engine!$C$2:$C$265,0)),"",INDEX('Compliance Database'!$D$2:$D$265,MATCH(81,Engine!$C$2:$C$265,0)))</f>
        <v>An accountable institution or reporting  institution that fails, within the  prescribed</v>
      </c>
      <c r="E94" t="str">
        <f>IF(ISNA(MATCH(81,Engine!$C$2:$C$265,0)),"",INDEX('Compliance Database'!$E$2:$E$265,MATCH(81,Engine!$C$2:$C$265,0)))</f>
        <v>16</v>
      </c>
      <c r="F94" t="str">
        <f>IF(ISNA(MATCH(81,Engine!$C$2:$C$265,0)),"",INDEX('Compliance Database'!$F$2:$F$265,MATCH(81,Engine!$C$2:$C$265,0)))</f>
        <v>Incident Reporting</v>
      </c>
      <c r="G94" t="str">
        <f>IF(ISNA(MATCH(81,Engine!$C$2:$C$265,0)),"",INDEX('Compliance Database'!$G$2:$G$265,MATCH(81,Engine!$C$2:$C$265,0)))</f>
        <v>High</v>
      </c>
      <c r="H94" t="str">
        <f>IF(ISNA(MATCH(81,Engine!$C$2:$C$265,0)),"",INDEX('Compliance Database'!$H$2:$H$265,MATCH(81,Engine!$C$2:$C$265,0)))</f>
        <v>High (explicit)</v>
      </c>
      <c r="I94" s="6" t="str">
        <f>IF(ISNA(MATCH(81,Engine!$C$2:$C$265,0)),"",INDEX('Compliance Database'!$I$2:$I$265,MATCH(81,Engine!$C$2:$C$265,0)))</f>
        <v>Incident Reporting, Breach Notification</v>
      </c>
      <c r="J94" s="6" t="str">
        <f>IF(ISNA(MATCH(81,Engine!$C$2:$C$265,0)),"",INDEX('Compliance Database'!$J$2:$J$265,MATCH(81,Engine!$C$2:$C$265,0)))</f>
        <v>Financial Data</v>
      </c>
      <c r="K94" t="str">
        <f>IF(ISNA(MATCH(81,Engine!$C$2:$C$265,0)),"",INDEX('Compliance Database'!$K$2:$K$265,MATCH(81,Engine!$C$2:$C$265,0)))</f>
        <v>Financial Intelligence Centre (Centre)</v>
      </c>
      <c r="L94" s="6" t="str">
        <f>IF(ISNA(MATCH(81,Engine!$C$2:$C$265,0)),"",INDEX('Compliance Database'!$L$2:$L$265,MATCH(81,Engine!$C$2:$C$265,0)))</f>
        <v>Accountable institutions that fail to report cash transactions are guilty of offences.</v>
      </c>
      <c r="M94" s="6" t="str">
        <f>IF(ISNA(MATCH(81,Engine!$C$2:$C$265,0)),"",INDEX('Compliance Database'!$M$2:$M$265,MATCH(81,Engine!$C$2:$C$265,0)))</f>
        <v>Accountable institutions that fail to report cash transactions within prescribed periods are subject to offences.</v>
      </c>
      <c r="N94" s="6" t="str">
        <f>IF(ISNA(MATCH(81,Engine!$C$2:$C$265,0)),"",INDEX('Compliance Database'!$N$2:$N$265,MATCH(81,Engine!$C$2:$C$265,0)))</f>
        <v>[Must] Accountable institution or reporting institution that fails, within the prescribed period, to report to the Centre the prescribed information in respect of a cash transaction in accordance with section 28 is guilty of an offence</v>
      </c>
      <c r="O94" s="6" t="str">
        <f>IF(ISNA(MATCH(81,Engine!$C$2:$C$265,0)),"",INDEX('Compliance Database'!$O$2:$O$265,MATCH(81,Engine!$C$2:$C$265,0)))</f>
        <v>51. An accountable institution or reporting institution that fails, within the prescribed period, to report to the Centre the prescribed information in respect of a cash transaction in accordance with section 28, is guilty of an offence.</v>
      </c>
    </row>
    <row r="95" spans="1:15" ht="86.4" x14ac:dyDescent="0.3">
      <c r="A95" t="str">
        <f>IF(ISNA(MATCH(82,Engine!$C$2:$C$265,0)),"",INDEX('Compliance Database'!$A$2:$A$265,MATCH(82,Engine!$C$2:$C$265,0)))</f>
        <v>South Africa</v>
      </c>
      <c r="B95" t="str">
        <f>IF(ISNA(MATCH(82,Engine!$C$2:$C$265,0)),"",INDEX('Compliance Database'!$B$2:$B$265,MATCH(82,Engine!$C$2:$C$265,0)))</f>
        <v>FICA (Financial Intelligence Centre Act, 38 of 2001</v>
      </c>
      <c r="C95" t="str">
        <f>IF(ISNA(MATCH(82,Engine!$C$2:$C$265,0)),"",INDEX('Compliance Database'!$C$2:$C$265,MATCH(82,Engine!$C$2:$C$265,0)))</f>
        <v>52</v>
      </c>
      <c r="D95" s="6" t="str">
        <f>IF(ISNA(MATCH(82,Engine!$C$2:$C$265,0)),"",INDEX('Compliance Database'!$D$2:$D$265,MATCH(82,Engine!$C$2:$C$265,0)))</f>
        <v>(1) Any  person who  fails, within the: prescribed period, to report to the Centre the</v>
      </c>
      <c r="E95" t="str">
        <f>IF(ISNA(MATCH(82,Engine!$C$2:$C$265,0)),"",INDEX('Compliance Database'!$E$2:$E$265,MATCH(82,Engine!$C$2:$C$265,0)))</f>
        <v>16</v>
      </c>
      <c r="F95" t="str">
        <f>IF(ISNA(MATCH(82,Engine!$C$2:$C$265,0)),"",INDEX('Compliance Database'!$F$2:$F$265,MATCH(82,Engine!$C$2:$C$265,0)))</f>
        <v>Incident Reporting</v>
      </c>
      <c r="G95" t="str">
        <f>IF(ISNA(MATCH(82,Engine!$C$2:$C$265,0)),"",INDEX('Compliance Database'!$G$2:$G$265,MATCH(82,Engine!$C$2:$C$265,0)))</f>
        <v>High</v>
      </c>
      <c r="H95" t="str">
        <f>IF(ISNA(MATCH(82,Engine!$C$2:$C$265,0)),"",INDEX('Compliance Database'!$H$2:$H$265,MATCH(82,Engine!$C$2:$C$265,0)))</f>
        <v>High (explicit)</v>
      </c>
      <c r="I95" s="6" t="str">
        <f>IF(ISNA(MATCH(82,Engine!$C$2:$C$265,0)),"",INDEX('Compliance Database'!$I$2:$I$265,MATCH(82,Engine!$C$2:$C$265,0)))</f>
        <v>Incident Reporting, Breach Notification</v>
      </c>
      <c r="J95" s="6" t="str">
        <f>IF(ISNA(MATCH(82,Engine!$C$2:$C$265,0)),"",INDEX('Compliance Database'!$J$2:$J$265,MATCH(82,Engine!$C$2:$C$265,0)))</f>
        <v>Financial Data</v>
      </c>
      <c r="K95" t="str">
        <f>IF(ISNA(MATCH(82,Engine!$C$2:$C$265,0)),"",INDEX('Compliance Database'!$K$2:$K$265,MATCH(82,Engine!$C$2:$C$265,0)))</f>
        <v>Financial Intelligence Centre (Centre)</v>
      </c>
      <c r="L95" s="6" t="str">
        <f>IF(ISNA(MATCH(82,Engine!$C$2:$C$265,0)),"",INDEX('Compliance Database'!$L$2:$L$265,MATCH(82,Engine!$C$2:$C$265,0)))</f>
        <v>Failure to report suspicious transactions is an offence.</v>
      </c>
      <c r="M95" s="6" t="str">
        <f>IF(ISNA(MATCH(82,Engine!$C$2:$C$265,0)),"",INDEX('Compliance Database'!$M$2:$M$265,MATCH(82,Engine!$C$2:$C$265,0)))</f>
        <v>Failure to report suspicious transactions within prescribed periods is subject to criminal penalties.</v>
      </c>
      <c r="N95" s="6" t="str">
        <f>IF(ISNA(MATCH(82,Engine!$C$2:$C$265,0)),"",INDEX('Compliance Database'!$N$2:$N$265,MATCH(82,Engine!$C$2:$C$265,0)))</f>
        <v>[Must] Any person who fails, within the prescribed period, to report to the Centre the prescribed information in respect of a suspicious or unusual transaction or series of transactions or enquiry in accordance with section 29(1) or (2) is guilty of an offence</v>
      </c>
      <c r="O95" s="6" t="str">
        <f>IF(ISNA(MATCH(82,Engine!$C$2:$C$265,0)),"",INDEX('Compliance Database'!$O$2:$O$265,MATCH(82,Engine!$C$2:$C$265,0)))</f>
        <v>52. (1) Any person who fails, within the prescribed period, to report to the Centre the prescribed information in respect of a suspicious or unusual transaction or series of transactions or enquiry in accordance with section 29(1) or (2), is guilty of an offence.</v>
      </c>
    </row>
    <row r="96" spans="1:15" ht="72" x14ac:dyDescent="0.3">
      <c r="A96" t="str">
        <f>IF(ISNA(MATCH(83,Engine!$C$2:$C$265,0)),"",INDEX('Compliance Database'!$A$2:$A$265,MATCH(83,Engine!$C$2:$C$265,0)))</f>
        <v>South Africa</v>
      </c>
      <c r="B96" t="str">
        <f>IF(ISNA(MATCH(83,Engine!$C$2:$C$265,0)),"",INDEX('Compliance Database'!$B$2:$B$265,MATCH(83,Engine!$C$2:$C$265,0)))</f>
        <v>FICA (Financial Intelligence Centre Act, 38 of 2001</v>
      </c>
      <c r="C96" t="str">
        <f>IF(ISNA(MATCH(83,Engine!$C$2:$C$265,0)),"",INDEX('Compliance Database'!$C$2:$C$265,MATCH(83,Engine!$C$2:$C$265,0)))</f>
        <v>53</v>
      </c>
      <c r="D96" s="6" t="str">
        <f>IF(ISNA(MATCH(83,Engine!$C$2:$C$265,0)),"",INDEX('Compliance Database'!$D$2:$D$265,MATCH(83,Engine!$C$2:$C$265,0)))</f>
        <v>(1) Any  person  referred to  in  section  29(3)  who discloses a  fact or information</v>
      </c>
      <c r="E96" t="str">
        <f>IF(ISNA(MATCH(83,Engine!$C$2:$C$265,0)),"",INDEX('Compliance Database'!$E$2:$E$265,MATCH(83,Engine!$C$2:$C$265,0)))</f>
        <v>16</v>
      </c>
      <c r="F96" t="str">
        <f>IF(ISNA(MATCH(83,Engine!$C$2:$C$265,0)),"",INDEX('Compliance Database'!$F$2:$F$265,MATCH(83,Engine!$C$2:$C$265,0)))</f>
        <v>Incident Reporting</v>
      </c>
      <c r="G96" t="str">
        <f>IF(ISNA(MATCH(83,Engine!$C$2:$C$265,0)),"",INDEX('Compliance Database'!$G$2:$G$265,MATCH(83,Engine!$C$2:$C$265,0)))</f>
        <v>High</v>
      </c>
      <c r="H96" t="str">
        <f>IF(ISNA(MATCH(83,Engine!$C$2:$C$265,0)),"",INDEX('Compliance Database'!$H$2:$H$265,MATCH(83,Engine!$C$2:$C$265,0)))</f>
        <v>High (explicit)</v>
      </c>
      <c r="I96" s="6" t="str">
        <f>IF(ISNA(MATCH(83,Engine!$C$2:$C$265,0)),"",INDEX('Compliance Database'!$I$2:$I$265,MATCH(83,Engine!$C$2:$C$265,0)))</f>
        <v>Incident Reporting, Breach Notification</v>
      </c>
      <c r="J96" s="6" t="str">
        <f>IF(ISNA(MATCH(83,Engine!$C$2:$C$265,0)),"",INDEX('Compliance Database'!$J$2:$J$265,MATCH(83,Engine!$C$2:$C$265,0)))</f>
        <v>Financial Data</v>
      </c>
      <c r="K96" t="str">
        <f>IF(ISNA(MATCH(83,Engine!$C$2:$C$265,0)),"",INDEX('Compliance Database'!$K$2:$K$265,MATCH(83,Engine!$C$2:$C$265,0)))</f>
        <v>Financial Intelligence Centre (Centre)</v>
      </c>
      <c r="L96" s="6" t="str">
        <f>IF(ISNA(MATCH(83,Engine!$C$2:$C$265,0)),"",INDEX('Compliance Database'!$L$2:$L$265,MATCH(83,Engine!$C$2:$C$265,0)))</f>
        <v>Unauthorized disclosure of information to Centre is an offence.</v>
      </c>
      <c r="M96" s="6" t="str">
        <f>IF(ISNA(MATCH(83,Engine!$C$2:$C$265,0)),"",INDEX('Compliance Database'!$M$2:$M$265,MATCH(83,Engine!$C$2:$C$265,0)))</f>
        <v>Unauthorized disclosure of information to Centre is subject to criminal penalties.</v>
      </c>
      <c r="N96" s="6" t="str">
        <f>IF(ISNA(MATCH(83,Engine!$C$2:$C$265,0)),"",INDEX('Compliance Database'!$N$2:$N$265,MATCH(83,Engine!$C$2:$C$265,0)))</f>
        <v>[Must] Any person who discloses a fact or information contemplated in section 29(3) otherwise than in the circumstances or for the purposes authorised in that section is guilty of an offence</v>
      </c>
      <c r="O96" s="6" t="str">
        <f>IF(ISNA(MATCH(83,Engine!$C$2:$C$265,0)),"",INDEX('Compliance Database'!$O$2:$O$265,MATCH(83,Engine!$C$2:$C$265,0)))</f>
        <v>53. (1) Any person referred to in section 29(3) who discloses a fact or information contemplated in that section, otherwise than in the circumstances or for the purposes authorised in that section, is guilty of an offence.</v>
      </c>
    </row>
    <row r="97" spans="1:15" ht="57.6" x14ac:dyDescent="0.3">
      <c r="A97" t="str">
        <f>IF(ISNA(MATCH(84,Engine!$C$2:$C$265,0)),"",INDEX('Compliance Database'!$A$2:$A$265,MATCH(84,Engine!$C$2:$C$265,0)))</f>
        <v>South Africa</v>
      </c>
      <c r="B97" t="str">
        <f>IF(ISNA(MATCH(84,Engine!$C$2:$C$265,0)),"",INDEX('Compliance Database'!$B$2:$B$265,MATCH(84,Engine!$C$2:$C$265,0)))</f>
        <v>FICA (Financial Intelligence Centre Act, 38 of 2001</v>
      </c>
      <c r="C97" t="str">
        <f>IF(ISNA(MATCH(84,Engine!$C$2:$C$265,0)),"",INDEX('Compliance Database'!$C$2:$C$265,MATCH(84,Engine!$C$2:$C$265,0)))</f>
        <v>54</v>
      </c>
      <c r="D97" s="6" t="str">
        <f>IF(ISNA(MATCH(84,Engine!$C$2:$C$265,0)),"",INDEX('Compliance Database'!$D$2:$D$265,MATCH(84,Engine!$C$2:$C$265,0)))</f>
        <v>Any  person who wilfully fails  to  report  the conveyance of cash  into  or out of the</v>
      </c>
      <c r="E97" t="str">
        <f>IF(ISNA(MATCH(84,Engine!$C$2:$C$265,0)),"",INDEX('Compliance Database'!$E$2:$E$265,MATCH(84,Engine!$C$2:$C$265,0)))</f>
        <v>16</v>
      </c>
      <c r="F97" t="str">
        <f>IF(ISNA(MATCH(84,Engine!$C$2:$C$265,0)),"",INDEX('Compliance Database'!$F$2:$F$265,MATCH(84,Engine!$C$2:$C$265,0)))</f>
        <v>Incident Reporting</v>
      </c>
      <c r="G97" t="str">
        <f>IF(ISNA(MATCH(84,Engine!$C$2:$C$265,0)),"",INDEX('Compliance Database'!$G$2:$G$265,MATCH(84,Engine!$C$2:$C$265,0)))</f>
        <v>High</v>
      </c>
      <c r="H97" t="str">
        <f>IF(ISNA(MATCH(84,Engine!$C$2:$C$265,0)),"",INDEX('Compliance Database'!$H$2:$H$265,MATCH(84,Engine!$C$2:$C$265,0)))</f>
        <v>High (explicit)</v>
      </c>
      <c r="I97" s="6" t="str">
        <f>IF(ISNA(MATCH(84,Engine!$C$2:$C$265,0)),"",INDEX('Compliance Database'!$I$2:$I$265,MATCH(84,Engine!$C$2:$C$265,0)))</f>
        <v>Incident Reporting, Breach Notification</v>
      </c>
      <c r="J97" s="6" t="str">
        <f>IF(ISNA(MATCH(84,Engine!$C$2:$C$265,0)),"",INDEX('Compliance Database'!$J$2:$J$265,MATCH(84,Engine!$C$2:$C$265,0)))</f>
        <v>Financial Data</v>
      </c>
      <c r="K97" t="str">
        <f>IF(ISNA(MATCH(84,Engine!$C$2:$C$265,0)),"",INDEX('Compliance Database'!$K$2:$K$265,MATCH(84,Engine!$C$2:$C$265,0)))</f>
        <v>Financial Intelligence Centre (Centre)</v>
      </c>
      <c r="L97" s="6" t="str">
        <f>IF(ISNA(MATCH(84,Engine!$C$2:$C$265,0)),"",INDEX('Compliance Database'!$L$2:$L$265,MATCH(84,Engine!$C$2:$C$265,0)))</f>
        <v>Wilful failure to report cash conveyance is an offence.</v>
      </c>
      <c r="M97" s="6" t="str">
        <f>IF(ISNA(MATCH(84,Engine!$C$2:$C$265,0)),"",INDEX('Compliance Database'!$M$2:$M$265,MATCH(84,Engine!$C$2:$C$265,0)))</f>
        <v>Wilful failure to report cash conveyance into or out of Republic is subject to criminal penalties.</v>
      </c>
      <c r="N97" s="6" t="str">
        <f>IF(ISNA(MATCH(84,Engine!$C$2:$C$265,0)),"",INDEX('Compliance Database'!$N$2:$N$265,MATCH(84,Engine!$C$2:$C$265,0)))</f>
        <v>[Must] Any person who wilfully fails to report the conveyance of cash into or out of the Republic in accordance with section 30(1) is guilty of an offence</v>
      </c>
      <c r="O97" s="6" t="str">
        <f>IF(ISNA(MATCH(84,Engine!$C$2:$C$265,0)),"",INDEX('Compliance Database'!$O$2:$O$265,MATCH(84,Engine!$C$2:$C$265,0)))</f>
        <v>54. Any person who wilfully fails to report the conveyance of cash into or out of the Republic in accordance with section 30(1), is guilty of an offence.</v>
      </c>
    </row>
    <row r="98" spans="1:15" ht="57.6" x14ac:dyDescent="0.3">
      <c r="A98" t="str">
        <f>IF(ISNA(MATCH(85,Engine!$C$2:$C$265,0)),"",INDEX('Compliance Database'!$A$2:$A$265,MATCH(85,Engine!$C$2:$C$265,0)))</f>
        <v>South Africa</v>
      </c>
      <c r="B98" t="str">
        <f>IF(ISNA(MATCH(85,Engine!$C$2:$C$265,0)),"",INDEX('Compliance Database'!$B$2:$B$265,MATCH(85,Engine!$C$2:$C$265,0)))</f>
        <v>FICA (Financial Intelligence Centre Act, 38 of 2001</v>
      </c>
      <c r="C98" t="str">
        <f>IF(ISNA(MATCH(85,Engine!$C$2:$C$265,0)),"",INDEX('Compliance Database'!$C$2:$C$265,MATCH(85,Engine!$C$2:$C$265,0)))</f>
        <v>55</v>
      </c>
      <c r="D98" s="6" t="str">
        <f>IF(ISNA(MATCH(85,Engine!$C$2:$C$265,0)),"",INDEX('Compliance Database'!$D$2:$D$265,MATCH(85,Engine!$C$2:$C$265,0)))</f>
        <v>A person referred to in rsection 30(2) who fails to send a report regarding the</v>
      </c>
      <c r="E98" t="str">
        <f>IF(ISNA(MATCH(85,Engine!$C$2:$C$265,0)),"",INDEX('Compliance Database'!$E$2:$E$265,MATCH(85,Engine!$C$2:$C$265,0)))</f>
        <v>16</v>
      </c>
      <c r="F98" t="str">
        <f>IF(ISNA(MATCH(85,Engine!$C$2:$C$265,0)),"",INDEX('Compliance Database'!$F$2:$F$265,MATCH(85,Engine!$C$2:$C$265,0)))</f>
        <v>Incident Reporting</v>
      </c>
      <c r="G98" t="str">
        <f>IF(ISNA(MATCH(85,Engine!$C$2:$C$265,0)),"",INDEX('Compliance Database'!$G$2:$G$265,MATCH(85,Engine!$C$2:$C$265,0)))</f>
        <v>High</v>
      </c>
      <c r="H98" t="str">
        <f>IF(ISNA(MATCH(85,Engine!$C$2:$C$265,0)),"",INDEX('Compliance Database'!$H$2:$H$265,MATCH(85,Engine!$C$2:$C$265,0)))</f>
        <v>High (explicit)</v>
      </c>
      <c r="I98" s="6" t="str">
        <f>IF(ISNA(MATCH(85,Engine!$C$2:$C$265,0)),"",INDEX('Compliance Database'!$I$2:$I$265,MATCH(85,Engine!$C$2:$C$265,0)))</f>
        <v>Incident Reporting, Breach Notification</v>
      </c>
      <c r="J98" s="6" t="str">
        <f>IF(ISNA(MATCH(85,Engine!$C$2:$C$265,0)),"",INDEX('Compliance Database'!$J$2:$J$265,MATCH(85,Engine!$C$2:$C$265,0)))</f>
        <v>Financial Data</v>
      </c>
      <c r="K98" t="str">
        <f>IF(ISNA(MATCH(85,Engine!$C$2:$C$265,0)),"",INDEX('Compliance Database'!$K$2:$K$265,MATCH(85,Engine!$C$2:$C$265,0)))</f>
        <v>Financial Intelligence Centre (Centre)</v>
      </c>
      <c r="L98" s="6" t="str">
        <f>IF(ISNA(MATCH(85,Engine!$C$2:$C$265,0)),"",INDEX('Compliance Database'!$L$2:$L$265,MATCH(85,Engine!$C$2:$C$265,0)))</f>
        <v>Failure to send cash conveyance reports is an offence.</v>
      </c>
      <c r="M98" s="6" t="str">
        <f>IF(ISNA(MATCH(85,Engine!$C$2:$C$265,0)),"",INDEX('Compliance Database'!$M$2:$M$265,MATCH(85,Engine!$C$2:$C$265,0)))</f>
        <v>Failure to send cash conveyance reports to Centre is subject to criminal penalties.</v>
      </c>
      <c r="N98" s="6" t="str">
        <f>IF(ISNA(MATCH(85,Engine!$C$2:$C$265,0)),"",INDEX('Compliance Database'!$N$2:$N$265,MATCH(85,Engine!$C$2:$C$265,0)))</f>
        <v>[Must] A person referred to in section 30(2) who fails to send a report regarding the conveyance of cash to the Centre in accordance with that section is guilty of an offence</v>
      </c>
      <c r="O98" s="6" t="str">
        <f>IF(ISNA(MATCH(85,Engine!$C$2:$C$265,0)),"",INDEX('Compliance Database'!$O$2:$O$265,MATCH(85,Engine!$C$2:$C$265,0)))</f>
        <v>55. A person referred to in section 30(2) who fails to send a report regarding the conveyance of cash to the Centre in accordance with that section, is guilty of an offence.</v>
      </c>
    </row>
    <row r="99" spans="1:15" ht="72" x14ac:dyDescent="0.3">
      <c r="A99" t="str">
        <f>IF(ISNA(MATCH(86,Engine!$C$2:$C$265,0)),"",INDEX('Compliance Database'!$A$2:$A$265,MATCH(86,Engine!$C$2:$C$265,0)))</f>
        <v>South Africa</v>
      </c>
      <c r="B99" t="str">
        <f>IF(ISNA(MATCH(86,Engine!$C$2:$C$265,0)),"",INDEX('Compliance Database'!$B$2:$B$265,MATCH(86,Engine!$C$2:$C$265,0)))</f>
        <v>FICA (Financial Intelligence Centre Act, 38 of 2001</v>
      </c>
      <c r="C99" t="str">
        <f>IF(ISNA(MATCH(86,Engine!$C$2:$C$265,0)),"",INDEX('Compliance Database'!$C$2:$C$265,MATCH(86,Engine!$C$2:$C$265,0)))</f>
        <v>57</v>
      </c>
      <c r="D99" s="6" t="str">
        <f>IF(ISNA(MATCH(86,Engine!$C$2:$C$265,0)),"",INDEX('Compliance Database'!$D$2:$D$265,MATCH(86,Engine!$C$2:$C$265,0)))</f>
        <v>An  accountable institution, reporting, institution or  any other person that fails to</v>
      </c>
      <c r="E99" t="str">
        <f>IF(ISNA(MATCH(86,Engine!$C$2:$C$265,0)),"",INDEX('Compliance Database'!$E$2:$E$265,MATCH(86,Engine!$C$2:$C$265,0)))</f>
        <v>16</v>
      </c>
      <c r="F99" t="str">
        <f>IF(ISNA(MATCH(86,Engine!$C$2:$C$265,0)),"",INDEX('Compliance Database'!$F$2:$F$265,MATCH(86,Engine!$C$2:$C$265,0)))</f>
        <v>Enforcement</v>
      </c>
      <c r="G99" t="str">
        <f>IF(ISNA(MATCH(86,Engine!$C$2:$C$265,0)),"",INDEX('Compliance Database'!$G$2:$G$265,MATCH(86,Engine!$C$2:$C$265,0)))</f>
        <v>High</v>
      </c>
      <c r="H99" t="str">
        <f>IF(ISNA(MATCH(86,Engine!$C$2:$C$265,0)),"",INDEX('Compliance Database'!$H$2:$H$265,MATCH(86,Engine!$C$2:$C$265,0)))</f>
        <v>High (explicit)</v>
      </c>
      <c r="I99" s="6">
        <f>IF(ISNA(MATCH(86,Engine!$C$2:$C$265,0)),"",INDEX('Compliance Database'!$I$2:$I$265,MATCH(86,Engine!$C$2:$C$265,0)))</f>
        <v>0</v>
      </c>
      <c r="J99" s="6" t="str">
        <f>IF(ISNA(MATCH(86,Engine!$C$2:$C$265,0)),"",INDEX('Compliance Database'!$J$2:$J$265,MATCH(86,Engine!$C$2:$C$265,0)))</f>
        <v>Financial Data</v>
      </c>
      <c r="K99" t="str">
        <f>IF(ISNA(MATCH(86,Engine!$C$2:$C$265,0)),"",INDEX('Compliance Database'!$K$2:$K$265,MATCH(86,Engine!$C$2:$C$265,0)))</f>
        <v>Centre</v>
      </c>
      <c r="L99" s="6" t="str">
        <f>IF(ISNA(MATCH(86,Engine!$C$2:$C$265,0)),"",INDEX('Compliance Database'!$L$2:$L$265,MATCH(86,Engine!$C$2:$C$265,0)))</f>
        <v>Accountable institutions failing to comply with Centre's requests are guilty of an offence.</v>
      </c>
      <c r="M99" s="6" t="str">
        <f>IF(ISNA(MATCH(86,Engine!$C$2:$C$265,0)),"",INDEX('Compliance Database'!$M$2:$M$265,MATCH(86,Engine!$C$2:$C$265,0)))</f>
        <v>Offence for non-compliance with Centre's requests; requires adherence to Centre's directives.</v>
      </c>
      <c r="N99" s="6" t="str">
        <f>IF(ISNA(MATCH(86,Engine!$C$2:$C$265,0)),"",INDEX('Compliance Database'!$N$2:$N$265,MATCH(86,Engine!$C$2:$C$265,0)))</f>
        <v>[Must] comply with a request made by Centre or investigating authority acting under authority of an authorised office in terms of section 32(2)</v>
      </c>
      <c r="O99" s="6" t="str">
        <f>IF(ISNA(MATCH(86,Engine!$C$2:$C$265,0)),"",INDEX('Compliance Database'!$O$2:$O$265,MATCH(86,Engine!$C$2:$C$265,0)))</f>
        <v>An accountable institution, reporting, institution or any other person that fails to comply with a request made by Centre or an investigating authority acting under the authority of an authorised office in terms of section 32(2), is guilty of an offence.</v>
      </c>
    </row>
    <row r="100" spans="1:15" ht="43.2" x14ac:dyDescent="0.3">
      <c r="A100" t="str">
        <f>IF(ISNA(MATCH(87,Engine!$C$2:$C$265,0)),"",INDEX('Compliance Database'!$A$2:$A$265,MATCH(87,Engine!$C$2:$C$265,0)))</f>
        <v>South Africa</v>
      </c>
      <c r="B100" t="str">
        <f>IF(ISNA(MATCH(87,Engine!$C$2:$C$265,0)),"",INDEX('Compliance Database'!$B$2:$B$265,MATCH(87,Engine!$C$2:$C$265,0)))</f>
        <v>FICA (Financial Intelligence Centre Act, 38 of 2001</v>
      </c>
      <c r="C100" t="str">
        <f>IF(ISNA(MATCH(87,Engine!$C$2:$C$265,0)),"",INDEX('Compliance Database'!$C$2:$C$265,MATCH(87,Engine!$C$2:$C$265,0)))</f>
        <v>58</v>
      </c>
      <c r="D100" s="6" t="str">
        <f>IF(ISNA(MATCH(87,Engine!$C$2:$C$265,0)),"",INDEX('Compliance Database'!$D$2:$D$265,MATCH(87,Engine!$C$2:$C$265,0)))</f>
        <v>An  accountable institution that fails 'to comply  with a  direction by the  Centre in</v>
      </c>
      <c r="E100" t="str">
        <f>IF(ISNA(MATCH(87,Engine!$C$2:$C$265,0)),"",INDEX('Compliance Database'!$E$2:$E$265,MATCH(87,Engine!$C$2:$C$265,0)))</f>
        <v>16</v>
      </c>
      <c r="F100" t="str">
        <f>IF(ISNA(MATCH(87,Engine!$C$2:$C$265,0)),"",INDEX('Compliance Database'!$F$2:$F$265,MATCH(87,Engine!$C$2:$C$265,0)))</f>
        <v>Enforcement</v>
      </c>
      <c r="G100" t="str">
        <f>IF(ISNA(MATCH(87,Engine!$C$2:$C$265,0)),"",INDEX('Compliance Database'!$G$2:$G$265,MATCH(87,Engine!$C$2:$C$265,0)))</f>
        <v>High</v>
      </c>
      <c r="H100" t="str">
        <f>IF(ISNA(MATCH(87,Engine!$C$2:$C$265,0)),"",INDEX('Compliance Database'!$H$2:$H$265,MATCH(87,Engine!$C$2:$C$265,0)))</f>
        <v>High (explicit)</v>
      </c>
      <c r="I100" s="6">
        <f>IF(ISNA(MATCH(87,Engine!$C$2:$C$265,0)),"",INDEX('Compliance Database'!$I$2:$I$265,MATCH(87,Engine!$C$2:$C$265,0)))</f>
        <v>0</v>
      </c>
      <c r="J100" s="6" t="str">
        <f>IF(ISNA(MATCH(87,Engine!$C$2:$C$265,0)),"",INDEX('Compliance Database'!$J$2:$J$265,MATCH(87,Engine!$C$2:$C$265,0)))</f>
        <v>Financial Data</v>
      </c>
      <c r="K100" t="str">
        <f>IF(ISNA(MATCH(87,Engine!$C$2:$C$265,0)),"",INDEX('Compliance Database'!$K$2:$K$265,MATCH(87,Engine!$C$2:$C$265,0)))</f>
        <v>Centre</v>
      </c>
      <c r="L100" s="6" t="str">
        <f>IF(ISNA(MATCH(87,Engine!$C$2:$C$265,0)),"",INDEX('Compliance Database'!$L$2:$L$265,MATCH(87,Engine!$C$2:$C$265,0)))</f>
        <v>Accountable institutions failing to comply with Centre's directions are guilty of an offence.</v>
      </c>
      <c r="M100" s="6" t="str">
        <f>IF(ISNA(MATCH(87,Engine!$C$2:$C$265,0)),"",INDEX('Compliance Database'!$M$2:$M$265,MATCH(87,Engine!$C$2:$C$265,0)))</f>
        <v>Offence for non-compliance with Centre's directions; requires adherence to Centre's directives.</v>
      </c>
      <c r="N100" s="6" t="str">
        <f>IF(ISNA(MATCH(87,Engine!$C$2:$C$265,0)),"",INDEX('Compliance Database'!$N$2:$N$265,MATCH(87,Engine!$C$2:$C$265,0)))</f>
        <v>[Must] comply with a direction by Centre in terms of section 34(1)</v>
      </c>
      <c r="O100" s="6" t="str">
        <f>IF(ISNA(MATCH(87,Engine!$C$2:$C$265,0)),"",INDEX('Compliance Database'!$O$2:$O$265,MATCH(87,Engine!$C$2:$C$265,0)))</f>
        <v>An accountable institution that fails to comply with a direction by Centre in terms of section 34(1), is guilty of an offence.</v>
      </c>
    </row>
    <row r="101" spans="1:15" ht="115.2" x14ac:dyDescent="0.3">
      <c r="A101" t="str">
        <f>IF(ISNA(MATCH(88,Engine!$C$2:$C$265,0)),"",INDEX('Compliance Database'!$A$2:$A$265,MATCH(88,Engine!$C$2:$C$265,0)))</f>
        <v>South Africa</v>
      </c>
      <c r="B101" t="str">
        <f>IF(ISNA(MATCH(88,Engine!$C$2:$C$265,0)),"",INDEX('Compliance Database'!$B$2:$B$265,MATCH(88,Engine!$C$2:$C$265,0)))</f>
        <v>FICA (Financial Intelligence Centre Act, 38 of 2001</v>
      </c>
      <c r="C101" t="str">
        <f>IF(ISNA(MATCH(88,Engine!$C$2:$C$265,0)),"",INDEX('Compliance Database'!$C$2:$C$265,MATCH(88,Engine!$C$2:$C$265,0)))</f>
        <v>60</v>
      </c>
      <c r="D101" s="6" t="str">
        <f>IF(ISNA(MATCH(88,Engine!$C$2:$C$265,0)),"",INDEX('Compliance Database'!$D$2:$D$265,MATCH(88,Engine!$C$2:$C$265,0)))</f>
        <v>(1) Any  person who-</v>
      </c>
      <c r="E101" t="str">
        <f>IF(ISNA(MATCH(88,Engine!$C$2:$C$265,0)),"",INDEX('Compliance Database'!$E$2:$E$265,MATCH(88,Engine!$C$2:$C$265,0)))</f>
        <v>16–17</v>
      </c>
      <c r="F101" t="str">
        <f>IF(ISNA(MATCH(88,Engine!$C$2:$C$265,0)),"",INDEX('Compliance Database'!$F$2:$F$265,MATCH(88,Engine!$C$2:$C$265,0)))</f>
        <v>Enforcement</v>
      </c>
      <c r="G101" t="str">
        <f>IF(ISNA(MATCH(88,Engine!$C$2:$C$265,0)),"",INDEX('Compliance Database'!$G$2:$G$265,MATCH(88,Engine!$C$2:$C$265,0)))</f>
        <v>High</v>
      </c>
      <c r="H101" t="str">
        <f>IF(ISNA(MATCH(88,Engine!$C$2:$C$265,0)),"",INDEX('Compliance Database'!$H$2:$H$265,MATCH(88,Engine!$C$2:$C$265,0)))</f>
        <v>High (explicit)</v>
      </c>
      <c r="I101" s="6">
        <f>IF(ISNA(MATCH(88,Engine!$C$2:$C$265,0)),"",INDEX('Compliance Database'!$I$2:$I$265,MATCH(88,Engine!$C$2:$C$265,0)))</f>
        <v>0</v>
      </c>
      <c r="J101" s="6" t="str">
        <f>IF(ISNA(MATCH(88,Engine!$C$2:$C$265,0)),"",INDEX('Compliance Database'!$J$2:$J$265,MATCH(88,Engine!$C$2:$C$265,0)))</f>
        <v>Financial Data</v>
      </c>
      <c r="K101" t="str">
        <f>IF(ISNA(MATCH(88,Engine!$C$2:$C$265,0)),"",INDEX('Compliance Database'!$K$2:$K$265,MATCH(88,Engine!$C$2:$C$265,0)))</f>
        <v>Centre</v>
      </c>
      <c r="L101" s="6" t="str">
        <f>IF(ISNA(MATCH(88,Engine!$C$2:$C$265,0)),"",INDEX('Compliance Database'!$L$2:$L$265,MATCH(88,Engine!$C$2:$C$265,0)))</f>
        <v>Offences for disclosing, tampering with, or misusing Centre's confidential information.</v>
      </c>
      <c r="M101" s="6" t="str">
        <f>IF(ISNA(MATCH(88,Engine!$C$2:$C$265,0)),"",INDEX('Compliance Database'!$M$2:$M$265,MATCH(88,Engine!$C$2:$C$265,0)))</f>
        <v>Offence for disclosing, tampering with, or misusing Centre's confidential information; requires adherence to Centre's information handling rules.</v>
      </c>
      <c r="N101" s="6" t="str">
        <f>IF(ISNA(MATCH(88,Engine!$C$2:$C$265,0)),"",INDEX('Compliance Database'!$N$2:$N$265,MATCH(88,Engine!$C$2:$C$265,0)))</f>
        <v>[Must Not] disclose confidential information held by or obtained from Centre
[Must Not] wilfully destroy or tamper with information kept by Centre
[Must Not] use information obtained from Centre otherwise than in accordance with section 40</v>
      </c>
      <c r="O101" s="6" t="str">
        <f>IF(ISNA(MATCH(88,Engine!$C$2:$C$265,0)),"",INDEX('Compliance Database'!$O$2:$O$265,MATCH(88,Engine!$C$2:$C$265,0)))</f>
        <v>Any person who discloses confidential information held by or obtained from Centre; wilfully destroys or tampers with information kept by Centre; or uses information obtained from Centre otherwise than in accordance with section 40, is guilty of an offence.</v>
      </c>
    </row>
    <row r="102" spans="1:15" ht="72" x14ac:dyDescent="0.3">
      <c r="A102" t="str">
        <f>IF(ISNA(MATCH(89,Engine!$C$2:$C$265,0)),"",INDEX('Compliance Database'!$A$2:$A$265,MATCH(89,Engine!$C$2:$C$265,0)))</f>
        <v>South Africa</v>
      </c>
      <c r="B102" t="str">
        <f>IF(ISNA(MATCH(89,Engine!$C$2:$C$265,0)),"",INDEX('Compliance Database'!$B$2:$B$265,MATCH(89,Engine!$C$2:$C$265,0)))</f>
        <v>FICA (Financial Intelligence Centre Act, 38 of 2001</v>
      </c>
      <c r="C102" t="str">
        <f>IF(ISNA(MATCH(89,Engine!$C$2:$C$265,0)),"",INDEX('Compliance Database'!$C$2:$C$265,MATCH(89,Engine!$C$2:$C$265,0)))</f>
        <v>62</v>
      </c>
      <c r="D102" s="6" t="str">
        <f>IF(ISNA(MATCH(89,Engine!$C$2:$C$265,0)),"",INDEX('Compliance Database'!$D$2:$D$265,MATCH(89,Engine!$C$2:$C$265,0)))</f>
        <v>An accountable institution that fails to-</v>
      </c>
      <c r="E102" t="str">
        <f>IF(ISNA(MATCH(89,Engine!$C$2:$C$265,0)),"",INDEX('Compliance Database'!$E$2:$E$265,MATCH(89,Engine!$C$2:$C$265,0)))</f>
        <v>17</v>
      </c>
      <c r="F102" t="str">
        <f>IF(ISNA(MATCH(89,Engine!$C$2:$C$265,0)),"",INDEX('Compliance Database'!$F$2:$F$265,MATCH(89,Engine!$C$2:$C$265,0)))</f>
        <v>Enforcement</v>
      </c>
      <c r="G102" t="str">
        <f>IF(ISNA(MATCH(89,Engine!$C$2:$C$265,0)),"",INDEX('Compliance Database'!$G$2:$G$265,MATCH(89,Engine!$C$2:$C$265,0)))</f>
        <v>High</v>
      </c>
      <c r="H102" t="str">
        <f>IF(ISNA(MATCH(89,Engine!$C$2:$C$265,0)),"",INDEX('Compliance Database'!$H$2:$H$265,MATCH(89,Engine!$C$2:$C$265,0)))</f>
        <v>High (explicit)</v>
      </c>
      <c r="I102" s="6">
        <f>IF(ISNA(MATCH(89,Engine!$C$2:$C$265,0)),"",INDEX('Compliance Database'!$I$2:$I$265,MATCH(89,Engine!$C$2:$C$265,0)))</f>
        <v>0</v>
      </c>
      <c r="J102" s="6" t="str">
        <f>IF(ISNA(MATCH(89,Engine!$C$2:$C$265,0)),"",INDEX('Compliance Database'!$J$2:$J$265,MATCH(89,Engine!$C$2:$C$265,0)))</f>
        <v>Financial Data</v>
      </c>
      <c r="K102" t="str">
        <f>IF(ISNA(MATCH(89,Engine!$C$2:$C$265,0)),"",INDEX('Compliance Database'!$K$2:$K$265,MATCH(89,Engine!$C$2:$C$265,0)))</f>
        <v>Centre</v>
      </c>
      <c r="L102" s="6" t="str">
        <f>IF(ISNA(MATCH(89,Engine!$C$2:$C$265,0)),"",INDEX('Compliance Database'!$L$2:$L$265,MATCH(89,Engine!$C$2:$C$265,0)))</f>
        <v>Accountable institutions failing to provide training or appoint compliance officers are guilty of an offence.</v>
      </c>
      <c r="M102" s="6" t="str">
        <f>IF(ISNA(MATCH(89,Engine!$C$2:$C$265,0)),"",INDEX('Compliance Database'!$M$2:$M$265,MATCH(89,Engine!$C$2:$C$265,0)))</f>
        <v>Offence for failing to provide employee training or appoint compliance officers; requires adherence to training and compliance officer requirements.</v>
      </c>
      <c r="N102" s="6" t="str">
        <f>IF(ISNA(MATCH(89,Engine!$C$2:$C$265,0)),"",INDEX('Compliance Database'!$N$2:$N$265,MATCH(89,Engine!$C$2:$C$265,0)))</f>
        <v>[Must] provide training to employees in accordance with section 43(a)
[Must] appoint the person referred to in section 43(b)</v>
      </c>
      <c r="O102" s="6" t="str">
        <f>IF(ISNA(MATCH(89,Engine!$C$2:$C$265,0)),"",INDEX('Compliance Database'!$O$2:$O$265,MATCH(89,Engine!$C$2:$C$265,0)))</f>
        <v>An accountable institution that fails to provide training to its employees in accordance with section 43(a); or appoint the person referred to in section 43(b), is guilty of an offence.</v>
      </c>
    </row>
    <row r="103" spans="1:15" ht="57.6" x14ac:dyDescent="0.3">
      <c r="A103" t="str">
        <f>IF(ISNA(MATCH(90,Engine!$C$2:$C$265,0)),"",INDEX('Compliance Database'!$A$2:$A$265,MATCH(90,Engine!$C$2:$C$265,0)))</f>
        <v>South Africa</v>
      </c>
      <c r="B103" t="str">
        <f>IF(ISNA(MATCH(90,Engine!$C$2:$C$265,0)),"",INDEX('Compliance Database'!$B$2:$B$265,MATCH(90,Engine!$C$2:$C$265,0)))</f>
        <v>FICA (Financial Intelligence Centre Act, 38 of 2001</v>
      </c>
      <c r="C103" t="str">
        <f>IF(ISNA(MATCH(90,Engine!$C$2:$C$265,0)),"",INDEX('Compliance Database'!$C$2:$C$265,MATCH(90,Engine!$C$2:$C$265,0)))</f>
        <v>63</v>
      </c>
      <c r="D103" s="6" t="str">
        <f>IF(ISNA(MATCH(90,Engine!$C$2:$C$265,0)),"",INDEX('Compliance Database'!$D$2:$D$265,MATCH(90,Engine!$C$2:$C$265,0)))</f>
        <v>Any  person who obstructs, hinders  or  threatens  an official or  representative of the</v>
      </c>
      <c r="E103" t="str">
        <f>IF(ISNA(MATCH(90,Engine!$C$2:$C$265,0)),"",INDEX('Compliance Database'!$E$2:$E$265,MATCH(90,Engine!$C$2:$C$265,0)))</f>
        <v>17</v>
      </c>
      <c r="F103" t="str">
        <f>IF(ISNA(MATCH(90,Engine!$C$2:$C$265,0)),"",INDEX('Compliance Database'!$F$2:$F$265,MATCH(90,Engine!$C$2:$C$265,0)))</f>
        <v>Enforcement</v>
      </c>
      <c r="G103" t="str">
        <f>IF(ISNA(MATCH(90,Engine!$C$2:$C$265,0)),"",INDEX('Compliance Database'!$G$2:$G$265,MATCH(90,Engine!$C$2:$C$265,0)))</f>
        <v>High</v>
      </c>
      <c r="H103" t="str">
        <f>IF(ISNA(MATCH(90,Engine!$C$2:$C$265,0)),"",INDEX('Compliance Database'!$H$2:$H$265,MATCH(90,Engine!$C$2:$C$265,0)))</f>
        <v>High (explicit)</v>
      </c>
      <c r="I103" s="6">
        <f>IF(ISNA(MATCH(90,Engine!$C$2:$C$265,0)),"",INDEX('Compliance Database'!$I$2:$I$265,MATCH(90,Engine!$C$2:$C$265,0)))</f>
        <v>0</v>
      </c>
      <c r="J103" s="6" t="str">
        <f>IF(ISNA(MATCH(90,Engine!$C$2:$C$265,0)),"",INDEX('Compliance Database'!$J$2:$J$265,MATCH(90,Engine!$C$2:$C$265,0)))</f>
        <v>Financial Data</v>
      </c>
      <c r="K103" t="str">
        <f>IF(ISNA(MATCH(90,Engine!$C$2:$C$265,0)),"",INDEX('Compliance Database'!$K$2:$K$265,MATCH(90,Engine!$C$2:$C$265,0)))</f>
        <v>Centre</v>
      </c>
      <c r="L103" s="6" t="str">
        <f>IF(ISNA(MATCH(90,Engine!$C$2:$C$265,0)),"",INDEX('Compliance Database'!$L$2:$L$265,MATCH(90,Engine!$C$2:$C$265,0)))</f>
        <v>Obstructing Centre officials in performing duties is an offence.</v>
      </c>
      <c r="M103" s="6" t="str">
        <f>IF(ISNA(MATCH(90,Engine!$C$2:$C$265,0)),"",INDEX('Compliance Database'!$M$2:$M$265,MATCH(90,Engine!$C$2:$C$265,0)))</f>
        <v>Offence for obstructing Centre officials; requires non-obstruction of Centre officials' duties.</v>
      </c>
      <c r="N103" s="6" t="str">
        <f>IF(ISNA(MATCH(90,Engine!$C$2:$C$265,0)),"",INDEX('Compliance Database'!$N$2:$N$265,MATCH(90,Engine!$C$2:$C$265,0)))</f>
        <v>[Must Not] obstruct, hinder or threaten Centre officials in performance of duties</v>
      </c>
      <c r="O103" s="6" t="str">
        <f>IF(ISNA(MATCH(90,Engine!$C$2:$C$265,0)),"",INDEX('Compliance Database'!$O$2:$O$265,MATCH(90,Engine!$C$2:$C$265,0)))</f>
        <v>Any person who obstructs, hinders or threatens Centre officials in the performance of their duties or exercise of powers in terms of this Act, is guilty of an offence.</v>
      </c>
    </row>
    <row r="104" spans="1:15" ht="72" x14ac:dyDescent="0.3">
      <c r="A104" t="str">
        <f>IF(ISNA(MATCH(91,Engine!$C$2:$C$265,0)),"",INDEX('Compliance Database'!$A$2:$A$265,MATCH(91,Engine!$C$2:$C$265,0)))</f>
        <v>South Africa</v>
      </c>
      <c r="B104" t="str">
        <f>IF(ISNA(MATCH(91,Engine!$C$2:$C$265,0)),"",INDEX('Compliance Database'!$B$2:$B$265,MATCH(91,Engine!$C$2:$C$265,0)))</f>
        <v>FICA (Financial Intelligence Centre Act, 38 of 2001</v>
      </c>
      <c r="C104" t="str">
        <f>IF(ISNA(MATCH(91,Engine!$C$2:$C$265,0)),"",INDEX('Compliance Database'!$C$2:$C$265,MATCH(91,Engine!$C$2:$C$265,0)))</f>
        <v>64</v>
      </c>
      <c r="D104" s="6" t="str">
        <f>IF(ISNA(MATCH(91,Engine!$C$2:$C$265,0)),"",INDEX('Compliance Database'!$D$2:$D$265,MATCH(91,Engine!$C$2:$C$265,0)))</f>
        <v>Any  person who  conducts, or causes  to  be  conducted,  two or more transactions</v>
      </c>
      <c r="E104" t="str">
        <f>IF(ISNA(MATCH(91,Engine!$C$2:$C$265,0)),"",INDEX('Compliance Database'!$E$2:$E$265,MATCH(91,Engine!$C$2:$C$265,0)))</f>
        <v>17</v>
      </c>
      <c r="F104" t="str">
        <f>IF(ISNA(MATCH(91,Engine!$C$2:$C$265,0)),"",INDEX('Compliance Database'!$F$2:$F$265,MATCH(91,Engine!$C$2:$C$265,0)))</f>
        <v>Enforcement</v>
      </c>
      <c r="G104" t="str">
        <f>IF(ISNA(MATCH(91,Engine!$C$2:$C$265,0)),"",INDEX('Compliance Database'!$G$2:$G$265,MATCH(91,Engine!$C$2:$C$265,0)))</f>
        <v>High</v>
      </c>
      <c r="H104" t="str">
        <f>IF(ISNA(MATCH(91,Engine!$C$2:$C$265,0)),"",INDEX('Compliance Database'!$H$2:$H$265,MATCH(91,Engine!$C$2:$C$265,0)))</f>
        <v>High (explicit)</v>
      </c>
      <c r="I104" s="6">
        <f>IF(ISNA(MATCH(91,Engine!$C$2:$C$265,0)),"",INDEX('Compliance Database'!$I$2:$I$265,MATCH(91,Engine!$C$2:$C$265,0)))</f>
        <v>0</v>
      </c>
      <c r="J104" s="6" t="str">
        <f>IF(ISNA(MATCH(91,Engine!$C$2:$C$265,0)),"",INDEX('Compliance Database'!$J$2:$J$265,MATCH(91,Engine!$C$2:$C$265,0)))</f>
        <v>Financial Data</v>
      </c>
      <c r="K104" t="str">
        <f>IF(ISNA(MATCH(91,Engine!$C$2:$C$265,0)),"",INDEX('Compliance Database'!$K$2:$K$265,MATCH(91,Engine!$C$2:$C$265,0)))</f>
        <v>Centre</v>
      </c>
      <c r="L104" s="6" t="str">
        <f>IF(ISNA(MATCH(91,Engine!$C$2:$C$265,0)),"",INDEX('Compliance Database'!$L$2:$L$265,MATCH(91,Engine!$C$2:$C$265,0)))</f>
        <v>Conducting transactions to avoid reporting duties is an offence.</v>
      </c>
      <c r="M104" s="6" t="str">
        <f>IF(ISNA(MATCH(91,Engine!$C$2:$C$265,0)),"",INDEX('Compliance Database'!$M$2:$M$265,MATCH(91,Engine!$C$2:$C$265,0)))</f>
        <v>Offence for conducting transactions to avoid reporting duties; requires full reporting of transactions.</v>
      </c>
      <c r="N104" s="6" t="str">
        <f>IF(ISNA(MATCH(91,Engine!$C$2:$C$265,0)),"",INDEX('Compliance Database'!$N$2:$N$265,MATCH(91,Engine!$C$2:$C$265,0)))</f>
        <v>[Must Not] conduct two or more transactions with purpose to avoid reporting duty under Act</v>
      </c>
      <c r="O104" s="6" t="str">
        <f>IF(ISNA(MATCH(91,Engine!$C$2:$C$265,0)),"",INDEX('Compliance Database'!$O$2:$O$265,MATCH(91,Engine!$C$2:$C$265,0)))</f>
        <v>Any person who conducts, or causes to be conducted, two or more transactions with the purpose, in whole or in part, of avoiding giving rise to a reporting duty under this Act, is guilty of an offence.</v>
      </c>
    </row>
    <row r="105" spans="1:15" ht="57.6" x14ac:dyDescent="0.3">
      <c r="A105" t="str">
        <f>IF(ISNA(MATCH(92,Engine!$C$2:$C$265,0)),"",INDEX('Compliance Database'!$A$2:$A$265,MATCH(92,Engine!$C$2:$C$265,0)))</f>
        <v>South Africa</v>
      </c>
      <c r="B105" t="str">
        <f>IF(ISNA(MATCH(92,Engine!$C$2:$C$265,0)),"",INDEX('Compliance Database'!$B$2:$B$265,MATCH(92,Engine!$C$2:$C$265,0)))</f>
        <v>FICA (Financial Intelligence Centre Act, 38 of 2001</v>
      </c>
      <c r="C105" t="str">
        <f>IF(ISNA(MATCH(92,Engine!$C$2:$C$265,0)),"",INDEX('Compliance Database'!$C$2:$C$265,MATCH(92,Engine!$C$2:$C$265,0)))</f>
        <v>66</v>
      </c>
      <c r="D105" s="6" t="str">
        <f>IF(ISNA(MATCH(92,Engine!$C$2:$C$265,0)),"",INDEX('Compliance Database'!$D$2:$D$265,MATCH(92,Engine!$C$2:$C$265,0)))</f>
        <v>Any  person who, without  authority ':o do so, wilfully causes  a computer  system</v>
      </c>
      <c r="E105" t="str">
        <f>IF(ISNA(MATCH(92,Engine!$C$2:$C$265,0)),"",INDEX('Compliance Database'!$E$2:$E$265,MATCH(92,Engine!$C$2:$C$265,0)))</f>
        <v>18</v>
      </c>
      <c r="F105" t="str">
        <f>IF(ISNA(MATCH(92,Engine!$C$2:$C$265,0)),"",INDEX('Compliance Database'!$F$2:$F$265,MATCH(92,Engine!$C$2:$C$265,0)))</f>
        <v>Enforcement</v>
      </c>
      <c r="G105" t="str">
        <f>IF(ISNA(MATCH(92,Engine!$C$2:$C$265,0)),"",INDEX('Compliance Database'!$G$2:$G$265,MATCH(92,Engine!$C$2:$C$265,0)))</f>
        <v>High</v>
      </c>
      <c r="H105" t="str">
        <f>IF(ISNA(MATCH(92,Engine!$C$2:$C$265,0)),"",INDEX('Compliance Database'!$H$2:$H$265,MATCH(92,Engine!$C$2:$C$265,0)))</f>
        <v>High (explicit)</v>
      </c>
      <c r="I105" s="6">
        <f>IF(ISNA(MATCH(92,Engine!$C$2:$C$265,0)),"",INDEX('Compliance Database'!$I$2:$I$265,MATCH(92,Engine!$C$2:$C$265,0)))</f>
        <v>0</v>
      </c>
      <c r="J105" s="6" t="str">
        <f>IF(ISNA(MATCH(92,Engine!$C$2:$C$265,0)),"",INDEX('Compliance Database'!$J$2:$J$265,MATCH(92,Engine!$C$2:$C$265,0)))</f>
        <v>Financial Data</v>
      </c>
      <c r="K105" t="str">
        <f>IF(ISNA(MATCH(92,Engine!$C$2:$C$265,0)),"",INDEX('Compliance Database'!$K$2:$K$265,MATCH(92,Engine!$C$2:$C$265,0)))</f>
        <v>Centre</v>
      </c>
      <c r="L105" s="6" t="str">
        <f>IF(ISNA(MATCH(92,Engine!$C$2:$C$265,0)),"",INDEX('Compliance Database'!$L$2:$L$265,MATCH(92,Engine!$C$2:$C$265,0)))</f>
        <v>Unauthorised modification of Centre's computer systems is an offence.</v>
      </c>
      <c r="M105" s="6" t="str">
        <f>IF(ISNA(MATCH(92,Engine!$C$2:$C$265,0)),"",INDEX('Compliance Database'!$M$2:$M$265,MATCH(92,Engine!$C$2:$C$265,0)))</f>
        <v>Offence for unauthorised modification of Centre's computer systems; requires adherence to system integrity.</v>
      </c>
      <c r="N105" s="6" t="str">
        <f>IF(ISNA(MATCH(92,Engine!$C$2:$C$265,0)),"",INDEX('Compliance Database'!$N$2:$N$265,MATCH(92,Engine!$C$2:$C$265,0)))</f>
        <v>[Must Not] without authority to do so, wilfully causes Centre's computer system to be modified, destroyed, erased or operation impaired</v>
      </c>
      <c r="O105" s="6" t="str">
        <f>IF(ISNA(MATCH(92,Engine!$C$2:$C$265,0)),"",INDEX('Compliance Database'!$O$2:$O$265,MATCH(92,Engine!$C$2:$C$265,0)))</f>
        <v>Any person who, without authority to do so, wilfully causes Centre's computer system to be modified, destroyed, erased or operation impaired, is guilty of an offence.</v>
      </c>
    </row>
    <row r="106" spans="1:15" ht="100.8" x14ac:dyDescent="0.3">
      <c r="A106" t="str">
        <f>IF(ISNA(MATCH(93,Engine!$C$2:$C$265,0)),"",INDEX('Compliance Database'!$A$2:$A$265,MATCH(93,Engine!$C$2:$C$265,0)))</f>
        <v>South Africa</v>
      </c>
      <c r="B106" t="str">
        <f>IF(ISNA(MATCH(93,Engine!$C$2:$C$265,0)),"",INDEX('Compliance Database'!$B$2:$B$265,MATCH(93,Engine!$C$2:$C$265,0)))</f>
        <v>FICA (Financial Intelligence Centre Act, 38 of 2001</v>
      </c>
      <c r="C106" t="str">
        <f>IF(ISNA(MATCH(93,Engine!$C$2:$C$265,0)),"",INDEX('Compliance Database'!$C$2:$C$265,MATCH(93,Engine!$C$2:$C$265,0)))</f>
        <v>67</v>
      </c>
      <c r="D106" s="6" t="str">
        <f>IF(ISNA(MATCH(93,Engine!$C$2:$C$265,0)),"",INDEX('Compliance Database'!$D$2:$D$265,MATCH(93,Engine!$C$2:$C$265,0)))</f>
        <v>For the purposes of sections 65 and 66-</v>
      </c>
      <c r="E106" t="str">
        <f>IF(ISNA(MATCH(93,Engine!$C$2:$C$265,0)),"",INDEX('Compliance Database'!$E$2:$E$265,MATCH(93,Engine!$C$2:$C$265,0)))</f>
        <v>18</v>
      </c>
      <c r="F106" t="str">
        <f>IF(ISNA(MATCH(93,Engine!$C$2:$C$265,0)),"",INDEX('Compliance Database'!$F$2:$F$265,MATCH(93,Engine!$C$2:$C$265,0)))</f>
        <v>Definitions</v>
      </c>
      <c r="G106" t="str">
        <f>IF(ISNA(MATCH(93,Engine!$C$2:$C$265,0)),"",INDEX('Compliance Database'!$G$2:$G$265,MATCH(93,Engine!$C$2:$C$265,0)))</f>
        <v>Low</v>
      </c>
      <c r="H106" t="str">
        <f>IF(ISNA(MATCH(93,Engine!$C$2:$C$265,0)),"",INDEX('Compliance Database'!$H$2:$H$265,MATCH(93,Engine!$C$2:$C$265,0)))</f>
        <v>High (explicit)</v>
      </c>
      <c r="I106" s="6">
        <f>IF(ISNA(MATCH(93,Engine!$C$2:$C$265,0)),"",INDEX('Compliance Database'!$I$2:$I$265,MATCH(93,Engine!$C$2:$C$265,0)))</f>
        <v>0</v>
      </c>
      <c r="J106" s="6" t="str">
        <f>IF(ISNA(MATCH(93,Engine!$C$2:$C$265,0)),"",INDEX('Compliance Database'!$J$2:$J$265,MATCH(93,Engine!$C$2:$C$265,0)))</f>
        <v>Financial Data</v>
      </c>
      <c r="K106">
        <f>IF(ISNA(MATCH(93,Engine!$C$2:$C$265,0)),"",INDEX('Compliance Database'!$K$2:$K$265,MATCH(93,Engine!$C$2:$C$265,0)))</f>
        <v>0</v>
      </c>
      <c r="L106" s="6" t="str">
        <f>IF(ISNA(MATCH(93,Engine!$C$2:$C$265,0)),"",INDEX('Compliance Database'!$L$2:$L$265,MATCH(93,Engine!$C$2:$C$265,0)))</f>
        <v>Defines key terms for computer systems and data handling.</v>
      </c>
      <c r="M106" s="6" t="str">
        <f>IF(ISNA(MATCH(93,Engine!$C$2:$C$265,0)),"",INDEX('Compliance Database'!$M$2:$M$265,MATCH(93,Engine!$C$2:$C$265,0)))</f>
        <v>Defines terms like 'access', 'application', 'computer system', and 'data' for compliance purposes.</v>
      </c>
      <c r="N106" s="6">
        <f>IF(ISNA(MATCH(93,Engine!$C$2:$C$265,0)),"",INDEX('Compliance Database'!$N$2:$N$265,MATCH(93,Engine!$C$2:$C$265,0)))</f>
        <v>0</v>
      </c>
      <c r="O106" s="6" t="str">
        <f>IF(ISNA(MATCH(93,Engine!$C$2:$C$265,0)),"",INDEX('Compliance Database'!$O$2:$O$265,MATCH(93,Engine!$C$2:$C$265,0)))</f>
        <v>For the purposes of sections 65 and 66: 'access' means rendering application or data in a form that enables a person to take account of it; 'application' means set of instructions for computer system; 'computer system' means electronic data processing device; 'data' means representation of information capable of being processed in a computer system.</v>
      </c>
    </row>
    <row r="107" spans="1:15" ht="72" x14ac:dyDescent="0.3">
      <c r="A107" t="str">
        <f>IF(ISNA(MATCH(94,Engine!$C$2:$C$265,0)),"",INDEX('Compliance Database'!$A$2:$A$265,MATCH(94,Engine!$C$2:$C$265,0)))</f>
        <v>South Africa</v>
      </c>
      <c r="B107" t="str">
        <f>IF(ISNA(MATCH(94,Engine!$C$2:$C$265,0)),"",INDEX('Compliance Database'!$B$2:$B$265,MATCH(94,Engine!$C$2:$C$265,0)))</f>
        <v>FICA (Financial Intelligence Centre Act, 38 of 2001</v>
      </c>
      <c r="C107" t="str">
        <f>IF(ISNA(MATCH(94,Engine!$C$2:$C$265,0)),"",INDEX('Compliance Database'!$C$2:$C$265,MATCH(94,Engine!$C$2:$C$265,0)))</f>
        <v>68</v>
      </c>
      <c r="D107" s="6" t="str">
        <f>IF(ISNA(MATCH(94,Engine!$C$2:$C$265,0)),"",INDEX('Compliance Database'!$D$2:$D$265,MATCH(94,Engine!$C$2:$C$265,0)))</f>
        <v>(1) A person convicted of an offence mentioned in this Chapter, other than an</v>
      </c>
      <c r="E107" t="str">
        <f>IF(ISNA(MATCH(94,Engine!$C$2:$C$265,0)),"",INDEX('Compliance Database'!$E$2:$E$265,MATCH(94,Engine!$C$2:$C$265,0)))</f>
        <v>18</v>
      </c>
      <c r="F107" t="str">
        <f>IF(ISNA(MATCH(94,Engine!$C$2:$C$265,0)),"",INDEX('Compliance Database'!$F$2:$F$265,MATCH(94,Engine!$C$2:$C$265,0)))</f>
        <v>Enforcement</v>
      </c>
      <c r="G107" t="str">
        <f>IF(ISNA(MATCH(94,Engine!$C$2:$C$265,0)),"",INDEX('Compliance Database'!$G$2:$G$265,MATCH(94,Engine!$C$2:$C$265,0)))</f>
        <v>High</v>
      </c>
      <c r="H107" t="str">
        <f>IF(ISNA(MATCH(94,Engine!$C$2:$C$265,0)),"",INDEX('Compliance Database'!$H$2:$H$265,MATCH(94,Engine!$C$2:$C$265,0)))</f>
        <v>High (explicit)</v>
      </c>
      <c r="I107" s="6">
        <f>IF(ISNA(MATCH(94,Engine!$C$2:$C$265,0)),"",INDEX('Compliance Database'!$I$2:$I$265,MATCH(94,Engine!$C$2:$C$265,0)))</f>
        <v>0</v>
      </c>
      <c r="J107" s="6" t="str">
        <f>IF(ISNA(MATCH(94,Engine!$C$2:$C$265,0)),"",INDEX('Compliance Database'!$J$2:$J$265,MATCH(94,Engine!$C$2:$C$265,0)))</f>
        <v>Financial Data</v>
      </c>
      <c r="K107" t="str">
        <f>IF(ISNA(MATCH(94,Engine!$C$2:$C$265,0)),"",INDEX('Compliance Database'!$K$2:$K$265,MATCH(94,Engine!$C$2:$C$265,0)))</f>
        <v>Centre</v>
      </c>
      <c r="L107" s="6" t="str">
        <f>IF(ISNA(MATCH(94,Engine!$C$2:$C$265,0)),"",INDEX('Compliance Database'!$L$2:$L$265,MATCH(94,Engine!$C$2:$C$265,0)))</f>
        <v>Penalties for offences under this Act, including imprisonment and fines.</v>
      </c>
      <c r="M107" s="6" t="str">
        <f>IF(ISNA(MATCH(94,Engine!$C$2:$C$265,0)),"",INDEX('Compliance Database'!$M$2:$M$265,MATCH(94,Engine!$C$2:$C$265,0)))</f>
        <v>Penalties for non-compliance: imprisonment up to 15 years or fine up to R10 million for most offences; specific penalties for certain offences.</v>
      </c>
      <c r="N107" s="6" t="str">
        <f>IF(ISNA(MATCH(94,Engine!$C$2:$C$265,0)),"",INDEX('Compliance Database'!$N$2:$N$265,MATCH(94,Engine!$C$2:$C$265,0)))</f>
        <v>[Must] liable to imprisonment for a period not exceeding 15 years or fine not exceeding R10,000,000</v>
      </c>
      <c r="O107" s="6" t="str">
        <f>IF(ISNA(MATCH(94,Engine!$C$2:$C$265,0)),"",INDEX('Compliance Database'!$O$2:$O$265,MATCH(94,Engine!$C$2:$C$265,0)))</f>
        <v>A person convicted of an offence mentioned in this Chapter, other than an offence mentioned in subsection (2), is liable to imprisonment for a period not exceeding 15 years or to a fine not exceeding R10,000,000.</v>
      </c>
    </row>
    <row r="108" spans="1:15" ht="129.6" x14ac:dyDescent="0.3">
      <c r="A108" t="str">
        <f>IF(ISNA(MATCH(95,Engine!$C$2:$C$265,0)),"",INDEX('Compliance Database'!$A$2:$A$265,MATCH(95,Engine!$C$2:$C$265,0)))</f>
        <v>South Africa</v>
      </c>
      <c r="B108" t="str">
        <f>IF(ISNA(MATCH(95,Engine!$C$2:$C$265,0)),"",INDEX('Compliance Database'!$B$2:$B$265,MATCH(95,Engine!$C$2:$C$265,0)))</f>
        <v>FICA (Financial Intelligence Centre Act, 38 of 2001</v>
      </c>
      <c r="C108" t="str">
        <f>IF(ISNA(MATCH(95,Engine!$C$2:$C$265,0)),"",INDEX('Compliance Database'!$C$2:$C$265,MATCH(95,Engine!$C$2:$C$265,0)))</f>
        <v>69</v>
      </c>
      <c r="D108" s="6" t="str">
        <f>IF(ISNA(MATCH(95,Engine!$C$2:$C$265,0)),"",INDEX('Compliance Database'!$D$2:$D$265,MATCH(95,Engine!$C$2:$C$265,0)))</f>
        <v>If a person who is an employee, director or trustee</v>
      </c>
      <c r="E108" t="str">
        <f>IF(ISNA(MATCH(95,Engine!$C$2:$C$265,0)),"",INDEX('Compliance Database'!$E$2:$E$265,MATCH(95,Engine!$C$2:$C$265,0)))</f>
        <v>18–19</v>
      </c>
      <c r="F108" t="str">
        <f>IF(ISNA(MATCH(95,Engine!$C$2:$C$265,0)),"",INDEX('Compliance Database'!$F$2:$F$265,MATCH(95,Engine!$C$2:$C$265,0)))</f>
        <v>Other</v>
      </c>
      <c r="G108" t="str">
        <f>IF(ISNA(MATCH(95,Engine!$C$2:$C$265,0)),"",INDEX('Compliance Database'!$G$2:$G$265,MATCH(95,Engine!$C$2:$C$265,0)))</f>
        <v>Low</v>
      </c>
      <c r="H108" t="str">
        <f>IF(ISNA(MATCH(95,Engine!$C$2:$C$265,0)),"",INDEX('Compliance Database'!$H$2:$H$265,MATCH(95,Engine!$C$2:$C$265,0)))</f>
        <v>High (explicit)</v>
      </c>
      <c r="I108" s="6">
        <f>IF(ISNA(MATCH(95,Engine!$C$2:$C$265,0)),"",INDEX('Compliance Database'!$I$2:$I$265,MATCH(95,Engine!$C$2:$C$265,0)))</f>
        <v>0</v>
      </c>
      <c r="J108" s="6" t="str">
        <f>IF(ISNA(MATCH(95,Engine!$C$2:$C$265,0)),"",INDEX('Compliance Database'!$J$2:$J$265,MATCH(95,Engine!$C$2:$C$265,0)))</f>
        <v>Financial Data</v>
      </c>
      <c r="K108" t="str">
        <f>IF(ISNA(MATCH(95,Engine!$C$2:$C$265,0)),"",INDEX('Compliance Database'!$K$2:$K$265,MATCH(95,Engine!$C$2:$C$265,0)))</f>
        <v>Centre</v>
      </c>
      <c r="L108" s="6" t="str">
        <f>IF(ISNA(MATCH(95,Engine!$C$2:$C$265,0)),"",INDEX('Compliance Database'!$L$2:$L$265,MATCH(95,Engine!$C$2:$C$265,0)))</f>
        <v>Defences for employees, directors, or trustees of accountable institutions charged with offences.</v>
      </c>
      <c r="M108" s="6" t="str">
        <f>IF(ISNA(MATCH(95,Engine!$C$2:$C$265,0)),"",INDEX('Compliance Database'!$M$2:$M$265,MATCH(95,Engine!$C$2:$C$265,0)))</f>
        <v>Defences for employees/directors/trustees: compliance with internal rules, reporting to responsible person, or reporting to superior.</v>
      </c>
      <c r="N108" s="6" t="str">
        <f>IF(ISNA(MATCH(95,Engine!$C$2:$C$265,0)),"",INDEX('Compliance Database'!$N$2:$N$265,MATCH(95,Engine!$C$2:$C$265,0)))</f>
        <v>[Must] had complied with applicable obligations in internal rules relating to reporting of information
[Must] reported the matter to the person charged with responsibility for compliance
[Must] reported the matter to superior if applicable</v>
      </c>
      <c r="O108" s="6" t="str">
        <f>IF(ISNA(MATCH(95,Engine!$C$2:$C$265,0)),"",INDEX('Compliance Database'!$O$2:$O$265,MATCH(95,Engine!$C$2:$C$265,0)))</f>
        <v>If a person who is an employee, director or trustee of an accountable institution is charged with committing an offence under section 52, that person may raise as a defence the fact that he or she had complied with applicable obligations in internal rules relating to reporting of information; or reported the matter to the person charged with responsibility for compliance; or reported the matter to superior if applicable.</v>
      </c>
    </row>
    <row r="109" spans="1:15" ht="115.2" x14ac:dyDescent="0.3">
      <c r="A109" t="str">
        <f>IF(ISNA(MATCH(96,Engine!$C$2:$C$265,0)),"",INDEX('Compliance Database'!$A$2:$A$265,MATCH(96,Engine!$C$2:$C$265,0)))</f>
        <v>South Africa</v>
      </c>
      <c r="B109" t="str">
        <f>IF(ISNA(MATCH(96,Engine!$C$2:$C$265,0)),"",INDEX('Compliance Database'!$B$2:$B$265,MATCH(96,Engine!$C$2:$C$265,0)))</f>
        <v>FICA (Financial Intelligence Centre Act, 38 of 2001</v>
      </c>
      <c r="C109" t="str">
        <f>IF(ISNA(MATCH(96,Engine!$C$2:$C$265,0)),"",INDEX('Compliance Database'!$C$2:$C$265,MATCH(96,Engine!$C$2:$C$265,0)))</f>
        <v>70</v>
      </c>
      <c r="D109" s="6" t="str">
        <f>IF(ISNA(MATCH(96,Engine!$C$2:$C$265,0)),"",INDEX('Compliance Database'!$D$2:$D$265,MATCH(96,Engine!$C$2:$C$265,0)))</f>
        <v>t(1) A  police official or person authorised by the  Minister  to  receive  a  report  under</v>
      </c>
      <c r="E109" t="str">
        <f>IF(ISNA(MATCH(96,Engine!$C$2:$C$265,0)),"",INDEX('Compliance Database'!$E$2:$E$265,MATCH(96,Engine!$C$2:$C$265,0)))</f>
        <v>19–20</v>
      </c>
      <c r="F109" t="str">
        <f>IF(ISNA(MATCH(96,Engine!$C$2:$C$265,0)),"",INDEX('Compliance Database'!$F$2:$F$265,MATCH(96,Engine!$C$2:$C$265,0)))</f>
        <v>Enforcement</v>
      </c>
      <c r="G109" t="str">
        <f>IF(ISNA(MATCH(96,Engine!$C$2:$C$265,0)),"",INDEX('Compliance Database'!$G$2:$G$265,MATCH(96,Engine!$C$2:$C$265,0)))</f>
        <v>High</v>
      </c>
      <c r="H109" t="str">
        <f>IF(ISNA(MATCH(96,Engine!$C$2:$C$265,0)),"",INDEX('Compliance Database'!$H$2:$H$265,MATCH(96,Engine!$C$2:$C$265,0)))</f>
        <v>High (explicit)</v>
      </c>
      <c r="I109" s="6">
        <f>IF(ISNA(MATCH(96,Engine!$C$2:$C$265,0)),"",INDEX('Compliance Database'!$I$2:$I$265,MATCH(96,Engine!$C$2:$C$265,0)))</f>
        <v>0</v>
      </c>
      <c r="J109" s="6" t="str">
        <f>IF(ISNA(MATCH(96,Engine!$C$2:$C$265,0)),"",INDEX('Compliance Database'!$J$2:$J$265,MATCH(96,Engine!$C$2:$C$265,0)))</f>
        <v>Financial Data</v>
      </c>
      <c r="K109" t="str">
        <f>IF(ISNA(MATCH(96,Engine!$C$2:$C$265,0)),"",INDEX('Compliance Database'!$K$2:$K$265,MATCH(96,Engine!$C$2:$C$265,0)))</f>
        <v>Police</v>
      </c>
      <c r="L109" s="6" t="str">
        <f>IF(ISNA(MATCH(96,Engine!$C$2:$C$265,0)),"",INDEX('Compliance Database'!$L$2:$L$265,MATCH(96,Engine!$C$2:$C$265,0)))</f>
        <v>Search, seizure, and forfeiture of cash related to financial intelligence.</v>
      </c>
      <c r="M109" s="6" t="str">
        <f>IF(ISNA(MATCH(96,Engine!$C$2:$C$265,0)),"",INDEX('Compliance Database'!$M$2:$M$265,MATCH(96,Engine!$C$2:$C$265,0)))</f>
        <v>Procedures for searching, seizing, and forfeiting cash suspected of being involved in money laundering.</v>
      </c>
      <c r="N109" s="6" t="str">
        <f>IF(ISNA(MATCH(96,Engine!$C$2:$C$265,0)),"",INDEX('Compliance Database'!$N$2:$N$265,MATCH(96,Engine!$C$2:$C$265,0)))</f>
        <v>[Must] search any person, container or other thing in which cash is suspected to be found
[Must] seize any cash suspected to be involved in money laundering
[Must] return seized cash to person within 90 days unless specific conditions apply</v>
      </c>
      <c r="O109" s="6" t="str">
        <f>IF(ISNA(MATCH(96,Engine!$C$2:$C$265,0)),"",INDEX('Compliance Database'!$O$2:$O$265,MATCH(96,Engine!$C$2:$C$265,0)))</f>
        <v>A police official or person authorised by the Minister to receive a report under section 30(1), who has reasonable grounds to suspect that an offence under section 54 has been or is about to be committed, may search any person, container or other thing in which cash is suspected to be found.</v>
      </c>
    </row>
    <row r="110" spans="1:15" ht="115.2" x14ac:dyDescent="0.3">
      <c r="A110" t="str">
        <f>IF(ISNA(MATCH(97,Engine!$C$2:$C$265,0)),"",INDEX('Compliance Database'!$A$2:$A$265,MATCH(97,Engine!$C$2:$C$265,0)))</f>
        <v>South Africa</v>
      </c>
      <c r="B110" t="str">
        <f>IF(ISNA(MATCH(97,Engine!$C$2:$C$265,0)),"",INDEX('Compliance Database'!$B$2:$B$265,MATCH(97,Engine!$C$2:$C$265,0)))</f>
        <v>FICA (Financial Intelligence Centre Act, 38 of 2001</v>
      </c>
      <c r="C110" t="str">
        <f>IF(ISNA(MATCH(97,Engine!$C$2:$C$265,0)),"",INDEX('Compliance Database'!$C$2:$C$265,MATCH(97,Engine!$C$2:$C$265,0)))</f>
        <v>71</v>
      </c>
      <c r="D110" s="6" t="str">
        <f>IF(ISNA(MATCH(97,Engine!$C$2:$C$265,0)),"",INDEX('Compliance Database'!$D$2:$D$265,MATCH(97,Engine!$C$2:$C$265,0)))</f>
        <v>(1) A  regional court has  penal jurisdiction  to  impose any  penalty  mentioned in</v>
      </c>
      <c r="E110" t="str">
        <f>IF(ISNA(MATCH(97,Engine!$C$2:$C$265,0)),"",INDEX('Compliance Database'!$E$2:$E$265,MATCH(97,Engine!$C$2:$C$265,0)))</f>
        <v>20–21</v>
      </c>
      <c r="F110" t="str">
        <f>IF(ISNA(MATCH(97,Engine!$C$2:$C$265,0)),"",INDEX('Compliance Database'!$F$2:$F$265,MATCH(97,Engine!$C$2:$C$265,0)))</f>
        <v>Enforcement</v>
      </c>
      <c r="G110" t="str">
        <f>IF(ISNA(MATCH(97,Engine!$C$2:$C$265,0)),"",INDEX('Compliance Database'!$G$2:$G$265,MATCH(97,Engine!$C$2:$C$265,0)))</f>
        <v>High</v>
      </c>
      <c r="H110" t="str">
        <f>IF(ISNA(MATCH(97,Engine!$C$2:$C$265,0)),"",INDEX('Compliance Database'!$H$2:$H$265,MATCH(97,Engine!$C$2:$C$265,0)))</f>
        <v>High (explicit)</v>
      </c>
      <c r="I110" s="6">
        <f>IF(ISNA(MATCH(97,Engine!$C$2:$C$265,0)),"",INDEX('Compliance Database'!$I$2:$I$265,MATCH(97,Engine!$C$2:$C$265,0)))</f>
        <v>0</v>
      </c>
      <c r="J110" s="6" t="str">
        <f>IF(ISNA(MATCH(97,Engine!$C$2:$C$265,0)),"",INDEX('Compliance Database'!$J$2:$J$265,MATCH(97,Engine!$C$2:$C$265,0)))</f>
        <v>Financial Data</v>
      </c>
      <c r="K110" t="str">
        <f>IF(ISNA(MATCH(97,Engine!$C$2:$C$265,0)),"",INDEX('Compliance Database'!$K$2:$K$265,MATCH(97,Engine!$C$2:$C$265,0)))</f>
        <v>Courts</v>
      </c>
      <c r="L110" s="6" t="str">
        <f>IF(ISNA(MATCH(97,Engine!$C$2:$C$265,0)),"",INDEX('Compliance Database'!$L$2:$L$265,MATCH(97,Engine!$C$2:$C$265,0)))</f>
        <v>Courts have jurisdiction to impose penalties and forfeiture orders.</v>
      </c>
      <c r="M110" s="6" t="str">
        <f>IF(ISNA(MATCH(97,Engine!$C$2:$C$265,0)),"",INDEX('Compliance Database'!$M$2:$M$265,MATCH(97,Engine!$C$2:$C$265,0)))</f>
        <v>Courts have jurisdiction to impose penalties and forfeiture orders even if amounts exceed their jurisdictional limits.</v>
      </c>
      <c r="N110" s="6" t="str">
        <f>IF(ISNA(MATCH(97,Engine!$C$2:$C$265,0)),"",INDEX('Compliance Database'!$N$2:$N$265,MATCH(97,Engine!$C$2:$C$265,0)))</f>
        <v>[Must] regional court has penal jurisdiction to impose penalties mentioned in section 68(1)
[Must] magistrate's court has penal jurisdiction to impose penalties mentioned in section 68(2)
[Must] magistrate's court or regional court has jurisdiction to make forfeiture orders</v>
      </c>
      <c r="O110" s="6" t="str">
        <f>IF(ISNA(MATCH(97,Engine!$C$2:$C$265,0)),"",INDEX('Compliance Database'!$O$2:$O$265,MATCH(97,Engine!$C$2:$C$265,0)))</f>
        <v>A regional court has penal jurisdiction to impose any penalty mentioned in section 68(1), even though that penalty may exceed the penal jurisdiction of that court.</v>
      </c>
    </row>
    <row r="111" spans="1:15" ht="115.2" x14ac:dyDescent="0.3">
      <c r="A111" t="str">
        <f>IF(ISNA(MATCH(98,Engine!$C$2:$C$265,0)),"",INDEX('Compliance Database'!$A$2:$A$265,MATCH(98,Engine!$C$2:$C$265,0)))</f>
        <v>South Africa</v>
      </c>
      <c r="B111" t="str">
        <f>IF(ISNA(MATCH(98,Engine!$C$2:$C$265,0)),"",INDEX('Compliance Database'!$B$2:$B$265,MATCH(98,Engine!$C$2:$C$265,0)))</f>
        <v>FICA (Financial Intelligence Centre Act, 38 of 2001</v>
      </c>
      <c r="C111" t="str">
        <f>IF(ISNA(MATCH(98,Engine!$C$2:$C$265,0)),"",INDEX('Compliance Database'!$C$2:$C$265,MATCH(98,Engine!$C$2:$C$265,0)))</f>
        <v>71</v>
      </c>
      <c r="D111" s="6" t="str">
        <f>IF(ISNA(MATCH(98,Engine!$C$2:$C$265,0)),"",INDEX('Compliance Database'!$D$2:$D$265,MATCH(98,Engine!$C$2:$C$265,0)))</f>
        <v>(1) The Minister may, after consulting the Council and the Centre, and on</v>
      </c>
      <c r="E111" t="str">
        <f>IF(ISNA(MATCH(98,Engine!$C$2:$C$265,0)),"",INDEX('Compliance Database'!$E$2:$E$265,MATCH(98,Engine!$C$2:$C$265,0)))</f>
        <v>21</v>
      </c>
      <c r="F111" t="str">
        <f>IF(ISNA(MATCH(98,Engine!$C$2:$C$265,0)),"",INDEX('Compliance Database'!$F$2:$F$265,MATCH(98,Engine!$C$2:$C$265,0)))</f>
        <v>Enforcement</v>
      </c>
      <c r="G111" t="str">
        <f>IF(ISNA(MATCH(98,Engine!$C$2:$C$265,0)),"",INDEX('Compliance Database'!$G$2:$G$265,MATCH(98,Engine!$C$2:$C$265,0)))</f>
        <v>High</v>
      </c>
      <c r="H111" t="str">
        <f>IF(ISNA(MATCH(98,Engine!$C$2:$C$265,0)),"",INDEX('Compliance Database'!$H$2:$H$265,MATCH(98,Engine!$C$2:$C$265,0)))</f>
        <v>High (explicit)</v>
      </c>
      <c r="I111" s="6">
        <f>IF(ISNA(MATCH(98,Engine!$C$2:$C$265,0)),"",INDEX('Compliance Database'!$I$2:$I$265,MATCH(98,Engine!$C$2:$C$265,0)))</f>
        <v>0</v>
      </c>
      <c r="J111" s="6" t="str">
        <f>IF(ISNA(MATCH(98,Engine!$C$2:$C$265,0)),"",INDEX('Compliance Database'!$J$2:$J$265,MATCH(98,Engine!$C$2:$C$265,0)))</f>
        <v>Financial Data</v>
      </c>
      <c r="K111" t="str">
        <f>IF(ISNA(MATCH(98,Engine!$C$2:$C$265,0)),"",INDEX('Compliance Database'!$K$2:$K$265,MATCH(98,Engine!$C$2:$C$265,0)))</f>
        <v>Courts</v>
      </c>
      <c r="L111" s="6" t="str">
        <f>IF(ISNA(MATCH(98,Engine!$C$2:$C$265,0)),"",INDEX('Compliance Database'!$L$2:$L$265,MATCH(98,Engine!$C$2:$C$265,0)))</f>
        <v>Courts have jurisdiction to impose penalties and forfeiture orders.</v>
      </c>
      <c r="M111" s="6" t="str">
        <f>IF(ISNA(MATCH(98,Engine!$C$2:$C$265,0)),"",INDEX('Compliance Database'!$M$2:$M$265,MATCH(98,Engine!$C$2:$C$265,0)))</f>
        <v>Courts have jurisdiction to impose penalties and forfeiture orders even if amounts exceed their jurisdictional limits.</v>
      </c>
      <c r="N111" s="6" t="str">
        <f>IF(ISNA(MATCH(98,Engine!$C$2:$C$265,0)),"",INDEX('Compliance Database'!$N$2:$N$265,MATCH(98,Engine!$C$2:$C$265,0)))</f>
        <v>[Must] regional court has penal jurisdiction to impose penalties mentioned in section 68(1)
[Must] magistrate's court has penal jurisdiction to impose penalties mentioned in section 68(2)
[Must] magistrate's court or regional court has jurisdiction to make forfeiture orders</v>
      </c>
      <c r="O111" s="6" t="str">
        <f>IF(ISNA(MATCH(98,Engine!$C$2:$C$265,0)),"",INDEX('Compliance Database'!$O$2:$O$265,MATCH(98,Engine!$C$2:$C$265,0)))</f>
        <v>A regional court has penal jurisdiction to impose any penalty mentioned in section 68(1), even though that penalty may exceed the penal jurisdiction of that court.</v>
      </c>
    </row>
    <row r="112" spans="1:15" ht="57.6" x14ac:dyDescent="0.3">
      <c r="A112" t="str">
        <f>IF(ISNA(MATCH(99,Engine!$C$2:$C$265,0)),"",INDEX('Compliance Database'!$A$2:$A$265,MATCH(99,Engine!$C$2:$C$265,0)))</f>
        <v>South Africa</v>
      </c>
      <c r="B112" t="str">
        <f>IF(ISNA(MATCH(99,Engine!$C$2:$C$265,0)),"",INDEX('Compliance Database'!$B$2:$B$265,MATCH(99,Engine!$C$2:$C$265,0)))</f>
        <v>FICA (Financial Intelligence Centre Act, 38 of 2001</v>
      </c>
      <c r="C112" t="str">
        <f>IF(ISNA(MATCH(99,Engine!$C$2:$C$265,0)),"",INDEX('Compliance Database'!$C$2:$C$265,MATCH(99,Engine!$C$2:$C$265,0)))</f>
        <v>72</v>
      </c>
      <c r="D112" s="6" t="str">
        <f>IF(ISNA(MATCH(99,Engine!$C$2:$C$265,0)),"",INDEX('Compliance Database'!$D$2:$D$265,MATCH(99,Engine!$C$2:$C$265,0)))</f>
        <v>This Act does not detract from-</v>
      </c>
      <c r="E112" t="str">
        <f>IF(ISNA(MATCH(99,Engine!$C$2:$C$265,0)),"",INDEX('Compliance Database'!$E$2:$E$265,MATCH(99,Engine!$C$2:$C$265,0)))</f>
        <v>21</v>
      </c>
      <c r="F112" t="str">
        <f>IF(ISNA(MATCH(99,Engine!$C$2:$C$265,0)),"",INDEX('Compliance Database'!$F$2:$F$265,MATCH(99,Engine!$C$2:$C$265,0)))</f>
        <v>Exemptions</v>
      </c>
      <c r="G112" t="str">
        <f>IF(ISNA(MATCH(99,Engine!$C$2:$C$265,0)),"",INDEX('Compliance Database'!$G$2:$G$265,MATCH(99,Engine!$C$2:$C$265,0)))</f>
        <v>Low</v>
      </c>
      <c r="H112" t="str">
        <f>IF(ISNA(MATCH(99,Engine!$C$2:$C$265,0)),"",INDEX('Compliance Database'!$H$2:$H$265,MATCH(99,Engine!$C$2:$C$265,0)))</f>
        <v>High (explicit)</v>
      </c>
      <c r="I112" s="6">
        <f>IF(ISNA(MATCH(99,Engine!$C$2:$C$265,0)),"",INDEX('Compliance Database'!$I$2:$I$265,MATCH(99,Engine!$C$2:$C$265,0)))</f>
        <v>0</v>
      </c>
      <c r="J112" s="6" t="str">
        <f>IF(ISNA(MATCH(99,Engine!$C$2:$C$265,0)),"",INDEX('Compliance Database'!$J$2:$J$265,MATCH(99,Engine!$C$2:$C$265,0)))</f>
        <v>Financial Data</v>
      </c>
      <c r="K112" t="str">
        <f>IF(ISNA(MATCH(99,Engine!$C$2:$C$265,0)),"",INDEX('Compliance Database'!$K$2:$K$265,MATCH(99,Engine!$C$2:$C$265,0)))</f>
        <v>Minister</v>
      </c>
      <c r="L112" s="6" t="str">
        <f>IF(ISNA(MATCH(99,Engine!$C$2:$C$265,0)),"",INDEX('Compliance Database'!$L$2:$L$265,MATCH(99,Engine!$C$2:$C$265,0)))</f>
        <v>Amendments to the list of accountable institutions by the Minister.</v>
      </c>
      <c r="M112" s="6" t="str">
        <f>IF(ISNA(MATCH(99,Engine!$C$2:$C$265,0)),"",INDEX('Compliance Database'!$M$2:$M$265,MATCH(99,Engine!$C$2:$C$265,0)))</f>
        <v>Minister may amend list of accountable institutions by Gazette notice after consulting Council and Centre.</v>
      </c>
      <c r="N112" s="6" t="str">
        <f>IF(ISNA(MATCH(99,Engine!$C$2:$C$265,0)),"",INDEX('Compliance Database'!$N$2:$N$265,MATCH(99,Engine!$C$2:$C$265,0)))</f>
        <v>[Must] amend list of accountable institutions in Schedule 1 by notice in Gazette</v>
      </c>
      <c r="O112" s="6" t="str">
        <f>IF(ISNA(MATCH(99,Engine!$C$2:$C$265,0)),"",INDEX('Compliance Database'!$O$2:$O$265,MATCH(99,Engine!$C$2:$C$265,0)))</f>
        <v>The Minister may, by notice in the Gazette, amend the list of accountable institutions in Schedule 1 to add, delete, or make technical changes to the list after consulting Council and Centre.</v>
      </c>
    </row>
    <row r="113" spans="1:15" ht="28.8" x14ac:dyDescent="0.3">
      <c r="A113" t="str">
        <f>IF(ISNA(MATCH(100,Engine!$C$2:$C$265,0)),"",INDEX('Compliance Database'!$A$2:$A$265,MATCH(100,Engine!$C$2:$C$265,0)))</f>
        <v>South Africa</v>
      </c>
      <c r="B113" t="str">
        <f>IF(ISNA(MATCH(100,Engine!$C$2:$C$265,0)),"",INDEX('Compliance Database'!$B$2:$B$265,MATCH(100,Engine!$C$2:$C$265,0)))</f>
        <v>FICA (Financial Intelligence Centre Act, 38 of 2001</v>
      </c>
      <c r="C113" t="str">
        <f>IF(ISNA(MATCH(100,Engine!$C$2:$C$265,0)),"",INDEX('Compliance Database'!$C$2:$C$265,MATCH(100,Engine!$C$2:$C$265,0)))</f>
        <v>75</v>
      </c>
      <c r="D113" s="6" t="str">
        <f>IF(ISNA(MATCH(100,Engine!$C$2:$C$265,0)),"",INDEX('Compliance Database'!$D$2:$D$265,MATCH(100,Engine!$C$2:$C$265,0)))</f>
        <v>(1) The Minister may, by notice in the Gazette, amend the list of supervisory</v>
      </c>
      <c r="E113" t="str">
        <f>IF(ISNA(MATCH(100,Engine!$C$2:$C$265,0)),"",INDEX('Compliance Database'!$E$2:$E$265,MATCH(100,Engine!$C$2:$C$265,0)))</f>
        <v>21–22</v>
      </c>
      <c r="F113" t="str">
        <f>IF(ISNA(MATCH(100,Engine!$C$2:$C$265,0)),"",INDEX('Compliance Database'!$F$2:$F$265,MATCH(100,Engine!$C$2:$C$265,0)))</f>
        <v>Other</v>
      </c>
      <c r="G113" t="str">
        <f>IF(ISNA(MATCH(100,Engine!$C$2:$C$265,0)),"",INDEX('Compliance Database'!$G$2:$G$265,MATCH(100,Engine!$C$2:$C$265,0)))</f>
        <v>Unknown</v>
      </c>
      <c r="H113" t="str">
        <f>IF(ISNA(MATCH(100,Engine!$C$2:$C$265,0)),"",INDEX('Compliance Database'!$H$2:$H$265,MATCH(100,Engine!$C$2:$C$265,0)))</f>
        <v>Low</v>
      </c>
      <c r="I113" s="6">
        <f>IF(ISNA(MATCH(100,Engine!$C$2:$C$265,0)),"",INDEX('Compliance Database'!$I$2:$I$265,MATCH(100,Engine!$C$2:$C$265,0)))</f>
        <v>0</v>
      </c>
      <c r="J113" s="6">
        <f>IF(ISNA(MATCH(100,Engine!$C$2:$C$265,0)),"",INDEX('Compliance Database'!$J$2:$J$265,MATCH(100,Engine!$C$2:$C$265,0)))</f>
        <v>0</v>
      </c>
      <c r="K113">
        <f>IF(ISNA(MATCH(100,Engine!$C$2:$C$265,0)),"",INDEX('Compliance Database'!$K$2:$K$265,MATCH(100,Engine!$C$2:$C$265,0)))</f>
        <v>0</v>
      </c>
      <c r="L113" s="6">
        <f>IF(ISNA(MATCH(100,Engine!$C$2:$C$265,0)),"",INDEX('Compliance Database'!$L$2:$L$265,MATCH(100,Engine!$C$2:$C$265,0)))</f>
        <v>0</v>
      </c>
      <c r="M113" s="6">
        <f>IF(ISNA(MATCH(100,Engine!$C$2:$C$265,0)),"",INDEX('Compliance Database'!$M$2:$M$265,MATCH(100,Engine!$C$2:$C$265,0)))</f>
        <v>0</v>
      </c>
      <c r="N113" s="6">
        <f>IF(ISNA(MATCH(100,Engine!$C$2:$C$265,0)),"",INDEX('Compliance Database'!$N$2:$N$265,MATCH(100,Engine!$C$2:$C$265,0)))</f>
        <v>0</v>
      </c>
      <c r="O113" s="6">
        <f>IF(ISNA(MATCH(100,Engine!$C$2:$C$265,0)),"",INDEX('Compliance Database'!$O$2:$O$265,MATCH(100,Engine!$C$2:$C$265,0)))</f>
        <v>0</v>
      </c>
    </row>
    <row r="114" spans="1:15" ht="158.4" x14ac:dyDescent="0.3">
      <c r="A114" t="str">
        <f>IF(ISNA(MATCH(101,Engine!$C$2:$C$265,0)),"",INDEX('Compliance Database'!$A$2:$A$265,MATCH(101,Engine!$C$2:$C$265,0)))</f>
        <v>South Africa</v>
      </c>
      <c r="B114" t="str">
        <f>IF(ISNA(MATCH(101,Engine!$C$2:$C$265,0)),"",INDEX('Compliance Database'!$B$2:$B$265,MATCH(101,Engine!$C$2:$C$265,0)))</f>
        <v>FICA (Financial Intelligence Centre Act, 38 of 2001</v>
      </c>
      <c r="C114" t="str">
        <f>IF(ISNA(MATCH(101,Engine!$C$2:$C$265,0)),"",INDEX('Compliance Database'!$C$2:$C$265,MATCH(101,Engine!$C$2:$C$265,0)))</f>
        <v>76</v>
      </c>
      <c r="D114" s="6" t="str">
        <f>IF(ISNA(MATCH(101,Engine!$C$2:$C$265,0)),"",INDEX('Compliance Database'!$D$2:$D$265,MATCH(101,Engine!$C$2:$C$265,0)))</f>
        <v>(1) The Minister may, by notice in the Gazette, amend the list of reporting</v>
      </c>
      <c r="E114" t="str">
        <f>IF(ISNA(MATCH(101,Engine!$C$2:$C$265,0)),"",INDEX('Compliance Database'!$E$2:$E$265,MATCH(101,Engine!$C$2:$C$265,0)))</f>
        <v>22</v>
      </c>
      <c r="F114" t="str">
        <f>IF(ISNA(MATCH(101,Engine!$C$2:$C$265,0)),"",INDEX('Compliance Database'!$F$2:$F$265,MATCH(101,Engine!$C$2:$C$265,0)))</f>
        <v>Other</v>
      </c>
      <c r="G114" t="str">
        <f>IF(ISNA(MATCH(101,Engine!$C$2:$C$265,0)),"",INDEX('Compliance Database'!$G$2:$G$265,MATCH(101,Engine!$C$2:$C$265,0)))</f>
        <v>High</v>
      </c>
      <c r="H114" t="str">
        <f>IF(ISNA(MATCH(101,Engine!$C$2:$C$265,0)),"",INDEX('Compliance Database'!$H$2:$H$265,MATCH(101,Engine!$C$2:$C$265,0)))</f>
        <v>High (explicit)</v>
      </c>
      <c r="I114" s="6">
        <f>IF(ISNA(MATCH(101,Engine!$C$2:$C$265,0)),"",INDEX('Compliance Database'!$I$2:$I$265,MATCH(101,Engine!$C$2:$C$265,0)))</f>
        <v>0</v>
      </c>
      <c r="J114" s="6">
        <f>IF(ISNA(MATCH(101,Engine!$C$2:$C$265,0)),"",INDEX('Compliance Database'!$J$2:$J$265,MATCH(101,Engine!$C$2:$C$265,0)))</f>
        <v>0</v>
      </c>
      <c r="K114" t="str">
        <f>IF(ISNA(MATCH(101,Engine!$C$2:$C$265,0)),"",INDEX('Compliance Database'!$K$2:$K$265,MATCH(101,Engine!$C$2:$C$265,0)))</f>
        <v>Minister</v>
      </c>
      <c r="L114" s="6" t="str">
        <f>IF(ISNA(MATCH(101,Engine!$C$2:$C$265,0)),"",INDEX('Compliance Database'!$L$2:$L$265,MATCH(101,Engine!$C$2:$C$265,0)))</f>
        <v>Minister may amend reporting institutions list via Gazette notice with conditions for additions/deletions and parliamentary approval.</v>
      </c>
      <c r="M114" s="6">
        <f>IF(ISNA(MATCH(101,Engine!$C$2:$C$265,0)),"",INDEX('Compliance Database'!$M$2:$M$265,MATCH(101,Engine!$C$2:$C$265,0)))</f>
        <v>0</v>
      </c>
      <c r="N114" s="6" t="str">
        <f>IF(ISNA(MATCH(101,Engine!$C$2:$C$265,0)),"",INDEX('Compliance Database'!$N$2:$N$265,MATCH(101,Engine!$C$2:$C$265,0)))</f>
        <v>[Must] Minister may amend list of reporting institutions by adding or deleting persons/categories
[Must] Minister must give 30 days' written notice to affected person for single case
[Must] Minister must give 60 days' written notice to category of persons for group cases
[Must] Amendments must be approved by Parliament before Gazette publication</v>
      </c>
      <c r="O114" s="6" t="str">
        <f>IF(ISNA(MATCH(101,Engine!$C$2:$C$265,0)),"",INDEX('Compliance Database'!$O$2:$O$265,MATCH(101,Engine!$C$2:$C$265,0)))</f>
        <v>76. (1) The Minister may, by notice in the Gazette, amend the list of reporting institutions in Schedule 3</v>
      </c>
    </row>
    <row r="115" spans="1:15" ht="201.6" x14ac:dyDescent="0.3">
      <c r="A115" t="str">
        <f>IF(ISNA(MATCH(102,Engine!$C$2:$C$265,0)),"",INDEX('Compliance Database'!$A$2:$A$265,MATCH(102,Engine!$C$2:$C$265,0)))</f>
        <v>South Africa</v>
      </c>
      <c r="B115" t="str">
        <f>IF(ISNA(MATCH(102,Engine!$C$2:$C$265,0)),"",INDEX('Compliance Database'!$B$2:$B$265,MATCH(102,Engine!$C$2:$C$265,0)))</f>
        <v>FICA (Financial Intelligence Centre Act, 38 of 2001</v>
      </c>
      <c r="C115" t="str">
        <f>IF(ISNA(MATCH(102,Engine!$C$2:$C$265,0)),"",INDEX('Compliance Database'!$C$2:$C$265,MATCH(102,Engine!$C$2:$C$265,0)))</f>
        <v>77</v>
      </c>
      <c r="D115" s="6" t="str">
        <f>IF(ISNA(MATCH(102,Engine!$C$2:$C$265,0)),"",INDEX('Compliance Database'!$D$2:$D$265,MATCH(102,Engine!$C$2:$C$265,0)))</f>
        <v>(1) The Minister, after consulting  the  Council and the Centre,  may  make,  repeal</v>
      </c>
      <c r="E115" t="str">
        <f>IF(ISNA(MATCH(102,Engine!$C$2:$C$265,0)),"",INDEX('Compliance Database'!$E$2:$E$265,MATCH(102,Engine!$C$2:$C$265,0)))</f>
        <v>22</v>
      </c>
      <c r="F115" t="str">
        <f>IF(ISNA(MATCH(102,Engine!$C$2:$C$265,0)),"",INDEX('Compliance Database'!$F$2:$F$265,MATCH(102,Engine!$C$2:$C$265,0)))</f>
        <v>Other</v>
      </c>
      <c r="G115" t="str">
        <f>IF(ISNA(MATCH(102,Engine!$C$2:$C$265,0)),"",INDEX('Compliance Database'!$G$2:$G$265,MATCH(102,Engine!$C$2:$C$265,0)))</f>
        <v>High</v>
      </c>
      <c r="H115" t="str">
        <f>IF(ISNA(MATCH(102,Engine!$C$2:$C$265,0)),"",INDEX('Compliance Database'!$H$2:$H$265,MATCH(102,Engine!$C$2:$C$265,0)))</f>
        <v>High (explicit)</v>
      </c>
      <c r="I115" s="6">
        <f>IF(ISNA(MATCH(102,Engine!$C$2:$C$265,0)),"",INDEX('Compliance Database'!$I$2:$I$265,MATCH(102,Engine!$C$2:$C$265,0)))</f>
        <v>0</v>
      </c>
      <c r="J115" s="6">
        <f>IF(ISNA(MATCH(102,Engine!$C$2:$C$265,0)),"",INDEX('Compliance Database'!$J$2:$J$265,MATCH(102,Engine!$C$2:$C$265,0)))</f>
        <v>0</v>
      </c>
      <c r="K115" t="str">
        <f>IF(ISNA(MATCH(102,Engine!$C$2:$C$265,0)),"",INDEX('Compliance Database'!$K$2:$K$265,MATCH(102,Engine!$C$2:$C$265,0)))</f>
        <v>Minister</v>
      </c>
      <c r="L115" s="6" t="str">
        <f>IF(ISNA(MATCH(102,Engine!$C$2:$C$265,0)),"",INDEX('Compliance Database'!$L$2:$L$265,MATCH(102,Engine!$C$2:$C$265,0)))</f>
        <v>Minister may make/repeal/amend regulations after consulting Council and Centre, with specific provisions for different institutions and penalties.</v>
      </c>
      <c r="M115" s="6">
        <f>IF(ISNA(MATCH(102,Engine!$C$2:$C$265,0)),"",INDEX('Compliance Database'!$M$2:$M$265,MATCH(102,Engine!$C$2:$C$265,0)))</f>
        <v>0</v>
      </c>
      <c r="N115" s="6" t="str">
        <f>IF(ISNA(MATCH(102,Engine!$C$2:$C$265,0)),"",INDEX('Compliance Database'!$N$2:$N$265,MATCH(102,Engine!$C$2:$C$265,0)))</f>
        <v>[May] Regulations may differ for different institutions or categories
[May] Regulations may be limited to specific institutions or categories
[May] Regulations may prescribe imprisonment up to 6 months or fine up to R100 000 for contraventions
[Must] Regulations must be reviewed by Council within two years of publication
[Must] Regulations must be tabled in Parliament before Gazette publication</v>
      </c>
      <c r="O115" s="6" t="str">
        <f>IF(ISNA(MATCH(102,Engine!$C$2:$C$265,0)),"",INDEX('Compliance Database'!$O$2:$O$265,MATCH(102,Engine!$C$2:$C$265,0)))</f>
        <v>77. (1) The Minister, after consulting the Council and the Centre, may make, repeal and amend regulations concerning any matter</v>
      </c>
    </row>
    <row r="116" spans="1:15" ht="86.4" x14ac:dyDescent="0.3">
      <c r="A116" t="str">
        <f>IF(ISNA(MATCH(103,Engine!$C$2:$C$265,0)),"",INDEX('Compliance Database'!$A$2:$A$265,MATCH(103,Engine!$C$2:$C$265,0)))</f>
        <v>South Africa</v>
      </c>
      <c r="B116" t="str">
        <f>IF(ISNA(MATCH(103,Engine!$C$2:$C$265,0)),"",INDEX('Compliance Database'!$B$2:$B$265,MATCH(103,Engine!$C$2:$C$265,0)))</f>
        <v>FICA (Financial Intelligence Centre Act, 38 of 2001</v>
      </c>
      <c r="C116" t="str">
        <f>IF(ISNA(MATCH(103,Engine!$C$2:$C$265,0)),"",INDEX('Compliance Database'!$C$2:$C$265,MATCH(103,Engine!$C$2:$C$265,0)))</f>
        <v>78</v>
      </c>
      <c r="D116" s="6" t="str">
        <f>IF(ISNA(MATCH(103,Engine!$C$2:$C$265,0)),"",INDEX('Compliance Database'!$D$2:$D$265,MATCH(103,Engine!$C$2:$C$265,0)))</f>
        <v>The  Minister, the  Centre or  an employee or representative of the Centre,  or  any</v>
      </c>
      <c r="E116" t="str">
        <f>IF(ISNA(MATCH(103,Engine!$C$2:$C$265,0)),"",INDEX('Compliance Database'!$E$2:$E$265,MATCH(103,Engine!$C$2:$C$265,0)))</f>
        <v>22</v>
      </c>
      <c r="F116" t="str">
        <f>IF(ISNA(MATCH(103,Engine!$C$2:$C$265,0)),"",INDEX('Compliance Database'!$F$2:$F$265,MATCH(103,Engine!$C$2:$C$265,0)))</f>
        <v>Other</v>
      </c>
      <c r="G116" t="str">
        <f>IF(ISNA(MATCH(103,Engine!$C$2:$C$265,0)),"",INDEX('Compliance Database'!$G$2:$G$265,MATCH(103,Engine!$C$2:$C$265,0)))</f>
        <v>Low</v>
      </c>
      <c r="H116" t="str">
        <f>IF(ISNA(MATCH(103,Engine!$C$2:$C$265,0)),"",INDEX('Compliance Database'!$H$2:$H$265,MATCH(103,Engine!$C$2:$C$265,0)))</f>
        <v>High (explicit)</v>
      </c>
      <c r="I116" s="6">
        <f>IF(ISNA(MATCH(103,Engine!$C$2:$C$265,0)),"",INDEX('Compliance Database'!$I$2:$I$265,MATCH(103,Engine!$C$2:$C$265,0)))</f>
        <v>0</v>
      </c>
      <c r="J116" s="6">
        <f>IF(ISNA(MATCH(103,Engine!$C$2:$C$265,0)),"",INDEX('Compliance Database'!$J$2:$J$265,MATCH(103,Engine!$C$2:$C$265,0)))</f>
        <v>0</v>
      </c>
      <c r="K116">
        <f>IF(ISNA(MATCH(103,Engine!$C$2:$C$265,0)),"",INDEX('Compliance Database'!$K$2:$K$265,MATCH(103,Engine!$C$2:$C$265,0)))</f>
        <v>0</v>
      </c>
      <c r="L116" s="6" t="str">
        <f>IF(ISNA(MATCH(103,Engine!$C$2:$C$265,0)),"",INDEX('Compliance Database'!$L$2:$L$265,MATCH(103,Engine!$C$2:$C$265,0)))</f>
        <v>Persons performing functions under the Act are not liable for actions taken in good faith.</v>
      </c>
      <c r="M116" s="6">
        <f>IF(ISNA(MATCH(103,Engine!$C$2:$C$265,0)),"",INDEX('Compliance Database'!$M$2:$M$265,MATCH(103,Engine!$C$2:$C$265,0)))</f>
        <v>0</v>
      </c>
      <c r="N116" s="6" t="str">
        <f>IF(ISNA(MATCH(103,Engine!$C$2:$C$265,0)),"",INDEX('Compliance Database'!$N$2:$N$265,MATCH(103,Engine!$C$2:$C$265,0)))</f>
        <v>[Must Not] Persons performing functions under Act are not liable for actions taken in good faith</v>
      </c>
      <c r="O116" s="6" t="str">
        <f>IF(ISNA(MATCH(103,Engine!$C$2:$C$265,0)),"",INDEX('Compliance Database'!$O$2:$O$265,MATCH(103,Engine!$C$2:$C$265,0)))</f>
        <v>78. The Minister, the Centre or an employee or representative of the Centre, or any other person performing a function or exercising a power in terms of this Act, is not liable for anything done in good faith in terms of or in furthering the objectives of this Act.</v>
      </c>
    </row>
    <row r="117" spans="1:15" ht="57.6" x14ac:dyDescent="0.3">
      <c r="A117" t="str">
        <f>IF(ISNA(MATCH(104,Engine!$C$2:$C$265,0)),"",INDEX('Compliance Database'!$A$2:$A$265,MATCH(104,Engine!$C$2:$C$265,0)))</f>
        <v>South Africa</v>
      </c>
      <c r="B117" t="str">
        <f>IF(ISNA(MATCH(104,Engine!$C$2:$C$265,0)),"",INDEX('Compliance Database'!$B$2:$B$265,MATCH(104,Engine!$C$2:$C$265,0)))</f>
        <v>FICA (Financial Intelligence Centre Act, 38 of 2001</v>
      </c>
      <c r="C117" t="str">
        <f>IF(ISNA(MATCH(104,Engine!$C$2:$C$265,0)),"",INDEX('Compliance Database'!$C$2:$C$265,MATCH(104,Engine!$C$2:$C$265,0)))</f>
        <v>80</v>
      </c>
      <c r="D117" s="6" t="str">
        <f>IF(ISNA(MATCH(104,Engine!$C$2:$C$265,0)),"",INDEX('Compliance Database'!$D$2:$D$265,MATCH(104,Engine!$C$2:$C$265,0)))</f>
        <v>The footnotes in this Act have been  inserted only  for  ease of reference to relevant  25</v>
      </c>
      <c r="E117" t="str">
        <f>IF(ISNA(MATCH(104,Engine!$C$2:$C$265,0)),"",INDEX('Compliance Database'!$E$2:$E$265,MATCH(104,Engine!$C$2:$C$265,0)))</f>
        <v>22–23</v>
      </c>
      <c r="F117" t="str">
        <f>IF(ISNA(MATCH(104,Engine!$C$2:$C$265,0)),"",INDEX('Compliance Database'!$F$2:$F$265,MATCH(104,Engine!$C$2:$C$265,0)))</f>
        <v>Other</v>
      </c>
      <c r="G117" t="str">
        <f>IF(ISNA(MATCH(104,Engine!$C$2:$C$265,0)),"",INDEX('Compliance Database'!$G$2:$G$265,MATCH(104,Engine!$C$2:$C$265,0)))</f>
        <v>None</v>
      </c>
      <c r="H117" t="str">
        <f>IF(ISNA(MATCH(104,Engine!$C$2:$C$265,0)),"",INDEX('Compliance Database'!$H$2:$H$265,MATCH(104,Engine!$C$2:$C$265,0)))</f>
        <v>High (explicit)</v>
      </c>
      <c r="I117" s="6">
        <f>IF(ISNA(MATCH(104,Engine!$C$2:$C$265,0)),"",INDEX('Compliance Database'!$I$2:$I$265,MATCH(104,Engine!$C$2:$C$265,0)))</f>
        <v>0</v>
      </c>
      <c r="J117" s="6">
        <f>IF(ISNA(MATCH(104,Engine!$C$2:$C$265,0)),"",INDEX('Compliance Database'!$J$2:$J$265,MATCH(104,Engine!$C$2:$C$265,0)))</f>
        <v>0</v>
      </c>
      <c r="K117">
        <f>IF(ISNA(MATCH(104,Engine!$C$2:$C$265,0)),"",INDEX('Compliance Database'!$K$2:$K$265,MATCH(104,Engine!$C$2:$C$265,0)))</f>
        <v>0</v>
      </c>
      <c r="L117" s="6" t="str">
        <f>IF(ISNA(MATCH(104,Engine!$C$2:$C$265,0)),"",INDEX('Compliance Database'!$L$2:$L$265,MATCH(104,Engine!$C$2:$C$265,0)))</f>
        <v>Footnotes in the Act are for reference only and do not have legal force.</v>
      </c>
      <c r="M117" s="6">
        <f>IF(ISNA(MATCH(104,Engine!$C$2:$C$265,0)),"",INDEX('Compliance Database'!$M$2:$M$265,MATCH(104,Engine!$C$2:$C$265,0)))</f>
        <v>0</v>
      </c>
      <c r="N117" s="6">
        <f>IF(ISNA(MATCH(104,Engine!$C$2:$C$265,0)),"",INDEX('Compliance Database'!$N$2:$N$265,MATCH(104,Engine!$C$2:$C$265,0)))</f>
        <v>0</v>
      </c>
      <c r="O117" s="6" t="str">
        <f>IF(ISNA(MATCH(104,Engine!$C$2:$C$265,0)),"",INDEX('Compliance Database'!$O$2:$O$265,MATCH(104,Engine!$C$2:$C$265,0)))</f>
        <v>80. The footnotes in this Act have been inserted only for ease of reference to relevant provisions of the Prevention Act. They are not part of this Act. They do not have the force of law.</v>
      </c>
    </row>
    <row r="118" spans="1:15" ht="72" x14ac:dyDescent="0.3">
      <c r="A118" t="str">
        <f>IF(ISNA(MATCH(105,Engine!$C$2:$C$265,0)),"",INDEX('Compliance Database'!$A$2:$A$265,MATCH(105,Engine!$C$2:$C$265,0)))</f>
        <v>South Africa</v>
      </c>
      <c r="B118" t="str">
        <f>IF(ISNA(MATCH(105,Engine!$C$2:$C$265,0)),"",INDEX('Compliance Database'!$B$2:$B$265,MATCH(105,Engine!$C$2:$C$265,0)))</f>
        <v>FICA (Financial Intelligence Centre Act, 38 of 2001</v>
      </c>
      <c r="C118" t="str">
        <f>IF(ISNA(MATCH(105,Engine!$C$2:$C$265,0)),"",INDEX('Compliance Database'!$C$2:$C$265,MATCH(105,Engine!$C$2:$C$265,0)))</f>
        <v>81</v>
      </c>
      <c r="D118" s="6" t="str">
        <f>IF(ISNA(MATCH(105,Engine!$C$2:$C$265,0)),"",INDEX('Compliance Database'!$D$2:$D$265,MATCH(105,Engine!$C$2:$C$265,0)))</f>
        <v>(1) Until the date refened to in section 82(2), the person designated for the</v>
      </c>
      <c r="E118" t="str">
        <f>IF(ISNA(MATCH(105,Engine!$C$2:$C$265,0)),"",INDEX('Compliance Database'!$E$2:$E$265,MATCH(105,Engine!$C$2:$C$265,0)))</f>
        <v>23</v>
      </c>
      <c r="F118" t="str">
        <f>IF(ISNA(MATCH(105,Engine!$C$2:$C$265,0)),"",INDEX('Compliance Database'!$F$2:$F$265,MATCH(105,Engine!$C$2:$C$265,0)))</f>
        <v>Other</v>
      </c>
      <c r="G118" t="str">
        <f>IF(ISNA(MATCH(105,Engine!$C$2:$C$265,0)),"",INDEX('Compliance Database'!$G$2:$G$265,MATCH(105,Engine!$C$2:$C$265,0)))</f>
        <v>Low</v>
      </c>
      <c r="H118" t="str">
        <f>IF(ISNA(MATCH(105,Engine!$C$2:$C$265,0)),"",INDEX('Compliance Database'!$H$2:$H$265,MATCH(105,Engine!$C$2:$C$265,0)))</f>
        <v>High (explicit)</v>
      </c>
      <c r="I118" s="6">
        <f>IF(ISNA(MATCH(105,Engine!$C$2:$C$265,0)),"",INDEX('Compliance Database'!$I$2:$I$265,MATCH(105,Engine!$C$2:$C$265,0)))</f>
        <v>0</v>
      </c>
      <c r="J118" s="6">
        <f>IF(ISNA(MATCH(105,Engine!$C$2:$C$265,0)),"",INDEX('Compliance Database'!$J$2:$J$265,MATCH(105,Engine!$C$2:$C$265,0)))</f>
        <v>0</v>
      </c>
      <c r="K118">
        <f>IF(ISNA(MATCH(105,Engine!$C$2:$C$265,0)),"",INDEX('Compliance Database'!$K$2:$K$265,MATCH(105,Engine!$C$2:$C$265,0)))</f>
        <v>0</v>
      </c>
      <c r="L118" s="6" t="str">
        <f>IF(ISNA(MATCH(105,Engine!$C$2:$C$265,0)),"",INDEX('Compliance Database'!$L$2:$L$265,MATCH(105,Engine!$C$2:$C$265,0)))</f>
        <v>Designated persons continue to hold office until section 82(2) date, with transitional provisions for pending cases.</v>
      </c>
      <c r="M118" s="6">
        <f>IF(ISNA(MATCH(105,Engine!$C$2:$C$265,0)),"",INDEX('Compliance Database'!$M$2:$M$265,MATCH(105,Engine!$C$2:$C$265,0)))</f>
        <v>0</v>
      </c>
      <c r="N118" s="6" t="str">
        <f>IF(ISNA(MATCH(105,Engine!$C$2:$C$265,0)),"",INDEX('Compliance Database'!$N$2:$N$265,MATCH(105,Engine!$C$2:$C$265,0)))</f>
        <v>[Must] Designated persons continue to hold office as if Act had not been passed
[Must] Pending proceedings under Prevention Act must be dealt with as if Act had not been passed</v>
      </c>
      <c r="O118" s="6" t="str">
        <f>IF(ISNA(MATCH(105,Engine!$C$2:$C$265,0)),"",INDEX('Compliance Database'!$O$2:$O$265,MATCH(105,Engine!$C$2:$C$265,0)))</f>
        <v>81. (1) Until the date referred to in section 82(2), the person designated for the purposes of section 7 of the Prevention Act will be deemed to have been duly designated and will continue to hold office as if this Act had not been passed.</v>
      </c>
    </row>
    <row r="119" spans="1:15" ht="115.2" x14ac:dyDescent="0.3">
      <c r="A119" t="str">
        <f>IF(ISNA(MATCH(106,Engine!$C$2:$C$265,0)),"",INDEX('Compliance Database'!$A$2:$A$265,MATCH(106,Engine!$C$2:$C$265,0)))</f>
        <v>South Africa</v>
      </c>
      <c r="B119" t="str">
        <f>IF(ISNA(MATCH(106,Engine!$C$2:$C$265,0)),"",INDEX('Compliance Database'!$B$2:$B$265,MATCH(106,Engine!$C$2:$C$265,0)))</f>
        <v>FICA (Financial Intelligence Centre Act, 38 of 2001</v>
      </c>
      <c r="C119" t="str">
        <f>IF(ISNA(MATCH(106,Engine!$C$2:$C$265,0)),"",INDEX('Compliance Database'!$C$2:$C$265,MATCH(106,Engine!$C$2:$C$265,0)))</f>
        <v>82</v>
      </c>
      <c r="D119" s="6" t="str">
        <f>IF(ISNA(MATCH(106,Engine!$C$2:$C$265,0)),"",INDEX('Compliance Database'!$D$2:$D$265,MATCH(106,Engine!$C$2:$C$265,0)))</f>
        <v>(1) This Act is called the Financial Intelligence  Centre  Act, 2001, and  takes effect</v>
      </c>
      <c r="E119" t="str">
        <f>IF(ISNA(MATCH(106,Engine!$C$2:$C$265,0)),"",INDEX('Compliance Database'!$E$2:$E$265,MATCH(106,Engine!$C$2:$C$265,0)))</f>
        <v>23</v>
      </c>
      <c r="F119" t="str">
        <f>IF(ISNA(MATCH(106,Engine!$C$2:$C$265,0)),"",INDEX('Compliance Database'!$F$2:$F$265,MATCH(106,Engine!$C$2:$C$265,0)))</f>
        <v>Other</v>
      </c>
      <c r="G119" t="str">
        <f>IF(ISNA(MATCH(106,Engine!$C$2:$C$265,0)),"",INDEX('Compliance Database'!$G$2:$G$265,MATCH(106,Engine!$C$2:$C$265,0)))</f>
        <v>Low</v>
      </c>
      <c r="H119" t="str">
        <f>IF(ISNA(MATCH(106,Engine!$C$2:$C$265,0)),"",INDEX('Compliance Database'!$H$2:$H$265,MATCH(106,Engine!$C$2:$C$265,0)))</f>
        <v>High (explicit)</v>
      </c>
      <c r="I119" s="6">
        <f>IF(ISNA(MATCH(106,Engine!$C$2:$C$265,0)),"",INDEX('Compliance Database'!$I$2:$I$265,MATCH(106,Engine!$C$2:$C$265,0)))</f>
        <v>0</v>
      </c>
      <c r="J119" s="6">
        <f>IF(ISNA(MATCH(106,Engine!$C$2:$C$265,0)),"",INDEX('Compliance Database'!$J$2:$J$265,MATCH(106,Engine!$C$2:$C$265,0)))</f>
        <v>0</v>
      </c>
      <c r="K119" t="str">
        <f>IF(ISNA(MATCH(106,Engine!$C$2:$C$265,0)),"",INDEX('Compliance Database'!$K$2:$K$265,MATCH(106,Engine!$C$2:$C$265,0)))</f>
        <v>President</v>
      </c>
      <c r="L119" s="6" t="str">
        <f>IF(ISNA(MATCH(106,Engine!$C$2:$C$265,0)),"",INDEX('Compliance Database'!$L$2:$L$265,MATCH(106,Engine!$C$2:$C$265,0)))</f>
        <v>Act takes effect on date fixed by President, with specific transitional provisions for sections.</v>
      </c>
      <c r="M119" s="6">
        <f>IF(ISNA(MATCH(106,Engine!$C$2:$C$265,0)),"",INDEX('Compliance Database'!$M$2:$M$265,MATCH(106,Engine!$C$2:$C$265,0)))</f>
        <v>0</v>
      </c>
      <c r="N119" s="6" t="str">
        <f>IF(ISNA(MATCH(106,Engine!$C$2:$C$265,0)),"",INDEX('Compliance Database'!$N$2:$N$265,MATCH(106,Engine!$C$2:$C$265,0)))</f>
        <v>[Must] Act takes effect on date fixed by President by proclamation
[Must] Section 79 does not take effect before section 29 takes effect
[Must] Section 21(2) takes effect one year after section 21(1) takes effect</v>
      </c>
      <c r="O119" s="6" t="str">
        <f>IF(ISNA(MATCH(106,Engine!$C$2:$C$265,0)),"",INDEX('Compliance Database'!$O$2:$O$265,MATCH(106,Engine!$C$2:$C$265,0)))</f>
        <v>82. (1) This Act is called the Financial Intelligence Centre Act, 2001, and takes effect on a date fixed by the President by proclamation in the Gazette.</v>
      </c>
    </row>
    <row r="120" spans="1:15" ht="129.6" x14ac:dyDescent="0.3">
      <c r="A120" t="str">
        <f>IF(ISNA(MATCH(107,Engine!$C$2:$C$265,0)),"",INDEX('Compliance Database'!$A$2:$A$265,MATCH(107,Engine!$C$2:$C$265,0)))</f>
        <v>South Africa</v>
      </c>
      <c r="B120" t="str">
        <f>IF(ISNA(MATCH(107,Engine!$C$2:$C$265,0)),"",INDEX('Compliance Database'!$B$2:$B$265,MATCH(107,Engine!$C$2:$C$265,0)))</f>
        <v>FICA (Financial Intelligence Centre Act, 38 of 2001</v>
      </c>
      <c r="C120" t="str">
        <f>IF(ISNA(MATCH(107,Engine!$C$2:$C$265,0)),"",INDEX('Compliance Database'!$C$2:$C$265,MATCH(107,Engine!$C$2:$C$265,0)))</f>
        <v>161</v>
      </c>
      <c r="D120" s="6" t="str">
        <f>IF(ISNA(MATCH(107,Engine!$C$2:$C$265,0)),"",INDEX('Compliance Database'!$D$2:$D$265,MATCH(107,Engine!$C$2:$C$265,0)))</f>
        <v>An  accountable institution that fails to-</v>
      </c>
      <c r="E120" t="str">
        <f>IF(ISNA(MATCH(107,Engine!$C$2:$C$265,0)),"",INDEX('Compliance Database'!$E$2:$E$265,MATCH(107,Engine!$C$2:$C$265,0)))</f>
        <v>17</v>
      </c>
      <c r="F120" t="str">
        <f>IF(ISNA(MATCH(107,Engine!$C$2:$C$265,0)),"",INDEX('Compliance Database'!$F$2:$F$265,MATCH(107,Engine!$C$2:$C$265,0)))</f>
        <v>Enforcement</v>
      </c>
      <c r="G120" t="str">
        <f>IF(ISNA(MATCH(107,Engine!$C$2:$C$265,0)),"",INDEX('Compliance Database'!$G$2:$G$265,MATCH(107,Engine!$C$2:$C$265,0)))</f>
        <v>High</v>
      </c>
      <c r="H120" t="str">
        <f>IF(ISNA(MATCH(107,Engine!$C$2:$C$265,0)),"",INDEX('Compliance Database'!$H$2:$H$265,MATCH(107,Engine!$C$2:$C$265,0)))</f>
        <v>High (explicit)</v>
      </c>
      <c r="I120" s="6">
        <f>IF(ISNA(MATCH(107,Engine!$C$2:$C$265,0)),"",INDEX('Compliance Database'!$I$2:$I$265,MATCH(107,Engine!$C$2:$C$265,0)))</f>
        <v>0</v>
      </c>
      <c r="J120" s="6" t="str">
        <f>IF(ISNA(MATCH(107,Engine!$C$2:$C$265,0)),"",INDEX('Compliance Database'!$J$2:$J$265,MATCH(107,Engine!$C$2:$C$265,0)))</f>
        <v>Financial Data</v>
      </c>
      <c r="K120" t="str">
        <f>IF(ISNA(MATCH(107,Engine!$C$2:$C$265,0)),"",INDEX('Compliance Database'!$K$2:$K$265,MATCH(107,Engine!$C$2:$C$265,0)))</f>
        <v>Centre</v>
      </c>
      <c r="L120" s="6" t="str">
        <f>IF(ISNA(MATCH(107,Engine!$C$2:$C$265,0)),"",INDEX('Compliance Database'!$L$2:$L$265,MATCH(107,Engine!$C$2:$C$265,0)))</f>
        <v>Accountable institutions failing to implement internal rules are guilty of an offence.</v>
      </c>
      <c r="M120" s="6" t="str">
        <f>IF(ISNA(MATCH(107,Engine!$C$2:$C$265,0)),"",INDEX('Compliance Database'!$M$2:$M$265,MATCH(107,Engine!$C$2:$C$265,0)))</f>
        <v>Offence for failing to formulate and implement internal rules; requires adherence to internal rules for compliance.</v>
      </c>
      <c r="N120" s="6" t="str">
        <f>IF(ISNA(MATCH(107,Engine!$C$2:$C$265,0)),"",INDEX('Compliance Database'!$N$2:$N$265,MATCH(107,Engine!$C$2:$C$265,0)))</f>
        <v>[Must] formulate and implement internal rules in accordance with section 42(1)
[Must] make internal rules available to employees in accordance with section 42(3)
[Must] make a copy of internal rules available to Centre or supervisory body in accordance with section 42(4)</v>
      </c>
      <c r="O120" s="6" t="str">
        <f>IF(ISNA(MATCH(107,Engine!$C$2:$C$265,0)),"",INDEX('Compliance Database'!$O$2:$O$265,MATCH(107,Engine!$C$2:$C$265,0)))</f>
        <v>An accountable institution that fails to formulate and implement internal rules in accordance with section 42(1) and make internal rules available to employees in accordance with section 42(3); or make a copy of internal rules available to Centre or supervisory body in accordance with section 42(4), is guilty of an offence.</v>
      </c>
    </row>
    <row r="121" spans="1:15" ht="86.4" x14ac:dyDescent="0.3">
      <c r="A121" t="str">
        <f>IF(ISNA(MATCH(108,Engine!$C$2:$C$265,0)),"",INDEX('Compliance Database'!$A$2:$A$265,MATCH(108,Engine!$C$2:$C$265,0)))</f>
        <v>South Africa</v>
      </c>
      <c r="B121" t="str">
        <f>IF(ISNA(MATCH(108,Engine!$C$2:$C$265,0)),"",INDEX('Compliance Database'!$B$2:$B$265,MATCH(108,Engine!$C$2:$C$265,0)))</f>
        <v>FICA (Financial Intelligence Centre Act, 38 of 2001</v>
      </c>
      <c r="C121" t="str">
        <f>IF(ISNA(MATCH(108,Engine!$C$2:$C$265,0)),"",INDEX('Compliance Database'!$C$2:$C$265,MATCH(108,Engine!$C$2:$C$265,0)))</f>
        <v>391</v>
      </c>
      <c r="D121" s="6" t="str">
        <f>IF(ISNA(MATCH(108,Engine!$C$2:$C$265,0)),"",INDEX('Compliance Database'!$D$2:$D$265,MATCH(108,Engine!$C$2:$C$265,0)))</f>
        <v>A certificate issued by an official  of the  Centre that information specified in the</v>
      </c>
      <c r="E121" t="str">
        <f>IF(ISNA(MATCH(108,Engine!$C$2:$C$265,0)),"",INDEX('Compliance Database'!$E$2:$E$265,MATCH(108,Engine!$C$2:$C$265,0)))</f>
        <v>13</v>
      </c>
      <c r="F121" t="str">
        <f>IF(ISNA(MATCH(108,Engine!$C$2:$C$265,0)),"",INDEX('Compliance Database'!$F$2:$F$265,MATCH(108,Engine!$C$2:$C$265,0)))</f>
        <v>Incident Reporting</v>
      </c>
      <c r="G121" t="str">
        <f>IF(ISNA(MATCH(108,Engine!$C$2:$C$265,0)),"",INDEX('Compliance Database'!$G$2:$G$265,MATCH(108,Engine!$C$2:$C$265,0)))</f>
        <v>High</v>
      </c>
      <c r="H121" t="str">
        <f>IF(ISNA(MATCH(108,Engine!$C$2:$C$265,0)),"",INDEX('Compliance Database'!$H$2:$H$265,MATCH(108,Engine!$C$2:$C$265,0)))</f>
        <v>High (explicit)</v>
      </c>
      <c r="I121" s="6" t="str">
        <f>IF(ISNA(MATCH(108,Engine!$C$2:$C$265,0)),"",INDEX('Compliance Database'!$I$2:$I$265,MATCH(108,Engine!$C$2:$C$265,0)))</f>
        <v>Incident Reporting, Breach Notification</v>
      </c>
      <c r="J121" s="6" t="str">
        <f>IF(ISNA(MATCH(108,Engine!$C$2:$C$265,0)),"",INDEX('Compliance Database'!$J$2:$J$265,MATCH(108,Engine!$C$2:$C$265,0)))</f>
        <v>Financial Data</v>
      </c>
      <c r="K121" t="str">
        <f>IF(ISNA(MATCH(108,Engine!$C$2:$C$265,0)),"",INDEX('Compliance Database'!$K$2:$K$265,MATCH(108,Engine!$C$2:$C$265,0)))</f>
        <v>Financial Intelligence Centre (Centre)</v>
      </c>
      <c r="L121" s="6" t="str">
        <f>IF(ISNA(MATCH(108,Engine!$C$2:$C$265,0)),"",INDEX('Compliance Database'!$L$2:$L$265,MATCH(108,Engine!$C$2:$C$265,0)))</f>
        <v>Certificate from Centre is admissible as evidence in court for reported money laundering transactions.</v>
      </c>
      <c r="M121" s="6" t="str">
        <f>IF(ISNA(MATCH(108,Engine!$C$2:$C$265,0)),"",INDEX('Compliance Database'!$M$2:$M$265,MATCH(108,Engine!$C$2:$C$265,0)))</f>
        <v>Centre's certificates for reported transactions are admissible evidence in legal proceedings.</v>
      </c>
      <c r="N121" s="6" t="str">
        <f>IF(ISNA(MATCH(108,Engine!$C$2:$C$265,0)),"",INDEX('Compliance Database'!$N$2:$N$265,MATCH(108,Engine!$C$2:$C$265,0)))</f>
        <v>[Must] Certificate issued by Centre that information was reported or sent to Centre in terms of sections 28, 29, 30(2) or 31 is admissible as evidence in court</v>
      </c>
      <c r="O121" s="6" t="str">
        <f>IF(ISNA(MATCH(108,Engine!$C$2:$C$265,0)),"",INDEX('Compliance Database'!$O$2:$O$265,MATCH(108,Engine!$C$2:$C$265,0)))</f>
        <v>391. A certificate issued by an official of the Centre that information specified in the certificate was reported or sent to the Centre in terms of section 28, 29, 30(2) or 31 is, subject to section 38(3), on its mere production in a matter before a court admissible as evidence...</v>
      </c>
    </row>
    <row r="122" spans="1:15" ht="43.2" x14ac:dyDescent="0.3">
      <c r="A122" t="str">
        <f>IF(ISNA(MATCH(109,Engine!$C$2:$C$265,0)),"",INDEX('Compliance Database'!$A$2:$A$265,MATCH(109,Engine!$C$2:$C$265,0)))</f>
        <v>South Africa</v>
      </c>
      <c r="B122" t="str">
        <f>IF(ISNA(MATCH(109,Engine!$C$2:$C$265,0)),"",INDEX('Compliance Database'!$B$2:$B$265,MATCH(109,Engine!$C$2:$C$265,0)))</f>
        <v>FICA (Financial Intelligence Centre Act, 38 of 2001</v>
      </c>
      <c r="C122" t="str">
        <f>IF(ISNA(MATCH(109,Engine!$C$2:$C$265,0)),"",INDEX('Compliance Database'!$C$2:$C$265,MATCH(109,Engine!$C$2:$C$265,0)))</f>
        <v>615</v>
      </c>
      <c r="D122" s="6" t="str">
        <f>IF(ISNA(MATCH(109,Engine!$C$2:$C$265,0)),"",INDEX('Compliance Database'!$D$2:$D$265,MATCH(109,Engine!$C$2:$C$265,0)))</f>
        <v>(1) Any person  who,  without authority to do so, wilfully  accesses  or causes any 35</v>
      </c>
      <c r="E122" t="str">
        <f>IF(ISNA(MATCH(109,Engine!$C$2:$C$265,0)),"",INDEX('Compliance Database'!$E$2:$E$265,MATCH(109,Engine!$C$2:$C$265,0)))</f>
        <v>17–18</v>
      </c>
      <c r="F122" t="str">
        <f>IF(ISNA(MATCH(109,Engine!$C$2:$C$265,0)),"",INDEX('Compliance Database'!$F$2:$F$265,MATCH(109,Engine!$C$2:$C$265,0)))</f>
        <v>Enforcement</v>
      </c>
      <c r="G122" t="str">
        <f>IF(ISNA(MATCH(109,Engine!$C$2:$C$265,0)),"",INDEX('Compliance Database'!$G$2:$G$265,MATCH(109,Engine!$C$2:$C$265,0)))</f>
        <v>High</v>
      </c>
      <c r="H122" t="str">
        <f>IF(ISNA(MATCH(109,Engine!$C$2:$C$265,0)),"",INDEX('Compliance Database'!$H$2:$H$265,MATCH(109,Engine!$C$2:$C$265,0)))</f>
        <v>High (explicit)</v>
      </c>
      <c r="I122" s="6">
        <f>IF(ISNA(MATCH(109,Engine!$C$2:$C$265,0)),"",INDEX('Compliance Database'!$I$2:$I$265,MATCH(109,Engine!$C$2:$C$265,0)))</f>
        <v>0</v>
      </c>
      <c r="J122" s="6" t="str">
        <f>IF(ISNA(MATCH(109,Engine!$C$2:$C$265,0)),"",INDEX('Compliance Database'!$J$2:$J$265,MATCH(109,Engine!$C$2:$C$265,0)))</f>
        <v>Financial Data</v>
      </c>
      <c r="K122" t="str">
        <f>IF(ISNA(MATCH(109,Engine!$C$2:$C$265,0)),"",INDEX('Compliance Database'!$K$2:$K$265,MATCH(109,Engine!$C$2:$C$265,0)))</f>
        <v>Centre</v>
      </c>
      <c r="L122" s="6" t="str">
        <f>IF(ISNA(MATCH(109,Engine!$C$2:$C$265,0)),"",INDEX('Compliance Database'!$L$2:$L$265,MATCH(109,Engine!$C$2:$C$265,0)))</f>
        <v>Unauthorised access to Centre's computer systems is an offence.</v>
      </c>
      <c r="M122" s="6" t="str">
        <f>IF(ISNA(MATCH(109,Engine!$C$2:$C$265,0)),"",INDEX('Compliance Database'!$M$2:$M$265,MATCH(109,Engine!$C$2:$C$265,0)))</f>
        <v>Offence for unauthorised access to Centre's computer systems; requires adherence to access controls.</v>
      </c>
      <c r="N122" s="6" t="str">
        <f>IF(ISNA(MATCH(109,Engine!$C$2:$C$265,0)),"",INDEX('Compliance Database'!$N$2:$N$265,MATCH(109,Engine!$C$2:$C$265,0)))</f>
        <v>[Must Not] without authority to do so, wilfully accesses or causes any person to access Centre's computer system</v>
      </c>
      <c r="O122" s="6" t="str">
        <f>IF(ISNA(MATCH(109,Engine!$C$2:$C$265,0)),"",INDEX('Compliance Database'!$O$2:$O$265,MATCH(109,Engine!$C$2:$C$265,0)))</f>
        <v>Any person who, without authority to do so, wilfully accesses or causes any other person to access Centre's computer system, is guilty of an offence.</v>
      </c>
    </row>
    <row r="123" spans="1:15" ht="43.2" x14ac:dyDescent="0.3">
      <c r="A123" t="str">
        <f>IF(ISNA(MATCH(110,Engine!$C$2:$C$265,0)),"",INDEX('Compliance Database'!$A$2:$A$265,MATCH(110,Engine!$C$2:$C$265,0)))</f>
        <v>South Africa</v>
      </c>
      <c r="B123" t="str">
        <f>IF(ISNA(MATCH(110,Engine!$C$2:$C$265,0)),"",INDEX('Compliance Database'!$B$2:$B$265,MATCH(110,Engine!$C$2:$C$265,0)))</f>
        <v>Financial Advisory and Intermediary Services Act (FAIS) 37 of 2002</v>
      </c>
      <c r="C123" t="str">
        <f>IF(ISNA(MATCH(110,Engine!$C$2:$C$265,0)),"",INDEX('Compliance Database'!$C$2:$C$265,MATCH(110,Engine!$C$2:$C$265,0)))</f>
        <v>1</v>
      </c>
      <c r="D123" s="6" t="str">
        <f>IF(ISNA(MATCH(110,Engine!$C$2:$C$265,0)),"",INDEX('Compliance Database'!$D$2:$D$265,MATCH(110,Engine!$C$2:$C$265,0)))</f>
        <v>(1) In this  Act,  unless the context  indicates otherwise-</v>
      </c>
      <c r="E123" t="str">
        <f>IF(ISNA(MATCH(110,Engine!$C$2:$C$265,0)),"",INDEX('Compliance Database'!$E$2:$E$265,MATCH(110,Engine!$C$2:$C$265,0)))</f>
        <v>4–7</v>
      </c>
      <c r="F123" t="str">
        <f>IF(ISNA(MATCH(110,Engine!$C$2:$C$265,0)),"",INDEX('Compliance Database'!$F$2:$F$265,MATCH(110,Engine!$C$2:$C$265,0)))</f>
        <v>Definitions</v>
      </c>
      <c r="G123" t="str">
        <f>IF(ISNA(MATCH(110,Engine!$C$2:$C$265,0)),"",INDEX('Compliance Database'!$G$2:$G$265,MATCH(110,Engine!$C$2:$C$265,0)))</f>
        <v>High</v>
      </c>
      <c r="H123" t="str">
        <f>IF(ISNA(MATCH(110,Engine!$C$2:$C$265,0)),"",INDEX('Compliance Database'!$H$2:$H$265,MATCH(110,Engine!$C$2:$C$265,0)))</f>
        <v>High (explicit)</v>
      </c>
      <c r="I123" s="6">
        <f>IF(ISNA(MATCH(110,Engine!$C$2:$C$265,0)),"",INDEX('Compliance Database'!$I$2:$I$265,MATCH(110,Engine!$C$2:$C$265,0)))</f>
        <v>0</v>
      </c>
      <c r="J123" s="6" t="str">
        <f>IF(ISNA(MATCH(110,Engine!$C$2:$C$265,0)),"",INDEX('Compliance Database'!$J$2:$J$265,MATCH(110,Engine!$C$2:$C$265,0)))</f>
        <v>Financial Data</v>
      </c>
      <c r="K123">
        <f>IF(ISNA(MATCH(110,Engine!$C$2:$C$265,0)),"",INDEX('Compliance Database'!$K$2:$K$265,MATCH(110,Engine!$C$2:$C$265,0)))</f>
        <v>0</v>
      </c>
      <c r="L123" s="6" t="str">
        <f>IF(ISNA(MATCH(110,Engine!$C$2:$C$265,0)),"",INDEX('Compliance Database'!$L$2:$L$265,MATCH(110,Engine!$C$2:$C$265,0)))</f>
        <v>Defines key terms including 'advice', 'financial product', 'financial services provider', and related concepts for regulatory purposes.</v>
      </c>
      <c r="M123" s="6">
        <f>IF(ISNA(MATCH(110,Engine!$C$2:$C$265,0)),"",INDEX('Compliance Database'!$M$2:$M$265,MATCH(110,Engine!$C$2:$C$265,0)))</f>
        <v>0</v>
      </c>
      <c r="N123" s="6" t="str">
        <f>IF(ISNA(MATCH(110,Engine!$C$2:$C$265,0)),"",INDEX('Compliance Database'!$N$2:$N$265,MATCH(110,Engine!$C$2:$C$265,0)))</f>
        <v>[Must] In this Act, unless the context indicates otherwise</v>
      </c>
      <c r="O123" s="6" t="str">
        <f>IF(ISNA(MATCH(110,Engine!$C$2:$C$265,0)),"",INDEX('Compliance Database'!$O$2:$O$265,MATCH(110,Engine!$C$2:$C$265,0)))</f>
        <v>1. (1) In this Act, unless the context indicates otherwise-</v>
      </c>
    </row>
    <row r="124" spans="1:15" ht="144" x14ac:dyDescent="0.3">
      <c r="A124" t="str">
        <f>IF(ISNA(MATCH(111,Engine!$C$2:$C$265,0)),"",INDEX('Compliance Database'!$A$2:$A$265,MATCH(111,Engine!$C$2:$C$265,0)))</f>
        <v>South Africa</v>
      </c>
      <c r="B124" t="str">
        <f>IF(ISNA(MATCH(111,Engine!$C$2:$C$265,0)),"",INDEX('Compliance Database'!$B$2:$B$265,MATCH(111,Engine!$C$2:$C$265,0)))</f>
        <v>Financial Advisory and Intermediary Services Act (FAIS) 37 of 2002</v>
      </c>
      <c r="C124" t="str">
        <f>IF(ISNA(MATCH(111,Engine!$C$2:$C$265,0)),"",INDEX('Compliance Database'!$C$2:$C$265,MATCH(111,Engine!$C$2:$C$265,0)))</f>
        <v>1</v>
      </c>
      <c r="D124" s="6" t="str">
        <f>IF(ISNA(MATCH(111,Engine!$C$2:$C$265,0)),"",INDEX('Compliance Database'!$D$2:$D$265,MATCH(111,Engine!$C$2:$C$265,0)))</f>
        <v>The amendment of section 4</v>
      </c>
      <c r="E124" t="str">
        <f>IF(ISNA(MATCH(111,Engine!$C$2:$C$265,0)),"",INDEX('Compliance Database'!$E$2:$E$265,MATCH(111,Engine!$C$2:$C$265,0)))</f>
        <v>30</v>
      </c>
      <c r="F124" t="str">
        <f>IF(ISNA(MATCH(111,Engine!$C$2:$C$265,0)),"",INDEX('Compliance Database'!$F$2:$F$265,MATCH(111,Engine!$C$2:$C$265,0)))</f>
        <v>Other</v>
      </c>
      <c r="G124" t="str">
        <f>IF(ISNA(MATCH(111,Engine!$C$2:$C$265,0)),"",INDEX('Compliance Database'!$G$2:$G$265,MATCH(111,Engine!$C$2:$C$265,0)))</f>
        <v>High</v>
      </c>
      <c r="H124" t="str">
        <f>IF(ISNA(MATCH(111,Engine!$C$2:$C$265,0)),"",INDEX('Compliance Database'!$H$2:$H$265,MATCH(111,Engine!$C$2:$C$265,0)))</f>
        <v>High (explicit)</v>
      </c>
      <c r="I124" s="6" t="str">
        <f>IF(ISNA(MATCH(111,Engine!$C$2:$C$265,0)),"",INDEX('Compliance Database'!$I$2:$I$265,MATCH(111,Engine!$C$2:$C$265,0)))</f>
        <v>Financial Data</v>
      </c>
      <c r="J124" s="6" t="str">
        <f>IF(ISNA(MATCH(111,Engine!$C$2:$C$265,0)),"",INDEX('Compliance Database'!$J$2:$J$265,MATCH(111,Engine!$C$2:$C$265,0)))</f>
        <v>Financial Data</v>
      </c>
      <c r="K124">
        <f>IF(ISNA(MATCH(111,Engine!$C$2:$C$265,0)),"",INDEX('Compliance Database'!$K$2:$K$265,MATCH(111,Engine!$C$2:$C$265,0)))</f>
        <v>0</v>
      </c>
      <c r="L124" s="6" t="str">
        <f>IF(ISNA(MATCH(111,Engine!$C$2:$C$265,0)),"",INDEX('Compliance Database'!$L$2:$L$265,MATCH(111,Engine!$C$2:$C$265,0)))</f>
        <v>Amends section 10 by substituting paragraphs for stock-brokers and financial instrument traders.</v>
      </c>
      <c r="M124" s="6">
        <f>IF(ISNA(MATCH(111,Engine!$C$2:$C$265,0)),"",INDEX('Compliance Database'!$M$2:$M$265,MATCH(111,Engine!$C$2:$C$265,0)))</f>
        <v>0</v>
      </c>
      <c r="N124" s="6" t="str">
        <f>IF(ISNA(MATCH(111,Engine!$C$2:$C$265,0)),"",INDEX('Compliance Database'!$N$2:$N$265,MATCH(111,Engine!$C$2:$C$265,0)))</f>
        <v>[Must] any stock-broker as defined in section 1 of the Stock Exchanges Control Act, 1985 [or any person contemplated in paragraph (d), (e) or (f) of section 4(1) of that Act]
[Must] any financial instrument trader as defined in section 1 of the Financial Markets Control Act, 1989 [or any person contemplated in paragraph (n), (w) or (h) of section 5(1) of that Act]</v>
      </c>
      <c r="O124" s="6" t="str">
        <f>IF(ISNA(MATCH(111,Engine!$C$2:$C$265,0)),"",INDEX('Compliance Database'!$O$2:$O$265,MATCH(111,Engine!$C$2:$C$265,0)))</f>
        <v>1. The amendment of section 10 by the substitution in subsection (3) for paragraphs (a) and (b) of the following paragraphs: "(a) any stock-broker as defined in section 1 of the Stock Exchanges Control Act, 1985 [or any person contemplated in paragraph (d), (e) or (f) of section 4(1) of that Act]; or (b) any financial instrument trader as defined in section 1 of the Financial Markets Control Act, 1989 (Act 5 of 1989) [or any person contemplated in paragraph (n), (w) or (h) of section 5(1) of that Act]."</v>
      </c>
    </row>
    <row r="125" spans="1:15" ht="144" x14ac:dyDescent="0.3">
      <c r="A125" t="str">
        <f>IF(ISNA(MATCH(112,Engine!$C$2:$C$265,0)),"",INDEX('Compliance Database'!$A$2:$A$265,MATCH(112,Engine!$C$2:$C$265,0)))</f>
        <v>South Africa</v>
      </c>
      <c r="B125" t="str">
        <f>IF(ISNA(MATCH(112,Engine!$C$2:$C$265,0)),"",INDEX('Compliance Database'!$B$2:$B$265,MATCH(112,Engine!$C$2:$C$265,0)))</f>
        <v>Financial Advisory and Intermediary Services Act (FAIS) 37 of 2002</v>
      </c>
      <c r="C125" t="str">
        <f>IF(ISNA(MATCH(112,Engine!$C$2:$C$265,0)),"",INDEX('Compliance Database'!$C$2:$C$265,MATCH(112,Engine!$C$2:$C$265,0)))</f>
        <v>1</v>
      </c>
      <c r="D125" s="6" t="str">
        <f>IF(ISNA(MATCH(112,Engine!$C$2:$C$265,0)),"",INDEX('Compliance Database'!$D$2:$D$265,MATCH(112,Engine!$C$2:$C$265,0)))</f>
        <v>The  amendment of section 5-</v>
      </c>
      <c r="E125" t="str">
        <f>IF(ISNA(MATCH(112,Engine!$C$2:$C$265,0)),"",INDEX('Compliance Database'!$E$2:$E$265,MATCH(112,Engine!$C$2:$C$265,0)))</f>
        <v>33</v>
      </c>
      <c r="F125" t="str">
        <f>IF(ISNA(MATCH(112,Engine!$C$2:$C$265,0)),"",INDEX('Compliance Database'!$F$2:$F$265,MATCH(112,Engine!$C$2:$C$265,0)))</f>
        <v>Other</v>
      </c>
      <c r="G125" t="str">
        <f>IF(ISNA(MATCH(112,Engine!$C$2:$C$265,0)),"",INDEX('Compliance Database'!$G$2:$G$265,MATCH(112,Engine!$C$2:$C$265,0)))</f>
        <v>High</v>
      </c>
      <c r="H125" t="str">
        <f>IF(ISNA(MATCH(112,Engine!$C$2:$C$265,0)),"",INDEX('Compliance Database'!$H$2:$H$265,MATCH(112,Engine!$C$2:$C$265,0)))</f>
        <v>High (explicit)</v>
      </c>
      <c r="I125" s="6" t="str">
        <f>IF(ISNA(MATCH(112,Engine!$C$2:$C$265,0)),"",INDEX('Compliance Database'!$I$2:$I$265,MATCH(112,Engine!$C$2:$C$265,0)))</f>
        <v>Financial Data</v>
      </c>
      <c r="J125" s="6" t="str">
        <f>IF(ISNA(MATCH(112,Engine!$C$2:$C$265,0)),"",INDEX('Compliance Database'!$J$2:$J$265,MATCH(112,Engine!$C$2:$C$265,0)))</f>
        <v>Financial Data</v>
      </c>
      <c r="K125">
        <f>IF(ISNA(MATCH(112,Engine!$C$2:$C$265,0)),"",INDEX('Compliance Database'!$K$2:$K$265,MATCH(112,Engine!$C$2:$C$265,0)))</f>
        <v>0</v>
      </c>
      <c r="L125" s="6" t="str">
        <f>IF(ISNA(MATCH(112,Engine!$C$2:$C$265,0)),"",INDEX('Compliance Database'!$L$2:$L$265,MATCH(112,Engine!$C$2:$C$265,0)))</f>
        <v>Amends section 10 by substituting paragraphs for stock-brokers and financial instrument traders.</v>
      </c>
      <c r="M125" s="6">
        <f>IF(ISNA(MATCH(112,Engine!$C$2:$C$265,0)),"",INDEX('Compliance Database'!$M$2:$M$265,MATCH(112,Engine!$C$2:$C$265,0)))</f>
        <v>0</v>
      </c>
      <c r="N125" s="6" t="str">
        <f>IF(ISNA(MATCH(112,Engine!$C$2:$C$265,0)),"",INDEX('Compliance Database'!$N$2:$N$265,MATCH(112,Engine!$C$2:$C$265,0)))</f>
        <v>[Must] any stock-broker as defined in section 1 of the Stock Exchanges Control Act, 1985 [or any person contemplated in paragraph (d), (e) or (f) of section 4(1) of that Act]
[Must] any financial instrument trader as defined in section 1 of the Financial Markets Control Act, 1989 [or any person contemplated in paragraph (n), (w) or (h) of section 5(1) of that Act]</v>
      </c>
      <c r="O125" s="6" t="str">
        <f>IF(ISNA(MATCH(112,Engine!$C$2:$C$265,0)),"",INDEX('Compliance Database'!$O$2:$O$265,MATCH(112,Engine!$C$2:$C$265,0)))</f>
        <v>1. The amendment of section 10 by the substitution in subsection (3) for paragraphs (a) and (b) of the following paragraphs: "(a) any stock-broker as defined in section 1 of the Stock Exchanges Control Act, 1985 [or any person contemplated in paragraph (d), (e) or (f) of section 4(1) of that Act]; or (b) any financial instrument trader as defined in section 1 of the Financial Markets Control Act, 1989 (Act 5 of 1989) [or any person contemplated in paragraph (n), (w) or (h) of section 5(1) of that Act]."</v>
      </c>
    </row>
    <row r="126" spans="1:15" ht="144" x14ac:dyDescent="0.3">
      <c r="A126" t="str">
        <f>IF(ISNA(MATCH(113,Engine!$C$2:$C$265,0)),"",INDEX('Compliance Database'!$A$2:$A$265,MATCH(113,Engine!$C$2:$C$265,0)))</f>
        <v>South Africa</v>
      </c>
      <c r="B126" t="str">
        <f>IF(ISNA(MATCH(113,Engine!$C$2:$C$265,0)),"",INDEX('Compliance Database'!$B$2:$B$265,MATCH(113,Engine!$C$2:$C$265,0)))</f>
        <v>Financial Advisory and Intermediary Services Act (FAIS) 37 of 2002</v>
      </c>
      <c r="C126" t="str">
        <f>IF(ISNA(MATCH(113,Engine!$C$2:$C$265,0)),"",INDEX('Compliance Database'!$C$2:$C$265,MATCH(113,Engine!$C$2:$C$265,0)))</f>
        <v>1</v>
      </c>
      <c r="D126" s="6" t="str">
        <f>IF(ISNA(MATCH(113,Engine!$C$2:$C$265,0)),"",INDEX('Compliance Database'!$D$2:$D$265,MATCH(113,Engine!$C$2:$C$265,0)))</f>
        <v>The amendment of section 10</v>
      </c>
      <c r="E126" t="str">
        <f>IF(ISNA(MATCH(113,Engine!$C$2:$C$265,0)),"",INDEX('Compliance Database'!$E$2:$E$265,MATCH(113,Engine!$C$2:$C$265,0)))</f>
        <v>37</v>
      </c>
      <c r="F126" t="str">
        <f>IF(ISNA(MATCH(113,Engine!$C$2:$C$265,0)),"",INDEX('Compliance Database'!$F$2:$F$265,MATCH(113,Engine!$C$2:$C$265,0)))</f>
        <v>Other</v>
      </c>
      <c r="G126" t="str">
        <f>IF(ISNA(MATCH(113,Engine!$C$2:$C$265,0)),"",INDEX('Compliance Database'!$G$2:$G$265,MATCH(113,Engine!$C$2:$C$265,0)))</f>
        <v>High</v>
      </c>
      <c r="H126" t="str">
        <f>IF(ISNA(MATCH(113,Engine!$C$2:$C$265,0)),"",INDEX('Compliance Database'!$H$2:$H$265,MATCH(113,Engine!$C$2:$C$265,0)))</f>
        <v>High (explicit)</v>
      </c>
      <c r="I126" s="6" t="str">
        <f>IF(ISNA(MATCH(113,Engine!$C$2:$C$265,0)),"",INDEX('Compliance Database'!$I$2:$I$265,MATCH(113,Engine!$C$2:$C$265,0)))</f>
        <v>Financial Data</v>
      </c>
      <c r="J126" s="6" t="str">
        <f>IF(ISNA(MATCH(113,Engine!$C$2:$C$265,0)),"",INDEX('Compliance Database'!$J$2:$J$265,MATCH(113,Engine!$C$2:$C$265,0)))</f>
        <v>Financial Data</v>
      </c>
      <c r="K126">
        <f>IF(ISNA(MATCH(113,Engine!$C$2:$C$265,0)),"",INDEX('Compliance Database'!$K$2:$K$265,MATCH(113,Engine!$C$2:$C$265,0)))</f>
        <v>0</v>
      </c>
      <c r="L126" s="6" t="str">
        <f>IF(ISNA(MATCH(113,Engine!$C$2:$C$265,0)),"",INDEX('Compliance Database'!$L$2:$L$265,MATCH(113,Engine!$C$2:$C$265,0)))</f>
        <v>Amends section 10 by substituting paragraphs for stock-brokers and financial instrument traders.</v>
      </c>
      <c r="M126" s="6">
        <f>IF(ISNA(MATCH(113,Engine!$C$2:$C$265,0)),"",INDEX('Compliance Database'!$M$2:$M$265,MATCH(113,Engine!$C$2:$C$265,0)))</f>
        <v>0</v>
      </c>
      <c r="N126" s="6" t="str">
        <f>IF(ISNA(MATCH(113,Engine!$C$2:$C$265,0)),"",INDEX('Compliance Database'!$N$2:$N$265,MATCH(113,Engine!$C$2:$C$265,0)))</f>
        <v>[Must] any stock-broker as defined in section 1 of the Stock Exchanges Control Act, 1985 [or any person contemplated in paragraph (d), (e) or (f) of section 4(1) of that Act]
[Must] any financial instrument trader as defined in section 1 of the Financial Markets Control Act, 1989 [or any person contemplated in paragraph (n), (w) or (h) of section 5(1) of that Act]</v>
      </c>
      <c r="O126" s="6" t="str">
        <f>IF(ISNA(MATCH(113,Engine!$C$2:$C$265,0)),"",INDEX('Compliance Database'!$O$2:$O$265,MATCH(113,Engine!$C$2:$C$265,0)))</f>
        <v>1. The amendment of section 10 by the substitution in subsection (3) for paragraphs (a) and (b) of the following paragraphs: "(a) any stock-broker as defined in section 1 of the Stock Exchanges Control Act, 1985 [or any person contemplated in paragraph (d), (e) or (f) of section 4(1) of that Act]; or (b) any financial instrument trader as defined in section 1 of the Financial Markets Control Act, 1989 (Act 5 of 1989) [or any person contemplated in paragraph (n), (w) or (h) of section 5(1) of that Act]."</v>
      </c>
    </row>
    <row r="127" spans="1:15" ht="43.2" x14ac:dyDescent="0.3">
      <c r="A127" t="str">
        <f>IF(ISNA(MATCH(114,Engine!$C$2:$C$265,0)),"",INDEX('Compliance Database'!$A$2:$A$265,MATCH(114,Engine!$C$2:$C$265,0)))</f>
        <v>South Africa</v>
      </c>
      <c r="B127" t="str">
        <f>IF(ISNA(MATCH(114,Engine!$C$2:$C$265,0)),"",INDEX('Compliance Database'!$B$2:$B$265,MATCH(114,Engine!$C$2:$C$265,0)))</f>
        <v>Financial Advisory and Intermediary Services Act (FAIS) 37 of 2002</v>
      </c>
      <c r="C127" t="str">
        <f>IF(ISNA(MATCH(114,Engine!$C$2:$C$265,0)),"",INDEX('Compliance Database'!$C$2:$C$265,MATCH(114,Engine!$C$2:$C$265,0)))</f>
        <v>2</v>
      </c>
      <c r="D127" s="6" t="str">
        <f>IF(ISNA(MATCH(114,Engine!$C$2:$C$265,0)),"",INDEX('Compliance Database'!$D$2:$D$265,MATCH(114,Engine!$C$2:$C$265,0)))</f>
        <v>The executive  officer  and  deputy executive officer of the  Board  are  respectively  the</v>
      </c>
      <c r="E127" t="str">
        <f>IF(ISNA(MATCH(114,Engine!$C$2:$C$265,0)),"",INDEX('Compliance Database'!$E$2:$E$265,MATCH(114,Engine!$C$2:$C$265,0)))</f>
        <v>7–8</v>
      </c>
      <c r="F127" t="str">
        <f>IF(ISNA(MATCH(114,Engine!$C$2:$C$265,0)),"",INDEX('Compliance Database'!$F$2:$F$265,MATCH(114,Engine!$C$2:$C$265,0)))</f>
        <v>Definitions</v>
      </c>
      <c r="G127" t="str">
        <f>IF(ISNA(MATCH(114,Engine!$C$2:$C$265,0)),"",INDEX('Compliance Database'!$G$2:$G$265,MATCH(114,Engine!$C$2:$C$265,0)))</f>
        <v>High</v>
      </c>
      <c r="H127" t="str">
        <f>IF(ISNA(MATCH(114,Engine!$C$2:$C$265,0)),"",INDEX('Compliance Database'!$H$2:$H$265,MATCH(114,Engine!$C$2:$C$265,0)))</f>
        <v>High (explicit)</v>
      </c>
      <c r="I127" s="6">
        <f>IF(ISNA(MATCH(114,Engine!$C$2:$C$265,0)),"",INDEX('Compliance Database'!$I$2:$I$265,MATCH(114,Engine!$C$2:$C$265,0)))</f>
        <v>0</v>
      </c>
      <c r="J127" s="6">
        <f>IF(ISNA(MATCH(114,Engine!$C$2:$C$265,0)),"",INDEX('Compliance Database'!$J$2:$J$265,MATCH(114,Engine!$C$2:$C$265,0)))</f>
        <v>0</v>
      </c>
      <c r="K127">
        <f>IF(ISNA(MATCH(114,Engine!$C$2:$C$265,0)),"",INDEX('Compliance Database'!$K$2:$K$265,MATCH(114,Engine!$C$2:$C$265,0)))</f>
        <v>0</v>
      </c>
      <c r="L127" s="6" t="str">
        <f>IF(ISNA(MATCH(114,Engine!$C$2:$C$265,0)),"",INDEX('Compliance Database'!$L$2:$L$265,MATCH(114,Engine!$C$2:$C$265,0)))</f>
        <v>Designates the registrar and deputy registrar as the executive and deputy executive officers of the Board.</v>
      </c>
      <c r="M127" s="6">
        <f>IF(ISNA(MATCH(114,Engine!$C$2:$C$265,0)),"",INDEX('Compliance Database'!$M$2:$M$265,MATCH(114,Engine!$C$2:$C$265,0)))</f>
        <v>0</v>
      </c>
      <c r="N127" s="6" t="str">
        <f>IF(ISNA(MATCH(114,Engine!$C$2:$C$265,0)),"",INDEX('Compliance Database'!$N$2:$N$265,MATCH(114,Engine!$C$2:$C$265,0)))</f>
        <v>[Must] The executive officer and deputy executive officer of the Board are respectively the registrar and deputy registrar of financial services providers</v>
      </c>
      <c r="O127" s="6" t="str">
        <f>IF(ISNA(MATCH(114,Engine!$C$2:$C$265,0)),"",INDEX('Compliance Database'!$O$2:$O$265,MATCH(114,Engine!$C$2:$C$265,0)))</f>
        <v>2. The executive officer and deputy executive officer of the Board are respectively the registrar and deputy registrar of financial services providers</v>
      </c>
    </row>
    <row r="128" spans="1:15" ht="172.8" x14ac:dyDescent="0.3">
      <c r="A128" t="str">
        <f>IF(ISNA(MATCH(115,Engine!$C$2:$C$265,0)),"",INDEX('Compliance Database'!$A$2:$A$265,MATCH(115,Engine!$C$2:$C$265,0)))</f>
        <v>South Africa</v>
      </c>
      <c r="B128" t="str">
        <f>IF(ISNA(MATCH(115,Engine!$C$2:$C$265,0)),"",INDEX('Compliance Database'!$B$2:$B$265,MATCH(115,Engine!$C$2:$C$265,0)))</f>
        <v>Financial Advisory and Intermediary Services Act (FAIS) 37 of 2002</v>
      </c>
      <c r="C128" t="str">
        <f>IF(ISNA(MATCH(115,Engine!$C$2:$C$265,0)),"",INDEX('Compliance Database'!$C$2:$C$265,MATCH(115,Engine!$C$2:$C$265,0)))</f>
        <v>2</v>
      </c>
      <c r="D128" s="6" t="str">
        <f>IF(ISNA(MATCH(115,Engine!$C$2:$C$265,0)),"",INDEX('Compliance Database'!$D$2:$D$265,MATCH(115,Engine!$C$2:$C$265,0)))</f>
        <v>The amendment of section 12</v>
      </c>
      <c r="E128" t="str">
        <f>IF(ISNA(MATCH(115,Engine!$C$2:$C$265,0)),"",INDEX('Compliance Database'!$E$2:$E$265,MATCH(115,Engine!$C$2:$C$265,0)))</f>
        <v>30–31</v>
      </c>
      <c r="F128" t="str">
        <f>IF(ISNA(MATCH(115,Engine!$C$2:$C$265,0)),"",INDEX('Compliance Database'!$F$2:$F$265,MATCH(115,Engine!$C$2:$C$265,0)))</f>
        <v>Other</v>
      </c>
      <c r="G128" t="str">
        <f>IF(ISNA(MATCH(115,Engine!$C$2:$C$265,0)),"",INDEX('Compliance Database'!$G$2:$G$265,MATCH(115,Engine!$C$2:$C$265,0)))</f>
        <v>High</v>
      </c>
      <c r="H128" t="str">
        <f>IF(ISNA(MATCH(115,Engine!$C$2:$C$265,0)),"",INDEX('Compliance Database'!$H$2:$H$265,MATCH(115,Engine!$C$2:$C$265,0)))</f>
        <v>High (explicit)</v>
      </c>
      <c r="I128" s="6" t="str">
        <f>IF(ISNA(MATCH(115,Engine!$C$2:$C$265,0)),"",INDEX('Compliance Database'!$I$2:$I$265,MATCH(115,Engine!$C$2:$C$265,0)))</f>
        <v>Financial Data</v>
      </c>
      <c r="J128" s="6" t="str">
        <f>IF(ISNA(MATCH(115,Engine!$C$2:$C$265,0)),"",INDEX('Compliance Database'!$J$2:$J$265,MATCH(115,Engine!$C$2:$C$265,0)))</f>
        <v>Financial Data</v>
      </c>
      <c r="K128">
        <f>IF(ISNA(MATCH(115,Engine!$C$2:$C$265,0)),"",INDEX('Compliance Database'!$K$2:$K$265,MATCH(115,Engine!$C$2:$C$265,0)))</f>
        <v>0</v>
      </c>
      <c r="L128" s="6" t="str">
        <f>IF(ISNA(MATCH(115,Engine!$C$2:$C$265,0)),"",INDEX('Compliance Database'!$L$2:$L$265,MATCH(115,Engine!$C$2:$C$265,0)))</f>
        <v>Amends section 12 by substituting a paragraph that members must carry on business in accordance with rules and may not effect transactions with persons requiring authorization without verification.</v>
      </c>
      <c r="M128" s="6">
        <f>IF(ISNA(MATCH(115,Engine!$C$2:$C$265,0)),"",INDEX('Compliance Database'!$M$2:$M$265,MATCH(115,Engine!$C$2:$C$265,0)))</f>
        <v>0</v>
      </c>
      <c r="N128" s="6" t="str">
        <f>IF(ISNA(MATCH(115,Engine!$C$2:$C$265,0)),"",INDEX('Compliance Database'!$N$2:$N$265,MATCH(115,Engine!$C$2:$C$265,0)))</f>
        <v>[Must] a member carries on a business contemplated in section 4(1) in accordance with the provisions of the rules
[Must Not] a member may not effect a transaction with a person whom the member reasonably believes requires authorisation as a financial services provider or the status of a representative in terms of the Financial Advisory and Intermediary Services Act, 2001, without having taken reasonable measures to ascertain that such person has the required authorisation or status</v>
      </c>
      <c r="O128" s="6" t="str">
        <f>IF(ISNA(MATCH(115,Engine!$C$2:$C$265,0)),"",INDEX('Compliance Database'!$O$2:$O$265,MATCH(115,Engine!$C$2:$C$265,0)))</f>
        <v>2. The amendment of section 12 by the substitution for paragraph (d) of subsection (1) of the following paragraph: "(d) that a member carries on a business contemplated in section 4(1) in accordance with the provisions of the rules; and a member may not effect a transaction with a person whom the member reasonably believes requires authorisation as a financial services provider or the status of a representative in terms of the Financial Advisory and Intermediary Services Act, 2001, without having taken reasonable measures to ascertain that such person has the required authorisation or status."</v>
      </c>
    </row>
    <row r="129" spans="1:15" ht="172.8" x14ac:dyDescent="0.3">
      <c r="A129" t="str">
        <f>IF(ISNA(MATCH(116,Engine!$C$2:$C$265,0)),"",INDEX('Compliance Database'!$A$2:$A$265,MATCH(116,Engine!$C$2:$C$265,0)))</f>
        <v>South Africa</v>
      </c>
      <c r="B129" t="str">
        <f>IF(ISNA(MATCH(116,Engine!$C$2:$C$265,0)),"",INDEX('Compliance Database'!$B$2:$B$265,MATCH(116,Engine!$C$2:$C$265,0)))</f>
        <v>Financial Advisory and Intermediary Services Act (FAIS) 37 of 2002</v>
      </c>
      <c r="C129" t="str">
        <f>IF(ISNA(MATCH(116,Engine!$C$2:$C$265,0)),"",INDEX('Compliance Database'!$C$2:$C$265,MATCH(116,Engine!$C$2:$C$265,0)))</f>
        <v>2</v>
      </c>
      <c r="D129" s="6" t="str">
        <f>IF(ISNA(MATCH(116,Engine!$C$2:$C$265,0)),"",INDEX('Compliance Database'!$D$2:$D$265,MATCH(116,Engine!$C$2:$C$265,0)))</f>
        <v>The amendment of sectior</v>
      </c>
      <c r="E129" t="str">
        <f>IF(ISNA(MATCH(116,Engine!$C$2:$C$265,0)),"",INDEX('Compliance Database'!$E$2:$E$265,MATCH(116,Engine!$C$2:$C$265,0)))</f>
        <v>33</v>
      </c>
      <c r="F129" t="str">
        <f>IF(ISNA(MATCH(116,Engine!$C$2:$C$265,0)),"",INDEX('Compliance Database'!$F$2:$F$265,MATCH(116,Engine!$C$2:$C$265,0)))</f>
        <v>Other</v>
      </c>
      <c r="G129" t="str">
        <f>IF(ISNA(MATCH(116,Engine!$C$2:$C$265,0)),"",INDEX('Compliance Database'!$G$2:$G$265,MATCH(116,Engine!$C$2:$C$265,0)))</f>
        <v>High</v>
      </c>
      <c r="H129" t="str">
        <f>IF(ISNA(MATCH(116,Engine!$C$2:$C$265,0)),"",INDEX('Compliance Database'!$H$2:$H$265,MATCH(116,Engine!$C$2:$C$265,0)))</f>
        <v>High (explicit)</v>
      </c>
      <c r="I129" s="6" t="str">
        <f>IF(ISNA(MATCH(116,Engine!$C$2:$C$265,0)),"",INDEX('Compliance Database'!$I$2:$I$265,MATCH(116,Engine!$C$2:$C$265,0)))</f>
        <v>Financial Data</v>
      </c>
      <c r="J129" s="6" t="str">
        <f>IF(ISNA(MATCH(116,Engine!$C$2:$C$265,0)),"",INDEX('Compliance Database'!$J$2:$J$265,MATCH(116,Engine!$C$2:$C$265,0)))</f>
        <v>Financial Data</v>
      </c>
      <c r="K129">
        <f>IF(ISNA(MATCH(116,Engine!$C$2:$C$265,0)),"",INDEX('Compliance Database'!$K$2:$K$265,MATCH(116,Engine!$C$2:$C$265,0)))</f>
        <v>0</v>
      </c>
      <c r="L129" s="6" t="str">
        <f>IF(ISNA(MATCH(116,Engine!$C$2:$C$265,0)),"",INDEX('Compliance Database'!$L$2:$L$265,MATCH(116,Engine!$C$2:$C$265,0)))</f>
        <v>Amends section 12 by substituting a paragraph that members must carry on business in accordance with rules and may not effect transactions with persons requiring authorization without verification.</v>
      </c>
      <c r="M129" s="6">
        <f>IF(ISNA(MATCH(116,Engine!$C$2:$C$265,0)),"",INDEX('Compliance Database'!$M$2:$M$265,MATCH(116,Engine!$C$2:$C$265,0)))</f>
        <v>0</v>
      </c>
      <c r="N129" s="6" t="str">
        <f>IF(ISNA(MATCH(116,Engine!$C$2:$C$265,0)),"",INDEX('Compliance Database'!$N$2:$N$265,MATCH(116,Engine!$C$2:$C$265,0)))</f>
        <v>[Must] a member carries on a business contemplated in section 4(1) in accordance with the provisions of the rules
[Must Not] a member may not effect a transaction with a person whom the member reasonably believes requires authorisation as a financial services provider or the status of a representative in terms of the Financial Advisory and Intermediary Services Act, 2001, without having taken reasonable measures to ascertain that such person has the required authorisation or status</v>
      </c>
      <c r="O129" s="6" t="str">
        <f>IF(ISNA(MATCH(116,Engine!$C$2:$C$265,0)),"",INDEX('Compliance Database'!$O$2:$O$265,MATCH(116,Engine!$C$2:$C$265,0)))</f>
        <v>2. The amendment of section 12 by the substitution for paragraph (d) of subsection (1) of the following paragraph: "(d) that a member carries on a business contemplated in section 4(1) in accordance with the provisions of the rules; and a member may not effect a transaction with a person whom the member reasonably believes requires authorisation as a financial services provider or the status of a representative in terms of the Financial Advisory and Intermediary Services Act, 2001, without having taken reasonable measures to ascertain that such person has the required authorisation or status."</v>
      </c>
    </row>
    <row r="130" spans="1:15" x14ac:dyDescent="0.3">
      <c r="A130" t="str">
        <f>IF(ISNA(MATCH(117,Engine!$C$2:$C$265,0)),"",INDEX('Compliance Database'!$A$2:$A$265,MATCH(117,Engine!$C$2:$C$265,0)))</f>
        <v>South Africa</v>
      </c>
      <c r="B130" t="str">
        <f>IF(ISNA(MATCH(117,Engine!$C$2:$C$265,0)),"",INDEX('Compliance Database'!$B$2:$B$265,MATCH(117,Engine!$C$2:$C$265,0)))</f>
        <v>Financial Advisory and Intermediary Services Act (FAIS) 37 of 2002</v>
      </c>
      <c r="C130" t="str">
        <f>IF(ISNA(MATCH(117,Engine!$C$2:$C$265,0)),"",INDEX('Compliance Database'!$C$2:$C$265,MATCH(117,Engine!$C$2:$C$265,0)))</f>
        <v>3</v>
      </c>
      <c r="D130" s="6" t="str">
        <f>IF(ISNA(MATCH(117,Engine!$C$2:$C$265,0)),"",INDEX('Compliance Database'!$D$2:$D$265,MATCH(117,Engine!$C$2:$C$265,0)))</f>
        <v>The  amendment  of section 211</v>
      </c>
      <c r="E130" t="str">
        <f>IF(ISNA(MATCH(117,Engine!$C$2:$C$265,0)),"",INDEX('Compliance Database'!$E$2:$E$265,MATCH(117,Engine!$C$2:$C$265,0)))</f>
        <v>33–34</v>
      </c>
      <c r="F130" t="str">
        <f>IF(ISNA(MATCH(117,Engine!$C$2:$C$265,0)),"",INDEX('Compliance Database'!$F$2:$F$265,MATCH(117,Engine!$C$2:$C$265,0)))</f>
        <v>Other</v>
      </c>
      <c r="G130" t="str">
        <f>IF(ISNA(MATCH(117,Engine!$C$2:$C$265,0)),"",INDEX('Compliance Database'!$G$2:$G$265,MATCH(117,Engine!$C$2:$C$265,0)))</f>
        <v>Unknown</v>
      </c>
      <c r="H130" t="str">
        <f>IF(ISNA(MATCH(117,Engine!$C$2:$C$265,0)),"",INDEX('Compliance Database'!$H$2:$H$265,MATCH(117,Engine!$C$2:$C$265,0)))</f>
        <v>Low</v>
      </c>
      <c r="I130" s="6">
        <f>IF(ISNA(MATCH(117,Engine!$C$2:$C$265,0)),"",INDEX('Compliance Database'!$I$2:$I$265,MATCH(117,Engine!$C$2:$C$265,0)))</f>
        <v>0</v>
      </c>
      <c r="J130" s="6">
        <f>IF(ISNA(MATCH(117,Engine!$C$2:$C$265,0)),"",INDEX('Compliance Database'!$J$2:$J$265,MATCH(117,Engine!$C$2:$C$265,0)))</f>
        <v>0</v>
      </c>
      <c r="K130">
        <f>IF(ISNA(MATCH(117,Engine!$C$2:$C$265,0)),"",INDEX('Compliance Database'!$K$2:$K$265,MATCH(117,Engine!$C$2:$C$265,0)))</f>
        <v>0</v>
      </c>
      <c r="L130" s="6">
        <f>IF(ISNA(MATCH(117,Engine!$C$2:$C$265,0)),"",INDEX('Compliance Database'!$L$2:$L$265,MATCH(117,Engine!$C$2:$C$265,0)))</f>
        <v>0</v>
      </c>
      <c r="M130" s="6">
        <f>IF(ISNA(MATCH(117,Engine!$C$2:$C$265,0)),"",INDEX('Compliance Database'!$M$2:$M$265,MATCH(117,Engine!$C$2:$C$265,0)))</f>
        <v>0</v>
      </c>
      <c r="N130" s="6">
        <f>IF(ISNA(MATCH(117,Engine!$C$2:$C$265,0)),"",INDEX('Compliance Database'!$N$2:$N$265,MATCH(117,Engine!$C$2:$C$265,0)))</f>
        <v>0</v>
      </c>
      <c r="O130" s="6">
        <f>IF(ISNA(MATCH(117,Engine!$C$2:$C$265,0)),"",INDEX('Compliance Database'!$O$2:$O$265,MATCH(117,Engine!$C$2:$C$265,0)))</f>
        <v>0</v>
      </c>
    </row>
    <row r="131" spans="1:15" ht="345.6" x14ac:dyDescent="0.3">
      <c r="A131" t="str">
        <f>IF(ISNA(MATCH(118,Engine!$C$2:$C$265,0)),"",INDEX('Compliance Database'!$A$2:$A$265,MATCH(118,Engine!$C$2:$C$265,0)))</f>
        <v>South Africa</v>
      </c>
      <c r="B131" t="str">
        <f>IF(ISNA(MATCH(118,Engine!$C$2:$C$265,0)),"",INDEX('Compliance Database'!$B$2:$B$265,MATCH(118,Engine!$C$2:$C$265,0)))</f>
        <v>Financial Advisory and Intermediary Services Act (FAIS) 37 of 2002</v>
      </c>
      <c r="C131" t="str">
        <f>IF(ISNA(MATCH(118,Engine!$C$2:$C$265,0)),"",INDEX('Compliance Database'!$C$2:$C$265,MATCH(118,Engine!$C$2:$C$265,0)))</f>
        <v>4</v>
      </c>
      <c r="D131" s="6" t="str">
        <f>IF(ISNA(MATCH(118,Engine!$C$2:$C$265,0)),"",INDEX('Compliance Database'!$D$2:$D$265,MATCH(118,Engine!$C$2:$C$265,0)))</f>
        <v>(1) When anything is required or permitted to be done by the registrar in terms of</v>
      </c>
      <c r="E131" t="str">
        <f>IF(ISNA(MATCH(118,Engine!$C$2:$C$265,0)),"",INDEX('Compliance Database'!$E$2:$E$265,MATCH(118,Engine!$C$2:$C$265,0)))</f>
        <v>8–9</v>
      </c>
      <c r="F131" t="str">
        <f>IF(ISNA(MATCH(118,Engine!$C$2:$C$265,0)),"",INDEX('Compliance Database'!$F$2:$F$265,MATCH(118,Engine!$C$2:$C$265,0)))</f>
        <v>Cross-border Transfer</v>
      </c>
      <c r="G131" t="str">
        <f>IF(ISNA(MATCH(118,Engine!$C$2:$C$265,0)),"",INDEX('Compliance Database'!$G$2:$G$265,MATCH(118,Engine!$C$2:$C$265,0)))</f>
        <v>High</v>
      </c>
      <c r="H131" t="str">
        <f>IF(ISNA(MATCH(118,Engine!$C$2:$C$265,0)),"",INDEX('Compliance Database'!$H$2:$H$265,MATCH(118,Engine!$C$2:$C$265,0)))</f>
        <v>High (explicit)</v>
      </c>
      <c r="I131" s="6">
        <f>IF(ISNA(MATCH(118,Engine!$C$2:$C$265,0)),"",INDEX('Compliance Database'!$I$2:$I$265,MATCH(118,Engine!$C$2:$C$265,0)))</f>
        <v>0</v>
      </c>
      <c r="J131" s="6">
        <f>IF(ISNA(MATCH(118,Engine!$C$2:$C$265,0)),"",INDEX('Compliance Database'!$J$2:$J$265,MATCH(118,Engine!$C$2:$C$265,0)))</f>
        <v>0</v>
      </c>
      <c r="K131" t="str">
        <f>IF(ISNA(MATCH(118,Engine!$C$2:$C$265,0)),"",INDEX('Compliance Database'!$K$2:$K$265,MATCH(118,Engine!$C$2:$C$265,0)))</f>
        <v>Registrar</v>
      </c>
      <c r="L131" s="6" t="str">
        <f>IF(ISNA(MATCH(118,Engine!$C$2:$C$265,0)),"",INDEX('Compliance Database'!$L$2:$L$265,MATCH(118,Engine!$C$2:$C$265,0)))</f>
        <v>Regulates registrar's powers to extend periods, direct information furnishing, and handle misleading publications.</v>
      </c>
      <c r="M131" s="6">
        <f>IF(ISNA(MATCH(118,Engine!$C$2:$C$265,0)),"",INDEX('Compliance Database'!$M$2:$M$265,MATCH(118,Engine!$C$2:$C$265,0)))</f>
        <v>0</v>
      </c>
      <c r="N131" s="6" t="str">
        <f>IF(ISNA(MATCH(118,Engine!$C$2:$C$265,0)),"",INDEX('Compliance Database'!$N$2:$N$265,MATCH(118,Engine!$C$2:$C$265,0)))</f>
        <v>[Must] When anything is required or permitted to be done by the registrar within a particular period, the registrar may extend it for any sufficient cause
[Must] The registrar may direct an authorised financial services provider or representative to furnish specified information or documents
[Must] If any advertisement, brochure or similar document is misleading, the registrar may direct cessation of publication or changes
[Must] If a person is contravening or failing to comply with the Act, the registrar may direct furnishing information, appearing before the registrar, or making arrangements for obligations
[Must] If significant prejudice or damage to clients has occurred, the registrar may apply to a Court for an order restraining business
[Must] If prejudice or damage may have occurred to a client, the registrar may refer the matter to the Office</v>
      </c>
      <c r="O131" s="6" t="str">
        <f>IF(ISNA(MATCH(118,Engine!$C$2:$C$265,0)),"",INDEX('Compliance Database'!$O$2:$O$265,MATCH(118,Engine!$C$2:$C$265,0)))</f>
        <v>4. (1) When anything is required or permitted to be done by the registrar in terms of this Act within a particular period, the registrar may on application or on own initiative before the expiry of that period, extend it for any sufficient cause.</v>
      </c>
    </row>
    <row r="132" spans="1:15" ht="158.4" x14ac:dyDescent="0.3">
      <c r="A132" t="str">
        <f>IF(ISNA(MATCH(119,Engine!$C$2:$C$265,0)),"",INDEX('Compliance Database'!$A$2:$A$265,MATCH(119,Engine!$C$2:$C$265,0)))</f>
        <v>South Africa</v>
      </c>
      <c r="B132" t="str">
        <f>IF(ISNA(MATCH(119,Engine!$C$2:$C$265,0)),"",INDEX('Compliance Database'!$B$2:$B$265,MATCH(119,Engine!$C$2:$C$265,0)))</f>
        <v>Financial Advisory and Intermediary Services Act (FAIS) 37 of 2002</v>
      </c>
      <c r="C132" t="str">
        <f>IF(ISNA(MATCH(119,Engine!$C$2:$C$265,0)),"",INDEX('Compliance Database'!$C$2:$C$265,MATCH(119,Engine!$C$2:$C$265,0)))</f>
        <v>4</v>
      </c>
      <c r="D132" s="6" t="str">
        <f>IF(ISNA(MATCH(119,Engine!$C$2:$C$265,0)),"",INDEX('Compliance Database'!$D$2:$D$265,MATCH(119,Engine!$C$2:$C$265,0)))</f>
        <v>The  amendment</v>
      </c>
      <c r="E132" t="str">
        <f>IF(ISNA(MATCH(119,Engine!$C$2:$C$265,0)),"",INDEX('Compliance Database'!$E$2:$E$265,MATCH(119,Engine!$C$2:$C$265,0)))</f>
        <v>31</v>
      </c>
      <c r="F132" t="str">
        <f>IF(ISNA(MATCH(119,Engine!$C$2:$C$265,0)),"",INDEX('Compliance Database'!$F$2:$F$265,MATCH(119,Engine!$C$2:$C$265,0)))</f>
        <v>Other</v>
      </c>
      <c r="G132" t="str">
        <f>IF(ISNA(MATCH(119,Engine!$C$2:$C$265,0)),"",INDEX('Compliance Database'!$G$2:$G$265,MATCH(119,Engine!$C$2:$C$265,0)))</f>
        <v>High</v>
      </c>
      <c r="H132" t="str">
        <f>IF(ISNA(MATCH(119,Engine!$C$2:$C$265,0)),"",INDEX('Compliance Database'!$H$2:$H$265,MATCH(119,Engine!$C$2:$C$265,0)))</f>
        <v>High (explicit)</v>
      </c>
      <c r="I132" s="6" t="str">
        <f>IF(ISNA(MATCH(119,Engine!$C$2:$C$265,0)),"",INDEX('Compliance Database'!$I$2:$I$265,MATCH(119,Engine!$C$2:$C$265,0)))</f>
        <v>Financial Data</v>
      </c>
      <c r="J132" s="6" t="str">
        <f>IF(ISNA(MATCH(119,Engine!$C$2:$C$265,0)),"",INDEX('Compliance Database'!$J$2:$J$265,MATCH(119,Engine!$C$2:$C$265,0)))</f>
        <v>Financial Data</v>
      </c>
      <c r="K132">
        <f>IF(ISNA(MATCH(119,Engine!$C$2:$C$265,0)),"",INDEX('Compliance Database'!$K$2:$K$265,MATCH(119,Engine!$C$2:$C$265,0)))</f>
        <v>0</v>
      </c>
      <c r="L132" s="6" t="str">
        <f>IF(ISNA(MATCH(119,Engine!$C$2:$C$265,0)),"",INDEX('Compliance Database'!$L$2:$L$265,MATCH(119,Engine!$C$2:$C$265,0)))</f>
        <v>Amends section 45 by deleting specific subparagraphs and substituting wording related to financial exchanges and members.</v>
      </c>
      <c r="M132" s="6">
        <f>IF(ISNA(MATCH(119,Engine!$C$2:$C$265,0)),"",INDEX('Compliance Database'!$M$2:$M$265,MATCH(119,Engine!$C$2:$C$265,0)))</f>
        <v>0</v>
      </c>
      <c r="N132" s="6" t="str">
        <f>IF(ISNA(MATCH(119,Engine!$C$2:$C$265,0)),"",INDEX('Compliance Database'!$N$2:$N$265,MATCH(119,Engine!$C$2:$C$265,0)))</f>
        <v>[Must] but who is carrying on the business of a stock exchange or of a member [or of a person requiring approval in terms of section 41 as the case may be]</v>
      </c>
      <c r="O132" s="6" t="str">
        <f>IF(ISNA(MATCH(119,Engine!$C$2:$C$265,0)),"",INDEX('Compliance Database'!$O$2:$O$265,MATCH(119,Engine!$C$2:$C$265,0)))</f>
        <v>4. The amendment of section 45 by the deletion of subparagraph (iii) of paragraph (a) of subsection (1); by the deletion of the word "or" at the end of subparagraph (ii) of paragraph (b) of subsection (1), and of subparagraph (iii) of the said paragraph (b); and by the substitution for the words following on subparagraph (iii) of paragraph (b) of subsection (1) of the following words: "but who is carrying on the business of a stock exchange or of a member [or of a person requiring approval in terms of section 41 as the case may be; and".</v>
      </c>
    </row>
    <row r="133" spans="1:15" ht="158.4" x14ac:dyDescent="0.3">
      <c r="A133" t="str">
        <f>IF(ISNA(MATCH(120,Engine!$C$2:$C$265,0)),"",INDEX('Compliance Database'!$A$2:$A$265,MATCH(120,Engine!$C$2:$C$265,0)))</f>
        <v>South Africa</v>
      </c>
      <c r="B133" t="str">
        <f>IF(ISNA(MATCH(120,Engine!$C$2:$C$265,0)),"",INDEX('Compliance Database'!$B$2:$B$265,MATCH(120,Engine!$C$2:$C$265,0)))</f>
        <v>Financial Advisory and Intermediary Services Act (FAIS) 37 of 2002</v>
      </c>
      <c r="C133" t="str">
        <f>IF(ISNA(MATCH(120,Engine!$C$2:$C$265,0)),"",INDEX('Compliance Database'!$C$2:$C$265,MATCH(120,Engine!$C$2:$C$265,0)))</f>
        <v>4</v>
      </c>
      <c r="D133" s="6" t="str">
        <f>IF(ISNA(MATCH(120,Engine!$C$2:$C$265,0)),"",INDEX('Compliance Database'!$D$2:$D$265,MATCH(120,Engine!$C$2:$C$265,0)))</f>
        <v>The amendment of section</v>
      </c>
      <c r="E133" t="str">
        <f>IF(ISNA(MATCH(120,Engine!$C$2:$C$265,0)),"",INDEX('Compliance Database'!$E$2:$E$265,MATCH(120,Engine!$C$2:$C$265,0)))</f>
        <v>34</v>
      </c>
      <c r="F133" t="str">
        <f>IF(ISNA(MATCH(120,Engine!$C$2:$C$265,0)),"",INDEX('Compliance Database'!$F$2:$F$265,MATCH(120,Engine!$C$2:$C$265,0)))</f>
        <v>Other</v>
      </c>
      <c r="G133" t="str">
        <f>IF(ISNA(MATCH(120,Engine!$C$2:$C$265,0)),"",INDEX('Compliance Database'!$G$2:$G$265,MATCH(120,Engine!$C$2:$C$265,0)))</f>
        <v>High</v>
      </c>
      <c r="H133" t="str">
        <f>IF(ISNA(MATCH(120,Engine!$C$2:$C$265,0)),"",INDEX('Compliance Database'!$H$2:$H$265,MATCH(120,Engine!$C$2:$C$265,0)))</f>
        <v>High (explicit)</v>
      </c>
      <c r="I133" s="6" t="str">
        <f>IF(ISNA(MATCH(120,Engine!$C$2:$C$265,0)),"",INDEX('Compliance Database'!$I$2:$I$265,MATCH(120,Engine!$C$2:$C$265,0)))</f>
        <v>Financial Data</v>
      </c>
      <c r="J133" s="6" t="str">
        <f>IF(ISNA(MATCH(120,Engine!$C$2:$C$265,0)),"",INDEX('Compliance Database'!$J$2:$J$265,MATCH(120,Engine!$C$2:$C$265,0)))</f>
        <v>Financial Data</v>
      </c>
      <c r="K133">
        <f>IF(ISNA(MATCH(120,Engine!$C$2:$C$265,0)),"",INDEX('Compliance Database'!$K$2:$K$265,MATCH(120,Engine!$C$2:$C$265,0)))</f>
        <v>0</v>
      </c>
      <c r="L133" s="6" t="str">
        <f>IF(ISNA(MATCH(120,Engine!$C$2:$C$265,0)),"",INDEX('Compliance Database'!$L$2:$L$265,MATCH(120,Engine!$C$2:$C$265,0)))</f>
        <v>Amends section 45 by deleting specific subparagraphs and substituting wording related to financial exchanges and members.</v>
      </c>
      <c r="M133" s="6">
        <f>IF(ISNA(MATCH(120,Engine!$C$2:$C$265,0)),"",INDEX('Compliance Database'!$M$2:$M$265,MATCH(120,Engine!$C$2:$C$265,0)))</f>
        <v>0</v>
      </c>
      <c r="N133" s="6" t="str">
        <f>IF(ISNA(MATCH(120,Engine!$C$2:$C$265,0)),"",INDEX('Compliance Database'!$N$2:$N$265,MATCH(120,Engine!$C$2:$C$265,0)))</f>
        <v>[Must] but who is carrying on the business of a stock exchange or of a member [or of a person requiring approval in terms of section 41 as the case may be]</v>
      </c>
      <c r="O133" s="6" t="str">
        <f>IF(ISNA(MATCH(120,Engine!$C$2:$C$265,0)),"",INDEX('Compliance Database'!$O$2:$O$265,MATCH(120,Engine!$C$2:$C$265,0)))</f>
        <v>4. The amendment of section 45 by the deletion of subparagraph (iii) of paragraph (a) of subsection (1); by the deletion of the word "or" at the end of subparagraph (ii) of paragraph (b) of subsection (1), and of subparagraph (iii) of the said paragraph (b); and by the substitution for the words following on subparagraph (iii) of paragraph (b) of subsection (1) of the following words: "but who is carrying on the business of a stock exchange or of a member [or of a person requiring approval in terms of section 41 as the case may be; and".</v>
      </c>
    </row>
    <row r="134" spans="1:15" ht="409.6" x14ac:dyDescent="0.3">
      <c r="A134" t="str">
        <f>IF(ISNA(MATCH(121,Engine!$C$2:$C$265,0)),"",INDEX('Compliance Database'!$A$2:$A$265,MATCH(121,Engine!$C$2:$C$265,0)))</f>
        <v>South Africa</v>
      </c>
      <c r="B134" t="str">
        <f>IF(ISNA(MATCH(121,Engine!$C$2:$C$265,0)),"",INDEX('Compliance Database'!$B$2:$B$265,MATCH(121,Engine!$C$2:$C$265,0)))</f>
        <v>Financial Advisory and Intermediary Services Act (FAIS) 37 of 2002</v>
      </c>
      <c r="C134" t="str">
        <f>IF(ISNA(MATCH(121,Engine!$C$2:$C$265,0)),"",INDEX('Compliance Database'!$C$2:$C$265,MATCH(121,Engine!$C$2:$C$265,0)))</f>
        <v>5</v>
      </c>
      <c r="D134" s="6" t="str">
        <f>IF(ISNA(MATCH(121,Engine!$C$2:$C$265,0)),"",INDEX('Compliance Database'!$D$2:$D$265,MATCH(121,Engine!$C$2:$C$265,0)))</f>
        <v>( 1 ) There is an Advisory Committee  on Financial  Services  Providers which may on</v>
      </c>
      <c r="E134" t="str">
        <f>IF(ISNA(MATCH(121,Engine!$C$2:$C$265,0)),"",INDEX('Compliance Database'!$E$2:$E$265,MATCH(121,Engine!$C$2:$C$265,0)))</f>
        <v>9</v>
      </c>
      <c r="F134" t="str">
        <f>IF(ISNA(MATCH(121,Engine!$C$2:$C$265,0)),"",INDEX('Compliance Database'!$F$2:$F$265,MATCH(121,Engine!$C$2:$C$265,0)))</f>
        <v>Other</v>
      </c>
      <c r="G134" t="str">
        <f>IF(ISNA(MATCH(121,Engine!$C$2:$C$265,0)),"",INDEX('Compliance Database'!$G$2:$G$265,MATCH(121,Engine!$C$2:$C$265,0)))</f>
        <v>Low</v>
      </c>
      <c r="H134" t="str">
        <f>IF(ISNA(MATCH(121,Engine!$C$2:$C$265,0)),"",INDEX('Compliance Database'!$H$2:$H$265,MATCH(121,Engine!$C$2:$C$265,0)))</f>
        <v>High (explicit)</v>
      </c>
      <c r="I134" s="6">
        <f>IF(ISNA(MATCH(121,Engine!$C$2:$C$265,0)),"",INDEX('Compliance Database'!$I$2:$I$265,MATCH(121,Engine!$C$2:$C$265,0)))</f>
        <v>0</v>
      </c>
      <c r="J134" s="6">
        <f>IF(ISNA(MATCH(121,Engine!$C$2:$C$265,0)),"",INDEX('Compliance Database'!$J$2:$J$265,MATCH(121,Engine!$C$2:$C$265,0)))</f>
        <v>0</v>
      </c>
      <c r="K134" t="str">
        <f>IF(ISNA(MATCH(121,Engine!$C$2:$C$265,0)),"",INDEX('Compliance Database'!$K$2:$K$265,MATCH(121,Engine!$C$2:$C$265,0)))</f>
        <v>Minister</v>
      </c>
      <c r="L134" s="6" t="str">
        <f>IF(ISNA(MATCH(121,Engine!$C$2:$C$265,0)),"",INDEX('Compliance Database'!$L$2:$L$265,MATCH(121,Engine!$C$2:$C$265,0)))</f>
        <v>Advisory Committee on Financial Services Providers may investigate and report on matters relating to financial services providers, consisting of chairperson, members including medical schemes representative, product suppliers, providers, and clients. Members appointed by Minister after consultation with Board.</v>
      </c>
      <c r="M134" s="6">
        <f>IF(ISNA(MATCH(121,Engine!$C$2:$C$265,0)),"",INDEX('Compliance Database'!$M$2:$M$265,MATCH(121,Engine!$C$2:$C$265,0)))</f>
        <v>0</v>
      </c>
      <c r="N134" s="6" t="str">
        <f>IF(ISNA(MATCH(121,Engine!$C$2:$C$265,0)),"",INDEX('Compliance Database'!$N$2:$N$265,MATCH(121,Engine!$C$2:$C$265,0)))</f>
        <v>[Must] Advisory Committee may investigate and report on matters relating to financial services providers
[Must] Advisory Committee consists of chairperson and members including medical schemes representative, product suppliers, financial services providers and clients
[Must] Registrar is a member of Advisory Committee without voting power
[Must] Members hold office for period determined by Minister
[Must] Non-state employees must be paid remuneration and allowances
[Must] Advisory Committee may meet or arrange for performance of functions
[Must] Registrar may submit relevant information to Advisory Committee
[Must] Advisory Committee may call assistance to investigate matters
[Must] Registrar responsible for administrative work
[Must] Expenditure must be paid from Board funds with approval</v>
      </c>
      <c r="O134" s="6" t="str">
        <f>IF(ISNA(MATCH(121,Engine!$C$2:$C$265,0)),"",INDEX('Compliance Database'!$O$2:$O$265,MATCH(121,Engine!$C$2:$C$265,0)))</f>
        <v>5. (1) There is an Advisory Committee on Financial Services Providers which may on its own initiative, or must at the request of the Minister or the registrar, investigate and report or advise on any matter relating to financial services providers.</v>
      </c>
    </row>
    <row r="135" spans="1:15" ht="158.4" x14ac:dyDescent="0.3">
      <c r="A135" t="str">
        <f>IF(ISNA(MATCH(122,Engine!$C$2:$C$265,0)),"",INDEX('Compliance Database'!$A$2:$A$265,MATCH(122,Engine!$C$2:$C$265,0)))</f>
        <v>South Africa</v>
      </c>
      <c r="B135" t="str">
        <f>IF(ISNA(MATCH(122,Engine!$C$2:$C$265,0)),"",INDEX('Compliance Database'!$B$2:$B$265,MATCH(122,Engine!$C$2:$C$265,0)))</f>
        <v>Financial Advisory and Intermediary Services Act (FAIS) 37 of 2002</v>
      </c>
      <c r="C135" t="str">
        <f>IF(ISNA(MATCH(122,Engine!$C$2:$C$265,0)),"",INDEX('Compliance Database'!$C$2:$C$265,MATCH(122,Engine!$C$2:$C$265,0)))</f>
        <v>6</v>
      </c>
      <c r="D135" s="6" t="str">
        <f>IF(ISNA(MATCH(122,Engine!$C$2:$C$265,0)),"",INDEX('Compliance Database'!$D$2:$D$265,MATCH(122,Engine!$C$2:$C$265,0)))</f>
        <v>( 11 The  Minister may, on  such  conditions as  the Minister may determine (which the</v>
      </c>
      <c r="E135" t="str">
        <f>IF(ISNA(MATCH(122,Engine!$C$2:$C$265,0)),"",INDEX('Compliance Database'!$E$2:$E$265,MATCH(122,Engine!$C$2:$C$265,0)))</f>
        <v>9–10</v>
      </c>
      <c r="F135" t="str">
        <f>IF(ISNA(MATCH(122,Engine!$C$2:$C$265,0)),"",INDEX('Compliance Database'!$F$2:$F$265,MATCH(122,Engine!$C$2:$C$265,0)))</f>
        <v>Other</v>
      </c>
      <c r="G135" t="str">
        <f>IF(ISNA(MATCH(122,Engine!$C$2:$C$265,0)),"",INDEX('Compliance Database'!$G$2:$G$265,MATCH(122,Engine!$C$2:$C$265,0)))</f>
        <v>Low</v>
      </c>
      <c r="H135" t="str">
        <f>IF(ISNA(MATCH(122,Engine!$C$2:$C$265,0)),"",INDEX('Compliance Database'!$H$2:$H$265,MATCH(122,Engine!$C$2:$C$265,0)))</f>
        <v>High (explicit)</v>
      </c>
      <c r="I135" s="6">
        <f>IF(ISNA(MATCH(122,Engine!$C$2:$C$265,0)),"",INDEX('Compliance Database'!$I$2:$I$265,MATCH(122,Engine!$C$2:$C$265,0)))</f>
        <v>0</v>
      </c>
      <c r="J135" s="6">
        <f>IF(ISNA(MATCH(122,Engine!$C$2:$C$265,0)),"",INDEX('Compliance Database'!$J$2:$J$265,MATCH(122,Engine!$C$2:$C$265,0)))</f>
        <v>0</v>
      </c>
      <c r="K135" t="str">
        <f>IF(ISNA(MATCH(122,Engine!$C$2:$C$265,0)),"",INDEX('Compliance Database'!$K$2:$K$265,MATCH(122,Engine!$C$2:$C$265,0)))</f>
        <v>Minister, Board, Registrar</v>
      </c>
      <c r="L135" s="6" t="str">
        <f>IF(ISNA(MATCH(122,Engine!$C$2:$C$265,0)),"",INDEX('Compliance Database'!$L$2:$L$265,MATCH(122,Engine!$C$2:$C$265,0)))</f>
        <v>Minister, Board and registrar may delegate powers to others with conditions, including to National Treasury, other officials, or registrar. Delegations may be amended or withdrawn at any time.</v>
      </c>
      <c r="M135" s="6">
        <f>IF(ISNA(MATCH(122,Engine!$C$2:$C$265,0)),"",INDEX('Compliance Database'!$M$2:$M$265,MATCH(122,Engine!$C$2:$C$265,0)))</f>
        <v>0</v>
      </c>
      <c r="N135" s="6" t="str">
        <f>IF(ISNA(MATCH(122,Engine!$C$2:$C$265,0)),"",INDEX('Compliance Database'!$N$2:$N$265,MATCH(122,Engine!$C$2:$C$265,0)))</f>
        <v>[May] Minister may delegate powers to National Treasury, other officials, or registrar with conditions
[May] Board may delegate powers to chairperson, members, or registrar with conditions
[May] Registrar may delegate powers to other Board members, appointed persons, or recognized bodies
[May] Delegations may be amended or withdrawn at any time</v>
      </c>
      <c r="O135" s="6" t="str">
        <f>IF(ISNA(MATCH(122,Engine!$C$2:$C$265,0)),"",INDEX('Compliance Database'!$O$2:$O$265,MATCH(122,Engine!$C$2:$C$265,0)))</f>
        <v>6. (11) The Minister may, on such conditions as the Minister may determine (which the Minister may at any time thereafter amend or withdraw). delegate any power conferred upon the Minister by this Act, excluding the power to make regulations under section 35.</v>
      </c>
    </row>
    <row r="136" spans="1:15" ht="57.6" x14ac:dyDescent="0.3">
      <c r="A136" t="str">
        <f>IF(ISNA(MATCH(123,Engine!$C$2:$C$265,0)),"",INDEX('Compliance Database'!$A$2:$A$265,MATCH(123,Engine!$C$2:$C$265,0)))</f>
        <v>South Africa</v>
      </c>
      <c r="B136" t="str">
        <f>IF(ISNA(MATCH(123,Engine!$C$2:$C$265,0)),"",INDEX('Compliance Database'!$B$2:$B$265,MATCH(123,Engine!$C$2:$C$265,0)))</f>
        <v>Financial Advisory and Intermediary Services Act (FAIS) 37 of 2002</v>
      </c>
      <c r="C136" t="str">
        <f>IF(ISNA(MATCH(123,Engine!$C$2:$C$265,0)),"",INDEX('Compliance Database'!$C$2:$C$265,MATCH(123,Engine!$C$2:$C$265,0)))</f>
        <v>6</v>
      </c>
      <c r="D136" s="6" t="str">
        <f>IF(ISNA(MATCH(123,Engine!$C$2:$C$265,0)),"",INDEX('Compliance Database'!$D$2:$D$265,MATCH(123,Engine!$C$2:$C$265,0)))</f>
        <v>The amendment of section 48</v>
      </c>
      <c r="E136" t="str">
        <f>IF(ISNA(MATCH(123,Engine!$C$2:$C$265,0)),"",INDEX('Compliance Database'!$E$2:$E$265,MATCH(123,Engine!$C$2:$C$265,0)))</f>
        <v>31–32</v>
      </c>
      <c r="F136" t="str">
        <f>IF(ISNA(MATCH(123,Engine!$C$2:$C$265,0)),"",INDEX('Compliance Database'!$F$2:$F$265,MATCH(123,Engine!$C$2:$C$265,0)))</f>
        <v>Other</v>
      </c>
      <c r="G136" t="str">
        <f>IF(ISNA(MATCH(123,Engine!$C$2:$C$265,0)),"",INDEX('Compliance Database'!$G$2:$G$265,MATCH(123,Engine!$C$2:$C$265,0)))</f>
        <v>High</v>
      </c>
      <c r="H136" t="str">
        <f>IF(ISNA(MATCH(123,Engine!$C$2:$C$265,0)),"",INDEX('Compliance Database'!$H$2:$H$265,MATCH(123,Engine!$C$2:$C$265,0)))</f>
        <v>High (explicit)</v>
      </c>
      <c r="I136" s="6" t="str">
        <f>IF(ISNA(MATCH(123,Engine!$C$2:$C$265,0)),"",INDEX('Compliance Database'!$I$2:$I$265,MATCH(123,Engine!$C$2:$C$265,0)))</f>
        <v>Financial Data</v>
      </c>
      <c r="J136" s="6" t="str">
        <f>IF(ISNA(MATCH(123,Engine!$C$2:$C$265,0)),"",INDEX('Compliance Database'!$J$2:$J$265,MATCH(123,Engine!$C$2:$C$265,0)))</f>
        <v>Financial Data</v>
      </c>
      <c r="K136">
        <f>IF(ISNA(MATCH(123,Engine!$C$2:$C$265,0)),"",INDEX('Compliance Database'!$K$2:$K$265,MATCH(123,Engine!$C$2:$C$265,0)))</f>
        <v>0</v>
      </c>
      <c r="L136" s="6" t="str">
        <f>IF(ISNA(MATCH(123,Engine!$C$2:$C$265,0)),"",INDEX('Compliance Database'!$L$2:$L$265,MATCH(123,Engine!$C$2:$C$265,0)))</f>
        <v>Amends section 48 by substituting a paragraph that contravenes specific sections of the Act.</v>
      </c>
      <c r="M136" s="6">
        <f>IF(ISNA(MATCH(123,Engine!$C$2:$C$265,0)),"",INDEX('Compliance Database'!$M$2:$M$265,MATCH(123,Engine!$C$2:$C$265,0)))</f>
        <v>0</v>
      </c>
      <c r="N136" s="6" t="str">
        <f>IF(ISNA(MATCH(123,Engine!$C$2:$C$265,0)),"",INDEX('Compliance Database'!$N$2:$N$265,MATCH(123,Engine!$C$2:$C$265,0)))</f>
        <v>[Must Not] contravenes a provision of section 3(1) or (2), 4(1)[or (2)] or 14</v>
      </c>
      <c r="O136" s="6" t="str">
        <f>IF(ISNA(MATCH(123,Engine!$C$2:$C$265,0)),"",INDEX('Compliance Database'!$O$2:$O$265,MATCH(123,Engine!$C$2:$C$265,0)))</f>
        <v>6. The amendment of section 48 by the substitution for paragraph (a) of subsection (1) of the following paragraph: "(a) contravenes a provision of section 3(1) or (2), 4(1)[or (2)] or 14;".</v>
      </c>
    </row>
    <row r="137" spans="1:15" ht="57.6" x14ac:dyDescent="0.3">
      <c r="A137" t="str">
        <f>IF(ISNA(MATCH(124,Engine!$C$2:$C$265,0)),"",INDEX('Compliance Database'!$A$2:$A$265,MATCH(124,Engine!$C$2:$C$265,0)))</f>
        <v>South Africa</v>
      </c>
      <c r="B137" t="str">
        <f>IF(ISNA(MATCH(124,Engine!$C$2:$C$265,0)),"",INDEX('Compliance Database'!$B$2:$B$265,MATCH(124,Engine!$C$2:$C$265,0)))</f>
        <v>Financial Advisory and Intermediary Services Act (FAIS) 37 of 2002</v>
      </c>
      <c r="C137" t="str">
        <f>IF(ISNA(MATCH(124,Engine!$C$2:$C$265,0)),"",INDEX('Compliance Database'!$C$2:$C$265,MATCH(124,Engine!$C$2:$C$265,0)))</f>
        <v>6</v>
      </c>
      <c r="D137" s="6" t="str">
        <f>IF(ISNA(MATCH(124,Engine!$C$2:$C$265,0)),"",INDEX('Compliance Database'!$D$2:$D$265,MATCH(124,Engine!$C$2:$C$265,0)))</f>
        <v>The amendment of section</v>
      </c>
      <c r="E137" t="str">
        <f>IF(ISNA(MATCH(124,Engine!$C$2:$C$265,0)),"",INDEX('Compliance Database'!$E$2:$E$265,MATCH(124,Engine!$C$2:$C$265,0)))</f>
        <v>34–35</v>
      </c>
      <c r="F137" t="str">
        <f>IF(ISNA(MATCH(124,Engine!$C$2:$C$265,0)),"",INDEX('Compliance Database'!$F$2:$F$265,MATCH(124,Engine!$C$2:$C$265,0)))</f>
        <v>Other</v>
      </c>
      <c r="G137" t="str">
        <f>IF(ISNA(MATCH(124,Engine!$C$2:$C$265,0)),"",INDEX('Compliance Database'!$G$2:$G$265,MATCH(124,Engine!$C$2:$C$265,0)))</f>
        <v>High</v>
      </c>
      <c r="H137" t="str">
        <f>IF(ISNA(MATCH(124,Engine!$C$2:$C$265,0)),"",INDEX('Compliance Database'!$H$2:$H$265,MATCH(124,Engine!$C$2:$C$265,0)))</f>
        <v>High (explicit)</v>
      </c>
      <c r="I137" s="6" t="str">
        <f>IF(ISNA(MATCH(124,Engine!$C$2:$C$265,0)),"",INDEX('Compliance Database'!$I$2:$I$265,MATCH(124,Engine!$C$2:$C$265,0)))</f>
        <v>Financial Data</v>
      </c>
      <c r="J137" s="6" t="str">
        <f>IF(ISNA(MATCH(124,Engine!$C$2:$C$265,0)),"",INDEX('Compliance Database'!$J$2:$J$265,MATCH(124,Engine!$C$2:$C$265,0)))</f>
        <v>Financial Data</v>
      </c>
      <c r="K137">
        <f>IF(ISNA(MATCH(124,Engine!$C$2:$C$265,0)),"",INDEX('Compliance Database'!$K$2:$K$265,MATCH(124,Engine!$C$2:$C$265,0)))</f>
        <v>0</v>
      </c>
      <c r="L137" s="6" t="str">
        <f>IF(ISNA(MATCH(124,Engine!$C$2:$C$265,0)),"",INDEX('Compliance Database'!$L$2:$L$265,MATCH(124,Engine!$C$2:$C$265,0)))</f>
        <v>Amends section 48 by substituting a paragraph that contravenes specific sections of the Act.</v>
      </c>
      <c r="M137" s="6">
        <f>IF(ISNA(MATCH(124,Engine!$C$2:$C$265,0)),"",INDEX('Compliance Database'!$M$2:$M$265,MATCH(124,Engine!$C$2:$C$265,0)))</f>
        <v>0</v>
      </c>
      <c r="N137" s="6" t="str">
        <f>IF(ISNA(MATCH(124,Engine!$C$2:$C$265,0)),"",INDEX('Compliance Database'!$N$2:$N$265,MATCH(124,Engine!$C$2:$C$265,0)))</f>
        <v>[Must Not] contravenes a provision of section 3(1) or (2), 4(1)[or (2)] or 14</v>
      </c>
      <c r="O137" s="6" t="str">
        <f>IF(ISNA(MATCH(124,Engine!$C$2:$C$265,0)),"",INDEX('Compliance Database'!$O$2:$O$265,MATCH(124,Engine!$C$2:$C$265,0)))</f>
        <v>6. The amendment of section 48 by the substitution for paragraph (a) of subsection (1) of the following paragraph: "(a) contravenes a provision of section 3(1) or (2), 4(1)[or (2)] or 14;".</v>
      </c>
    </row>
    <row r="138" spans="1:15" ht="72" x14ac:dyDescent="0.3">
      <c r="A138" t="str">
        <f>IF(ISNA(MATCH(125,Engine!$C$2:$C$265,0)),"",INDEX('Compliance Database'!$A$2:$A$265,MATCH(125,Engine!$C$2:$C$265,0)))</f>
        <v>South Africa</v>
      </c>
      <c r="B138" t="str">
        <f>IF(ISNA(MATCH(125,Engine!$C$2:$C$265,0)),"",INDEX('Compliance Database'!$B$2:$B$265,MATCH(125,Engine!$C$2:$C$265,0)))</f>
        <v>Financial Advisory and Intermediary Services Act (FAIS) 37 of 2002</v>
      </c>
      <c r="C138" t="str">
        <f>IF(ISNA(MATCH(125,Engine!$C$2:$C$265,0)),"",INDEX('Compliance Database'!$C$2:$C$265,MATCH(125,Engine!$C$2:$C$265,0)))</f>
        <v>7</v>
      </c>
      <c r="D138" s="6" t="str">
        <f>IF(ISNA(MATCH(125,Engine!$C$2:$C$265,0)),"",INDEX('Compliance Database'!$D$2:$D$265,MATCH(125,Engine!$C$2:$C$265,0)))</f>
        <v>(1 ) With effect from  a date  determined by the  Minister by notice in the Guzerte. a</v>
      </c>
      <c r="E138" t="str">
        <f>IF(ISNA(MATCH(125,Engine!$C$2:$C$265,0)),"",INDEX('Compliance Database'!$E$2:$E$265,MATCH(125,Engine!$C$2:$C$265,0)))</f>
        <v>10–11</v>
      </c>
      <c r="F138" t="str">
        <f>IF(ISNA(MATCH(125,Engine!$C$2:$C$265,0)),"",INDEX('Compliance Database'!$F$2:$F$265,MATCH(125,Engine!$C$2:$C$265,0)))</f>
        <v>Other</v>
      </c>
      <c r="G138" t="str">
        <f>IF(ISNA(MATCH(125,Engine!$C$2:$C$265,0)),"",INDEX('Compliance Database'!$G$2:$G$265,MATCH(125,Engine!$C$2:$C$265,0)))</f>
        <v>High</v>
      </c>
      <c r="H138" t="str">
        <f>IF(ISNA(MATCH(125,Engine!$C$2:$C$265,0)),"",INDEX('Compliance Database'!$H$2:$H$265,MATCH(125,Engine!$C$2:$C$265,0)))</f>
        <v>High (explicit)</v>
      </c>
      <c r="I138" s="6">
        <f>IF(ISNA(MATCH(125,Engine!$C$2:$C$265,0)),"",INDEX('Compliance Database'!$I$2:$I$265,MATCH(125,Engine!$C$2:$C$265,0)))</f>
        <v>0</v>
      </c>
      <c r="J138" s="6">
        <f>IF(ISNA(MATCH(125,Engine!$C$2:$C$265,0)),"",INDEX('Compliance Database'!$J$2:$J$265,MATCH(125,Engine!$C$2:$C$265,0)))</f>
        <v>0</v>
      </c>
      <c r="K138">
        <f>IF(ISNA(MATCH(125,Engine!$C$2:$C$265,0)),"",INDEX('Compliance Database'!$K$2:$K$265,MATCH(125,Engine!$C$2:$C$265,0)))</f>
        <v>0</v>
      </c>
      <c r="L138" s="6" t="str">
        <f>IF(ISNA(MATCH(125,Engine!$C$2:$C$265,0)),"",INDEX('Compliance Database'!$L$2:$L$265,MATCH(125,Engine!$C$2:$C$265,0)))</f>
        <v>A person may not act as a financial services provider without being issued a licence under section 8. Transactions concluded after the effective date must be between authorized providers and clients.</v>
      </c>
      <c r="M138" s="6">
        <f>IF(ISNA(MATCH(125,Engine!$C$2:$C$265,0)),"",INDEX('Compliance Database'!$M$2:$M$265,MATCH(125,Engine!$C$2:$C$265,0)))</f>
        <v>0</v>
      </c>
      <c r="N138" s="6" t="str">
        <f>IF(ISNA(MATCH(125,Engine!$C$2:$C$265,0)),"",INDEX('Compliance Database'!$N$2:$N$265,MATCH(125,Engine!$C$2:$C$265,0)))</f>
        <v>[Must Not] Person may not act as financial services provider without licence under section 8</v>
      </c>
      <c r="O138" s="6" t="str">
        <f>IF(ISNA(MATCH(125,Engine!$C$2:$C$265,0)),"",INDEX('Compliance Database'!$O$2:$O$265,MATCH(125,Engine!$C$2:$C$265,0)))</f>
        <v>7. (1) With effect from a date determined by the Minister by notice in the Gazette, a person may not act or offer to act as a financial services provider unless such person has been issued with a licence under section 8.</v>
      </c>
    </row>
    <row r="139" spans="1:15" ht="57.6" x14ac:dyDescent="0.3">
      <c r="A139" t="str">
        <f>IF(ISNA(MATCH(126,Engine!$C$2:$C$265,0)),"",INDEX('Compliance Database'!$A$2:$A$265,MATCH(126,Engine!$C$2:$C$265,0)))</f>
        <v>South Africa</v>
      </c>
      <c r="B139" t="str">
        <f>IF(ISNA(MATCH(126,Engine!$C$2:$C$265,0)),"",INDEX('Compliance Database'!$B$2:$B$265,MATCH(126,Engine!$C$2:$C$265,0)))</f>
        <v>Financial Advisory and Intermediary Services Act (FAIS) 37 of 2002</v>
      </c>
      <c r="C139" t="str">
        <f>IF(ISNA(MATCH(126,Engine!$C$2:$C$265,0)),"",INDEX('Compliance Database'!$C$2:$C$265,MATCH(126,Engine!$C$2:$C$265,0)))</f>
        <v>7</v>
      </c>
      <c r="D139" s="6" t="str">
        <f>IF(ISNA(MATCH(126,Engine!$C$2:$C$265,0)),"",INDEX('Compliance Database'!$D$2:$D$265,MATCH(126,Engine!$C$2:$C$265,0)))</f>
        <v>The substitution of the follow-</v>
      </c>
      <c r="E139" t="str">
        <f>IF(ISNA(MATCH(126,Engine!$C$2:$C$265,0)),"",INDEX('Compliance Database'!$E$2:$E$265,MATCH(126,Engine!$C$2:$C$265,0)))</f>
        <v>32</v>
      </c>
      <c r="F139" t="str">
        <f>IF(ISNA(MATCH(126,Engine!$C$2:$C$265,0)),"",INDEX('Compliance Database'!$F$2:$F$265,MATCH(126,Engine!$C$2:$C$265,0)))</f>
        <v>Other</v>
      </c>
      <c r="G139" t="str">
        <f>IF(ISNA(MATCH(126,Engine!$C$2:$C$265,0)),"",INDEX('Compliance Database'!$G$2:$G$265,MATCH(126,Engine!$C$2:$C$265,0)))</f>
        <v>High</v>
      </c>
      <c r="H139" t="str">
        <f>IF(ISNA(MATCH(126,Engine!$C$2:$C$265,0)),"",INDEX('Compliance Database'!$H$2:$H$265,MATCH(126,Engine!$C$2:$C$265,0)))</f>
        <v>High (explicit)</v>
      </c>
      <c r="I139" s="6" t="str">
        <f>IF(ISNA(MATCH(126,Engine!$C$2:$C$265,0)),"",INDEX('Compliance Database'!$I$2:$I$265,MATCH(126,Engine!$C$2:$C$265,0)))</f>
        <v>Financial Data</v>
      </c>
      <c r="J139" s="6" t="str">
        <f>IF(ISNA(MATCH(126,Engine!$C$2:$C$265,0)),"",INDEX('Compliance Database'!$J$2:$J$265,MATCH(126,Engine!$C$2:$C$265,0)))</f>
        <v>Financial Data</v>
      </c>
      <c r="K139">
        <f>IF(ISNA(MATCH(126,Engine!$C$2:$C$265,0)),"",INDEX('Compliance Database'!$K$2:$K$265,MATCH(126,Engine!$C$2:$C$265,0)))</f>
        <v>0</v>
      </c>
      <c r="L139" s="6" t="str">
        <f>IF(ISNA(MATCH(126,Engine!$C$2:$C$265,0)),"",INDEX('Compliance Database'!$L$2:$L$265,MATCH(126,Engine!$C$2:$C$265,0)))</f>
        <v>Substitutes the heading and subsection for section 50 to define court powers to declare members, officers, or employees disqualified.</v>
      </c>
      <c r="M139" s="6">
        <f>IF(ISNA(MATCH(126,Engine!$C$2:$C$265,0)),"",INDEX('Compliance Database'!$M$2:$M$265,MATCH(126,Engine!$C$2:$C$265,0)))</f>
        <v>0</v>
      </c>
      <c r="N139" s="6">
        <f>IF(ISNA(MATCH(126,Engine!$C$2:$C$265,0)),"",INDEX('Compliance Database'!$N$2:$N$265,MATCH(126,Engine!$C$2:$C$265,0)))</f>
        <v>0</v>
      </c>
      <c r="O139" s="6" t="str">
        <f>IF(ISNA(MATCH(126,Engine!$C$2:$C$265,0)),"",INDEX('Compliance Database'!$O$2:$O$265,MATCH(126,Engine!$C$2:$C$265,0)))</f>
        <v>7. The substitution of the following heading and subsection for the leading and subsection (1) of section 50: "Powers of court to declare member, officer or employee of member disqualified"</v>
      </c>
    </row>
    <row r="140" spans="1:15" ht="129.6" x14ac:dyDescent="0.3">
      <c r="A140" t="str">
        <f>IF(ISNA(MATCH(127,Engine!$C$2:$C$265,0)),"",INDEX('Compliance Database'!$A$2:$A$265,MATCH(127,Engine!$C$2:$C$265,0)))</f>
        <v>South Africa</v>
      </c>
      <c r="B140" t="str">
        <f>IF(ISNA(MATCH(127,Engine!$C$2:$C$265,0)),"",INDEX('Compliance Database'!$B$2:$B$265,MATCH(127,Engine!$C$2:$C$265,0)))</f>
        <v>Financial Advisory and Intermediary Services Act (FAIS) 37 of 2002</v>
      </c>
      <c r="C140" t="str">
        <f>IF(ISNA(MATCH(127,Engine!$C$2:$C$265,0)),"",INDEX('Compliance Database'!$C$2:$C$265,MATCH(127,Engine!$C$2:$C$265,0)))</f>
        <v>8</v>
      </c>
      <c r="D140" s="6" t="str">
        <f>IF(ISNA(MATCH(127,Engine!$C$2:$C$265,0)),"",INDEX('Compliance Database'!$D$2:$D$265,MATCH(127,Engine!$C$2:$C$265,0)))</f>
        <v>(1) An application for an authorisation referred to in section 7( 1). including an</v>
      </c>
      <c r="E140" t="str">
        <f>IF(ISNA(MATCH(127,Engine!$C$2:$C$265,0)),"",INDEX('Compliance Database'!$E$2:$E$265,MATCH(127,Engine!$C$2:$C$265,0)))</f>
        <v>11–13</v>
      </c>
      <c r="F140" t="str">
        <f>IF(ISNA(MATCH(127,Engine!$C$2:$C$265,0)),"",INDEX('Compliance Database'!$F$2:$F$265,MATCH(127,Engine!$C$2:$C$265,0)))</f>
        <v>Other</v>
      </c>
      <c r="G140" t="str">
        <f>IF(ISNA(MATCH(127,Engine!$C$2:$C$265,0)),"",INDEX('Compliance Database'!$G$2:$G$265,MATCH(127,Engine!$C$2:$C$265,0)))</f>
        <v>High</v>
      </c>
      <c r="H140" t="str">
        <f>IF(ISNA(MATCH(127,Engine!$C$2:$C$265,0)),"",INDEX('Compliance Database'!$H$2:$H$265,MATCH(127,Engine!$C$2:$C$265,0)))</f>
        <v>High (explicit)</v>
      </c>
      <c r="I140" s="6">
        <f>IF(ISNA(MATCH(127,Engine!$C$2:$C$265,0)),"",INDEX('Compliance Database'!$I$2:$I$265,MATCH(127,Engine!$C$2:$C$265,0)))</f>
        <v>0</v>
      </c>
      <c r="J140" s="6">
        <f>IF(ISNA(MATCH(127,Engine!$C$2:$C$265,0)),"",INDEX('Compliance Database'!$J$2:$J$265,MATCH(127,Engine!$C$2:$C$265,0)))</f>
        <v>0</v>
      </c>
      <c r="K140" t="str">
        <f>IF(ISNA(MATCH(127,Engine!$C$2:$C$265,0)),"",INDEX('Compliance Database'!$K$2:$K$265,MATCH(127,Engine!$C$2:$C$265,0)))</f>
        <v>Registrar</v>
      </c>
      <c r="L140" s="6" t="str">
        <f>IF(ISNA(MATCH(127,Engine!$C$2:$C$265,0)),"",INDEX('Compliance Database'!$L$2:$L$265,MATCH(127,Engine!$C$2:$C$265,0)))</f>
        <v>Applications for authorization must be submitted to registrar with information to satisfy fit and proper requirements, including personal character, competence, financial soundness. Registrar may impose conditions on licenses.</v>
      </c>
      <c r="M140" s="6">
        <f>IF(ISNA(MATCH(127,Engine!$C$2:$C$265,0)),"",INDEX('Compliance Database'!$M$2:$M$265,MATCH(127,Engine!$C$2:$C$265,0)))</f>
        <v>0</v>
      </c>
      <c r="N140" s="6" t="str">
        <f>IF(ISNA(MATCH(127,Engine!$C$2:$C$265,0)),"",INDEX('Compliance Database'!$N$2:$N$265,MATCH(127,Engine!$C$2:$C$265,0)))</f>
        <v>[Must] Applications for authorization must be submitted to registrar with information to satisfy fit and proper requirements
[May] Registrar may impose conditions on licenses based on applicant facts, service category, and fit and proper requirements</v>
      </c>
      <c r="O140" s="6" t="str">
        <f>IF(ISNA(MATCH(127,Engine!$C$2:$C$265,0)),"",INDEX('Compliance Database'!$O$2:$O$265,MATCH(127,Engine!$C$2:$C$265,0)))</f>
        <v>8. (1) An application for an authorisation referred to in section 7(1), including an application by an applicant not domiciled in the Republic, must be submitted to the registrar in the form and manner determined by the registrar by notice in the Gazette, and be accompanied by information to satisfy the registrar that the applicant complies with the requirements for fit and proper financial services providers or categories of providers.</v>
      </c>
    </row>
    <row r="141" spans="1:15" ht="57.6" x14ac:dyDescent="0.3">
      <c r="A141" t="str">
        <f>IF(ISNA(MATCH(128,Engine!$C$2:$C$265,0)),"",INDEX('Compliance Database'!$A$2:$A$265,MATCH(128,Engine!$C$2:$C$265,0)))</f>
        <v>South Africa</v>
      </c>
      <c r="B141" t="str">
        <f>IF(ISNA(MATCH(128,Engine!$C$2:$C$265,0)),"",INDEX('Compliance Database'!$B$2:$B$265,MATCH(128,Engine!$C$2:$C$265,0)))</f>
        <v>Financial Advisory and Intermediary Services Act (FAIS) 37 of 2002</v>
      </c>
      <c r="C141" t="str">
        <f>IF(ISNA(MATCH(128,Engine!$C$2:$C$265,0)),"",INDEX('Compliance Database'!$C$2:$C$265,MATCH(128,Engine!$C$2:$C$265,0)))</f>
        <v>8</v>
      </c>
      <c r="D141" s="6" t="str">
        <f>IF(ISNA(MATCH(128,Engine!$C$2:$C$265,0)),"",INDEX('Compliance Database'!$D$2:$D$265,MATCH(128,Engine!$C$2:$C$265,0)))</f>
        <v>The substitution of the follow.</v>
      </c>
      <c r="E141" t="str">
        <f>IF(ISNA(MATCH(128,Engine!$C$2:$C$265,0)),"",INDEX('Compliance Database'!$E$2:$E$265,MATCH(128,Engine!$C$2:$C$265,0)))</f>
        <v>35–36</v>
      </c>
      <c r="F141" t="str">
        <f>IF(ISNA(MATCH(128,Engine!$C$2:$C$265,0)),"",INDEX('Compliance Database'!$F$2:$F$265,MATCH(128,Engine!$C$2:$C$265,0)))</f>
        <v>Other</v>
      </c>
      <c r="G141" t="str">
        <f>IF(ISNA(MATCH(128,Engine!$C$2:$C$265,0)),"",INDEX('Compliance Database'!$G$2:$G$265,MATCH(128,Engine!$C$2:$C$265,0)))</f>
        <v>High</v>
      </c>
      <c r="H141" t="str">
        <f>IF(ISNA(MATCH(128,Engine!$C$2:$C$265,0)),"",INDEX('Compliance Database'!$H$2:$H$265,MATCH(128,Engine!$C$2:$C$265,0)))</f>
        <v>High (explicit)</v>
      </c>
      <c r="I141" s="6" t="str">
        <f>IF(ISNA(MATCH(128,Engine!$C$2:$C$265,0)),"",INDEX('Compliance Database'!$I$2:$I$265,MATCH(128,Engine!$C$2:$C$265,0)))</f>
        <v>Financial Data</v>
      </c>
      <c r="J141" s="6" t="str">
        <f>IF(ISNA(MATCH(128,Engine!$C$2:$C$265,0)),"",INDEX('Compliance Database'!$J$2:$J$265,MATCH(128,Engine!$C$2:$C$265,0)))</f>
        <v>Financial Data</v>
      </c>
      <c r="K141">
        <f>IF(ISNA(MATCH(128,Engine!$C$2:$C$265,0)),"",INDEX('Compliance Database'!$K$2:$K$265,MATCH(128,Engine!$C$2:$C$265,0)))</f>
        <v>0</v>
      </c>
      <c r="L141" s="6" t="str">
        <f>IF(ISNA(MATCH(128,Engine!$C$2:$C$265,0)),"",INDEX('Compliance Database'!$L$2:$L$265,MATCH(128,Engine!$C$2:$C$265,0)))</f>
        <v>Substitutes the heading and subsection for section 31 to define court powers to declare members, officers, or employees disqualified.</v>
      </c>
      <c r="M141" s="6">
        <f>IF(ISNA(MATCH(128,Engine!$C$2:$C$265,0)),"",INDEX('Compliance Database'!$M$2:$M$265,MATCH(128,Engine!$C$2:$C$265,0)))</f>
        <v>0</v>
      </c>
      <c r="N141" s="6">
        <f>IF(ISNA(MATCH(128,Engine!$C$2:$C$265,0)),"",INDEX('Compliance Database'!$N$2:$N$265,MATCH(128,Engine!$C$2:$C$265,0)))</f>
        <v>0</v>
      </c>
      <c r="O141" s="6" t="str">
        <f>IF(ISNA(MATCH(128,Engine!$C$2:$C$265,0)),"",INDEX('Compliance Database'!$O$2:$O$265,MATCH(128,Engine!$C$2:$C$265,0)))</f>
        <v>8. The substitution of the following heading and subsection for the heading and subsection (1) of section 31: "Power of court to declare member or officer or employee of member disqualified"</v>
      </c>
    </row>
    <row r="142" spans="1:15" ht="115.2" x14ac:dyDescent="0.3">
      <c r="A142" t="str">
        <f>IF(ISNA(MATCH(129,Engine!$C$2:$C$265,0)),"",INDEX('Compliance Database'!$A$2:$A$265,MATCH(129,Engine!$C$2:$C$265,0)))</f>
        <v>South Africa</v>
      </c>
      <c r="B142" t="str">
        <f>IF(ISNA(MATCH(129,Engine!$C$2:$C$265,0)),"",INDEX('Compliance Database'!$B$2:$B$265,MATCH(129,Engine!$C$2:$C$265,0)))</f>
        <v>Financial Advisory and Intermediary Services Act (FAIS) 37 of 2002</v>
      </c>
      <c r="C142" t="str">
        <f>IF(ISNA(MATCH(129,Engine!$C$2:$C$265,0)),"",INDEX('Compliance Database'!$C$2:$C$265,MATCH(129,Engine!$C$2:$C$265,0)))</f>
        <v>9</v>
      </c>
      <c r="D142" s="6" t="str">
        <f>IF(ISNA(MATCH(129,Engine!$C$2:$C$265,0)),"",INDEX('Compliance Database'!$D$2:$D$265,MATCH(129,Engine!$C$2:$C$265,0)))</f>
        <v>(1 ) The registrar may, subject to subsection (2), at  any  time  suspend  any  licence if</v>
      </c>
      <c r="E142" t="str">
        <f>IF(ISNA(MATCH(129,Engine!$C$2:$C$265,0)),"",INDEX('Compliance Database'!$E$2:$E$265,MATCH(129,Engine!$C$2:$C$265,0)))</f>
        <v>13</v>
      </c>
      <c r="F142" t="str">
        <f>IF(ISNA(MATCH(129,Engine!$C$2:$C$265,0)),"",INDEX('Compliance Database'!$F$2:$F$265,MATCH(129,Engine!$C$2:$C$265,0)))</f>
        <v>Other</v>
      </c>
      <c r="G142" t="str">
        <f>IF(ISNA(MATCH(129,Engine!$C$2:$C$265,0)),"",INDEX('Compliance Database'!$G$2:$G$265,MATCH(129,Engine!$C$2:$C$265,0)))</f>
        <v>High</v>
      </c>
      <c r="H142" t="str">
        <f>IF(ISNA(MATCH(129,Engine!$C$2:$C$265,0)),"",INDEX('Compliance Database'!$H$2:$H$265,MATCH(129,Engine!$C$2:$C$265,0)))</f>
        <v>High (explicit)</v>
      </c>
      <c r="I142" s="6">
        <f>IF(ISNA(MATCH(129,Engine!$C$2:$C$265,0)),"",INDEX('Compliance Database'!$I$2:$I$265,MATCH(129,Engine!$C$2:$C$265,0)))</f>
        <v>0</v>
      </c>
      <c r="J142" s="6">
        <f>IF(ISNA(MATCH(129,Engine!$C$2:$C$265,0)),"",INDEX('Compliance Database'!$J$2:$J$265,MATCH(129,Engine!$C$2:$C$265,0)))</f>
        <v>0</v>
      </c>
      <c r="K142" t="str">
        <f>IF(ISNA(MATCH(129,Engine!$C$2:$C$265,0)),"",INDEX('Compliance Database'!$K$2:$K$265,MATCH(129,Engine!$C$2:$C$265,0)))</f>
        <v>Registrar</v>
      </c>
      <c r="L142" s="6" t="str">
        <f>IF(ISNA(MATCH(129,Engine!$C$2:$C$265,0)),"",INDEX('Compliance Database'!$L$2:$L$265,MATCH(129,Engine!$C$2:$C$265,0)))</f>
        <v>Registrar may suspend a license if licensee no longer meets requirements, after informing licensee and giving opportunity to respond. Suspension may be provisional or final.</v>
      </c>
      <c r="M142" s="6">
        <f>IF(ISNA(MATCH(129,Engine!$C$2:$C$265,0)),"",INDEX('Compliance Database'!$M$2:$M$265,MATCH(129,Engine!$C$2:$C$265,0)))</f>
        <v>0</v>
      </c>
      <c r="N142" s="6" t="str">
        <f>IF(ISNA(MATCH(129,Engine!$C$2:$C$265,0)),"",INDEX('Compliance Database'!$N$2:$N$265,MATCH(129,Engine!$C$2:$C$265,0)))</f>
        <v>[May] Registrar may suspend license if licensee no longer meets requirements
[Must] Registrar must inform licensee of intention to suspend and grounds
[Must] Registrar must give licensee reasonable opportunity to respond</v>
      </c>
      <c r="O142" s="6" t="str">
        <f>IF(ISNA(MATCH(129,Engine!$C$2:$C$265,0)),"",INDEX('Compliance Database'!$O$2:$O$265,MATCH(129,Engine!$C$2:$C$265,0)))</f>
        <v>9. (1) The registrar may, subject to subsection (2), at any time suspend any licence if satisfied on the basis of available facts and information, that the licensee no longer meets the requirements contemplated in section 8</v>
      </c>
    </row>
    <row r="143" spans="1:15" ht="144" x14ac:dyDescent="0.3">
      <c r="A143" t="str">
        <f>IF(ISNA(MATCH(130,Engine!$C$2:$C$265,0)),"",INDEX('Compliance Database'!$A$2:$A$265,MATCH(130,Engine!$C$2:$C$265,0)))</f>
        <v>South Africa</v>
      </c>
      <c r="B143" t="str">
        <f>IF(ISNA(MATCH(130,Engine!$C$2:$C$265,0)),"",INDEX('Compliance Database'!$B$2:$B$265,MATCH(130,Engine!$C$2:$C$265,0)))</f>
        <v>Financial Advisory and Intermediary Services Act (FAIS) 37 of 2002</v>
      </c>
      <c r="C143" t="str">
        <f>IF(ISNA(MATCH(130,Engine!$C$2:$C$265,0)),"",INDEX('Compliance Database'!$C$2:$C$265,MATCH(130,Engine!$C$2:$C$265,0)))</f>
        <v>10</v>
      </c>
      <c r="D143" s="6" t="str">
        <f>IF(ISNA(MATCH(130,Engine!$C$2:$C$265,0)),"",INDEX('Compliance Database'!$D$2:$D$265,MATCH(130,Engine!$C$2:$C$265,0)))</f>
        <v>(1 ) The registrar may at any  time  withdraw  any licence  (including the licence of</v>
      </c>
      <c r="E143" t="str">
        <f>IF(ISNA(MATCH(130,Engine!$C$2:$C$265,0)),"",INDEX('Compliance Database'!$E$2:$E$265,MATCH(130,Engine!$C$2:$C$265,0)))</f>
        <v>13–14</v>
      </c>
      <c r="F143" t="str">
        <f>IF(ISNA(MATCH(130,Engine!$C$2:$C$265,0)),"",INDEX('Compliance Database'!$F$2:$F$265,MATCH(130,Engine!$C$2:$C$265,0)))</f>
        <v>Other</v>
      </c>
      <c r="G143" t="str">
        <f>IF(ISNA(MATCH(130,Engine!$C$2:$C$265,0)),"",INDEX('Compliance Database'!$G$2:$G$265,MATCH(130,Engine!$C$2:$C$265,0)))</f>
        <v>High</v>
      </c>
      <c r="H143" t="str">
        <f>IF(ISNA(MATCH(130,Engine!$C$2:$C$265,0)),"",INDEX('Compliance Database'!$H$2:$H$265,MATCH(130,Engine!$C$2:$C$265,0)))</f>
        <v>High (explicit)</v>
      </c>
      <c r="I143" s="6">
        <f>IF(ISNA(MATCH(130,Engine!$C$2:$C$265,0)),"",INDEX('Compliance Database'!$I$2:$I$265,MATCH(130,Engine!$C$2:$C$265,0)))</f>
        <v>0</v>
      </c>
      <c r="J143" s="6">
        <f>IF(ISNA(MATCH(130,Engine!$C$2:$C$265,0)),"",INDEX('Compliance Database'!$J$2:$J$265,MATCH(130,Engine!$C$2:$C$265,0)))</f>
        <v>0</v>
      </c>
      <c r="K143" t="str">
        <f>IF(ISNA(MATCH(130,Engine!$C$2:$C$265,0)),"",INDEX('Compliance Database'!$K$2:$K$265,MATCH(130,Engine!$C$2:$C$265,0)))</f>
        <v>Registrar</v>
      </c>
      <c r="L143" s="6" t="str">
        <f>IF(ISNA(MATCH(130,Engine!$C$2:$C$265,0)),"",INDEX('Compliance Database'!$L$2:$L$265,MATCH(130,Engine!$C$2:$C$265,0)))</f>
        <v>Registrar may withdraw a license if licensee provided false information or failed to comply with the Act in a material manner. Withdrawn licenses are debarred from reapplying for a period specified by registrar.</v>
      </c>
      <c r="M143" s="6">
        <f>IF(ISNA(MATCH(130,Engine!$C$2:$C$265,0)),"",INDEX('Compliance Database'!$M$2:$M$265,MATCH(130,Engine!$C$2:$C$265,0)))</f>
        <v>0</v>
      </c>
      <c r="N143" s="6" t="str">
        <f>IF(ISNA(MATCH(130,Engine!$C$2:$C$265,0)),"",INDEX('Compliance Database'!$N$2:$N$265,MATCH(130,Engine!$C$2:$C$265,0)))</f>
        <v>[May] Registrar may withdraw license if licensee provided false information or failed to comply with Act in material manner
[Must] Person whose license has been withdrawn is debarred from applying for new license for period specified by registrar</v>
      </c>
      <c r="O143" s="6" t="str">
        <f>IF(ISNA(MATCH(130,Engine!$C$2:$C$265,0)),"",INDEX('Compliance Database'!$O$2:$O$265,MATCH(130,Engine!$C$2:$C$265,0)))</f>
        <v>10. (1) The registrar may at any time withdraw any licence (including the licence of a licensee under provisional or final suspension in terms of section 9), if satisfied on the basis of available facts and information that the licensee- (a) did not, when applying for the licence, make a full disclosure of all relevant information to the registrar, or furnished false or misleading information; or (b) has since such issue contravened or failed to comply with any provision of this Act in a material manner.</v>
      </c>
    </row>
    <row r="144" spans="1:15" ht="187.2" x14ac:dyDescent="0.3">
      <c r="A144" t="str">
        <f>IF(ISNA(MATCH(131,Engine!$C$2:$C$265,0)),"",INDEX('Compliance Database'!$A$2:$A$265,MATCH(131,Engine!$C$2:$C$265,0)))</f>
        <v>South Africa</v>
      </c>
      <c r="B144" t="str">
        <f>IF(ISNA(MATCH(131,Engine!$C$2:$C$265,0)),"",INDEX('Compliance Database'!$B$2:$B$265,MATCH(131,Engine!$C$2:$C$265,0)))</f>
        <v>Financial Advisory and Intermediary Services Act (FAIS) 37 of 2002</v>
      </c>
      <c r="C144" t="str">
        <f>IF(ISNA(MATCH(131,Engine!$C$2:$C$265,0)),"",INDEX('Compliance Database'!$C$2:$C$265,MATCH(131,Engine!$C$2:$C$265,0)))</f>
        <v>11</v>
      </c>
      <c r="D144" s="6" t="str">
        <f>IF(ISNA(MATCH(131,Engine!$C$2:$C$265,0)),"",INDEX('Compliance Database'!$D$2:$D$265,MATCH(131,Engine!$C$2:$C$265,0)))</f>
        <v>( I ) A  licence lapses--</v>
      </c>
      <c r="E144" t="str">
        <f>IF(ISNA(MATCH(131,Engine!$C$2:$C$265,0)),"",INDEX('Compliance Database'!$E$2:$E$265,MATCH(131,Engine!$C$2:$C$265,0)))</f>
        <v>14</v>
      </c>
      <c r="F144" t="str">
        <f>IF(ISNA(MATCH(131,Engine!$C$2:$C$265,0)),"",INDEX('Compliance Database'!$F$2:$F$265,MATCH(131,Engine!$C$2:$C$265,0)))</f>
        <v>Other</v>
      </c>
      <c r="G144" t="str">
        <f>IF(ISNA(MATCH(131,Engine!$C$2:$C$265,0)),"",INDEX('Compliance Database'!$G$2:$G$265,MATCH(131,Engine!$C$2:$C$265,0)))</f>
        <v>Low</v>
      </c>
      <c r="H144" t="str">
        <f>IF(ISNA(MATCH(131,Engine!$C$2:$C$265,0)),"",INDEX('Compliance Database'!$H$2:$H$265,MATCH(131,Engine!$C$2:$C$265,0)))</f>
        <v>High (explicit)</v>
      </c>
      <c r="I144" s="6">
        <f>IF(ISNA(MATCH(131,Engine!$C$2:$C$265,0)),"",INDEX('Compliance Database'!$I$2:$I$265,MATCH(131,Engine!$C$2:$C$265,0)))</f>
        <v>0</v>
      </c>
      <c r="J144" s="6">
        <f>IF(ISNA(MATCH(131,Engine!$C$2:$C$265,0)),"",INDEX('Compliance Database'!$J$2:$J$265,MATCH(131,Engine!$C$2:$C$265,0)))</f>
        <v>0</v>
      </c>
      <c r="K144">
        <f>IF(ISNA(MATCH(131,Engine!$C$2:$C$265,0)),"",INDEX('Compliance Database'!$K$2:$K$265,MATCH(131,Engine!$C$2:$C$265,0)))</f>
        <v>0</v>
      </c>
      <c r="L144" s="6" t="str">
        <f>IF(ISNA(MATCH(131,Engine!$C$2:$C$265,0)),"",INDEX('Compliance Database'!$L$2:$L$265,MATCH(131,Engine!$C$2:$C$265,0)))</f>
        <v>A license lapses if the licensee becomes permanently incapable of business due to physical/mental disease, serious injury, death, sequestration, dissolution, or voluntary surrender.</v>
      </c>
      <c r="M144" s="6">
        <f>IF(ISNA(MATCH(131,Engine!$C$2:$C$265,0)),"",INDEX('Compliance Database'!$M$2:$M$265,MATCH(131,Engine!$C$2:$C$265,0)))</f>
        <v>0</v>
      </c>
      <c r="N144" s="6" t="str">
        <f>IF(ISNA(MATCH(131,Engine!$C$2:$C$265,0)),"",INDEX('Compliance Database'!$N$2:$N$265,MATCH(131,Engine!$C$2:$C$265,0)))</f>
        <v>[Must] A license lapses where the licensee (natural person) becomes permanently incapable of business due to physical/mental disease, serious injury, death, or sequestration
[Must] A license lapses where the licensee (other person) is finally liquidated or dissolved
[Must] A license lapses where the business becomes dormant
[Must] A license lapses where the licensee voluntarily surrenders the license</v>
      </c>
      <c r="O144" s="6" t="str">
        <f>IF(ISNA(MATCH(131,Engine!$C$2:$C$265,0)),"",INDEX('Compliance Database'!$O$2:$O$265,MATCH(131,Engine!$C$2:$C$265,0)))</f>
        <v>11. (I) A licence lapses-- (la) where the licensee, being a natural person- (i) becomes permanently incapable of carrying on any business due to physical or mental disease or serious injury; (ii) is finally sequestrated; or (iii) dies; (b) where the licensee, being any other person, is finally liquidated or dissolved: (ci where the business of the licensee has become dormant: and (d) in any other case, where the licensee voluntarily and finally surrenders the licence to the registrar.</v>
      </c>
    </row>
    <row r="145" spans="1:15" ht="28.8" x14ac:dyDescent="0.3">
      <c r="A145" t="str">
        <f>IF(ISNA(MATCH(132,Engine!$C$2:$C$265,0)),"",INDEX('Compliance Database'!$A$2:$A$265,MATCH(132,Engine!$C$2:$C$265,0)))</f>
        <v>South Africa</v>
      </c>
      <c r="B145" t="str">
        <f>IF(ISNA(MATCH(132,Engine!$C$2:$C$265,0)),"",INDEX('Compliance Database'!$B$2:$B$265,MATCH(132,Engine!$C$2:$C$265,0)))</f>
        <v>Financial Advisory and Intermediary Services Act (FAIS) 37 of 2002</v>
      </c>
      <c r="C145" t="str">
        <f>IF(ISNA(MATCH(132,Engine!$C$2:$C$265,0)),"",INDEX('Compliance Database'!$C$2:$C$265,MATCH(132,Engine!$C$2:$C$265,0)))</f>
        <v>12</v>
      </c>
      <c r="D145" s="6" t="str">
        <f>IF(ISNA(MATCH(132,Engine!$C$2:$C$265,0)),"",INDEX('Compliance Database'!$D$2:$D$265,MATCH(132,Engine!$C$2:$C$265,0)))</f>
        <v>Definitions  and  application</v>
      </c>
      <c r="E145" t="str">
        <f>IF(ISNA(MATCH(132,Engine!$C$2:$C$265,0)),"",INDEX('Compliance Database'!$E$2:$E$265,MATCH(132,Engine!$C$2:$C$265,0)))</f>
        <v>2</v>
      </c>
      <c r="F145" t="str">
        <f>IF(ISNA(MATCH(132,Engine!$C$2:$C$265,0)),"",INDEX('Compliance Database'!$F$2:$F$265,MATCH(132,Engine!$C$2:$C$265,0)))</f>
        <v>Definitions</v>
      </c>
      <c r="G145" t="str">
        <f>IF(ISNA(MATCH(132,Engine!$C$2:$C$265,0)),"",INDEX('Compliance Database'!$G$2:$G$265,MATCH(132,Engine!$C$2:$C$265,0)))</f>
        <v>Low</v>
      </c>
      <c r="H145" t="str">
        <f>IF(ISNA(MATCH(132,Engine!$C$2:$C$265,0)),"",INDEX('Compliance Database'!$H$2:$H$265,MATCH(132,Engine!$C$2:$C$265,0)))</f>
        <v>High (explicit)</v>
      </c>
      <c r="I145" s="6">
        <f>IF(ISNA(MATCH(132,Engine!$C$2:$C$265,0)),"",INDEX('Compliance Database'!$I$2:$I$265,MATCH(132,Engine!$C$2:$C$265,0)))</f>
        <v>0</v>
      </c>
      <c r="J145" s="6">
        <f>IF(ISNA(MATCH(132,Engine!$C$2:$C$265,0)),"",INDEX('Compliance Database'!$J$2:$J$265,MATCH(132,Engine!$C$2:$C$265,0)))</f>
        <v>0</v>
      </c>
      <c r="K145">
        <f>IF(ISNA(MATCH(132,Engine!$C$2:$C$265,0)),"",INDEX('Compliance Database'!$K$2:$K$265,MATCH(132,Engine!$C$2:$C$265,0)))</f>
        <v>0</v>
      </c>
      <c r="L145" s="6" t="str">
        <f>IF(ISNA(MATCH(132,Engine!$C$2:$C$265,0)),"",INDEX('Compliance Database'!$L$2:$L$265,MATCH(132,Engine!$C$2:$C$265,0)))</f>
        <v>Defines terms and applies to the Act's administration and authorization of financial services providers.</v>
      </c>
      <c r="M145" s="6">
        <f>IF(ISNA(MATCH(132,Engine!$C$2:$C$265,0)),"",INDEX('Compliance Database'!$M$2:$M$265,MATCH(132,Engine!$C$2:$C$265,0)))</f>
        <v>0</v>
      </c>
      <c r="N145" s="6">
        <f>IF(ISNA(MATCH(132,Engine!$C$2:$C$265,0)),"",INDEX('Compliance Database'!$N$2:$N$265,MATCH(132,Engine!$C$2:$C$265,0)))</f>
        <v>0</v>
      </c>
      <c r="O145" s="6" t="str">
        <f>IF(ISNA(MATCH(132,Engine!$C$2:$C$265,0)),"",INDEX('Compliance Database'!$O$2:$O$265,MATCH(132,Engine!$C$2:$C$265,0)))</f>
        <v>12. Definitions and application</v>
      </c>
    </row>
    <row r="146" spans="1:15" ht="172.8" x14ac:dyDescent="0.3">
      <c r="A146" t="str">
        <f>IF(ISNA(MATCH(133,Engine!$C$2:$C$265,0)),"",INDEX('Compliance Database'!$A$2:$A$265,MATCH(133,Engine!$C$2:$C$265,0)))</f>
        <v>South Africa</v>
      </c>
      <c r="B146" t="str">
        <f>IF(ISNA(MATCH(133,Engine!$C$2:$C$265,0)),"",INDEX('Compliance Database'!$B$2:$B$265,MATCH(133,Engine!$C$2:$C$265,0)))</f>
        <v>Financial Advisory and Intermediary Services Act (FAIS) 37 of 2002</v>
      </c>
      <c r="C146" t="str">
        <f>IF(ISNA(MATCH(133,Engine!$C$2:$C$265,0)),"",INDEX('Compliance Database'!$C$2:$C$265,MATCH(133,Engine!$C$2:$C$265,0)))</f>
        <v>12</v>
      </c>
      <c r="D146" s="6" t="str">
        <f>IF(ISNA(MATCH(133,Engine!$C$2:$C$265,0)),"",INDEX('Compliance Database'!$D$2:$D$265,MATCH(133,Engine!$C$2:$C$265,0)))</f>
        <v>( 1) The registrar may exempt a  product  supplier  who is authorised or approved</v>
      </c>
      <c r="E146" t="str">
        <f>IF(ISNA(MATCH(133,Engine!$C$2:$C$265,0)),"",INDEX('Compliance Database'!$E$2:$E$265,MATCH(133,Engine!$C$2:$C$265,0)))</f>
        <v>14–15</v>
      </c>
      <c r="F146" t="str">
        <f>IF(ISNA(MATCH(133,Engine!$C$2:$C$265,0)),"",INDEX('Compliance Database'!$F$2:$F$265,MATCH(133,Engine!$C$2:$C$265,0)))</f>
        <v>Exemptions</v>
      </c>
      <c r="G146" t="str">
        <f>IF(ISNA(MATCH(133,Engine!$C$2:$C$265,0)),"",INDEX('Compliance Database'!$G$2:$G$265,MATCH(133,Engine!$C$2:$C$265,0)))</f>
        <v>Medium</v>
      </c>
      <c r="H146" t="str">
        <f>IF(ISNA(MATCH(133,Engine!$C$2:$C$265,0)),"",INDEX('Compliance Database'!$H$2:$H$265,MATCH(133,Engine!$C$2:$C$265,0)))</f>
        <v>High (explicit)</v>
      </c>
      <c r="I146" s="6">
        <f>IF(ISNA(MATCH(133,Engine!$C$2:$C$265,0)),"",INDEX('Compliance Database'!$I$2:$I$265,MATCH(133,Engine!$C$2:$C$265,0)))</f>
        <v>0</v>
      </c>
      <c r="J146" s="6">
        <f>IF(ISNA(MATCH(133,Engine!$C$2:$C$265,0)),"",INDEX('Compliance Database'!$J$2:$J$265,MATCH(133,Engine!$C$2:$C$265,0)))</f>
        <v>0</v>
      </c>
      <c r="K146" t="str">
        <f>IF(ISNA(MATCH(133,Engine!$C$2:$C$265,0)),"",INDEX('Compliance Database'!$K$2:$K$265,MATCH(133,Engine!$C$2:$C$265,0)))</f>
        <v>registrar</v>
      </c>
      <c r="L146" s="6" t="str">
        <f>IF(ISNA(MATCH(133,Engine!$C$2:$C$265,0)),"",INDEX('Compliance Database'!$L$2:$L$265,MATCH(133,Engine!$C$2:$C$265,0)))</f>
        <v>Regulator may exempt product suppliers from submitting some or all information required for authorization, provided they apply for exemption and comply with registrar's requirements.</v>
      </c>
      <c r="M146" s="6">
        <f>IF(ISNA(MATCH(133,Engine!$C$2:$C$265,0)),"",INDEX('Compliance Database'!$M$2:$M$265,MATCH(133,Engine!$C$2:$C$265,0)))</f>
        <v>0</v>
      </c>
      <c r="N146" s="6" t="str">
        <f>IF(ISNA(MATCH(133,Engine!$C$2:$C$265,0)),"",INDEX('Compliance Database'!$N$2:$N$265,MATCH(133,Engine!$C$2:$C$265,0)))</f>
        <v>[May] Regulator may exempt product suppliers from submitting some or all information required for authorization</v>
      </c>
      <c r="O146" s="6" t="str">
        <f>IF(ISNA(MATCH(133,Engine!$C$2:$C$265,0)),"",INDEX('Compliance Database'!$O$2:$O$265,MATCH(133,Engine!$C$2:$C$265,0)))</f>
        <v>12. (1) The registrar may exempt a product supplier who is authorised or approved under a particular law to conduct business as a financial institution and who is required to apply for authorisation under section 8, from submitting some or all of the information otherwise required from an applicant: Provided that the product supplier- (a) applies for exemption when submitting the application: and (b) complies with the requirements of the registrar with regard to information still supplementary to, but separate from, the supplier's authorisation or approval under a particular law as a financial institution.</v>
      </c>
    </row>
    <row r="147" spans="1:15" ht="201.6" x14ac:dyDescent="0.3">
      <c r="A147" t="str">
        <f>IF(ISNA(MATCH(134,Engine!$C$2:$C$265,0)),"",INDEX('Compliance Database'!$A$2:$A$265,MATCH(134,Engine!$C$2:$C$265,0)))</f>
        <v>South Africa</v>
      </c>
      <c r="B147" t="str">
        <f>IF(ISNA(MATCH(134,Engine!$C$2:$C$265,0)),"",INDEX('Compliance Database'!$B$2:$B$265,MATCH(134,Engine!$C$2:$C$265,0)))</f>
        <v>Financial Advisory and Intermediary Services Act (FAIS) 37 of 2002</v>
      </c>
      <c r="C147" t="str">
        <f>IF(ISNA(MATCH(134,Engine!$C$2:$C$265,0)),"",INDEX('Compliance Database'!$C$2:$C$265,MATCH(134,Engine!$C$2:$C$265,0)))</f>
        <v>14</v>
      </c>
      <c r="D147" s="6" t="str">
        <f>IF(ISNA(MATCH(134,Engine!$C$2:$C$265,0)),"",INDEX('Compliance Database'!$D$2:$D$265,MATCH(134,Engine!$C$2:$C$265,0)))</f>
        <v>(1) An authorised financial services  provider  must ensure that any  representative</v>
      </c>
      <c r="E147" t="str">
        <f>IF(ISNA(MATCH(134,Engine!$C$2:$C$265,0)),"",INDEX('Compliance Database'!$E$2:$E$265,MATCH(134,Engine!$C$2:$C$265,0)))</f>
        <v>15–16</v>
      </c>
      <c r="F147" t="str">
        <f>IF(ISNA(MATCH(134,Engine!$C$2:$C$265,0)),"",INDEX('Compliance Database'!$F$2:$F$265,MATCH(134,Engine!$C$2:$C$265,0)))</f>
        <v>Other</v>
      </c>
      <c r="G147" t="str">
        <f>IF(ISNA(MATCH(134,Engine!$C$2:$C$265,0)),"",INDEX('Compliance Database'!$G$2:$G$265,MATCH(134,Engine!$C$2:$C$265,0)))</f>
        <v>High</v>
      </c>
      <c r="H147" t="str">
        <f>IF(ISNA(MATCH(134,Engine!$C$2:$C$265,0)),"",INDEX('Compliance Database'!$H$2:$H$265,MATCH(134,Engine!$C$2:$C$265,0)))</f>
        <v>High (explicit)</v>
      </c>
      <c r="I147" s="6">
        <f>IF(ISNA(MATCH(134,Engine!$C$2:$C$265,0)),"",INDEX('Compliance Database'!$I$2:$I$265,MATCH(134,Engine!$C$2:$C$265,0)))</f>
        <v>0</v>
      </c>
      <c r="J147" s="6">
        <f>IF(ISNA(MATCH(134,Engine!$C$2:$C$265,0)),"",INDEX('Compliance Database'!$J$2:$J$265,MATCH(134,Engine!$C$2:$C$265,0)))</f>
        <v>0</v>
      </c>
      <c r="K147" t="str">
        <f>IF(ISNA(MATCH(134,Engine!$C$2:$C$265,0)),"",INDEX('Compliance Database'!$K$2:$K$265,MATCH(134,Engine!$C$2:$C$265,0)))</f>
        <v>authorised financial services provider</v>
      </c>
      <c r="L147" s="6" t="str">
        <f>IF(ISNA(MATCH(134,Engine!$C$2:$C$265,0)),"",INDEX('Compliance Database'!$L$2:$L$265,MATCH(134,Engine!$C$2:$C$265,0)))</f>
        <v>Representatives who no longer comply with requirements must be prohibited from rendering services, removed from the register, and any unconcluded business must be properly concluded.</v>
      </c>
      <c r="M147" s="6" t="str">
        <f>IF(ISNA(MATCH(134,Engine!$C$2:$C$265,0)),"",INDEX('Compliance Database'!$M$2:$M$265,MATCH(134,Engine!$C$2:$C$265,0)))</f>
        <v>Requires debarment of representatives who no longer comply with requirements, removal from register, and proper conclusion of unconcluded business.</v>
      </c>
      <c r="N147" s="6" t="str">
        <f>IF(ISNA(MATCH(134,Engine!$C$2:$C$265,0)),"",INDEX('Compliance Database'!$N$2:$N$265,MATCH(134,Engine!$C$2:$C$265,0)))</f>
        <v>[Must] Representatives who no longer comply with requirements must be prohibited from rendering services and have their names removed from the register
[Must] The provider must ensure debarment does not prejudice client interests and properly conclude any unconcluded business</v>
      </c>
      <c r="O147" s="6" t="str">
        <f>IF(ISNA(MATCH(134,Engine!$C$2:$C$265,0)),"",INDEX('Compliance Database'!$O$2:$O$265,MATCH(134,Engine!$C$2:$C$265,0)))</f>
        <v>14. (1) An authorised financial services provider must ensure that any representative of the provider who no longer complies with the requirements referred to in section 13(2)(a) is prohibited by such provider from rendering any new financial service by withdrawing any authority to act on behalf of the provider, and that the representative's name, and the names of the key individuals of the representative, are removed from the register referred to in section 13(3): Provided that any such provider must immediately take steps to ensure that the debarment does not prejudice the interests of clients of the representative, and that any unconcluded business of the representative is properly concluded.</v>
      </c>
    </row>
    <row r="148" spans="1:15" ht="216" x14ac:dyDescent="0.3">
      <c r="A148" t="str">
        <f>IF(ISNA(MATCH(135,Engine!$C$2:$C$265,0)),"",INDEX('Compliance Database'!$A$2:$A$265,MATCH(135,Engine!$C$2:$C$265,0)))</f>
        <v>South Africa</v>
      </c>
      <c r="B148" t="str">
        <f>IF(ISNA(MATCH(135,Engine!$C$2:$C$265,0)),"",INDEX('Compliance Database'!$B$2:$B$265,MATCH(135,Engine!$C$2:$C$265,0)))</f>
        <v>Financial Advisory and Intermediary Services Act (FAIS) 37 of 2002</v>
      </c>
      <c r="C148" t="str">
        <f>IF(ISNA(MATCH(135,Engine!$C$2:$C$265,0)),"",INDEX('Compliance Database'!$C$2:$C$265,MATCH(135,Engine!$C$2:$C$265,0)))</f>
        <v>15</v>
      </c>
      <c r="D148" s="6" t="str">
        <f>IF(ISNA(MATCH(135,Engine!$C$2:$C$265,0)),"",INDEX('Compliance Database'!$D$2:$D$265,MATCH(135,Engine!$C$2:$C$265,0)))</f>
        <v>(1) (a) The registrar  must, after consultation with the Advisory  Committee and</v>
      </c>
      <c r="E148" t="str">
        <f>IF(ISNA(MATCH(135,Engine!$C$2:$C$265,0)),"",INDEX('Compliance Database'!$E$2:$E$265,MATCH(135,Engine!$C$2:$C$265,0)))</f>
        <v>16</v>
      </c>
      <c r="F148" t="str">
        <f>IF(ISNA(MATCH(135,Engine!$C$2:$C$265,0)),"",INDEX('Compliance Database'!$F$2:$F$265,MATCH(135,Engine!$C$2:$C$265,0)))</f>
        <v>Other</v>
      </c>
      <c r="G148" t="str">
        <f>IF(ISNA(MATCH(135,Engine!$C$2:$C$265,0)),"",INDEX('Compliance Database'!$G$2:$G$265,MATCH(135,Engine!$C$2:$C$265,0)))</f>
        <v>High</v>
      </c>
      <c r="H148" t="str">
        <f>IF(ISNA(MATCH(135,Engine!$C$2:$C$265,0)),"",INDEX('Compliance Database'!$H$2:$H$265,MATCH(135,Engine!$C$2:$C$265,0)))</f>
        <v>High (explicit)</v>
      </c>
      <c r="I148" s="6">
        <f>IF(ISNA(MATCH(135,Engine!$C$2:$C$265,0)),"",INDEX('Compliance Database'!$I$2:$I$265,MATCH(135,Engine!$C$2:$C$265,0)))</f>
        <v>0</v>
      </c>
      <c r="J148" s="6" t="str">
        <f>IF(ISNA(MATCH(135,Engine!$C$2:$C$265,0)),"",INDEX('Compliance Database'!$J$2:$J$265,MATCH(135,Engine!$C$2:$C$265,0)))</f>
        <v>Financial Data</v>
      </c>
      <c r="K148" t="str">
        <f>IF(ISNA(MATCH(135,Engine!$C$2:$C$265,0)),"",INDEX('Compliance Database'!$K$2:$K$265,MATCH(135,Engine!$C$2:$C$265,0)))</f>
        <v>registrar</v>
      </c>
      <c r="L148" s="6" t="str">
        <f>IF(ISNA(MATCH(135,Engine!$C$2:$C$265,0)),"",INDEX('Compliance Database'!$L$2:$L$265,MATCH(135,Engine!$C$2:$C$265,0)))</f>
        <v>Regulator must draft, publish, and enforce codes of conduct for financial services providers and representatives, including specific codes for deposit-related services.</v>
      </c>
      <c r="M148" s="6" t="str">
        <f>IF(ISNA(MATCH(135,Engine!$C$2:$C$265,0)),"",INDEX('Compliance Database'!$M$2:$M$265,MATCH(135,Engine!$C$2:$C$265,0)))</f>
        <v>Requires regulator to draft, publish, and enforce codes of conduct for financial services providers and representatives, including specific codes for deposit-related services.</v>
      </c>
      <c r="N148" s="6" t="str">
        <f>IF(ISNA(MATCH(135,Engine!$C$2:$C$265,0)),"",INDEX('Compliance Database'!$N$2:$N$265,MATCH(135,Engine!$C$2:$C$265,0)))</f>
        <v>[Must] Regulator must draft a code of conduct for authorized financial services providers after consultation with Advisory Committee and industry bodies
[Must] Code of conduct must be published by notice in the Gazette and become binding on all authorized providers and representatives
[May] Different codes of conduct may be drafted for different categories of providers and representatives
[Must] A code of conduct must be drafted for deposit-related services with a term not exceeding 12 months</v>
      </c>
      <c r="O148" s="6" t="str">
        <f>IF(ISNA(MATCH(135,Engine!$C$2:$C$265,0)),"",INDEX('Compliance Database'!$O$2:$O$265,MATCH(135,Engine!$C$2:$C$265,0)))</f>
        <v>15. (1) (a) The registrar must, after consultation with the Advisory Committee and with representative bodies of the financial services industry and client and consumer bodies determined by the Advisory Committee, draft a code of conduct for authorized financial services providers. (b) The code must, after consultation, be published by notice in the Gazette and, on any such publication, become binding on all authorized financial services providers and representatives referred to therein.</v>
      </c>
    </row>
    <row r="149" spans="1:15" ht="331.2" x14ac:dyDescent="0.3">
      <c r="A149" t="str">
        <f>IF(ISNA(MATCH(136,Engine!$C$2:$C$265,0)),"",INDEX('Compliance Database'!$A$2:$A$265,MATCH(136,Engine!$C$2:$C$265,0)))</f>
        <v>South Africa</v>
      </c>
      <c r="B149" t="str">
        <f>IF(ISNA(MATCH(136,Engine!$C$2:$C$265,0)),"",INDEX('Compliance Database'!$B$2:$B$265,MATCH(136,Engine!$C$2:$C$265,0)))</f>
        <v>Financial Advisory and Intermediary Services Act (FAIS) 37 of 2002</v>
      </c>
      <c r="C149" t="str">
        <f>IF(ISNA(MATCH(136,Engine!$C$2:$C$265,0)),"",INDEX('Compliance Database'!$C$2:$C$265,MATCH(136,Engine!$C$2:$C$265,0)))</f>
        <v>16</v>
      </c>
      <c r="D149" s="6" t="str">
        <f>IF(ISNA(MATCH(136,Engine!$C$2:$C$265,0)),"",INDEX('Compliance Database'!$D$2:$D$265,MATCH(136,Engine!$C$2:$C$265,0)))</f>
        <v>( 1 ) A code of conduct must  be  drafted  in such a manner as to  ensure that the clients</v>
      </c>
      <c r="E149" t="str">
        <f>IF(ISNA(MATCH(136,Engine!$C$2:$C$265,0)),"",INDEX('Compliance Database'!$E$2:$E$265,MATCH(136,Engine!$C$2:$C$265,0)))</f>
        <v>16–17</v>
      </c>
      <c r="F149" t="str">
        <f>IF(ISNA(MATCH(136,Engine!$C$2:$C$265,0)),"",INDEX('Compliance Database'!$F$2:$F$265,MATCH(136,Engine!$C$2:$C$265,0)))</f>
        <v>Other</v>
      </c>
      <c r="G149" t="str">
        <f>IF(ISNA(MATCH(136,Engine!$C$2:$C$265,0)),"",INDEX('Compliance Database'!$G$2:$G$265,MATCH(136,Engine!$C$2:$C$265,0)))</f>
        <v>High</v>
      </c>
      <c r="H149" t="str">
        <f>IF(ISNA(MATCH(136,Engine!$C$2:$C$265,0)),"",INDEX('Compliance Database'!$H$2:$H$265,MATCH(136,Engine!$C$2:$C$265,0)))</f>
        <v>High (explicit)</v>
      </c>
      <c r="I149" s="6">
        <f>IF(ISNA(MATCH(136,Engine!$C$2:$C$265,0)),"",INDEX('Compliance Database'!$I$2:$I$265,MATCH(136,Engine!$C$2:$C$265,0)))</f>
        <v>0</v>
      </c>
      <c r="J149" s="6">
        <f>IF(ISNA(MATCH(136,Engine!$C$2:$C$265,0)),"",INDEX('Compliance Database'!$J$2:$J$265,MATCH(136,Engine!$C$2:$C$265,0)))</f>
        <v>0</v>
      </c>
      <c r="K149" t="str">
        <f>IF(ISNA(MATCH(136,Engine!$C$2:$C$265,0)),"",INDEX('Compliance Database'!$K$2:$K$265,MATCH(136,Engine!$C$2:$C$265,0)))</f>
        <v>registrar</v>
      </c>
      <c r="L149" s="6" t="str">
        <f>IF(ISNA(MATCH(136,Engine!$C$2:$C$265,0)),"",INDEX('Compliance Database'!$L$2:$L$265,MATCH(136,Engine!$C$2:$C$265,0)))</f>
        <v>Code of conduct must ensure clients can make informed decisions, have their financial needs satisfied, and comply with statutory and common law requirements.</v>
      </c>
      <c r="M149" s="6" t="str">
        <f>IF(ISNA(MATCH(136,Engine!$C$2:$C$265,0)),"",INDEX('Compliance Database'!$M$2:$M$265,MATCH(136,Engine!$C$2:$C$265,0)))</f>
        <v>Code of conduct must ensure clients can make informed decisions, have their financial needs satisfied, and comply with statutory and common law requirements.</v>
      </c>
      <c r="N149" s="6" t="str">
        <f>IF(ISNA(MATCH(136,Engine!$C$2:$C$265,0)),"",INDEX('Compliance Database'!$N$2:$N$265,MATCH(136,Engine!$C$2:$C$265,0)))</f>
        <v>[Must] Code of conduct must ensure clients can make informed decisions, have their reasonable financial needs satisfied, and authorized providers must act honestly and fairly
[Must] Code of conduct must include provisions for adequate disclosures, record-keeping, avoidance of fraudulent advertising, safe-keeping of funds, and professional indemnity insurance</v>
      </c>
      <c r="O149" s="6" t="str">
        <f>IF(ISNA(MATCH(136,Engine!$C$2:$C$265,0)),"",INDEX('Compliance Database'!$O$2:$O$265,MATCH(136,Engine!$C$2:$C$265,0)))</f>
        <v>16. (1) A code of conduct must be drafted in such a manner as to ensure that the clients being rendered financial services will be able to make informed decisions, that their reasonable financial needs regarding financial products will be appropriately and suitably satisfied and that for those purposes authorized financial services providers and their representatives are obliged by the provisions of such code to - (a) act honestly and fairly, and with due skill, care and diligence, in the interests of clients and the integrity of the financial services industry; (b) have and employ effectively the resources, procedures and appropriate technological systems for the proper performance of professional activities; (c) seek from clients appropriate and available information regarding their financial situations, financial product experience and objectives in connection with the financial service required; (d) act with circumspection and treat clients fairly in a situation of conflicting interests; and (e) comply with all applicable statutory or common law requirements applicable to the conduct of business.</v>
      </c>
    </row>
    <row r="150" spans="1:15" ht="409.6" x14ac:dyDescent="0.3">
      <c r="A150" t="str">
        <f>IF(ISNA(MATCH(137,Engine!$C$2:$C$265,0)),"",INDEX('Compliance Database'!$A$2:$A$265,MATCH(137,Engine!$C$2:$C$265,0)))</f>
        <v>South Africa</v>
      </c>
      <c r="B150" t="str">
        <f>IF(ISNA(MATCH(137,Engine!$C$2:$C$265,0)),"",INDEX('Compliance Database'!$B$2:$B$265,MATCH(137,Engine!$C$2:$C$265,0)))</f>
        <v>Financial Advisory and Intermediary Services Act (FAIS) 37 of 2002</v>
      </c>
      <c r="C150" t="str">
        <f>IF(ISNA(MATCH(137,Engine!$C$2:$C$265,0)),"",INDEX('Compliance Database'!$C$2:$C$265,MATCH(137,Engine!$C$2:$C$265,0)))</f>
        <v>17</v>
      </c>
      <c r="D150" s="6" t="str">
        <f>IF(ISNA(MATCH(137,Engine!$C$2:$C$265,0)),"",INDEX('Compliance Database'!$D$2:$D$265,MATCH(137,Engine!$C$2:$C$265,0)))</f>
        <v>( I ) (a) Any authorised financial services provider</v>
      </c>
      <c r="E150" t="str">
        <f>IF(ISNA(MATCH(137,Engine!$C$2:$C$265,0)),"",INDEX('Compliance Database'!$E$2:$E$265,MATCH(137,Engine!$C$2:$C$265,0)))</f>
        <v>17</v>
      </c>
      <c r="F150" t="str">
        <f>IF(ISNA(MATCH(137,Engine!$C$2:$C$265,0)),"",INDEX('Compliance Database'!$F$2:$F$265,MATCH(137,Engine!$C$2:$C$265,0)))</f>
        <v>Other</v>
      </c>
      <c r="G150" t="str">
        <f>IF(ISNA(MATCH(137,Engine!$C$2:$C$265,0)),"",INDEX('Compliance Database'!$G$2:$G$265,MATCH(137,Engine!$C$2:$C$265,0)))</f>
        <v>High</v>
      </c>
      <c r="H150" t="str">
        <f>IF(ISNA(MATCH(137,Engine!$C$2:$C$265,0)),"",INDEX('Compliance Database'!$H$2:$H$265,MATCH(137,Engine!$C$2:$C$265,0)))</f>
        <v>High (explicit)</v>
      </c>
      <c r="I150" s="6">
        <f>IF(ISNA(MATCH(137,Engine!$C$2:$C$265,0)),"",INDEX('Compliance Database'!$I$2:$I$265,MATCH(137,Engine!$C$2:$C$265,0)))</f>
        <v>0</v>
      </c>
      <c r="J150" s="6" t="str">
        <f>IF(ISNA(MATCH(137,Engine!$C$2:$C$265,0)),"",INDEX('Compliance Database'!$J$2:$J$265,MATCH(137,Engine!$C$2:$C$265,0)))</f>
        <v>Financial Data</v>
      </c>
      <c r="K150" t="str">
        <f>IF(ISNA(MATCH(137,Engine!$C$2:$C$265,0)),"",INDEX('Compliance Database'!$K$2:$K$265,MATCH(137,Engine!$C$2:$C$265,0)))</f>
        <v>registrar</v>
      </c>
      <c r="L150" s="6" t="str">
        <f>IF(ISNA(MATCH(137,Engine!$C$2:$C$265,0)),"",INDEX('Compliance Database'!$L$2:$L$265,MATCH(137,Engine!$C$2:$C$265,0)))</f>
        <v>Authorized providers must appoint compliance officers to monitor compliance with the Act, submit reports to the registrar, and maintain procedures for compliance.</v>
      </c>
      <c r="M150" s="6" t="str">
        <f>IF(ISNA(MATCH(137,Engine!$C$2:$C$265,0)),"",INDEX('Compliance Database'!$M$2:$M$265,MATCH(137,Engine!$C$2:$C$265,0)))</f>
        <v>Requires appointment of compliance officers to monitor compliance, submit reports to registrar, and maintain procedures for compliance.</v>
      </c>
      <c r="N150" s="6" t="str">
        <f>IF(ISNA(MATCH(137,Engine!$C$2:$C$265,0)),"",INDEX('Compliance Database'!$N$2:$N$265,MATCH(137,Engine!$C$2:$C$265,0)))</f>
        <v>[Must] Authorized providers with more than one key individual or representative must appoint one or more compliance officers to monitor compliance with the Act
[Must] Compliance officers must be approved by the registrar in accordance with criteria and guidelines determined by the Advisory Committee
[Must] Authorized providers must establish and maintain procedures to ensure compliance with the Act
[Must] Compliance officers must submit reports to the registrar in the manner and as determined by the registrar</v>
      </c>
      <c r="O150" s="6" t="str">
        <f>IF(ISNA(MATCH(137,Engine!$C$2:$C$265,0)),"",INDEX('Compliance Database'!$O$2:$O$265,MATCH(137,Engine!$C$2:$C$265,0)))</f>
        <v>17. (1) (a) Any authorized financial services provider with more than one key individual or one or more representatives must, subject to section 35(1)(c), appoint one or more compliance officers to monitor compliance with this Act by the provider and such representative or representatives, particularly in accordance with the procedures contemplated in subsection (3), and to take responsibility for liaison with the registrar. (b) Such person may be a director, member, auditor, trustee, principal officer, public officer or company secretary of any such provider, or any other person with suitable qualifications and experience determined by the registrar by notice in the Gazette, after consultation with the Advisory Committee. (c) The provisions of section 19(5) and (6), relating to an auditor of an authorized financial services provider, apply with the necessary changes to a compliance officer. (2) A compliance officer must be approved by the registrar in accordance with the criteria and guidelines determined by the Advisory Committee. (3) An authorized financial services provider must establish and maintain procedures to be followed by the provider and any representative concerned in order to ensure compliance with this Act. (4) An authorized financial services provider who carries on a business with only one key individual or without any representative must submit reports to the registrar in the manner and as from time to time determined by the registrar by notice in the Gazette for different categories of compliance officers, after consultation with the Advisory Committee.</v>
      </c>
    </row>
    <row r="151" spans="1:15" ht="302.39999999999998" x14ac:dyDescent="0.3">
      <c r="A151" t="str">
        <f>IF(ISNA(MATCH(138,Engine!$C$2:$C$265,0)),"",INDEX('Compliance Database'!$A$2:$A$265,MATCH(138,Engine!$C$2:$C$265,0)))</f>
        <v>South Africa</v>
      </c>
      <c r="B151" t="str">
        <f>IF(ISNA(MATCH(138,Engine!$C$2:$C$265,0)),"",INDEX('Compliance Database'!$B$2:$B$265,MATCH(138,Engine!$C$2:$C$265,0)))</f>
        <v>Financial Advisory and Intermediary Services Act (FAIS) 37 of 2002</v>
      </c>
      <c r="C151" t="str">
        <f>IF(ISNA(MATCH(138,Engine!$C$2:$C$265,0)),"",INDEX('Compliance Database'!$C$2:$C$265,MATCH(138,Engine!$C$2:$C$265,0)))</f>
        <v>18</v>
      </c>
      <c r="D151" s="6" t="str">
        <f>IF(ISNA(MATCH(138,Engine!$C$2:$C$265,0)),"",INDEX('Compliance Database'!$D$2:$D$265,MATCH(138,Engine!$C$2:$C$265,0)))</f>
        <v>An authorised  financial  services  provider  must,  except to the extent exempted by</v>
      </c>
      <c r="E151" t="str">
        <f>IF(ISNA(MATCH(138,Engine!$C$2:$C$265,0)),"",INDEX('Compliance Database'!$E$2:$E$265,MATCH(138,Engine!$C$2:$C$265,0)))</f>
        <v>17</v>
      </c>
      <c r="F151" t="str">
        <f>IF(ISNA(MATCH(138,Engine!$C$2:$C$265,0)),"",INDEX('Compliance Database'!$F$2:$F$265,MATCH(138,Engine!$C$2:$C$265,0)))</f>
        <v>Record Keeping</v>
      </c>
      <c r="G151" t="str">
        <f>IF(ISNA(MATCH(138,Engine!$C$2:$C$265,0)),"",INDEX('Compliance Database'!$G$2:$G$265,MATCH(138,Engine!$C$2:$C$265,0)))</f>
        <v>High</v>
      </c>
      <c r="H151" t="str">
        <f>IF(ISNA(MATCH(138,Engine!$C$2:$C$265,0)),"",INDEX('Compliance Database'!$H$2:$H$265,MATCH(138,Engine!$C$2:$C$265,0)))</f>
        <v>High (explicit)</v>
      </c>
      <c r="I151" s="6" t="str">
        <f>IF(ISNA(MATCH(138,Engine!$C$2:$C$265,0)),"",INDEX('Compliance Database'!$I$2:$I$265,MATCH(138,Engine!$C$2:$C$265,0)))</f>
        <v>Record Keeping</v>
      </c>
      <c r="J151" s="6">
        <f>IF(ISNA(MATCH(138,Engine!$C$2:$C$265,0)),"",INDEX('Compliance Database'!$J$2:$J$265,MATCH(138,Engine!$C$2:$C$265,0)))</f>
        <v>0</v>
      </c>
      <c r="K151" t="str">
        <f>IF(ISNA(MATCH(138,Engine!$C$2:$C$265,0)),"",INDEX('Compliance Database'!$K$2:$K$265,MATCH(138,Engine!$C$2:$C$265,0)))</f>
        <v>registrar</v>
      </c>
      <c r="L151" s="6" t="str">
        <f>IF(ISNA(MATCH(138,Engine!$C$2:$C$265,0)),"",INDEX('Compliance Database'!$L$2:$L$265,MATCH(138,Engine!$C$2:$C$265,0)))</f>
        <v>Providers must maintain records for five years regarding premature cancellations, complaints, compliance, non-compliance, and representative compliance.</v>
      </c>
      <c r="M151" s="6" t="str">
        <f>IF(ISNA(MATCH(138,Engine!$C$2:$C$265,0)),"",INDEX('Compliance Database'!$M$2:$M$265,MATCH(138,Engine!$C$2:$C$265,0)))</f>
        <v>Requires providers to maintain records for five years regarding premature cancellations, complaints, compliance, non-compliance, and representative compliance.</v>
      </c>
      <c r="N151" s="6" t="str">
        <f>IF(ISNA(MATCH(138,Engine!$C$2:$C$265,0)),"",INDEX('Compliance Database'!$N$2:$N$265,MATCH(138,Engine!$C$2:$C$265,0)))</f>
        <v>[Must] Providers must maintain records for a minimum period of five years regarding known premature cancellations of transactions or financial products by clients
[Must] Providers must maintain records for a minimum period of five years regarding complaints received and whether resolved
[Must] Providers must maintain records for a minimum period of five years regarding continued compliance with requirements
[Must] Providers must maintain records for a minimum period of five years regarding cases of non-compliance with the Act and reasons for non-compliance
[Must] Providers must maintain records for a minimum period of five years regarding continued compliance by representatives with requirements</v>
      </c>
      <c r="O151" s="6" t="str">
        <f>IF(ISNA(MATCH(138,Engine!$C$2:$C$265,0)),"",INDEX('Compliance Database'!$O$2:$O$265,MATCH(138,Engine!$C$2:$C$265,0)))</f>
        <v>18. An authorized financial services provider must, except to the extent exempted by the registrar, maintain records for a minimum period of five years regarding- (a) known premature cancellations of transactions or financial products by clients; (b) complaints received together with an indication whether or not any such complaint has been resolved; (c) the continued compliance with the requirements referred to in section 8; (d) cases of non-compliance with this Act, and the reasons for such non-compliance; and (e) the continued compliance by representatives with the requirements referred to in section 13(1) and (2).</v>
      </c>
    </row>
    <row r="152" spans="1:15" ht="409.6" x14ac:dyDescent="0.3">
      <c r="A152" t="str">
        <f>IF(ISNA(MATCH(139,Engine!$C$2:$C$265,0)),"",INDEX('Compliance Database'!$A$2:$A$265,MATCH(139,Engine!$C$2:$C$265,0)))</f>
        <v>South Africa</v>
      </c>
      <c r="B152" t="str">
        <f>IF(ISNA(MATCH(139,Engine!$C$2:$C$265,0)),"",INDEX('Compliance Database'!$B$2:$B$265,MATCH(139,Engine!$C$2:$C$265,0)))</f>
        <v>Financial Advisory and Intermediary Services Act (FAIS) 37 of 2002</v>
      </c>
      <c r="C152" t="str">
        <f>IF(ISNA(MATCH(139,Engine!$C$2:$C$265,0)),"",INDEX('Compliance Database'!$C$2:$C$265,MATCH(139,Engine!$C$2:$C$265,0)))</f>
        <v>19</v>
      </c>
      <c r="D152" s="6" t="str">
        <f>IF(ISNA(MATCH(139,Engine!$C$2:$C$265,0)),"",INDEX('Compliance Database'!$D$2:$D$265,MATCH(139,Engine!$C$2:$C$265,0)))</f>
        <v>( I ) Except to the  extent exempted by the  registrar. an authorised financial services</v>
      </c>
      <c r="E152" t="str">
        <f>IF(ISNA(MATCH(139,Engine!$C$2:$C$265,0)),"",INDEX('Compliance Database'!$E$2:$E$265,MATCH(139,Engine!$C$2:$C$265,0)))</f>
        <v>17–18</v>
      </c>
      <c r="F152" t="str">
        <f>IF(ISNA(MATCH(139,Engine!$C$2:$C$265,0)),"",INDEX('Compliance Database'!$F$2:$F$265,MATCH(139,Engine!$C$2:$C$265,0)))</f>
        <v>Other</v>
      </c>
      <c r="G152" t="str">
        <f>IF(ISNA(MATCH(139,Engine!$C$2:$C$265,0)),"",INDEX('Compliance Database'!$G$2:$G$265,MATCH(139,Engine!$C$2:$C$265,0)))</f>
        <v>High</v>
      </c>
      <c r="H152" t="str">
        <f>IF(ISNA(MATCH(139,Engine!$C$2:$C$265,0)),"",INDEX('Compliance Database'!$H$2:$H$265,MATCH(139,Engine!$C$2:$C$265,0)))</f>
        <v>High (explicit)</v>
      </c>
      <c r="I152" s="6">
        <f>IF(ISNA(MATCH(139,Engine!$C$2:$C$265,0)),"",INDEX('Compliance Database'!$I$2:$I$265,MATCH(139,Engine!$C$2:$C$265,0)))</f>
        <v>0</v>
      </c>
      <c r="J152" s="6" t="str">
        <f>IF(ISNA(MATCH(139,Engine!$C$2:$C$265,0)),"",INDEX('Compliance Database'!$J$2:$J$265,MATCH(139,Engine!$C$2:$C$265,0)))</f>
        <v>Financial Data</v>
      </c>
      <c r="K152" t="str">
        <f>IF(ISNA(MATCH(139,Engine!$C$2:$C$265,0)),"",INDEX('Compliance Database'!$K$2:$K$265,MATCH(139,Engine!$C$2:$C$265,0)))</f>
        <v>registrar</v>
      </c>
      <c r="L152" s="6" t="str">
        <f>IF(ISNA(MATCH(139,Engine!$C$2:$C$265,0)),"",INDEX('Compliance Database'!$L$2:$L$265,MATCH(139,Engine!$C$2:$C$265,0)))</f>
        <v>Providers must maintain full accounting records, prepare audited financial statements, and submit reports to the registrar.</v>
      </c>
      <c r="M152" s="6" t="str">
        <f>IF(ISNA(MATCH(139,Engine!$C$2:$C$265,0)),"",INDEX('Compliance Database'!$M$2:$M$265,MATCH(139,Engine!$C$2:$C$265,0)))</f>
        <v>Requires providers to maintain full accounting records, prepare audited financial statements, and submit reports to the registrar.</v>
      </c>
      <c r="N152" s="6" t="str">
        <f>IF(ISNA(MATCH(139,Engine!$C$2:$C$265,0)),"",INDEX('Compliance Database'!$N$2:$N$265,MATCH(139,Engine!$C$2:$C$265,0)))</f>
        <v>[Must] Providers must maintain full and proper accounting records on a continual basis, brought up to date monthly
[Must] Providers must annually prepare financial statements reflecting the financial position and results of operations
[Must] Financial statements must be audited and reported on by an external auditor approved by the registrar
[Must] Providers must submit to the registrar a report confirming the amount of money and assets held on behalf of clients
[Must] Providers must ensure that money and assets held on behalf of clients are kept separate from the provider's business</v>
      </c>
      <c r="O152" s="6" t="str">
        <f>IF(ISNA(MATCH(139,Engine!$C$2:$C$265,0)),"",INDEX('Compliance Database'!$O$2:$O$265,MATCH(139,Engine!$C$2:$C$265,0)))</f>
        <v>19. (1) Except to the extent exempted by the registrar, an authorized financial services provider must, in respect of the business carried on by the provider as authorized under the provider's licence- (a) maintain full and proper accounting records on a continual basis, brought up to date monthly; and (b) annually prepare, in respect of the relevant financial year of the provider, financial statements reflecting, with suitable particulars, the financial position of the business as at the last day of the financial year in question, and the results of the operations and cash flow information for the period then ended. (2) (a) An authorized financial services provider must cause the statements referred to in subsection (1)(b) to be audited and reported on by an external auditor approved by the registrar, in order to produce- (i) an audited balance sheet, including such notes thereon or documents attached thereto as may be necessary; (ii) an audited income statement, including such notes thereon or documents attached thereto as may be necessary; and (iii) an audited statement of the source and application of funds. (4) The auditor of an authorized financial services provider must report to and inform the registrar in writing of any irregularity or suspected irregularity in the conduct or the affairs of the authorized financial services provider concerned of which the auditor became aware in performing functions as auditor and which, in the opinion of the auditor, is material.</v>
      </c>
    </row>
    <row r="153" spans="1:15" ht="172.8" x14ac:dyDescent="0.3">
      <c r="A153" t="str">
        <f>IF(ISNA(MATCH(140,Engine!$C$2:$C$265,0)),"",INDEX('Compliance Database'!$A$2:$A$265,MATCH(140,Engine!$C$2:$C$265,0)))</f>
        <v>South Africa</v>
      </c>
      <c r="B153" t="str">
        <f>IF(ISNA(MATCH(140,Engine!$C$2:$C$265,0)),"",INDEX('Compliance Database'!$B$2:$B$265,MATCH(140,Engine!$C$2:$C$265,0)))</f>
        <v>Financial Advisory and Intermediary Services Act (FAIS) 37 of 2002</v>
      </c>
      <c r="C153" t="str">
        <f>IF(ISNA(MATCH(140,Engine!$C$2:$C$265,0)),"",INDEX('Compliance Database'!$C$2:$C$265,MATCH(140,Engine!$C$2:$C$265,0)))</f>
        <v>20</v>
      </c>
      <c r="D153" s="6" t="str">
        <f>IF(ISNA(MATCH(140,Engine!$C$2:$C$265,0)),"",INDEX('Compliance Database'!$D$2:$D$265,MATCH(140,Engine!$C$2:$C$265,0)))</f>
        <v>(1) There is an office to be known as the</v>
      </c>
      <c r="E153" t="str">
        <f>IF(ISNA(MATCH(140,Engine!$C$2:$C$265,0)),"",INDEX('Compliance Database'!$E$2:$E$265,MATCH(140,Engine!$C$2:$C$265,0)))</f>
        <v>18–19</v>
      </c>
      <c r="F153" t="str">
        <f>IF(ISNA(MATCH(140,Engine!$C$2:$C$265,0)),"",INDEX('Compliance Database'!$F$2:$F$265,MATCH(140,Engine!$C$2:$C$265,0)))</f>
        <v>Other</v>
      </c>
      <c r="G153" t="str">
        <f>IF(ISNA(MATCH(140,Engine!$C$2:$C$265,0)),"",INDEX('Compliance Database'!$G$2:$G$265,MATCH(140,Engine!$C$2:$C$265,0)))</f>
        <v>Medium</v>
      </c>
      <c r="H153" t="str">
        <f>IF(ISNA(MATCH(140,Engine!$C$2:$C$265,0)),"",INDEX('Compliance Database'!$H$2:$H$265,MATCH(140,Engine!$C$2:$C$265,0)))</f>
        <v>High (explicit)</v>
      </c>
      <c r="I153" s="6">
        <f>IF(ISNA(MATCH(140,Engine!$C$2:$C$265,0)),"",INDEX('Compliance Database'!$I$2:$I$265,MATCH(140,Engine!$C$2:$C$265,0)))</f>
        <v>0</v>
      </c>
      <c r="J153" s="6">
        <f>IF(ISNA(MATCH(140,Engine!$C$2:$C$265,0)),"",INDEX('Compliance Database'!$J$2:$J$265,MATCH(140,Engine!$C$2:$C$265,0)))</f>
        <v>0</v>
      </c>
      <c r="K153" t="str">
        <f>IF(ISNA(MATCH(140,Engine!$C$2:$C$265,0)),"",INDEX('Compliance Database'!$K$2:$K$265,MATCH(140,Engine!$C$2:$C$265,0)))</f>
        <v>Board</v>
      </c>
      <c r="L153" s="6" t="str">
        <f>IF(ISNA(MATCH(140,Engine!$C$2:$C$265,0)),"",INDEX('Compliance Database'!$L$2:$L$265,MATCH(140,Engine!$C$2:$C$265,0)))</f>
        <v>Office of the Ombud for Financial Services Providers must consider and dispose of complaints in a procedurally fair, informal, economical and expeditious manner.</v>
      </c>
      <c r="M153" s="6" t="str">
        <f>IF(ISNA(MATCH(140,Engine!$C$2:$C$265,0)),"",INDEX('Compliance Database'!$M$2:$M$265,MATCH(140,Engine!$C$2:$C$265,0)))</f>
        <v>Ombud must consider and dispose of complaints in a procedurally fair, informal, economical and expeditious manner.</v>
      </c>
      <c r="N153" s="6" t="str">
        <f>IF(ISNA(MATCH(140,Engine!$C$2:$C$265,0)),"",INDEX('Compliance Database'!$N$2:$N$265,MATCH(140,Engine!$C$2:$C$265,0)))</f>
        <v>[Must] Ombud must consider and dispose of complaints in a procedurally fair, informal, economical and expeditious manner</v>
      </c>
      <c r="O153" s="6" t="str">
        <f>IF(ISNA(MATCH(140,Engine!$C$2:$C$265,0)),"",INDEX('Compliance Database'!$O$2:$O$265,MATCH(140,Engine!$C$2:$C$265,0)))</f>
        <v>20. (1) There is an office to be known as the Office of the Ombud for Financial Services Providers. (2) The functions of the Office are performed by the Ombud for Financial Services Providers. (3) The objective of the Ombud is to consider and dispose of complaints in a procedurally fair, informal, economical and expeditious manner and by reference to what is equitable in all the circumstances, with due regard to- (a) the contractual arrangement or other legal relationship between the complainant and any other party to the complaint; and (b) the provisions of this Act.</v>
      </c>
    </row>
    <row r="154" spans="1:15" ht="28.8" x14ac:dyDescent="0.3">
      <c r="A154" t="str">
        <f>IF(ISNA(MATCH(141,Engine!$C$2:$C$265,0)),"",INDEX('Compliance Database'!$A$2:$A$265,MATCH(141,Engine!$C$2:$C$265,0)))</f>
        <v>South Africa</v>
      </c>
      <c r="B154" t="str">
        <f>IF(ISNA(MATCH(141,Engine!$C$2:$C$265,0)),"",INDEX('Compliance Database'!$B$2:$B$265,MATCH(141,Engine!$C$2:$C$265,0)))</f>
        <v>Financial Advisory and Intermediary Services Act (FAIS) 37 of 2002</v>
      </c>
      <c r="C154" t="str">
        <f>IF(ISNA(MATCH(141,Engine!$C$2:$C$265,0)),"",INDEX('Compliance Database'!$C$2:$C$265,MATCH(141,Engine!$C$2:$C$265,0)))</f>
        <v>21</v>
      </c>
      <c r="D154" s="6" t="str">
        <f>IF(ISNA(MATCH(141,Engine!$C$2:$C$265,0)),"",INDEX('Compliance Database'!$D$2:$D$265,MATCH(141,Engine!$C$2:$C$265,0)))</f>
        <v>(1) The  Board,  after  consultation with  the  Advisory  Committee-</v>
      </c>
      <c r="E154" t="str">
        <f>IF(ISNA(MATCH(141,Engine!$C$2:$C$265,0)),"",INDEX('Compliance Database'!$E$2:$E$265,MATCH(141,Engine!$C$2:$C$265,0)))</f>
        <v>19</v>
      </c>
      <c r="F154" t="str">
        <f>IF(ISNA(MATCH(141,Engine!$C$2:$C$265,0)),"",INDEX('Compliance Database'!$F$2:$F$265,MATCH(141,Engine!$C$2:$C$265,0)))</f>
        <v>Other</v>
      </c>
      <c r="G154" t="str">
        <f>IF(ISNA(MATCH(141,Engine!$C$2:$C$265,0)),"",INDEX('Compliance Database'!$G$2:$G$265,MATCH(141,Engine!$C$2:$C$265,0)))</f>
        <v>Unknown</v>
      </c>
      <c r="H154" t="str">
        <f>IF(ISNA(MATCH(141,Engine!$C$2:$C$265,0)),"",INDEX('Compliance Database'!$H$2:$H$265,MATCH(141,Engine!$C$2:$C$265,0)))</f>
        <v>Low</v>
      </c>
      <c r="I154" s="6">
        <f>IF(ISNA(MATCH(141,Engine!$C$2:$C$265,0)),"",INDEX('Compliance Database'!$I$2:$I$265,MATCH(141,Engine!$C$2:$C$265,0)))</f>
        <v>0</v>
      </c>
      <c r="J154" s="6">
        <f>IF(ISNA(MATCH(141,Engine!$C$2:$C$265,0)),"",INDEX('Compliance Database'!$J$2:$J$265,MATCH(141,Engine!$C$2:$C$265,0)))</f>
        <v>0</v>
      </c>
      <c r="K154">
        <f>IF(ISNA(MATCH(141,Engine!$C$2:$C$265,0)),"",INDEX('Compliance Database'!$K$2:$K$265,MATCH(141,Engine!$C$2:$C$265,0)))</f>
        <v>0</v>
      </c>
      <c r="L154" s="6">
        <f>IF(ISNA(MATCH(141,Engine!$C$2:$C$265,0)),"",INDEX('Compliance Database'!$L$2:$L$265,MATCH(141,Engine!$C$2:$C$265,0)))</f>
        <v>0</v>
      </c>
      <c r="M154" s="6">
        <f>IF(ISNA(MATCH(141,Engine!$C$2:$C$265,0)),"",INDEX('Compliance Database'!$M$2:$M$265,MATCH(141,Engine!$C$2:$C$265,0)))</f>
        <v>0</v>
      </c>
      <c r="N154" s="6">
        <f>IF(ISNA(MATCH(141,Engine!$C$2:$C$265,0)),"",INDEX('Compliance Database'!$N$2:$N$265,MATCH(141,Engine!$C$2:$C$265,0)))</f>
        <v>0</v>
      </c>
      <c r="O154" s="6">
        <f>IF(ISNA(MATCH(141,Engine!$C$2:$C$265,0)),"",INDEX('Compliance Database'!$O$2:$O$265,MATCH(141,Engine!$C$2:$C$265,0)))</f>
        <v>0</v>
      </c>
    </row>
    <row r="155" spans="1:15" ht="201.6" x14ac:dyDescent="0.3">
      <c r="A155" t="str">
        <f>IF(ISNA(MATCH(142,Engine!$C$2:$C$265,0)),"",INDEX('Compliance Database'!$A$2:$A$265,MATCH(142,Engine!$C$2:$C$265,0)))</f>
        <v>South Africa</v>
      </c>
      <c r="B155" t="str">
        <f>IF(ISNA(MATCH(142,Engine!$C$2:$C$265,0)),"",INDEX('Compliance Database'!$B$2:$B$265,MATCH(142,Engine!$C$2:$C$265,0)))</f>
        <v>Financial Advisory and Intermediary Services Act (FAIS) 37 of 2002</v>
      </c>
      <c r="C155" t="str">
        <f>IF(ISNA(MATCH(142,Engine!$C$2:$C$265,0)),"",INDEX('Compliance Database'!$C$2:$C$265,MATCH(142,Engine!$C$2:$C$265,0)))</f>
        <v>22</v>
      </c>
      <c r="D155" s="6" t="str">
        <f>IF(ISNA(MATCH(142,Engine!$C$2:$C$265,0)),"",INDEX('Compliance Database'!$D$2:$D$265,MATCH(142,Engine!$C$2:$C$265,0)))</f>
        <v>(1) The  funds of the Office consist of-</v>
      </c>
      <c r="E155" t="str">
        <f>IF(ISNA(MATCH(142,Engine!$C$2:$C$265,0)),"",INDEX('Compliance Database'!$E$2:$E$265,MATCH(142,Engine!$C$2:$C$265,0)))</f>
        <v>19</v>
      </c>
      <c r="F155" t="str">
        <f>IF(ISNA(MATCH(142,Engine!$C$2:$C$265,0)),"",INDEX('Compliance Database'!$F$2:$F$265,MATCH(142,Engine!$C$2:$C$265,0)))</f>
        <v>Other</v>
      </c>
      <c r="G155" t="str">
        <f>IF(ISNA(MATCH(142,Engine!$C$2:$C$265,0)),"",INDEX('Compliance Database'!$G$2:$G$265,MATCH(142,Engine!$C$2:$C$265,0)))</f>
        <v>High</v>
      </c>
      <c r="H155" t="str">
        <f>IF(ISNA(MATCH(142,Engine!$C$2:$C$265,0)),"",INDEX('Compliance Database'!$H$2:$H$265,MATCH(142,Engine!$C$2:$C$265,0)))</f>
        <v>High (explicit)</v>
      </c>
      <c r="I155" s="6">
        <f>IF(ISNA(MATCH(142,Engine!$C$2:$C$265,0)),"",INDEX('Compliance Database'!$I$2:$I$265,MATCH(142,Engine!$C$2:$C$265,0)))</f>
        <v>0</v>
      </c>
      <c r="J155" s="6">
        <f>IF(ISNA(MATCH(142,Engine!$C$2:$C$265,0)),"",INDEX('Compliance Database'!$J$2:$J$265,MATCH(142,Engine!$C$2:$C$265,0)))</f>
        <v>0</v>
      </c>
      <c r="K155" t="str">
        <f>IF(ISNA(MATCH(142,Engine!$C$2:$C$265,0)),"",INDEX('Compliance Database'!$K$2:$K$265,MATCH(142,Engine!$C$2:$C$265,0)))</f>
        <v>Board</v>
      </c>
      <c r="L155" s="6" t="str">
        <f>IF(ISNA(MATCH(142,Engine!$C$2:$C$265,0)),"",INDEX('Compliance Database'!$L$2:$L$265,MATCH(142,Engine!$C$2:$C$265,0)))</f>
        <v>Office funds must be sourced from Board-approved budget and other sources, deposited in a bank registered under Banks Act, 1990, and used for expenses with possible investment.</v>
      </c>
      <c r="M155" s="6">
        <f>IF(ISNA(MATCH(142,Engine!$C$2:$C$265,0)),"",INDEX('Compliance Database'!$M$2:$M$265,MATCH(142,Engine!$C$2:$C$265,0)))</f>
        <v>0</v>
      </c>
      <c r="N155" s="6" t="str">
        <f>IF(ISNA(MATCH(142,Engine!$C$2:$C$265,0)),"",INDEX('Compliance Database'!$N$2:$N$265,MATCH(142,Engine!$C$2:$C$265,0)))</f>
        <v>[Must] funds provided by the Board on the basis of a budget submitted by the Ombud and approved by the latter
[Must] funds accruing to the Office from any other source
[Must] deposit all funds in an account opened with a bank registered under the Banks Act, 1990
[Must] utilise funds for defrayal of expenses incurred in performance of functions
[May] invest funds not required for immediate use</v>
      </c>
      <c r="O155" s="6" t="str">
        <f>IF(ISNA(MATCH(142,Engine!$C$2:$C$265,0)),"",INDEX('Compliance Database'!$O$2:$O$265,MATCH(142,Engine!$C$2:$C$265,0)))</f>
        <v>22. (1) The funds of the Office consist of- (a) funds provided by the Board on the basis of a budget submitted by the Ombud and approved by the latter; and (b) funds accruing to the Office from any other source. (2) The Ombud must deposit all funds in an account opened with a bank registered under the Banks Act, 1990. (3) The Ombud must utilise such funds for the defrayal of expenses incurred in the performance of functions under this Act, and may invest funds which are not required for immediate use.</v>
      </c>
    </row>
    <row r="156" spans="1:15" ht="216" x14ac:dyDescent="0.3">
      <c r="A156" t="str">
        <f>IF(ISNA(MATCH(143,Engine!$C$2:$C$265,0)),"",INDEX('Compliance Database'!$A$2:$A$265,MATCH(143,Engine!$C$2:$C$265,0)))</f>
        <v>South Africa</v>
      </c>
      <c r="B156" t="str">
        <f>IF(ISNA(MATCH(143,Engine!$C$2:$C$265,0)),"",INDEX('Compliance Database'!$B$2:$B$265,MATCH(143,Engine!$C$2:$C$265,0)))</f>
        <v>Financial Advisory and Intermediary Services Act (FAIS) 37 of 2002</v>
      </c>
      <c r="C156" t="str">
        <f>IF(ISNA(MATCH(143,Engine!$C$2:$C$265,0)),"",INDEX('Compliance Database'!$C$2:$C$265,MATCH(143,Engine!$C$2:$C$265,0)))</f>
        <v>23</v>
      </c>
      <c r="D156" s="6" t="str">
        <f>IF(ISNA(MATCH(143,Engine!$C$2:$C$265,0)),"",INDEX('Compliance Database'!$D$2:$D$265,MATCH(143,Engine!$C$2:$C$265,0)))</f>
        <v>(1) The  Ombud is the  accounting officer in respect of all funds  received  and all</v>
      </c>
      <c r="E156" t="str">
        <f>IF(ISNA(MATCH(143,Engine!$C$2:$C$265,0)),"",INDEX('Compliance Database'!$E$2:$E$265,MATCH(143,Engine!$C$2:$C$265,0)))</f>
        <v>19–20</v>
      </c>
      <c r="F156" t="str">
        <f>IF(ISNA(MATCH(143,Engine!$C$2:$C$265,0)),"",INDEX('Compliance Database'!$F$2:$F$265,MATCH(143,Engine!$C$2:$C$265,0)))</f>
        <v>Other</v>
      </c>
      <c r="G156" t="str">
        <f>IF(ISNA(MATCH(143,Engine!$C$2:$C$265,0)),"",INDEX('Compliance Database'!$G$2:$G$265,MATCH(143,Engine!$C$2:$C$265,0)))</f>
        <v>High</v>
      </c>
      <c r="H156" t="str">
        <f>IF(ISNA(MATCH(143,Engine!$C$2:$C$265,0)),"",INDEX('Compliance Database'!$H$2:$H$265,MATCH(143,Engine!$C$2:$C$265,0)))</f>
        <v>High (explicit)</v>
      </c>
      <c r="I156" s="6">
        <f>IF(ISNA(MATCH(143,Engine!$C$2:$C$265,0)),"",INDEX('Compliance Database'!$I$2:$I$265,MATCH(143,Engine!$C$2:$C$265,0)))</f>
        <v>0</v>
      </c>
      <c r="J156" s="6">
        <f>IF(ISNA(MATCH(143,Engine!$C$2:$C$265,0)),"",INDEX('Compliance Database'!$J$2:$J$265,MATCH(143,Engine!$C$2:$C$265,0)))</f>
        <v>0</v>
      </c>
      <c r="K156" t="str">
        <f>IF(ISNA(MATCH(143,Engine!$C$2:$C$265,0)),"",INDEX('Compliance Database'!$K$2:$K$265,MATCH(143,Engine!$C$2:$C$265,0)))</f>
        <v>Auditor-General</v>
      </c>
      <c r="L156" s="6" t="str">
        <f>IF(ISNA(MATCH(143,Engine!$C$2:$C$265,0)),"",INDEX('Compliance Database'!$L$2:$L$265,MATCH(143,Engine!$C$2:$C$265,0)))</f>
        <v>Ombud must maintain full financial records and prepare annual statements audited by Auditor-General within three months of financial year end.</v>
      </c>
      <c r="M156" s="6">
        <f>IF(ISNA(MATCH(143,Engine!$C$2:$C$265,0)),"",INDEX('Compliance Database'!$M$2:$M$265,MATCH(143,Engine!$C$2:$C$265,0)))</f>
        <v>0</v>
      </c>
      <c r="N156" s="6" t="str">
        <f>IF(ISNA(MATCH(143,Engine!$C$2:$C$265,0)),"",INDEX('Compliance Database'!$N$2:$N$265,MATCH(143,Engine!$C$2:$C$265,0)))</f>
        <v>[Must] keep a full and correct record of all funds received and payments made, and all assets, liabilities and financial transactions
[Must] prepare annual financial statements within three months after financial year end
[Must] have records and financial statements audited by Auditor-General</v>
      </c>
      <c r="O156" s="6" t="str">
        <f>IF(ISNA(MATCH(143,Engine!$C$2:$C$265,0)),"",INDEX('Compliance Database'!$O$2:$O$265,MATCH(143,Engine!$C$2:$C$265,0)))</f>
        <v>23. (1) The Ombud is the accounting officer in respect of all funds received and all payments made in respect of expenses incurred by the Office. (2) The Ombud as accounting officer must- (a) keep a full and correct record of all funds received and payments made and all assets, liabilities and financial transactions of the Office; (b) as soon as is practicable, but not later than three months after the end of every financial year, prepare annual financial statements reflecting, with appropriate particulars, all funds received and payments made during, and all such assets, liabilities and transactions at the end of, the relevant financial year. (3) The records and financial statements mentioned in subsection (2) must be audited by the Auditor-General.</v>
      </c>
    </row>
    <row r="157" spans="1:15" ht="273.60000000000002" x14ac:dyDescent="0.3">
      <c r="A157" t="str">
        <f>IF(ISNA(MATCH(144,Engine!$C$2:$C$265,0)),"",INDEX('Compliance Database'!$A$2:$A$265,MATCH(144,Engine!$C$2:$C$265,0)))</f>
        <v>South Africa</v>
      </c>
      <c r="B157" t="str">
        <f>IF(ISNA(MATCH(144,Engine!$C$2:$C$265,0)),"",INDEX('Compliance Database'!$B$2:$B$265,MATCH(144,Engine!$C$2:$C$265,0)))</f>
        <v>Financial Advisory and Intermediary Services Act (FAIS) 37 of 2002</v>
      </c>
      <c r="C157" t="str">
        <f>IF(ISNA(MATCH(144,Engine!$C$2:$C$265,0)),"",INDEX('Compliance Database'!$C$2:$C$265,MATCH(144,Engine!$C$2:$C$265,0)))</f>
        <v>24</v>
      </c>
      <c r="D157" s="6" t="str">
        <f>IF(ISNA(MATCH(144,Engine!$C$2:$C$265,0)),"",INDEX('Compliance Database'!$D$2:$D$265,MATCH(144,Engine!$C$2:$C$265,0)))</f>
        <v>The  Ombud may for the performance of functions in the Office and as  a  charge</v>
      </c>
      <c r="E157" t="str">
        <f>IF(ISNA(MATCH(144,Engine!$C$2:$C$265,0)),"",INDEX('Compliance Database'!$E$2:$E$265,MATCH(144,Engine!$C$2:$C$265,0)))</f>
        <v>20</v>
      </c>
      <c r="F157" t="str">
        <f>IF(ISNA(MATCH(144,Engine!$C$2:$C$265,0)),"",INDEX('Compliance Database'!$F$2:$F$265,MATCH(144,Engine!$C$2:$C$265,0)))</f>
        <v>Other</v>
      </c>
      <c r="G157" t="str">
        <f>IF(ISNA(MATCH(144,Engine!$C$2:$C$265,0)),"",INDEX('Compliance Database'!$G$2:$G$265,MATCH(144,Engine!$C$2:$C$265,0)))</f>
        <v>High</v>
      </c>
      <c r="H157" t="str">
        <f>IF(ISNA(MATCH(144,Engine!$C$2:$C$265,0)),"",INDEX('Compliance Database'!$H$2:$H$265,MATCH(144,Engine!$C$2:$C$265,0)))</f>
        <v>High (explicit)</v>
      </c>
      <c r="I157" s="6">
        <f>IF(ISNA(MATCH(144,Engine!$C$2:$C$265,0)),"",INDEX('Compliance Database'!$I$2:$I$265,MATCH(144,Engine!$C$2:$C$265,0)))</f>
        <v>0</v>
      </c>
      <c r="J157" s="6">
        <f>IF(ISNA(MATCH(144,Engine!$C$2:$C$265,0)),"",INDEX('Compliance Database'!$J$2:$J$265,MATCH(144,Engine!$C$2:$C$265,0)))</f>
        <v>0</v>
      </c>
      <c r="K157">
        <f>IF(ISNA(MATCH(144,Engine!$C$2:$C$265,0)),"",INDEX('Compliance Database'!$K$2:$K$265,MATCH(144,Engine!$C$2:$C$265,0)))</f>
        <v>0</v>
      </c>
      <c r="L157" s="6" t="str">
        <f>IF(ISNA(MATCH(144,Engine!$C$2:$C$265,0)),"",INDEX('Compliance Database'!$L$2:$L$265,MATCH(144,Engine!$C$2:$C$265,0)))</f>
        <v>Ombud may hire property, enter agreements, insure, employ staff, and do anything necessary for its functions.</v>
      </c>
      <c r="M157" s="6">
        <f>IF(ISNA(MATCH(144,Engine!$C$2:$C$265,0)),"",INDEX('Compliance Database'!$M$2:$M$265,MATCH(144,Engine!$C$2:$C$265,0)))</f>
        <v>0</v>
      </c>
      <c r="N157" s="6" t="str">
        <f>IF(ISNA(MATCH(144,Engine!$C$2:$C$265,0)),"",INDEX('Compliance Database'!$N$2:$N$265,MATCH(144,Engine!$C$2:$C$265,0)))</f>
        <v>[May] hire, purchase or otherwise acquire property
[May] enter into agreements for performance of specific acts or services
[May] insure the Office against loss, damage, risk or liability
[May] employ persons to assist the Ombud, determine terms of appointment, and delegate administrative functions
[May] obtain professional advice as may reasonably be required
[May] do anything necessary or expedient for achievement of Ombud's objectives</v>
      </c>
      <c r="O157" s="6" t="str">
        <f>IF(ISNA(MATCH(144,Engine!$C$2:$C$265,0)),"",INDEX('Compliance Database'!$O$2:$O$265,MATCH(144,Engine!$C$2:$C$265,0)))</f>
        <v>24. The Ombud may for the performance of functions in the Office and as a charge against or for the benefit of the funds of the Office, as the case may be- (a) hire, purchase or otherwise acquire property, and let, sell or otherwise dispose of property so purchased or acquired; (b) enter into an agreement with any person for the performance of any specific act or function or the rendering of specific services; (c) insure the Office against any loss, damage, risk or liability; (d) employ persons to assist the Ombud, determine their terms of appointment and, subject to such conditions as may be determined by the Ombud, delegate or assign to any such employee, including a deputy ombud, any administrative function vesting in the Ombud in terms of this Part; (e) obtain such professional advice as may reasonably be required: and (f) in general, do anything which is necessary or expedient for the achievement of the objective of the Ombud.</v>
      </c>
    </row>
    <row r="158" spans="1:15" ht="72" x14ac:dyDescent="0.3">
      <c r="A158" t="str">
        <f>IF(ISNA(MATCH(145,Engine!$C$2:$C$265,0)),"",INDEX('Compliance Database'!$A$2:$A$265,MATCH(145,Engine!$C$2:$C$265,0)))</f>
        <v>South Africa</v>
      </c>
      <c r="B158" t="str">
        <f>IF(ISNA(MATCH(145,Engine!$C$2:$C$265,0)),"",INDEX('Compliance Database'!$B$2:$B$265,MATCH(145,Engine!$C$2:$C$265,0)))</f>
        <v>Financial Advisory and Intermediary Services Act (FAIS) 37 of 2002</v>
      </c>
      <c r="C158" t="str">
        <f>IF(ISNA(MATCH(145,Engine!$C$2:$C$265,0)),"",INDEX('Compliance Database'!$C$2:$C$265,MATCH(145,Engine!$C$2:$C$265,0)))</f>
        <v>25</v>
      </c>
      <c r="D158" s="6" t="str">
        <f>IF(ISNA(MATCH(145,Engine!$C$2:$C$265,0)),"",INDEX('Compliance Database'!$D$2:$D$265,MATCH(145,Engine!$C$2:$C$265,0)))</f>
        <v>(1) The Office may not be disestablished</v>
      </c>
      <c r="E158" t="str">
        <f>IF(ISNA(MATCH(145,Engine!$C$2:$C$265,0)),"",INDEX('Compliance Database'!$E$2:$E$265,MATCH(145,Engine!$C$2:$C$265,0)))</f>
        <v>20</v>
      </c>
      <c r="F158" t="str">
        <f>IF(ISNA(MATCH(145,Engine!$C$2:$C$265,0)),"",INDEX('Compliance Database'!$F$2:$F$265,MATCH(145,Engine!$C$2:$C$265,0)))</f>
        <v>Other</v>
      </c>
      <c r="G158" t="str">
        <f>IF(ISNA(MATCH(145,Engine!$C$2:$C$265,0)),"",INDEX('Compliance Database'!$G$2:$G$265,MATCH(145,Engine!$C$2:$C$265,0)))</f>
        <v>High</v>
      </c>
      <c r="H158" t="str">
        <f>IF(ISNA(MATCH(145,Engine!$C$2:$C$265,0)),"",INDEX('Compliance Database'!$H$2:$H$265,MATCH(145,Engine!$C$2:$C$265,0)))</f>
        <v>High (explicit)</v>
      </c>
      <c r="I158" s="6">
        <f>IF(ISNA(MATCH(145,Engine!$C$2:$C$265,0)),"",INDEX('Compliance Database'!$I$2:$I$265,MATCH(145,Engine!$C$2:$C$265,0)))</f>
        <v>0</v>
      </c>
      <c r="J158" s="6">
        <f>IF(ISNA(MATCH(145,Engine!$C$2:$C$265,0)),"",INDEX('Compliance Database'!$J$2:$J$265,MATCH(145,Engine!$C$2:$C$265,0)))</f>
        <v>0</v>
      </c>
      <c r="K158" t="str">
        <f>IF(ISNA(MATCH(145,Engine!$C$2:$C$265,0)),"",INDEX('Compliance Database'!$K$2:$K$265,MATCH(145,Engine!$C$2:$C$265,0)))</f>
        <v>Parliament</v>
      </c>
      <c r="L158" s="6" t="str">
        <f>IF(ISNA(MATCH(145,Engine!$C$2:$C$265,0)),"",INDEX('Compliance Database'!$L$2:$L$265,MATCH(145,Engine!$C$2:$C$265,0)))</f>
        <v>Office may not be disestablished or liquidated except by an Act of Parliament.</v>
      </c>
      <c r="M158" s="6">
        <f>IF(ISNA(MATCH(145,Engine!$C$2:$C$265,0)),"",INDEX('Compliance Database'!$M$2:$M$265,MATCH(145,Engine!$C$2:$C$265,0)))</f>
        <v>0</v>
      </c>
      <c r="N158" s="6" t="str">
        <f>IF(ISNA(MATCH(145,Engine!$C$2:$C$265,0)),"",INDEX('Compliance Database'!$N$2:$N$265,MATCH(145,Engine!$C$2:$C$265,0)))</f>
        <v>[Must] Office may not be disestablished or liquidated except by an Act of Parliament</v>
      </c>
      <c r="O158" s="6" t="str">
        <f>IF(ISNA(MATCH(145,Engine!$C$2:$C$265,0)),"",INDEX('Compliance Database'!$O$2:$O$265,MATCH(145,Engine!$C$2:$C$265,0)))</f>
        <v>25. (1) The Office may not be disestablished or liquidated except by an Act of Parliament. (2) In the event of any such disestablishment or liquidation, the surplus assets of the Office (if any) accrue to the Board.</v>
      </c>
    </row>
    <row r="159" spans="1:15" ht="409.6" x14ac:dyDescent="0.3">
      <c r="A159" t="str">
        <f>IF(ISNA(MATCH(146,Engine!$C$2:$C$265,0)),"",INDEX('Compliance Database'!$A$2:$A$265,MATCH(146,Engine!$C$2:$C$265,0)))</f>
        <v>South Africa</v>
      </c>
      <c r="B159" t="str">
        <f>IF(ISNA(MATCH(146,Engine!$C$2:$C$265,0)),"",INDEX('Compliance Database'!$B$2:$B$265,MATCH(146,Engine!$C$2:$C$265,0)))</f>
        <v>Financial Advisory and Intermediary Services Act (FAIS) 37 of 2002</v>
      </c>
      <c r="C159" t="str">
        <f>IF(ISNA(MATCH(146,Engine!$C$2:$C$265,0)),"",INDEX('Compliance Database'!$C$2:$C$265,MATCH(146,Engine!$C$2:$C$265,0)))</f>
        <v>26</v>
      </c>
      <c r="D159" s="6" t="str">
        <f>IF(ISNA(MATCH(146,Engine!$C$2:$C$265,0)),"",INDEX('Compliance Database'!$D$2:$D$265,MATCH(146,Engine!$C$2:$C$265,0)))</f>
        <v>(1) The  Board may. after  consultation  with  the Advisory Committee.  make rules.</v>
      </c>
      <c r="E159" t="str">
        <f>IF(ISNA(MATCH(146,Engine!$C$2:$C$265,0)),"",INDEX('Compliance Database'!$E$2:$E$265,MATCH(146,Engine!$C$2:$C$265,0)))</f>
        <v>20–21</v>
      </c>
      <c r="F159" t="str">
        <f>IF(ISNA(MATCH(146,Engine!$C$2:$C$265,0)),"",INDEX('Compliance Database'!$F$2:$F$265,MATCH(146,Engine!$C$2:$C$265,0)))</f>
        <v>Other</v>
      </c>
      <c r="G159" t="str">
        <f>IF(ISNA(MATCH(146,Engine!$C$2:$C$265,0)),"",INDEX('Compliance Database'!$G$2:$G$265,MATCH(146,Engine!$C$2:$C$265,0)))</f>
        <v>High</v>
      </c>
      <c r="H159" t="str">
        <f>IF(ISNA(MATCH(146,Engine!$C$2:$C$265,0)),"",INDEX('Compliance Database'!$H$2:$H$265,MATCH(146,Engine!$C$2:$C$265,0)))</f>
        <v>High (explicit)</v>
      </c>
      <c r="I159" s="6">
        <f>IF(ISNA(MATCH(146,Engine!$C$2:$C$265,0)),"",INDEX('Compliance Database'!$I$2:$I$265,MATCH(146,Engine!$C$2:$C$265,0)))</f>
        <v>0</v>
      </c>
      <c r="J159" s="6">
        <f>IF(ISNA(MATCH(146,Engine!$C$2:$C$265,0)),"",INDEX('Compliance Database'!$J$2:$J$265,MATCH(146,Engine!$C$2:$C$265,0)))</f>
        <v>0</v>
      </c>
      <c r="K159" t="str">
        <f>IF(ISNA(MATCH(146,Engine!$C$2:$C$265,0)),"",INDEX('Compliance Database'!$K$2:$K$265,MATCH(146,Engine!$C$2:$C$265,0)))</f>
        <v>Board</v>
      </c>
      <c r="L159" s="6" t="str">
        <f>IF(ISNA(MATCH(146,Engine!$C$2:$C$265,0)),"",INDEX('Compliance Database'!$L$2:$L$265,MATCH(146,Engine!$C$2:$C$265,0)))</f>
        <v>Board may make rules regarding complaints, categories of complainants, complaint types, rights of complainants, and procedures.</v>
      </c>
      <c r="M159" s="6">
        <f>IF(ISNA(MATCH(146,Engine!$C$2:$C$265,0)),"",INDEX('Compliance Database'!$M$2:$M$265,MATCH(146,Engine!$C$2:$C$265,0)))</f>
        <v>0</v>
      </c>
      <c r="N159" s="6" t="str">
        <f>IF(ISNA(MATCH(146,Engine!$C$2:$C$265,0)),"",INDEX('Compliance Database'!$N$2:$N$265,MATCH(146,Engine!$C$2:$C$265,0)))</f>
        <v>[May] Board may make rules including different rules for different categories of complaints
[Must] Board must ensure rules do not detract from Ombud's independence
[Must] Board must publish rules made under subsection (1) in the Gazette</v>
      </c>
      <c r="O159" s="6" t="str">
        <f>IF(ISNA(MATCH(146,Engine!$C$2:$C$265,0)),"",INDEX('Compliance Database'!$O$2:$O$265,MATCH(146,Engine!$C$2:$C$265,0)))</f>
        <v>26. (1) The Board may, after consultation with the Advisory Committee, make rules including different rules in respect of different categories of complaints or investigations by the Ombud, regarding- any matter which is required or permitted under this Act to be regulated by rule; the category of persons qualifying as complainants; the type of complaint justiciable by the Ombud, including a complaint relating to a financial service rendered by a person not authorised as a financial services provider or a person acting on behalf of such first-mentioned person; the rights of complainants in connection with complaints, including the manner of submitting a complaint to the authorised financial services provider or representative concerned; the rights and duties of any such provider or representative on receipt of any complaint, particularly in connection with the furnishing of replies to the complainant; the rights of a complainant to submit a complaint to the Ombud where the complainant is not satisfied with any reply received from the provider or representative concerned; the circumstances under which a complaint may be dismissed without consideration of its merits; the power of the Ombud to fix a time limit for any aspect of the proceedings before the Ombud and to extend a time limit; payment to the Office by the authorised financial services provider or representative involved in any complaint submitted to the Ombud, of case fees in respect of the consideration of the complaint by the Ombud; (c) liaison between the Ombud and the registrar, and administrative duties of those functionaries regarding mutual administrative support, exchange of information and reports, other regular consultations and avoidance of overlapping of their respective functions; and (d) any other administrative or procedural matter necessary or expedient for the better achievement of the objects of this Part, but which is not inconsistent with a provision of this Act. (2) The Board must- (a) ensure that no rule made under subsection (1) detracts from or affects the independence of the Ombud in any material way; (b) publish rules made under subsection (1) in the Gazette.</v>
      </c>
    </row>
    <row r="160" spans="1:15" ht="409.6" x14ac:dyDescent="0.3">
      <c r="A160" t="str">
        <f>IF(ISNA(MATCH(147,Engine!$C$2:$C$265,0)),"",INDEX('Compliance Database'!$A$2:$A$265,MATCH(147,Engine!$C$2:$C$265,0)))</f>
        <v>South Africa</v>
      </c>
      <c r="B160" t="str">
        <f>IF(ISNA(MATCH(147,Engine!$C$2:$C$265,0)),"",INDEX('Compliance Database'!$B$2:$B$265,MATCH(147,Engine!$C$2:$C$265,0)))</f>
        <v>Financial Advisory and Intermediary Services Act (FAIS) 37 of 2002</v>
      </c>
      <c r="C160" t="str">
        <f>IF(ISNA(MATCH(147,Engine!$C$2:$C$265,0)),"",INDEX('Compliance Database'!$C$2:$C$265,MATCH(147,Engine!$C$2:$C$265,0)))</f>
        <v>27</v>
      </c>
      <c r="D160" s="6" t="str">
        <f>IF(ISNA(MATCH(147,Engine!$C$2:$C$265,0)),"",INDEX('Compliance Database'!$D$2:$D$265,MATCH(147,Engine!$C$2:$C$265,0)))</f>
        <v>(1 ) On submission of a complaint  to  the Office, the Ombud must-</v>
      </c>
      <c r="E160" t="str">
        <f>IF(ISNA(MATCH(147,Engine!$C$2:$C$265,0)),"",INDEX('Compliance Database'!$E$2:$E$265,MATCH(147,Engine!$C$2:$C$265,0)))</f>
        <v>21–22</v>
      </c>
      <c r="F160" t="str">
        <f>IF(ISNA(MATCH(147,Engine!$C$2:$C$265,0)),"",INDEX('Compliance Database'!$F$2:$F$265,MATCH(147,Engine!$C$2:$C$265,0)))</f>
        <v>Other</v>
      </c>
      <c r="G160" t="str">
        <f>IF(ISNA(MATCH(147,Engine!$C$2:$C$265,0)),"",INDEX('Compliance Database'!$G$2:$G$265,MATCH(147,Engine!$C$2:$C$265,0)))</f>
        <v>High</v>
      </c>
      <c r="H160" t="str">
        <f>IF(ISNA(MATCH(147,Engine!$C$2:$C$265,0)),"",INDEX('Compliance Database'!$H$2:$H$265,MATCH(147,Engine!$C$2:$C$265,0)))</f>
        <v>High (explicit)</v>
      </c>
      <c r="I160" s="6">
        <f>IF(ISNA(MATCH(147,Engine!$C$2:$C$265,0)),"",INDEX('Compliance Database'!$I$2:$I$265,MATCH(147,Engine!$C$2:$C$265,0)))</f>
        <v>0</v>
      </c>
      <c r="J160" s="6">
        <f>IF(ISNA(MATCH(147,Engine!$C$2:$C$265,0)),"",INDEX('Compliance Database'!$J$2:$J$265,MATCH(147,Engine!$C$2:$C$265,0)))</f>
        <v>0</v>
      </c>
      <c r="K160">
        <f>IF(ISNA(MATCH(147,Engine!$C$2:$C$265,0)),"",INDEX('Compliance Database'!$K$2:$K$265,MATCH(147,Engine!$C$2:$C$265,0)))</f>
        <v>0</v>
      </c>
      <c r="L160" s="6" t="str">
        <f>IF(ISNA(MATCH(147,Engine!$C$2:$C$265,0)),"",INDEX('Compliance Database'!$L$2:$L$265,MATCH(147,Engine!$C$2:$C$265,0)))</f>
        <v>Ombud must determine complaint eligibility, suspend prescription, and follow specific procedures for investigations.</v>
      </c>
      <c r="M160" s="6">
        <f>IF(ISNA(MATCH(147,Engine!$C$2:$C$265,0)),"",INDEX('Compliance Database'!$M$2:$M$265,MATCH(147,Engine!$C$2:$C$265,0)))</f>
        <v>0</v>
      </c>
      <c r="N160" s="6" t="str">
        <f>IF(ISNA(MATCH(147,Engine!$C$2:$C$265,0)),"",INDEX('Compliance Database'!$N$2:$N$265,MATCH(147,Engine!$C$2:$C$265,0)))</f>
        <v>[Must] determine whether complaint meets requirements of rules
[Must] official receipt of complaint suspends prescription for three years
[Must] decline to investigate complaints where act/omission occurred more than three years before complaint receipt
[Must] decline to investigate complaints where court proceedings have been instituted
[May] may determine complaint should be dealt with by court or other dispute resolution process
[Must] must not proceed with investigation unless all interested parties have been informed
[Must] must provide opportunity for response to complaint
[May] may follow procedures including mediation and allow legal representation
[Must] must explore reasonable prospect of resolving complaint by conciliation
[May] may make recommendations for conciliation with acceptance or rejection</v>
      </c>
      <c r="O160" s="6" t="str">
        <f>IF(ISNA(MATCH(147,Engine!$C$2:$C$265,0)),"",INDEX('Compliance Database'!$O$2:$O$265,MATCH(147,Engine!$C$2:$C$265,0)))</f>
        <v>27. (1) On submission of a complaint to the Office, the Ombud must- (a) determine whether the requirements of the rules contemplated in section 26(1)(a)(iv) have been complied with; (b) otherwise officially receive the complaint if it qualifies as a complaint. (2) Official receipt of a complaint by the Ombud suspends the running of prescription in terms of the Prescription Act, 1969, for the period after such receipt of the complaint until the complaint has either been withdrawn, or determined by the Ombud or the board of appeal, as the case may be. (3) The following jurisdictional provisions apply to the Ombud in respect of the investigation of complaints: (a) (i) The Ombud must decline to investigate any complaint which relates to an act or omission which occurred on or after the date of commencement of this Act but on a date more than three years before the date of receipt of such complaint by the Office. (ii) Where the complainant was unaware of the occurrence of the act or omission contemplated in subparagraph (i), the period of three years commences from the date of the occurrence of the act or omission. (b) The Ombud must decline to investigate any complaint where court proceedings have been instituted. (4) The Ombud must not proceed with investigation unless all interested parties have been informed. (5) The Ombud must provide opportunity for response to complaint. (6) The Ombud may follow procedures including mediation and allow legal representation. (7) The Omb: must explore reasonable prospect of resolving complaint by conciliation.</v>
      </c>
    </row>
    <row r="161" spans="1:15" ht="259.2" x14ac:dyDescent="0.3">
      <c r="A161" t="str">
        <f>IF(ISNA(MATCH(148,Engine!$C$2:$C$265,0)),"",INDEX('Compliance Database'!$A$2:$A$265,MATCH(148,Engine!$C$2:$C$265,0)))</f>
        <v>South Africa</v>
      </c>
      <c r="B161" t="str">
        <f>IF(ISNA(MATCH(148,Engine!$C$2:$C$265,0)),"",INDEX('Compliance Database'!$B$2:$B$265,MATCH(148,Engine!$C$2:$C$265,0)))</f>
        <v>Financial Advisory and Intermediary Services Act (FAIS) 37 of 2002</v>
      </c>
      <c r="C161" t="str">
        <f>IF(ISNA(MATCH(148,Engine!$C$2:$C$265,0)),"",INDEX('Compliance Database'!$C$2:$C$265,MATCH(148,Engine!$C$2:$C$265,0)))</f>
        <v>28</v>
      </c>
      <c r="D161" s="6" t="str">
        <f>IF(ISNA(MATCH(148,Engine!$C$2:$C$265,0)),"",INDEX('Compliance Database'!$D$2:$D$265,MATCH(148,Engine!$C$2:$C$265,0)))</f>
        <v>(1) The Ombud must in any case where a matter has not been settled or a</v>
      </c>
      <c r="E161" t="str">
        <f>IF(ISNA(MATCH(148,Engine!$C$2:$C$265,0)),"",INDEX('Compliance Database'!$E$2:$E$265,MATCH(148,Engine!$C$2:$C$265,0)))</f>
        <v>22–23</v>
      </c>
      <c r="F161" t="str">
        <f>IF(ISNA(MATCH(148,Engine!$C$2:$C$265,0)),"",INDEX('Compliance Database'!$F$2:$F$265,MATCH(148,Engine!$C$2:$C$265,0)))</f>
        <v>Other</v>
      </c>
      <c r="G161" t="str">
        <f>IF(ISNA(MATCH(148,Engine!$C$2:$C$265,0)),"",INDEX('Compliance Database'!$G$2:$G$265,MATCH(148,Engine!$C$2:$C$265,0)))</f>
        <v>High</v>
      </c>
      <c r="H161" t="str">
        <f>IF(ISNA(MATCH(148,Engine!$C$2:$C$265,0)),"",INDEX('Compliance Database'!$H$2:$H$265,MATCH(148,Engine!$C$2:$C$265,0)))</f>
        <v>High (explicit)</v>
      </c>
      <c r="I161" s="6">
        <f>IF(ISNA(MATCH(148,Engine!$C$2:$C$265,0)),"",INDEX('Compliance Database'!$I$2:$I$265,MATCH(148,Engine!$C$2:$C$265,0)))</f>
        <v>0</v>
      </c>
      <c r="J161" s="6">
        <f>IF(ISNA(MATCH(148,Engine!$C$2:$C$265,0)),"",INDEX('Compliance Database'!$J$2:$J$265,MATCH(148,Engine!$C$2:$C$265,0)))</f>
        <v>0</v>
      </c>
      <c r="K161">
        <f>IF(ISNA(MATCH(148,Engine!$C$2:$C$265,0)),"",INDEX('Compliance Database'!$K$2:$K$265,MATCH(148,Engine!$C$2:$C$265,0)))</f>
        <v>0</v>
      </c>
      <c r="L161" s="6" t="str">
        <f>IF(ISNA(MATCH(148,Engine!$C$2:$C$265,0)),"",INDEX('Compliance Database'!$L$2:$L$265,MATCH(148,Engine!$C$2:$C$265,0)))</f>
        <v>Ombud must issue determinations, send copies to registrar and parties, and determinations are treated as court judgments.</v>
      </c>
      <c r="M161" s="6">
        <f>IF(ISNA(MATCH(148,Engine!$C$2:$C$265,0)),"",INDEX('Compliance Database'!$M$2:$M$265,MATCH(148,Engine!$C$2:$C$265,0)))</f>
        <v>0</v>
      </c>
      <c r="N161" s="6" t="str">
        <f>IF(ISNA(MATCH(148,Engine!$C$2:$C$265,0)),"",INDEX('Compliance Database'!$N$2:$N$265,MATCH(148,Engine!$C$2:$C$265,0)))</f>
        <v>[Must] issue determinations with copies sent to registrar and parties
[Must] determinations are treated as civil judgments of a court
[Must] determinations are only appealable to board of appeal</v>
      </c>
      <c r="O161" s="6" t="str">
        <f>IF(ISNA(MATCH(148,Engine!$C$2:$C$265,0)),"",INDEX('Compliance Database'!$O$2:$O$265,MATCH(148,Engine!$C$2:$C$265,0)))</f>
        <v>28. (1) The Ombud must issue determinations with copies sent to the registrar and all parties concerned with the complaint and, if no notice of appeal to the board of appeal has been lodged within the period required therefor, to the clerk or registrar of court which would have had jurisdiction in the matter had it been heard by a Court. (2) Where a notice of appeal has been lodged, the Ombud must send a copy of the final decision of the board of appeal to any such clerk or registrar. (3) A determination or a final decision of the board of appeal is regarded as a civil judgment of a Court, had the matter in question been heard by a Court, and must be so noted by the clerk or registrar, as the case may be, of that court. (4) A determination is only appealable to the board of appeal if the complexity of the matter or the reasonable likelihood that the board of appeal may reach a different conclusion.</v>
      </c>
    </row>
    <row r="162" spans="1:15" ht="172.8" x14ac:dyDescent="0.3">
      <c r="A162" t="str">
        <f>IF(ISNA(MATCH(149,Engine!$C$2:$C$265,0)),"",INDEX('Compliance Database'!$A$2:$A$265,MATCH(149,Engine!$C$2:$C$265,0)))</f>
        <v>South Africa</v>
      </c>
      <c r="B162" t="str">
        <f>IF(ISNA(MATCH(149,Engine!$C$2:$C$265,0)),"",INDEX('Compliance Database'!$B$2:$B$265,MATCH(149,Engine!$C$2:$C$265,0)))</f>
        <v>Financial Advisory and Intermediary Services Act (FAIS) 37 of 2002</v>
      </c>
      <c r="C162" t="str">
        <f>IF(ISNA(MATCH(149,Engine!$C$2:$C$265,0)),"",INDEX('Compliance Database'!$C$2:$C$265,MATCH(149,Engine!$C$2:$C$265,0)))</f>
        <v>29</v>
      </c>
      <c r="D162" s="6" t="str">
        <f>IF(ISNA(MATCH(149,Engine!$C$2:$C$265,0)),"",INDEX('Compliance Database'!$D$2:$D$265,MATCH(149,Engine!$C$2:$C$265,0)))</f>
        <v>(1) The  Ombud must keep proper files and  records  in  respect of complaints as well</v>
      </c>
      <c r="E162" t="str">
        <f>IF(ISNA(MATCH(149,Engine!$C$2:$C$265,0)),"",INDEX('Compliance Database'!$E$2:$E$265,MATCH(149,Engine!$C$2:$C$265,0)))</f>
        <v>23</v>
      </c>
      <c r="F162" t="str">
        <f>IF(ISNA(MATCH(149,Engine!$C$2:$C$265,0)),"",INDEX('Compliance Database'!$F$2:$F$265,MATCH(149,Engine!$C$2:$C$265,0)))</f>
        <v>Other</v>
      </c>
      <c r="G162" t="str">
        <f>IF(ISNA(MATCH(149,Engine!$C$2:$C$265,0)),"",INDEX('Compliance Database'!$G$2:$G$265,MATCH(149,Engine!$C$2:$C$265,0)))</f>
        <v>High</v>
      </c>
      <c r="H162" t="str">
        <f>IF(ISNA(MATCH(149,Engine!$C$2:$C$265,0)),"",INDEX('Compliance Database'!$H$2:$H$265,MATCH(149,Engine!$C$2:$C$265,0)))</f>
        <v>High (explicit)</v>
      </c>
      <c r="I162" s="6">
        <f>IF(ISNA(MATCH(149,Engine!$C$2:$C$265,0)),"",INDEX('Compliance Database'!$I$2:$I$265,MATCH(149,Engine!$C$2:$C$265,0)))</f>
        <v>0</v>
      </c>
      <c r="J162" s="6">
        <f>IF(ISNA(MATCH(149,Engine!$C$2:$C$265,0)),"",INDEX('Compliance Database'!$J$2:$J$265,MATCH(149,Engine!$C$2:$C$265,0)))</f>
        <v>0</v>
      </c>
      <c r="K162">
        <f>IF(ISNA(MATCH(149,Engine!$C$2:$C$265,0)),"",INDEX('Compliance Database'!$K$2:$K$265,MATCH(149,Engine!$C$2:$C$265,0)))</f>
        <v>0</v>
      </c>
      <c r="L162" s="6" t="str">
        <f>IF(ISNA(MATCH(149,Engine!$C$2:$C$265,0)),"",INDEX('Compliance Database'!$L$2:$L$265,MATCH(149,Engine!$C$2:$C$265,0)))</f>
        <v>Ombud must keep proper files and records of complaints and determinations, with access for registrar and fee-based public access.</v>
      </c>
      <c r="M162" s="6">
        <f>IF(ISNA(MATCH(149,Engine!$C$2:$C$265,0)),"",INDEX('Compliance Database'!$M$2:$M$265,MATCH(149,Engine!$C$2:$C$265,0)))</f>
        <v>0</v>
      </c>
      <c r="N162" s="6" t="str">
        <f>IF(ISNA(MATCH(149,Engine!$C$2:$C$265,0)),"",INDEX('Compliance Database'!$N$2:$N$265,MATCH(149,Engine!$C$2:$C$265,0)))</f>
        <v>[Must] keep proper files and records of complaints and determinations
[Must] registrar has access to Ombud's files and records for performance of functions
[May] interested persons may obtain copies of records on payment of fee</v>
      </c>
      <c r="O162" s="6" t="str">
        <f>IF(ISNA(MATCH(149,Engine!$C$2:$C$265,0)),"",INDEX('Compliance Database'!$O$2:$O$265,MATCH(149,Engine!$C$2:$C$265,0)))</f>
        <v>29. (1) The Ombud must keep proper files and records in respect of complaints as well as of any determination proceedings conducted in terms of section 28. (2) The registrar has, for the purposes of the performance of the registrar's functions under this or any other law, access to the Ombud's files and records and may without further proof rely on a copy of any record of proceedings signed by the Ombud. (3) Any interested person may, subject to the discretion of the Ombud and applicable rules of confidentiality, obtain a copy of any record on payment of a fee determined by the Ombud.</v>
      </c>
    </row>
    <row r="163" spans="1:15" ht="115.2" x14ac:dyDescent="0.3">
      <c r="A163" t="str">
        <f>IF(ISNA(MATCH(150,Engine!$C$2:$C$265,0)),"",INDEX('Compliance Database'!$A$2:$A$265,MATCH(150,Engine!$C$2:$C$265,0)))</f>
        <v>South Africa</v>
      </c>
      <c r="B163" t="str">
        <f>IF(ISNA(MATCH(150,Engine!$C$2:$C$265,0)),"",INDEX('Compliance Database'!$B$2:$B$265,MATCH(150,Engine!$C$2:$C$265,0)))</f>
        <v>Financial Advisory and Intermediary Services Act (FAIS) 37 of 2002</v>
      </c>
      <c r="C163" t="str">
        <f>IF(ISNA(MATCH(150,Engine!$C$2:$C$265,0)),"",INDEX('Compliance Database'!$C$2:$C$265,MATCH(150,Engine!$C$2:$C$265,0)))</f>
        <v>30</v>
      </c>
      <c r="D163" s="6" t="str">
        <f>IF(ISNA(MATCH(150,Engine!$C$2:$C$265,0)),"",INDEX('Compliance Database'!$D$2:$D$265,MATCH(150,Engine!$C$2:$C$265,0)))</f>
        <v>(1) The  Ombud must during every year, within six months after the end of the</v>
      </c>
      <c r="E163" t="str">
        <f>IF(ISNA(MATCH(150,Engine!$C$2:$C$265,0)),"",INDEX('Compliance Database'!$E$2:$E$265,MATCH(150,Engine!$C$2:$C$265,0)))</f>
        <v>23</v>
      </c>
      <c r="F163" t="str">
        <f>IF(ISNA(MATCH(150,Engine!$C$2:$C$265,0)),"",INDEX('Compliance Database'!$F$2:$F$265,MATCH(150,Engine!$C$2:$C$265,0)))</f>
        <v>Other</v>
      </c>
      <c r="G163" t="str">
        <f>IF(ISNA(MATCH(150,Engine!$C$2:$C$265,0)),"",INDEX('Compliance Database'!$G$2:$G$265,MATCH(150,Engine!$C$2:$C$265,0)))</f>
        <v>High</v>
      </c>
      <c r="H163" t="str">
        <f>IF(ISNA(MATCH(150,Engine!$C$2:$C$265,0)),"",INDEX('Compliance Database'!$H$2:$H$265,MATCH(150,Engine!$C$2:$C$265,0)))</f>
        <v>High (explicit)</v>
      </c>
      <c r="I163" s="6">
        <f>IF(ISNA(MATCH(150,Engine!$C$2:$C$265,0)),"",INDEX('Compliance Database'!$I$2:$I$265,MATCH(150,Engine!$C$2:$C$265,0)))</f>
        <v>0</v>
      </c>
      <c r="J163" s="6">
        <f>IF(ISNA(MATCH(150,Engine!$C$2:$C$265,0)),"",INDEX('Compliance Database'!$J$2:$J$265,MATCH(150,Engine!$C$2:$C$265,0)))</f>
        <v>0</v>
      </c>
      <c r="K163">
        <f>IF(ISNA(MATCH(150,Engine!$C$2:$C$265,0)),"",INDEX('Compliance Database'!$K$2:$K$265,MATCH(150,Engine!$C$2:$C$265,0)))</f>
        <v>0</v>
      </c>
      <c r="L163" s="6" t="str">
        <f>IF(ISNA(MATCH(150,Engine!$C$2:$C$265,0)),"",INDEX('Compliance Database'!$L$2:$L$265,MATCH(150,Engine!$C$2:$C$265,0)))</f>
        <v>Ombud must submit annual report to Board and Minister within six months after financial year end.</v>
      </c>
      <c r="M163" s="6">
        <f>IF(ISNA(MATCH(150,Engine!$C$2:$C$265,0)),"",INDEX('Compliance Database'!$M$2:$M$265,MATCH(150,Engine!$C$2:$C$265,0)))</f>
        <v>0</v>
      </c>
      <c r="N163" s="6" t="str">
        <f>IF(ISNA(MATCH(150,Engine!$C$2:$C$265,0)),"",INDEX('Compliance Database'!$N$2:$N$265,MATCH(150,Engine!$C$2:$C$265,0)))</f>
        <v>[Must] submit annual report to Board within six months after financial year end
[Must] submit copy of report to Minister</v>
      </c>
      <c r="O163" s="6" t="str">
        <f>IF(ISNA(MATCH(150,Engine!$C$2:$C$265,0)),"",INDEX('Compliance Database'!$O$2:$O$265,MATCH(150,Engine!$C$2:$C$265,0)))</f>
        <v>30. (1) The Ombud must during every year, within six months after the end of the financial year of the Ombud, submit a report to the Board on the affairs and functions of the Ombud during the financial year in question, including the annual financial statements referred to in section 23(2)(6). (2) The Ombud must at the same time submit a copy of the report to the Minister.</v>
      </c>
    </row>
    <row r="164" spans="1:15" x14ac:dyDescent="0.3">
      <c r="A164" t="str">
        <f>IF(ISNA(MATCH(151,Engine!$C$2:$C$265,0)),"",INDEX('Compliance Database'!$A$2:$A$265,MATCH(151,Engine!$C$2:$C$265,0)))</f>
        <v>South Africa</v>
      </c>
      <c r="B164" t="str">
        <f>IF(ISNA(MATCH(151,Engine!$C$2:$C$265,0)),"",INDEX('Compliance Database'!$B$2:$B$265,MATCH(151,Engine!$C$2:$C$265,0)))</f>
        <v>Financial Advisory and Intermediary Services Act (FAIS) 37 of 2002</v>
      </c>
      <c r="C164" t="str">
        <f>IF(ISNA(MATCH(151,Engine!$C$2:$C$265,0)),"",INDEX('Compliance Database'!$C$2:$C$265,MATCH(151,Engine!$C$2:$C$265,0)))</f>
        <v>30</v>
      </c>
      <c r="D164" s="6" t="str">
        <f>IF(ISNA(MATCH(151,Engine!$C$2:$C$265,0)),"",INDEX('Compliance Database'!$D$2:$D$265,MATCH(151,Engine!$C$2:$C$265,0)))</f>
        <v>A record  purporting to have</v>
      </c>
      <c r="E164" t="str">
        <f>IF(ISNA(MATCH(151,Engine!$C$2:$C$265,0)),"",INDEX('Compliance Database'!$E$2:$E$265,MATCH(151,Engine!$C$2:$C$265,0)))</f>
        <v>35</v>
      </c>
      <c r="F164" t="str">
        <f>IF(ISNA(MATCH(151,Engine!$C$2:$C$265,0)),"",INDEX('Compliance Database'!$F$2:$F$265,MATCH(151,Engine!$C$2:$C$265,0)))</f>
        <v>Other</v>
      </c>
      <c r="G164" t="str">
        <f>IF(ISNA(MATCH(151,Engine!$C$2:$C$265,0)),"",INDEX('Compliance Database'!$G$2:$G$265,MATCH(151,Engine!$C$2:$C$265,0)))</f>
        <v>Unknown</v>
      </c>
      <c r="H164" t="str">
        <f>IF(ISNA(MATCH(151,Engine!$C$2:$C$265,0)),"",INDEX('Compliance Database'!$H$2:$H$265,MATCH(151,Engine!$C$2:$C$265,0)))</f>
        <v>Low</v>
      </c>
      <c r="I164" s="6">
        <f>IF(ISNA(MATCH(151,Engine!$C$2:$C$265,0)),"",INDEX('Compliance Database'!$I$2:$I$265,MATCH(151,Engine!$C$2:$C$265,0)))</f>
        <v>0</v>
      </c>
      <c r="J164" s="6">
        <f>IF(ISNA(MATCH(151,Engine!$C$2:$C$265,0)),"",INDEX('Compliance Database'!$J$2:$J$265,MATCH(151,Engine!$C$2:$C$265,0)))</f>
        <v>0</v>
      </c>
      <c r="K164">
        <f>IF(ISNA(MATCH(151,Engine!$C$2:$C$265,0)),"",INDEX('Compliance Database'!$K$2:$K$265,MATCH(151,Engine!$C$2:$C$265,0)))</f>
        <v>0</v>
      </c>
      <c r="L164" s="6">
        <f>IF(ISNA(MATCH(151,Engine!$C$2:$C$265,0)),"",INDEX('Compliance Database'!$L$2:$L$265,MATCH(151,Engine!$C$2:$C$265,0)))</f>
        <v>0</v>
      </c>
      <c r="M164" s="6">
        <f>IF(ISNA(MATCH(151,Engine!$C$2:$C$265,0)),"",INDEX('Compliance Database'!$M$2:$M$265,MATCH(151,Engine!$C$2:$C$265,0)))</f>
        <v>0</v>
      </c>
      <c r="N164" s="6">
        <f>IF(ISNA(MATCH(151,Engine!$C$2:$C$265,0)),"",INDEX('Compliance Database'!$N$2:$N$265,MATCH(151,Engine!$C$2:$C$265,0)))</f>
        <v>0</v>
      </c>
      <c r="O164" s="6">
        <f>IF(ISNA(MATCH(151,Engine!$C$2:$C$265,0)),"",INDEX('Compliance Database'!$O$2:$O$265,MATCH(151,Engine!$C$2:$C$265,0)))</f>
        <v>0</v>
      </c>
    </row>
    <row r="165" spans="1:15" ht="172.8" x14ac:dyDescent="0.3">
      <c r="A165" t="str">
        <f>IF(ISNA(MATCH(152,Engine!$C$2:$C$265,0)),"",INDEX('Compliance Database'!$A$2:$A$265,MATCH(152,Engine!$C$2:$C$265,0)))</f>
        <v>South Africa</v>
      </c>
      <c r="B165" t="str">
        <f>IF(ISNA(MATCH(152,Engine!$C$2:$C$265,0)),"",INDEX('Compliance Database'!$B$2:$B$265,MATCH(152,Engine!$C$2:$C$265,0)))</f>
        <v>Financial Advisory and Intermediary Services Act (FAIS) 37 of 2002</v>
      </c>
      <c r="C165" t="str">
        <f>IF(ISNA(MATCH(152,Engine!$C$2:$C$265,0)),"",INDEX('Compliance Database'!$C$2:$C$265,MATCH(152,Engine!$C$2:$C$265,0)))</f>
        <v>31</v>
      </c>
      <c r="D165" s="6" t="str">
        <f>IF(ISNA(MATCH(152,Engine!$C$2:$C$265,0)),"",INDEX('Compliance Database'!$D$2:$D$265,MATCH(152,Engine!$C$2:$C$265,0)))</f>
        <v>Any person who-</v>
      </c>
      <c r="E165" t="str">
        <f>IF(ISNA(MATCH(152,Engine!$C$2:$C$265,0)),"",INDEX('Compliance Database'!$E$2:$E$265,MATCH(152,Engine!$C$2:$C$265,0)))</f>
        <v>23</v>
      </c>
      <c r="F165" t="str">
        <f>IF(ISNA(MATCH(152,Engine!$C$2:$C$265,0)),"",INDEX('Compliance Database'!$F$2:$F$265,MATCH(152,Engine!$C$2:$C$265,0)))</f>
        <v>Other</v>
      </c>
      <c r="G165" t="str">
        <f>IF(ISNA(MATCH(152,Engine!$C$2:$C$265,0)),"",INDEX('Compliance Database'!$G$2:$G$265,MATCH(152,Engine!$C$2:$C$265,0)))</f>
        <v>High</v>
      </c>
      <c r="H165" t="str">
        <f>IF(ISNA(MATCH(152,Engine!$C$2:$C$265,0)),"",INDEX('Compliance Database'!$H$2:$H$265,MATCH(152,Engine!$C$2:$C$265,0)))</f>
        <v>High (explicit)</v>
      </c>
      <c r="I165" s="6">
        <f>IF(ISNA(MATCH(152,Engine!$C$2:$C$265,0)),"",INDEX('Compliance Database'!$I$2:$I$265,MATCH(152,Engine!$C$2:$C$265,0)))</f>
        <v>0</v>
      </c>
      <c r="J165" s="6">
        <f>IF(ISNA(MATCH(152,Engine!$C$2:$C$265,0)),"",INDEX('Compliance Database'!$J$2:$J$265,MATCH(152,Engine!$C$2:$C$265,0)))</f>
        <v>0</v>
      </c>
      <c r="K165">
        <f>IF(ISNA(MATCH(152,Engine!$C$2:$C$265,0)),"",INDEX('Compliance Database'!$K$2:$K$265,MATCH(152,Engine!$C$2:$C$265,0)))</f>
        <v>0</v>
      </c>
      <c r="L165" s="6" t="str">
        <f>IF(ISNA(MATCH(152,Engine!$C$2:$C$265,0)),"",INDEX('Compliance Database'!$L$2:$L$265,MATCH(152,Engine!$C$2:$C$265,0)))</f>
        <v>Contempt of court or interference with Ombud proceedings is an offence punishable by fine or imprisonment.</v>
      </c>
      <c r="M165" s="6">
        <f>IF(ISNA(MATCH(152,Engine!$C$2:$C$265,0)),"",INDEX('Compliance Database'!$M$2:$M$265,MATCH(152,Engine!$C$2:$C$265,0)))</f>
        <v>0</v>
      </c>
      <c r="N165" s="6" t="str">
        <f>IF(ISNA(MATCH(152,Engine!$C$2:$C$265,0)),"",INDEX('Compliance Database'!$N$2:$N$265,MATCH(152,Engine!$C$2:$C$265,0)))</f>
        <v>[Guilty of offence] commit acts in respect of Ombud or investigations that would constitute contempt of court
[Guilty of offence] anticipate Ombud determination to influence it
[Guilty of offence] wilfully interrupt Ombud proceedings</v>
      </c>
      <c r="O165" s="6" t="str">
        <f>IF(ISNA(MATCH(152,Engine!$C$2:$C$265,0)),"",INDEX('Compliance Database'!$O$2:$O$265,MATCH(152,Engine!$C$2:$C$265,0)))</f>
        <v>31. Any person who- (a) commits any act in respect of the Ombud or an investigation by the Ombud which, if committed in respect of a court of law, would have constituted contempt of court, is guilty of an offence and liable on conviction to any penalty which may be imposed on a conviction of contempt of court; or (b) anticipates a determination of the Ombud in any manner calculated to influence the determination, or wilfully interrupts any proceedings conducted by the Ombud, is guilty of an offence and liable on conviction to a fine or to imprisonment for a period not exceeding one year.</v>
      </c>
    </row>
    <row r="166" spans="1:15" ht="259.2" x14ac:dyDescent="0.3">
      <c r="A166" t="str">
        <f>IF(ISNA(MATCH(153,Engine!$C$2:$C$265,0)),"",INDEX('Compliance Database'!$A$2:$A$265,MATCH(153,Engine!$C$2:$C$265,0)))</f>
        <v>South Africa</v>
      </c>
      <c r="B166" t="str">
        <f>IF(ISNA(MATCH(153,Engine!$C$2:$C$265,0)),"",INDEX('Compliance Database'!$B$2:$B$265,MATCH(153,Engine!$C$2:$C$265,0)))</f>
        <v>Financial Advisory and Intermediary Services Act (FAIS) 37 of 2002</v>
      </c>
      <c r="C166" t="str">
        <f>IF(ISNA(MATCH(153,Engine!$C$2:$C$265,0)),"",INDEX('Compliance Database'!$C$2:$C$265,MATCH(153,Engine!$C$2:$C$265,0)))</f>
        <v>31</v>
      </c>
      <c r="D166" s="6" t="str">
        <f>IF(ISNA(MATCH(153,Engine!$C$2:$C$265,0)),"",INDEX('Compliance Database'!$D$2:$D$265,MATCH(153,Engine!$C$2:$C$265,0)))</f>
        <v>(1) If a court-</v>
      </c>
      <c r="E166" t="str">
        <f>IF(ISNA(MATCH(153,Engine!$C$2:$C$265,0)),"",INDEX('Compliance Database'!$E$2:$E$265,MATCH(153,Engine!$C$2:$C$265,0)))</f>
        <v>36–37</v>
      </c>
      <c r="F166" t="str">
        <f>IF(ISNA(MATCH(153,Engine!$C$2:$C$265,0)),"",INDEX('Compliance Database'!$F$2:$F$265,MATCH(153,Engine!$C$2:$C$265,0)))</f>
        <v>Other</v>
      </c>
      <c r="G166" t="str">
        <f>IF(ISNA(MATCH(153,Engine!$C$2:$C$265,0)),"",INDEX('Compliance Database'!$G$2:$G$265,MATCH(153,Engine!$C$2:$C$265,0)))</f>
        <v>High</v>
      </c>
      <c r="H166" t="str">
        <f>IF(ISNA(MATCH(153,Engine!$C$2:$C$265,0)),"",INDEX('Compliance Database'!$H$2:$H$265,MATCH(153,Engine!$C$2:$C$265,0)))</f>
        <v>High (explicit)</v>
      </c>
      <c r="I166" s="6" t="str">
        <f>IF(ISNA(MATCH(153,Engine!$C$2:$C$265,0)),"",INDEX('Compliance Database'!$I$2:$I$265,MATCH(153,Engine!$C$2:$C$265,0)))</f>
        <v>Financial Data</v>
      </c>
      <c r="J166" s="6" t="str">
        <f>IF(ISNA(MATCH(153,Engine!$C$2:$C$265,0)),"",INDEX('Compliance Database'!$J$2:$J$265,MATCH(153,Engine!$C$2:$C$265,0)))</f>
        <v>Financial Data</v>
      </c>
      <c r="K166">
        <f>IF(ISNA(MATCH(153,Engine!$C$2:$C$265,0)),"",INDEX('Compliance Database'!$K$2:$K$265,MATCH(153,Engine!$C$2:$C$265,0)))</f>
        <v>0</v>
      </c>
      <c r="L166" s="6" t="str">
        <f>IF(ISNA(MATCH(153,Engine!$C$2:$C$265,0)),"",INDEX('Compliance Database'!$L$2:$L$265,MATCH(153,Engine!$C$2:$C$265,0)))</f>
        <v>Courts may declare members, officers, or employees disqualified for dishonest conduct in financial services.</v>
      </c>
      <c r="M166" s="6">
        <f>IF(ISNA(MATCH(153,Engine!$C$2:$C$265,0)),"",INDEX('Compliance Database'!$M$2:$M$265,MATCH(153,Engine!$C$2:$C$265,0)))</f>
        <v>0</v>
      </c>
      <c r="N166" s="6" t="str">
        <f>IF(ISNA(MATCH(153,Engine!$C$2:$C$265,0)),"",INDEX('Compliance Database'!$N$2:$N$265,MATCH(153,Engine!$C$2:$C$265,0)))</f>
        <v>[Must] the court may declare that member, officer or employee of a member [or person] to be disqualified for an indefinite period or for a period specified by the court, from carrying on the business of a member or from being an officer or employee of a member</v>
      </c>
      <c r="O166" s="6" t="str">
        <f>IF(ISNA(MATCH(153,Engine!$C$2:$C$265,0)),"",INDEX('Compliance Database'!$O$2:$O$265,MATCH(153,Engine!$C$2:$C$265,0)))</f>
        <v>31. (1) If a court convicts a member or officer or employee of a member [or a person approved in terms of section 51 of an offence under this Act or of an offence of which any dishonest act or omission is an element; or finds, in proceedings to which a member or officer or employee of a member [or a person approved in terms of section 51 or such person's officer or employee] is a party or in which such member's, officer's or employee's [or person's] conduct is called in question, that such member, officer or employee [or person] has been guilty of dishonest conduct, the court may (in addition, in a case referred to in paragraph (a) to any sentence it may impose) declare that member, officer or employee of a member [or person] to be disqualified for an indefinite period or for a period specified by the court, from carrying on the business of a member or from being an officer or employee of a member.</v>
      </c>
    </row>
    <row r="167" spans="1:15" ht="316.8" x14ac:dyDescent="0.3">
      <c r="A167" t="str">
        <f>IF(ISNA(MATCH(154,Engine!$C$2:$C$265,0)),"",INDEX('Compliance Database'!$A$2:$A$265,MATCH(154,Engine!$C$2:$C$265,0)))</f>
        <v>South Africa</v>
      </c>
      <c r="B167" t="str">
        <f>IF(ISNA(MATCH(154,Engine!$C$2:$C$265,0)),"",INDEX('Compliance Database'!$B$2:$B$265,MATCH(154,Engine!$C$2:$C$265,0)))</f>
        <v>Financial Advisory and Intermediary Services Act (FAIS) 37 of 2002</v>
      </c>
      <c r="C167" t="str">
        <f>IF(ISNA(MATCH(154,Engine!$C$2:$C$265,0)),"",INDEX('Compliance Database'!$C$2:$C$265,MATCH(154,Engine!$C$2:$C$265,0)))</f>
        <v>32</v>
      </c>
      <c r="D167" s="6" t="str">
        <f>IF(ISNA(MATCH(154,Engine!$C$2:$C$265,0)),"",INDEX('Compliance Database'!$D$2:$D$265,MATCH(154,Engine!$C$2:$C$265,0)))</f>
        <v>CHAPTER VI</v>
      </c>
      <c r="E167" t="str">
        <f>IF(ISNA(MATCH(154,Engine!$C$2:$C$265,0)),"",INDEX('Compliance Database'!$E$2:$E$265,MATCH(154,Engine!$C$2:$C$265,0)))</f>
        <v>3</v>
      </c>
      <c r="F167" t="str">
        <f>IF(ISNA(MATCH(154,Engine!$C$2:$C$265,0)),"",INDEX('Compliance Database'!$F$2:$F$265,MATCH(154,Engine!$C$2:$C$265,0)))</f>
        <v>Cross-border Transfer</v>
      </c>
      <c r="G167" t="str">
        <f>IF(ISNA(MATCH(154,Engine!$C$2:$C$265,0)),"",INDEX('Compliance Database'!$G$2:$G$265,MATCH(154,Engine!$C$2:$C$265,0)))</f>
        <v>High</v>
      </c>
      <c r="H167" t="str">
        <f>IF(ISNA(MATCH(154,Engine!$C$2:$C$265,0)),"",INDEX('Compliance Database'!$H$2:$H$265,MATCH(154,Engine!$C$2:$C$265,0)))</f>
        <v>Medium (minor interpretation)</v>
      </c>
      <c r="I167" s="6">
        <f>IF(ISNA(MATCH(154,Engine!$C$2:$C$265,0)),"",INDEX('Compliance Database'!$I$2:$I$265,MATCH(154,Engine!$C$2:$C$265,0)))</f>
        <v>0</v>
      </c>
      <c r="J167" s="6">
        <f>IF(ISNA(MATCH(154,Engine!$C$2:$C$265,0)),"",INDEX('Compliance Database'!$J$2:$J$265,MATCH(154,Engine!$C$2:$C$265,0)))</f>
        <v>0</v>
      </c>
      <c r="K167" t="str">
        <f>IF(ISNA(MATCH(154,Engine!$C$2:$C$265,0)),"",INDEX('Compliance Database'!$K$2:$K$265,MATCH(154,Engine!$C$2:$C$265,0)))</f>
        <v>Ombud for Financial Services Providers</v>
      </c>
      <c r="L167" s="6" t="str">
        <f>IF(ISNA(MATCH(154,Engine!$C$2:$C$265,0)),"",INDEX('Compliance Database'!$L$2:$L$265,MATCH(154,Engine!$C$2:$C$265,0)))</f>
        <v>Outlines enforcement mechanisms including ombud office, funding, accountability, and penalties for financial services providers.</v>
      </c>
      <c r="M167" s="6">
        <f>IF(ISNA(MATCH(154,Engine!$C$2:$C$265,0)),"",INDEX('Compliance Database'!$M$2:$M$265,MATCH(154,Engine!$C$2:$C$265,0)))</f>
        <v>0</v>
      </c>
      <c r="N167" s="6" t="str">
        <f>IF(ISNA(MATCH(154,Engine!$C$2:$C$265,0)),"",INDEX('Compliance Database'!$N$2:$N$265,MATCH(154,Engine!$C$2:$C$265,0)))</f>
        <v>[Must] Appointment of Ombud and deputy ombuds
[Must] Funding of Office
[Must] Accountability
[Must] General administrative powers of Ombud
[Must] Disestablishment and liquidation of Office
[Must] Powers of Board
[Must] Receipt of complaints, prescription, jurisdiction and investigation
[Must] Determinations by Ombud
[Must] Record-keeping
[Must] Report of Ombud
[Must] Penalties</v>
      </c>
      <c r="O167" s="6" t="str">
        <f>IF(ISNA(MATCH(154,Engine!$C$2:$C$265,0)),"",INDEX('Compliance Database'!$O$2:$O$265,MATCH(154,Engine!$C$2:$C$265,0)))</f>
        <v>32. CHAPTER VI ENFORCEMENT</v>
      </c>
    </row>
    <row r="168" spans="1:15" ht="158.4" x14ac:dyDescent="0.3">
      <c r="A168" t="str">
        <f>IF(ISNA(MATCH(155,Engine!$C$2:$C$265,0)),"",INDEX('Compliance Database'!$A$2:$A$265,MATCH(155,Engine!$C$2:$C$265,0)))</f>
        <v>South Africa</v>
      </c>
      <c r="B168" t="str">
        <f>IF(ISNA(MATCH(155,Engine!$C$2:$C$265,0)),"",INDEX('Compliance Database'!$B$2:$B$265,MATCH(155,Engine!$C$2:$C$265,0)))</f>
        <v>Financial Advisory and Intermediary Services Act (FAIS) 37 of 2002</v>
      </c>
      <c r="C168" t="str">
        <f>IF(ISNA(MATCH(155,Engine!$C$2:$C$265,0)),"",INDEX('Compliance Database'!$C$2:$C$265,MATCH(155,Engine!$C$2:$C$265,0)))</f>
        <v>32</v>
      </c>
      <c r="D168" s="6" t="str">
        <f>IF(ISNA(MATCH(155,Engine!$C$2:$C$265,0)),"",INDEX('Compliance Database'!$D$2:$D$265,MATCH(155,Engine!$C$2:$C$265,0)))</f>
        <v>The registrar may take any steps  conducive  to client  education and the promotion</v>
      </c>
      <c r="E168" t="str">
        <f>IF(ISNA(MATCH(155,Engine!$C$2:$C$265,0)),"",INDEX('Compliance Database'!$E$2:$E$265,MATCH(155,Engine!$C$2:$C$265,0)))</f>
        <v>23</v>
      </c>
      <c r="F168" t="str">
        <f>IF(ISNA(MATCH(155,Engine!$C$2:$C$265,0)),"",INDEX('Compliance Database'!$F$2:$F$265,MATCH(155,Engine!$C$2:$C$265,0)))</f>
        <v>Other</v>
      </c>
      <c r="G168" t="str">
        <f>IF(ISNA(MATCH(155,Engine!$C$2:$C$265,0)),"",INDEX('Compliance Database'!$G$2:$G$265,MATCH(155,Engine!$C$2:$C$265,0)))</f>
        <v>High</v>
      </c>
      <c r="H168" t="str">
        <f>IF(ISNA(MATCH(155,Engine!$C$2:$C$265,0)),"",INDEX('Compliance Database'!$H$2:$H$265,MATCH(155,Engine!$C$2:$C$265,0)))</f>
        <v>High (explicit)</v>
      </c>
      <c r="I168" s="6">
        <f>IF(ISNA(MATCH(155,Engine!$C$2:$C$265,0)),"",INDEX('Compliance Database'!$I$2:$I$265,MATCH(155,Engine!$C$2:$C$265,0)))</f>
        <v>0</v>
      </c>
      <c r="J168" s="6">
        <f>IF(ISNA(MATCH(155,Engine!$C$2:$C$265,0)),"",INDEX('Compliance Database'!$J$2:$J$265,MATCH(155,Engine!$C$2:$C$265,0)))</f>
        <v>0</v>
      </c>
      <c r="K168" t="str">
        <f>IF(ISNA(MATCH(155,Engine!$C$2:$C$265,0)),"",INDEX('Compliance Database'!$K$2:$K$265,MATCH(155,Engine!$C$2:$C$265,0)))</f>
        <v>Registrar</v>
      </c>
      <c r="L168" s="6" t="str">
        <f>IF(ISNA(MATCH(155,Engine!$C$2:$C$265,0)),"",INDEX('Compliance Database'!$L$2:$L$265,MATCH(155,Engine!$C$2:$C$265,0)))</f>
        <v>Registrar may take steps to promote client education and awareness of Ombud and enforcement measures.</v>
      </c>
      <c r="M168" s="6">
        <f>IF(ISNA(MATCH(155,Engine!$C$2:$C$265,0)),"",INDEX('Compliance Database'!$M$2:$M$265,MATCH(155,Engine!$C$2:$C$265,0)))</f>
        <v>0</v>
      </c>
      <c r="N168" s="6" t="str">
        <f>IF(ISNA(MATCH(155,Engine!$C$2:$C$265,0)),"",INDEX('Compliance Database'!$N$2:$N$265,MATCH(155,Engine!$C$2:$C$265,0)))</f>
        <v>[May] take steps conducive to client education and promotion of awareness of Ombud and enforcement measures</v>
      </c>
      <c r="O168" s="6" t="str">
        <f>IF(ISNA(MATCH(155,Engine!$C$2:$C$265,0)),"",INDEX('Compliance Database'!$O$2:$O$265,MATCH(155,Engine!$C$2:$C$265,0)))</f>
        <v>32. The registrar may take any steps conducive to client education and the promotion of awareness of the nature and availability of the Ombud and other enforcement measures established by or in terms of this Act, including arrangements with the Ombud, representative bodies of the financial services industry, client and consumer bodies, or product suppliers and authorised financial services providers and their representatives to assist in the disclosure of information to the general public on matters dealt with in this Act.</v>
      </c>
    </row>
    <row r="169" spans="1:15" ht="144" x14ac:dyDescent="0.3">
      <c r="A169" t="str">
        <f>IF(ISNA(MATCH(156,Engine!$C$2:$C$265,0)),"",INDEX('Compliance Database'!$A$2:$A$265,MATCH(156,Engine!$C$2:$C$265,0)))</f>
        <v>South Africa</v>
      </c>
      <c r="B169" t="str">
        <f>IF(ISNA(MATCH(156,Engine!$C$2:$C$265,0)),"",INDEX('Compliance Database'!$B$2:$B$265,MATCH(156,Engine!$C$2:$C$265,0)))</f>
        <v>Financial Advisory and Intermediary Services Act (FAIS) 37 of 2002</v>
      </c>
      <c r="C169" t="str">
        <f>IF(ISNA(MATCH(156,Engine!$C$2:$C$265,0)),"",INDEX('Compliance Database'!$C$2:$C$265,MATCH(156,Engine!$C$2:$C$265,0)))</f>
        <v>33</v>
      </c>
      <c r="D169" s="6" t="str">
        <f>IF(ISNA(MATCH(156,Engine!$C$2:$C$265,0)),"",INDEX('Compliance Database'!$D$2:$D$265,MATCH(156,Engine!$C$2:$C$265,0)))</f>
        <v>(1) The registrar may, when satisfied on the  basis</v>
      </c>
      <c r="E169" t="str">
        <f>IF(ISNA(MATCH(156,Engine!$C$2:$C$265,0)),"",INDEX('Compliance Database'!$E$2:$E$265,MATCH(156,Engine!$C$2:$C$265,0)))</f>
        <v>23–24</v>
      </c>
      <c r="F169" t="str">
        <f>IF(ISNA(MATCH(156,Engine!$C$2:$C$265,0)),"",INDEX('Compliance Database'!$F$2:$F$265,MATCH(156,Engine!$C$2:$C$265,0)))</f>
        <v>Enforcement</v>
      </c>
      <c r="G169" t="str">
        <f>IF(ISNA(MATCH(156,Engine!$C$2:$C$265,0)),"",INDEX('Compliance Database'!$G$2:$G$265,MATCH(156,Engine!$C$2:$C$265,0)))</f>
        <v>High</v>
      </c>
      <c r="H169" t="str">
        <f>IF(ISNA(MATCH(156,Engine!$C$2:$C$265,0)),"",INDEX('Compliance Database'!$H$2:$H$265,MATCH(156,Engine!$C$2:$C$265,0)))</f>
        <v>High (explicit)</v>
      </c>
      <c r="I169" s="6">
        <f>IF(ISNA(MATCH(156,Engine!$C$2:$C$265,0)),"",INDEX('Compliance Database'!$I$2:$I$265,MATCH(156,Engine!$C$2:$C$265,0)))</f>
        <v>0</v>
      </c>
      <c r="J169" s="6" t="str">
        <f>IF(ISNA(MATCH(156,Engine!$C$2:$C$265,0)),"",INDEX('Compliance Database'!$J$2:$J$265,MATCH(156,Engine!$C$2:$C$265,0)))</f>
        <v>Financial Data</v>
      </c>
      <c r="K169" t="str">
        <f>IF(ISNA(MATCH(156,Engine!$C$2:$C$265,0)),"",INDEX('Compliance Database'!$K$2:$K$265,MATCH(156,Engine!$C$2:$C$265,0)))</f>
        <v>Registrar</v>
      </c>
      <c r="L169" s="6" t="str">
        <f>IF(ISNA(MATCH(156,Engine!$C$2:$C$265,0)),"",INDEX('Compliance Database'!$L$2:$L$265,MATCH(156,Engine!$C$2:$C$265,0)))</f>
        <v>Registrar may apply to court for restraining order and remedial steps if person contravenes or fails to comply with Act provisions.</v>
      </c>
      <c r="M169" s="6" t="str">
        <f>IF(ISNA(MATCH(156,Engine!$C$2:$C$265,0)),"",INDEX('Compliance Database'!$M$2:$M$265,MATCH(156,Engine!$C$2:$C$265,0)))</f>
        <v>Registrar can seek court order to restrain contraventions and require remedial actions for affected clients.</v>
      </c>
      <c r="N169" s="6" t="str">
        <f>IF(ISNA(MATCH(156,Engine!$C$2:$C$265,0)),"",INDEX('Compliance Database'!$N$2:$N$265,MATCH(156,Engine!$C$2:$C$265,0)))</f>
        <v>[Must] Registrar may apply to court for restraining order if person contravenes or fails to comply with Act provisions
[Must] Registrar may require remedial steps to rectify consequences of contraventions</v>
      </c>
      <c r="O169" s="6" t="str">
        <f>IF(ISNA(MATCH(156,Engine!$C$2:$C$265,0)),"",INDEX('Compliance Database'!$O$2:$O$265,MATCH(156,Engine!$C$2:$C$265,0)))</f>
        <v>33. (1) The registrar may, when satisfied on the basis of available facts and information that a person has contravened or not complied with any provision of this Act, or is likely so to contravene or not to comply, apply to a Court for an order restraining such person from continuing to commit any such act or omission or from committing it in future, and requiring the person to take such remedial steps as the Court deems necessary to rectify the consequences of the act or omission.</v>
      </c>
    </row>
    <row r="170" spans="1:15" ht="144" x14ac:dyDescent="0.3">
      <c r="A170" t="str">
        <f>IF(ISNA(MATCH(157,Engine!$C$2:$C$265,0)),"",INDEX('Compliance Database'!$A$2:$A$265,MATCH(157,Engine!$C$2:$C$265,0)))</f>
        <v>South Africa</v>
      </c>
      <c r="B170" t="str">
        <f>IF(ISNA(MATCH(157,Engine!$C$2:$C$265,0)),"",INDEX('Compliance Database'!$B$2:$B$265,MATCH(157,Engine!$C$2:$C$265,0)))</f>
        <v>Financial Advisory and Intermediary Services Act (FAIS) 37 of 2002</v>
      </c>
      <c r="C170" t="str">
        <f>IF(ISNA(MATCH(157,Engine!$C$2:$C$265,0)),"",INDEX('Compliance Database'!$C$2:$C$265,MATCH(157,Engine!$C$2:$C$265,0)))</f>
        <v>34</v>
      </c>
      <c r="D170" s="6" t="str">
        <f>IF(ISNA(MATCH(157,Engine!$C$2:$C$265,0)),"",INDEX('Compliance Database'!$D$2:$D$265,MATCH(157,Engine!$C$2:$C$265,0)))</f>
        <v>( I ) Subject to subsections (2) and (3), the  registrar may. after consultation with the</v>
      </c>
      <c r="E170" t="str">
        <f>IF(ISNA(MATCH(157,Engine!$C$2:$C$265,0)),"",INDEX('Compliance Database'!$E$2:$E$265,MATCH(157,Engine!$C$2:$C$265,0)))</f>
        <v>24–25</v>
      </c>
      <c r="F170" t="str">
        <f>IF(ISNA(MATCH(157,Engine!$C$2:$C$265,0)),"",INDEX('Compliance Database'!$F$2:$F$265,MATCH(157,Engine!$C$2:$C$265,0)))</f>
        <v>Enforcement</v>
      </c>
      <c r="G170" t="str">
        <f>IF(ISNA(MATCH(157,Engine!$C$2:$C$265,0)),"",INDEX('Compliance Database'!$G$2:$G$265,MATCH(157,Engine!$C$2:$C$265,0)))</f>
        <v>High</v>
      </c>
      <c r="H170" t="str">
        <f>IF(ISNA(MATCH(157,Engine!$C$2:$C$265,0)),"",INDEX('Compliance Database'!$H$2:$H$265,MATCH(157,Engine!$C$2:$C$265,0)))</f>
        <v>High (explicit)</v>
      </c>
      <c r="I170" s="6">
        <f>IF(ISNA(MATCH(157,Engine!$C$2:$C$265,0)),"",INDEX('Compliance Database'!$I$2:$I$265,MATCH(157,Engine!$C$2:$C$265,0)))</f>
        <v>0</v>
      </c>
      <c r="J170" s="6">
        <f>IF(ISNA(MATCH(157,Engine!$C$2:$C$265,0)),"",INDEX('Compliance Database'!$J$2:$J$265,MATCH(157,Engine!$C$2:$C$265,0)))</f>
        <v>0</v>
      </c>
      <c r="K170" t="str">
        <f>IF(ISNA(MATCH(157,Engine!$C$2:$C$265,0)),"",INDEX('Compliance Database'!$K$2:$K$265,MATCH(157,Engine!$C$2:$C$265,0)))</f>
        <v>Registrar</v>
      </c>
      <c r="L170" s="6" t="str">
        <f>IF(ISNA(MATCH(157,Engine!$C$2:$C$265,0)),"",INDEX('Compliance Database'!$L$2:$L$265,MATCH(157,Engine!$C$2:$C$265,0)))</f>
        <v>Registrar may declare business practices undesirable after consultation with Advisory Committee, subject to specific criteria.</v>
      </c>
      <c r="M170" s="6" t="str">
        <f>IF(ISNA(MATCH(157,Engine!$C$2:$C$265,0)),"",INDEX('Compliance Database'!$M$2:$M$265,MATCH(157,Engine!$C$2:$C$265,0)))</f>
        <v>Registrar can declare business practices undesirable if they harm clients or public, with publication requirements.</v>
      </c>
      <c r="N170" s="6" t="str">
        <f>IF(ISNA(MATCH(157,Engine!$C$2:$C$265,0)),"",INDEX('Compliance Database'!$N$2:$N$265,MATCH(157,Engine!$C$2:$C$265,0)))</f>
        <v>[Must] Registrar may declare business practice undesirable after consultation with Advisory Committee
[Must] Declaration must not harm client relations or unfairly affect clients
[Must] Registrar must publish intention to make declaration with reasons and invite written representations</v>
      </c>
      <c r="O170" s="6" t="str">
        <f>IF(ISNA(MATCH(157,Engine!$C$2:$C$265,0)),"",INDEX('Compliance Database'!$O$2:$O$265,MATCH(157,Engine!$C$2:$C$265,0)))</f>
        <v>34. (1) Subject to subsections (2) and (3), the registrar may, after consultation with the Advisory Committee, by notice in the Gazette declare a particular business practice to be undesirable for all or a category of authorised financial services providers.</v>
      </c>
    </row>
    <row r="171" spans="1:15" ht="72" x14ac:dyDescent="0.3">
      <c r="A171" t="str">
        <f>IF(ISNA(MATCH(158,Engine!$C$2:$C$265,0)),"",INDEX('Compliance Database'!$A$2:$A$265,MATCH(158,Engine!$C$2:$C$265,0)))</f>
        <v>South Africa</v>
      </c>
      <c r="B171" t="str">
        <f>IF(ISNA(MATCH(158,Engine!$C$2:$C$265,0)),"",INDEX('Compliance Database'!$B$2:$B$265,MATCH(158,Engine!$C$2:$C$265,0)))</f>
        <v>Financial Advisory and Intermediary Services Act (FAIS) 37 of 2002</v>
      </c>
      <c r="C171" t="str">
        <f>IF(ISNA(MATCH(158,Engine!$C$2:$C$265,0)),"",INDEX('Compliance Database'!$C$2:$C$265,MATCH(158,Engine!$C$2:$C$265,0)))</f>
        <v>35</v>
      </c>
      <c r="D171" s="6" t="str">
        <f>IF(ISNA(MATCH(158,Engine!$C$2:$C$265,0)),"",INDEX('Compliance Database'!$D$2:$D$265,MATCH(158,Engine!$C$2:$C$265,0)))</f>
        <v>(1 ) The Minister may by notice in the Gazerre, after  consultation  with the registrar 10</v>
      </c>
      <c r="E171" t="str">
        <f>IF(ISNA(MATCH(158,Engine!$C$2:$C$265,0)),"",INDEX('Compliance Database'!$E$2:$E$265,MATCH(158,Engine!$C$2:$C$265,0)))</f>
        <v>25</v>
      </c>
      <c r="F171" t="str">
        <f>IF(ISNA(MATCH(158,Engine!$C$2:$C$265,0)),"",INDEX('Compliance Database'!$F$2:$F$265,MATCH(158,Engine!$C$2:$C$265,0)))</f>
        <v>Other</v>
      </c>
      <c r="G171" t="str">
        <f>IF(ISNA(MATCH(158,Engine!$C$2:$C$265,0)),"",INDEX('Compliance Database'!$G$2:$G$265,MATCH(158,Engine!$C$2:$C$265,0)))</f>
        <v>High</v>
      </c>
      <c r="H171" t="str">
        <f>IF(ISNA(MATCH(158,Engine!$C$2:$C$265,0)),"",INDEX('Compliance Database'!$H$2:$H$265,MATCH(158,Engine!$C$2:$C$265,0)))</f>
        <v>High (explicit)</v>
      </c>
      <c r="I171" s="6">
        <f>IF(ISNA(MATCH(158,Engine!$C$2:$C$265,0)),"",INDEX('Compliance Database'!$I$2:$I$265,MATCH(158,Engine!$C$2:$C$265,0)))</f>
        <v>0</v>
      </c>
      <c r="J171" s="6">
        <f>IF(ISNA(MATCH(158,Engine!$C$2:$C$265,0)),"",INDEX('Compliance Database'!$J$2:$J$265,MATCH(158,Engine!$C$2:$C$265,0)))</f>
        <v>0</v>
      </c>
      <c r="K171" t="str">
        <f>IF(ISNA(MATCH(158,Engine!$C$2:$C$265,0)),"",INDEX('Compliance Database'!$K$2:$K$265,MATCH(158,Engine!$C$2:$C$265,0)))</f>
        <v>Minister</v>
      </c>
      <c r="L171" s="6" t="str">
        <f>IF(ISNA(MATCH(158,Engine!$C$2:$C$265,0)),"",INDEX('Compliance Database'!$L$2:$L$265,MATCH(158,Engine!$C$2:$C$265,0)))</f>
        <v>Minister may make regulations for financial services providers, including prohibitions on unauthorized marketing and advertising.</v>
      </c>
      <c r="M171" s="6" t="str">
        <f>IF(ISNA(MATCH(158,Engine!$C$2:$C$265,0)),"",INDEX('Compliance Database'!$M$2:$M$265,MATCH(158,Engine!$C$2:$C$265,0)))</f>
        <v>Regulations can prohibit unauthorized marketing, advertising, and use of titles indicating authorization.</v>
      </c>
      <c r="N171" s="6" t="str">
        <f>IF(ISNA(MATCH(158,Engine!$C$2:$C$265,0)),"",INDEX('Compliance Database'!$N$2:$N$265,MATCH(158,Engine!$C$2:$C$265,0)))</f>
        <v>[Must] Minister may make regulations for financial services providers
[Must] Regulations may prohibit unauthorized marketing and advertising</v>
      </c>
      <c r="O171" s="6" t="str">
        <f>IF(ISNA(MATCH(158,Engine!$C$2:$C$265,0)),"",INDEX('Compliance Database'!$O$2:$O$265,MATCH(158,Engine!$C$2:$C$265,0)))</f>
        <v>35. (1) The Minister may by notice in the Gazette, after consultation with the registrar and the Advisory Committee, make regulations relating to any matter which is required or permitted to be prescribed under this Act.</v>
      </c>
    </row>
    <row r="172" spans="1:15" ht="72" x14ac:dyDescent="0.3">
      <c r="A172" t="str">
        <f>IF(ISNA(MATCH(159,Engine!$C$2:$C$265,0)),"",INDEX('Compliance Database'!$A$2:$A$265,MATCH(159,Engine!$C$2:$C$265,0)))</f>
        <v>South Africa</v>
      </c>
      <c r="B172" t="str">
        <f>IF(ISNA(MATCH(159,Engine!$C$2:$C$265,0)),"",INDEX('Compliance Database'!$B$2:$B$265,MATCH(159,Engine!$C$2:$C$265,0)))</f>
        <v>Financial Advisory and Intermediary Services Act (FAIS) 37 of 2002</v>
      </c>
      <c r="C172" t="str">
        <f>IF(ISNA(MATCH(159,Engine!$C$2:$C$265,0)),"",INDEX('Compliance Database'!$C$2:$C$265,MATCH(159,Engine!$C$2:$C$265,0)))</f>
        <v>35</v>
      </c>
      <c r="D172" s="6" t="str">
        <f>IF(ISNA(MATCH(159,Engine!$C$2:$C$265,0)),"",INDEX('Compliance Database'!$D$2:$D$265,MATCH(159,Engine!$C$2:$C$265,0)))</f>
        <v>( 1 ) The  plovisions of this Act do not apply to the rendering of financial services</v>
      </c>
      <c r="E172" t="str">
        <f>IF(ISNA(MATCH(159,Engine!$C$2:$C$265,0)),"",INDEX('Compliance Database'!$E$2:$E$265,MATCH(159,Engine!$C$2:$C$265,0)))</f>
        <v>28–29</v>
      </c>
      <c r="F172" t="str">
        <f>IF(ISNA(MATCH(159,Engine!$C$2:$C$265,0)),"",INDEX('Compliance Database'!$F$2:$F$265,MATCH(159,Engine!$C$2:$C$265,0)))</f>
        <v>Exemptions</v>
      </c>
      <c r="G172" t="str">
        <f>IF(ISNA(MATCH(159,Engine!$C$2:$C$265,0)),"",INDEX('Compliance Database'!$G$2:$G$265,MATCH(159,Engine!$C$2:$C$265,0)))</f>
        <v>High</v>
      </c>
      <c r="H172" t="str">
        <f>IF(ISNA(MATCH(159,Engine!$C$2:$C$265,0)),"",INDEX('Compliance Database'!$H$2:$H$265,MATCH(159,Engine!$C$2:$C$265,0)))</f>
        <v>High (explicit)</v>
      </c>
      <c r="I172" s="6">
        <f>IF(ISNA(MATCH(159,Engine!$C$2:$C$265,0)),"",INDEX('Compliance Database'!$I$2:$I$265,MATCH(159,Engine!$C$2:$C$265,0)))</f>
        <v>0</v>
      </c>
      <c r="J172" s="6" t="str">
        <f>IF(ISNA(MATCH(159,Engine!$C$2:$C$265,0)),"",INDEX('Compliance Database'!$J$2:$J$265,MATCH(159,Engine!$C$2:$C$265,0)))</f>
        <v>Financial Data</v>
      </c>
      <c r="K172">
        <f>IF(ISNA(MATCH(159,Engine!$C$2:$C$265,0)),"",INDEX('Compliance Database'!$K$2:$K$265,MATCH(159,Engine!$C$2:$C$265,0)))</f>
        <v>0</v>
      </c>
      <c r="L172" s="6" t="str">
        <f>IF(ISNA(MATCH(159,Engine!$C$2:$C$265,0)),"",INDEX('Compliance Database'!$L$2:$L$265,MATCH(159,Engine!$C$2:$C$265,0)))</f>
        <v>This Act does not apply to financial services provided by certain entities including authorized users, clearing houses, central securities depositories, managers, executors, administrators, trustees, liquidators, and minors under specific conditions.</v>
      </c>
      <c r="M172" s="6" t="str">
        <f>IF(ISNA(MATCH(159,Engine!$C$2:$C$265,0)),"",INDEX('Compliance Database'!$M$2:$M$265,MATCH(159,Engine!$C$2:$C$265,0)))</f>
        <v>Exemptions for specific entities from applying the Act to financial services, relevant for DTIA scope determination.</v>
      </c>
      <c r="N172" s="6" t="str">
        <f>IF(ISNA(MATCH(159,Engine!$C$2:$C$265,0)),"",INDEX('Compliance Database'!$N$2:$N$265,MATCH(159,Engine!$C$2:$C$265,0)))</f>
        <v>[Must Not] The provisions of this Act do not apply to the rendering of financial services</v>
      </c>
      <c r="O172" s="6" t="str">
        <f>IF(ISNA(MATCH(159,Engine!$C$2:$C$265,0)),"",INDEX('Compliance Database'!$O$2:$O$265,MATCH(159,Engine!$C$2:$C$265,0)))</f>
        <v>35. (1) The provisions of this Act do not apply to the rendering of financial services</v>
      </c>
    </row>
    <row r="173" spans="1:15" ht="129.6" x14ac:dyDescent="0.3">
      <c r="A173" t="str">
        <f>IF(ISNA(MATCH(160,Engine!$C$2:$C$265,0)),"",INDEX('Compliance Database'!$A$2:$A$265,MATCH(160,Engine!$C$2:$C$265,0)))</f>
        <v>South Africa</v>
      </c>
      <c r="B173" t="str">
        <f>IF(ISNA(MATCH(160,Engine!$C$2:$C$265,0)),"",INDEX('Compliance Database'!$B$2:$B$265,MATCH(160,Engine!$C$2:$C$265,0)))</f>
        <v>Financial Advisory and Intermediary Services Act (FAIS) 37 of 2002</v>
      </c>
      <c r="C173" t="str">
        <f>IF(ISNA(MATCH(160,Engine!$C$2:$C$265,0)),"",INDEX('Compliance Database'!$C$2:$C$265,MATCH(160,Engine!$C$2:$C$265,0)))</f>
        <v>36</v>
      </c>
      <c r="D173" s="6" t="str">
        <f>IF(ISNA(MATCH(160,Engine!$C$2:$C$265,0)),"",INDEX('Compliance Database'!$D$2:$D$265,MATCH(160,Engine!$C$2:$C$265,0)))</f>
        <v>Any person w h o -</v>
      </c>
      <c r="E173" t="str">
        <f>IF(ISNA(MATCH(160,Engine!$C$2:$C$265,0)),"",INDEX('Compliance Database'!$E$2:$E$265,MATCH(160,Engine!$C$2:$C$265,0)))</f>
        <v>25</v>
      </c>
      <c r="F173" t="str">
        <f>IF(ISNA(MATCH(160,Engine!$C$2:$C$265,0)),"",INDEX('Compliance Database'!$F$2:$F$265,MATCH(160,Engine!$C$2:$C$265,0)))</f>
        <v>Other</v>
      </c>
      <c r="G173" t="str">
        <f>IF(ISNA(MATCH(160,Engine!$C$2:$C$265,0)),"",INDEX('Compliance Database'!$G$2:$G$265,MATCH(160,Engine!$C$2:$C$265,0)))</f>
        <v>High</v>
      </c>
      <c r="H173" t="str">
        <f>IF(ISNA(MATCH(160,Engine!$C$2:$C$265,0)),"",INDEX('Compliance Database'!$H$2:$H$265,MATCH(160,Engine!$C$2:$C$265,0)))</f>
        <v>High (explicit)</v>
      </c>
      <c r="I173" s="6">
        <f>IF(ISNA(MATCH(160,Engine!$C$2:$C$265,0)),"",INDEX('Compliance Database'!$I$2:$I$265,MATCH(160,Engine!$C$2:$C$265,0)))</f>
        <v>0</v>
      </c>
      <c r="J173" s="6">
        <f>IF(ISNA(MATCH(160,Engine!$C$2:$C$265,0)),"",INDEX('Compliance Database'!$J$2:$J$265,MATCH(160,Engine!$C$2:$C$265,0)))</f>
        <v>0</v>
      </c>
      <c r="K173">
        <f>IF(ISNA(MATCH(160,Engine!$C$2:$C$265,0)),"",INDEX('Compliance Database'!$K$2:$K$265,MATCH(160,Engine!$C$2:$C$265,0)))</f>
        <v>0</v>
      </c>
      <c r="L173" s="6" t="str">
        <f>IF(ISNA(MATCH(160,Engine!$C$2:$C$265,0)),"",INDEX('Compliance Database'!$L$2:$L$265,MATCH(160,Engine!$C$2:$C$265,0)))</f>
        <v>Offence for making misleading statements or concealing material facts in financial services applications.</v>
      </c>
      <c r="M173" s="6" t="str">
        <f>IF(ISNA(MATCH(160,Engine!$C$2:$C$265,0)),"",INDEX('Compliance Database'!$M$2:$M$265,MATCH(160,Engine!$C$2:$C$265,0)))</f>
        <v>False statements in financial services applications constitute offences with penalties.</v>
      </c>
      <c r="N173" s="6" t="str">
        <f>IF(ISNA(MATCH(160,Engine!$C$2:$C$265,0)),"",INDEX('Compliance Database'!$N$2:$N$265,MATCH(160,Engine!$C$2:$C$265,0)))</f>
        <v>[Must] Person guilty of offence if they make misleading, false or deceptive statements or conceal material facts in applications</v>
      </c>
      <c r="O173" s="6" t="str">
        <f>IF(ISNA(MATCH(160,Engine!$C$2:$C$265,0)),"",INDEX('Compliance Database'!$O$2:$O$265,MATCH(160,Engine!$C$2:$C$265,0)))</f>
        <v>36. Any person who (a) contravenes or fails to comply with a provision of section 7(1), 8(8), 13(1), 14(1), 18, 19(2) or 34(4) or (6): or (b) in any application in terms of this Act, deliberately makes a misleading, false or deceptive statement, or conceals any material fact, is guilty of an offence and is on conviction liable to a fine not exceeding R1 000 000 or to imprisonment for a period not exceeding 10 years, or to both such fine and such imprisonment.</v>
      </c>
    </row>
    <row r="174" spans="1:15" ht="57.6" x14ac:dyDescent="0.3">
      <c r="A174" t="str">
        <f>IF(ISNA(MATCH(161,Engine!$C$2:$C$265,0)),"",INDEX('Compliance Database'!$A$2:$A$265,MATCH(161,Engine!$C$2:$C$265,0)))</f>
        <v>South Africa</v>
      </c>
      <c r="B174" t="str">
        <f>IF(ISNA(MATCH(161,Engine!$C$2:$C$265,0)),"",INDEX('Compliance Database'!$B$2:$B$265,MATCH(161,Engine!$C$2:$C$265,0)))</f>
        <v>Financial Advisory and Intermediary Services Act (FAIS) 37 of 2002</v>
      </c>
      <c r="C174" t="str">
        <f>IF(ISNA(MATCH(161,Engine!$C$2:$C$265,0)),"",INDEX('Compliance Database'!$C$2:$C$265,MATCH(161,Engine!$C$2:$C$265,0)))</f>
        <v>37</v>
      </c>
      <c r="D174" s="6" t="str">
        <f>IF(ISNA(MATCH(161,Engine!$C$2:$C$265,0)),"",INDEX('Compliance Database'!$D$2:$D$265,MATCH(161,Engine!$C$2:$C$265,0)))</f>
        <v>(1) In the consideration of the quantum of any  penalty  under  section 36, the  Court</v>
      </c>
      <c r="E174" t="str">
        <f>IF(ISNA(MATCH(161,Engine!$C$2:$C$265,0)),"",INDEX('Compliance Database'!$E$2:$E$265,MATCH(161,Engine!$C$2:$C$265,0)))</f>
        <v>25–26</v>
      </c>
      <c r="F174" t="str">
        <f>IF(ISNA(MATCH(161,Engine!$C$2:$C$265,0)),"",INDEX('Compliance Database'!$F$2:$F$265,MATCH(161,Engine!$C$2:$C$265,0)))</f>
        <v>Enforcement</v>
      </c>
      <c r="G174" t="str">
        <f>IF(ISNA(MATCH(161,Engine!$C$2:$C$265,0)),"",INDEX('Compliance Database'!$G$2:$G$265,MATCH(161,Engine!$C$2:$C$265,0)))</f>
        <v>High</v>
      </c>
      <c r="H174" t="str">
        <f>IF(ISNA(MATCH(161,Engine!$C$2:$C$265,0)),"",INDEX('Compliance Database'!$H$2:$H$265,MATCH(161,Engine!$C$2:$C$265,0)))</f>
        <v>High (explicit)</v>
      </c>
      <c r="I174" s="6">
        <f>IF(ISNA(MATCH(161,Engine!$C$2:$C$265,0)),"",INDEX('Compliance Database'!$I$2:$I$265,MATCH(161,Engine!$C$2:$C$265,0)))</f>
        <v>0</v>
      </c>
      <c r="J174" s="6" t="str">
        <f>IF(ISNA(MATCH(161,Engine!$C$2:$C$265,0)),"",INDEX('Compliance Database'!$J$2:$J$265,MATCH(161,Engine!$C$2:$C$265,0)))</f>
        <v>Financial Data</v>
      </c>
      <c r="K174" t="str">
        <f>IF(ISNA(MATCH(161,Engine!$C$2:$C$265,0)),"",INDEX('Compliance Database'!$K$2:$K$265,MATCH(161,Engine!$C$2:$C$265,0)))</f>
        <v>Court</v>
      </c>
      <c r="L174" s="6" t="str">
        <f>IF(ISNA(MATCH(161,Engine!$C$2:$C$265,0)),"",INDEX('Compliance Database'!$L$2:$L$265,MATCH(161,Engine!$C$2:$C$265,0)))</f>
        <v>Court must consider penalties from section 36 when determining penalty amounts under section 36.</v>
      </c>
      <c r="M174" s="6" t="str">
        <f>IF(ISNA(MATCH(161,Engine!$C$2:$C$265,0)),"",INDEX('Compliance Database'!$M$2:$M$265,MATCH(161,Engine!$C$2:$C$265,0)))</f>
        <v>Court must consider penalties from section 36 when determining penalty amounts under section 36.</v>
      </c>
      <c r="N174" s="6" t="str">
        <f>IF(ISNA(MATCH(161,Engine!$C$2:$C$265,0)),"",INDEX('Compliance Database'!$N$2:$N$265,MATCH(161,Engine!$C$2:$C$265,0)))</f>
        <v>[Must] Court must consider any award made under section 33 when determining penalty quantum under section 36</v>
      </c>
      <c r="O174" s="6" t="str">
        <f>IF(ISNA(MATCH(161,Engine!$C$2:$C$265,0)),"",INDEX('Compliance Database'!$O$2:$O$265,MATCH(161,Engine!$C$2:$C$265,0)))</f>
        <v>37. (1) In the consideration of the quantum of any penalty under section 36, the Court must take into consideration any award made or to be made under section 33, from the same cause.</v>
      </c>
    </row>
    <row r="175" spans="1:15" ht="288" x14ac:dyDescent="0.3">
      <c r="A175" t="str">
        <f>IF(ISNA(MATCH(162,Engine!$C$2:$C$265,0)),"",INDEX('Compliance Database'!$A$2:$A$265,MATCH(162,Engine!$C$2:$C$265,0)))</f>
        <v>South Africa</v>
      </c>
      <c r="B175" t="str">
        <f>IF(ISNA(MATCH(162,Engine!$C$2:$C$265,0)),"",INDEX('Compliance Database'!$B$2:$B$265,MATCH(162,Engine!$C$2:$C$265,0)))</f>
        <v>Financial Advisory and Intermediary Services Act (FAIS) 37 of 2002</v>
      </c>
      <c r="C175" t="str">
        <f>IF(ISNA(MATCH(162,Engine!$C$2:$C$265,0)),"",INDEX('Compliance Database'!$C$2:$C$265,MATCH(162,Engine!$C$2:$C$265,0)))</f>
        <v>38</v>
      </c>
      <c r="D175" s="6" t="str">
        <f>IF(ISNA(MATCH(162,Engine!$C$2:$C$265,0)),"",INDEX('Compliance Database'!$D$2:$D$265,MATCH(162,Engine!$C$2:$C$265,0)))</f>
        <v>N o -</v>
      </c>
      <c r="E175" t="str">
        <f>IF(ISNA(MATCH(162,Engine!$C$2:$C$265,0)),"",INDEX('Compliance Database'!$E$2:$E$265,MATCH(162,Engine!$C$2:$C$265,0)))</f>
        <v>26</v>
      </c>
      <c r="F175" t="str">
        <f>IF(ISNA(MATCH(162,Engine!$C$2:$C$265,0)),"",INDEX('Compliance Database'!$F$2:$F$265,MATCH(162,Engine!$C$2:$C$265,0)))</f>
        <v>Enforcement</v>
      </c>
      <c r="G175" t="str">
        <f>IF(ISNA(MATCH(162,Engine!$C$2:$C$265,0)),"",INDEX('Compliance Database'!$G$2:$G$265,MATCH(162,Engine!$C$2:$C$265,0)))</f>
        <v>High</v>
      </c>
      <c r="H175" t="str">
        <f>IF(ISNA(MATCH(162,Engine!$C$2:$C$265,0)),"",INDEX('Compliance Database'!$H$2:$H$265,MATCH(162,Engine!$C$2:$C$265,0)))</f>
        <v>High (explicit)</v>
      </c>
      <c r="I175" s="6">
        <f>IF(ISNA(MATCH(162,Engine!$C$2:$C$265,0)),"",INDEX('Compliance Database'!$I$2:$I$265,MATCH(162,Engine!$C$2:$C$265,0)))</f>
        <v>0</v>
      </c>
      <c r="J175" s="6">
        <f>IF(ISNA(MATCH(162,Engine!$C$2:$C$265,0)),"",INDEX('Compliance Database'!$J$2:$J$265,MATCH(162,Engine!$C$2:$C$265,0)))</f>
        <v>0</v>
      </c>
      <c r="K175" t="str">
        <f>IF(ISNA(MATCH(162,Engine!$C$2:$C$265,0)),"",INDEX('Compliance Database'!$K$2:$K$265,MATCH(162,Engine!$C$2:$C$265,0)))</f>
        <v>Registrar</v>
      </c>
      <c r="L175" s="6" t="str">
        <f>IF(ISNA(MATCH(162,Engine!$C$2:$C$265,0)),"",INDEX('Compliance Database'!$L$2:$L$265,MATCH(162,Engine!$C$2:$C$265,0)))</f>
        <v>Voluntary business closures must be approved by registrar to ensure client liabilities are met.</v>
      </c>
      <c r="M175" s="6" t="str">
        <f>IF(ISNA(MATCH(162,Engine!$C$2:$C$265,0)),"",INDEX('Compliance Database'!$M$2:$M$265,MATCH(162,Engine!$C$2:$C$265,0)))</f>
        <v>Business closures must be approved by registrar to ensure client liabilities are met.</v>
      </c>
      <c r="N175" s="6" t="str">
        <f>IF(ISNA(MATCH(162,Engine!$C$2:$C$265,0)),"",INDEX('Compliance Database'!$N$2:$N$265,MATCH(162,Engine!$C$2:$C$265,0)))</f>
        <v>[Must] Voluntary business closures must be approved by registrar to ensure client liabilities are met</v>
      </c>
      <c r="O175" s="6" t="str">
        <f>IF(ISNA(MATCH(162,Engine!$C$2:$C$265,0)),"",INDEX('Compliance Database'!$O$2:$O$265,MATCH(162,Engine!$C$2:$C$265,0)))</f>
        <v>38. No application for the acceptance of the voluntary surrender of the estate in terms of section 3 of the Insolvency Act, 1936, of; special resolution relating to the winding-up, as contemplated in section 349 of the Companies Act, 1973, and registered in terms of that Act, of; written resolution relating to the winding-up, as contemplated in section 67 of the Close Corporations Act, 1984, and registered in terms of that section, of; or voluntary closure of business by any authorised financial services provider, or representative of such provider, and no special resolution in terms of the constitution of such a provider or representative which is not a company, to close its business, have legal force unless a copy or notice thereof has been lodged with the registrar and the registrar has declared that arrangements satisfactory to the registrar have been made to meet all liabilities under transactions entered into with clients prior to sequestration, winding-up or closure.</v>
      </c>
    </row>
    <row r="176" spans="1:15" ht="86.4" x14ac:dyDescent="0.3">
      <c r="A176" t="str">
        <f>IF(ISNA(MATCH(163,Engine!$C$2:$C$265,0)),"",INDEX('Compliance Database'!$A$2:$A$265,MATCH(163,Engine!$C$2:$C$265,0)))</f>
        <v>South Africa</v>
      </c>
      <c r="B176" t="str">
        <f>IF(ISNA(MATCH(163,Engine!$C$2:$C$265,0)),"",INDEX('Compliance Database'!$B$2:$B$265,MATCH(163,Engine!$C$2:$C$265,0)))</f>
        <v>Financial Advisory and Intermediary Services Act (FAIS) 37 of 2002</v>
      </c>
      <c r="C176" t="str">
        <f>IF(ISNA(MATCH(163,Engine!$C$2:$C$265,0)),"",INDEX('Compliance Database'!$C$2:$C$265,MATCH(163,Engine!$C$2:$C$265,0)))</f>
        <v>39</v>
      </c>
      <c r="D176" s="6" t="str">
        <f>IF(ISNA(MATCH(163,Engine!$C$2:$C$265,0)),"",INDEX('Compliance Database'!$D$2:$D$265,MATCH(163,Engine!$C$2:$C$265,0)))</f>
        <v>Any person who  feels aggrieved by any  decision  by the registrar or the Ombud</v>
      </c>
      <c r="E176" t="str">
        <f>IF(ISNA(MATCH(163,Engine!$C$2:$C$265,0)),"",INDEX('Compliance Database'!$E$2:$E$265,MATCH(163,Engine!$C$2:$C$265,0)))</f>
        <v>26</v>
      </c>
      <c r="F176" t="str">
        <f>IF(ISNA(MATCH(163,Engine!$C$2:$C$265,0)),"",INDEX('Compliance Database'!$F$2:$F$265,MATCH(163,Engine!$C$2:$C$265,0)))</f>
        <v>Enforcement</v>
      </c>
      <c r="G176" t="str">
        <f>IF(ISNA(MATCH(163,Engine!$C$2:$C$265,0)),"",INDEX('Compliance Database'!$G$2:$G$265,MATCH(163,Engine!$C$2:$C$265,0)))</f>
        <v>High</v>
      </c>
      <c r="H176" t="str">
        <f>IF(ISNA(MATCH(163,Engine!$C$2:$C$265,0)),"",INDEX('Compliance Database'!$H$2:$H$265,MATCH(163,Engine!$C$2:$C$265,0)))</f>
        <v>High (explicit)</v>
      </c>
      <c r="I176" s="6">
        <f>IF(ISNA(MATCH(163,Engine!$C$2:$C$265,0)),"",INDEX('Compliance Database'!$I$2:$I$265,MATCH(163,Engine!$C$2:$C$265,0)))</f>
        <v>0</v>
      </c>
      <c r="J176" s="6">
        <f>IF(ISNA(MATCH(163,Engine!$C$2:$C$265,0)),"",INDEX('Compliance Database'!$J$2:$J$265,MATCH(163,Engine!$C$2:$C$265,0)))</f>
        <v>0</v>
      </c>
      <c r="K176" t="str">
        <f>IF(ISNA(MATCH(163,Engine!$C$2:$C$265,0)),"",INDEX('Compliance Database'!$K$2:$K$265,MATCH(163,Engine!$C$2:$C$265,0)))</f>
        <v>Financial Services Board</v>
      </c>
      <c r="L176" s="6" t="str">
        <f>IF(ISNA(MATCH(163,Engine!$C$2:$C$265,0)),"",INDEX('Compliance Database'!$L$2:$L$265,MATCH(163,Engine!$C$2:$C$265,0)))</f>
        <v>Appeal rights for decisions affecting clients by registrar or Ombud.</v>
      </c>
      <c r="M176" s="6" t="str">
        <f>IF(ISNA(MATCH(163,Engine!$C$2:$C$265,0)),"",INDEX('Compliance Database'!$M$2:$M$265,MATCH(163,Engine!$C$2:$C$265,0)))</f>
        <v>Clients can appeal decisions by registrar or Ombud to Financial Services Board Board.</v>
      </c>
      <c r="N176" s="6" t="str">
        <f>IF(ISNA(MATCH(163,Engine!$C$2:$C$265,0)),"",INDEX('Compliance Database'!$N$2:$N$265,MATCH(163,Engine!$C$2:$C$265,0)))</f>
        <v>[Must] Person aggrieved by registrar or Ombud decision may appeal to Financial Services Board Board</v>
      </c>
      <c r="O176" s="6" t="str">
        <f>IF(ISNA(MATCH(163,Engine!$C$2:$C$265,0)),"",INDEX('Compliance Database'!$O$2:$O$265,MATCH(163,Engine!$C$2:$C$265,0)))</f>
        <v>39. Any person who feels aggrieved by any decision by the registrar or the Ombud under this Act which affects that person, may appeal to the board of appeal established by section 26(1) of the Financial Services Board Act, in respect of which section 26 applies with the necessary changes.</v>
      </c>
    </row>
    <row r="177" spans="1:15" ht="158.4" x14ac:dyDescent="0.3">
      <c r="A177" t="str">
        <f>IF(ISNA(MATCH(164,Engine!$C$2:$C$265,0)),"",INDEX('Compliance Database'!$A$2:$A$265,MATCH(164,Engine!$C$2:$C$265,0)))</f>
        <v>South Africa</v>
      </c>
      <c r="B177" t="str">
        <f>IF(ISNA(MATCH(164,Engine!$C$2:$C$265,0)),"",INDEX('Compliance Database'!$B$2:$B$265,MATCH(164,Engine!$C$2:$C$265,0)))</f>
        <v>Financial Advisory and Intermediary Services Act (FAIS) 37 of 2002</v>
      </c>
      <c r="C177" t="str">
        <f>IF(ISNA(MATCH(164,Engine!$C$2:$C$265,0)),"",INDEX('Compliance Database'!$C$2:$C$265,MATCH(164,Engine!$C$2:$C$265,0)))</f>
        <v>40</v>
      </c>
      <c r="D177" s="6" t="str">
        <f>IF(ISNA(MATCH(164,Engine!$C$2:$C$265,0)),"",INDEX('Compliance Database'!$D$2:$D$265,MATCH(164,Engine!$C$2:$C$265,0)))</f>
        <v>No provision of this Act, and no act performed under or in terms of any such</v>
      </c>
      <c r="E177" t="str">
        <f>IF(ISNA(MATCH(164,Engine!$C$2:$C$265,0)),"",INDEX('Compliance Database'!$E$2:$E$265,MATCH(164,Engine!$C$2:$C$265,0)))</f>
        <v>26</v>
      </c>
      <c r="F177" t="str">
        <f>IF(ISNA(MATCH(164,Engine!$C$2:$C$265,0)),"",INDEX('Compliance Database'!$F$2:$F$265,MATCH(164,Engine!$C$2:$C$265,0)))</f>
        <v>Enforcement</v>
      </c>
      <c r="G177" t="str">
        <f>IF(ISNA(MATCH(164,Engine!$C$2:$C$265,0)),"",INDEX('Compliance Database'!$G$2:$G$265,MATCH(164,Engine!$C$2:$C$265,0)))</f>
        <v>High</v>
      </c>
      <c r="H177" t="str">
        <f>IF(ISNA(MATCH(164,Engine!$C$2:$C$265,0)),"",INDEX('Compliance Database'!$H$2:$H$265,MATCH(164,Engine!$C$2:$C$265,0)))</f>
        <v>High (explicit)</v>
      </c>
      <c r="I177" s="6">
        <f>IF(ISNA(MATCH(164,Engine!$C$2:$C$265,0)),"",INDEX('Compliance Database'!$I$2:$I$265,MATCH(164,Engine!$C$2:$C$265,0)))</f>
        <v>0</v>
      </c>
      <c r="J177" s="6">
        <f>IF(ISNA(MATCH(164,Engine!$C$2:$C$265,0)),"",INDEX('Compliance Database'!$J$2:$J$265,MATCH(164,Engine!$C$2:$C$265,0)))</f>
        <v>0</v>
      </c>
      <c r="K177">
        <f>IF(ISNA(MATCH(164,Engine!$C$2:$C$265,0)),"",INDEX('Compliance Database'!$K$2:$K$265,MATCH(164,Engine!$C$2:$C$265,0)))</f>
        <v>0</v>
      </c>
      <c r="L177" s="6" t="str">
        <f>IF(ISNA(MATCH(164,Engine!$C$2:$C$265,0)),"",INDEX('Compliance Database'!$L$2:$L$265,MATCH(164,Engine!$C$2:$C$265,0)))</f>
        <v>Client rights to legal redress unaffected by this Act.</v>
      </c>
      <c r="M177" s="6" t="str">
        <f>IF(ISNA(MATCH(164,Engine!$C$2:$C$265,0)),"",INDEX('Compliance Database'!$M$2:$M$265,MATCH(164,Engine!$C$2:$C$265,0)))</f>
        <v>Client legal redress rights remain unaffected by this Act.</v>
      </c>
      <c r="N177" s="6" t="str">
        <f>IF(ISNA(MATCH(164,Engine!$C$2:$C$265,0)),"",INDEX('Compliance Database'!$N$2:$N$265,MATCH(164,Engine!$C$2:$C$265,0)))</f>
        <v>[Must] No provision of this Act affects client rights to seek legal redress</v>
      </c>
      <c r="O177" s="6" t="str">
        <f>IF(ISNA(MATCH(164,Engine!$C$2:$C$265,0)),"",INDEX('Compliance Database'!$O$2:$O$265,MATCH(164,Engine!$C$2:$C$265,0)))</f>
        <v>40. No provision of this Act, and no act performed under or in terms of any such provision, may be construed as affecting any right of a client, or other affected person, to seek appropriate legal redress in terms of common law or any other statutory law, and whether relating to civil or criminal matters, in respect of the rendering of any financial service by an authorised financial services provider, or representative of such provider, or any act of a person who is not an authorised financial services provider or a representative of such a provider.</v>
      </c>
    </row>
    <row r="178" spans="1:15" ht="86.4" x14ac:dyDescent="0.3">
      <c r="A178" t="str">
        <f>IF(ISNA(MATCH(165,Engine!$C$2:$C$265,0)),"",INDEX('Compliance Database'!$A$2:$A$265,MATCH(165,Engine!$C$2:$C$265,0)))</f>
        <v>South Africa</v>
      </c>
      <c r="B178" t="str">
        <f>IF(ISNA(MATCH(165,Engine!$C$2:$C$265,0)),"",INDEX('Compliance Database'!$B$2:$B$265,MATCH(165,Engine!$C$2:$C$265,0)))</f>
        <v>Financial Advisory and Intermediary Services Act (FAIS) 37 of 2002</v>
      </c>
      <c r="C178" t="str">
        <f>IF(ISNA(MATCH(165,Engine!$C$2:$C$265,0)),"",INDEX('Compliance Database'!$C$2:$C$265,MATCH(165,Engine!$C$2:$C$265,0)))</f>
        <v>41</v>
      </c>
      <c r="D178" s="6" t="str">
        <f>IF(ISNA(MATCH(165,Engine!$C$2:$C$265,0)),"",INDEX('Compliance Database'!$D$2:$D$265,MATCH(165,Engine!$C$2:$C$265,0)))</f>
        <v>(1) (a) The Minister  must, after  consultation  with  the registrar, by notice in the</v>
      </c>
      <c r="E178" t="str">
        <f>IF(ISNA(MATCH(165,Engine!$C$2:$C$265,0)),"",INDEX('Compliance Database'!$E$2:$E$265,MATCH(165,Engine!$C$2:$C$265,0)))</f>
        <v>26–27</v>
      </c>
      <c r="F178" t="str">
        <f>IF(ISNA(MATCH(165,Engine!$C$2:$C$265,0)),"",INDEX('Compliance Database'!$F$2:$F$265,MATCH(165,Engine!$C$2:$C$265,0)))</f>
        <v>Other</v>
      </c>
      <c r="G178" t="str">
        <f>IF(ISNA(MATCH(165,Engine!$C$2:$C$265,0)),"",INDEX('Compliance Database'!$G$2:$G$265,MATCH(165,Engine!$C$2:$C$265,0)))</f>
        <v>High</v>
      </c>
      <c r="H178" t="str">
        <f>IF(ISNA(MATCH(165,Engine!$C$2:$C$265,0)),"",INDEX('Compliance Database'!$H$2:$H$265,MATCH(165,Engine!$C$2:$C$265,0)))</f>
        <v>High (explicit)</v>
      </c>
      <c r="I178" s="6">
        <f>IF(ISNA(MATCH(165,Engine!$C$2:$C$265,0)),"",INDEX('Compliance Database'!$I$2:$I$265,MATCH(165,Engine!$C$2:$C$265,0)))</f>
        <v>0</v>
      </c>
      <c r="J178" s="6" t="str">
        <f>IF(ISNA(MATCH(165,Engine!$C$2:$C$265,0)),"",INDEX('Compliance Database'!$J$2:$J$265,MATCH(165,Engine!$C$2:$C$265,0)))</f>
        <v>Financial Data</v>
      </c>
      <c r="K178" t="str">
        <f>IF(ISNA(MATCH(165,Engine!$C$2:$C$265,0)),"",INDEX('Compliance Database'!$K$2:$K$265,MATCH(165,Engine!$C$2:$C$265,0)))</f>
        <v>Minister</v>
      </c>
      <c r="L178" s="6" t="str">
        <f>IF(ISNA(MATCH(165,Engine!$C$2:$C$265,0)),"",INDEX('Compliance Database'!$L$2:$L$265,MATCH(165,Engine!$C$2:$C$265,0)))</f>
        <v>Minister must determine fees for registrar decisions and penalties for non-compliance.</v>
      </c>
      <c r="M178" s="6" t="str">
        <f>IF(ISNA(MATCH(165,Engine!$C$2:$C$265,0)),"",INDEX('Compliance Database'!$M$2:$M$265,MATCH(165,Engine!$C$2:$C$265,0)))</f>
        <v>Fees for registrar decisions must be determined by Minister, with penalties for non-compliance.</v>
      </c>
      <c r="N178" s="6" t="str">
        <f>IF(ISNA(MATCH(165,Engine!$C$2:$C$265,0)),"",INDEX('Compliance Database'!$N$2:$N$265,MATCH(165,Engine!$C$2:$C$265,0)))</f>
        <v>[Must] Minister must determine fees payable to registrar by persons seeking decisions
[Must] Penalties for non-furnished returns may be imposed by registrar</v>
      </c>
      <c r="O178" s="6" t="str">
        <f>IF(ISNA(MATCH(165,Engine!$C$2:$C$265,0)),"",INDEX('Compliance Database'!$O$2:$O$265,MATCH(165,Engine!$C$2:$C$265,0)))</f>
        <v>41. (1) (a) The Minister must, after consultation with the registrar, by notice in the Gazette, determine the fees payable to the registrar by any person, or category of persons, seeking a decision or the performance of any other act by the registrar under this Act and referred to in section 3(1).</v>
      </c>
    </row>
    <row r="179" spans="1:15" ht="72" x14ac:dyDescent="0.3">
      <c r="A179" t="str">
        <f>IF(ISNA(MATCH(166,Engine!$C$2:$C$265,0)),"",INDEX('Compliance Database'!$A$2:$A$265,MATCH(166,Engine!$C$2:$C$265,0)))</f>
        <v>South Africa</v>
      </c>
      <c r="B179" t="str">
        <f>IF(ISNA(MATCH(166,Engine!$C$2:$C$265,0)),"",INDEX('Compliance Database'!$B$2:$B$265,MATCH(166,Engine!$C$2:$C$265,0)))</f>
        <v>Financial Advisory and Intermediary Services Act (FAIS) 37 of 2002</v>
      </c>
      <c r="C179" t="str">
        <f>IF(ISNA(MATCH(166,Engine!$C$2:$C$265,0)),"",INDEX('Compliance Database'!$C$2:$C$265,MATCH(166,Engine!$C$2:$C$265,0)))</f>
        <v>42</v>
      </c>
      <c r="D179" s="6" t="str">
        <f>IF(ISNA(MATCH(166,Engine!$C$2:$C$265,0)),"",INDEX('Compliance Database'!$D$2:$D$265,MATCH(166,Engine!$C$2:$C$265,0)))</f>
        <v>The registrar may disclose information obtained</v>
      </c>
      <c r="E179" t="str">
        <f>IF(ISNA(MATCH(166,Engine!$C$2:$C$265,0)),"",INDEX('Compliance Database'!$E$2:$E$265,MATCH(166,Engine!$C$2:$C$265,0)))</f>
        <v>27</v>
      </c>
      <c r="F179" t="str">
        <f>IF(ISNA(MATCH(166,Engine!$C$2:$C$265,0)),"",INDEX('Compliance Database'!$F$2:$F$265,MATCH(166,Engine!$C$2:$C$265,0)))</f>
        <v>Data Sharing</v>
      </c>
      <c r="G179" t="str">
        <f>IF(ISNA(MATCH(166,Engine!$C$2:$C$265,0)),"",INDEX('Compliance Database'!$G$2:$G$265,MATCH(166,Engine!$C$2:$C$265,0)))</f>
        <v>High</v>
      </c>
      <c r="H179" t="str">
        <f>IF(ISNA(MATCH(166,Engine!$C$2:$C$265,0)),"",INDEX('Compliance Database'!$H$2:$H$265,MATCH(166,Engine!$C$2:$C$265,0)))</f>
        <v>High (explicit)</v>
      </c>
      <c r="I179" s="6" t="str">
        <f>IF(ISNA(MATCH(166,Engine!$C$2:$C$265,0)),"",INDEX('Compliance Database'!$I$2:$I$265,MATCH(166,Engine!$C$2:$C$265,0)))</f>
        <v>Data Sharing</v>
      </c>
      <c r="J179" s="6">
        <f>IF(ISNA(MATCH(166,Engine!$C$2:$C$265,0)),"",INDEX('Compliance Database'!$J$2:$J$265,MATCH(166,Engine!$C$2:$C$265,0)))</f>
        <v>0</v>
      </c>
      <c r="K179" t="str">
        <f>IF(ISNA(MATCH(166,Engine!$C$2:$C$265,0)),"",INDEX('Compliance Database'!$K$2:$K$265,MATCH(166,Engine!$C$2:$C$265,0)))</f>
        <v>Registrar</v>
      </c>
      <c r="L179" s="6" t="str">
        <f>IF(ISNA(MATCH(166,Engine!$C$2:$C$265,0)),"",INDEX('Compliance Database'!$L$2:$L$265,MATCH(166,Engine!$C$2:$C$265,0)))</f>
        <v>Registrar may disclose information to authorities for public interest, with confidentiality conditions.</v>
      </c>
      <c r="M179" s="6" t="str">
        <f>IF(ISNA(MATCH(166,Engine!$C$2:$C$265,0)),"",INDEX('Compliance Database'!$M$2:$M$265,MATCH(166,Engine!$C$2:$C$265,0)))</f>
        <v>Registrar may share client information with regulators and authorities for public interest, with confidentiality conditions.</v>
      </c>
      <c r="N179" s="6" t="str">
        <f>IF(ISNA(MATCH(166,Engine!$C$2:$C$265,0)),"",INDEX('Compliance Database'!$N$2:$N$265,MATCH(166,Engine!$C$2:$C$265,0)))</f>
        <v>[Must] Registrar may disclose information to departments of state or financial regulators for public interest</v>
      </c>
      <c r="O179" s="6" t="str">
        <f>IF(ISNA(MATCH(166,Engine!$C$2:$C$265,0)),"",INDEX('Compliance Database'!$O$2:$O$265,MATCH(166,Engine!$C$2:$C$265,0)))</f>
        <v>42. The registrar may disclose information obtained in the course of performing functions in terms of this Act, unless such disclosure will not be in the public interest, but subject to any guidelines issued by the Board to the registrar.</v>
      </c>
    </row>
    <row r="180" spans="1:15" ht="158.4" x14ac:dyDescent="0.3">
      <c r="A180" t="str">
        <f>IF(ISNA(MATCH(167,Engine!$C$2:$C$265,0)),"",INDEX('Compliance Database'!$A$2:$A$265,MATCH(167,Engine!$C$2:$C$265,0)))</f>
        <v>South Africa</v>
      </c>
      <c r="B180" t="str">
        <f>IF(ISNA(MATCH(167,Engine!$C$2:$C$265,0)),"",INDEX('Compliance Database'!$B$2:$B$265,MATCH(167,Engine!$C$2:$C$265,0)))</f>
        <v>Financial Advisory and Intermediary Services Act (FAIS) 37 of 2002</v>
      </c>
      <c r="C180" t="str">
        <f>IF(ISNA(MATCH(167,Engine!$C$2:$C$265,0)),"",INDEX('Compliance Database'!$C$2:$C$265,MATCH(167,Engine!$C$2:$C$265,0)))</f>
        <v>43</v>
      </c>
      <c r="D180" s="6" t="str">
        <f>IF(ISNA(MATCH(167,Engine!$C$2:$C$265,0)),"",INDEX('Compliance Database'!$D$2:$D$265,MATCH(167,Engine!$C$2:$C$265,0)))</f>
        <v>The Minister. the  Board or a member  thereof, any  officer or  employee assisting the</v>
      </c>
      <c r="E180" t="str">
        <f>IF(ISNA(MATCH(167,Engine!$C$2:$C$265,0)),"",INDEX('Compliance Database'!$E$2:$E$265,MATCH(167,Engine!$C$2:$C$265,0)))</f>
        <v>27</v>
      </c>
      <c r="F180" t="str">
        <f>IF(ISNA(MATCH(167,Engine!$C$2:$C$265,0)),"",INDEX('Compliance Database'!$F$2:$F$265,MATCH(167,Engine!$C$2:$C$265,0)))</f>
        <v>Other</v>
      </c>
      <c r="G180" t="str">
        <f>IF(ISNA(MATCH(167,Engine!$C$2:$C$265,0)),"",INDEX('Compliance Database'!$G$2:$G$265,MATCH(167,Engine!$C$2:$C$265,0)))</f>
        <v>High</v>
      </c>
      <c r="H180" t="str">
        <f>IF(ISNA(MATCH(167,Engine!$C$2:$C$265,0)),"",INDEX('Compliance Database'!$H$2:$H$265,MATCH(167,Engine!$C$2:$C$265,0)))</f>
        <v>High (explicit)</v>
      </c>
      <c r="I180" s="6">
        <f>IF(ISNA(MATCH(167,Engine!$C$2:$C$265,0)),"",INDEX('Compliance Database'!$I$2:$I$265,MATCH(167,Engine!$C$2:$C$265,0)))</f>
        <v>0</v>
      </c>
      <c r="J180" s="6" t="str">
        <f>IF(ISNA(MATCH(167,Engine!$C$2:$C$265,0)),"",INDEX('Compliance Database'!$J$2:$J$265,MATCH(167,Engine!$C$2:$C$265,0)))</f>
        <v>Financial Data</v>
      </c>
      <c r="K180" t="str">
        <f>IF(ISNA(MATCH(167,Engine!$C$2:$C$265,0)),"",INDEX('Compliance Database'!$K$2:$K$265,MATCH(167,Engine!$C$2:$C$265,0)))</f>
        <v>Minister</v>
      </c>
      <c r="L180" s="6" t="str">
        <f>IF(ISNA(MATCH(167,Engine!$C$2:$C$265,0)),"",INDEX('Compliance Database'!$L$2:$L$265,MATCH(167,Engine!$C$2:$C$265,0)))</f>
        <v>Minister, Board, and employees not liable for losses from lawful actions under this Act.</v>
      </c>
      <c r="M180" s="6" t="str">
        <f>IF(ISNA(MATCH(167,Engine!$C$2:$C$265,0)),"",INDEX('Compliance Database'!$M$2:$M$265,MATCH(167,Engine!$C$2:$C$265,0)))</f>
        <v>Regulators not liable for losses from lawful actions under this Act.</v>
      </c>
      <c r="N180" s="6" t="str">
        <f>IF(ISNA(MATCH(167,Engine!$C$2:$C$265,0)),"",INDEX('Compliance Database'!$N$2:$N$265,MATCH(167,Engine!$C$2:$C$265,0)))</f>
        <v>[Must] Minister, Board, and employees not liable for losses from lawful actions under this Act</v>
      </c>
      <c r="O180" s="6" t="str">
        <f>IF(ISNA(MATCH(167,Engine!$C$2:$C$265,0)),"",INDEX('Compliance Database'!$O$2:$O$265,MATCH(167,Engine!$C$2:$C$265,0)))</f>
        <v>43. The Minister, the Board or a member thereof, any officer or employee assisting the Board, the registrar, the Advisory Committee or any member thereof, the Ombud and any employee in the Office of the Ombud, or other body or person performing any function in terms of this Act, is not liable for any loss sustained by or damage caused to any person as a result of anything done or omitted by any of them in the bona fide exercise of any power or carrying out of any duty or performance of any function under or in terms of a provision of this Act.</v>
      </c>
    </row>
    <row r="181" spans="1:15" ht="201.6" x14ac:dyDescent="0.3">
      <c r="A181" t="str">
        <f>IF(ISNA(MATCH(168,Engine!$C$2:$C$265,0)),"",INDEX('Compliance Database'!$A$2:$A$265,MATCH(168,Engine!$C$2:$C$265,0)))</f>
        <v>South Africa</v>
      </c>
      <c r="B181" t="str">
        <f>IF(ISNA(MATCH(168,Engine!$C$2:$C$265,0)),"",INDEX('Compliance Database'!$B$2:$B$265,MATCH(168,Engine!$C$2:$C$265,0)))</f>
        <v>Financial Advisory and Intermediary Services Act (FAIS) 37 of 2002</v>
      </c>
      <c r="C181" t="str">
        <f>IF(ISNA(MATCH(168,Engine!$C$2:$C$265,0)),"",INDEX('Compliance Database'!$C$2:$C$265,MATCH(168,Engine!$C$2:$C$265,0)))</f>
        <v>44</v>
      </c>
      <c r="D181" s="6" t="str">
        <f>IF(ISNA(MATCH(168,Engine!$C$2:$C$265,0)),"",INDEX('Compliance Database'!$D$2:$D$265,MATCH(168,Engine!$C$2:$C$265,0)))</f>
        <v>(1 ) The registrar  may on or after  the commencement of this  Act, but prior to the</v>
      </c>
      <c r="E181" t="str">
        <f>IF(ISNA(MATCH(168,Engine!$C$2:$C$265,0)),"",INDEX('Compliance Database'!$E$2:$E$265,MATCH(168,Engine!$C$2:$C$265,0)))</f>
        <v>27–28</v>
      </c>
      <c r="F181" t="str">
        <f>IF(ISNA(MATCH(168,Engine!$C$2:$C$265,0)),"",INDEX('Compliance Database'!$F$2:$F$265,MATCH(168,Engine!$C$2:$C$265,0)))</f>
        <v>Exemptions</v>
      </c>
      <c r="G181" t="str">
        <f>IF(ISNA(MATCH(168,Engine!$C$2:$C$265,0)),"",INDEX('Compliance Database'!$G$2:$G$265,MATCH(168,Engine!$C$2:$C$265,0)))</f>
        <v>High</v>
      </c>
      <c r="H181" t="str">
        <f>IF(ISNA(MATCH(168,Engine!$C$2:$C$265,0)),"",INDEX('Compliance Database'!$H$2:$H$265,MATCH(168,Engine!$C$2:$C$265,0)))</f>
        <v>High (explicit)</v>
      </c>
      <c r="I181" s="6">
        <f>IF(ISNA(MATCH(168,Engine!$C$2:$C$265,0)),"",INDEX('Compliance Database'!$I$2:$I$265,MATCH(168,Engine!$C$2:$C$265,0)))</f>
        <v>0</v>
      </c>
      <c r="J181" s="6">
        <f>IF(ISNA(MATCH(168,Engine!$C$2:$C$265,0)),"",INDEX('Compliance Database'!$J$2:$J$265,MATCH(168,Engine!$C$2:$C$265,0)))</f>
        <v>0</v>
      </c>
      <c r="K181" t="str">
        <f>IF(ISNA(MATCH(168,Engine!$C$2:$C$265,0)),"",INDEX('Compliance Database'!$K$2:$K$265,MATCH(168,Engine!$C$2:$C$265,0)))</f>
        <v>Registrar</v>
      </c>
      <c r="L181" s="6" t="str">
        <f>IF(ISNA(MATCH(168,Engine!$C$2:$C$265,0)),"",INDEX('Compliance Database'!$L$2:$L$265,MATCH(168,Engine!$C$2:$C$265,0)))</f>
        <v>Registrar may exempt persons from provisions if they are already regulated or won't cause hardship.</v>
      </c>
      <c r="M181" s="6" t="str">
        <f>IF(ISNA(MATCH(168,Engine!$C$2:$C$265,0)),"",INDEX('Compliance Database'!$M$2:$M$265,MATCH(168,Engine!$C$2:$C$265,0)))</f>
        <v>Registrar may exempt persons from provisions if they are already regulated or won't cause hardship.</v>
      </c>
      <c r="N181" s="6" t="str">
        <f>IF(ISNA(MATCH(168,Engine!$C$2:$C$265,0)),"",INDEX('Compliance Database'!$N$2:$N$265,MATCH(168,Engine!$C$2:$C$265,0)))</f>
        <v>[Must] Registrar may exempt persons from provisions if they are already partially or wholly regulated by other law
[Must] Exemptions must not cause financial or other hardship to clients</v>
      </c>
      <c r="O181" s="6" t="str">
        <f>IF(ISNA(MATCH(168,Engine!$C$2:$C$265,0)),"",INDEX('Compliance Database'!$O$2:$O$265,MATCH(168,Engine!$C$2:$C$265,0)))</f>
        <v>44. (1) The registrar may on or after the commencement of this Act, but prior to the date determined by the Minister in terms of section 7(1), exempt any person or category of persons from the provisions of that section if the registrar is satisfied that- (a) the rendering of any financial service by the applicant is already partially or wholly regulated by any other law; or (b) the application of the said section to the applicant will cause the applicant or clients of the applicant financial or other hardship or prejudice; and (c) the granting of the exemption will not- (i) conflict with the public interest; (ii) prejudice the interests of clients; and (iii) frustrate the achievement of the objects of this Act.</v>
      </c>
    </row>
    <row r="182" spans="1:15" ht="57.6" x14ac:dyDescent="0.3">
      <c r="A182" t="str">
        <f>IF(ISNA(MATCH(169,Engine!$C$2:$C$265,0)),"",INDEX('Compliance Database'!$A$2:$A$265,MATCH(169,Engine!$C$2:$C$265,0)))</f>
        <v>South Africa</v>
      </c>
      <c r="B182" t="str">
        <f>IF(ISNA(MATCH(169,Engine!$C$2:$C$265,0)),"",INDEX('Compliance Database'!$B$2:$B$265,MATCH(169,Engine!$C$2:$C$265,0)))</f>
        <v>Financial Advisory and Intermediary Services Act (FAIS) 37 of 2002</v>
      </c>
      <c r="C182" t="str">
        <f>IF(ISNA(MATCH(169,Engine!$C$2:$C$265,0)),"",INDEX('Compliance Database'!$C$2:$C$265,MATCH(169,Engine!$C$2:$C$265,0)))</f>
        <v>46</v>
      </c>
      <c r="D182" s="6" t="str">
        <f>IF(ISNA(MATCH(169,Engine!$C$2:$C$265,0)),"",INDEX('Compliance Database'!$D$2:$D$265,MATCH(169,Engine!$C$2:$C$265,0)))</f>
        <v>This Act is called the Financial Advisory and Intermediary Services Act, 2002, 45</v>
      </c>
      <c r="E182" t="str">
        <f>IF(ISNA(MATCH(169,Engine!$C$2:$C$265,0)),"",INDEX('Compliance Database'!$E$2:$E$265,MATCH(169,Engine!$C$2:$C$265,0)))</f>
        <v>29–30</v>
      </c>
      <c r="F182" t="str">
        <f>IF(ISNA(MATCH(169,Engine!$C$2:$C$265,0)),"",INDEX('Compliance Database'!$F$2:$F$265,MATCH(169,Engine!$C$2:$C$265,0)))</f>
        <v>Other</v>
      </c>
      <c r="G182" t="str">
        <f>IF(ISNA(MATCH(169,Engine!$C$2:$C$265,0)),"",INDEX('Compliance Database'!$G$2:$G$265,MATCH(169,Engine!$C$2:$C$265,0)))</f>
        <v>None</v>
      </c>
      <c r="H182" t="str">
        <f>IF(ISNA(MATCH(169,Engine!$C$2:$C$265,0)),"",INDEX('Compliance Database'!$H$2:$H$265,MATCH(169,Engine!$C$2:$C$265,0)))</f>
        <v>High (explicit)</v>
      </c>
      <c r="I182" s="6">
        <f>IF(ISNA(MATCH(169,Engine!$C$2:$C$265,0)),"",INDEX('Compliance Database'!$I$2:$I$265,MATCH(169,Engine!$C$2:$C$265,0)))</f>
        <v>0</v>
      </c>
      <c r="J182" s="6">
        <f>IF(ISNA(MATCH(169,Engine!$C$2:$C$265,0)),"",INDEX('Compliance Database'!$J$2:$J$265,MATCH(169,Engine!$C$2:$C$265,0)))</f>
        <v>0</v>
      </c>
      <c r="K182">
        <f>IF(ISNA(MATCH(169,Engine!$C$2:$C$265,0)),"",INDEX('Compliance Database'!$K$2:$K$265,MATCH(169,Engine!$C$2:$C$265,0)))</f>
        <v>0</v>
      </c>
      <c r="L182" s="6" t="str">
        <f>IF(ISNA(MATCH(169,Engine!$C$2:$C$265,0)),"",INDEX('Compliance Database'!$L$2:$L$265,MATCH(169,Engine!$C$2:$C$265,0)))</f>
        <v>This Act is called the Financial Advisory and Intermediary Services Act, 2002 and comes into operation on a date fixed by the President by proclamation in the Gazette.</v>
      </c>
      <c r="M182" s="6">
        <f>IF(ISNA(MATCH(169,Engine!$C$2:$C$265,0)),"",INDEX('Compliance Database'!$M$2:$M$265,MATCH(169,Engine!$C$2:$C$265,0)))</f>
        <v>0</v>
      </c>
      <c r="N182" s="6">
        <f>IF(ISNA(MATCH(169,Engine!$C$2:$C$265,0)),"",INDEX('Compliance Database'!$N$2:$N$265,MATCH(169,Engine!$C$2:$C$265,0)))</f>
        <v>0</v>
      </c>
      <c r="O182" s="6" t="str">
        <f>IF(ISNA(MATCH(169,Engine!$C$2:$C$265,0)),"",INDEX('Compliance Database'!$O$2:$O$265,MATCH(169,Engine!$C$2:$C$265,0)))</f>
        <v>46. This Act is called the Financial Advisory and Intermediary Services Act, 2002, 45 and comes into operation on a date fixed by the President by proclamation in the Gazette.</v>
      </c>
    </row>
    <row r="183" spans="1:15" ht="259.2" x14ac:dyDescent="0.3">
      <c r="A183" t="str">
        <f>IF(ISNA(MATCH(170,Engine!$C$2:$C$265,0)),"",INDEX('Compliance Database'!$A$2:$A$265,MATCH(170,Engine!$C$2:$C$265,0)))</f>
        <v>South Africa</v>
      </c>
      <c r="B183" t="str">
        <f>IF(ISNA(MATCH(170,Engine!$C$2:$C$265,0)),"",INDEX('Compliance Database'!$B$2:$B$265,MATCH(170,Engine!$C$2:$C$265,0)))</f>
        <v>Financial Advisory and Intermediary Services Act (FAIS) 37 of 2002</v>
      </c>
      <c r="C183" t="str">
        <f>IF(ISNA(MATCH(170,Engine!$C$2:$C$265,0)),"",INDEX('Compliance Database'!$C$2:$C$265,MATCH(170,Engine!$C$2:$C$265,0)))</f>
        <v>50</v>
      </c>
      <c r="D183" s="6" t="str">
        <f>IF(ISNA(MATCH(170,Engine!$C$2:$C$265,0)),"",INDEX('Compliance Database'!$D$2:$D$265,MATCH(170,Engine!$C$2:$C$265,0)))</f>
        <v>(1) If a court-</v>
      </c>
      <c r="E183" t="str">
        <f>IF(ISNA(MATCH(170,Engine!$C$2:$C$265,0)),"",INDEX('Compliance Database'!$E$2:$E$265,MATCH(170,Engine!$C$2:$C$265,0)))</f>
        <v>32–33</v>
      </c>
      <c r="F183" t="str">
        <f>IF(ISNA(MATCH(170,Engine!$C$2:$C$265,0)),"",INDEX('Compliance Database'!$F$2:$F$265,MATCH(170,Engine!$C$2:$C$265,0)))</f>
        <v>Other</v>
      </c>
      <c r="G183" t="str">
        <f>IF(ISNA(MATCH(170,Engine!$C$2:$C$265,0)),"",INDEX('Compliance Database'!$G$2:$G$265,MATCH(170,Engine!$C$2:$C$265,0)))</f>
        <v>High</v>
      </c>
      <c r="H183" t="str">
        <f>IF(ISNA(MATCH(170,Engine!$C$2:$C$265,0)),"",INDEX('Compliance Database'!$H$2:$H$265,MATCH(170,Engine!$C$2:$C$265,0)))</f>
        <v>High (explicit)</v>
      </c>
      <c r="I183" s="6" t="str">
        <f>IF(ISNA(MATCH(170,Engine!$C$2:$C$265,0)),"",INDEX('Compliance Database'!$I$2:$I$265,MATCH(170,Engine!$C$2:$C$265,0)))</f>
        <v>Financial Data</v>
      </c>
      <c r="J183" s="6" t="str">
        <f>IF(ISNA(MATCH(170,Engine!$C$2:$C$265,0)),"",INDEX('Compliance Database'!$J$2:$J$265,MATCH(170,Engine!$C$2:$C$265,0)))</f>
        <v>Financial Data</v>
      </c>
      <c r="K183">
        <f>IF(ISNA(MATCH(170,Engine!$C$2:$C$265,0)),"",INDEX('Compliance Database'!$K$2:$K$265,MATCH(170,Engine!$C$2:$C$265,0)))</f>
        <v>0</v>
      </c>
      <c r="L183" s="6" t="str">
        <f>IF(ISNA(MATCH(170,Engine!$C$2:$C$265,0)),"",INDEX('Compliance Database'!$L$2:$L$265,MATCH(170,Engine!$C$2:$C$265,0)))</f>
        <v>Courts may declare members, officers, or employees disqualified for dishonest conduct in financial services.</v>
      </c>
      <c r="M183" s="6">
        <f>IF(ISNA(MATCH(170,Engine!$C$2:$C$265,0)),"",INDEX('Compliance Database'!$M$2:$M$265,MATCH(170,Engine!$C$2:$C$265,0)))</f>
        <v>0</v>
      </c>
      <c r="N183" s="6" t="str">
        <f>IF(ISNA(MATCH(170,Engine!$C$2:$C$265,0)),"",INDEX('Compliance Database'!$N$2:$N$265,MATCH(170,Engine!$C$2:$C$265,0)))</f>
        <v>[Must] the court may declare that member, officer or employee of a member [person or such person's officer or employee] to be disqualified for an indefinite period or for a period specified by the court, from carrying on the business of a member or from being an officer or employee of a member</v>
      </c>
      <c r="O183" s="6" t="str">
        <f>IF(ISNA(MATCH(170,Engine!$C$2:$C$265,0)),"",INDEX('Compliance Database'!$O$2:$O$265,MATCH(170,Engine!$C$2:$C$265,0)))</f>
        <v>50. (1) If a court convicts a member or an officer or employee of a member [or a person approved in terms of section 41 under this Act or of an offence of which any dishonest act or omission is an element; or finds, in proceedings to which a member or an officer or employee of a member [a person approved in terms of section 41 or such person's officer or employee] is a party or in which [his] such member's, officer's or employee's conduct is called in question, that such member, officer or employee has been guilty of dishonest conduct, the court may (in addition, in a case referred to in paragraph (a), to any sentence it may impose) declare that member, officer or employee of a member [person or such person's officer or employee] to be disqualified for an indefinite period or for a period specified by the court, from carrying on the business of a member or from being an officer or employee of a  member.</v>
      </c>
    </row>
    <row r="184" spans="1:15" ht="43.2" x14ac:dyDescent="0.3">
      <c r="A184" t="str">
        <f>IF(ISNA(MATCH(171,Engine!$C$2:$C$265,0)),"",INDEX('Compliance Database'!$A$2:$A$265,MATCH(171,Engine!$C$2:$C$265,0)))</f>
        <v>South Africa</v>
      </c>
      <c r="B184" t="str">
        <f>IF(ISNA(MATCH(171,Engine!$C$2:$C$265,0)),"",INDEX('Compliance Database'!$B$2:$B$265,MATCH(171,Engine!$C$2:$C$265,0)))</f>
        <v>Financial Advisory and Intermediary Services Act (FAIS) 37 of 2002</v>
      </c>
      <c r="C184" t="str">
        <f>IF(ISNA(MATCH(171,Engine!$C$2:$C$265,0)),"",INDEX('Compliance Database'!$C$2:$C$265,MATCH(171,Engine!$C$2:$C$265,0)))</f>
        <v>1993</v>
      </c>
      <c r="D184" s="6" t="str">
        <f>IF(ISNA(MATCH(171,Engine!$C$2:$C$265,0)),"",INDEX('Compliance Database'!$D$2:$D$265,MATCH(171,Engine!$C$2:$C$265,0)))</f>
        <v>to the extent that such application is regulated in the code of conduct  contemplated</v>
      </c>
      <c r="E184" t="str">
        <f>IF(ISNA(MATCH(171,Engine!$C$2:$C$265,0)),"",INDEX('Compliance Database'!$E$2:$E$265,MATCH(171,Engine!$C$2:$C$265,0)))</f>
        <v>7</v>
      </c>
      <c r="F184" t="str">
        <f>IF(ISNA(MATCH(171,Engine!$C$2:$C$265,0)),"",INDEX('Compliance Database'!$F$2:$F$265,MATCH(171,Engine!$C$2:$C$265,0)))</f>
        <v>Cross-border Transfer</v>
      </c>
      <c r="G184" t="str">
        <f>IF(ISNA(MATCH(171,Engine!$C$2:$C$265,0)),"",INDEX('Compliance Database'!$G$2:$G$265,MATCH(171,Engine!$C$2:$C$265,0)))</f>
        <v>Low</v>
      </c>
      <c r="H184" t="str">
        <f>IF(ISNA(MATCH(171,Engine!$C$2:$C$265,0)),"",INDEX('Compliance Database'!$H$2:$H$265,MATCH(171,Engine!$C$2:$C$265,0)))</f>
        <v>High (explicit)</v>
      </c>
      <c r="I184" s="6">
        <f>IF(ISNA(MATCH(171,Engine!$C$2:$C$265,0)),"",INDEX('Compliance Database'!$I$2:$I$265,MATCH(171,Engine!$C$2:$C$265,0)))</f>
        <v>0</v>
      </c>
      <c r="J184" s="6">
        <f>IF(ISNA(MATCH(171,Engine!$C$2:$C$265,0)),"",INDEX('Compliance Database'!$J$2:$J$265,MATCH(171,Engine!$C$2:$C$265,0)))</f>
        <v>0</v>
      </c>
      <c r="K184">
        <f>IF(ISNA(MATCH(171,Engine!$C$2:$C$265,0)),"",INDEX('Compliance Database'!$K$2:$K$265,MATCH(171,Engine!$C$2:$C$265,0)))</f>
        <v>0</v>
      </c>
      <c r="L184" s="6" t="str">
        <f>IF(ISNA(MATCH(171,Engine!$C$2:$C$265,0)),"",INDEX('Compliance Database'!$L$2:$L$265,MATCH(171,Engine!$C$2:$C$265,0)))</f>
        <v>Applies the Act to natural persons acting within official duties of the State unless otherwise determined by the Minister.</v>
      </c>
      <c r="M184" s="6">
        <f>IF(ISNA(MATCH(171,Engine!$C$2:$C$265,0)),"",INDEX('Compliance Database'!$M$2:$M$265,MATCH(171,Engine!$C$2:$C$265,0)))</f>
        <v>0</v>
      </c>
      <c r="N184" s="6" t="str">
        <f>IF(ISNA(MATCH(171,Engine!$C$2:$C$265,0)),"",INDEX('Compliance Database'!$N$2:$N$265,MATCH(171,Engine!$C$2:$C$265,0)))</f>
        <v>[Must] to the extent that such application is regulated in the code of conduct</v>
      </c>
      <c r="O184" s="6" t="str">
        <f>IF(ISNA(MATCH(171,Engine!$C$2:$C$265,0)),"",INDEX('Compliance Database'!$O$2:$O$265,MATCH(171,Engine!$C$2:$C$265,0)))</f>
        <v>1993. to the extent that such application is regulated in the code of conduct contemplated in section 15(2)(b).</v>
      </c>
    </row>
    <row r="185" spans="1:15" ht="43.2" x14ac:dyDescent="0.3">
      <c r="A185" t="str">
        <f>IF(ISNA(MATCH(172,Engine!$C$2:$C$265,0)),"",INDEX('Compliance Database'!$A$2:$A$265,MATCH(172,Engine!$C$2:$C$265,0)))</f>
        <v>South Africa</v>
      </c>
      <c r="B185" t="str">
        <f>IF(ISNA(MATCH(172,Engine!$C$2:$C$265,0)),"",INDEX('Compliance Database'!$B$2:$B$265,MATCH(172,Engine!$C$2:$C$265,0)))</f>
        <v>Joint Standard 1 of 2023 - IT Governance and Risk Management</v>
      </c>
      <c r="C185" t="str">
        <f>IF(ISNA(MATCH(172,Engine!$C$2:$C$265,0)),"",INDEX('Compliance Database'!$C$2:$C$265,MATCH(172,Engine!$C$2:$C$265,0)))</f>
        <v>3</v>
      </c>
      <c r="D185" s="6" t="str">
        <f>IF(ISNA(MATCH(172,Engine!$C$2:$C$265,0)),"",INDEX('Compliance Database'!$D$2:$D$265,MATCH(172,Engine!$C$2:$C$265,0)))</f>
        <v>Definitions and interpretation</v>
      </c>
      <c r="E185" t="str">
        <f>IF(ISNA(MATCH(172,Engine!$C$2:$C$265,0)),"",INDEX('Compliance Database'!$E$2:$E$265,MATCH(172,Engine!$C$2:$C$265,0)))</f>
        <v>3–5</v>
      </c>
      <c r="F185" t="str">
        <f>IF(ISNA(MATCH(172,Engine!$C$2:$C$265,0)),"",INDEX('Compliance Database'!$F$2:$F$265,MATCH(172,Engine!$C$2:$C$265,0)))</f>
        <v>Definitions</v>
      </c>
      <c r="G185" t="str">
        <f>IF(ISNA(MATCH(172,Engine!$C$2:$C$265,0)),"",INDEX('Compliance Database'!$G$2:$G$265,MATCH(172,Engine!$C$2:$C$265,0)))</f>
        <v>Low</v>
      </c>
      <c r="H185" t="str">
        <f>IF(ISNA(MATCH(172,Engine!$C$2:$C$265,0)),"",INDEX('Compliance Database'!$H$2:$H$265,MATCH(172,Engine!$C$2:$C$265,0)))</f>
        <v>High (explicit)</v>
      </c>
      <c r="I185" s="6">
        <f>IF(ISNA(MATCH(172,Engine!$C$2:$C$265,0)),"",INDEX('Compliance Database'!$I$2:$I$265,MATCH(172,Engine!$C$2:$C$265,0)))</f>
        <v>0</v>
      </c>
      <c r="J185" s="6">
        <f>IF(ISNA(MATCH(172,Engine!$C$2:$C$265,0)),"",INDEX('Compliance Database'!$J$2:$J$265,MATCH(172,Engine!$C$2:$C$265,0)))</f>
        <v>0</v>
      </c>
      <c r="K185">
        <f>IF(ISNA(MATCH(172,Engine!$C$2:$C$265,0)),"",INDEX('Compliance Database'!$K$2:$K$265,MATCH(172,Engine!$C$2:$C$265,0)))</f>
        <v>0</v>
      </c>
      <c r="L185" s="6" t="str">
        <f>IF(ISNA(MATCH(172,Engine!$C$2:$C$265,0)),"",INDEX('Compliance Database'!$L$2:$L$265,MATCH(172,Engine!$C$2:$C$265,0)))</f>
        <v>Defines key terms including financial institutions, Authorities, fit and proper, and IT-related concepts for the Joint Standard.</v>
      </c>
      <c r="M185" s="6">
        <f>IF(ISNA(MATCH(172,Engine!$C$2:$C$265,0)),"",INDEX('Compliance Database'!$M$2:$M$265,MATCH(172,Engine!$C$2:$C$265,0)))</f>
        <v>0</v>
      </c>
      <c r="N185" s="6">
        <f>IF(ISNA(MATCH(172,Engine!$C$2:$C$265,0)),"",INDEX('Compliance Database'!$N$2:$N$265,MATCH(172,Engine!$C$2:$C$265,0)))</f>
        <v>0</v>
      </c>
      <c r="O185" s="6" t="str">
        <f>IF(ISNA(MATCH(172,Engine!$C$2:$C$265,0)),"",INDEX('Compliance Database'!$O$2:$O$265,MATCH(172,Engine!$C$2:$C$265,0)))</f>
        <v>3. Definitions and interpretation</v>
      </c>
    </row>
    <row r="186" spans="1:15" ht="273.60000000000002" x14ac:dyDescent="0.3">
      <c r="A186" t="str">
        <f>IF(ISNA(MATCH(173,Engine!$C$2:$C$265,0)),"",INDEX('Compliance Database'!$A$2:$A$265,MATCH(173,Engine!$C$2:$C$265,0)))</f>
        <v>South Africa</v>
      </c>
      <c r="B186" t="str">
        <f>IF(ISNA(MATCH(173,Engine!$C$2:$C$265,0)),"",INDEX('Compliance Database'!$B$2:$B$265,MATCH(173,Engine!$C$2:$C$265,0)))</f>
        <v>Joint Standard 1 of 2023 - IT Governance and Risk Management</v>
      </c>
      <c r="C186" t="str">
        <f>IF(ISNA(MATCH(173,Engine!$C$2:$C$265,0)),"",INDEX('Compliance Database'!$C$2:$C$265,MATCH(173,Engine!$C$2:$C$265,0)))</f>
        <v>4</v>
      </c>
      <c r="D186" s="6" t="str">
        <f>IF(ISNA(MATCH(173,Engine!$C$2:$C$265,0)),"",INDEX('Compliance Database'!$D$2:$D$265,MATCH(173,Engine!$C$2:$C$265,0)))</f>
        <v>Application</v>
      </c>
      <c r="E186" t="str">
        <f>IF(ISNA(MATCH(173,Engine!$C$2:$C$265,0)),"",INDEX('Compliance Database'!$E$2:$E$265,MATCH(173,Engine!$C$2:$C$265,0)))</f>
        <v>5</v>
      </c>
      <c r="F186" t="str">
        <f>IF(ISNA(MATCH(173,Engine!$C$2:$C$265,0)),"",INDEX('Compliance Database'!$F$2:$F$265,MATCH(173,Engine!$C$2:$C$265,0)))</f>
        <v>Processing</v>
      </c>
      <c r="G186" t="str">
        <f>IF(ISNA(MATCH(173,Engine!$C$2:$C$265,0)),"",INDEX('Compliance Database'!$G$2:$G$265,MATCH(173,Engine!$C$2:$C$265,0)))</f>
        <v>High</v>
      </c>
      <c r="H186" t="str">
        <f>IF(ISNA(MATCH(173,Engine!$C$2:$C$265,0)),"",INDEX('Compliance Database'!$H$2:$H$265,MATCH(173,Engine!$C$2:$C$265,0)))</f>
        <v>High (explicit)</v>
      </c>
      <c r="I186" s="6">
        <f>IF(ISNA(MATCH(173,Engine!$C$2:$C$265,0)),"",INDEX('Compliance Database'!$I$2:$I$265,MATCH(173,Engine!$C$2:$C$265,0)))</f>
        <v>0</v>
      </c>
      <c r="J186" s="6" t="str">
        <f>IF(ISNA(MATCH(173,Engine!$C$2:$C$265,0)),"",INDEX('Compliance Database'!$J$2:$J$265,MATCH(173,Engine!$C$2:$C$265,0)))</f>
        <v>Financial Data</v>
      </c>
      <c r="K186">
        <f>IF(ISNA(MATCH(173,Engine!$C$2:$C$265,0)),"",INDEX('Compliance Database'!$K$2:$K$265,MATCH(173,Engine!$C$2:$C$265,0)))</f>
        <v>0</v>
      </c>
      <c r="L186" s="6" t="str">
        <f>IF(ISNA(MATCH(173,Engine!$C$2:$C$265,0)),"",INDEX('Compliance Database'!$L$2:$L$265,MATCH(173,Engine!$C$2:$C$265,0)))</f>
        <v>Specifies that financial institutions must mitigate IT risks for all related entities, including foreign branches and subsidiaries, and align requirements with their risk profile.</v>
      </c>
      <c r="M186" s="6" t="str">
        <f>IF(ISNA(MATCH(173,Engine!$C$2:$C$265,0)),"",INDEX('Compliance Database'!$M$2:$M$265,MATCH(173,Engine!$C$2:$C$265,0)))</f>
        <v>Financial institutions must address IT risks for all local and foreign entities under their control, including subsidiaries, to ensure compliance with the Joint Standard.</v>
      </c>
      <c r="N186" s="6" t="str">
        <f>IF(ISNA(MATCH(173,Engine!$C$2:$C$265,0)),"",INDEX('Compliance Database'!$N$2:$N$265,MATCH(173,Engine!$C$2:$C$265,0)))</f>
        <v>[Must] A financial institution that is a bank, or a controlling company must ensure that any risks relating to IT risk from juristic persons and branches structured under the bank or the controlling company (both local and foreign), including all relevant subsidiaries approved in terms of section 52 of the Banks Act, 1990, are catered for and mitigated in the application of the requirements of this Joint Standard.
[Must] A financial institution that is an insurer or a controlling company of an insurance group must ensure that any risks relating to IT from juristic persons structured under the insurer or the controlling company (both local and foreign) and from the insurance group designated under section 10 of the Insurance Act, 2017 are catered for and mitigated in the application of the requirements of this Joint Standard.</v>
      </c>
      <c r="O186" s="6" t="str">
        <f>IF(ISNA(MATCH(173,Engine!$C$2:$C$265,0)),"",INDEX('Compliance Database'!$O$2:$O$265,MATCH(173,Engine!$C$2:$C$265,0)))</f>
        <v>4.1 This Joint Standard applies to financial institutions as defined.</v>
      </c>
    </row>
    <row r="187" spans="1:15" ht="216" x14ac:dyDescent="0.3">
      <c r="A187" t="str">
        <f>IF(ISNA(MATCH(174,Engine!$C$2:$C$265,0)),"",INDEX('Compliance Database'!$A$2:$A$265,MATCH(174,Engine!$C$2:$C$265,0)))</f>
        <v>South Africa</v>
      </c>
      <c r="B187" t="str">
        <f>IF(ISNA(MATCH(174,Engine!$C$2:$C$265,0)),"",INDEX('Compliance Database'!$B$2:$B$265,MATCH(174,Engine!$C$2:$C$265,0)))</f>
        <v>Joint Standard 1 of 2023 - IT Governance and Risk Management</v>
      </c>
      <c r="C187" t="str">
        <f>IF(ISNA(MATCH(174,Engine!$C$2:$C$265,0)),"",INDEX('Compliance Database'!$C$2:$C$265,MATCH(174,Engine!$C$2:$C$265,0)))</f>
        <v>5</v>
      </c>
      <c r="D187" s="6" t="str">
        <f>IF(ISNA(MATCH(174,Engine!$C$2:$C$265,0)),"",INDEX('Compliance Database'!$D$2:$D$265,MATCH(174,Engine!$C$2:$C$265,0)))</f>
        <v>Roles and responsibilities</v>
      </c>
      <c r="E187" t="str">
        <f>IF(ISNA(MATCH(174,Engine!$C$2:$C$265,0)),"",INDEX('Compliance Database'!$E$2:$E$265,MATCH(174,Engine!$C$2:$C$265,0)))</f>
        <v>5–6</v>
      </c>
      <c r="F187" t="str">
        <f>IF(ISNA(MATCH(174,Engine!$C$2:$C$265,0)),"",INDEX('Compliance Database'!$F$2:$F$265,MATCH(174,Engine!$C$2:$C$265,0)))</f>
        <v>Governance</v>
      </c>
      <c r="G187" t="str">
        <f>IF(ISNA(MATCH(174,Engine!$C$2:$C$265,0)),"",INDEX('Compliance Database'!$G$2:$G$265,MATCH(174,Engine!$C$2:$C$265,0)))</f>
        <v>High</v>
      </c>
      <c r="H187" t="str">
        <f>IF(ISNA(MATCH(174,Engine!$C$2:$C$265,0)),"",INDEX('Compliance Database'!$H$2:$H$265,MATCH(174,Engine!$C$2:$C$265,0)))</f>
        <v>High (explicit)</v>
      </c>
      <c r="I187" s="6">
        <f>IF(ISNA(MATCH(174,Engine!$C$2:$C$265,0)),"",INDEX('Compliance Database'!$I$2:$I$265,MATCH(174,Engine!$C$2:$C$265,0)))</f>
        <v>0</v>
      </c>
      <c r="J187" s="6" t="str">
        <f>IF(ISNA(MATCH(174,Engine!$C$2:$C$265,0)),"",INDEX('Compliance Database'!$J$2:$J$265,MATCH(174,Engine!$C$2:$C$265,0)))</f>
        <v>Financial Data</v>
      </c>
      <c r="K187">
        <f>IF(ISNA(MATCH(174,Engine!$C$2:$C$265,0)),"",INDEX('Compliance Database'!$K$2:$K$265,MATCH(174,Engine!$C$2:$C$265,0)))</f>
        <v>0</v>
      </c>
      <c r="L187" s="6" t="str">
        <f>IF(ISNA(MATCH(174,Engine!$C$2:$C$265,0)),"",INDEX('Compliance Database'!$L$2:$L$265,MATCH(174,Engine!$C$2:$C$265,0)))</f>
        <v>Governing body is ultimately responsible for IT compliance, must establish a sound IT risk management framework, and define roles and responsibilities.</v>
      </c>
      <c r="M187" s="6" t="str">
        <f>IF(ISNA(MATCH(174,Engine!$C$2:$C$265,0)),"",INDEX('Compliance Database'!$M$2:$M$265,MATCH(174,Engine!$C$2:$C$265,0)))</f>
        <v>Governing body must ensure IT risk management framework and define roles for IT risk oversight.</v>
      </c>
      <c r="N187" s="6" t="str">
        <f>IF(ISNA(MATCH(174,Engine!$C$2:$C$265,0)),"",INDEX('Compliance Database'!$N$2:$N$265,MATCH(174,Engine!$C$2:$C$265,0)))</f>
        <v>[Must] The governing body is ultimately responsible for ensuring that the financial institution complies with the requirements as set out in this Joint Standard.
[Must] The governing body must ensure, together with senior management, that a sound and robust IT risk management framework and IT strategy is established and maintained.
[Must] The governing body must clearly define the roles and responsibilities of all management, execution, oversight and control functions as well as committees established for the purpose of exercising oversight of IT risks.</v>
      </c>
      <c r="O187" s="6" t="str">
        <f>IF(ISNA(MATCH(174,Engine!$C$2:$C$265,0)),"",INDEX('Compliance Database'!$O$2:$O$265,MATCH(174,Engine!$C$2:$C$265,0)))</f>
        <v>5.1 The governing body is ultimately responsible for ensuring that the financial institution complies with the requirements as set out in this Joint Standard.</v>
      </c>
    </row>
    <row r="188" spans="1:15" ht="115.2" x14ac:dyDescent="0.3">
      <c r="A188" t="str">
        <f>IF(ISNA(MATCH(175,Engine!$C$2:$C$265,0)),"",INDEX('Compliance Database'!$A$2:$A$265,MATCH(175,Engine!$C$2:$C$265,0)))</f>
        <v>South Africa</v>
      </c>
      <c r="B188" t="str">
        <f>IF(ISNA(MATCH(175,Engine!$C$2:$C$265,0)),"",INDEX('Compliance Database'!$B$2:$B$265,MATCH(175,Engine!$C$2:$C$265,0)))</f>
        <v>Joint Standard 1 of 2023 - IT Governance and Risk Management</v>
      </c>
      <c r="C188" t="str">
        <f>IF(ISNA(MATCH(175,Engine!$C$2:$C$265,0)),"",INDEX('Compliance Database'!$C$2:$C$265,MATCH(175,Engine!$C$2:$C$265,0)))</f>
        <v>6</v>
      </c>
      <c r="D188" s="6" t="str">
        <f>IF(ISNA(MATCH(175,Engine!$C$2:$C$265,0)),"",INDEX('Compliance Database'!$D$2:$D$265,MATCH(175,Engine!$C$2:$C$265,0)))</f>
        <v>IT strategy</v>
      </c>
      <c r="E188" t="str">
        <f>IF(ISNA(MATCH(175,Engine!$C$2:$C$265,0)),"",INDEX('Compliance Database'!$E$2:$E$265,MATCH(175,Engine!$C$2:$C$265,0)))</f>
        <v>6</v>
      </c>
      <c r="F188" t="str">
        <f>IF(ISNA(MATCH(175,Engine!$C$2:$C$265,0)),"",INDEX('Compliance Database'!$F$2:$F$265,MATCH(175,Engine!$C$2:$C$265,0)))</f>
        <v>Other</v>
      </c>
      <c r="G188" t="str">
        <f>IF(ISNA(MATCH(175,Engine!$C$2:$C$265,0)),"",INDEX('Compliance Database'!$G$2:$G$265,MATCH(175,Engine!$C$2:$C$265,0)))</f>
        <v>High</v>
      </c>
      <c r="H188" t="str">
        <f>IF(ISNA(MATCH(175,Engine!$C$2:$C$265,0)),"",INDEX('Compliance Database'!$H$2:$H$265,MATCH(175,Engine!$C$2:$C$265,0)))</f>
        <v>High (explicit)</v>
      </c>
      <c r="I188" s="6">
        <f>IF(ISNA(MATCH(175,Engine!$C$2:$C$265,0)),"",INDEX('Compliance Database'!$I$2:$I$265,MATCH(175,Engine!$C$2:$C$265,0)))</f>
        <v>0</v>
      </c>
      <c r="J188" s="6" t="str">
        <f>IF(ISNA(MATCH(175,Engine!$C$2:$C$265,0)),"",INDEX('Compliance Database'!$J$2:$J$265,MATCH(175,Engine!$C$2:$C$265,0)))</f>
        <v>Financial Data</v>
      </c>
      <c r="K188">
        <f>IF(ISNA(MATCH(175,Engine!$C$2:$C$265,0)),"",INDEX('Compliance Database'!$K$2:$K$265,MATCH(175,Engine!$C$2:$C$265,0)))</f>
        <v>0</v>
      </c>
      <c r="L188" s="6" t="str">
        <f>IF(ISNA(MATCH(175,Engine!$C$2:$C$265,0)),"",INDEX('Compliance Database'!$L$2:$L$265,MATCH(175,Engine!$C$2:$C$265,0)))</f>
        <v>Financial institutions must have IT strategy approved by governing body, aligned with business strategy, and reviewed annually.</v>
      </c>
      <c r="M188" s="6" t="str">
        <f>IF(ISNA(MATCH(175,Engine!$C$2:$C$265,0)),"",INDEX('Compliance Database'!$M$2:$M$265,MATCH(175,Engine!$C$2:$C$265,0)))</f>
        <v>IT strategy must be approved by governing body, aligned with business strategy, and reviewed at least annually.</v>
      </c>
      <c r="N188" s="6" t="str">
        <f>IF(ISNA(MATCH(175,Engine!$C$2:$C$265,0)),"",INDEX('Compliance Database'!$N$2:$N$265,MATCH(175,Engine!$C$2:$C$265,0)))</f>
        <v>[Must] A financial institution must ensure that its IT strategy is approved by the governing body and aligned with its overall business strategy.
[Must] The IT strategy of a financial institution must be reviewed regularly, but at least annually, in consideration of market, industry, technology and other relevant developments.</v>
      </c>
      <c r="O188" s="6" t="str">
        <f>IF(ISNA(MATCH(175,Engine!$C$2:$C$265,0)),"",INDEX('Compliance Database'!$O$2:$O$265,MATCH(175,Engine!$C$2:$C$265,0)))</f>
        <v>6.1 A financial institution must ensure that its IT strategy is approved by the governing body and aligned with its overall business strategy.</v>
      </c>
    </row>
    <row r="189" spans="1:15" ht="409.6" x14ac:dyDescent="0.3">
      <c r="A189" t="str">
        <f>IF(ISNA(MATCH(176,Engine!$C$2:$C$265,0)),"",INDEX('Compliance Database'!$A$2:$A$265,MATCH(176,Engine!$C$2:$C$265,0)))</f>
        <v>South Africa</v>
      </c>
      <c r="B189" t="str">
        <f>IF(ISNA(MATCH(176,Engine!$C$2:$C$265,0)),"",INDEX('Compliance Database'!$B$2:$B$265,MATCH(176,Engine!$C$2:$C$265,0)))</f>
        <v>Joint Standard 1 of 2023 - IT Governance and Risk Management</v>
      </c>
      <c r="C189" t="str">
        <f>IF(ISNA(MATCH(176,Engine!$C$2:$C$265,0)),"",INDEX('Compliance Database'!$C$2:$C$265,MATCH(176,Engine!$C$2:$C$265,0)))</f>
        <v>7</v>
      </c>
      <c r="D189" s="6" t="str">
        <f>IF(ISNA(MATCH(176,Engine!$C$2:$C$265,0)),"",INDEX('Compliance Database'!$D$2:$D$265,MATCH(176,Engine!$C$2:$C$265,0)))</f>
        <v>IT risk management framework</v>
      </c>
      <c r="E189" t="str">
        <f>IF(ISNA(MATCH(176,Engine!$C$2:$C$265,0)),"",INDEX('Compliance Database'!$E$2:$E$265,MATCH(176,Engine!$C$2:$C$265,0)))</f>
        <v>6–8</v>
      </c>
      <c r="F189" t="str">
        <f>IF(ISNA(MATCH(176,Engine!$C$2:$C$265,0)),"",INDEX('Compliance Database'!$F$2:$F$265,MATCH(176,Engine!$C$2:$C$265,0)))</f>
        <v>Other</v>
      </c>
      <c r="G189" t="str">
        <f>IF(ISNA(MATCH(176,Engine!$C$2:$C$265,0)),"",INDEX('Compliance Database'!$G$2:$G$265,MATCH(176,Engine!$C$2:$C$265,0)))</f>
        <v>High</v>
      </c>
      <c r="H189" t="str">
        <f>IF(ISNA(MATCH(176,Engine!$C$2:$C$265,0)),"",INDEX('Compliance Database'!$H$2:$H$265,MATCH(176,Engine!$C$2:$C$265,0)))</f>
        <v>High (explicit)</v>
      </c>
      <c r="I189" s="6">
        <f>IF(ISNA(MATCH(176,Engine!$C$2:$C$265,0)),"",INDEX('Compliance Database'!$I$2:$I$265,MATCH(176,Engine!$C$2:$C$265,0)))</f>
        <v>0</v>
      </c>
      <c r="J189" s="6" t="str">
        <f>IF(ISNA(MATCH(176,Engine!$C$2:$C$265,0)),"",INDEX('Compliance Database'!$J$2:$J$265,MATCH(176,Engine!$C$2:$C$265,0)))</f>
        <v>Financial Data</v>
      </c>
      <c r="K189">
        <f>IF(ISNA(MATCH(176,Engine!$C$2:$C$265,0)),"",INDEX('Compliance Database'!$K$2:$K$265,MATCH(176,Engine!$C$2:$C$265,0)))</f>
        <v>0</v>
      </c>
      <c r="L189" s="6" t="str">
        <f>IF(ISNA(MATCH(176,Engine!$C$2:$C$265,0)),"",INDEX('Compliance Database'!$L$2:$L$265,MATCH(176,Engine!$C$2:$C$265,0)))</f>
        <v>Financial institutions must establish an IT risk management framework approved by governing body, incorporating policies, risk identification, and monitoring processes.</v>
      </c>
      <c r="M189" s="6" t="str">
        <f>IF(ISNA(MATCH(176,Engine!$C$2:$C$265,0)),"",INDEX('Compliance Database'!$M$2:$M$265,MATCH(176,Engine!$C$2:$C$265,0)))</f>
        <v>Financial institutions must establish an IT risk management framework that includes risk identification, assessment, and monitoring processes.</v>
      </c>
      <c r="N189" s="6" t="str">
        <f>IF(ISNA(MATCH(176,Engine!$C$2:$C$265,0)),"",INDEX('Compliance Database'!$N$2:$N$265,MATCH(176,Engine!$C$2:$C$265,0)))</f>
        <v>[Must] A financial institution must establish an IT risk management framework to manage IT risks in a systematic and consistent manner.
[Must] The IT risk management framework of a financial institution must be approved by the governing body and reviewed regularly, but at least annually.
[Must] The IT risk management framework of a financial institution must, at a minimum, incorporate policies, standards and procedures in managing IT risks and safeguarding IT assets.
[Must] The IT risk management framework must include identification and prioritisation of IT assets.
[Must] The IT risk management framework must include identification and assessment of impact and likelihood of current and emerging threats, risks and vulnerabilities.
[Must] The IT risk management framework must include implementation of appropriate practices and controls to manage risks.
[Must] The IT risk management framework must include periodic updates and monitoring of risk assessments.
[Must] The IT risk management framework must include people management measures for staff, service providers and contractors.</v>
      </c>
      <c r="O189" s="6" t="str">
        <f>IF(ISNA(MATCH(176,Engine!$C$2:$C$265,0)),"",INDEX('Compliance Database'!$O$2:$O$265,MATCH(176,Engine!$C$2:$C$265,0)))</f>
        <v>7.1 A financial institution must establish an IT risk management framework to manage IT risks in a systematic and consistent manner.</v>
      </c>
    </row>
    <row r="190" spans="1:15" ht="72" x14ac:dyDescent="0.3">
      <c r="A190" t="str">
        <f>IF(ISNA(MATCH(177,Engine!$C$2:$C$265,0)),"",INDEX('Compliance Database'!$A$2:$A$265,MATCH(177,Engine!$C$2:$C$265,0)))</f>
        <v>South Africa</v>
      </c>
      <c r="B190" t="str">
        <f>IF(ISNA(MATCH(177,Engine!$C$2:$C$265,0)),"",INDEX('Compliance Database'!$B$2:$B$265,MATCH(177,Engine!$C$2:$C$265,0)))</f>
        <v>Joint Standard 1 of 2023 - IT Governance and Risk Management</v>
      </c>
      <c r="C190" t="str">
        <f>IF(ISNA(MATCH(177,Engine!$C$2:$C$265,0)),"",INDEX('Compliance Database'!$C$2:$C$265,MATCH(177,Engine!$C$2:$C$265,0)))</f>
        <v>8</v>
      </c>
      <c r="D190" s="6" t="str">
        <f>IF(ISNA(MATCH(177,Engine!$C$2:$C$265,0)),"",INDEX('Compliance Database'!$D$2:$D$265,MATCH(177,Engine!$C$2:$C$265,0)))</f>
        <v>Oversight of IT risk management</v>
      </c>
      <c r="E190" t="str">
        <f>IF(ISNA(MATCH(177,Engine!$C$2:$C$265,0)),"",INDEX('Compliance Database'!$E$2:$E$265,MATCH(177,Engine!$C$2:$C$265,0)))</f>
        <v>8</v>
      </c>
      <c r="F190" t="str">
        <f>IF(ISNA(MATCH(177,Engine!$C$2:$C$265,0)),"",INDEX('Compliance Database'!$F$2:$F$265,MATCH(177,Engine!$C$2:$C$265,0)))</f>
        <v>Other</v>
      </c>
      <c r="G190" t="str">
        <f>IF(ISNA(MATCH(177,Engine!$C$2:$C$265,0)),"",INDEX('Compliance Database'!$G$2:$G$265,MATCH(177,Engine!$C$2:$C$265,0)))</f>
        <v>High</v>
      </c>
      <c r="H190" t="str">
        <f>IF(ISNA(MATCH(177,Engine!$C$2:$C$265,0)),"",INDEX('Compliance Database'!$H$2:$H$265,MATCH(177,Engine!$C$2:$C$265,0)))</f>
        <v>High (explicit)</v>
      </c>
      <c r="I190" s="6">
        <f>IF(ISNA(MATCH(177,Engine!$C$2:$C$265,0)),"",INDEX('Compliance Database'!$I$2:$I$265,MATCH(177,Engine!$C$2:$C$265,0)))</f>
        <v>0</v>
      </c>
      <c r="J190" s="6" t="str">
        <f>IF(ISNA(MATCH(177,Engine!$C$2:$C$265,0)),"",INDEX('Compliance Database'!$J$2:$J$265,MATCH(177,Engine!$C$2:$C$265,0)))</f>
        <v>Financial Data</v>
      </c>
      <c r="K190">
        <f>IF(ISNA(MATCH(177,Engine!$C$2:$C$265,0)),"",INDEX('Compliance Database'!$K$2:$K$265,MATCH(177,Engine!$C$2:$C$265,0)))</f>
        <v>0</v>
      </c>
      <c r="L190" s="6" t="str">
        <f>IF(ISNA(MATCH(177,Engine!$C$2:$C$265,0)),"",INDEX('Compliance Database'!$L$2:$L$265,MATCH(177,Engine!$C$2:$C$265,0)))</f>
        <v>Oversight of IT risk management must be incorporated into governance structures and reporting lines to the governing body.</v>
      </c>
      <c r="M190" s="6" t="str">
        <f>IF(ISNA(MATCH(177,Engine!$C$2:$C$265,0)),"",INDEX('Compliance Database'!$M$2:$M$265,MATCH(177,Engine!$C$2:$C$265,0)))</f>
        <v>Oversight of IT risk management must be part of governance structures with reporting lines to the governing body.</v>
      </c>
      <c r="N190" s="6" t="str">
        <f>IF(ISNA(MATCH(177,Engine!$C$2:$C$265,0)),"",INDEX('Compliance Database'!$N$2:$N$265,MATCH(177,Engine!$C$2:$C$265,0)))</f>
        <v>[Must] Oversight of IT risk management must be incorporated into the governance and risk management structures, processes and procedures of a financial institution, including provisions relating to reporting lines to the governing body.</v>
      </c>
      <c r="O190" s="6" t="str">
        <f>IF(ISNA(MATCH(177,Engine!$C$2:$C$265,0)),"",INDEX('Compliance Database'!$O$2:$O$265,MATCH(177,Engine!$C$2:$C$265,0)))</f>
        <v>8.1 Oversight of IT risk management must be incorporated into the governance and risk management structures, processes and procedures of a financial institution, including provisions relating to reporting lines to the governing body.</v>
      </c>
    </row>
    <row r="191" spans="1:15" ht="409.6" x14ac:dyDescent="0.3">
      <c r="A191" t="str">
        <f>IF(ISNA(MATCH(178,Engine!$C$2:$C$265,0)),"",INDEX('Compliance Database'!$A$2:$A$265,MATCH(178,Engine!$C$2:$C$265,0)))</f>
        <v>South Africa</v>
      </c>
      <c r="B191" t="str">
        <f>IF(ISNA(MATCH(178,Engine!$C$2:$C$265,0)),"",INDEX('Compliance Database'!$B$2:$B$265,MATCH(178,Engine!$C$2:$C$265,0)))</f>
        <v>Joint Standard 1 of 2023 - IT Governance and Risk Management</v>
      </c>
      <c r="C191" t="str">
        <f>IF(ISNA(MATCH(178,Engine!$C$2:$C$265,0)),"",INDEX('Compliance Database'!$C$2:$C$265,MATCH(178,Engine!$C$2:$C$265,0)))</f>
        <v>9</v>
      </c>
      <c r="D191" s="6" t="str">
        <f>IF(ISNA(MATCH(178,Engine!$C$2:$C$265,0)),"",INDEX('Compliance Database'!$D$2:$D$265,MATCH(178,Engine!$C$2:$C$265,0)))</f>
        <v>IT operations</v>
      </c>
      <c r="E191" t="str">
        <f>IF(ISNA(MATCH(178,Engine!$C$2:$C$265,0)),"",INDEX('Compliance Database'!$E$2:$E$265,MATCH(178,Engine!$C$2:$C$265,0)))</f>
        <v>8–9</v>
      </c>
      <c r="F191" t="str">
        <f>IF(ISNA(MATCH(178,Engine!$C$2:$C$265,0)),"",INDEX('Compliance Database'!$F$2:$F$265,MATCH(178,Engine!$C$2:$C$265,0)))</f>
        <v>Other</v>
      </c>
      <c r="G191" t="str">
        <f>IF(ISNA(MATCH(178,Engine!$C$2:$C$265,0)),"",INDEX('Compliance Database'!$G$2:$G$265,MATCH(178,Engine!$C$2:$C$265,0)))</f>
        <v>High</v>
      </c>
      <c r="H191" t="str">
        <f>IF(ISNA(MATCH(178,Engine!$C$2:$C$265,0)),"",INDEX('Compliance Database'!$H$2:$H$265,MATCH(178,Engine!$C$2:$C$265,0)))</f>
        <v>High (explicit)</v>
      </c>
      <c r="I191" s="6">
        <f>IF(ISNA(MATCH(178,Engine!$C$2:$C$265,0)),"",INDEX('Compliance Database'!$I$2:$I$265,MATCH(178,Engine!$C$2:$C$265,0)))</f>
        <v>0</v>
      </c>
      <c r="J191" s="6" t="str">
        <f>IF(ISNA(MATCH(178,Engine!$C$2:$C$265,0)),"",INDEX('Compliance Database'!$J$2:$J$265,MATCH(178,Engine!$C$2:$C$265,0)))</f>
        <v>Financial Data</v>
      </c>
      <c r="K191">
        <f>IF(ISNA(MATCH(178,Engine!$C$2:$C$265,0)),"",INDEX('Compliance Database'!$K$2:$K$265,MATCH(178,Engine!$C$2:$C$265,0)))</f>
        <v>0</v>
      </c>
      <c r="L191" s="6" t="str">
        <f>IF(ISNA(MATCH(178,Engine!$C$2:$C$265,0)),"",INDEX('Compliance Database'!$L$2:$L$265,MATCH(178,Engine!$C$2:$C$265,0)))</f>
        <v>Financial institutions must implement robust IT service management policies, change management, incident handling, and backup procedures.</v>
      </c>
      <c r="M191" s="6" t="str">
        <f>IF(ISNA(MATCH(178,Engine!$C$2:$C$265,0)),"",INDEX('Compliance Database'!$M$2:$M$265,MATCH(178,Engine!$C$2:$C$265,0)))</f>
        <v>Financial institutions must implement IT service management policies, change management, incident handling, and backup procedures.</v>
      </c>
      <c r="N191" s="6" t="str">
        <f>IF(ISNA(MATCH(178,Engine!$C$2:$C$265,0)),"",INDEX('Compliance Database'!$N$2:$N$265,MATCH(178,Engine!$C$2:$C$265,0)))</f>
        <v>[Must] A financial institution must develop a robust set of IT service management policies, standards, processes and procedures (framework) which is essential for supporting IT systems, services and operations, managing changes, incidents and problems as well as ensuring the stability of the production IT environment.
[Must] The IT service management framework must comprise a governance structure for change management, software release management, incident and problem management as well as capacity management.
[Must] A financial institution must manage its IT operations based on documented and implemented policies, processes and procedures.
[Must] A financial institution must maintain efficiency of its IT operations, including, but not limited to the need to consider how to minimise potential incidents arising from the execution of manual tasks.
[Must] A financial institution must implement appropriate logging and monitoring procedures for critical IT operations to allow the detection, analysis and correction of incidents.
[Must] A financial institution must store the configuration of the IT assets and the links and interdependencies between the different IT assets, to enable an appropriate configuration management process.
[Must] A financial institution must implement performance, capacity planning and monitoring processes to prevent, detect and respond to important performance issues of IT systems and IT capacity shortages in a timely manner.
[Must] A financial institution must define and implement IT system backup and restoration procedures to ensure recovery of IT systems as required.
[Must] A financial institution must establish and implement an effective IT change management process to ensure that all changes to IT systems are recorded, tested, assessed, approved, implemented and verified in a controlled manner.
[Must] A financial institution must establish and implement a problem and incident management process to identify, track (including timing), log, categorise and classify incidents according to priority, based on business criticality.</v>
      </c>
      <c r="O191" s="6" t="str">
        <f>IF(ISNA(MATCH(178,Engine!$C$2:$C$265,0)),"",INDEX('Compliance Database'!$O$2:$O$265,MATCH(178,Engine!$C$2:$C$265,0)))</f>
        <v>9.1 A financial institution must develop a robust set of IT service management policies, standards, processes and procedures (framework) which is essential for supporting IT systems, services and operations, managing changes, incidents and problems as well as ensuring the stability of the production IT environment.</v>
      </c>
    </row>
    <row r="192" spans="1:15" ht="403.2" x14ac:dyDescent="0.3">
      <c r="A192" t="str">
        <f>IF(ISNA(MATCH(179,Engine!$C$2:$C$265,0)),"",INDEX('Compliance Database'!$A$2:$A$265,MATCH(179,Engine!$C$2:$C$265,0)))</f>
        <v>South Africa</v>
      </c>
      <c r="B192" t="str">
        <f>IF(ISNA(MATCH(179,Engine!$C$2:$C$265,0)),"",INDEX('Compliance Database'!$B$2:$B$265,MATCH(179,Engine!$C$2:$C$265,0)))</f>
        <v>Joint Standard 1 of 2023 - IT Governance and Risk Management</v>
      </c>
      <c r="C192" t="str">
        <f>IF(ISNA(MATCH(179,Engine!$C$2:$C$265,0)),"",INDEX('Compliance Database'!$C$2:$C$265,MATCH(179,Engine!$C$2:$C$265,0)))</f>
        <v>10</v>
      </c>
      <c r="D192" s="6" t="str">
        <f>IF(ISNA(MATCH(179,Engine!$C$2:$C$265,0)),"",INDEX('Compliance Database'!$D$2:$D$265,MATCH(179,Engine!$C$2:$C$265,0)))</f>
        <v>Handling of sensitive or confidential information</v>
      </c>
      <c r="E192" t="str">
        <f>IF(ISNA(MATCH(179,Engine!$C$2:$C$265,0)),"",INDEX('Compliance Database'!$E$2:$E$265,MATCH(179,Engine!$C$2:$C$265,0)))</f>
        <v>9–10</v>
      </c>
      <c r="F192" t="str">
        <f>IF(ISNA(MATCH(179,Engine!$C$2:$C$265,0)),"",INDEX('Compliance Database'!$F$2:$F$265,MATCH(179,Engine!$C$2:$C$265,0)))</f>
        <v>Other</v>
      </c>
      <c r="G192" t="str">
        <f>IF(ISNA(MATCH(179,Engine!$C$2:$C$265,0)),"",INDEX('Compliance Database'!$G$2:$G$265,MATCH(179,Engine!$C$2:$C$265,0)))</f>
        <v>High</v>
      </c>
      <c r="H192" t="str">
        <f>IF(ISNA(MATCH(179,Engine!$C$2:$C$265,0)),"",INDEX('Compliance Database'!$H$2:$H$265,MATCH(179,Engine!$C$2:$C$265,0)))</f>
        <v>High (explicit)</v>
      </c>
      <c r="I192" s="6">
        <f>IF(ISNA(MATCH(179,Engine!$C$2:$C$265,0)),"",INDEX('Compliance Database'!$I$2:$I$265,MATCH(179,Engine!$C$2:$C$265,0)))</f>
        <v>0</v>
      </c>
      <c r="J192" s="6" t="str">
        <f>IF(ISNA(MATCH(179,Engine!$C$2:$C$265,0)),"",INDEX('Compliance Database'!$J$2:$J$265,MATCH(179,Engine!$C$2:$C$265,0)))</f>
        <v>Financial Data</v>
      </c>
      <c r="K192">
        <f>IF(ISNA(MATCH(179,Engine!$C$2:$C$265,0)),"",INDEX('Compliance Database'!$K$2:$K$265,MATCH(179,Engine!$C$2:$C$265,0)))</f>
        <v>0</v>
      </c>
      <c r="L192" s="6" t="str">
        <f>IF(ISNA(MATCH(179,Engine!$C$2:$C$265,0)),"",INDEX('Compliance Database'!$L$2:$L$265,MATCH(179,Engine!$C$2:$C$265,0)))</f>
        <v>Financial institutions must protect sensitive information, implement access controls, and ensure data accuracy and compliance with legislation.</v>
      </c>
      <c r="M192" s="6" t="str">
        <f>IF(ISNA(MATCH(179,Engine!$C$2:$C$265,0)),"",INDEX('Compliance Database'!$M$2:$M$265,MATCH(179,Engine!$C$2:$C$265,0)))</f>
        <v>Financial institutions must protect sensitive information, implement access controls, and ensure data accuracy and compliance with legislation.</v>
      </c>
      <c r="N192" s="6" t="str">
        <f>IF(ISNA(MATCH(179,Engine!$C$2:$C$265,0)),"",INDEX('Compliance Database'!$N$2:$N$265,MATCH(179,Engine!$C$2:$C$265,0)))</f>
        <v>[Must] A financial institution must define, document and implement appropriate measures to protect sensitive or confidential information such as customer personal account and transaction data.
[Must] A financial institution must define, document and implement procedures for logical access control (identity and access management).
[Must] A financial institution must implement appropriate measures to address risks of data theft, data loss and data leakage from endpoint devices, customer service locations and call centres.
[Must] A financial institution must ensure that information processed, stored or transmitted between itself and its customers is accurate, reliable and complete.
[Must] A financial institution must conduct independent reviews to assess compliance with the measures implemented.
[Must] A financial institution must ensure that all personal information is processed in accordance with the requirements of all applicable legislation, including the Protection of Personal Information Act, 2013.</v>
      </c>
      <c r="O192" s="6" t="str">
        <f>IF(ISNA(MATCH(179,Engine!$C$2:$C$265,0)),"",INDEX('Compliance Database'!$O$2:$O$265,MATCH(179,Engine!$C$2:$C$265,0)))</f>
        <v>10.1 A financial institution must define, document and implement appropriate measures to - (a) protect sensitive or confidential information such as customer personal account and transaction data which are stored and processed in systems; and (b) mitigate IT risks and protect information assets in accordance with its sensitivity classification.</v>
      </c>
    </row>
    <row r="193" spans="1:15" ht="100.8" x14ac:dyDescent="0.3">
      <c r="A193" t="str">
        <f>IF(ISNA(MATCH(180,Engine!$C$2:$C$265,0)),"",INDEX('Compliance Database'!$A$2:$A$265,MATCH(180,Engine!$C$2:$C$265,0)))</f>
        <v>South Africa</v>
      </c>
      <c r="B193" t="str">
        <f>IF(ISNA(MATCH(180,Engine!$C$2:$C$265,0)),"",INDEX('Compliance Database'!$B$2:$B$265,MATCH(180,Engine!$C$2:$C$265,0)))</f>
        <v>Joint Standard 1 of 2023 - IT Governance and Risk Management</v>
      </c>
      <c r="C193" t="str">
        <f>IF(ISNA(MATCH(180,Engine!$C$2:$C$265,0)),"",INDEX('Compliance Database'!$C$2:$C$265,MATCH(180,Engine!$C$2:$C$265,0)))</f>
        <v>11</v>
      </c>
      <c r="D193" s="6" t="str">
        <f>IF(ISNA(MATCH(180,Engine!$C$2:$C$265,0)),"",INDEX('Compliance Database'!$D$2:$D$265,MATCH(180,Engine!$C$2:$C$265,0)))</f>
        <v>Risks associated with financial products and financial services</v>
      </c>
      <c r="E193" t="str">
        <f>IF(ISNA(MATCH(180,Engine!$C$2:$C$265,0)),"",INDEX('Compliance Database'!$E$2:$E$265,MATCH(180,Engine!$C$2:$C$265,0)))</f>
        <v>10</v>
      </c>
      <c r="F193" t="str">
        <f>IF(ISNA(MATCH(180,Engine!$C$2:$C$265,0)),"",INDEX('Compliance Database'!$F$2:$F$265,MATCH(180,Engine!$C$2:$C$265,0)))</f>
        <v>Financial Data</v>
      </c>
      <c r="G193" t="str">
        <f>IF(ISNA(MATCH(180,Engine!$C$2:$C$265,0)),"",INDEX('Compliance Database'!$G$2:$G$265,MATCH(180,Engine!$C$2:$C$265,0)))</f>
        <v>High</v>
      </c>
      <c r="H193" t="str">
        <f>IF(ISNA(MATCH(180,Engine!$C$2:$C$265,0)),"",INDEX('Compliance Database'!$H$2:$H$265,MATCH(180,Engine!$C$2:$C$265,0)))</f>
        <v>High (explicit)</v>
      </c>
      <c r="I193" s="6" t="str">
        <f>IF(ISNA(MATCH(180,Engine!$C$2:$C$265,0)),"",INDEX('Compliance Database'!$I$2:$I$265,MATCH(180,Engine!$C$2:$C$265,0)))</f>
        <v>Security</v>
      </c>
      <c r="J193" s="6" t="str">
        <f>IF(ISNA(MATCH(180,Engine!$C$2:$C$265,0)),"",INDEX('Compliance Database'!$J$2:$J$265,MATCH(180,Engine!$C$2:$C$265,0)))</f>
        <v>Financial Data</v>
      </c>
      <c r="K193" t="str">
        <f>IF(ISNA(MATCH(180,Engine!$C$2:$C$265,0)),"",INDEX('Compliance Database'!$K$2:$K$265,MATCH(180,Engine!$C$2:$C$265,0)))</f>
        <v>Financial institutions</v>
      </c>
      <c r="L193" s="6" t="str">
        <f>IF(ISNA(MATCH(180,Engine!$C$2:$C$265,0)),"",INDEX('Compliance Database'!$L$2:$L$265,MATCH(180,Engine!$C$2:$C$265,0)))</f>
        <v>Financial institutions must identify IT risks for financial products/services and implement security controls, system availability, and recovery capabilities proportional to risk exposure.</v>
      </c>
      <c r="M193" s="6" t="str">
        <f>IF(ISNA(MATCH(180,Engine!$C$2:$C$265,0)),"",INDEX('Compliance Database'!$M$2:$M$265,MATCH(180,Engine!$C$2:$C$265,0)))</f>
        <v>Requires financial institutions to assess IT risks for financial products/services and implement proportional security controls, system availability, and recovery capabilities.</v>
      </c>
      <c r="N193" s="6" t="str">
        <f>IF(ISNA(MATCH(180,Engine!$C$2:$C$265,0)),"",INDEX('Compliance Database'!$N$2:$N$265,MATCH(180,Engine!$C$2:$C$265,0)))</f>
        <v>[Must] A financial institution must clearly identify IT risks associated with the types of financial products or financial services being offered, and formulate security controls, system availability and recovery capabilities, which are commensurate with the level of risk exposure for all operations, including the internet-facing operations.</v>
      </c>
      <c r="O193" s="6" t="str">
        <f>IF(ISNA(MATCH(180,Engine!$C$2:$C$265,0)),"",INDEX('Compliance Database'!$O$2:$O$265,MATCH(180,Engine!$C$2:$C$265,0)))</f>
        <v>A financial institution must clearly identify IT risks associated with the types of financial products or financial services being offered, and formulate security controls, system availability and recovery capabilities, which are commensurate with the level of risk exposure for all operations, including the internet-facing operations.</v>
      </c>
    </row>
    <row r="194" spans="1:15" ht="409.6" x14ac:dyDescent="0.3">
      <c r="A194" t="str">
        <f>IF(ISNA(MATCH(181,Engine!$C$2:$C$265,0)),"",INDEX('Compliance Database'!$A$2:$A$265,MATCH(181,Engine!$C$2:$C$265,0)))</f>
        <v>South Africa</v>
      </c>
      <c r="B194" t="str">
        <f>IF(ISNA(MATCH(181,Engine!$C$2:$C$265,0)),"",INDEX('Compliance Database'!$B$2:$B$265,MATCH(181,Engine!$C$2:$C$265,0)))</f>
        <v>Joint Standard 1 of 2023 - IT Governance and Risk Management</v>
      </c>
      <c r="C194" t="str">
        <f>IF(ISNA(MATCH(181,Engine!$C$2:$C$265,0)),"",INDEX('Compliance Database'!$C$2:$C$265,MATCH(181,Engine!$C$2:$C$265,0)))</f>
        <v>12</v>
      </c>
      <c r="D194" s="6" t="str">
        <f>IF(ISNA(MATCH(181,Engine!$C$2:$C$265,0)),"",INDEX('Compliance Database'!$D$2:$D$265,MATCH(181,Engine!$C$2:$C$265,0)))</f>
        <v>IT programme and/or project management</v>
      </c>
      <c r="E194" t="str">
        <f>IF(ISNA(MATCH(181,Engine!$C$2:$C$265,0)),"",INDEX('Compliance Database'!$E$2:$E$265,MATCH(181,Engine!$C$2:$C$265,0)))</f>
        <v>10–11</v>
      </c>
      <c r="F194" t="str">
        <f>IF(ISNA(MATCH(181,Engine!$C$2:$C$265,0)),"",INDEX('Compliance Database'!$F$2:$F$265,MATCH(181,Engine!$C$2:$C$265,0)))</f>
        <v>Financial Data</v>
      </c>
      <c r="G194" t="str">
        <f>IF(ISNA(MATCH(181,Engine!$C$2:$C$265,0)),"",INDEX('Compliance Database'!$G$2:$G$265,MATCH(181,Engine!$C$2:$C$265,0)))</f>
        <v>High</v>
      </c>
      <c r="H194" t="str">
        <f>IF(ISNA(MATCH(181,Engine!$C$2:$C$265,0)),"",INDEX('Compliance Database'!$H$2:$H$265,MATCH(181,Engine!$C$2:$C$265,0)))</f>
        <v>High (explicit)</v>
      </c>
      <c r="I194" s="6">
        <f>IF(ISNA(MATCH(181,Engine!$C$2:$C$265,0)),"",INDEX('Compliance Database'!$I$2:$I$265,MATCH(181,Engine!$C$2:$C$265,0)))</f>
        <v>0</v>
      </c>
      <c r="J194" s="6" t="str">
        <f>IF(ISNA(MATCH(181,Engine!$C$2:$C$265,0)),"",INDEX('Compliance Database'!$J$2:$J$265,MATCH(181,Engine!$C$2:$C$265,0)))</f>
        <v>Financial Data</v>
      </c>
      <c r="K194">
        <f>IF(ISNA(MATCH(181,Engine!$C$2:$C$265,0)),"",INDEX('Compliance Database'!$K$2:$K$265,MATCH(181,Engine!$C$2:$C$265,0)))</f>
        <v>0</v>
      </c>
      <c r="L194" s="6" t="str">
        <f>IF(ISNA(MATCH(181,Engine!$C$2:$C$265,0)),"",INDEX('Compliance Database'!$L$2:$L$265,MATCH(181,Engine!$C$2:$C$265,0)))</f>
        <v>Financial institutions must develop IT programme/project management frameworks with governance, risk management, and change control processes, ensuring security requirements are independent and approved.</v>
      </c>
      <c r="M194" s="6" t="str">
        <f>IF(ISNA(MATCH(181,Engine!$C$2:$C$265,0)),"",INDEX('Compliance Database'!$M$2:$M$265,MATCH(181,Engine!$C$2:$C$265,0)))</f>
        <v>Requires financial institutions to establish IT programme/project management frameworks with governance, risk assessment, and change control, ensuring security requirements are independent and approved.</v>
      </c>
      <c r="N194" s="6" t="str">
        <f>IF(ISNA(MATCH(181,Engine!$C$2:$C$265,0)),"",INDEX('Compliance Database'!$N$2:$N$265,MATCH(181,Engine!$C$2:$C$265,0)))</f>
        <v>[Must] A financial institution must develop a framework and approach for IT programme and/or project management that incorporates the governance structures, policies and processes, stakeholder engagement, risks and issues management, change control, integration, and cost and benefit realisation.
[Must] A financial institution must establish and implement an IT programme and project management policies, procedures and processes that includes, as a minimum - IT programme and project objectives; roles and responsibilities, including governance and decision-making structures; IT programme and project risk assessment; IT programme and project plan, timeframe and steps; key milestones; and change management requirements.
[Must] A financial institution must ensure that its IT programme and project management policy confirms that IT security requirements are analysed and approved by a function that is independent from the development function.
[Must] A financial institution must identify, monitor and mitigate risks deriving from its portfolio of IT programmes and projects, considering risks that may result from interdependencies between different IT programmes and projects and from dependencies of multiple programmes and projects utilising the same resources and/or expertise.
[Must] A financial institution must ensure that before any acquisition or development of IT systems takes place, the functional and non-functional requirements (including information security requirements) are clearly defined and approved by the relevant governance structure.
[Must] A financial institution must follow its methodology for testing and approval of IT systems prior to implementation into the production environment. This methodology must consider the criticality of business processes and assets. The testing must ensure that new IT systems perform as intended. It must also use test environments that adequately reflect the production environment.
[Must] A financial institution must implement controls in the IT environment to ensure adequate segregation of duties between the pre-production environment that is a mirror of the production environment to mitigate the impact of risks introduced to the production systems.
[Must] A financial institution must implement appropriate measures to protect the integrity of the source codes of IT systems that are developed in-house. In addition, a financial institution must document the development, implementation, operation and/or configuration of the IT systems comprehensively to reduce any unnecessary dependency on subject matter experts.
[Must] A financial institution must ensure that the documentation of the IT system contains, where applicable, user documentation, technical system documentation and operating procedures.
[Must] A financial institution must ensure that processes for acquisition and development of IT systems applied by the department(s) responsible for IT must also apply to IT systems acquired by business functions outside the IT department, using a risk-based approach.
[Must] A financial institution must maintain a register of the critical applications, business functions and processes.</v>
      </c>
      <c r="O194" s="6" t="str">
        <f>IF(ISNA(MATCH(181,Engine!$C$2:$C$265,0)),"",INDEX('Compliance Database'!$O$2:$O$265,MATCH(181,Engine!$C$2:$C$265,0)))</f>
        <v>A financial institution must develop a framework and approach for IT programme and/or project management that incorporates the governance structures, policies and processes, stakeholder engagement, risks and issues management, change control, integration, and cost and benefit realisation.</v>
      </c>
    </row>
    <row r="195" spans="1:15" ht="409.6" x14ac:dyDescent="0.3">
      <c r="A195" t="str">
        <f>IF(ISNA(MATCH(182,Engine!$C$2:$C$265,0)),"",INDEX('Compliance Database'!$A$2:$A$265,MATCH(182,Engine!$C$2:$C$265,0)))</f>
        <v>South Africa</v>
      </c>
      <c r="B195" t="str">
        <f>IF(ISNA(MATCH(182,Engine!$C$2:$C$265,0)),"",INDEX('Compliance Database'!$B$2:$B$265,MATCH(182,Engine!$C$2:$C$265,0)))</f>
        <v>Joint Standard 1 of 2023 - IT Governance and Risk Management</v>
      </c>
      <c r="C195" t="str">
        <f>IF(ISNA(MATCH(182,Engine!$C$2:$C$265,0)),"",INDEX('Compliance Database'!$C$2:$C$265,MATCH(182,Engine!$C$2:$C$265,0)))</f>
        <v>13</v>
      </c>
      <c r="D195" s="6" t="str">
        <f>IF(ISNA(MATCH(182,Engine!$C$2:$C$265,0)),"",INDEX('Compliance Database'!$D$2:$D$265,MATCH(182,Engine!$C$2:$C$265,0)))</f>
        <v>IT resilience and business continuity</v>
      </c>
      <c r="E195" t="str">
        <f>IF(ISNA(MATCH(182,Engine!$C$2:$C$265,0)),"",INDEX('Compliance Database'!$E$2:$E$265,MATCH(182,Engine!$C$2:$C$265,0)))</f>
        <v>11–13</v>
      </c>
      <c r="F195" t="str">
        <f>IF(ISNA(MATCH(182,Engine!$C$2:$C$265,0)),"",INDEX('Compliance Database'!$F$2:$F$265,MATCH(182,Engine!$C$2:$C$265,0)))</f>
        <v>Financial Data</v>
      </c>
      <c r="G195" t="str">
        <f>IF(ISNA(MATCH(182,Engine!$C$2:$C$265,0)),"",INDEX('Compliance Database'!$G$2:$G$265,MATCH(182,Engine!$C$2:$C$265,0)))</f>
        <v>High</v>
      </c>
      <c r="H195" t="str">
        <f>IF(ISNA(MATCH(182,Engine!$C$2:$C$265,0)),"",INDEX('Compliance Database'!$H$2:$H$265,MATCH(182,Engine!$C$2:$C$265,0)))</f>
        <v>High (explicit)</v>
      </c>
      <c r="I195" s="6">
        <f>IF(ISNA(MATCH(182,Engine!$C$2:$C$265,0)),"",INDEX('Compliance Database'!$I$2:$I$265,MATCH(182,Engine!$C$2:$C$265,0)))</f>
        <v>0</v>
      </c>
      <c r="J195" s="6" t="str">
        <f>IF(ISNA(MATCH(182,Engine!$C$2:$C$265,0)),"",INDEX('Compliance Database'!$J$2:$J$265,MATCH(182,Engine!$C$2:$C$265,0)))</f>
        <v>Financial Data</v>
      </c>
      <c r="K195">
        <f>IF(ISNA(MATCH(182,Engine!$C$2:$C$265,0)),"",INDEX('Compliance Database'!$K$2:$K$265,MATCH(182,Engine!$C$2:$C$265,0)))</f>
        <v>0</v>
      </c>
      <c r="L195" s="6" t="str">
        <f>IF(ISNA(MATCH(182,Engine!$C$2:$C$265,0)),"",INDEX('Compliance Database'!$L$2:$L$265,MATCH(182,Engine!$C$2:$C$265,0)))</f>
        <v>Financial institutions must define recovery priorities, establish disaster recovery sites, implement IT resilience plans, and conduct business impact assessments for critical business functions.</v>
      </c>
      <c r="M195" s="6" t="str">
        <f>IF(ISNA(MATCH(182,Engine!$C$2:$C$265,0)),"",INDEX('Compliance Database'!$M$2:$M$265,MATCH(182,Engine!$C$2:$C$265,0)))</f>
        <v>Requires financial institutions to define recovery priorities, establish disaster recovery sites, implement IT resilience plans, and conduct business impact assessments for critical business functions.</v>
      </c>
      <c r="N195" s="6" t="str">
        <f>IF(ISNA(MATCH(182,Engine!$C$2:$C$265,0)),"",INDEX('Compliance Database'!$N$2:$N$265,MATCH(182,Engine!$C$2:$C$265,0)))</f>
        <v>[Must] A financial institution must define system recovery and business resumption priorities and establish specific Service Level Objectives including RTOs and RPOs for critical services and business processes.
[Must] A financial institution must identify and establish a disaster recovery site(s) that is geographically separate from the primary site to enable the recovery of critical systems and continuation of business operations, should a disruption occur at the primary site.
[Must] A financial institution must establish a sound IT resilience management process to maximise its abilities to provide services on an ongoing basis and to limit losses in the event of severe business disruption in line with any existing requirements issued in terms of a financial sector law and applicable to financial institutions.
[Must] A financial institution must conduct a business impact assessment by analysing its exposure to severe business disruptions and assessing its potential impacts (including on confidentiality, integrity and availability), quantitatively and qualitatively, using internal and/or external data and scenario analysis.
[Must] A business impact assessment referred to in paragraph 13.2 above must also consider the criticality of the identified and classified business functions, supporting processes, third parties and IT assets, and their interdependencies.
[Must] A financial institution must develop a sound IT resilience plan.
[Must] The IT resilience plan must specifically consider risks that could adversely impact IT systems and services.
[Must] The IT resilience plan must support the objective to protect and, if necessary, re-establish the confidentiality, integrity and availability of its business functions, supporting processes and IT assets.
[Must] The IT resilience plan must support critical business functions, business processes, IT assets and its interdependencies (including those provided by third parties, where applicable).
[Must] The IT resilience plan must cater for processes to enable the return to a state of normality in the event of severe business disruption.
[Must] The IT resilience plan must be aligned to the business impact assessment referred to in paragraph 13.2 above, for example, with redundancy of certain critical components to prevent disruptions caused by events impacting those components.
[Must] The IT resilience plan must be tested regularly, but at least annually. Various scenarios, including total shutdown or incapacitation of the primary site as well as component failure at the individual system or application cluster level, must be covered in IT resilience tests.
[Must] The IT resilience plan must be reviewed regularly, but at least annually. The review must be based on, amongst others, testing results, current threat intelligence and lessons learnt from previous events.
[Must] To achieve data centre resilience, a financial institution must assess the redundancy and fault tolerance in areas such as electrical power, air conditioning, fire suppression and data communications, to the extent applicable.
[Must] A financial institution must define, document and implement physical security measures to protect its premises, data centres and sensitive areas from unauthorised access and from environmental hazards.
[Must] A financial institution must test the recovery dependencies between systems. Bilateral or multilateral recovery testing must be conducted where networks and systems are linked to specific service providers, where applicable.</v>
      </c>
      <c r="O195" s="6" t="str">
        <f>IF(ISNA(MATCH(182,Engine!$C$2:$C$265,0)),"",INDEX('Compliance Database'!$O$2:$O$265,MATCH(182,Engine!$C$2:$C$265,0)))</f>
        <v>A financial institution must define system recovery and business resumption priorities and establish specific Service Level Objectives including RTOs and RPOs for critical services and business processes.</v>
      </c>
    </row>
    <row r="196" spans="1:15" ht="409.6" x14ac:dyDescent="0.3">
      <c r="A196" t="str">
        <f>IF(ISNA(MATCH(183,Engine!$C$2:$C$265,0)),"",INDEX('Compliance Database'!$A$2:$A$265,MATCH(183,Engine!$C$2:$C$265,0)))</f>
        <v>South Africa</v>
      </c>
      <c r="B196" t="str">
        <f>IF(ISNA(MATCH(183,Engine!$C$2:$C$265,0)),"",INDEX('Compliance Database'!$B$2:$B$265,MATCH(183,Engine!$C$2:$C$265,0)))</f>
        <v>Joint Standard 1 of 2023 - IT Governance and Risk Management</v>
      </c>
      <c r="C196" t="str">
        <f>IF(ISNA(MATCH(183,Engine!$C$2:$C$265,0)),"",INDEX('Compliance Database'!$C$2:$C$265,MATCH(183,Engine!$C$2:$C$265,0)))</f>
        <v>14</v>
      </c>
      <c r="D196" s="6" t="str">
        <f>IF(ISNA(MATCH(183,Engine!$C$2:$C$265,0)),"",INDEX('Compliance Database'!$D$2:$D$265,MATCH(183,Engine!$C$2:$C$265,0)))</f>
        <v>IT assurance</v>
      </c>
      <c r="E196" t="str">
        <f>IF(ISNA(MATCH(183,Engine!$C$2:$C$265,0)),"",INDEX('Compliance Database'!$E$2:$E$265,MATCH(183,Engine!$C$2:$C$265,0)))</f>
        <v>13</v>
      </c>
      <c r="F196" t="str">
        <f>IF(ISNA(MATCH(183,Engine!$C$2:$C$265,0)),"",INDEX('Compliance Database'!$F$2:$F$265,MATCH(183,Engine!$C$2:$C$265,0)))</f>
        <v>Financial Data</v>
      </c>
      <c r="G196" t="str">
        <f>IF(ISNA(MATCH(183,Engine!$C$2:$C$265,0)),"",INDEX('Compliance Database'!$G$2:$G$265,MATCH(183,Engine!$C$2:$C$265,0)))</f>
        <v>High</v>
      </c>
      <c r="H196" t="str">
        <f>IF(ISNA(MATCH(183,Engine!$C$2:$C$265,0)),"",INDEX('Compliance Database'!$H$2:$H$265,MATCH(183,Engine!$C$2:$C$265,0)))</f>
        <v>High (explicit)</v>
      </c>
      <c r="I196" s="6">
        <f>IF(ISNA(MATCH(183,Engine!$C$2:$C$265,0)),"",INDEX('Compliance Database'!$I$2:$I$265,MATCH(183,Engine!$C$2:$C$265,0)))</f>
        <v>0</v>
      </c>
      <c r="J196" s="6" t="str">
        <f>IF(ISNA(MATCH(183,Engine!$C$2:$C$265,0)),"",INDEX('Compliance Database'!$J$2:$J$265,MATCH(183,Engine!$C$2:$C$265,0)))</f>
        <v>Financial Data</v>
      </c>
      <c r="K196">
        <f>IF(ISNA(MATCH(183,Engine!$C$2:$C$265,0)),"",INDEX('Compliance Database'!$K$2:$K$265,MATCH(183,Engine!$C$2:$C$265,0)))</f>
        <v>0</v>
      </c>
      <c r="L196" s="6" t="str">
        <f>IF(ISNA(MATCH(183,Engine!$C$2:$C$265,0)),"",INDEX('Compliance Database'!$L$2:$L$265,MATCH(183,Engine!$C$2:$C$265,0)))</f>
        <v>Financial institutions must establish independent IT assurance functions to review compliance with IT policies and procedures and external requirements.</v>
      </c>
      <c r="M196" s="6" t="str">
        <f>IF(ISNA(MATCH(183,Engine!$C$2:$C$265,0)),"",INDEX('Compliance Database'!$M$2:$M$265,MATCH(183,Engine!$C$2:$C$265,0)))</f>
        <v>Requires financial institutions to establish independent IT assurance functions to review compliance with IT policies and procedures and external requirements.</v>
      </c>
      <c r="N196" s="6" t="str">
        <f>IF(ISNA(MATCH(183,Engine!$C$2:$C$265,0)),"",INDEX('Compliance Database'!$N$2:$N$265,MATCH(183,Engine!$C$2:$C$265,0)))</f>
        <v>[Must] The control functions and/or external assurance providers, must, have the capacity to independently review and provide objective assurance of compliance with all IT-related activities as outlined in the financial institution's policies and procedures as well as with external requirements.
[Must] A financial institution must through the control functions or an external assurance provider - establish an organisational structure and reporting lines for IT assurance within the control functions, where appropriate, in a way that preserves the independence and objectivity of the control functions.
[Must] A financial institution must through the control functions or an external assurance provider - determine whether changes in the existing operational environment influence the existing IT controls or require the adoption of additional measures to mitigate the risks involved. These changes must be in accordance with the financial institution's formal change management process.
[Must] A financial institution must through the control functions or an external assurance provider - maintain an IT assurance plan to examine and evaluate the adequacy and effectiveness of the financial institution's IT systems, internal control mechanisms and governance arrangements.</v>
      </c>
      <c r="O196" s="6" t="str">
        <f>IF(ISNA(MATCH(183,Engine!$C$2:$C$265,0)),"",INDEX('Compliance Database'!$O$2:$O$265,MATCH(183,Engine!$C$2:$C$265,0)))</f>
        <v>The control functions and/or external assurance providers, must, have the capacity to independently review and provide objective assurance of compliance with all IT-related activities as outlined in the financial institution's policies and procedures as well as with external requirements.</v>
      </c>
    </row>
    <row r="197" spans="1:15" ht="115.2" x14ac:dyDescent="0.3">
      <c r="A197" t="str">
        <f>IF(ISNA(MATCH(184,Engine!$C$2:$C$265,0)),"",INDEX('Compliance Database'!$A$2:$A$265,MATCH(184,Engine!$C$2:$C$265,0)))</f>
        <v>South Africa</v>
      </c>
      <c r="B197" t="str">
        <f>IF(ISNA(MATCH(184,Engine!$C$2:$C$265,0)),"",INDEX('Compliance Database'!$B$2:$B$265,MATCH(184,Engine!$C$2:$C$265,0)))</f>
        <v>Joint Standard 1 of 2023 - IT Governance and Risk Management</v>
      </c>
      <c r="C197" t="str">
        <f>IF(ISNA(MATCH(184,Engine!$C$2:$C$265,0)),"",INDEX('Compliance Database'!$C$2:$C$265,MATCH(184,Engine!$C$2:$C$265,0)))</f>
        <v>15</v>
      </c>
      <c r="D197" s="6" t="str">
        <f>IF(ISNA(MATCH(184,Engine!$C$2:$C$265,0)),"",INDEX('Compliance Database'!$D$2:$D$265,MATCH(184,Engine!$C$2:$C$265,0)))</f>
        <v>Notification and reporting requirements</v>
      </c>
      <c r="E197" t="str">
        <f>IF(ISNA(MATCH(184,Engine!$C$2:$C$265,0)),"",INDEX('Compliance Database'!$E$2:$E$265,MATCH(184,Engine!$C$2:$C$265,0)))</f>
        <v>13</v>
      </c>
      <c r="F197" t="str">
        <f>IF(ISNA(MATCH(184,Engine!$C$2:$C$265,0)),"",INDEX('Compliance Database'!$F$2:$F$265,MATCH(184,Engine!$C$2:$C$265,0)))</f>
        <v>Financial Data</v>
      </c>
      <c r="G197" t="str">
        <f>IF(ISNA(MATCH(184,Engine!$C$2:$C$265,0)),"",INDEX('Compliance Database'!$G$2:$G$265,MATCH(184,Engine!$C$2:$C$265,0)))</f>
        <v>High</v>
      </c>
      <c r="H197" t="str">
        <f>IF(ISNA(MATCH(184,Engine!$C$2:$C$265,0)),"",INDEX('Compliance Database'!$H$2:$H$265,MATCH(184,Engine!$C$2:$C$265,0)))</f>
        <v>High (explicit)</v>
      </c>
      <c r="I197" s="6" t="str">
        <f>IF(ISNA(MATCH(184,Engine!$C$2:$C$265,0)),"",INDEX('Compliance Database'!$I$2:$I$265,MATCH(184,Engine!$C$2:$C$265,0)))</f>
        <v>Incident Reporting</v>
      </c>
      <c r="J197" s="6" t="str">
        <f>IF(ISNA(MATCH(184,Engine!$C$2:$C$265,0)),"",INDEX('Compliance Database'!$J$2:$J$265,MATCH(184,Engine!$C$2:$C$265,0)))</f>
        <v>Financial Data</v>
      </c>
      <c r="K197">
        <f>IF(ISNA(MATCH(184,Engine!$C$2:$C$265,0)),"",INDEX('Compliance Database'!$K$2:$K$265,MATCH(184,Engine!$C$2:$C$265,0)))</f>
        <v>0</v>
      </c>
      <c r="L197" s="6" t="str">
        <f>IF(ISNA(MATCH(184,Engine!$C$2:$C$265,0)),"",INDEX('Compliance Database'!$L$2:$L$265,MATCH(184,Engine!$C$2:$C$265,0)))</f>
        <v>Financial institutions must notify the responsible authority of material IT incidents within a determined timeframe after classification.</v>
      </c>
      <c r="M197" s="6" t="str">
        <f>IF(ISNA(MATCH(184,Engine!$C$2:$C$265,0)),"",INDEX('Compliance Database'!$M$2:$M$265,MATCH(184,Engine!$C$2:$C$265,0)))</f>
        <v>Requires financial institutions to notify the responsible authority of material IT incidents within a determined timeframe after classification.</v>
      </c>
      <c r="N197" s="6" t="str">
        <f>IF(ISNA(MATCH(184,Engine!$C$2:$C$265,0)),"",INDEX('Compliance Database'!$N$2:$N$265,MATCH(184,Engine!$C$2:$C$265,0)))</f>
        <v>[Must] A financial institution must notify the responsible authority of the financial sector law in terms of which the financial institution is licensed or registered, in the form and manner determined by the Authorities, of any systems failure, malfunction, delay or other disruptive event, within the determined timeframe, after classifying the event as a material incident.</v>
      </c>
      <c r="O197" s="6" t="str">
        <f>IF(ISNA(MATCH(184,Engine!$C$2:$C$265,0)),"",INDEX('Compliance Database'!$O$2:$O$265,MATCH(184,Engine!$C$2:$C$265,0)))</f>
        <v>A financial institution must notify the responsible authority of the financial sector law in terms of which the financial institution is licensed or registered, in the form and manner determined by the Authorities, of any systems failure, malfunction, delay or other disruptive event, within the determined timeframe, after classifying the event as a material incident.</v>
      </c>
    </row>
    <row r="198" spans="1:15" ht="28.8" x14ac:dyDescent="0.3">
      <c r="A198" t="str">
        <f>IF(ISNA(MATCH(185,Engine!$C$2:$C$265,0)),"",INDEX('Compliance Database'!$A$2:$A$265,MATCH(185,Engine!$C$2:$C$265,0)))</f>
        <v>South Africa</v>
      </c>
      <c r="B198" t="str">
        <f>IF(ISNA(MATCH(185,Engine!$C$2:$C$265,0)),"",INDEX('Compliance Database'!$B$2:$B$265,MATCH(185,Engine!$C$2:$C$265,0)))</f>
        <v>Joint Standard 1 of 2023 - IT Governance and Risk Management</v>
      </c>
      <c r="C198" t="str">
        <f>IF(ISNA(MATCH(185,Engine!$C$2:$C$265,0)),"",INDEX('Compliance Database'!$C$2:$C$265,MATCH(185,Engine!$C$2:$C$265,0)))</f>
        <v>16</v>
      </c>
      <c r="D198" s="6" t="str">
        <f>IF(ISNA(MATCH(185,Engine!$C$2:$C$265,0)),"",INDEX('Compliance Database'!$D$2:$D$265,MATCH(185,Engine!$C$2:$C$265,0)))</f>
        <v>Short-title</v>
      </c>
      <c r="E198" t="str">
        <f>IF(ISNA(MATCH(185,Engine!$C$2:$C$265,0)),"",INDEX('Compliance Database'!$E$2:$E$265,MATCH(185,Engine!$C$2:$C$265,0)))</f>
        <v>13</v>
      </c>
      <c r="F198" t="str">
        <f>IF(ISNA(MATCH(185,Engine!$C$2:$C$265,0)),"",INDEX('Compliance Database'!$F$2:$F$265,MATCH(185,Engine!$C$2:$C$265,0)))</f>
        <v>Other</v>
      </c>
      <c r="G198" t="str">
        <f>IF(ISNA(MATCH(185,Engine!$C$2:$C$265,0)),"",INDEX('Compliance Database'!$G$2:$G$265,MATCH(185,Engine!$C$2:$C$265,0)))</f>
        <v>None</v>
      </c>
      <c r="H198" t="str">
        <f>IF(ISNA(MATCH(185,Engine!$C$2:$C$265,0)),"",INDEX('Compliance Database'!$H$2:$H$265,MATCH(185,Engine!$C$2:$C$265,0)))</f>
        <v>High (explicit)</v>
      </c>
      <c r="I198" s="6">
        <f>IF(ISNA(MATCH(185,Engine!$C$2:$C$265,0)),"",INDEX('Compliance Database'!$I$2:$I$265,MATCH(185,Engine!$C$2:$C$265,0)))</f>
        <v>0</v>
      </c>
      <c r="J198" s="6">
        <f>IF(ISNA(MATCH(185,Engine!$C$2:$C$265,0)),"",INDEX('Compliance Database'!$J$2:$J$265,MATCH(185,Engine!$C$2:$C$265,0)))</f>
        <v>0</v>
      </c>
      <c r="K198">
        <f>IF(ISNA(MATCH(185,Engine!$C$2:$C$265,0)),"",INDEX('Compliance Database'!$K$2:$K$265,MATCH(185,Engine!$C$2:$C$265,0)))</f>
        <v>0</v>
      </c>
      <c r="L198" s="6" t="str">
        <f>IF(ISNA(MATCH(185,Engine!$C$2:$C$265,0)),"",INDEX('Compliance Database'!$L$2:$L$265,MATCH(185,Engine!$C$2:$C$265,0)))</f>
        <v>Joint Standard is titled 'IT Governance and Risk Management for Financial Institutions, 2023'.</v>
      </c>
      <c r="M198" s="6">
        <f>IF(ISNA(MATCH(185,Engine!$C$2:$C$265,0)),"",INDEX('Compliance Database'!$M$2:$M$265,MATCH(185,Engine!$C$2:$C$265,0)))</f>
        <v>0</v>
      </c>
      <c r="N198" s="6">
        <f>IF(ISNA(MATCH(185,Engine!$C$2:$C$265,0)),"",INDEX('Compliance Database'!$N$2:$N$265,MATCH(185,Engine!$C$2:$C$265,0)))</f>
        <v>0</v>
      </c>
      <c r="O198" s="6" t="str">
        <f>IF(ISNA(MATCH(185,Engine!$C$2:$C$265,0)),"",INDEX('Compliance Database'!$O$2:$O$265,MATCH(185,Engine!$C$2:$C$265,0)))</f>
        <v>This Joint Standard is called ‘IT Governance and Risk Management for Financial Institutions, 2.023'.</v>
      </c>
    </row>
    <row r="199" spans="1:15" ht="43.2" x14ac:dyDescent="0.3">
      <c r="A199" t="str">
        <f>IF(ISNA(MATCH(186,Engine!$C$2:$C$265,0)),"",INDEX('Compliance Database'!$A$2:$A$265,MATCH(186,Engine!$C$2:$C$265,0)))</f>
        <v>South Africa</v>
      </c>
      <c r="B199" t="str">
        <f>IF(ISNA(MATCH(186,Engine!$C$2:$C$265,0)),"",INDEX('Compliance Database'!$B$2:$B$265,MATCH(186,Engine!$C$2:$C$265,0)))</f>
        <v>Joint Standard 2 of 2024  Cybersecurity &amp; Cyber resilience Requirements</v>
      </c>
      <c r="C199" t="str">
        <f>IF(ISNA(MATCH(186,Engine!$C$2:$C$265,0)),"",INDEX('Compliance Database'!$C$2:$C$265,MATCH(186,Engine!$C$2:$C$265,0)))</f>
        <v>2</v>
      </c>
      <c r="D199" s="6" t="str">
        <f>IF(ISNA(MATCH(186,Engine!$C$2:$C$265,0)),"",INDEX('Compliance Database'!$D$2:$D$265,MATCH(186,Engine!$C$2:$C$265,0)))</f>
        <v>Definitions and interpretation</v>
      </c>
      <c r="E199" t="str">
        <f>IF(ISNA(MATCH(186,Engine!$C$2:$C$265,0)),"",INDEX('Compliance Database'!$E$2:$E$265,MATCH(186,Engine!$C$2:$C$265,0)))</f>
        <v>3–6</v>
      </c>
      <c r="F199" t="str">
        <f>IF(ISNA(MATCH(186,Engine!$C$2:$C$265,0)),"",INDEX('Compliance Database'!$F$2:$F$265,MATCH(186,Engine!$C$2:$C$265,0)))</f>
        <v>Definitions</v>
      </c>
      <c r="G199" t="str">
        <f>IF(ISNA(MATCH(186,Engine!$C$2:$C$265,0)),"",INDEX('Compliance Database'!$G$2:$G$265,MATCH(186,Engine!$C$2:$C$265,0)))</f>
        <v>Medium</v>
      </c>
      <c r="H199" t="str">
        <f>IF(ISNA(MATCH(186,Engine!$C$2:$C$265,0)),"",INDEX('Compliance Database'!$H$2:$H$265,MATCH(186,Engine!$C$2:$C$265,0)))</f>
        <v>High (explicit)</v>
      </c>
      <c r="I199" s="6" t="str">
        <f>IF(ISNA(MATCH(186,Engine!$C$2:$C$265,0)),"",INDEX('Compliance Database'!$I$2:$I$265,MATCH(186,Engine!$C$2:$C$265,0)))</f>
        <v>Definitions</v>
      </c>
      <c r="J199" s="6" t="str">
        <f>IF(ISNA(MATCH(186,Engine!$C$2:$C$265,0)),"",INDEX('Compliance Database'!$J$2:$J$265,MATCH(186,Engine!$C$2:$C$265,0)))</f>
        <v>Personal Information</v>
      </c>
      <c r="K199">
        <f>IF(ISNA(MATCH(186,Engine!$C$2:$C$265,0)),"",INDEX('Compliance Database'!$K$2:$K$265,MATCH(186,Engine!$C$2:$C$265,0)))</f>
        <v>0</v>
      </c>
      <c r="L199" s="6" t="str">
        <f>IF(ISNA(MATCH(186,Engine!$C$2:$C$265,0)),"",INDEX('Compliance Database'!$L$2:$L$265,MATCH(186,Engine!$C$2:$C$265,0)))</f>
        <v>Defines key terms including financial institutions, cyber incident, cybersecurity, and related concepts for the Joint Standard.</v>
      </c>
      <c r="M199" s="6">
        <f>IF(ISNA(MATCH(186,Engine!$C$2:$C$265,0)),"",INDEX('Compliance Database'!$M$2:$M$265,MATCH(186,Engine!$C$2:$C$265,0)))</f>
        <v>0</v>
      </c>
      <c r="N199" s="6">
        <f>IF(ISNA(MATCH(186,Engine!$C$2:$C$265,0)),"",INDEX('Compliance Database'!$N$2:$N$265,MATCH(186,Engine!$C$2:$C$265,0)))</f>
        <v>0</v>
      </c>
      <c r="O199" s="6" t="str">
        <f>IF(ISNA(MATCH(186,Engine!$C$2:$C$265,0)),"",INDEX('Compliance Database'!$O$2:$O$265,MATCH(186,Engine!$C$2:$C$265,0)))</f>
        <v>Definitions and interpretation</v>
      </c>
    </row>
    <row r="200" spans="1:15" ht="273.60000000000002" x14ac:dyDescent="0.3">
      <c r="A200" t="str">
        <f>IF(ISNA(MATCH(187,Engine!$C$2:$C$265,0)),"",INDEX('Compliance Database'!$A$2:$A$265,MATCH(187,Engine!$C$2:$C$265,0)))</f>
        <v>South Africa</v>
      </c>
      <c r="B200" t="str">
        <f>IF(ISNA(MATCH(187,Engine!$C$2:$C$265,0)),"",INDEX('Compliance Database'!$B$2:$B$265,MATCH(187,Engine!$C$2:$C$265,0)))</f>
        <v>Joint Standard 2 of 2024  Cybersecurity &amp; Cyber resilience Requirements</v>
      </c>
      <c r="C200" t="str">
        <f>IF(ISNA(MATCH(187,Engine!$C$2:$C$265,0)),"",INDEX('Compliance Database'!$C$2:$C$265,MATCH(187,Engine!$C$2:$C$265,0)))</f>
        <v>3</v>
      </c>
      <c r="D200" s="6" t="str">
        <f>IF(ISNA(MATCH(187,Engine!$C$2:$C$265,0)),"",INDEX('Compliance Database'!$D$2:$D$265,MATCH(187,Engine!$C$2:$C$265,0)))</f>
        <v>Application</v>
      </c>
      <c r="E200" t="str">
        <f>IF(ISNA(MATCH(187,Engine!$C$2:$C$265,0)),"",INDEX('Compliance Database'!$E$2:$E$265,MATCH(187,Engine!$C$2:$C$265,0)))</f>
        <v>6–7</v>
      </c>
      <c r="F200" t="str">
        <f>IF(ISNA(MATCH(187,Engine!$C$2:$C$265,0)),"",INDEX('Compliance Database'!$F$2:$F$265,MATCH(187,Engine!$C$2:$C$265,0)))</f>
        <v>Application</v>
      </c>
      <c r="G200" t="str">
        <f>IF(ISNA(MATCH(187,Engine!$C$2:$C$265,0)),"",INDEX('Compliance Database'!$G$2:$G$265,MATCH(187,Engine!$C$2:$C$265,0)))</f>
        <v>High</v>
      </c>
      <c r="H200" t="str">
        <f>IF(ISNA(MATCH(187,Engine!$C$2:$C$265,0)),"",INDEX('Compliance Database'!$H$2:$H$265,MATCH(187,Engine!$C$2:$C$265,0)))</f>
        <v>High (explicit)</v>
      </c>
      <c r="I200" s="6" t="str">
        <f>IF(ISNA(MATCH(187,Engine!$C$2:$C$265,0)),"",INDEX('Compliance Database'!$I$2:$I$265,MATCH(187,Engine!$C$2:$C$265,0)))</f>
        <v>Application</v>
      </c>
      <c r="J200" s="6" t="str">
        <f>IF(ISNA(MATCH(187,Engine!$C$2:$C$265,0)),"",INDEX('Compliance Database'!$J$2:$J$265,MATCH(187,Engine!$C$2:$C$265,0)))</f>
        <v>Financial Data</v>
      </c>
      <c r="K200">
        <f>IF(ISNA(MATCH(187,Engine!$C$2:$C$265,0)),"",INDEX('Compliance Database'!$K$2:$K$265,MATCH(187,Engine!$C$2:$C$265,0)))</f>
        <v>0</v>
      </c>
      <c r="L200" s="6" t="str">
        <f>IF(ISNA(MATCH(187,Engine!$C$2:$C$265,0)),"",INDEX('Compliance Database'!$L$2:$L$265,MATCH(187,Engine!$C$2:$C$265,0)))</f>
        <v>Specifies which financial institutions must comply with the Joint Standard and ensures risks from juristic persons and branches are mitigated.</v>
      </c>
      <c r="M200" s="6" t="str">
        <f>IF(ISNA(MATCH(187,Engine!$C$2:$C$265,0)),"",INDEX('Compliance Database'!$M$2:$M$265,MATCH(187,Engine!$C$2:$C$265,0)))</f>
        <v>Financial institutions must address cybersecurity risks from local and foreign juristic persons and branches.</v>
      </c>
      <c r="N200" s="6" t="str">
        <f>IF(ISNA(MATCH(187,Engine!$C$2:$C$265,0)),"",INDEX('Compliance Database'!$N$2:$N$265,MATCH(187,Engine!$C$2:$C$265,0)))</f>
        <v>[Must] A financial institution that is a bank, or a controlling company must ensure that any risks relating to cybersecurity and cyber resilience from juristic persons (both local and foreign) and branches structured under the bank or the controlling company, including all relevant subsidiaries approved in terms of section 52 of the Banks Act, 1990, are catered for and mitigated in the application of the requirements of this Joint Standard.
[Must] A financial institution that is an insurer or the controlling company of an insurance group must ensure that any risks relating to cybersecurity and cyber resilience from juristic persons (both local and foreign) structured under the insurer or the insurance group designated under section 10 of the Insurance Act, 2017, are catered for and mitigated in the application of the requirements of this Joint Standard.</v>
      </c>
      <c r="O200" s="6" t="str">
        <f>IF(ISNA(MATCH(187,Engine!$C$2:$C$265,0)),"",INDEX('Compliance Database'!$O$2:$O$265,MATCH(187,Engine!$C$2:$C$265,0)))</f>
        <v>3.2 A financial institution that is a bank, or a controlling company must ensure that any risks relating to cybersecurity and cyber resilience from juristic persons (both local and foreign) and branches structured under the bank or the controlling company, including all relevant subsidiaries approved in terms of section 52 of the Banks Act, 1990, are catered for and mitigated in the application of the requirements of this Joint Standard.</v>
      </c>
    </row>
    <row r="201" spans="1:15" ht="259.2" x14ac:dyDescent="0.3">
      <c r="A201" t="str">
        <f>IF(ISNA(MATCH(188,Engine!$C$2:$C$265,0)),"",INDEX('Compliance Database'!$A$2:$A$265,MATCH(188,Engine!$C$2:$C$265,0)))</f>
        <v>South Africa</v>
      </c>
      <c r="B201" t="str">
        <f>IF(ISNA(MATCH(188,Engine!$C$2:$C$265,0)),"",INDEX('Compliance Database'!$B$2:$B$265,MATCH(188,Engine!$C$2:$C$265,0)))</f>
        <v>Joint Standard 2 of 2024  Cybersecurity &amp; Cyber resilience Requirements</v>
      </c>
      <c r="C201" t="str">
        <f>IF(ISNA(MATCH(188,Engine!$C$2:$C$265,0)),"",INDEX('Compliance Database'!$C$2:$C$265,MATCH(188,Engine!$C$2:$C$265,0)))</f>
        <v>4</v>
      </c>
      <c r="D201" s="6" t="str">
        <f>IF(ISNA(MATCH(188,Engine!$C$2:$C$265,0)),"",INDEX('Compliance Database'!$D$2:$D$265,MATCH(188,Engine!$C$2:$C$265,0)))</f>
        <v>Roles and responsibilities</v>
      </c>
      <c r="E201" t="str">
        <f>IF(ISNA(MATCH(188,Engine!$C$2:$C$265,0)),"",INDEX('Compliance Database'!$E$2:$E$265,MATCH(188,Engine!$C$2:$C$265,0)))</f>
        <v>7</v>
      </c>
      <c r="F201" t="str">
        <f>IF(ISNA(MATCH(188,Engine!$C$2:$C$265,0)),"",INDEX('Compliance Database'!$F$2:$F$265,MATCH(188,Engine!$C$2:$C$265,0)))</f>
        <v>Governance</v>
      </c>
      <c r="G201" t="str">
        <f>IF(ISNA(MATCH(188,Engine!$C$2:$C$265,0)),"",INDEX('Compliance Database'!$G$2:$G$265,MATCH(188,Engine!$C$2:$C$265,0)))</f>
        <v>High</v>
      </c>
      <c r="H201" t="str">
        <f>IF(ISNA(MATCH(188,Engine!$C$2:$C$265,0)),"",INDEX('Compliance Database'!$H$2:$H$265,MATCH(188,Engine!$C$2:$C$265,0)))</f>
        <v>High (explicit)</v>
      </c>
      <c r="I201" s="6" t="str">
        <f>IF(ISNA(MATCH(188,Engine!$C$2:$C$265,0)),"",INDEX('Compliance Database'!$I$2:$I$265,MATCH(188,Engine!$C$2:$C$265,0)))</f>
        <v>Governance</v>
      </c>
      <c r="J201" s="6" t="str">
        <f>IF(ISNA(MATCH(188,Engine!$C$2:$C$265,0)),"",INDEX('Compliance Database'!$J$2:$J$265,MATCH(188,Engine!$C$2:$C$265,0)))</f>
        <v>Financial Data</v>
      </c>
      <c r="K201">
        <f>IF(ISNA(MATCH(188,Engine!$C$2:$C$265,0)),"",INDEX('Compliance Database'!$K$2:$K$265,MATCH(188,Engine!$C$2:$C$265,0)))</f>
        <v>0</v>
      </c>
      <c r="L201" s="6" t="str">
        <f>IF(ISNA(MATCH(188,Engine!$C$2:$C$265,0)),"",INDEX('Compliance Database'!$L$2:$L$265,MATCH(188,Engine!$C$2:$C$265,0)))</f>
        <v>Assigns responsibility for cybersecurity strategy and framework to the governing body and senior management.</v>
      </c>
      <c r="M201" s="6" t="str">
        <f>IF(ISNA(MATCH(188,Engine!$C$2:$C$265,0)),"",INDEX('Compliance Database'!$M$2:$M$265,MATCH(188,Engine!$C$2:$C$265,0)))</f>
        <v>Governing body must ensure cybersecurity strategy and framework is established and maintained with senior management.</v>
      </c>
      <c r="N201" s="6" t="str">
        <f>IF(ISNA(MATCH(188,Engine!$C$2:$C$265,0)),"",INDEX('Compliance Database'!$N$2:$N$265,MATCH(188,Engine!$C$2:$C$265,0)))</f>
        <v>[Must] The governing body is ultimately responsible for ensuring that the financial institution complies with the requirements set out in this Joint Standard.
[Must] The governing body must together with senior management, ensure that a sound and robust cybersecurity strategy and framework is established, implemented and maintained.
[Must] The governing body must require management to co-operate with other stakeholders, as relevant and appropriate, in order to enable financial sector cyber resilience.
[Must] The governing body must ensure that roles and responsibilities for security are clearly defined in the contract or Service Level Agreement with third-party service providers.</v>
      </c>
      <c r="O201" s="6" t="str">
        <f>IF(ISNA(MATCH(188,Engine!$C$2:$C$265,0)),"",INDEX('Compliance Database'!$O$2:$O$265,MATCH(188,Engine!$C$2:$C$265,0)))</f>
        <v>4.1 The governing body is ultimately responsible for – ensuring that the financial institution complies with the requirements set out in this Joint Standard; and the oversight of cyber risk management, but may delegate primary oversight activities to an existing or new committee.</v>
      </c>
    </row>
    <row r="202" spans="1:15" ht="302.39999999999998" x14ac:dyDescent="0.3">
      <c r="A202" t="str">
        <f>IF(ISNA(MATCH(189,Engine!$C$2:$C$265,0)),"",INDEX('Compliance Database'!$A$2:$A$265,MATCH(189,Engine!$C$2:$C$265,0)))</f>
        <v>South Africa</v>
      </c>
      <c r="B202" t="str">
        <f>IF(ISNA(MATCH(189,Engine!$C$2:$C$265,0)),"",INDEX('Compliance Database'!$B$2:$B$265,MATCH(189,Engine!$C$2:$C$265,0)))</f>
        <v>Joint Standard 2 of 2024  Cybersecurity &amp; Cyber resilience Requirements</v>
      </c>
      <c r="C202" t="str">
        <f>IF(ISNA(MATCH(189,Engine!$C$2:$C$265,0)),"",INDEX('Compliance Database'!$C$2:$C$265,MATCH(189,Engine!$C$2:$C$265,0)))</f>
        <v>5</v>
      </c>
      <c r="D202" s="6" t="str">
        <f>IF(ISNA(MATCH(189,Engine!$C$2:$C$265,0)),"",INDEX('Compliance Database'!$D$2:$D$265,MATCH(189,Engine!$C$2:$C$265,0)))</f>
        <v>Governance</v>
      </c>
      <c r="E202" t="str">
        <f>IF(ISNA(MATCH(189,Engine!$C$2:$C$265,0)),"",INDEX('Compliance Database'!$E$2:$E$265,MATCH(189,Engine!$C$2:$C$265,0)))</f>
        <v>7–8</v>
      </c>
      <c r="F202" t="str">
        <f>IF(ISNA(MATCH(189,Engine!$C$2:$C$265,0)),"",INDEX('Compliance Database'!$F$2:$F$265,MATCH(189,Engine!$C$2:$C$265,0)))</f>
        <v>Governance</v>
      </c>
      <c r="G202" t="str">
        <f>IF(ISNA(MATCH(189,Engine!$C$2:$C$265,0)),"",INDEX('Compliance Database'!$G$2:$G$265,MATCH(189,Engine!$C$2:$C$265,0)))</f>
        <v>High</v>
      </c>
      <c r="H202" t="str">
        <f>IF(ISNA(MATCH(189,Engine!$C$2:$C$265,0)),"",INDEX('Compliance Database'!$H$2:$H$265,MATCH(189,Engine!$C$2:$C$265,0)))</f>
        <v>High (explicit)</v>
      </c>
      <c r="I202" s="6" t="str">
        <f>IF(ISNA(MATCH(189,Engine!$C$2:$C$265,0)),"",INDEX('Compliance Database'!$I$2:$I$265,MATCH(189,Engine!$C$2:$C$265,0)))</f>
        <v>Governance</v>
      </c>
      <c r="J202" s="6" t="str">
        <f>IF(ISNA(MATCH(189,Engine!$C$2:$C$265,0)),"",INDEX('Compliance Database'!$J$2:$J$265,MATCH(189,Engine!$C$2:$C$265,0)))</f>
        <v>Financial Data</v>
      </c>
      <c r="K202">
        <f>IF(ISNA(MATCH(189,Engine!$C$2:$C$265,0)),"",INDEX('Compliance Database'!$K$2:$K$265,MATCH(189,Engine!$C$2:$C$265,0)))</f>
        <v>0</v>
      </c>
      <c r="L202" s="6" t="str">
        <f>IF(ISNA(MATCH(189,Engine!$C$2:$C$265,0)),"",INDEX('Compliance Database'!$L$2:$L$265,MATCH(189,Engine!$C$2:$C$265,0)))</f>
        <v>Requires clear roles, responsibilities, and independent oversight for cyber risk management within governance structures.</v>
      </c>
      <c r="M202" s="6" t="str">
        <f>IF(ISNA(MATCH(189,Engine!$C$2:$C$265,0)),"",INDEX('Compliance Database'!$M$2:$M$265,MATCH(189,Engine!$C$2:$C$265,0)))</f>
        <v>Financial institutions must define roles, ensure cyber risk management is integrated into governance, and establish a dedicated function with direct reporting to the governing body.</v>
      </c>
      <c r="N202" s="6" t="str">
        <f>IF(ISNA(MATCH(189,Engine!$C$2:$C$265,0)),"",INDEX('Compliance Database'!$N$2:$N$265,MATCH(189,Engine!$C$2:$C$265,0)))</f>
        <v>[Must] clearly define the roles and responsibilities of all management functions (including lines of defence) as well as committees established for the purposes of exercising oversight of cyber risks
[Must] ensure cyber risk management is incorporated into the governance and risk management structures, processes and procedures of a financial institution. Direct reporting line to the governing body should be established in terms of the governance framework; ensure that a function(s) responsible for cyber and information security is established with adequate resources and appropriate authority
[Must] ensure that the oversight of the function(s) referred to in subparagraph 5.1.3 above, including control functions, has access to the governing body and is structured in a manner that ensures adequate segregation of duties and avoids any potential conflicts of interest</v>
      </c>
      <c r="O202" s="6" t="str">
        <f>IF(ISNA(MATCH(189,Engine!$C$2:$C$265,0)),"",INDEX('Compliance Database'!$O$2:$O$265,MATCH(189,Engine!$C$2:$C$265,0)))</f>
        <v>5.1.1 clearly define the roles and responsibilities of all management functions (including lines of defence) as well as committees established for the purposes of exercising oversight of cyber risks</v>
      </c>
    </row>
    <row r="203" spans="1:15" ht="409.6" x14ac:dyDescent="0.3">
      <c r="A203" t="str">
        <f>IF(ISNA(MATCH(190,Engine!$C$2:$C$265,0)),"",INDEX('Compliance Database'!$A$2:$A$265,MATCH(190,Engine!$C$2:$C$265,0)))</f>
        <v>South Africa</v>
      </c>
      <c r="B203" t="str">
        <f>IF(ISNA(MATCH(190,Engine!$C$2:$C$265,0)),"",INDEX('Compliance Database'!$B$2:$B$265,MATCH(190,Engine!$C$2:$C$265,0)))</f>
        <v>Joint Standard 2 of 2024  Cybersecurity &amp; Cyber resilience Requirements</v>
      </c>
      <c r="C203" t="str">
        <f>IF(ISNA(MATCH(190,Engine!$C$2:$C$265,0)),"",INDEX('Compliance Database'!$C$2:$C$265,MATCH(190,Engine!$C$2:$C$265,0)))</f>
        <v>6</v>
      </c>
      <c r="D203" s="6" t="str">
        <f>IF(ISNA(MATCH(190,Engine!$C$2:$C$265,0)),"",INDEX('Compliance Database'!$D$2:$D$265,MATCH(190,Engine!$C$2:$C$265,0)))</f>
        <v>Cybersecurity strategy and framework</v>
      </c>
      <c r="E203" t="str">
        <f>IF(ISNA(MATCH(190,Engine!$C$2:$C$265,0)),"",INDEX('Compliance Database'!$E$2:$E$265,MATCH(190,Engine!$C$2:$C$265,0)))</f>
        <v>8</v>
      </c>
      <c r="F203" t="str">
        <f>IF(ISNA(MATCH(190,Engine!$C$2:$C$265,0)),"",INDEX('Compliance Database'!$F$2:$F$265,MATCH(190,Engine!$C$2:$C$265,0)))</f>
        <v>Cybersecurity strategy and framework</v>
      </c>
      <c r="G203" t="str">
        <f>IF(ISNA(MATCH(190,Engine!$C$2:$C$265,0)),"",INDEX('Compliance Database'!$G$2:$G$265,MATCH(190,Engine!$C$2:$C$265,0)))</f>
        <v>High</v>
      </c>
      <c r="H203" t="str">
        <f>IF(ISNA(MATCH(190,Engine!$C$2:$C$265,0)),"",INDEX('Compliance Database'!$H$2:$H$265,MATCH(190,Engine!$C$2:$C$265,0)))</f>
        <v>High (explicit)</v>
      </c>
      <c r="I203" s="6" t="str">
        <f>IF(ISNA(MATCH(190,Engine!$C$2:$C$265,0)),"",INDEX('Compliance Database'!$I$2:$I$265,MATCH(190,Engine!$C$2:$C$265,0)))</f>
        <v>Cybersecurity strategy and framework</v>
      </c>
      <c r="J203" s="6" t="str">
        <f>IF(ISNA(MATCH(190,Engine!$C$2:$C$265,0)),"",INDEX('Compliance Database'!$J$2:$J$265,MATCH(190,Engine!$C$2:$C$265,0)))</f>
        <v>Financial Data</v>
      </c>
      <c r="K203">
        <f>IF(ISNA(MATCH(190,Engine!$C$2:$C$265,0)),"",INDEX('Compliance Database'!$K$2:$K$265,MATCH(190,Engine!$C$2:$C$265,0)))</f>
        <v>0</v>
      </c>
      <c r="L203" s="6" t="str">
        <f>IF(ISNA(MATCH(190,Engine!$C$2:$C$265,0)),"",INDEX('Compliance Database'!$L$2:$L$265,MATCH(190,Engine!$C$2:$C$265,0)))</f>
        <v>Requires financial institutions to establish, maintain, and review cybersecurity strategies and frameworks aligned with business objectives.</v>
      </c>
      <c r="M203" s="6" t="str">
        <f>IF(ISNA(MATCH(190,Engine!$C$2:$C$265,0)),"",INDEX('Compliance Database'!$M$2:$M$265,MATCH(190,Engine!$C$2:$C$265,0)))</f>
        <v>Financial institutions must establish and maintain a cybersecurity strategy approved by the governing body, review it annually, and align it with enterprise risk management.</v>
      </c>
      <c r="N203" s="6" t="str">
        <f>IF(ISNA(MATCH(190,Engine!$C$2:$C$265,0)),"",INDEX('Compliance Database'!$N$2:$N$265,MATCH(190,Engine!$C$2:$C$265,0)))</f>
        <v>[Must] establish and maintain a cybersecurity strategy that is approved by the governing body and aligned with its overall business strategy
[Must] review the cybersecurity strategy regularly, but at least annually, to address changes in the cyber threat landscape, allocate resources, identify and remediate gaps, and incorporate lessons learnt
[Must] establish a cybersecurity framework to manage cyber risks
[Must] align its cybersecurity framework with its enterprise risk management framework
[Must] establish cybersecurity policies, standards, processes and procedures that are informed by industry standards and best practices to manage cyber risks and safeguard IT systems and information assets, taking into consideration the evolving technology and cyber threat landscape
[Must] define and reassess regularly business risk tolerance relative to cybersecurity and ensure that it is consistent with the business strategy and risk appetite
[Must] establish metrics to track and manage cybersecurity risks and to inform related reporting from both a technical and business context</v>
      </c>
      <c r="O203" s="6" t="str">
        <f>IF(ISNA(MATCH(190,Engine!$C$2:$C$265,0)),"",INDEX('Compliance Database'!$O$2:$O$265,MATCH(190,Engine!$C$2:$C$265,0)))</f>
        <v>6.1.1 establish and maintain a cybersecurity strategy that is approved by the governing body and aligned with its overall business strategy</v>
      </c>
    </row>
    <row r="204" spans="1:15" ht="216" x14ac:dyDescent="0.3">
      <c r="A204" t="str">
        <f>IF(ISNA(MATCH(191,Engine!$C$2:$C$265,0)),"",INDEX('Compliance Database'!$A$2:$A$265,MATCH(191,Engine!$C$2:$C$265,0)))</f>
        <v>South Africa</v>
      </c>
      <c r="B204" t="str">
        <f>IF(ISNA(MATCH(191,Engine!$C$2:$C$265,0)),"",INDEX('Compliance Database'!$B$2:$B$265,MATCH(191,Engine!$C$2:$C$265,0)))</f>
        <v>Joint Standard 2 of 2024  Cybersecurity &amp; Cyber resilience Requirements</v>
      </c>
      <c r="C204" t="str">
        <f>IF(ISNA(MATCH(191,Engine!$C$2:$C$265,0)),"",INDEX('Compliance Database'!$C$2:$C$265,MATCH(191,Engine!$C$2:$C$265,0)))</f>
        <v>7</v>
      </c>
      <c r="D204" s="6" t="str">
        <f>IF(ISNA(MATCH(191,Engine!$C$2:$C$265,0)),"",INDEX('Compliance Database'!$D$2:$D$265,MATCH(191,Engine!$C$2:$C$265,0)))</f>
        <v>Cybersecurity and cyber resilience fundamentals</v>
      </c>
      <c r="E204" t="str">
        <f>IF(ISNA(MATCH(191,Engine!$C$2:$C$265,0)),"",INDEX('Compliance Database'!$E$2:$E$265,MATCH(191,Engine!$C$2:$C$265,0)))</f>
        <v>8–15</v>
      </c>
      <c r="F204" t="str">
        <f>IF(ISNA(MATCH(191,Engine!$C$2:$C$265,0)),"",INDEX('Compliance Database'!$F$2:$F$265,MATCH(191,Engine!$C$2:$C$265,0)))</f>
        <v>Security</v>
      </c>
      <c r="G204" t="str">
        <f>IF(ISNA(MATCH(191,Engine!$C$2:$C$265,0)),"",INDEX('Compliance Database'!$G$2:$G$265,MATCH(191,Engine!$C$2:$C$265,0)))</f>
        <v>High</v>
      </c>
      <c r="H204" t="str">
        <f>IF(ISNA(MATCH(191,Engine!$C$2:$C$265,0)),"",INDEX('Compliance Database'!$H$2:$H$265,MATCH(191,Engine!$C$2:$C$265,0)))</f>
        <v>High (explicit)</v>
      </c>
      <c r="I204" s="6" t="str">
        <f>IF(ISNA(MATCH(191,Engine!$C$2:$C$265,0)),"",INDEX('Compliance Database'!$I$2:$I$265,MATCH(191,Engine!$C$2:$C$265,0)))</f>
        <v>Learning and Evolving</v>
      </c>
      <c r="J204" s="6" t="str">
        <f>IF(ISNA(MATCH(191,Engine!$C$2:$C$265,0)),"",INDEX('Compliance Database'!$J$2:$J$265,MATCH(191,Engine!$C$2:$C$265,0)))</f>
        <v>Financial Data</v>
      </c>
      <c r="K204" t="str">
        <f>IF(ISNA(MATCH(191,Engine!$C$2:$C$265,0)),"",INDEX('Compliance Database'!$K$2:$K$265,MATCH(191,Engine!$C$2:$C$265,0)))</f>
        <v>Financial institutions</v>
      </c>
      <c r="L204" s="6" t="str">
        <f>IF(ISNA(MATCH(191,Engine!$C$2:$C$265,0)),"",INDEX('Compliance Database'!$L$2:$L$265,MATCH(191,Engine!$C$2:$C$265,0)))</f>
        <v>Financial institutions must implement adaptive cyber resilience capabilities that evolve with cyber threats.</v>
      </c>
      <c r="M204" s="6" t="str">
        <f>IF(ISNA(MATCH(191,Engine!$C$2:$C$265,0)),"",INDEX('Compliance Database'!$M$2:$M$265,MATCH(191,Engine!$C$2:$C$265,0)))</f>
        <v>Requires continuous learning and adaptation to cyber threats through incident lessons and technological developments.</v>
      </c>
      <c r="N204" s="6" t="str">
        <f>IF(ISNA(MATCH(191,Engine!$C$2:$C$265,0)),"",INDEX('Compliance Database'!$N$2:$N$265,MATCH(191,Engine!$C$2:$C$265,0)))</f>
        <v>[Must] implement adaptive cyber resilience capability that learns and evolves with dynamic nature of cyber risks
[Must] systematically identify and distil key lessons from cyber incidents to advance resilience capabilities
[Must] actively monitor technological developments and keep abreast of new cyber risk management processes
[Must] ensure cyber risk management practices go beyond reactive controls to include proactive protection</v>
      </c>
      <c r="O204" s="6" t="str">
        <f>IF(ISNA(MATCH(191,Engine!$C$2:$C$265,0)),"",INDEX('Compliance Database'!$O$2:$O$265,MATCH(191,Engine!$C$2:$C$265,0)))</f>
        <v>Implement an adaptive cyber resilience capability that learns and evolves with the dynamic nature of cyber risks</v>
      </c>
    </row>
    <row r="205" spans="1:15" ht="345.6" x14ac:dyDescent="0.3">
      <c r="A205" t="str">
        <f>IF(ISNA(MATCH(192,Engine!$C$2:$C$265,0)),"",INDEX('Compliance Database'!$A$2:$A$265,MATCH(192,Engine!$C$2:$C$265,0)))</f>
        <v>South Africa</v>
      </c>
      <c r="B205" t="str">
        <f>IF(ISNA(MATCH(192,Engine!$C$2:$C$265,0)),"",INDEX('Compliance Database'!$B$2:$B$265,MATCH(192,Engine!$C$2:$C$265,0)))</f>
        <v>Joint Standard 2 of 2024  Cybersecurity &amp; Cyber resilience Requirements</v>
      </c>
      <c r="C205" t="str">
        <f>IF(ISNA(MATCH(192,Engine!$C$2:$C$265,0)),"",INDEX('Compliance Database'!$C$2:$C$265,MATCH(192,Engine!$C$2:$C$265,0)))</f>
        <v>8</v>
      </c>
      <c r="D205" s="6" t="str">
        <f>IF(ISNA(MATCH(192,Engine!$C$2:$C$265,0)),"",INDEX('Compliance Database'!$D$2:$D$265,MATCH(192,Engine!$C$2:$C$265,0)))</f>
        <v>Cybersecurity hygiene practices</v>
      </c>
      <c r="E205" t="str">
        <f>IF(ISNA(MATCH(192,Engine!$C$2:$C$265,0)),"",INDEX('Compliance Database'!$E$2:$E$265,MATCH(192,Engine!$C$2:$C$265,0)))</f>
        <v>15–17</v>
      </c>
      <c r="F205" t="str">
        <f>IF(ISNA(MATCH(192,Engine!$C$2:$C$265,0)),"",INDEX('Compliance Database'!$F$2:$F$265,MATCH(192,Engine!$C$2:$C$265,0)))</f>
        <v>Security</v>
      </c>
      <c r="G205" t="str">
        <f>IF(ISNA(MATCH(192,Engine!$C$2:$C$265,0)),"",INDEX('Compliance Database'!$G$2:$G$265,MATCH(192,Engine!$C$2:$C$265,0)))</f>
        <v>High</v>
      </c>
      <c r="H205" t="str">
        <f>IF(ISNA(MATCH(192,Engine!$C$2:$C$265,0)),"",INDEX('Compliance Database'!$H$2:$H$265,MATCH(192,Engine!$C$2:$C$265,0)))</f>
        <v>High (explicit)</v>
      </c>
      <c r="I205" s="6" t="str">
        <f>IF(ISNA(MATCH(192,Engine!$C$2:$C$265,0)),"",INDEX('Compliance Database'!$I$2:$I$265,MATCH(192,Engine!$C$2:$C$265,0)))</f>
        <v>Access Control, User Access Management, Segregation of Duties, Least Privilege</v>
      </c>
      <c r="J205" s="6" t="str">
        <f>IF(ISNA(MATCH(192,Engine!$C$2:$C$265,0)),"",INDEX('Compliance Database'!$J$2:$J$265,MATCH(192,Engine!$C$2:$C$265,0)))</f>
        <v>Personal Information</v>
      </c>
      <c r="K205" t="str">
        <f>IF(ISNA(MATCH(192,Engine!$C$2:$C$265,0)),"",INDEX('Compliance Database'!$K$2:$K$265,MATCH(192,Engine!$C$2:$C$265,0)))</f>
        <v>Authorities</v>
      </c>
      <c r="L205" s="6" t="str">
        <f>IF(ISNA(MATCH(192,Engine!$C$2:$C$265,0)),"",INDEX('Compliance Database'!$L$2:$L$265,MATCH(192,Engine!$C$2:$C$265,0)))</f>
        <v>Financial institutions must implement access control policies, regular reviews, user access management, segregation of duties, least privilege, periodic access reviews, and similar security practices for IT systems and information assets.</v>
      </c>
      <c r="M205" s="6" t="str">
        <f>IF(ISNA(MATCH(192,Engine!$C$2:$C$265,0)),"",INDEX('Compliance Database'!$M$2:$M$265,MATCH(192,Engine!$C$2:$C$265,0)))</f>
        <v>Requires access control policies, regular reviews, user access management, segregation of duties, least privilege, and periodic access reviews for IT systems and information assets.</v>
      </c>
      <c r="N205" s="6" t="str">
        <f>IF(ISNA(MATCH(192,Engine!$C$2:$C$265,0)),"",INDEX('Compliance Database'!$N$2:$N$265,MATCH(192,Engine!$C$2:$C$265,0)))</f>
        <v>[Must] establish a security access control policy and a process to enforce strong password security controls for users' access to IT systems and information assets
[Must] ensure that the security access control policy is reviewed regularly
[Must] establish a user access management process to provision, change and revoke access rights to IT systems and information assets
[Must] apply the principles of ‘segregation of duties' and ‘least privilege' when granting user access to IT systems and information assets
[Must] ensure appropriate parties perform periodic user access reviews to verify the appropriateness of privileges granted to users
[Must] subject third-party service providers and contractors with access to financial institution's IT systems to the same monitoring and access restrictions as employees</v>
      </c>
      <c r="O205" s="6" t="str">
        <f>IF(ISNA(MATCH(192,Engine!$C$2:$C$265,0)),"",INDEX('Compliance Database'!$O$2:$O$265,MATCH(192,Engine!$C$2:$C$265,0)))</f>
        <v>Cybersecurity hygiene practices 8.1 (a) establish a security access control policy and a process to enforce strong password security controls for users' access to IT systems and information assets</v>
      </c>
    </row>
    <row r="206" spans="1:15" ht="144" x14ac:dyDescent="0.3">
      <c r="A206" t="str">
        <f>IF(ISNA(MATCH(193,Engine!$C$2:$C$265,0)),"",INDEX('Compliance Database'!$A$2:$A$265,MATCH(193,Engine!$C$2:$C$265,0)))</f>
        <v>South Africa</v>
      </c>
      <c r="B206" t="str">
        <f>IF(ISNA(MATCH(193,Engine!$C$2:$C$265,0)),"",INDEX('Compliance Database'!$B$2:$B$265,MATCH(193,Engine!$C$2:$C$265,0)))</f>
        <v>Joint Standard 2 of 2024  Cybersecurity &amp; Cyber resilience Requirements</v>
      </c>
      <c r="C206" t="str">
        <f>IF(ISNA(MATCH(193,Engine!$C$2:$C$265,0)),"",INDEX('Compliance Database'!$C$2:$C$265,MATCH(193,Engine!$C$2:$C$265,0)))</f>
        <v>9</v>
      </c>
      <c r="D206" s="6" t="str">
        <f>IF(ISNA(MATCH(193,Engine!$C$2:$C$265,0)),"",INDEX('Compliance Database'!$D$2:$D$265,MATCH(193,Engine!$C$2:$C$265,0)))</f>
        <v>Notifications and regulatory reporting</v>
      </c>
      <c r="E206" t="str">
        <f>IF(ISNA(MATCH(193,Engine!$C$2:$C$265,0)),"",INDEX('Compliance Database'!$E$2:$E$265,MATCH(193,Engine!$C$2:$C$265,0)))</f>
        <v>17</v>
      </c>
      <c r="F206" t="str">
        <f>IF(ISNA(MATCH(193,Engine!$C$2:$C$265,0)),"",INDEX('Compliance Database'!$F$2:$F$265,MATCH(193,Engine!$C$2:$C$265,0)))</f>
        <v>Incident Reporting</v>
      </c>
      <c r="G206" t="str">
        <f>IF(ISNA(MATCH(193,Engine!$C$2:$C$265,0)),"",INDEX('Compliance Database'!$G$2:$G$265,MATCH(193,Engine!$C$2:$C$265,0)))</f>
        <v>High</v>
      </c>
      <c r="H206" t="str">
        <f>IF(ISNA(MATCH(193,Engine!$C$2:$C$265,0)),"",INDEX('Compliance Database'!$H$2:$H$265,MATCH(193,Engine!$C$2:$C$265,0)))</f>
        <v>High (explicit)</v>
      </c>
      <c r="I206" s="6" t="str">
        <f>IF(ISNA(MATCH(193,Engine!$C$2:$C$265,0)),"",INDEX('Compliance Database'!$I$2:$I$265,MATCH(193,Engine!$C$2:$C$265,0)))</f>
        <v>Incident Reporting, Breach Notification</v>
      </c>
      <c r="J206" s="6" t="str">
        <f>IF(ISNA(MATCH(193,Engine!$C$2:$C$265,0)),"",INDEX('Compliance Database'!$J$2:$J$265,MATCH(193,Engine!$C$2:$C$265,0)))</f>
        <v>Personal Information</v>
      </c>
      <c r="K206" t="str">
        <f>IF(ISNA(MATCH(193,Engine!$C$2:$C$265,0)),"",INDEX('Compliance Database'!$K$2:$K$265,MATCH(193,Engine!$C$2:$C$265,0)))</f>
        <v>Authorities</v>
      </c>
      <c r="L206" s="6" t="str">
        <f>IF(ISNA(MATCH(193,Engine!$C$2:$C$265,0)),"",INDEX('Compliance Database'!$L$2:$L$265,MATCH(193,Engine!$C$2:$C$265,0)))</f>
        <v>Financial institutions must notify the responsible authority of material cyber incidents or information security compromises within specified timeframes.</v>
      </c>
      <c r="M206" s="6" t="str">
        <f>IF(ISNA(MATCH(193,Engine!$C$2:$C$265,0)),"",INDEX('Compliance Database'!$M$2:$M$265,MATCH(193,Engine!$C$2:$C$265,0)))</f>
        <v>Requires financial institutions to notify the responsible authority of material cyber incidents or information security compromises.</v>
      </c>
      <c r="N206" s="6" t="str">
        <f>IF(ISNA(MATCH(193,Engine!$C$2:$C$265,0)),"",INDEX('Compliance Database'!$N$2:$N$265,MATCH(193,Engine!$C$2:$C$265,0)))</f>
        <v>[Must] A financial institution must notify the responsible authority in the form and manner determined by the Authorities after classifying the following as a material incident – cyber incidents; or information security compromise
[Must] A financial institution must report such information related to the requirements in this Joint Standard to the Authorities as may be determined by the Authorities</v>
      </c>
      <c r="O206" s="6" t="str">
        <f>IF(ISNA(MATCH(193,Engine!$C$2:$C$265,0)),"",INDEX('Compliance Database'!$O$2:$O$265,MATCH(193,Engine!$C$2:$C$265,0)))</f>
        <v>Notifications and regulatory reporting 9.1 A financial institution must notify the responsible authority in the form and manner determined by the Authorities, after classifying the following as a material incident – cyber incidents; or information security compromise.</v>
      </c>
    </row>
    <row r="207" spans="1:15" ht="72" x14ac:dyDescent="0.3">
      <c r="A207" t="str">
        <f>IF(ISNA(MATCH(194,Engine!$C$2:$C$265,0)),"",INDEX('Compliance Database'!$A$2:$A$265,MATCH(194,Engine!$C$2:$C$265,0)))</f>
        <v>South Africa</v>
      </c>
      <c r="B207" t="str">
        <f>IF(ISNA(MATCH(194,Engine!$C$2:$C$265,0)),"",INDEX('Compliance Database'!$B$2:$B$265,MATCH(194,Engine!$C$2:$C$265,0)))</f>
        <v>Joint Standard 2 of 2024  Cybersecurity &amp; Cyber resilience Requirements</v>
      </c>
      <c r="C207" t="str">
        <f>IF(ISNA(MATCH(194,Engine!$C$2:$C$265,0)),"",INDEX('Compliance Database'!$C$2:$C$265,MATCH(194,Engine!$C$2:$C$265,0)))</f>
        <v>10</v>
      </c>
      <c r="D207" s="6" t="str">
        <f>IF(ISNA(MATCH(194,Engine!$C$2:$C$265,0)),"",INDEX('Compliance Database'!$D$2:$D$265,MATCH(194,Engine!$C$2:$C$265,0)))</f>
        <v>Short title and commencement</v>
      </c>
      <c r="E207" t="str">
        <f>IF(ISNA(MATCH(194,Engine!$C$2:$C$265,0)),"",INDEX('Compliance Database'!$E$2:$E$265,MATCH(194,Engine!$C$2:$C$265,0)))</f>
        <v>17</v>
      </c>
      <c r="F207" t="str">
        <f>IF(ISNA(MATCH(194,Engine!$C$2:$C$265,0)),"",INDEX('Compliance Database'!$F$2:$F$265,MATCH(194,Engine!$C$2:$C$265,0)))</f>
        <v>Other</v>
      </c>
      <c r="G207" t="str">
        <f>IF(ISNA(MATCH(194,Engine!$C$2:$C$265,0)),"",INDEX('Compliance Database'!$G$2:$G$265,MATCH(194,Engine!$C$2:$C$265,0)))</f>
        <v>None</v>
      </c>
      <c r="H207" t="str">
        <f>IF(ISNA(MATCH(194,Engine!$C$2:$C$265,0)),"",INDEX('Compliance Database'!$H$2:$H$265,MATCH(194,Engine!$C$2:$C$265,0)))</f>
        <v>High (explicit)</v>
      </c>
      <c r="I207" s="6">
        <f>IF(ISNA(MATCH(194,Engine!$C$2:$C$265,0)),"",INDEX('Compliance Database'!$I$2:$I$265,MATCH(194,Engine!$C$2:$C$265,0)))</f>
        <v>0</v>
      </c>
      <c r="J207" s="6">
        <f>IF(ISNA(MATCH(194,Engine!$C$2:$C$265,0)),"",INDEX('Compliance Database'!$J$2:$J$265,MATCH(194,Engine!$C$2:$C$265,0)))</f>
        <v>0</v>
      </c>
      <c r="K207" t="str">
        <f>IF(ISNA(MATCH(194,Engine!$C$2:$C$265,0)),"",INDEX('Compliance Database'!$K$2:$K$265,MATCH(194,Engine!$C$2:$C$265,0)))</f>
        <v>Authorities</v>
      </c>
      <c r="L207" s="6" t="str">
        <f>IF(ISNA(MATCH(194,Engine!$C$2:$C$265,0)),"",INDEX('Compliance Database'!$L$2:$L$265,MATCH(194,Engine!$C$2:$C$265,0)))</f>
        <v>This Joint Standard is titled 'Cybersecurity and Cyber Resilience Requirements for Financial Institutions, 2024' and comes into effect on a date to be determined by the Authorities.</v>
      </c>
      <c r="M207" s="6">
        <f>IF(ISNA(MATCH(194,Engine!$C$2:$C$265,0)),"",INDEX('Compliance Database'!$M$2:$M$265,MATCH(194,Engine!$C$2:$C$265,0)))</f>
        <v>0</v>
      </c>
      <c r="N207" s="6">
        <f>IF(ISNA(MATCH(194,Engine!$C$2:$C$265,0)),"",INDEX('Compliance Database'!$N$2:$N$265,MATCH(194,Engine!$C$2:$C$265,0)))</f>
        <v>0</v>
      </c>
      <c r="O207" s="6" t="str">
        <f>IF(ISNA(MATCH(194,Engine!$C$2:$C$265,0)),"",INDEX('Compliance Database'!$O$2:$O$265,MATCH(194,Engine!$C$2:$C$265,0)))</f>
        <v>Short title and commencement 10.1 This Joint Standard is called Cybersecurity and Cyber Resilience Requirements for Financial Institutions, 2024 and comes into effect on the date indicated in paragraph 10.2 below.</v>
      </c>
    </row>
    <row r="208" spans="1:15" ht="100.8" x14ac:dyDescent="0.3">
      <c r="A208" t="str">
        <f>IF(ISNA(MATCH(195,Engine!$C$2:$C$265,0)),"",INDEX('Compliance Database'!$A$2:$A$265,MATCH(195,Engine!$C$2:$C$265,0)))</f>
        <v>South Africa</v>
      </c>
      <c r="B208" t="str">
        <f>IF(ISNA(MATCH(195,Engine!$C$2:$C$265,0)),"",INDEX('Compliance Database'!$B$2:$B$265,MATCH(195,Engine!$C$2:$C$265,0)))</f>
        <v>PA Directive</v>
      </c>
      <c r="C208" t="str">
        <f>IF(ISNA(MATCH(195,Engine!$C$2:$C$265,0)),"",INDEX('Compliance Database'!$C$2:$C$265,MATCH(195,Engine!$C$2:$C$265,0)))</f>
        <v>1</v>
      </c>
      <c r="D208" s="6">
        <f>IF(ISNA(MATCH(195,Engine!$C$2:$C$265,0)),"",INDEX('Compliance Database'!$D$2:$D$265,MATCH(195,Engine!$C$2:$C$265,0)))</f>
        <v>0</v>
      </c>
      <c r="E208" t="str">
        <f>IF(ISNA(MATCH(195,Engine!$C$2:$C$265,0)),"",INDEX('Compliance Database'!$E$2:$E$265,MATCH(195,Engine!$C$2:$C$265,0)))</f>
        <v>1–2</v>
      </c>
      <c r="F208" t="str">
        <f>IF(ISNA(MATCH(195,Engine!$C$2:$C$265,0)),"",INDEX('Compliance Database'!$F$2:$F$265,MATCH(195,Engine!$C$2:$C$265,0)))</f>
        <v>Cloud Services</v>
      </c>
      <c r="G208" t="str">
        <f>IF(ISNA(MATCH(195,Engine!$C$2:$C$265,0)),"",INDEX('Compliance Database'!$G$2:$G$265,MATCH(195,Engine!$C$2:$C$265,0)))</f>
        <v>High</v>
      </c>
      <c r="H208" t="str">
        <f>IF(ISNA(MATCH(195,Engine!$C$2:$C$265,0)),"",INDEX('Compliance Database'!$H$2:$H$265,MATCH(195,Engine!$C$2:$C$265,0)))</f>
        <v>High (explicit)</v>
      </c>
      <c r="I208" s="6" t="str">
        <f>IF(ISNA(MATCH(195,Engine!$C$2:$C$265,0)),"",INDEX('Compliance Database'!$I$2:$I$265,MATCH(195,Engine!$C$2:$C$265,0)))</f>
        <v>Cloud Services, Data Offshoring</v>
      </c>
      <c r="J208" s="6" t="str">
        <f>IF(ISNA(MATCH(195,Engine!$C$2:$C$265,0)),"",INDEX('Compliance Database'!$J$2:$J$265,MATCH(195,Engine!$C$2:$C$265,0)))</f>
        <v>Customer Data</v>
      </c>
      <c r="K208" t="str">
        <f>IF(ISNA(MATCH(195,Engine!$C$2:$C$265,0)),"",INDEX('Compliance Database'!$K$2:$K$265,MATCH(195,Engine!$C$2:$C$265,0)))</f>
        <v>Prudential Authority (PA)</v>
      </c>
      <c r="L208" s="6" t="str">
        <f>IF(ISNA(MATCH(195,Engine!$C$2:$C$265,0)),"",INDEX('Compliance Database'!$L$2:$L$265,MATCH(195,Engine!$C$2:$C$265,0)))</f>
        <v>PA clarifies policy on cloud computing and offshoring data for banks, noting existing practices and increasing cloud adoption.</v>
      </c>
      <c r="M208" s="6" t="str">
        <f>IF(ISNA(MATCH(195,Engine!$C$2:$C$265,0)),"",INDEX('Compliance Database'!$M$2:$M$265,MATCH(195,Engine!$C$2:$C$265,0)))</f>
        <v>PA requires banks to define cloud computing and offshoring data policies aligned with risk appetite and regulatory obligations.</v>
      </c>
      <c r="N208" s="6" t="str">
        <f>IF(ISNA(MATCH(195,Engine!$C$2:$C$265,0)),"",INDEX('Compliance Database'!$N$2:$N$265,MATCH(195,Engine!$C$2:$C$265,0)))</f>
        <v>[Definition] Cloud computing is defined as a model for enabling convenient, on-demand network access to a shared pool of configurable computing resources (e.g. networks, servers, storage facilities, applications and services) that can be rapidly provisioned and released with minimal management effort or service provider interaction.</v>
      </c>
      <c r="O208" s="6" t="str">
        <f>IF(ISNA(MATCH(195,Engine!$C$2:$C$265,0)),"",INDEX('Compliance Database'!$O$2:$O$265,MATCH(195,Engine!$C$2:$C$265,0)))</f>
        <v>1.3.1 Cloud computing is defined as a model for enabling convenient, on-demand network access to a shared pool of configurable computing resources (e.g. networks, servers, storage facilities, applications and services) that can be rapidly provisioned and released with minimal management effort or service provider interaction.</v>
      </c>
    </row>
    <row r="209" spans="1:15" ht="409.6" x14ac:dyDescent="0.3">
      <c r="A209" t="str">
        <f>IF(ISNA(MATCH(196,Engine!$C$2:$C$265,0)),"",INDEX('Compliance Database'!$A$2:$A$265,MATCH(196,Engine!$C$2:$C$265,0)))</f>
        <v>South Africa</v>
      </c>
      <c r="B209" t="str">
        <f>IF(ISNA(MATCH(196,Engine!$C$2:$C$265,0)),"",INDEX('Compliance Database'!$B$2:$B$265,MATCH(196,Engine!$C$2:$C$265,0)))</f>
        <v>PA Directive</v>
      </c>
      <c r="C209" t="str">
        <f>IF(ISNA(MATCH(196,Engine!$C$2:$C$265,0)),"",INDEX('Compliance Database'!$C$2:$C$265,MATCH(196,Engine!$C$2:$C$265,0)))</f>
        <v>2</v>
      </c>
      <c r="D209" s="6">
        <f>IF(ISNA(MATCH(196,Engine!$C$2:$C$265,0)),"",INDEX('Compliance Database'!$D$2:$D$265,MATCH(196,Engine!$C$2:$C$265,0)))</f>
        <v>0</v>
      </c>
      <c r="E209" t="str">
        <f>IF(ISNA(MATCH(196,Engine!$C$2:$C$265,0)),"",INDEX('Compliance Database'!$E$2:$E$265,MATCH(196,Engine!$C$2:$C$265,0)))</f>
        <v>2–4</v>
      </c>
      <c r="F209" t="str">
        <f>IF(ISNA(MATCH(196,Engine!$C$2:$C$265,0)),"",INDEX('Compliance Database'!$F$2:$F$265,MATCH(196,Engine!$C$2:$C$265,0)))</f>
        <v>Cloud Services</v>
      </c>
      <c r="G209" t="str">
        <f>IF(ISNA(MATCH(196,Engine!$C$2:$C$265,0)),"",INDEX('Compliance Database'!$G$2:$G$265,MATCH(196,Engine!$C$2:$C$265,0)))</f>
        <v>High</v>
      </c>
      <c r="H209" t="str">
        <f>IF(ISNA(MATCH(196,Engine!$C$2:$C$265,0)),"",INDEX('Compliance Database'!$H$2:$H$265,MATCH(196,Engine!$C$2:$C$265,0)))</f>
        <v>High (explicit)</v>
      </c>
      <c r="I209" s="6" t="str">
        <f>IF(ISNA(MATCH(196,Engine!$C$2:$C$265,0)),"",INDEX('Compliance Database'!$I$2:$I$265,MATCH(196,Engine!$C$2:$C$265,0)))</f>
        <v>Cloud Services, Data Offshoring, Risk Management, Governance</v>
      </c>
      <c r="J209" s="6" t="str">
        <f>IF(ISNA(MATCH(196,Engine!$C$2:$C$265,0)),"",INDEX('Compliance Database'!$J$2:$J$265,MATCH(196,Engine!$C$2:$C$265,0)))</f>
        <v>Customer Data</v>
      </c>
      <c r="K209" t="str">
        <f>IF(ISNA(MATCH(196,Engine!$C$2:$C$265,0)),"",INDEX('Compliance Database'!$K$2:$K$265,MATCH(196,Engine!$C$2:$C$265,0)))</f>
        <v>Prudential Authority (PA)</v>
      </c>
      <c r="L209" s="6" t="str">
        <f>IF(ISNA(MATCH(196,Engine!$C$2:$C$265,0)),"",INDEX('Compliance Database'!$L$2:$L$265,MATCH(196,Engine!$C$2:$C$265,0)))</f>
        <v>PA mandates banks to implement risk-based approaches for cloud computing and data offshoring, with specific compliance requirements.</v>
      </c>
      <c r="M209" s="6" t="str">
        <f>IF(ISNA(MATCH(196,Engine!$C$2:$C$265,0)),"",INDEX('Compliance Database'!$M$2:$M$265,MATCH(196,Engine!$C$2:$C$265,0)))</f>
        <v>Banks must have data strategy, governance framework, risk assessments, and documented agreements for cloud/offshoring activities to ensure regulatory compliance.</v>
      </c>
      <c r="N209" s="6" t="str">
        <f>IF(ISNA(MATCH(196,Engine!$C$2:$C$265,0)),"",INDEX('Compliance Database'!$N$2:$N$265,MATCH(196,Engine!$C$2:$C$265,0)))</f>
        <v>[Must] Banks must have in place a formally defined and board approved data strategy and data governance framework.
[Must] Banks that use cloud computing and/or offshore their data must have a clearly defined policy for such activities, which is aligned with its business strategy and linked to its risk appetite.
[Must] Oversight of cloud computing and/or the offshoring of data must be incorporated into the governance structures, processes and procedures within the bank.
[Must] Banks must ensure that their risk and control frameworks, including the application thereof, are designed and operating effectively in order to manage the risks associated with the use of cloud computing and/or the offshoring of data.
[Must] Prior to undertaking a particular cloud computing and/or data offshoring initiative, the bank must assess whether the risk involved is within its risk appetite.
[Must] All strategic investments by the bank, including the use of cloud computing and/or the offshoring of data, must be subjected to appropriate due diligence.
[Must] Banks must take all reasonable measures to ensure the confidentiality, integrity and availability of its data, information technology (IT) applications or systems.
[Must] Banks that use cloud computing and/or offshore their data must ensure that they remain compliant with applicable legislation and regulations, both locally as well as in any country where the cloud services and/or data are hosted.
[Must Not] The use of cloud computing and/or the offshoring of data must not in any way infringe on the bank's supervisors or prevent any regulatory mandated access to information, nor must it impact on its regulators' ability to fulfil their duties.
[Must] Banks must have contingency plans to continue with operations and meet their core obligations, such as regulatory, statutory or otherwise, despite any cloud computing and/or offshoring of data arrangements which may be in place.
[Must] Banks must ensure that their intellectual property rights and contractual rights to data are not compromised, despite any cloud computing and/or offshoring of data arrangements which may be in place. Data must always be in a usable, readable and portable state, even when the contract is terminated.
[Must Not] Any cloud computing and/or offshoring of data arrangements must not impact on banks' ability to conduct forensic audits or investigations.
[Must] All cloud computing and/or offshoring of data arrangements must be contained in a documented, legally binding agreement.</v>
      </c>
      <c r="O209" s="6" t="str">
        <f>IF(ISNA(MATCH(196,Engine!$C$2:$C$265,0)),"",INDEX('Compliance Database'!$O$2:$O$265,MATCH(196,Engine!$C$2:$C$265,0)))</f>
        <v>Banks must have in place a formally defined and board approved data strategy and data governance framework.</v>
      </c>
    </row>
    <row r="210" spans="1:15" ht="100.8" x14ac:dyDescent="0.3">
      <c r="A210" t="str">
        <f>IF(ISNA(MATCH(197,Engine!$C$2:$C$265,0)),"",INDEX('Compliance Database'!$A$2:$A$265,MATCH(197,Engine!$C$2:$C$265,0)))</f>
        <v>South Africa</v>
      </c>
      <c r="B210" t="str">
        <f>IF(ISNA(MATCH(197,Engine!$C$2:$C$265,0)),"",INDEX('Compliance Database'!$B$2:$B$265,MATCH(197,Engine!$C$2:$C$265,0)))</f>
        <v>PA Directive</v>
      </c>
      <c r="C210" t="str">
        <f>IF(ISNA(MATCH(197,Engine!$C$2:$C$265,0)),"",INDEX('Compliance Database'!$C$2:$C$265,MATCH(197,Engine!$C$2:$C$265,0)))</f>
        <v>3</v>
      </c>
      <c r="D210" s="6">
        <f>IF(ISNA(MATCH(197,Engine!$C$2:$C$265,0)),"",INDEX('Compliance Database'!$D$2:$D$265,MATCH(197,Engine!$C$2:$C$265,0)))</f>
        <v>0</v>
      </c>
      <c r="E210" t="str">
        <f>IF(ISNA(MATCH(197,Engine!$C$2:$C$265,0)),"",INDEX('Compliance Database'!$E$2:$E$265,MATCH(197,Engine!$C$2:$C$265,0)))</f>
        <v>4</v>
      </c>
      <c r="F210" t="str">
        <f>IF(ISNA(MATCH(197,Engine!$C$2:$C$265,0)),"",INDEX('Compliance Database'!$F$2:$F$265,MATCH(197,Engine!$C$2:$C$265,0)))</f>
        <v>Other</v>
      </c>
      <c r="G210" t="str">
        <f>IF(ISNA(MATCH(197,Engine!$C$2:$C$265,0)),"",INDEX('Compliance Database'!$G$2:$G$265,MATCH(197,Engine!$C$2:$C$265,0)))</f>
        <v>Low</v>
      </c>
      <c r="H210" t="str">
        <f>IF(ISNA(MATCH(197,Engine!$C$2:$C$265,0)),"",INDEX('Compliance Database'!$H$2:$H$265,MATCH(197,Engine!$C$2:$C$265,0)))</f>
        <v>High (explicit)</v>
      </c>
      <c r="I210" s="6" t="str">
        <f>IF(ISNA(MATCH(197,Engine!$C$2:$C$265,0)),"",INDEX('Compliance Database'!$I$2:$I$265,MATCH(197,Engine!$C$2:$C$265,0)))</f>
        <v>Record Keeping</v>
      </c>
      <c r="J210" s="6">
        <f>IF(ISNA(MATCH(197,Engine!$C$2:$C$265,0)),"",INDEX('Compliance Database'!$J$2:$J$265,MATCH(197,Engine!$C$2:$C$265,0)))</f>
        <v>0</v>
      </c>
      <c r="K210" t="str">
        <f>IF(ISNA(MATCH(197,Engine!$C$2:$C$265,0)),"",INDEX('Compliance Database'!$K$2:$K$265,MATCH(197,Engine!$C$2:$C$265,0)))</f>
        <v>Prudential Authority (PA)</v>
      </c>
      <c r="L210" s="6" t="str">
        <f>IF(ISNA(MATCH(197,Engine!$C$2:$C$265,0)),"",INDEX('Compliance Database'!$L$2:$L$265,MATCH(197,Engine!$C$2:$C$265,0)))</f>
        <v>Banks must provide PA with copies of the directive to their independent auditors for acknowledgment of receipt.</v>
      </c>
      <c r="M210" s="6" t="str">
        <f>IF(ISNA(MATCH(197,Engine!$C$2:$C$265,0)),"",INDEX('Compliance Database'!$M$2:$M$265,MATCH(197,Engine!$C$2:$C$265,0)))</f>
        <v>Banks must acknowledge receipt of the directive by returning signed copies to PA for compliance tracking.</v>
      </c>
      <c r="N210" s="6" t="str">
        <f>IF(ISNA(MATCH(197,Engine!$C$2:$C$265,0)),"",INDEX('Compliance Database'!$N$2:$N$265,MATCH(197,Engine!$C$2:$C$265,0)))</f>
        <v>[Must] Kindly ensure that a copy of this directive is made available to your institution's independent auditors. The attached acknowledgement of receipt duly completed and signed by both the chief executive officer of the institution and the said auditors should be returned to the PA at the earliest convenience of the aforementioned signatories.</v>
      </c>
      <c r="O210" s="6" t="str">
        <f>IF(ISNA(MATCH(197,Engine!$C$2:$C$265,0)),"",INDEX('Compliance Database'!$O$2:$O$265,MATCH(197,Engine!$C$2:$C$265,0)))</f>
        <v>Kindly ensure that a copy of this directive is made available to your institution's independent auditors.</v>
      </c>
    </row>
    <row r="211" spans="1:15" ht="316.8" x14ac:dyDescent="0.3">
      <c r="A211" t="str">
        <f>IF(ISNA(MATCH(198,Engine!$C$2:$C$265,0)),"",INDEX('Compliance Database'!$A$2:$A$265,MATCH(198,Engine!$C$2:$C$265,0)))</f>
        <v>South Africa</v>
      </c>
      <c r="B211" t="str">
        <f>IF(ISNA(MATCH(198,Engine!$C$2:$C$265,0)),"",INDEX('Compliance Database'!$B$2:$B$265,MATCH(198,Engine!$C$2:$C$265,0)))</f>
        <v>POPIA_Regulations_-_Dec_2018</v>
      </c>
      <c r="C211" t="str">
        <f>IF(ISNA(MATCH(198,Engine!$C$2:$C$265,0)),"",INDEX('Compliance Database'!$C$2:$C$265,MATCH(198,Engine!$C$2:$C$265,0)))</f>
        <v>1</v>
      </c>
      <c r="D211" s="6" t="str">
        <f>IF(ISNA(MATCH(198,Engine!$C$2:$C$265,0)),"",INDEX('Compliance Database'!$D$2:$D$265,MATCH(198,Engine!$C$2:$C$265,0)))</f>
        <v>In these Regulations, any word or expression to which a meaning has been assigned in</v>
      </c>
      <c r="E211" t="str">
        <f>IF(ISNA(MATCH(198,Engine!$C$2:$C$265,0)),"",INDEX('Compliance Database'!$E$2:$E$265,MATCH(198,Engine!$C$2:$C$265,0)))</f>
        <v>1–2</v>
      </c>
      <c r="F211" t="str">
        <f>IF(ISNA(MATCH(198,Engine!$C$2:$C$265,0)),"",INDEX('Compliance Database'!$F$2:$F$265,MATCH(198,Engine!$C$2:$C$265,0)))</f>
        <v>Definitions</v>
      </c>
      <c r="G211" t="str">
        <f>IF(ISNA(MATCH(198,Engine!$C$2:$C$265,0)),"",INDEX('Compliance Database'!$G$2:$G$265,MATCH(198,Engine!$C$2:$C$265,0)))</f>
        <v>None</v>
      </c>
      <c r="H211" t="str">
        <f>IF(ISNA(MATCH(198,Engine!$C$2:$C$265,0)),"",INDEX('Compliance Database'!$H$2:$H$265,MATCH(198,Engine!$C$2:$C$265,0)))</f>
        <v>High (explicit)</v>
      </c>
      <c r="I211" s="6">
        <f>IF(ISNA(MATCH(198,Engine!$C$2:$C$265,0)),"",INDEX('Compliance Database'!$I$2:$I$265,MATCH(198,Engine!$C$2:$C$265,0)))</f>
        <v>0</v>
      </c>
      <c r="J211" s="6" t="str">
        <f>IF(ISNA(MATCH(198,Engine!$C$2:$C$265,0)),"",INDEX('Compliance Database'!$J$2:$J$265,MATCH(198,Engine!$C$2:$C$265,0)))</f>
        <v>Personal Information</v>
      </c>
      <c r="K211">
        <f>IF(ISNA(MATCH(198,Engine!$C$2:$C$265,0)),"",INDEX('Compliance Database'!$K$2:$K$265,MATCH(198,Engine!$C$2:$C$265,0)))</f>
        <v>0</v>
      </c>
      <c r="L211" s="6" t="str">
        <f>IF(ISNA(MATCH(198,Engine!$C$2:$C$265,0)),"",INDEX('Compliance Database'!$L$2:$L$265,MATCH(198,Engine!$C$2:$C$265,0)))</f>
        <v>Defines key terms including 'data message', 'form(s)', 'signature', 'submit', 'the Act', and 'writing' based on Electronic Communications and Transactions Act, 2002.</v>
      </c>
      <c r="M211" s="6">
        <f>IF(ISNA(MATCH(198,Engine!$C$2:$C$265,0)),"",INDEX('Compliance Database'!$M$2:$M$265,MATCH(198,Engine!$C$2:$C$265,0)))</f>
        <v>0</v>
      </c>
      <c r="N211" s="6" t="str">
        <f>IF(ISNA(MATCH(198,Engine!$C$2:$C$265,0)),"",INDEX('Compliance Database'!$N$2:$N$265,MATCH(198,Engine!$C$2:$C$265,0)))</f>
        <v>[Definition] data message includes a data message as defined in section 1 of the Electronic Communications and Transactions Act, 2002
[Definition] form(s) means a form referred to in the annexures to these Regulations or any form which is substantially similar to that form
[Definition] signature includes an electronic signature as defined in section 1 of the Electronic Communications and Transactions Act, 2002
[Definition] submit means submit by data message, electronic communication, registered post, electronic mail, facsimile, or personal delivery
[Definition] the Act means the Protection of Personal Information Act, 2013
[Definition] writing includes writing as referred to in section 12 of the Electronic Communications and Transactions Act, 2002</v>
      </c>
      <c r="O211" s="6" t="str">
        <f>IF(ISNA(MATCH(198,Engine!$C$2:$C$265,0)),"",INDEX('Compliance Database'!$O$2:$O$265,MATCH(198,Engine!$C$2:$C$265,0)))</f>
        <v>In these Regulations, any word or expression to which a meaning has been assigned in the Act has the meaning so assigned and, unless the context otherwise indicates: "data message" includes a data message as defined in section 1 of the Electronic Communications and Transactions Act, 2002; "form(s)" as referred to in these Regulations, means a form referred to in the annexures to these Regulations or any form which is substantially similar to that form; "signature" includes an electronic signature as defined in section 1 of the Electronic Communications and Transactions Act, 2002; "submit" means submit by (a) data message; (b) electronic communication; (c) registered post; (d) electronic mail; (e) facsimile; and (f) personal delivery; "the Act" means the Protection of Personal Information Act, 2013; and "writing" includes writing as referred to in section 12 of the Electronic Communications and Transactions Act, 2002.</v>
      </c>
    </row>
    <row r="212" spans="1:15" x14ac:dyDescent="0.3">
      <c r="A212" t="str">
        <f>IF(ISNA(MATCH(199,Engine!$C$2:$C$265,0)),"",INDEX('Compliance Database'!$A$2:$A$265,MATCH(199,Engine!$C$2:$C$265,0)))</f>
        <v>South Africa</v>
      </c>
      <c r="B212" t="str">
        <f>IF(ISNA(MATCH(199,Engine!$C$2:$C$265,0)),"",INDEX('Compliance Database'!$B$2:$B$265,MATCH(199,Engine!$C$2:$C$265,0)))</f>
        <v>POPIA_Regulations_-_Dec_2018</v>
      </c>
      <c r="C212" t="str">
        <f>IF(ISNA(MATCH(199,Engine!$C$2:$C$265,0)),"",INDEX('Compliance Database'!$C$2:$C$265,MATCH(199,Engine!$C$2:$C$265,0)))</f>
        <v>1</v>
      </c>
      <c r="D212" s="6" t="str">
        <f>IF(ISNA(MATCH(199,Engine!$C$2:$C$265,0)),"",INDEX('Compliance Database'!$D$2:$D$265,MATCH(199,Engine!$C$2:$C$265,0)))</f>
        <v>CONTACT DETAILS</v>
      </c>
      <c r="E212" t="str">
        <f>IF(ISNA(MATCH(199,Engine!$C$2:$C$265,0)),"",INDEX('Compliance Database'!$E$2:$E$265,MATCH(199,Engine!$C$2:$C$265,0)))</f>
        <v>29</v>
      </c>
      <c r="F212" t="str">
        <f>IF(ISNA(MATCH(199,Engine!$C$2:$C$265,0)),"",INDEX('Compliance Database'!$F$2:$F$265,MATCH(199,Engine!$C$2:$C$265,0)))</f>
        <v>Other</v>
      </c>
      <c r="G212" t="str">
        <f>IF(ISNA(MATCH(199,Engine!$C$2:$C$265,0)),"",INDEX('Compliance Database'!$G$2:$G$265,MATCH(199,Engine!$C$2:$C$265,0)))</f>
        <v>Unknown</v>
      </c>
      <c r="H212" t="str">
        <f>IF(ISNA(MATCH(199,Engine!$C$2:$C$265,0)),"",INDEX('Compliance Database'!$H$2:$H$265,MATCH(199,Engine!$C$2:$C$265,0)))</f>
        <v>Low</v>
      </c>
      <c r="I212" s="6">
        <f>IF(ISNA(MATCH(199,Engine!$C$2:$C$265,0)),"",INDEX('Compliance Database'!$I$2:$I$265,MATCH(199,Engine!$C$2:$C$265,0)))</f>
        <v>0</v>
      </c>
      <c r="J212" s="6">
        <f>IF(ISNA(MATCH(199,Engine!$C$2:$C$265,0)),"",INDEX('Compliance Database'!$J$2:$J$265,MATCH(199,Engine!$C$2:$C$265,0)))</f>
        <v>0</v>
      </c>
      <c r="K212">
        <f>IF(ISNA(MATCH(199,Engine!$C$2:$C$265,0)),"",INDEX('Compliance Database'!$K$2:$K$265,MATCH(199,Engine!$C$2:$C$265,0)))</f>
        <v>0</v>
      </c>
      <c r="L212" s="6">
        <f>IF(ISNA(MATCH(199,Engine!$C$2:$C$265,0)),"",INDEX('Compliance Database'!$L$2:$L$265,MATCH(199,Engine!$C$2:$C$265,0)))</f>
        <v>0</v>
      </c>
      <c r="M212" s="6">
        <f>IF(ISNA(MATCH(199,Engine!$C$2:$C$265,0)),"",INDEX('Compliance Database'!$M$2:$M$265,MATCH(199,Engine!$C$2:$C$265,0)))</f>
        <v>0</v>
      </c>
      <c r="N212" s="6">
        <f>IF(ISNA(MATCH(199,Engine!$C$2:$C$265,0)),"",INDEX('Compliance Database'!$N$2:$N$265,MATCH(199,Engine!$C$2:$C$265,0)))</f>
        <v>0</v>
      </c>
      <c r="O212" s="6">
        <f>IF(ISNA(MATCH(199,Engine!$C$2:$C$265,0)),"",INDEX('Compliance Database'!$O$2:$O$265,MATCH(199,Engine!$C$2:$C$265,0)))</f>
        <v>0</v>
      </c>
    </row>
    <row r="213" spans="1:15" ht="43.2" x14ac:dyDescent="0.3">
      <c r="A213" t="str">
        <f>IF(ISNA(MATCH(200,Engine!$C$2:$C$265,0)),"",INDEX('Compliance Database'!$A$2:$A$265,MATCH(200,Engine!$C$2:$C$265,0)))</f>
        <v>South Africa</v>
      </c>
      <c r="B213" t="str">
        <f>IF(ISNA(MATCH(200,Engine!$C$2:$C$265,0)),"",INDEX('Compliance Database'!$B$2:$B$265,MATCH(200,Engine!$C$2:$C$265,0)))</f>
        <v>POPIA_Regulations_-_Dec_2018</v>
      </c>
      <c r="C213" t="str">
        <f>IF(ISNA(MATCH(200,Engine!$C$2:$C$265,0)),"",INDEX('Compliance Database'!$C$2:$C$265,MATCH(200,Engine!$C$2:$C$265,0)))</f>
        <v>1</v>
      </c>
      <c r="D213" s="6" t="str">
        <f>IF(ISNA(MATCH(200,Engine!$C$2:$C$265,0)),"",INDEX('Compliance Database'!$D$2:$D$265,MATCH(200,Engine!$C$2:$C$265,0)))</f>
        <v>NOTICE OF A DECISION ON AN ASSESSMENT</v>
      </c>
      <c r="E213" t="str">
        <f>IF(ISNA(MATCH(200,Engine!$C$2:$C$265,0)),"",INDEX('Compliance Database'!$E$2:$E$265,MATCH(200,Engine!$C$2:$C$265,0)))</f>
        <v>30–31</v>
      </c>
      <c r="F213" t="str">
        <f>IF(ISNA(MATCH(200,Engine!$C$2:$C$265,0)),"",INDEX('Compliance Database'!$F$2:$F$265,MATCH(200,Engine!$C$2:$C$265,0)))</f>
        <v>Other</v>
      </c>
      <c r="G213" t="str">
        <f>IF(ISNA(MATCH(200,Engine!$C$2:$C$265,0)),"",INDEX('Compliance Database'!$G$2:$G$265,MATCH(200,Engine!$C$2:$C$265,0)))</f>
        <v>Low</v>
      </c>
      <c r="H213" t="str">
        <f>IF(ISNA(MATCH(200,Engine!$C$2:$C$265,0)),"",INDEX('Compliance Database'!$H$2:$H$265,MATCH(200,Engine!$C$2:$C$265,0)))</f>
        <v>High (explicit)</v>
      </c>
      <c r="I213" s="6">
        <f>IF(ISNA(MATCH(200,Engine!$C$2:$C$265,0)),"",INDEX('Compliance Database'!$I$2:$I$265,MATCH(200,Engine!$C$2:$C$265,0)))</f>
        <v>0</v>
      </c>
      <c r="J213" s="6">
        <f>IF(ISNA(MATCH(200,Engine!$C$2:$C$265,0)),"",INDEX('Compliance Database'!$J$2:$J$265,MATCH(200,Engine!$C$2:$C$265,0)))</f>
        <v>0</v>
      </c>
      <c r="K213" t="str">
        <f>IF(ISNA(MATCH(200,Engine!$C$2:$C$265,0)),"",INDEX('Compliance Database'!$K$2:$K$265,MATCH(200,Engine!$C$2:$C$265,0)))</f>
        <v>Information Regulator</v>
      </c>
      <c r="L213" s="6" t="str">
        <f>IF(ISNA(MATCH(200,Engine!$C$2:$C$265,0)),"",INDEX('Compliance Database'!$L$2:$L$265,MATCH(200,Engine!$C$2:$C$265,0)))</f>
        <v>Regulator decides to conduct assessment of information processing compliance with POPIA.</v>
      </c>
      <c r="M213" s="6" t="str">
        <f>IF(ISNA(MATCH(200,Engine!$C$2:$C$265,0)),"",INDEX('Compliance Database'!$M$2:$M$265,MATCH(200,Engine!$C$2:$C$265,0)))</f>
        <v>Regulator conducts assessment of information processing compliance with POPIA.</v>
      </c>
      <c r="N213" s="6" t="str">
        <f>IF(ISNA(MATCH(200,Engine!$C$2:$C$265,0)),"",INDEX('Compliance Database'!$N$2:$N$265,MATCH(200,Engine!$C$2:$C$265,0)))</f>
        <v>[Must] Regulator has decided to conduct an assessment in terms of section 89(1) of the Protection of Personal Information Act 4 of 2013</v>
      </c>
      <c r="O213" s="6" t="str">
        <f>IF(ISNA(MATCH(200,Engine!$C$2:$C$265,0)),"",INDEX('Compliance Database'!$O$2:$O$265,MATCH(200,Engine!$C$2:$C$265,0)))</f>
        <v>The Regulator has decided to conduct an assessment in terms of section 89(1) of the Protection of Personal Information Act 4 of 2013.</v>
      </c>
    </row>
    <row r="214" spans="1:15" ht="43.2" x14ac:dyDescent="0.3">
      <c r="A214" t="str">
        <f>IF(ISNA(MATCH(201,Engine!$C$2:$C$265,0)),"",INDEX('Compliance Database'!$A$2:$A$265,MATCH(201,Engine!$C$2:$C$265,0)))</f>
        <v>South Africa</v>
      </c>
      <c r="B214" t="str">
        <f>IF(ISNA(MATCH(201,Engine!$C$2:$C$265,0)),"",INDEX('Compliance Database'!$B$2:$B$265,MATCH(201,Engine!$C$2:$C$265,0)))</f>
        <v>POPIA_Regulations_-_Dec_2018</v>
      </c>
      <c r="C214" t="str">
        <f>IF(ISNA(MATCH(201,Engine!$C$2:$C$265,0)),"",INDEX('Compliance Database'!$C$2:$C$265,MATCH(201,Engine!$C$2:$C$265,0)))</f>
        <v>1</v>
      </c>
      <c r="D214" s="6" t="str">
        <f>IF(ISNA(MATCH(201,Engine!$C$2:$C$265,0)),"",INDEX('Compliance Database'!$D$2:$D$265,MATCH(201,Engine!$C$2:$C$265,0)))</f>
        <v>In hierdie Regulasie het enige woord of uitdrukking waaraan ‟n betekenis ingevolge die</v>
      </c>
      <c r="E214" t="str">
        <f>IF(ISNA(MATCH(201,Engine!$C$2:$C$265,0)),"",INDEX('Compliance Database'!$E$2:$E$265,MATCH(201,Engine!$C$2:$C$265,0)))</f>
        <v>45–46</v>
      </c>
      <c r="F214" t="str">
        <f>IF(ISNA(MATCH(201,Engine!$C$2:$C$265,0)),"",INDEX('Compliance Database'!$F$2:$F$265,MATCH(201,Engine!$C$2:$C$265,0)))</f>
        <v>Other</v>
      </c>
      <c r="G214" t="str">
        <f>IF(ISNA(MATCH(201,Engine!$C$2:$C$265,0)),"",INDEX('Compliance Database'!$G$2:$G$265,MATCH(201,Engine!$C$2:$C$265,0)))</f>
        <v>Low</v>
      </c>
      <c r="H214" t="str">
        <f>IF(ISNA(MATCH(201,Engine!$C$2:$C$265,0)),"",INDEX('Compliance Database'!$H$2:$H$265,MATCH(201,Engine!$C$2:$C$265,0)))</f>
        <v>High (explicit)</v>
      </c>
      <c r="I214" s="6">
        <f>IF(ISNA(MATCH(201,Engine!$C$2:$C$265,0)),"",INDEX('Compliance Database'!$I$2:$I$265,MATCH(201,Engine!$C$2:$C$265,0)))</f>
        <v>0</v>
      </c>
      <c r="J214" s="6">
        <f>IF(ISNA(MATCH(201,Engine!$C$2:$C$265,0)),"",INDEX('Compliance Database'!$J$2:$J$265,MATCH(201,Engine!$C$2:$C$265,0)))</f>
        <v>0</v>
      </c>
      <c r="K214" t="str">
        <f>IF(ISNA(MATCH(201,Engine!$C$2:$C$265,0)),"",INDEX('Compliance Database'!$K$2:$K$265,MATCH(201,Engine!$C$2:$C$265,0)))</f>
        <v>Information Regulator</v>
      </c>
      <c r="L214" s="6" t="str">
        <f>IF(ISNA(MATCH(201,Engine!$C$2:$C$265,0)),"",INDEX('Compliance Database'!$L$2:$L$265,MATCH(201,Engine!$C$2:$C$265,0)))</f>
        <v>Regulator decides to conduct assessment of information processing compliance with POPIA.</v>
      </c>
      <c r="M214" s="6" t="str">
        <f>IF(ISNA(MATCH(201,Engine!$C$2:$C$265,0)),"",INDEX('Compliance Database'!$M$2:$M$265,MATCH(201,Engine!$C$2:$C$265,0)))</f>
        <v>Regulator conducts assessment of information processing compliance with POPIA.</v>
      </c>
      <c r="N214" s="6" t="str">
        <f>IF(ISNA(MATCH(201,Engine!$C$2:$C$265,0)),"",INDEX('Compliance Database'!$N$2:$N$265,MATCH(201,Engine!$C$2:$C$265,0)))</f>
        <v>[Must] Regulator has decided to conduct an assessment in terms of section 89(1) of the Protection of Personal Information Act 4 of 2013</v>
      </c>
      <c r="O214" s="6" t="str">
        <f>IF(ISNA(MATCH(201,Engine!$C$2:$C$265,0)),"",INDEX('Compliance Database'!$O$2:$O$265,MATCH(201,Engine!$C$2:$C$265,0)))</f>
        <v>The Regulator has decided to conduct an assessment in terms of section 89(1) of the Protection of Personal Information Act 4 of 2013.</v>
      </c>
    </row>
    <row r="215" spans="1:15" ht="57.6" x14ac:dyDescent="0.3">
      <c r="A215" t="str">
        <f>IF(ISNA(MATCH(202,Engine!$C$2:$C$265,0)),"",INDEX('Compliance Database'!$A$2:$A$265,MATCH(202,Engine!$C$2:$C$265,0)))</f>
        <v>South Africa</v>
      </c>
      <c r="B215" t="str">
        <f>IF(ISNA(MATCH(202,Engine!$C$2:$C$265,0)),"",INDEX('Compliance Database'!$B$2:$B$265,MATCH(202,Engine!$C$2:$C$265,0)))</f>
        <v>POPIA_Regulations_-_Dec_2018</v>
      </c>
      <c r="C215" t="str">
        <f>IF(ISNA(MATCH(202,Engine!$C$2:$C$265,0)),"",INDEX('Compliance Database'!$C$2:$C$265,MATCH(202,Engine!$C$2:$C$265,0)))</f>
        <v>1</v>
      </c>
      <c r="D215" s="6" t="str">
        <f>IF(ISNA(MATCH(202,Engine!$C$2:$C$265,0)),"",INDEX('Compliance Database'!$D$2:$D$265,MATCH(202,Engine!$C$2:$C$265,0)))</f>
        <v>KONTAKBESONDERHEDE</v>
      </c>
      <c r="E215" t="str">
        <f>IF(ISNA(MATCH(202,Engine!$C$2:$C$265,0)),"",INDEX('Compliance Database'!$E$2:$E$265,MATCH(202,Engine!$C$2:$C$265,0)))</f>
        <v>73</v>
      </c>
      <c r="F215" t="str">
        <f>IF(ISNA(MATCH(202,Engine!$C$2:$C$265,0)),"",INDEX('Compliance Database'!$F$2:$F$265,MATCH(202,Engine!$C$2:$C$265,0)))</f>
        <v>Other</v>
      </c>
      <c r="G215" t="str">
        <f>IF(ISNA(MATCH(202,Engine!$C$2:$C$265,0)),"",INDEX('Compliance Database'!$G$2:$G$265,MATCH(202,Engine!$C$2:$C$265,0)))</f>
        <v>None</v>
      </c>
      <c r="H215" t="str">
        <f>IF(ISNA(MATCH(202,Engine!$C$2:$C$265,0)),"",INDEX('Compliance Database'!$H$2:$H$265,MATCH(202,Engine!$C$2:$C$265,0)))</f>
        <v>High (explicit)</v>
      </c>
      <c r="I215" s="6">
        <f>IF(ISNA(MATCH(202,Engine!$C$2:$C$265,0)),"",INDEX('Compliance Database'!$I$2:$I$265,MATCH(202,Engine!$C$2:$C$265,0)))</f>
        <v>0</v>
      </c>
      <c r="J215" s="6" t="str">
        <f>IF(ISNA(MATCH(202,Engine!$C$2:$C$265,0)),"",INDEX('Compliance Database'!$J$2:$J$265,MATCH(202,Engine!$C$2:$C$265,0)))</f>
        <v>Personal Information</v>
      </c>
      <c r="K215" t="str">
        <f>IF(ISNA(MATCH(202,Engine!$C$2:$C$265,0)),"",INDEX('Compliance Database'!$K$2:$K$265,MATCH(202,Engine!$C$2:$C$265,0)))</f>
        <v>Regulator</v>
      </c>
      <c r="L215" s="6" t="str">
        <f>IF(ISNA(MATCH(202,Engine!$C$2:$C$265,0)),"",INDEX('Compliance Database'!$L$2:$L$265,MATCH(202,Engine!$C$2:$C$265,0)))</f>
        <v>Notification of the audit decision.</v>
      </c>
      <c r="M215" s="6" t="str">
        <f>IF(ISNA(MATCH(202,Engine!$C$2:$C$265,0)),"",INDEX('Compliance Database'!$M$2:$M$265,MATCH(202,Engine!$C$2:$C$265,0)))</f>
        <v>Notification of the audit decision.</v>
      </c>
      <c r="N215" s="6" t="str">
        <f>IF(ISNA(MATCH(202,Engine!$C$2:$C$265,0)),"",INDEX('Compliance Database'!$N$2:$N$265,MATCH(202,Engine!$C$2:$C$265,0)))</f>
        <v>[Must] The regulator has decided to conduct an audit.</v>
      </c>
      <c r="O215" s="6" t="str">
        <f>IF(ISNA(MATCH(202,Engine!$C$2:$C$265,0)),"",INDEX('Compliance Database'!$O$2:$O$265,MATCH(202,Engine!$C$2:$C$265,0)))</f>
        <v>1. KENNISGEWING VAN 'N BESLUIT OOR 'N OUDIT Die Reguleerder het besluit om 'n oudit te doen ingevolge artikel 89(1) van die Wet op Beskerming van Persoonlike Inligting, 2:2013.</v>
      </c>
    </row>
    <row r="216" spans="1:15" ht="57.6" x14ac:dyDescent="0.3">
      <c r="A216" t="str">
        <f>IF(ISNA(MATCH(203,Engine!$C$2:$C$265,0)),"",INDEX('Compliance Database'!$A$2:$A$265,MATCH(203,Engine!$C$2:$C$265,0)))</f>
        <v>South Africa</v>
      </c>
      <c r="B216" t="str">
        <f>IF(ISNA(MATCH(203,Engine!$C$2:$C$265,0)),"",INDEX('Compliance Database'!$B$2:$B$265,MATCH(203,Engine!$C$2:$C$265,0)))</f>
        <v>POPIA_Regulations_-_Dec_2018</v>
      </c>
      <c r="C216" t="str">
        <f>IF(ISNA(MATCH(203,Engine!$C$2:$C$265,0)),"",INDEX('Compliance Database'!$C$2:$C$265,MATCH(203,Engine!$C$2:$C$265,0)))</f>
        <v>1</v>
      </c>
      <c r="D216" s="6" t="str">
        <f>IF(ISNA(MATCH(203,Engine!$C$2:$C$265,0)),"",INDEX('Compliance Database'!$D$2:$D$265,MATCH(203,Engine!$C$2:$C$265,0)))</f>
        <v>KENNISGEWING VAN 'N BESLUIT OOR 'N OUDIT</v>
      </c>
      <c r="E216" t="str">
        <f>IF(ISNA(MATCH(203,Engine!$C$2:$C$265,0)),"",INDEX('Compliance Database'!$E$2:$E$265,MATCH(203,Engine!$C$2:$C$265,0)))</f>
        <v>74–75</v>
      </c>
      <c r="F216" t="str">
        <f>IF(ISNA(MATCH(203,Engine!$C$2:$C$265,0)),"",INDEX('Compliance Database'!$F$2:$F$265,MATCH(203,Engine!$C$2:$C$265,0)))</f>
        <v>Other</v>
      </c>
      <c r="G216" t="str">
        <f>IF(ISNA(MATCH(203,Engine!$C$2:$C$265,0)),"",INDEX('Compliance Database'!$G$2:$G$265,MATCH(203,Engine!$C$2:$C$265,0)))</f>
        <v>None</v>
      </c>
      <c r="H216" t="str">
        <f>IF(ISNA(MATCH(203,Engine!$C$2:$C$265,0)),"",INDEX('Compliance Database'!$H$2:$H$265,MATCH(203,Engine!$C$2:$C$265,0)))</f>
        <v>High (explicit)</v>
      </c>
      <c r="I216" s="6">
        <f>IF(ISNA(MATCH(203,Engine!$C$2:$C$265,0)),"",INDEX('Compliance Database'!$I$2:$I$265,MATCH(203,Engine!$C$2:$C$265,0)))</f>
        <v>0</v>
      </c>
      <c r="J216" s="6" t="str">
        <f>IF(ISNA(MATCH(203,Engine!$C$2:$C$265,0)),"",INDEX('Compliance Database'!$J$2:$J$265,MATCH(203,Engine!$C$2:$C$265,0)))</f>
        <v>Personal Information</v>
      </c>
      <c r="K216" t="str">
        <f>IF(ISNA(MATCH(203,Engine!$C$2:$C$265,0)),"",INDEX('Compliance Database'!$K$2:$K$265,MATCH(203,Engine!$C$2:$C$265,0)))</f>
        <v>Regulator</v>
      </c>
      <c r="L216" s="6" t="str">
        <f>IF(ISNA(MATCH(203,Engine!$C$2:$C$265,0)),"",INDEX('Compliance Database'!$L$2:$L$265,MATCH(203,Engine!$C$2:$C$265,0)))</f>
        <v>Notification of the audit decision.</v>
      </c>
      <c r="M216" s="6" t="str">
        <f>IF(ISNA(MATCH(203,Engine!$C$2:$C$265,0)),"",INDEX('Compliance Database'!$M$2:$M$265,MATCH(203,Engine!$C$2:$C$265,0)))</f>
        <v>Notification of the audit decision.</v>
      </c>
      <c r="N216" s="6" t="str">
        <f>IF(ISNA(MATCH(203,Engine!$C$2:$C$265,0)),"",INDEX('Compliance Database'!$N$2:$N$265,MATCH(203,Engine!$C$2:$C$265,0)))</f>
        <v>[Must] The regulator has decided to conduct an audit.</v>
      </c>
      <c r="O216" s="6" t="str">
        <f>IF(ISNA(MATCH(203,Engine!$C$2:$C$265,0)),"",INDEX('Compliance Database'!$O$2:$O$265,MATCH(203,Engine!$C$2:$C$265,0)))</f>
        <v>1. KENNISGEWING VAN 'N BESLUIT OOR 'N OUDIT Die Reguleerder het besluit om 'n oudit te doen ingevolge artikel 89(1) van die Wet op Beskerming van Persoonlike Inligting, 2:2013.</v>
      </c>
    </row>
    <row r="217" spans="1:15" ht="129.6" x14ac:dyDescent="0.3">
      <c r="A217" t="str">
        <f>IF(ISNA(MATCH(204,Engine!$C$2:$C$265,0)),"",INDEX('Compliance Database'!$A$2:$A$265,MATCH(204,Engine!$C$2:$C$265,0)))</f>
        <v>South Africa</v>
      </c>
      <c r="B217" t="str">
        <f>IF(ISNA(MATCH(204,Engine!$C$2:$C$265,0)),"",INDEX('Compliance Database'!$B$2:$B$265,MATCH(204,Engine!$C$2:$C$265,0)))</f>
        <v>POPIA_Regulations_-_Dec_2018</v>
      </c>
      <c r="C217" t="str">
        <f>IF(ISNA(MATCH(204,Engine!$C$2:$C$265,0)),"",INDEX('Compliance Database'!$C$2:$C$265,MATCH(204,Engine!$C$2:$C$265,0)))</f>
        <v>2</v>
      </c>
      <c r="D217" s="6" t="str">
        <f>IF(ISNA(MATCH(204,Engine!$C$2:$C$265,0)),"",INDEX('Compliance Database'!$D$2:$D$265,MATCH(204,Engine!$C$2:$C$265,0)))</f>
        <v>(1) A data subject who wishes to object to the processing of personal information</v>
      </c>
      <c r="E217" t="str">
        <f>IF(ISNA(MATCH(204,Engine!$C$2:$C$265,0)),"",INDEX('Compliance Database'!$E$2:$E$265,MATCH(204,Engine!$C$2:$C$265,0)))</f>
        <v>2</v>
      </c>
      <c r="F217" t="str">
        <f>IF(ISNA(MATCH(204,Engine!$C$2:$C$265,0)),"",INDEX('Compliance Database'!$F$2:$F$265,MATCH(204,Engine!$C$2:$C$265,0)))</f>
        <v>Data Subject Rights</v>
      </c>
      <c r="G217" t="str">
        <f>IF(ISNA(MATCH(204,Engine!$C$2:$C$265,0)),"",INDEX('Compliance Database'!$G$2:$G$265,MATCH(204,Engine!$C$2:$C$265,0)))</f>
        <v>None</v>
      </c>
      <c r="H217" t="str">
        <f>IF(ISNA(MATCH(204,Engine!$C$2:$C$265,0)),"",INDEX('Compliance Database'!$H$2:$H$265,MATCH(204,Engine!$C$2:$C$265,0)))</f>
        <v>High (explicit)</v>
      </c>
      <c r="I217" s="6">
        <f>IF(ISNA(MATCH(204,Engine!$C$2:$C$265,0)),"",INDEX('Compliance Database'!$I$2:$I$265,MATCH(204,Engine!$C$2:$C$265,0)))</f>
        <v>0</v>
      </c>
      <c r="J217" s="6" t="str">
        <f>IF(ISNA(MATCH(204,Engine!$C$2:$C$265,0)),"",INDEX('Compliance Database'!$J$2:$J$265,MATCH(204,Engine!$C$2:$C$265,0)))</f>
        <v>Personal Information</v>
      </c>
      <c r="K217">
        <f>IF(ISNA(MATCH(204,Engine!$C$2:$C$265,0)),"",INDEX('Compliance Database'!$K$2:$K$265,MATCH(204,Engine!$C$2:$C$265,0)))</f>
        <v>0</v>
      </c>
      <c r="L217" s="6" t="str">
        <f>IF(ISNA(MATCH(204,Engine!$C$2:$C$265,0)),"",INDEX('Compliance Database'!$L$2:$L$265,MATCH(204,Engine!$C$2:$C$265,0)))</f>
        <v>Data subjects must submit objections to processing on Form 1 to responsible parties for lawful processing under section 11(3)(a) of the Act.</v>
      </c>
      <c r="M217" s="6" t="str">
        <f>IF(ISNA(MATCH(204,Engine!$C$2:$C$265,0)),"",INDEX('Compliance Database'!$M$2:$M$265,MATCH(204,Engine!$C$2:$C$265,0)))</f>
        <v>Data subjects can object to processing via Form 1; responsible parties must provide reasonable assistance free of charge.</v>
      </c>
      <c r="N217" s="6" t="str">
        <f>IF(ISNA(MATCH(204,Engine!$C$2:$C$265,0)),"",INDEX('Compliance Database'!$N$2:$N$265,MATCH(204,Engine!$C$2:$C$265,0)))</f>
        <v>[Must] A data subject who wishes to object to the processing of personal information in terms of section 11(3)(a) of the Act, must submit the objection to the responsible party on Form 1
[Must] The responsible party, or a designated person, must render such reasonable assistance as is necessary, free of charge, to enable the data subject to make an objection on Form 1</v>
      </c>
      <c r="O217" s="6" t="str">
        <f>IF(ISNA(MATCH(204,Engine!$C$2:$C$265,0)),"",INDEX('Compliance Database'!$O$2:$O$265,MATCH(204,Engine!$C$2:$C$265,0)))</f>
        <v>(1) A data subject who wishes to object to the processing of personal information in terms of section 11(3)(a) of the Act, must submit the objection to the responsible party on Form 1. (2) The responsible party, or a designated person, must render such reasonable assistance as is necessary, free of charge, to enable the data subject to make an objection on Form 1.</v>
      </c>
    </row>
    <row r="218" spans="1:15" x14ac:dyDescent="0.3">
      <c r="A218" t="str">
        <f>IF(ISNA(MATCH(205,Engine!$C$2:$C$265,0)),"",INDEX('Compliance Database'!$A$2:$A$265,MATCH(205,Engine!$C$2:$C$265,0)))</f>
        <v>South Africa</v>
      </c>
      <c r="B218" t="str">
        <f>IF(ISNA(MATCH(205,Engine!$C$2:$C$265,0)),"",INDEX('Compliance Database'!$B$2:$B$265,MATCH(205,Engine!$C$2:$C$265,0)))</f>
        <v>POPIA_Regulations_-_Dec_2018</v>
      </c>
      <c r="C218" t="str">
        <f>IF(ISNA(MATCH(205,Engine!$C$2:$C$265,0)),"",INDEX('Compliance Database'!$C$2:$C$265,MATCH(205,Engine!$C$2:$C$265,0)))</f>
        <v>2</v>
      </c>
      <c r="D218" s="6" t="str">
        <f>IF(ISNA(MATCH(205,Engine!$C$2:$C$265,0)),"",INDEX('Compliance Database'!$D$2:$D$265,MATCH(205,Engine!$C$2:$C$265,0)))</f>
        <v>INFORMATION PROCESSING TO BE ASSESSED</v>
      </c>
      <c r="E218" t="str">
        <f>IF(ISNA(MATCH(205,Engine!$C$2:$C$265,0)),"",INDEX('Compliance Database'!$E$2:$E$265,MATCH(205,Engine!$C$2:$C$265,0)))</f>
        <v>29</v>
      </c>
      <c r="F218" t="str">
        <f>IF(ISNA(MATCH(205,Engine!$C$2:$C$265,0)),"",INDEX('Compliance Database'!$F$2:$F$265,MATCH(205,Engine!$C$2:$C$265,0)))</f>
        <v>Other</v>
      </c>
      <c r="G218" t="str">
        <f>IF(ISNA(MATCH(205,Engine!$C$2:$C$265,0)),"",INDEX('Compliance Database'!$G$2:$G$265,MATCH(205,Engine!$C$2:$C$265,0)))</f>
        <v>Unknown</v>
      </c>
      <c r="H218" t="str">
        <f>IF(ISNA(MATCH(205,Engine!$C$2:$C$265,0)),"",INDEX('Compliance Database'!$H$2:$H$265,MATCH(205,Engine!$C$2:$C$265,0)))</f>
        <v>Low</v>
      </c>
      <c r="I218" s="6">
        <f>IF(ISNA(MATCH(205,Engine!$C$2:$C$265,0)),"",INDEX('Compliance Database'!$I$2:$I$265,MATCH(205,Engine!$C$2:$C$265,0)))</f>
        <v>0</v>
      </c>
      <c r="J218" s="6">
        <f>IF(ISNA(MATCH(205,Engine!$C$2:$C$265,0)),"",INDEX('Compliance Database'!$J$2:$J$265,MATCH(205,Engine!$C$2:$C$265,0)))</f>
        <v>0</v>
      </c>
      <c r="K218">
        <f>IF(ISNA(MATCH(205,Engine!$C$2:$C$265,0)),"",INDEX('Compliance Database'!$K$2:$K$265,MATCH(205,Engine!$C$2:$C$265,0)))</f>
        <v>0</v>
      </c>
      <c r="L218" s="6">
        <f>IF(ISNA(MATCH(205,Engine!$C$2:$C$265,0)),"",INDEX('Compliance Database'!$L$2:$L$265,MATCH(205,Engine!$C$2:$C$265,0)))</f>
        <v>0</v>
      </c>
      <c r="M218" s="6">
        <f>IF(ISNA(MATCH(205,Engine!$C$2:$C$265,0)),"",INDEX('Compliance Database'!$M$2:$M$265,MATCH(205,Engine!$C$2:$C$265,0)))</f>
        <v>0</v>
      </c>
      <c r="N218" s="6">
        <f>IF(ISNA(MATCH(205,Engine!$C$2:$C$265,0)),"",INDEX('Compliance Database'!$N$2:$N$265,MATCH(205,Engine!$C$2:$C$265,0)))</f>
        <v>0</v>
      </c>
      <c r="O218" s="6">
        <f>IF(ISNA(MATCH(205,Engine!$C$2:$C$265,0)),"",INDEX('Compliance Database'!$O$2:$O$265,MATCH(205,Engine!$C$2:$C$265,0)))</f>
        <v>0</v>
      </c>
    </row>
    <row r="219" spans="1:15" ht="28.8" x14ac:dyDescent="0.3">
      <c r="A219" t="str">
        <f>IF(ISNA(MATCH(206,Engine!$C$2:$C$265,0)),"",INDEX('Compliance Database'!$A$2:$A$265,MATCH(206,Engine!$C$2:$C$265,0)))</f>
        <v>South Africa</v>
      </c>
      <c r="B219" t="str">
        <f>IF(ISNA(MATCH(206,Engine!$C$2:$C$265,0)),"",INDEX('Compliance Database'!$B$2:$B$265,MATCH(206,Engine!$C$2:$C$265,0)))</f>
        <v>POPIA_Regulations_-_Dec_2018</v>
      </c>
      <c r="C219" t="str">
        <f>IF(ISNA(MATCH(206,Engine!$C$2:$C$265,0)),"",INDEX('Compliance Database'!$C$2:$C$265,MATCH(206,Engine!$C$2:$C$265,0)))</f>
        <v>2</v>
      </c>
      <c r="D219" s="6" t="str">
        <f>IF(ISNA(MATCH(206,Engine!$C$2:$C$265,0)),"",INDEX('Compliance Database'!$D$2:$D$265,MATCH(206,Engine!$C$2:$C$265,0)))</f>
        <v>INFORMATION PROCESSING TO BE ASSESSED</v>
      </c>
      <c r="E219" t="str">
        <f>IF(ISNA(MATCH(206,Engine!$C$2:$C$265,0)),"",INDEX('Compliance Database'!$E$2:$E$265,MATCH(206,Engine!$C$2:$C$265,0)))</f>
        <v>31</v>
      </c>
      <c r="F219" t="str">
        <f>IF(ISNA(MATCH(206,Engine!$C$2:$C$265,0)),"",INDEX('Compliance Database'!$F$2:$F$265,MATCH(206,Engine!$C$2:$C$265,0)))</f>
        <v>Other</v>
      </c>
      <c r="G219" t="str">
        <f>IF(ISNA(MATCH(206,Engine!$C$2:$C$265,0)),"",INDEX('Compliance Database'!$G$2:$G$265,MATCH(206,Engine!$C$2:$C$265,0)))</f>
        <v>Low</v>
      </c>
      <c r="H219" t="str">
        <f>IF(ISNA(MATCH(206,Engine!$C$2:$C$265,0)),"",INDEX('Compliance Database'!$H$2:$H$265,MATCH(206,Engine!$C$2:$C$265,0)))</f>
        <v>High (explicit)</v>
      </c>
      <c r="I219" s="6">
        <f>IF(ISNA(MATCH(206,Engine!$C$2:$C$265,0)),"",INDEX('Compliance Database'!$I$2:$I$265,MATCH(206,Engine!$C$2:$C$265,0)))</f>
        <v>0</v>
      </c>
      <c r="J219" s="6">
        <f>IF(ISNA(MATCH(206,Engine!$C$2:$C$265,0)),"",INDEX('Compliance Database'!$J$2:$J$265,MATCH(206,Engine!$C$2:$C$265,0)))</f>
        <v>0</v>
      </c>
      <c r="K219">
        <f>IF(ISNA(MATCH(206,Engine!$C$2:$C$265,0)),"",INDEX('Compliance Database'!$K$2:$K$265,MATCH(206,Engine!$C$2:$C$265,0)))</f>
        <v>0</v>
      </c>
      <c r="L219" s="6" t="str">
        <f>IF(ISNA(MATCH(206,Engine!$C$2:$C$265,0)),"",INDEX('Compliance Database'!$L$2:$L$265,MATCH(206,Engine!$C$2:$C$265,0)))</f>
        <v>Information processing to be assessed is specified.</v>
      </c>
      <c r="M219" s="6" t="str">
        <f>IF(ISNA(MATCH(206,Engine!$C$2:$C$265,0)),"",INDEX('Compliance Database'!$M$2:$M$265,MATCH(206,Engine!$C$2:$C$265,0)))</f>
        <v>Information processing to be assessed is specified for compliance with POPIA.</v>
      </c>
      <c r="N219" s="6" t="str">
        <f>IF(ISNA(MATCH(206,Engine!$C$2:$C$265,0)),"",INDEX('Compliance Database'!$N$2:$N$265,MATCH(206,Engine!$C$2:$C$265,0)))</f>
        <v>[Must] Information processing to be assessed is specified</v>
      </c>
      <c r="O219" s="6" t="str">
        <f>IF(ISNA(MATCH(206,Engine!$C$2:$C$265,0)),"",INDEX('Compliance Database'!$O$2:$O$265,MATCH(206,Engine!$C$2:$C$265,0)))</f>
        <v>2. INFORMATION PROCESSING TO BE ASSESSED</v>
      </c>
    </row>
    <row r="220" spans="1:15" ht="115.2" x14ac:dyDescent="0.3">
      <c r="A220" t="str">
        <f>IF(ISNA(MATCH(207,Engine!$C$2:$C$265,0)),"",INDEX('Compliance Database'!$A$2:$A$265,MATCH(207,Engine!$C$2:$C$265,0)))</f>
        <v>South Africa</v>
      </c>
      <c r="B220" t="str">
        <f>IF(ISNA(MATCH(207,Engine!$C$2:$C$265,0)),"",INDEX('Compliance Database'!$B$2:$B$265,MATCH(207,Engine!$C$2:$C$265,0)))</f>
        <v>POPIA_Regulations_-_Dec_2018</v>
      </c>
      <c r="C220" t="str">
        <f>IF(ISNA(MATCH(207,Engine!$C$2:$C$265,0)),"",INDEX('Compliance Database'!$C$2:$C$265,MATCH(207,Engine!$C$2:$C$265,0)))</f>
        <v>2</v>
      </c>
      <c r="D220" s="6" t="str">
        <f>IF(ISNA(MATCH(207,Engine!$C$2:$C$265,0)),"",INDEX('Compliance Database'!$D$2:$D$265,MATCH(207,Engine!$C$2:$C$265,0)))</f>
        <v>(1)</v>
      </c>
      <c r="E220" t="str">
        <f>IF(ISNA(MATCH(207,Engine!$C$2:$C$265,0)),"",INDEX('Compliance Database'!$E$2:$E$265,MATCH(207,Engine!$C$2:$C$265,0)))</f>
        <v>46</v>
      </c>
      <c r="F220" t="str">
        <f>IF(ISNA(MATCH(207,Engine!$C$2:$C$265,0)),"",INDEX('Compliance Database'!$F$2:$F$265,MATCH(207,Engine!$C$2:$C$265,0)))</f>
        <v>Data Subject Rights</v>
      </c>
      <c r="G220" t="str">
        <f>IF(ISNA(MATCH(207,Engine!$C$2:$C$265,0)),"",INDEX('Compliance Database'!$G$2:$G$265,MATCH(207,Engine!$C$2:$C$265,0)))</f>
        <v>Low</v>
      </c>
      <c r="H220" t="str">
        <f>IF(ISNA(MATCH(207,Engine!$C$2:$C$265,0)),"",INDEX('Compliance Database'!$H$2:$H$265,MATCH(207,Engine!$C$2:$C$265,0)))</f>
        <v>High (explicit)</v>
      </c>
      <c r="I220" s="6">
        <f>IF(ISNA(MATCH(207,Engine!$C$2:$C$265,0)),"",INDEX('Compliance Database'!$I$2:$I$265,MATCH(207,Engine!$C$2:$C$265,0)))</f>
        <v>0</v>
      </c>
      <c r="J220" s="6" t="str">
        <f>IF(ISNA(MATCH(207,Engine!$C$2:$C$265,0)),"",INDEX('Compliance Database'!$J$2:$J$265,MATCH(207,Engine!$C$2:$C$265,0)))</f>
        <v>Personal Information</v>
      </c>
      <c r="K220" t="str">
        <f>IF(ISNA(MATCH(207,Engine!$C$2:$C$265,0)),"",INDEX('Compliance Database'!$K$2:$K$265,MATCH(207,Engine!$C$2:$C$265,0)))</f>
        <v>Responsible party</v>
      </c>
      <c r="L220" s="6" t="str">
        <f>IF(ISNA(MATCH(207,Engine!$C$2:$C$265,0)),"",INDEX('Compliance Database'!$L$2:$L$265,MATCH(207,Engine!$C$2:$C$265,0)))</f>
        <v>Data subjects must submit a complaint form to the responsible party for data processing under Article 11(3)(a) of the Act.</v>
      </c>
      <c r="M220" s="6" t="str">
        <f>IF(ISNA(MATCH(207,Engine!$C$2:$C$265,0)),"",INDEX('Compliance Database'!$M$2:$M$265,MATCH(207,Engine!$C$2:$C$265,0)))</f>
        <v>Data subjects can request correction or deletion of personal information via Form 1; responsible parties must provide reasonable assistance at no cost.</v>
      </c>
      <c r="N220" s="6" t="str">
        <f>IF(ISNA(MATCH(207,Engine!$C$2:$C$265,0)),"",INDEX('Compliance Database'!$N$2:$N$265,MATCH(207,Engine!$C$2:$C$265,0)))</f>
        <v>[Must] Data subject must submit Form 1 to responsible party for data processing under Article 11(3)(a) of the Act
[Must] Responsible party must provide reasonable assistance at no cost for data subject to complete Form 1</v>
      </c>
      <c r="O220" s="6" t="str">
        <f>IF(ISNA(MATCH(207,Engine!$C$2:$C$265,0)),"",INDEX('Compliance Database'!$O$2:$O$265,MATCH(207,Engine!$C$2:$C$265,0)))</f>
        <v>„n Datasubjek wat beswaar wil aanteken teen die verwerking van persoonlike inligting ingevolge artikel 11(3)(a) van die Wet, moet die beswaar op Vorm 1 aan die verantwoordelike party voorlê. Die verantwoordelike party, of ‟n aangewese persoon, moet waar nodig redelike bystand lewer, kosteloos, om die datasubjek in staat te stel om ‟n beswaar op Vorm 1 te maak.</v>
      </c>
    </row>
    <row r="221" spans="1:15" ht="28.8" x14ac:dyDescent="0.3">
      <c r="A221" t="str">
        <f>IF(ISNA(MATCH(208,Engine!$C$2:$C$265,0)),"",INDEX('Compliance Database'!$A$2:$A$265,MATCH(208,Engine!$C$2:$C$265,0)))</f>
        <v>South Africa</v>
      </c>
      <c r="B221" t="str">
        <f>IF(ISNA(MATCH(208,Engine!$C$2:$C$265,0)),"",INDEX('Compliance Database'!$B$2:$B$265,MATCH(208,Engine!$C$2:$C$265,0)))</f>
        <v>POPIA_Regulations_-_Dec_2018</v>
      </c>
      <c r="C221" t="str">
        <f>IF(ISNA(MATCH(208,Engine!$C$2:$C$265,0)),"",INDEX('Compliance Database'!$C$2:$C$265,MATCH(208,Engine!$C$2:$C$265,0)))</f>
        <v>2</v>
      </c>
      <c r="D221" s="6" t="str">
        <f>IF(ISNA(MATCH(208,Engine!$C$2:$C$265,0)),"",INDEX('Compliance Database'!$D$2:$D$265,MATCH(208,Engine!$C$2:$C$265,0)))</f>
        <v>INLIGTINGSVERWERKING WAT GEOUDITEER MOET WORD</v>
      </c>
      <c r="E221" t="str">
        <f>IF(ISNA(MATCH(208,Engine!$C$2:$C$265,0)),"",INDEX('Compliance Database'!$E$2:$E$265,MATCH(208,Engine!$C$2:$C$265,0)))</f>
        <v>73</v>
      </c>
      <c r="F221" t="str">
        <f>IF(ISNA(MATCH(208,Engine!$C$2:$C$265,0)),"",INDEX('Compliance Database'!$F$2:$F$265,MATCH(208,Engine!$C$2:$C$265,0)))</f>
        <v>Other</v>
      </c>
      <c r="G221" t="str">
        <f>IF(ISNA(MATCH(208,Engine!$C$2:$C$265,0)),"",INDEX('Compliance Database'!$G$2:$G$265,MATCH(208,Engine!$C$2:$C$265,0)))</f>
        <v>None</v>
      </c>
      <c r="H221" t="str">
        <f>IF(ISNA(MATCH(208,Engine!$C$2:$C$265,0)),"",INDEX('Compliance Database'!$H$2:$H$265,MATCH(208,Engine!$C$2:$C$265,0)))</f>
        <v>High (explicit)</v>
      </c>
      <c r="I221" s="6">
        <f>IF(ISNA(MATCH(208,Engine!$C$2:$C$265,0)),"",INDEX('Compliance Database'!$I$2:$I$265,MATCH(208,Engine!$C$2:$C$265,0)))</f>
        <v>0</v>
      </c>
      <c r="J221" s="6" t="str">
        <f>IF(ISNA(MATCH(208,Engine!$C$2:$C$265,0)),"",INDEX('Compliance Database'!$J$2:$J$265,MATCH(208,Engine!$C$2:$C$265,0)))</f>
        <v>Personal Information</v>
      </c>
      <c r="K221">
        <f>IF(ISNA(MATCH(208,Engine!$C$2:$C$265,0)),"",INDEX('Compliance Database'!$K$2:$K$265,MATCH(208,Engine!$C$2:$C$265,0)))</f>
        <v>0</v>
      </c>
      <c r="L221" s="6" t="str">
        <f>IF(ISNA(MATCH(208,Engine!$C$2:$C$265,0)),"",INDEX('Compliance Database'!$L$2:$L$265,MATCH(208,Engine!$C$2:$C$265,0)))</f>
        <v>Information processing that must be audited.</v>
      </c>
      <c r="M221" s="6" t="str">
        <f>IF(ISNA(MATCH(208,Engine!$C$2:$C$265,0)),"",INDEX('Compliance Database'!$M$2:$M$265,MATCH(208,Engine!$C$2:$C$265,0)))</f>
        <v>Information processing that must be audited.</v>
      </c>
      <c r="N221" s="6" t="str">
        <f>IF(ISNA(MATCH(208,Engine!$C$2:$C$265,0)),"",INDEX('Compliance Database'!$N$2:$N$265,MATCH(208,Engine!$C$2:$C$265,0)))</f>
        <v>[Must] Specify information processing that must be audited.</v>
      </c>
      <c r="O221" s="6" t="str">
        <f>IF(ISNA(MATCH(208,Engine!$C$2:$C$265,0)),"",INDEX('Compliance Database'!$O$2:$O$265,MATCH(208,Engine!$C$2:$C$265,0)))</f>
        <v>2. INLIGTINGSVERWERKING WAT GEOUDITEER MOET WORD</v>
      </c>
    </row>
    <row r="222" spans="1:15" ht="28.8" x14ac:dyDescent="0.3">
      <c r="A222" t="str">
        <f>IF(ISNA(MATCH(209,Engine!$C$2:$C$265,0)),"",INDEX('Compliance Database'!$A$2:$A$265,MATCH(209,Engine!$C$2:$C$265,0)))</f>
        <v>South Africa</v>
      </c>
      <c r="B222" t="str">
        <f>IF(ISNA(MATCH(209,Engine!$C$2:$C$265,0)),"",INDEX('Compliance Database'!$B$2:$B$265,MATCH(209,Engine!$C$2:$C$265,0)))</f>
        <v>POPIA_Regulations_-_Dec_2018</v>
      </c>
      <c r="C222" t="str">
        <f>IF(ISNA(MATCH(209,Engine!$C$2:$C$265,0)),"",INDEX('Compliance Database'!$C$2:$C$265,MATCH(209,Engine!$C$2:$C$265,0)))</f>
        <v>2</v>
      </c>
      <c r="D222" s="6" t="str">
        <f>IF(ISNA(MATCH(209,Engine!$C$2:$C$265,0)),"",INDEX('Compliance Database'!$D$2:$D$265,MATCH(209,Engine!$C$2:$C$265,0)))</f>
        <v>INLIGTINGSVERWERKING WAT GEOUDIT MOET WORD</v>
      </c>
      <c r="E222" t="str">
        <f>IF(ISNA(MATCH(209,Engine!$C$2:$C$265,0)),"",INDEX('Compliance Database'!$E$2:$E$265,MATCH(209,Engine!$C$2:$C$265,0)))</f>
        <v>75</v>
      </c>
      <c r="F222" t="str">
        <f>IF(ISNA(MATCH(209,Engine!$C$2:$C$265,0)),"",INDEX('Compliance Database'!$F$2:$F$265,MATCH(209,Engine!$C$2:$C$265,0)))</f>
        <v>Other</v>
      </c>
      <c r="G222" t="str">
        <f>IF(ISNA(MATCH(209,Engine!$C$2:$C$265,0)),"",INDEX('Compliance Database'!$G$2:$G$265,MATCH(209,Engine!$C$2:$C$265,0)))</f>
        <v>None</v>
      </c>
      <c r="H222" t="str">
        <f>IF(ISNA(MATCH(209,Engine!$C$2:$C$265,0)),"",INDEX('Compliance Database'!$H$2:$H$265,MATCH(209,Engine!$C$2:$C$265,0)))</f>
        <v>High (explicit)</v>
      </c>
      <c r="I222" s="6">
        <f>IF(ISNA(MATCH(209,Engine!$C$2:$C$265,0)),"",INDEX('Compliance Database'!$I$2:$I$265,MATCH(209,Engine!$C$2:$C$265,0)))</f>
        <v>0</v>
      </c>
      <c r="J222" s="6" t="str">
        <f>IF(ISNA(MATCH(209,Engine!$C$2:$C$265,0)),"",INDEX('Compliance Database'!$J$2:$J$265,MATCH(209,Engine!$C$2:$C$265,0)))</f>
        <v>Personal Information</v>
      </c>
      <c r="K222">
        <f>IF(ISNA(MATCH(209,Engine!$C$2:$C$265,0)),"",INDEX('Compliance Database'!$K$2:$K$265,MATCH(209,Engine!$C$2:$C$265,0)))</f>
        <v>0</v>
      </c>
      <c r="L222" s="6" t="str">
        <f>IF(ISNA(MATCH(209,Engine!$C$2:$C$265,0)),"",INDEX('Compliance Database'!$L$2:$L$265,MATCH(209,Engine!$C$2:$C$265,0)))</f>
        <v>Information processing that must be audited.</v>
      </c>
      <c r="M222" s="6" t="str">
        <f>IF(ISNA(MATCH(209,Engine!$C$2:$C$265,0)),"",INDEX('Compliance Database'!$M$2:$M$265,MATCH(209,Engine!$C$2:$C$265,0)))</f>
        <v>Information processing that must be audited.</v>
      </c>
      <c r="N222" s="6" t="str">
        <f>IF(ISNA(MATCH(209,Engine!$C$2:$C$265,0)),"",INDEX('Compliance Database'!$N$2:$N$265,MATCH(209,Engine!$C$2:$C$265,0)))</f>
        <v>[Must] Specify information processing that must be audited.</v>
      </c>
      <c r="O222" s="6" t="str">
        <f>IF(ISNA(MATCH(209,Engine!$C$2:$C$265,0)),"",INDEX('Compliance Database'!$O$2:$O$265,MATCH(209,Engine!$C$2:$C$265,0)))</f>
        <v>2. INLIGTINGSVERWERKING WAT GEOUDITEER MOET WORD</v>
      </c>
    </row>
    <row r="223" spans="1:15" ht="144" x14ac:dyDescent="0.3">
      <c r="A223" t="str">
        <f>IF(ISNA(MATCH(210,Engine!$C$2:$C$265,0)),"",INDEX('Compliance Database'!$A$2:$A$265,MATCH(210,Engine!$C$2:$C$265,0)))</f>
        <v>South Africa</v>
      </c>
      <c r="B223" t="str">
        <f>IF(ISNA(MATCH(210,Engine!$C$2:$C$265,0)),"",INDEX('Compliance Database'!$B$2:$B$265,MATCH(210,Engine!$C$2:$C$265,0)))</f>
        <v>POPIA_Regulations_-_Dec_2018</v>
      </c>
      <c r="C223" t="str">
        <f>IF(ISNA(MATCH(210,Engine!$C$2:$C$265,0)),"",INDEX('Compliance Database'!$C$2:$C$265,MATCH(210,Engine!$C$2:$C$265,0)))</f>
        <v>3</v>
      </c>
      <c r="D223" s="6" t="str">
        <f>IF(ISNA(MATCH(210,Engine!$C$2:$C$265,0)),"",INDEX('Compliance Database'!$D$2:$D$265,MATCH(210,Engine!$C$2:$C$265,0)))</f>
        <v>(1) A data subject who wishes to request a correction or deletion of personal</v>
      </c>
      <c r="E223" t="str">
        <f>IF(ISNA(MATCH(210,Engine!$C$2:$C$265,0)),"",INDEX('Compliance Database'!$E$2:$E$265,MATCH(210,Engine!$C$2:$C$265,0)))</f>
        <v>2–3</v>
      </c>
      <c r="F223" t="str">
        <f>IF(ISNA(MATCH(210,Engine!$C$2:$C$265,0)),"",INDEX('Compliance Database'!$F$2:$F$265,MATCH(210,Engine!$C$2:$C$265,0)))</f>
        <v>Data Subject Rights</v>
      </c>
      <c r="G223" t="str">
        <f>IF(ISNA(MATCH(210,Engine!$C$2:$C$265,0)),"",INDEX('Compliance Database'!$G$2:$G$265,MATCH(210,Engine!$C$2:$C$265,0)))</f>
        <v>None</v>
      </c>
      <c r="H223" t="str">
        <f>IF(ISNA(MATCH(210,Engine!$C$2:$C$265,0)),"",INDEX('Compliance Database'!$H$2:$H$265,MATCH(210,Engine!$C$2:$C$265,0)))</f>
        <v>High (explicit)</v>
      </c>
      <c r="I223" s="6">
        <f>IF(ISNA(MATCH(210,Engine!$C$2:$C$265,0)),"",INDEX('Compliance Database'!$I$2:$I$265,MATCH(210,Engine!$C$2:$C$265,0)))</f>
        <v>0</v>
      </c>
      <c r="J223" s="6" t="str">
        <f>IF(ISNA(MATCH(210,Engine!$C$2:$C$265,0)),"",INDEX('Compliance Database'!$J$2:$J$265,MATCH(210,Engine!$C$2:$C$265,0)))</f>
        <v>Personal Information</v>
      </c>
      <c r="K223">
        <f>IF(ISNA(MATCH(210,Engine!$C$2:$C$265,0)),"",INDEX('Compliance Database'!$K$2:$K$265,MATCH(210,Engine!$C$2:$C$265,0)))</f>
        <v>0</v>
      </c>
      <c r="L223" s="6" t="str">
        <f>IF(ISNA(MATCH(210,Engine!$C$2:$C$265,0)),"",INDEX('Compliance Database'!$L$2:$L$265,MATCH(210,Engine!$C$2:$C$265,0)))</f>
        <v>Data subjects must submit requests for correction or deletion of personal information on Form 2 to responsible parties for lawful processing under section 24(1) of the Act.</v>
      </c>
      <c r="M223" s="6" t="str">
        <f>IF(ISNA(MATCH(210,Engine!$C$2:$C$265,0)),"",INDEX('Compliance Database'!$M$2:$M$265,MATCH(210,Engine!$C$2:$C$265,0)))</f>
        <v>Data subjects can request correction/deletion via Form 2; responsible parties must provide reasonable assistance free of charge.</v>
      </c>
      <c r="N223" s="6" t="str">
        <f>IF(ISNA(MATCH(210,Engine!$C$2:$C$265,0)),"",INDEX('Compliance Database'!$N$2:$N$265,MATCH(210,Engine!$C$2:$C$265,0)))</f>
        <v>[Must] A data subject who wishes to request a correction or deletion of personal information or the destruction or deletion of a record of personal information in terms of section 24(1) of the Act, must submit a request to the responsible party on Form 2
[Must] The responsible party, or a designated person, must render such reasonable assistance, as is necessary free of charge, to enable a data subject to complete Form 2</v>
      </c>
      <c r="O223" s="6" t="str">
        <f>IF(ISNA(MATCH(210,Engine!$C$2:$C$265,0)),"",INDEX('Compliance Database'!$O$2:$O$265,MATCH(210,Engine!$C$2:$C$265,0)))</f>
        <v>(1) A data subject who wishes to request a correction or deletion of personal information or the destruction or deletion of a record of personal information in terms of section 24(1) of the Act, must submit a request to the responsible party on Form 2. (2) The responsible party, or a designated person, must render such reasonable assistance, as is necessary free of charge, to enable a data subject to complete Form 2.</v>
      </c>
    </row>
    <row r="224" spans="1:15" ht="144" x14ac:dyDescent="0.3">
      <c r="A224" t="str">
        <f>IF(ISNA(MATCH(211,Engine!$C$2:$C$265,0)),"",INDEX('Compliance Database'!$A$2:$A$265,MATCH(211,Engine!$C$2:$C$265,0)))</f>
        <v>South Africa</v>
      </c>
      <c r="B224" t="str">
        <f>IF(ISNA(MATCH(211,Engine!$C$2:$C$265,0)),"",INDEX('Compliance Database'!$B$2:$B$265,MATCH(211,Engine!$C$2:$C$265,0)))</f>
        <v>POPIA_Regulations_-_Dec_2018</v>
      </c>
      <c r="C224" t="str">
        <f>IF(ISNA(MATCH(211,Engine!$C$2:$C$265,0)),"",INDEX('Compliance Database'!$C$2:$C$265,MATCH(211,Engine!$C$2:$C$265,0)))</f>
        <v>3</v>
      </c>
      <c r="D224" s="6" t="str">
        <f>IF(ISNA(MATCH(211,Engine!$C$2:$C$265,0)),"",INDEX('Compliance Database'!$D$2:$D$265,MATCH(211,Engine!$C$2:$C$265,0)))</f>
        <v>Complete as is applicable.</v>
      </c>
      <c r="E224" t="str">
        <f>IF(ISNA(MATCH(211,Engine!$C$2:$C$265,0)),"",INDEX('Compliance Database'!$E$2:$E$265,MATCH(211,Engine!$C$2:$C$265,0)))</f>
        <v>9–11</v>
      </c>
      <c r="F224" t="str">
        <f>IF(ISNA(MATCH(211,Engine!$C$2:$C$265,0)),"",INDEX('Compliance Database'!$F$2:$F$265,MATCH(211,Engine!$C$2:$C$265,0)))</f>
        <v>Data Subject Rights</v>
      </c>
      <c r="G224" t="str">
        <f>IF(ISNA(MATCH(211,Engine!$C$2:$C$265,0)),"",INDEX('Compliance Database'!$G$2:$G$265,MATCH(211,Engine!$C$2:$C$265,0)))</f>
        <v>None</v>
      </c>
      <c r="H224" t="str">
        <f>IF(ISNA(MATCH(211,Engine!$C$2:$C$265,0)),"",INDEX('Compliance Database'!$H$2:$H$265,MATCH(211,Engine!$C$2:$C$265,0)))</f>
        <v>High (explicit)</v>
      </c>
      <c r="I224" s="6">
        <f>IF(ISNA(MATCH(211,Engine!$C$2:$C$265,0)),"",INDEX('Compliance Database'!$I$2:$I$265,MATCH(211,Engine!$C$2:$C$265,0)))</f>
        <v>0</v>
      </c>
      <c r="J224" s="6" t="str">
        <f>IF(ISNA(MATCH(211,Engine!$C$2:$C$265,0)),"",INDEX('Compliance Database'!$J$2:$J$265,MATCH(211,Engine!$C$2:$C$265,0)))</f>
        <v>Personal Information</v>
      </c>
      <c r="K224">
        <f>IF(ISNA(MATCH(211,Engine!$C$2:$C$265,0)),"",INDEX('Compliance Database'!$K$2:$K$265,MATCH(211,Engine!$C$2:$C$265,0)))</f>
        <v>0</v>
      </c>
      <c r="L224" s="6" t="str">
        <f>IF(ISNA(MATCH(211,Engine!$C$2:$C$265,0)),"",INDEX('Compliance Database'!$L$2:$L$265,MATCH(211,Engine!$C$2:$C$265,0)))</f>
        <v>Data subjects must submit requests for correction or deletion of personal information on Form 2 to responsible parties for lawful processing under section 24(1) of the Act.</v>
      </c>
      <c r="M224" s="6" t="str">
        <f>IF(ISNA(MATCH(211,Engine!$C$2:$C$265,0)),"",INDEX('Compliance Database'!$M$2:$M$265,MATCH(211,Engine!$C$2:$C$265,0)))</f>
        <v>Data subjects can request correction/deletion via Form 2; responsible parties must provide reasonable assistance free of charge.</v>
      </c>
      <c r="N224" s="6" t="str">
        <f>IF(ISNA(MATCH(211,Engine!$C$2:$C$265,0)),"",INDEX('Compliance Database'!$N$2:$N$265,MATCH(211,Engine!$C$2:$C$265,0)))</f>
        <v>[Must] A data subject who wishes to request a correction or deletion of personal information or the destruction or deletion of a record of personal information in terms of section 24(1) of the Act, must submit a request to the responsible party on Form 2
[Must] The responsible party, or a designated person, must render such reasonable assistance, as is necessary free of charge, to enable a data subject to complete Form 2</v>
      </c>
      <c r="O224" s="6" t="str">
        <f>IF(ISNA(MATCH(211,Engine!$C$2:$C$265,0)),"",INDEX('Compliance Database'!$O$2:$O$265,MATCH(211,Engine!$C$2:$C$265,0)))</f>
        <v>(1) A data subject who wishes to request a correction or deletion of personal information or the destruction or deletion of a record of personal information in terms of section 24(1) of the Act, must submit a request to the responsible party on Form 2. (2) The responsible party, or a designated person, must render such reasonable assistance, as is necessary free of charge, to enable a data subject to complete Form 2.</v>
      </c>
    </row>
    <row r="225" spans="1:15" ht="43.2" x14ac:dyDescent="0.3">
      <c r="A225" t="str">
        <f>IF(ISNA(MATCH(212,Engine!$C$2:$C$265,0)),"",INDEX('Compliance Database'!$A$2:$A$265,MATCH(212,Engine!$C$2:$C$265,0)))</f>
        <v>South Africa</v>
      </c>
      <c r="B225" t="str">
        <f>IF(ISNA(MATCH(212,Engine!$C$2:$C$265,0)),"",INDEX('Compliance Database'!$B$2:$B$265,MATCH(212,Engine!$C$2:$C$265,0)))</f>
        <v>POPIA_Regulations_-_Dec_2018</v>
      </c>
      <c r="C225" t="str">
        <f>IF(ISNA(MATCH(212,Engine!$C$2:$C$265,0)),"",INDEX('Compliance Database'!$C$2:$C$265,MATCH(212,Engine!$C$2:$C$265,0)))</f>
        <v>3</v>
      </c>
      <c r="D225" s="6" t="str">
        <f>IF(ISNA(MATCH(212,Engine!$C$2:$C$265,0)),"",INDEX('Compliance Database'!$D$2:$D$265,MATCH(212,Engine!$C$2:$C$265,0)))</f>
        <v>Complete as is applicable.</v>
      </c>
      <c r="E225" t="str">
        <f>IF(ISNA(MATCH(212,Engine!$C$2:$C$265,0)),"",INDEX('Compliance Database'!$E$2:$E$265,MATCH(212,Engine!$C$2:$C$265,0)))</f>
        <v>11–17</v>
      </c>
      <c r="F225" t="str">
        <f>IF(ISNA(MATCH(212,Engine!$C$2:$C$265,0)),"",INDEX('Compliance Database'!$F$2:$F$265,MATCH(212,Engine!$C$2:$C$265,0)))</f>
        <v>Data Subject Rights</v>
      </c>
      <c r="G225" t="str">
        <f>IF(ISNA(MATCH(212,Engine!$C$2:$C$265,0)),"",INDEX('Compliance Database'!$G$2:$G$265,MATCH(212,Engine!$C$2:$C$265,0)))</f>
        <v>Low</v>
      </c>
      <c r="H225" t="str">
        <f>IF(ISNA(MATCH(212,Engine!$C$2:$C$265,0)),"",INDEX('Compliance Database'!$H$2:$H$265,MATCH(212,Engine!$C$2:$C$265,0)))</f>
        <v>High (explicit)</v>
      </c>
      <c r="I225" s="6">
        <f>IF(ISNA(MATCH(212,Engine!$C$2:$C$265,0)),"",INDEX('Compliance Database'!$I$2:$I$265,MATCH(212,Engine!$C$2:$C$265,0)))</f>
        <v>0</v>
      </c>
      <c r="J225" s="6" t="str">
        <f>IF(ISNA(MATCH(212,Engine!$C$2:$C$265,0)),"",INDEX('Compliance Database'!$J$2:$J$265,MATCH(212,Engine!$C$2:$C$265,0)))</f>
        <v>Personal Information</v>
      </c>
      <c r="K225">
        <f>IF(ISNA(MATCH(212,Engine!$C$2:$C$265,0)),"",INDEX('Compliance Database'!$K$2:$K$265,MATCH(212,Engine!$C$2:$C$265,0)))</f>
        <v>0</v>
      </c>
      <c r="L225" s="6" t="str">
        <f>IF(ISNA(MATCH(212,Engine!$C$2:$C$265,0)),"",INDEX('Compliance Database'!$L$2:$L$265,MATCH(212,Engine!$C$2:$C$265,0)))</f>
        <v>Provides form for requests to assess compliance with personal information processing.</v>
      </c>
      <c r="M225" s="6" t="str">
        <f>IF(ISNA(MATCH(212,Engine!$C$2:$C$265,0)),"",INDEX('Compliance Database'!$M$2:$M$265,MATCH(212,Engine!$C$2:$C$265,0)))</f>
        <v>Allows entities to request assessments of compliance with personal information processing activities.</v>
      </c>
      <c r="N225" s="6" t="str">
        <f>IF(ISNA(MATCH(212,Engine!$C$2:$C$265,0)),"",INDEX('Compliance Database'!$N$2:$N$265,MATCH(212,Engine!$C$2:$C$265,0)))</f>
        <v>[Must] Provide details of requester, responsible party, and information processing to be assessed</v>
      </c>
      <c r="O225" s="6" t="str">
        <f>IF(ISNA(MATCH(212,Engine!$C$2:$C$265,0)),"",INDEX('Compliance Database'!$O$2:$O$265,MATCH(212,Engine!$C$2:$C$265,0)))</f>
        <v>REQUEST FOR AN ASSESSMENT SECTION 89(1) OF THE PROTECTION OF PERSONAL INFORMATION ACT 4 OF 2013</v>
      </c>
    </row>
    <row r="226" spans="1:15" ht="43.2" x14ac:dyDescent="0.3">
      <c r="A226" t="str">
        <f>IF(ISNA(MATCH(213,Engine!$C$2:$C$265,0)),"",INDEX('Compliance Database'!$A$2:$A$265,MATCH(213,Engine!$C$2:$C$265,0)))</f>
        <v>South Africa</v>
      </c>
      <c r="B226" t="str">
        <f>IF(ISNA(MATCH(213,Engine!$C$2:$C$265,0)),"",INDEX('Compliance Database'!$B$2:$B$265,MATCH(213,Engine!$C$2:$C$265,0)))</f>
        <v>POPIA_Regulations_-_Dec_2018</v>
      </c>
      <c r="C226" t="str">
        <f>IF(ISNA(MATCH(213,Engine!$C$2:$C$265,0)),"",INDEX('Compliance Database'!$C$2:$C$265,MATCH(213,Engine!$C$2:$C$265,0)))</f>
        <v>3</v>
      </c>
      <c r="D226" s="6" t="str">
        <f>IF(ISNA(MATCH(213,Engine!$C$2:$C$265,0)),"",INDEX('Compliance Database'!$D$2:$D$265,MATCH(213,Engine!$C$2:$C$265,0)))</f>
        <v>Complete as is applicable.</v>
      </c>
      <c r="E226" t="str">
        <f>IF(ISNA(MATCH(213,Engine!$C$2:$C$265,0)),"",INDEX('Compliance Database'!$E$2:$E$265,MATCH(213,Engine!$C$2:$C$265,0)))</f>
        <v>17–29</v>
      </c>
      <c r="F226" t="str">
        <f>IF(ISNA(MATCH(213,Engine!$C$2:$C$265,0)),"",INDEX('Compliance Database'!$F$2:$F$265,MATCH(213,Engine!$C$2:$C$265,0)))</f>
        <v>Data Subject Rights</v>
      </c>
      <c r="G226" t="str">
        <f>IF(ISNA(MATCH(213,Engine!$C$2:$C$265,0)),"",INDEX('Compliance Database'!$G$2:$G$265,MATCH(213,Engine!$C$2:$C$265,0)))</f>
        <v>Low</v>
      </c>
      <c r="H226" t="str">
        <f>IF(ISNA(MATCH(213,Engine!$C$2:$C$265,0)),"",INDEX('Compliance Database'!$H$2:$H$265,MATCH(213,Engine!$C$2:$C$265,0)))</f>
        <v>High (explicit)</v>
      </c>
      <c r="I226" s="6">
        <f>IF(ISNA(MATCH(213,Engine!$C$2:$C$265,0)),"",INDEX('Compliance Database'!$I$2:$I$265,MATCH(213,Engine!$C$2:$C$265,0)))</f>
        <v>0</v>
      </c>
      <c r="J226" s="6" t="str">
        <f>IF(ISNA(MATCH(213,Engine!$C$2:$C$265,0)),"",INDEX('Compliance Database'!$J$2:$J$265,MATCH(213,Engine!$C$2:$C$265,0)))</f>
        <v>Personal Information</v>
      </c>
      <c r="K226">
        <f>IF(ISNA(MATCH(213,Engine!$C$2:$C$265,0)),"",INDEX('Compliance Database'!$K$2:$K$265,MATCH(213,Engine!$C$2:$C$265,0)))</f>
        <v>0</v>
      </c>
      <c r="L226" s="6" t="str">
        <f>IF(ISNA(MATCH(213,Engine!$C$2:$C$265,0)),"",INDEX('Compliance Database'!$L$2:$L$265,MATCH(213,Engine!$C$2:$C$265,0)))</f>
        <v>Provides form for requests to assess compliance with personal information processing.</v>
      </c>
      <c r="M226" s="6" t="str">
        <f>IF(ISNA(MATCH(213,Engine!$C$2:$C$265,0)),"",INDEX('Compliance Database'!$M$2:$M$265,MATCH(213,Engine!$C$2:$C$265,0)))</f>
        <v>Allows entities to request assessments of compliance with personal information processing activities.</v>
      </c>
      <c r="N226" s="6" t="str">
        <f>IF(ISNA(MATCH(213,Engine!$C$2:$C$265,0)),"",INDEX('Compliance Database'!$N$2:$N$265,MATCH(213,Engine!$C$2:$C$265,0)))</f>
        <v>[Must] Provide details of requester, responsible party, and information processing to be assessed</v>
      </c>
      <c r="O226" s="6" t="str">
        <f>IF(ISNA(MATCH(213,Engine!$C$2:$C$265,0)),"",INDEX('Compliance Database'!$O$2:$O$265,MATCH(213,Engine!$C$2:$C$265,0)))</f>
        <v>REQUEST FOR AN ASSESSMENT SECTION 89(1) OF THE PROTECTION OF PERSONAL INFORMATION ACT 4 OF 2013</v>
      </c>
    </row>
    <row r="227" spans="1:15" ht="43.2" x14ac:dyDescent="0.3">
      <c r="A227" t="str">
        <f>IF(ISNA(MATCH(214,Engine!$C$2:$C$265,0)),"",INDEX('Compliance Database'!$A$2:$A$265,MATCH(214,Engine!$C$2:$C$265,0)))</f>
        <v>South Africa</v>
      </c>
      <c r="B227" t="str">
        <f>IF(ISNA(MATCH(214,Engine!$C$2:$C$265,0)),"",INDEX('Compliance Database'!$B$2:$B$265,MATCH(214,Engine!$C$2:$C$265,0)))</f>
        <v>POPIA_Regulations_-_Dec_2018</v>
      </c>
      <c r="C227" t="str">
        <f>IF(ISNA(MATCH(214,Engine!$C$2:$C$265,0)),"",INDEX('Compliance Database'!$C$2:$C$265,MATCH(214,Engine!$C$2:$C$265,0)))</f>
        <v>3</v>
      </c>
      <c r="D227" s="6" t="str">
        <f>IF(ISNA(MATCH(214,Engine!$C$2:$C$265,0)),"",INDEX('Compliance Database'!$D$2:$D$265,MATCH(214,Engine!$C$2:$C$265,0)))</f>
        <v>PERSONS AFFECTED BY THE RELEVANT INFORMATION PROCESSING PRACTICE/S</v>
      </c>
      <c r="E227" t="str">
        <f>IF(ISNA(MATCH(214,Engine!$C$2:$C$265,0)),"",INDEX('Compliance Database'!$E$2:$E$265,MATCH(214,Engine!$C$2:$C$265,0)))</f>
        <v>29</v>
      </c>
      <c r="F227" t="str">
        <f>IF(ISNA(MATCH(214,Engine!$C$2:$C$265,0)),"",INDEX('Compliance Database'!$F$2:$F$265,MATCH(214,Engine!$C$2:$C$265,0)))</f>
        <v>Data Subject Rights</v>
      </c>
      <c r="G227" t="str">
        <f>IF(ISNA(MATCH(214,Engine!$C$2:$C$265,0)),"",INDEX('Compliance Database'!$G$2:$G$265,MATCH(214,Engine!$C$2:$C$265,0)))</f>
        <v>Low</v>
      </c>
      <c r="H227" t="str">
        <f>IF(ISNA(MATCH(214,Engine!$C$2:$C$265,0)),"",INDEX('Compliance Database'!$H$2:$H$265,MATCH(214,Engine!$C$2:$C$265,0)))</f>
        <v>High (explicit)</v>
      </c>
      <c r="I227" s="6">
        <f>IF(ISNA(MATCH(214,Engine!$C$2:$C$265,0)),"",INDEX('Compliance Database'!$I$2:$I$265,MATCH(214,Engine!$C$2:$C$265,0)))</f>
        <v>0</v>
      </c>
      <c r="J227" s="6" t="str">
        <f>IF(ISNA(MATCH(214,Engine!$C$2:$C$265,0)),"",INDEX('Compliance Database'!$J$2:$J$265,MATCH(214,Engine!$C$2:$C$265,0)))</f>
        <v>Personal Information</v>
      </c>
      <c r="K227">
        <f>IF(ISNA(MATCH(214,Engine!$C$2:$C$265,0)),"",INDEX('Compliance Database'!$K$2:$K$265,MATCH(214,Engine!$C$2:$C$265,0)))</f>
        <v>0</v>
      </c>
      <c r="L227" s="6" t="str">
        <f>IF(ISNA(MATCH(214,Engine!$C$2:$C$265,0)),"",INDEX('Compliance Database'!$L$2:$L$265,MATCH(214,Engine!$C$2:$C$265,0)))</f>
        <v>Provides form for requests to assess compliance with personal information processing.</v>
      </c>
      <c r="M227" s="6" t="str">
        <f>IF(ISNA(MATCH(214,Engine!$C$2:$C$265,0)),"",INDEX('Compliance Database'!$M$2:$M$265,MATCH(214,Engine!$C$2:$C$265,0)))</f>
        <v>Allows entities to request assessments of compliance with personal information processing activities.</v>
      </c>
      <c r="N227" s="6" t="str">
        <f>IF(ISNA(MATCH(214,Engine!$C$2:$C$265,0)),"",INDEX('Compliance Database'!$N$2:$N$265,MATCH(214,Engine!$C$2:$C$265,0)))</f>
        <v>[Must] Provide details of requester, responsible party, and information processing to be assessed</v>
      </c>
      <c r="O227" s="6" t="str">
        <f>IF(ISNA(MATCH(214,Engine!$C$2:$C$265,0)),"",INDEX('Compliance Database'!$O$2:$O$265,MATCH(214,Engine!$C$2:$C$265,0)))</f>
        <v>REQUEST FOR AN ASSESSMENT SECTION 89(1) OF THE PROTECTION OF PERSONAL INFORMATION ACT 4 OF 2013</v>
      </c>
    </row>
    <row r="228" spans="1:15" ht="28.8" x14ac:dyDescent="0.3">
      <c r="A228" t="str">
        <f>IF(ISNA(MATCH(215,Engine!$C$2:$C$265,0)),"",INDEX('Compliance Database'!$A$2:$A$265,MATCH(215,Engine!$C$2:$C$265,0)))</f>
        <v>South Africa</v>
      </c>
      <c r="B228" t="str">
        <f>IF(ISNA(MATCH(215,Engine!$C$2:$C$265,0)),"",INDEX('Compliance Database'!$B$2:$B$265,MATCH(215,Engine!$C$2:$C$265,0)))</f>
        <v>POPIA_Regulations_-_Dec_2018</v>
      </c>
      <c r="C228" t="str">
        <f>IF(ISNA(MATCH(215,Engine!$C$2:$C$265,0)),"",INDEX('Compliance Database'!$C$2:$C$265,MATCH(215,Engine!$C$2:$C$265,0)))</f>
        <v>3</v>
      </c>
      <c r="D228" s="6" t="str">
        <f>IF(ISNA(MATCH(215,Engine!$C$2:$C$265,0)),"",INDEX('Compliance Database'!$D$2:$D$265,MATCH(215,Engine!$C$2:$C$265,0)))</f>
        <v>PERSONS AFFECTED BY THE RELEVANT INFORMATION PROCESSING PRACTICE/S</v>
      </c>
      <c r="E228" t="str">
        <f>IF(ISNA(MATCH(215,Engine!$C$2:$C$265,0)),"",INDEX('Compliance Database'!$E$2:$E$265,MATCH(215,Engine!$C$2:$C$265,0)))</f>
        <v>31</v>
      </c>
      <c r="F228" t="str">
        <f>IF(ISNA(MATCH(215,Engine!$C$2:$C$265,0)),"",INDEX('Compliance Database'!$F$2:$F$265,MATCH(215,Engine!$C$2:$C$265,0)))</f>
        <v>Other</v>
      </c>
      <c r="G228" t="str">
        <f>IF(ISNA(MATCH(215,Engine!$C$2:$C$265,0)),"",INDEX('Compliance Database'!$G$2:$G$265,MATCH(215,Engine!$C$2:$C$265,0)))</f>
        <v>Low</v>
      </c>
      <c r="H228" t="str">
        <f>IF(ISNA(MATCH(215,Engine!$C$2:$C$265,0)),"",INDEX('Compliance Database'!$H$2:$H$265,MATCH(215,Engine!$C$2:$C$265,0)))</f>
        <v>High (explicit)</v>
      </c>
      <c r="I228" s="6">
        <f>IF(ISNA(MATCH(215,Engine!$C$2:$C$265,0)),"",INDEX('Compliance Database'!$I$2:$I$265,MATCH(215,Engine!$C$2:$C$265,0)))</f>
        <v>0</v>
      </c>
      <c r="J228" s="6">
        <f>IF(ISNA(MATCH(215,Engine!$C$2:$C$265,0)),"",INDEX('Compliance Database'!$J$2:$J$265,MATCH(215,Engine!$C$2:$C$265,0)))</f>
        <v>0</v>
      </c>
      <c r="K228">
        <f>IF(ISNA(MATCH(215,Engine!$C$2:$C$265,0)),"",INDEX('Compliance Database'!$K$2:$K$265,MATCH(215,Engine!$C$2:$C$265,0)))</f>
        <v>0</v>
      </c>
      <c r="L228" s="6" t="str">
        <f>IF(ISNA(MATCH(215,Engine!$C$2:$C$265,0)),"",INDEX('Compliance Database'!$L$2:$L$265,MATCH(215,Engine!$C$2:$C$265,0)))</f>
        <v>Persons affected by relevant information processing practice/s are specified.</v>
      </c>
      <c r="M228" s="6" t="str">
        <f>IF(ISNA(MATCH(215,Engine!$C$2:$C$265,0)),"",INDEX('Compliance Database'!$M$2:$M$265,MATCH(215,Engine!$C$2:$C$265,0)))</f>
        <v>Persons affected by relevant information processing practice/s are specified for compliance with POPIA.</v>
      </c>
      <c r="N228" s="6" t="str">
        <f>IF(ISNA(MATCH(215,Engine!$C$2:$C$265,0)),"",INDEX('Compliance Database'!$N$2:$N$265,MATCH(215,Engine!$C$2:$C$265,0)))</f>
        <v>[Must] Persons affected by relevant information processing practice/s are specified</v>
      </c>
      <c r="O228" s="6" t="str">
        <f>IF(ISNA(MATCH(215,Engine!$C$2:$C$265,0)),"",INDEX('Compliance Database'!$O$2:$O$265,MATCH(215,Engine!$C$2:$C$265,0)))</f>
        <v>3. PERSONS AFFECTED BY THE RELEVANT INFORMATION PROCESSING PRACTICE/S</v>
      </c>
    </row>
    <row r="229" spans="1:15" ht="115.2" x14ac:dyDescent="0.3">
      <c r="A229" t="str">
        <f>IF(ISNA(MATCH(216,Engine!$C$2:$C$265,0)),"",INDEX('Compliance Database'!$A$2:$A$265,MATCH(216,Engine!$C$2:$C$265,0)))</f>
        <v>South Africa</v>
      </c>
      <c r="B229" t="str">
        <f>IF(ISNA(MATCH(216,Engine!$C$2:$C$265,0)),"",INDEX('Compliance Database'!$B$2:$B$265,MATCH(216,Engine!$C$2:$C$265,0)))</f>
        <v>POPIA_Regulations_-_Dec_2018</v>
      </c>
      <c r="C229" t="str">
        <f>IF(ISNA(MATCH(216,Engine!$C$2:$C$265,0)),"",INDEX('Compliance Database'!$C$2:$C$265,MATCH(216,Engine!$C$2:$C$265,0)))</f>
        <v>3</v>
      </c>
      <c r="D229" s="6" t="str">
        <f>IF(ISNA(MATCH(216,Engine!$C$2:$C$265,0)),"",INDEX('Compliance Database'!$D$2:$D$265,MATCH(216,Engine!$C$2:$C$265,0)))</f>
        <v>(1)</v>
      </c>
      <c r="E229" t="str">
        <f>IF(ISNA(MATCH(216,Engine!$C$2:$C$265,0)),"",INDEX('Compliance Database'!$E$2:$E$265,MATCH(216,Engine!$C$2:$C$265,0)))</f>
        <v>46–47</v>
      </c>
      <c r="F229" t="str">
        <f>IF(ISNA(MATCH(216,Engine!$C$2:$C$265,0)),"",INDEX('Compliance Database'!$F$2:$F$265,MATCH(216,Engine!$C$2:$C$265,0)))</f>
        <v>Data Subject Rights</v>
      </c>
      <c r="G229" t="str">
        <f>IF(ISNA(MATCH(216,Engine!$C$2:$C$265,0)),"",INDEX('Compliance Database'!$G$2:$G$265,MATCH(216,Engine!$C$2:$C$265,0)))</f>
        <v>Low</v>
      </c>
      <c r="H229" t="str">
        <f>IF(ISNA(MATCH(216,Engine!$C$2:$C$265,0)),"",INDEX('Compliance Database'!$H$2:$H$265,MATCH(216,Engine!$C$2:$C$265,0)))</f>
        <v>High (explicit)</v>
      </c>
      <c r="I229" s="6">
        <f>IF(ISNA(MATCH(216,Engine!$C$2:$C$265,0)),"",INDEX('Compliance Database'!$I$2:$I$265,MATCH(216,Engine!$C$2:$C$265,0)))</f>
        <v>0</v>
      </c>
      <c r="J229" s="6" t="str">
        <f>IF(ISNA(MATCH(216,Engine!$C$2:$C$265,0)),"",INDEX('Compliance Database'!$J$2:$J$265,MATCH(216,Engine!$C$2:$C$265,0)))</f>
        <v>Personal Information</v>
      </c>
      <c r="K229" t="str">
        <f>IF(ISNA(MATCH(216,Engine!$C$2:$C$265,0)),"",INDEX('Compliance Database'!$K$2:$K$265,MATCH(216,Engine!$C$2:$C$265,0)))</f>
        <v>Responsible party</v>
      </c>
      <c r="L229" s="6" t="str">
        <f>IF(ISNA(MATCH(216,Engine!$C$2:$C$265,0)),"",INDEX('Compliance Database'!$L$2:$L$265,MATCH(216,Engine!$C$2:$C$265,0)))</f>
        <v>Data subjects must submit a request form to the responsible party for correction or deletion of personal information under Article 24(1) of the Act.</v>
      </c>
      <c r="M229" s="6" t="str">
        <f>IF(ISNA(MATCH(216,Engine!$C$2:$C$265,0)),"",INDEX('Compliance Database'!$M$2:$M$265,MATCH(216,Engine!$C$2:$C$265,0)))</f>
        <v>Data subjects can request correction or deletion of personal information via Form 2; responsible parties must provide reasonable assistance at no cost.</v>
      </c>
      <c r="N229" s="6" t="str">
        <f>IF(ISNA(MATCH(216,Engine!$C$2:$C$265,0)),"",INDEX('Compliance Database'!$N$2:$N$265,MATCH(216,Engine!$C$2:$C$265,0)))</f>
        <v>[Must] Data subject must submit Form 2 to responsible party for correction or deletion of personal information under Article 24(1) of the Act
[Must] Responsible party must provide reasonable assistance at no cost for data subject to complete Form 2</v>
      </c>
      <c r="O229" s="6" t="str">
        <f>IF(ISNA(MATCH(216,Engine!$C$2:$C$265,0)),"",INDEX('Compliance Database'!$O$2:$O$265,MATCH(216,Engine!$C$2:$C$265,0)))</f>
        <v>„n Datasubjek wat ‟n regstelling of skrapping van persoonlike inligting of die vernietiging of skrapping van ‟n rekord van persoonlike inligting ingevolge artikel 24(1) van die Wet wil aansoek doen, moet ‟n versoek op Vorm 2 aan die verantwoordelike party voorlê. Die verantwoordelike party, of ‟n aangewese persoon, moet waar nodig redelike bystand lewer, gratis, sodat ‟n datasubjek Vorm 2 kan invul.</v>
      </c>
    </row>
    <row r="230" spans="1:15" ht="115.2" x14ac:dyDescent="0.3">
      <c r="A230" t="str">
        <f>IF(ISNA(MATCH(217,Engine!$C$2:$C$265,0)),"",INDEX('Compliance Database'!$A$2:$A$265,MATCH(217,Engine!$C$2:$C$265,0)))</f>
        <v>South Africa</v>
      </c>
      <c r="B230" t="str">
        <f>IF(ISNA(MATCH(217,Engine!$C$2:$C$265,0)),"",INDEX('Compliance Database'!$B$2:$B$265,MATCH(217,Engine!$C$2:$C$265,0)))</f>
        <v>POPIA_Regulations_-_Dec_2018</v>
      </c>
      <c r="C230" t="str">
        <f>IF(ISNA(MATCH(217,Engine!$C$2:$C$265,0)),"",INDEX('Compliance Database'!$C$2:$C$265,MATCH(217,Engine!$C$2:$C$265,0)))</f>
        <v>3</v>
      </c>
      <c r="D230" s="6" t="str">
        <f>IF(ISNA(MATCH(217,Engine!$C$2:$C$265,0)),"",INDEX('Compliance Database'!$D$2:$D$265,MATCH(217,Engine!$C$2:$C$265,0)))</f>
        <v>Vul in waar van toepassing.</v>
      </c>
      <c r="E230" t="str">
        <f>IF(ISNA(MATCH(217,Engine!$C$2:$C$265,0)),"",INDEX('Compliance Database'!$E$2:$E$265,MATCH(217,Engine!$C$2:$C$265,0)))</f>
        <v>53–55</v>
      </c>
      <c r="F230" t="str">
        <f>IF(ISNA(MATCH(217,Engine!$C$2:$C$265,0)),"",INDEX('Compliance Database'!$F$2:$F$265,MATCH(217,Engine!$C$2:$C$265,0)))</f>
        <v>Data Subject Rights</v>
      </c>
      <c r="G230" t="str">
        <f>IF(ISNA(MATCH(217,Engine!$C$2:$C$265,0)),"",INDEX('Compliance Database'!$G$2:$G$265,MATCH(217,Engine!$C$2:$C$265,0)))</f>
        <v>Low</v>
      </c>
      <c r="H230" t="str">
        <f>IF(ISNA(MATCH(217,Engine!$C$2:$C$265,0)),"",INDEX('Compliance Database'!$H$2:$H$265,MATCH(217,Engine!$C$2:$C$265,0)))</f>
        <v>High (explicit)</v>
      </c>
      <c r="I230" s="6">
        <f>IF(ISNA(MATCH(217,Engine!$C$2:$C$265,0)),"",INDEX('Compliance Database'!$I$2:$I$265,MATCH(217,Engine!$C$2:$C$265,0)))</f>
        <v>0</v>
      </c>
      <c r="J230" s="6" t="str">
        <f>IF(ISNA(MATCH(217,Engine!$C$2:$C$265,0)),"",INDEX('Compliance Database'!$J$2:$J$265,MATCH(217,Engine!$C$2:$C$265,0)))</f>
        <v>Personal Information</v>
      </c>
      <c r="K230" t="str">
        <f>IF(ISNA(MATCH(217,Engine!$C$2:$C$265,0)),"",INDEX('Compliance Database'!$K$2:$K$265,MATCH(217,Engine!$C$2:$C$265,0)))</f>
        <v>Responsible party</v>
      </c>
      <c r="L230" s="6" t="str">
        <f>IF(ISNA(MATCH(217,Engine!$C$2:$C$265,0)),"",INDEX('Compliance Database'!$L$2:$L$265,MATCH(217,Engine!$C$2:$C$265,0)))</f>
        <v>Data subjects must submit a request form to the responsible party for correction or deletion of personal information under Article 24(1) of the Act.</v>
      </c>
      <c r="M230" s="6" t="str">
        <f>IF(ISNA(MATCH(217,Engine!$C$2:$C$265,0)),"",INDEX('Compliance Database'!$M$2:$M$265,MATCH(217,Engine!$C$2:$C$265,0)))</f>
        <v>Data subjects can request correction or deletion of personal information via Form 2; responsible parties must provide reasonable assistance at no cost.</v>
      </c>
      <c r="N230" s="6" t="str">
        <f>IF(ISNA(MATCH(217,Engine!$C$2:$C$265,0)),"",INDEX('Compliance Database'!$N$2:$N$265,MATCH(217,Engine!$C$2:$C$265,0)))</f>
        <v>[Must] Data subject must submit Form 2 to responsible party for correction or deletion of personal information under Article 24(1) of the Act
[Must] Responsible party must provide reasonable assistance at no cost for data subject to complete Form 2</v>
      </c>
      <c r="O230" s="6" t="str">
        <f>IF(ISNA(MATCH(217,Engine!$C$2:$C$265,0)),"",INDEX('Compliance Database'!$O$2:$O$265,MATCH(217,Engine!$C$2:$C$265,0)))</f>
        <v>„n Datasubjek wat ‟n regstelling of skrapping van persoonlike inligting of die vernietiging of skrapping van ‟n rekord van persoonlike inligting ingevolge artikel 24(1) van die Wet wil aansoek doen, moet ‟n versoek op Vorm 2 aan die verantwoordelike party voorlê. Die verantwoordelike party, of ‟n aangewese persoon, moet waar nodig redelike bystand lewer, gratis, sodat ‟n datasubjek Vorm 2 kan invul.</v>
      </c>
    </row>
    <row r="231" spans="1:15" ht="115.2" x14ac:dyDescent="0.3">
      <c r="A231" t="str">
        <f>IF(ISNA(MATCH(218,Engine!$C$2:$C$265,0)),"",INDEX('Compliance Database'!$A$2:$A$265,MATCH(218,Engine!$C$2:$C$265,0)))</f>
        <v>South Africa</v>
      </c>
      <c r="B231" t="str">
        <f>IF(ISNA(MATCH(218,Engine!$C$2:$C$265,0)),"",INDEX('Compliance Database'!$B$2:$B$265,MATCH(218,Engine!$C$2:$C$265,0)))</f>
        <v>POPIA_Regulations_-_Dec_2018</v>
      </c>
      <c r="C231" t="str">
        <f>IF(ISNA(MATCH(218,Engine!$C$2:$C$265,0)),"",INDEX('Compliance Database'!$C$2:$C$265,MATCH(218,Engine!$C$2:$C$265,0)))</f>
        <v>3</v>
      </c>
      <c r="D231" s="6" t="str">
        <f>IF(ISNA(MATCH(218,Engine!$C$2:$C$265,0)),"",INDEX('Compliance Database'!$D$2:$D$265,MATCH(218,Engine!$C$2:$C$265,0)))</f>
        <v>Vul in waar van toepassing.</v>
      </c>
      <c r="E231" t="str">
        <f>IF(ISNA(MATCH(218,Engine!$C$2:$C$265,0)),"",INDEX('Compliance Database'!$E$2:$E$265,MATCH(218,Engine!$C$2:$C$265,0)))</f>
        <v>55–61</v>
      </c>
      <c r="F231" t="str">
        <f>IF(ISNA(MATCH(218,Engine!$C$2:$C$265,0)),"",INDEX('Compliance Database'!$F$2:$F$265,MATCH(218,Engine!$C$2:$C$265,0)))</f>
        <v>Data Subject Rights</v>
      </c>
      <c r="G231" t="str">
        <f>IF(ISNA(MATCH(218,Engine!$C$2:$C$265,0)),"",INDEX('Compliance Database'!$G$2:$G$265,MATCH(218,Engine!$C$2:$C$265,0)))</f>
        <v>Low</v>
      </c>
      <c r="H231" t="str">
        <f>IF(ISNA(MATCH(218,Engine!$C$2:$C$265,0)),"",INDEX('Compliance Database'!$H$2:$H$265,MATCH(218,Engine!$C$2:$C$265,0)))</f>
        <v>High (explicit)</v>
      </c>
      <c r="I231" s="6">
        <f>IF(ISNA(MATCH(218,Engine!$C$2:$C$265,0)),"",INDEX('Compliance Database'!$I$2:$I$265,MATCH(218,Engine!$C$2:$C$265,0)))</f>
        <v>0</v>
      </c>
      <c r="J231" s="6" t="str">
        <f>IF(ISNA(MATCH(218,Engine!$C$2:$C$265,0)),"",INDEX('Compliance Database'!$J$2:$J$265,MATCH(218,Engine!$C$2:$C$265,0)))</f>
        <v>Personal Information</v>
      </c>
      <c r="K231" t="str">
        <f>IF(ISNA(MATCH(218,Engine!$C$2:$C$265,0)),"",INDEX('Compliance Database'!$K$2:$K$265,MATCH(218,Engine!$C$2:$C$265,0)))</f>
        <v>Responsible party</v>
      </c>
      <c r="L231" s="6" t="str">
        <f>IF(ISNA(MATCH(218,Engine!$C$2:$C$265,0)),"",INDEX('Compliance Database'!$L$2:$L$265,MATCH(218,Engine!$C$2:$C$265,0)))</f>
        <v>Data subjects must submit a request form to the responsible party for correction or deletion of personal information under Article 24(1) of the Act.</v>
      </c>
      <c r="M231" s="6" t="str">
        <f>IF(ISNA(MATCH(218,Engine!$C$2:$C$265,0)),"",INDEX('Compliance Database'!$M$2:$M$265,MATCH(218,Engine!$C$2:$C$265,0)))</f>
        <v>Data subjects can request correction or deletion of personal information via Form 2; responsible parties must provide reasonable assistance at no cost.</v>
      </c>
      <c r="N231" s="6" t="str">
        <f>IF(ISNA(MATCH(218,Engine!$C$2:$C$265,0)),"",INDEX('Compliance Database'!$N$2:$N$265,MATCH(218,Engine!$C$2:$C$265,0)))</f>
        <v>[Must] Data subject must submit Form 2 to responsible party for correction or deletion of personal information under Article 24(1) of the Act
[Must] Responsible party must provide reasonable assistance at no cost for data subject to complete Form 2</v>
      </c>
      <c r="O231" s="6" t="str">
        <f>IF(ISNA(MATCH(218,Engine!$C$2:$C$265,0)),"",INDEX('Compliance Database'!$O$2:$O$265,MATCH(218,Engine!$C$2:$C$265,0)))</f>
        <v>„n Datasubjek wat ‟n regstelling of skrapping van persoonlike inligting of die vernietiging of skrapping van ‟n rekord van persoonlike inligting ingevolge artikel 24(1) van die Wet wil aansoek doen, moet ‟n versoek op Vorm 2 aan die verantwoordelike party voorlê. Die verantwoordelike party, of ‟n aangewese persoon, moet waar nodig redelike bystand lewer, gratis, sodat ‟n datasubjek Vorm 2 kan invul.</v>
      </c>
    </row>
    <row r="232" spans="1:15" ht="28.8" x14ac:dyDescent="0.3">
      <c r="A232" t="str">
        <f>IF(ISNA(MATCH(219,Engine!$C$2:$C$265,0)),"",INDEX('Compliance Database'!$A$2:$A$265,MATCH(219,Engine!$C$2:$C$265,0)))</f>
        <v>South Africa</v>
      </c>
      <c r="B232" t="str">
        <f>IF(ISNA(MATCH(219,Engine!$C$2:$C$265,0)),"",INDEX('Compliance Database'!$B$2:$B$265,MATCH(219,Engine!$C$2:$C$265,0)))</f>
        <v>POPIA_Regulations_-_Dec_2018</v>
      </c>
      <c r="C232" t="str">
        <f>IF(ISNA(MATCH(219,Engine!$C$2:$C$265,0)),"",INDEX('Compliance Database'!$C$2:$C$265,MATCH(219,Engine!$C$2:$C$265,0)))</f>
        <v>3</v>
      </c>
      <c r="D232" s="6" t="str">
        <f>IF(ISNA(MATCH(219,Engine!$C$2:$C$265,0)),"",INDEX('Compliance Database'!$D$2:$D$265,MATCH(219,Engine!$C$2:$C$265,0)))</f>
        <v>Vul in waar van toepassing.</v>
      </c>
      <c r="E232" t="str">
        <f>IF(ISNA(MATCH(219,Engine!$C$2:$C$265,0)),"",INDEX('Compliance Database'!$E$2:$E$265,MATCH(219,Engine!$C$2:$C$265,0)))</f>
        <v>61–73</v>
      </c>
      <c r="F232" t="str">
        <f>IF(ISNA(MATCH(219,Engine!$C$2:$C$265,0)),"",INDEX('Compliance Database'!$F$2:$F$265,MATCH(219,Engine!$C$2:$C$265,0)))</f>
        <v>Other</v>
      </c>
      <c r="G232" t="str">
        <f>IF(ISNA(MATCH(219,Engine!$C$2:$C$265,0)),"",INDEX('Compliance Database'!$G$2:$G$265,MATCH(219,Engine!$C$2:$C$265,0)))</f>
        <v>None</v>
      </c>
      <c r="H232" t="str">
        <f>IF(ISNA(MATCH(219,Engine!$C$2:$C$265,0)),"",INDEX('Compliance Database'!$H$2:$H$265,MATCH(219,Engine!$C$2:$C$265,0)))</f>
        <v>High (explicit)</v>
      </c>
      <c r="I232" s="6">
        <f>IF(ISNA(MATCH(219,Engine!$C$2:$C$265,0)),"",INDEX('Compliance Database'!$I$2:$I$265,MATCH(219,Engine!$C$2:$C$265,0)))</f>
        <v>0</v>
      </c>
      <c r="J232" s="6" t="str">
        <f>IF(ISNA(MATCH(219,Engine!$C$2:$C$265,0)),"",INDEX('Compliance Database'!$J$2:$J$265,MATCH(219,Engine!$C$2:$C$265,0)))</f>
        <v>Personal Information</v>
      </c>
      <c r="K232">
        <f>IF(ISNA(MATCH(219,Engine!$C$2:$C$265,0)),"",INDEX('Compliance Database'!$K$2:$K$265,MATCH(219,Engine!$C$2:$C$265,0)))</f>
        <v>0</v>
      </c>
      <c r="L232" s="6" t="str">
        <f>IF(ISNA(MATCH(219,Engine!$C$2:$C$265,0)),"",INDEX('Compliance Database'!$L$2:$L$265,MATCH(219,Engine!$C$2:$C$265,0)))</f>
        <v>Persons affected by the information processing practice.</v>
      </c>
      <c r="M232" s="6" t="str">
        <f>IF(ISNA(MATCH(219,Engine!$C$2:$C$265,0)),"",INDEX('Compliance Database'!$M$2:$M$265,MATCH(219,Engine!$C$2:$C$265,0)))</f>
        <v>Persons affected by the information processing practice.</v>
      </c>
      <c r="N232" s="6" t="str">
        <f>IF(ISNA(MATCH(219,Engine!$C$2:$C$265,0)),"",INDEX('Compliance Database'!$N$2:$N$265,MATCH(219,Engine!$C$2:$C$265,0)))</f>
        <v>[Must] Identify persons affected by the information processing practice.</v>
      </c>
      <c r="O232" s="6" t="str">
        <f>IF(ISNA(MATCH(219,Engine!$C$2:$C$265,0)),"",INDEX('Compliance Database'!$O$2:$O$265,MATCH(219,Engine!$C$2:$C$265,0)))</f>
        <v>3. PERSONE GERAAK DEUR DIE TERSAAKLIKE INLIGTINGSVERWERKINGSPRAKTYK(E)</v>
      </c>
    </row>
    <row r="233" spans="1:15" ht="28.8" x14ac:dyDescent="0.3">
      <c r="A233" t="str">
        <f>IF(ISNA(MATCH(220,Engine!$C$2:$C$265,0)),"",INDEX('Compliance Database'!$A$2:$A$265,MATCH(220,Engine!$C$2:$C$265,0)))</f>
        <v>South Africa</v>
      </c>
      <c r="B233" t="str">
        <f>IF(ISNA(MATCH(220,Engine!$C$2:$C$265,0)),"",INDEX('Compliance Database'!$B$2:$B$265,MATCH(220,Engine!$C$2:$C$265,0)))</f>
        <v>POPIA_Regulations_-_Dec_2018</v>
      </c>
      <c r="C233" t="str">
        <f>IF(ISNA(MATCH(220,Engine!$C$2:$C$265,0)),"",INDEX('Compliance Database'!$C$2:$C$265,MATCH(220,Engine!$C$2:$C$265,0)))</f>
        <v>3</v>
      </c>
      <c r="D233" s="6" t="str">
        <f>IF(ISNA(MATCH(220,Engine!$C$2:$C$265,0)),"",INDEX('Compliance Database'!$D$2:$D$265,MATCH(220,Engine!$C$2:$C$265,0)))</f>
        <v>PERSONE GERAAK DEUR DIE TERSAAKLIKE INLIGTINGSVERWERKINGSPRAKTYK(E)</v>
      </c>
      <c r="E233" t="str">
        <f>IF(ISNA(MATCH(220,Engine!$C$2:$C$265,0)),"",INDEX('Compliance Database'!$E$2:$E$265,MATCH(220,Engine!$C$2:$C$265,0)))</f>
        <v>73</v>
      </c>
      <c r="F233" t="str">
        <f>IF(ISNA(MATCH(220,Engine!$C$2:$C$265,0)),"",INDEX('Compliance Database'!$F$2:$F$265,MATCH(220,Engine!$C$2:$C$265,0)))</f>
        <v>Other</v>
      </c>
      <c r="G233" t="str">
        <f>IF(ISNA(MATCH(220,Engine!$C$2:$C$265,0)),"",INDEX('Compliance Database'!$G$2:$G$265,MATCH(220,Engine!$C$2:$C$265,0)))</f>
        <v>None</v>
      </c>
      <c r="H233" t="str">
        <f>IF(ISNA(MATCH(220,Engine!$C$2:$C$265,0)),"",INDEX('Compliance Database'!$H$2:$H$265,MATCH(220,Engine!$C$2:$C$265,0)))</f>
        <v>High (explicit)</v>
      </c>
      <c r="I233" s="6">
        <f>IF(ISNA(MATCH(220,Engine!$C$2:$C$265,0)),"",INDEX('Compliance Database'!$I$2:$I$265,MATCH(220,Engine!$C$2:$C$265,0)))</f>
        <v>0</v>
      </c>
      <c r="J233" s="6" t="str">
        <f>IF(ISNA(MATCH(220,Engine!$C$2:$C$265,0)),"",INDEX('Compliance Database'!$J$2:$J$265,MATCH(220,Engine!$C$2:$C$265,0)))</f>
        <v>Personal Information</v>
      </c>
      <c r="K233">
        <f>IF(ISNA(MATCH(220,Engine!$C$2:$C$265,0)),"",INDEX('Compliance Database'!$K$2:$K$265,MATCH(220,Engine!$C$2:$C$265,0)))</f>
        <v>0</v>
      </c>
      <c r="L233" s="6" t="str">
        <f>IF(ISNA(MATCH(220,Engine!$C$2:$C$265,0)),"",INDEX('Compliance Database'!$L$2:$L$265,MATCH(220,Engine!$C$2:$C$265,0)))</f>
        <v>Persons affected by the information processing practice.</v>
      </c>
      <c r="M233" s="6" t="str">
        <f>IF(ISNA(MATCH(220,Engine!$C$2:$C$265,0)),"",INDEX('Compliance Database'!$M$2:$M$265,MATCH(220,Engine!$C$2:$C$265,0)))</f>
        <v>Persons affected by the information processing practice.</v>
      </c>
      <c r="N233" s="6" t="str">
        <f>IF(ISNA(MATCH(220,Engine!$C$2:$C$265,0)),"",INDEX('Compliance Database'!$N$2:$N$265,MATCH(220,Engine!$C$2:$C$265,0)))</f>
        <v>[Must] Identify persons affected by the information processing practice.</v>
      </c>
      <c r="O233" s="6" t="str">
        <f>IF(ISNA(MATCH(220,Engine!$C$2:$C$265,0)),"",INDEX('Compliance Database'!$O$2:$O$265,MATCH(220,Engine!$C$2:$C$265,0)))</f>
        <v>3. PERSONE GERAAK DEUR DIE TERSAAKLIKE INLIGTINGSVERWERKINGSPRAKTYK(E)</v>
      </c>
    </row>
    <row r="234" spans="1:15" ht="28.8" x14ac:dyDescent="0.3">
      <c r="A234" t="str">
        <f>IF(ISNA(MATCH(221,Engine!$C$2:$C$265,0)),"",INDEX('Compliance Database'!$A$2:$A$265,MATCH(221,Engine!$C$2:$C$265,0)))</f>
        <v>South Africa</v>
      </c>
      <c r="B234" t="str">
        <f>IF(ISNA(MATCH(221,Engine!$C$2:$C$265,0)),"",INDEX('Compliance Database'!$B$2:$B$265,MATCH(221,Engine!$C$2:$C$265,0)))</f>
        <v>POPIA_Regulations_-_Dec_2018</v>
      </c>
      <c r="C234" t="str">
        <f>IF(ISNA(MATCH(221,Engine!$C$2:$C$265,0)),"",INDEX('Compliance Database'!$C$2:$C$265,MATCH(221,Engine!$C$2:$C$265,0)))</f>
        <v>3</v>
      </c>
      <c r="D234" s="6" t="str">
        <f>IF(ISNA(MATCH(221,Engine!$C$2:$C$265,0)),"",INDEX('Compliance Database'!$D$2:$D$265,MATCH(221,Engine!$C$2:$C$265,0)))</f>
        <v>PERSONE GERAAK DEUR DIE TERSAAKLIKE INLIGTINGSVERWERKINGSPRAKTYK(E)</v>
      </c>
      <c r="E234" t="str">
        <f>IF(ISNA(MATCH(221,Engine!$C$2:$C$265,0)),"",INDEX('Compliance Database'!$E$2:$E$265,MATCH(221,Engine!$C$2:$C$265,0)))</f>
        <v>75</v>
      </c>
      <c r="F234" t="str">
        <f>IF(ISNA(MATCH(221,Engine!$C$2:$C$265,0)),"",INDEX('Compliance Database'!$F$2:$F$265,MATCH(221,Engine!$C$2:$C$265,0)))</f>
        <v>Other</v>
      </c>
      <c r="G234" t="str">
        <f>IF(ISNA(MATCH(221,Engine!$C$2:$C$265,0)),"",INDEX('Compliance Database'!$G$2:$G$265,MATCH(221,Engine!$C$2:$C$265,0)))</f>
        <v>None</v>
      </c>
      <c r="H234" t="str">
        <f>IF(ISNA(MATCH(221,Engine!$C$2:$C$265,0)),"",INDEX('Compliance Database'!$H$2:$H$265,MATCH(221,Engine!$C$2:$C$265,0)))</f>
        <v>High (explicit)</v>
      </c>
      <c r="I234" s="6">
        <f>IF(ISNA(MATCH(221,Engine!$C$2:$C$265,0)),"",INDEX('Compliance Database'!$I$2:$I$265,MATCH(221,Engine!$C$2:$C$265,0)))</f>
        <v>0</v>
      </c>
      <c r="J234" s="6" t="str">
        <f>IF(ISNA(MATCH(221,Engine!$C$2:$C$265,0)),"",INDEX('Compliance Database'!$J$2:$J$265,MATCH(221,Engine!$C$2:$C$265,0)))</f>
        <v>Personal Information</v>
      </c>
      <c r="K234">
        <f>IF(ISNA(MATCH(221,Engine!$C$2:$C$265,0)),"",INDEX('Compliance Database'!$K$2:$K$265,MATCH(221,Engine!$C$2:$C$265,0)))</f>
        <v>0</v>
      </c>
      <c r="L234" s="6" t="str">
        <f>IF(ISNA(MATCH(221,Engine!$C$2:$C$265,0)),"",INDEX('Compliance Database'!$L$2:$L$265,MATCH(221,Engine!$C$2:$C$265,0)))</f>
        <v>Persons affected by the information processing practice.</v>
      </c>
      <c r="M234" s="6" t="str">
        <f>IF(ISNA(MATCH(221,Engine!$C$2:$C$265,0)),"",INDEX('Compliance Database'!$M$2:$M$265,MATCH(221,Engine!$C$2:$C$265,0)))</f>
        <v>Persons affected by the information processing practice.</v>
      </c>
      <c r="N234" s="6" t="str">
        <f>IF(ISNA(MATCH(221,Engine!$C$2:$C$265,0)),"",INDEX('Compliance Database'!$N$2:$N$265,MATCH(221,Engine!$C$2:$C$265,0)))</f>
        <v>[Must] Identify persons affected by the information processing practice.</v>
      </c>
      <c r="O234" s="6" t="str">
        <f>IF(ISNA(MATCH(221,Engine!$C$2:$C$265,0)),"",INDEX('Compliance Database'!$O$2:$O$265,MATCH(221,Engine!$C$2:$C$265,0)))</f>
        <v>3. PERSONE GERAAK DEUR DIE TERSAAKLIKE INLIGTINGSVERWERKINGSPRAKTYK(E)</v>
      </c>
    </row>
    <row r="235" spans="1:15" ht="409.6" x14ac:dyDescent="0.3">
      <c r="A235" t="str">
        <f>IF(ISNA(MATCH(222,Engine!$C$2:$C$265,0)),"",INDEX('Compliance Database'!$A$2:$A$265,MATCH(222,Engine!$C$2:$C$265,0)))</f>
        <v>South Africa</v>
      </c>
      <c r="B235" t="str">
        <f>IF(ISNA(MATCH(222,Engine!$C$2:$C$265,0)),"",INDEX('Compliance Database'!$B$2:$B$265,MATCH(222,Engine!$C$2:$C$265,0)))</f>
        <v>POPIA_Regulations_-_Dec_2018</v>
      </c>
      <c r="C235" t="str">
        <f>IF(ISNA(MATCH(222,Engine!$C$2:$C$265,0)),"",INDEX('Compliance Database'!$C$2:$C$265,MATCH(222,Engine!$C$2:$C$265,0)))</f>
        <v>4</v>
      </c>
      <c r="D235" s="6" t="str">
        <f>IF(ISNA(MATCH(222,Engine!$C$2:$C$265,0)),"",INDEX('Compliance Database'!$D$2:$D$265,MATCH(222,Engine!$C$2:$C$265,0)))</f>
        <v>(1) An information officer must, in addition to the responsibilities referred to in</v>
      </c>
      <c r="E235" t="str">
        <f>IF(ISNA(MATCH(222,Engine!$C$2:$C$265,0)),"",INDEX('Compliance Database'!$E$2:$E$265,MATCH(222,Engine!$C$2:$C$265,0)))</f>
        <v>3</v>
      </c>
      <c r="F235" t="str">
        <f>IF(ISNA(MATCH(222,Engine!$C$2:$C$265,0)),"",INDEX('Compliance Database'!$F$2:$F$265,MATCH(222,Engine!$C$2:$C$265,0)))</f>
        <v>Governance</v>
      </c>
      <c r="G235" t="str">
        <f>IF(ISNA(MATCH(222,Engine!$C$2:$C$265,0)),"",INDEX('Compliance Database'!$G$2:$G$265,MATCH(222,Engine!$C$2:$C$265,0)))</f>
        <v>None</v>
      </c>
      <c r="H235" t="str">
        <f>IF(ISNA(MATCH(222,Engine!$C$2:$C$265,0)),"",INDEX('Compliance Database'!$H$2:$H$265,MATCH(222,Engine!$C$2:$C$265,0)))</f>
        <v>High (explicit)</v>
      </c>
      <c r="I235" s="6" t="str">
        <f>IF(ISNA(MATCH(222,Engine!$C$2:$C$265,0)),"",INDEX('Compliance Database'!$I$2:$I$265,MATCH(222,Engine!$C$2:$C$265,0)))</f>
        <v>Governance, Record Keeping</v>
      </c>
      <c r="J235" s="6" t="str">
        <f>IF(ISNA(MATCH(222,Engine!$C$2:$C$265,0)),"",INDEX('Compliance Database'!$J$2:$J$265,MATCH(222,Engine!$C$2:$C$265,0)))</f>
        <v>Personal Information</v>
      </c>
      <c r="K235">
        <f>IF(ISNA(MATCH(222,Engine!$C$2:$C$265,0)),"",INDEX('Compliance Database'!$K$2:$K$265,MATCH(222,Engine!$C$2:$C$265,0)))</f>
        <v>0</v>
      </c>
      <c r="L235" s="6" t="str">
        <f>IF(ISNA(MATCH(222,Engine!$C$2:$C$265,0)),"",INDEX('Compliance Database'!$L$2:$L$265,MATCH(222,Engine!$C$2:$C$265,0)))</f>
        <v>Information officers must develop compliance frameworks, conduct impact assessments, maintain manuals, and ensure internal awareness sessions for the Act.</v>
      </c>
      <c r="M235" s="6" t="str">
        <f>IF(ISNA(MATCH(222,Engine!$C$2:$C$265,0)),"",INDEX('Compliance Database'!$M$2:$M$265,MATCH(222,Engine!$C$2:$C$265,0)))</f>
        <v>Information officers must implement compliance frameworks, conduct impact assessments, maintain manuals, and conduct awareness sessions.</v>
      </c>
      <c r="N235" s="6" t="str">
        <f>IF(ISNA(MATCH(222,Engine!$C$2:$C$265,0)),"",INDEX('Compliance Database'!$N$2:$N$265,MATCH(222,Engine!$C$2:$C$265,0)))</f>
        <v>[Must] An information officer must, in addition to the responsibilities referred to in section 55(1) of the Act, ensure that a compliance framework is developed, implemented, monitored and maintained
[Must] An information officer must, in addition to the responsibilities referred to in section 55(1) of the Act, ensure that a personal information impact assessment is done to ensure that adequate measures and standards exist in order to comply with the conditions for the lawful processing of personal information
[Must] An information officer must, in addition to the responsibilities referred to in section 55(1) of the Act, ensure that a manual is developed, monitored, maintained and made available as prescribed in sections 14 and 51 of the Promotion of Access to Information Act, 2000
[Must] An information officer must, in addition to the responsibilities referred to in section 55(1) of the Act, ensure that internal measures are developed together with adequate systems to process requests for information or access thereto
[Must] An information officer must, in addition to the responsibilities referred to in section 55(1) of the Act, ensure that internal awareness sessions are conducted regarding the provisions of the Act, regulations made in terms of the Act, codes of conduct, or information obtained from the Regulator
[Must] The information officer shall upon request by any person, provide copies of the manual to that person upon the payment of a fee to be determined by the Regulator from time to time</v>
      </c>
      <c r="O235" s="6" t="str">
        <f>IF(ISNA(MATCH(222,Engine!$C$2:$C$265,0)),"",INDEX('Compliance Database'!$O$2:$O$265,MATCH(222,Engine!$C$2:$C$265,0)))</f>
        <v>An information officer must, in addition to the responsibilities referred to in section 55(1) of the Act, ensure that- (a) a compliance framework is developed, implemented, monitored and maintained (b) a personal information impact assessment is done to ensure that adequate measures and standards exist in order to comply with the conditions for the lawful processing of personal information; (c) a manual is developed, monitored, maintained and made available as prescribed in sections 14 and 51 of the Promotion of Access to Information Act, 2000; (d) internal measures are developed together with adequate systems to process requests for information or access thereto; and (e) internal awareness sessions are conducted regarding the provisions of the Act, regulations made in terms of the Act, codes of conduct, or information obtained from the Regulator.</v>
      </c>
    </row>
    <row r="236" spans="1:15" x14ac:dyDescent="0.3">
      <c r="A236" t="str">
        <f>IF(ISNA(MATCH(223,Engine!$C$2:$C$265,0)),"",INDEX('Compliance Database'!$A$2:$A$265,MATCH(223,Engine!$C$2:$C$265,0)))</f>
        <v>South Africa</v>
      </c>
      <c r="B236" t="str">
        <f>IF(ISNA(MATCH(223,Engine!$C$2:$C$265,0)),"",INDEX('Compliance Database'!$B$2:$B$265,MATCH(223,Engine!$C$2:$C$265,0)))</f>
        <v>POPIA_Regulations_-_Dec_2018</v>
      </c>
      <c r="C236" t="str">
        <f>IF(ISNA(MATCH(223,Engine!$C$2:$C$265,0)),"",INDEX('Compliance Database'!$C$2:$C$265,MATCH(223,Engine!$C$2:$C$265,0)))</f>
        <v>4</v>
      </c>
      <c r="D236" s="6" t="str">
        <f>IF(ISNA(MATCH(223,Engine!$C$2:$C$265,0)),"",INDEX('Compliance Database'!$D$2:$D$265,MATCH(223,Engine!$C$2:$C$265,0)))</f>
        <v>THE REASON WHY AN ASSESSMENT IS REQUESTED</v>
      </c>
      <c r="E236" t="str">
        <f>IF(ISNA(MATCH(223,Engine!$C$2:$C$265,0)),"",INDEX('Compliance Database'!$E$2:$E$265,MATCH(223,Engine!$C$2:$C$265,0)))</f>
        <v>29–30</v>
      </c>
      <c r="F236" t="str">
        <f>IF(ISNA(MATCH(223,Engine!$C$2:$C$265,0)),"",INDEX('Compliance Database'!$F$2:$F$265,MATCH(223,Engine!$C$2:$C$265,0)))</f>
        <v>Other</v>
      </c>
      <c r="G236" t="str">
        <f>IF(ISNA(MATCH(223,Engine!$C$2:$C$265,0)),"",INDEX('Compliance Database'!$G$2:$G$265,MATCH(223,Engine!$C$2:$C$265,0)))</f>
        <v>Unknown</v>
      </c>
      <c r="H236" t="str">
        <f>IF(ISNA(MATCH(223,Engine!$C$2:$C$265,0)),"",INDEX('Compliance Database'!$H$2:$H$265,MATCH(223,Engine!$C$2:$C$265,0)))</f>
        <v>Low</v>
      </c>
      <c r="I236" s="6">
        <f>IF(ISNA(MATCH(223,Engine!$C$2:$C$265,0)),"",INDEX('Compliance Database'!$I$2:$I$265,MATCH(223,Engine!$C$2:$C$265,0)))</f>
        <v>0</v>
      </c>
      <c r="J236" s="6">
        <f>IF(ISNA(MATCH(223,Engine!$C$2:$C$265,0)),"",INDEX('Compliance Database'!$J$2:$J$265,MATCH(223,Engine!$C$2:$C$265,0)))</f>
        <v>0</v>
      </c>
      <c r="K236">
        <f>IF(ISNA(MATCH(223,Engine!$C$2:$C$265,0)),"",INDEX('Compliance Database'!$K$2:$K$265,MATCH(223,Engine!$C$2:$C$265,0)))</f>
        <v>0</v>
      </c>
      <c r="L236" s="6">
        <f>IF(ISNA(MATCH(223,Engine!$C$2:$C$265,0)),"",INDEX('Compliance Database'!$L$2:$L$265,MATCH(223,Engine!$C$2:$C$265,0)))</f>
        <v>0</v>
      </c>
      <c r="M236" s="6">
        <f>IF(ISNA(MATCH(223,Engine!$C$2:$C$265,0)),"",INDEX('Compliance Database'!$M$2:$M$265,MATCH(223,Engine!$C$2:$C$265,0)))</f>
        <v>0</v>
      </c>
      <c r="N236" s="6">
        <f>IF(ISNA(MATCH(223,Engine!$C$2:$C$265,0)),"",INDEX('Compliance Database'!$N$2:$N$265,MATCH(223,Engine!$C$2:$C$265,0)))</f>
        <v>0</v>
      </c>
      <c r="O236" s="6">
        <f>IF(ISNA(MATCH(223,Engine!$C$2:$C$265,0)),"",INDEX('Compliance Database'!$O$2:$O$265,MATCH(223,Engine!$C$2:$C$265,0)))</f>
        <v>0</v>
      </c>
    </row>
    <row r="237" spans="1:15" ht="28.8" x14ac:dyDescent="0.3">
      <c r="A237" t="str">
        <f>IF(ISNA(MATCH(224,Engine!$C$2:$C$265,0)),"",INDEX('Compliance Database'!$A$2:$A$265,MATCH(224,Engine!$C$2:$C$265,0)))</f>
        <v>South Africa</v>
      </c>
      <c r="B237" t="str">
        <f>IF(ISNA(MATCH(224,Engine!$C$2:$C$265,0)),"",INDEX('Compliance Database'!$B$2:$B$265,MATCH(224,Engine!$C$2:$C$265,0)))</f>
        <v>POPIA_Regulations_-_Dec_2018</v>
      </c>
      <c r="C237" t="str">
        <f>IF(ISNA(MATCH(224,Engine!$C$2:$C$265,0)),"",INDEX('Compliance Database'!$C$2:$C$265,MATCH(224,Engine!$C$2:$C$265,0)))</f>
        <v>4</v>
      </c>
      <c r="D237" s="6" t="str">
        <f>IF(ISNA(MATCH(224,Engine!$C$2:$C$265,0)),"",INDEX('Compliance Database'!$D$2:$D$265,MATCH(224,Engine!$C$2:$C$265,0)))</f>
        <v>THE REASON WHY AN ASSESSMENT IS TO BE CONDUCTED/ NOT TO BE CONDUCTED</v>
      </c>
      <c r="E237" t="str">
        <f>IF(ISNA(MATCH(224,Engine!$C$2:$C$265,0)),"",INDEX('Compliance Database'!$E$2:$E$265,MATCH(224,Engine!$C$2:$C$265,0)))</f>
        <v>31</v>
      </c>
      <c r="F237" t="str">
        <f>IF(ISNA(MATCH(224,Engine!$C$2:$C$265,0)),"",INDEX('Compliance Database'!$F$2:$F$265,MATCH(224,Engine!$C$2:$C$265,0)))</f>
        <v>Other</v>
      </c>
      <c r="G237" t="str">
        <f>IF(ISNA(MATCH(224,Engine!$C$2:$C$265,0)),"",INDEX('Compliance Database'!$G$2:$G$265,MATCH(224,Engine!$C$2:$C$265,0)))</f>
        <v>Low</v>
      </c>
      <c r="H237" t="str">
        <f>IF(ISNA(MATCH(224,Engine!$C$2:$C$265,0)),"",INDEX('Compliance Database'!$H$2:$H$265,MATCH(224,Engine!$C$2:$C$265,0)))</f>
        <v>High (explicit)</v>
      </c>
      <c r="I237" s="6">
        <f>IF(ISNA(MATCH(224,Engine!$C$2:$C$265,0)),"",INDEX('Compliance Database'!$I$2:$I$265,MATCH(224,Engine!$C$2:$C$265,0)))</f>
        <v>0</v>
      </c>
      <c r="J237" s="6">
        <f>IF(ISNA(MATCH(224,Engine!$C$2:$C$265,0)),"",INDEX('Compliance Database'!$J$2:$J$265,MATCH(224,Engine!$C$2:$C$265,0)))</f>
        <v>0</v>
      </c>
      <c r="K237">
        <f>IF(ISNA(MATCH(224,Engine!$C$2:$C$265,0)),"",INDEX('Compliance Database'!$K$2:$K$265,MATCH(224,Engine!$C$2:$C$265,0)))</f>
        <v>0</v>
      </c>
      <c r="L237" s="6" t="str">
        <f>IF(ISNA(MATCH(224,Engine!$C$2:$C$265,0)),"",INDEX('Compliance Database'!$L$2:$L$265,MATCH(224,Engine!$C$2:$C$265,0)))</f>
        <v>Reason for conducting or not conducting assessment is specified.</v>
      </c>
      <c r="M237" s="6" t="str">
        <f>IF(ISNA(MATCH(224,Engine!$C$2:$C$265,0)),"",INDEX('Compliance Database'!$M$2:$M$265,MATCH(224,Engine!$C$2:$C$265,0)))</f>
        <v>Reason for conducting or not conducting assessment is specified for compliance with POPIA.</v>
      </c>
      <c r="N237" s="6" t="str">
        <f>IF(ISNA(MATCH(224,Engine!$C$2:$C$265,0)),"",INDEX('Compliance Database'!$N$2:$N$265,MATCH(224,Engine!$C$2:$C$265,0)))</f>
        <v>[Must] Reason why an assessment is to be conducted/not to be conducted is specified</v>
      </c>
      <c r="O237" s="6" t="str">
        <f>IF(ISNA(MATCH(224,Engine!$C$2:$C$265,0)),"",INDEX('Compliance Database'!$O$2:$O$265,MATCH(224,Engine!$C$2:$C$265,0)))</f>
        <v>4. THE REASON WHY AN ASSESSMENT IS TO BE CONDUCTED/NOT TO BE CONDUCTED</v>
      </c>
    </row>
    <row r="238" spans="1:15" ht="273.60000000000002" x14ac:dyDescent="0.3">
      <c r="A238" t="str">
        <f>IF(ISNA(MATCH(225,Engine!$C$2:$C$265,0)),"",INDEX('Compliance Database'!$A$2:$A$265,MATCH(225,Engine!$C$2:$C$265,0)))</f>
        <v>South Africa</v>
      </c>
      <c r="B238" t="str">
        <f>IF(ISNA(MATCH(225,Engine!$C$2:$C$265,0)),"",INDEX('Compliance Database'!$B$2:$B$265,MATCH(225,Engine!$C$2:$C$265,0)))</f>
        <v>POPIA_Regulations_-_Dec_2018</v>
      </c>
      <c r="C238" t="str">
        <f>IF(ISNA(MATCH(225,Engine!$C$2:$C$265,0)),"",INDEX('Compliance Database'!$C$2:$C$265,MATCH(225,Engine!$C$2:$C$265,0)))</f>
        <v>4</v>
      </c>
      <c r="D238" s="6" t="str">
        <f>IF(ISNA(MATCH(225,Engine!$C$2:$C$265,0)),"",INDEX('Compliance Database'!$D$2:$D$265,MATCH(225,Engine!$C$2:$C$265,0)))</f>
        <v>(1)</v>
      </c>
      <c r="E238" t="str">
        <f>IF(ISNA(MATCH(225,Engine!$C$2:$C$265,0)),"",INDEX('Compliance Database'!$E$2:$E$265,MATCH(225,Engine!$C$2:$C$265,0)))</f>
        <v>47</v>
      </c>
      <c r="F238" t="str">
        <f>IF(ISNA(MATCH(225,Engine!$C$2:$C$265,0)),"",INDEX('Compliance Database'!$F$2:$F$265,MATCH(225,Engine!$C$2:$C$265,0)))</f>
        <v>Governance</v>
      </c>
      <c r="G238" t="str">
        <f>IF(ISNA(MATCH(225,Engine!$C$2:$C$265,0)),"",INDEX('Compliance Database'!$G$2:$G$265,MATCH(225,Engine!$C$2:$C$265,0)))</f>
        <v>Low</v>
      </c>
      <c r="H238" t="str">
        <f>IF(ISNA(MATCH(225,Engine!$C$2:$C$265,0)),"",INDEX('Compliance Database'!$H$2:$H$265,MATCH(225,Engine!$C$2:$C$265,0)))</f>
        <v>High (explicit)</v>
      </c>
      <c r="I238" s="6" t="str">
        <f>IF(ISNA(MATCH(225,Engine!$C$2:$C$265,0)),"",INDEX('Compliance Database'!$I$2:$I$265,MATCH(225,Engine!$C$2:$C$265,0)))</f>
        <v>Governance</v>
      </c>
      <c r="J238" s="6" t="str">
        <f>IF(ISNA(MATCH(225,Engine!$C$2:$C$265,0)),"",INDEX('Compliance Database'!$J$2:$J$265,MATCH(225,Engine!$C$2:$C$265,0)))</f>
        <v>Personal Information</v>
      </c>
      <c r="K238" t="str">
        <f>IF(ISNA(MATCH(225,Engine!$C$2:$C$265,0)),"",INDEX('Compliance Database'!$K$2:$K$265,MATCH(225,Engine!$C$2:$C$265,0)))</f>
        <v>Information officer</v>
      </c>
      <c r="L238" s="6" t="str">
        <f>IF(ISNA(MATCH(225,Engine!$C$2:$C$265,0)),"",INDEX('Compliance Database'!$L$2:$L$265,MATCH(225,Engine!$C$2:$C$265,0)))</f>
        <v>Information officers must develop, implement, monitor and maintain a compliance framework.</v>
      </c>
      <c r="M238" s="6" t="str">
        <f>IF(ISNA(MATCH(225,Engine!$C$2:$C$265,0)),"",INDEX('Compliance Database'!$M$2:$M$265,MATCH(225,Engine!$C$2:$C$265,0)))</f>
        <v>Information officers must establish a compliance framework, conduct impact assessments, develop guidelines, and hold awareness sessions.</v>
      </c>
      <c r="N238" s="6" t="str">
        <f>IF(ISNA(MATCH(225,Engine!$C$2:$C$265,0)),"",INDEX('Compliance Database'!$N$2:$N$265,MATCH(225,Engine!$C$2:$C$265,0)))</f>
        <v>[Must] Information officer must develop, implement, monitor and maintain a compliance framework
[Must] Information officer must conduct personal information impact assessments
[Must] Information officer must develop, monitor, maintain and provide guidelines as per the Access to Information Act
[Must] Information officer must develop internal policies and systems for information requests
[Must] Information officer must hold internal awareness sessions on the Act, regulations, codes of conduct, and regulatory information</v>
      </c>
      <c r="O238" s="6" t="str">
        <f>IF(ISNA(MATCH(225,Engine!$C$2:$C$265,0)),"",INDEX('Compliance Database'!$O$2:$O$265,MATCH(225,Engine!$C$2:$C$265,0)))</f>
        <v>„n Inligtingsbeampte moet, bykomend tot die verantwoordelikhede in artikel 55(1) van die Wet beoog, verseker dat- (a) ‟n voldoeningsraamwerk ontwikkel, geïmplementeer, gemonitor en onderhou word; (b) ‟n persoonlike inligtingsimpakassessering gedoen word om te verseker dat voldoende maatreëls en standaarde bestaan ten einde te voldoen aan die voorwaardes vir die wettige verwerking van persoonlike inligting; (c) ‟n handleiding ontwikkel, gemonitor, onderhou en beskikbaar gestel word soos in artikels 14 en 51 van die Wet op Bevordering van Toegang tot Inligting, 2000 (Wet van 2000), voorgeskryf; (d) interne maatreëls ontwikkel word saam met voldoende stelsels om versoeke om inligting of toegang daartoe te verwerk; en (e) interne bewustheidsessies oor die bepalings van die Wet, regulasies ingevolge die Wet uitgevaardig, gedragskode, of inligting van die Reguleerder verkry, gehou word.</v>
      </c>
    </row>
    <row r="239" spans="1:15" x14ac:dyDescent="0.3">
      <c r="A239" t="str">
        <f>IF(ISNA(MATCH(226,Engine!$C$2:$C$265,0)),"",INDEX('Compliance Database'!$A$2:$A$265,MATCH(226,Engine!$C$2:$C$265,0)))</f>
        <v>South Africa</v>
      </c>
      <c r="B239" t="str">
        <f>IF(ISNA(MATCH(226,Engine!$C$2:$C$265,0)),"",INDEX('Compliance Database'!$B$2:$B$265,MATCH(226,Engine!$C$2:$C$265,0)))</f>
        <v>POPIA_Regulations_-_Dec_2018</v>
      </c>
      <c r="C239" t="str">
        <f>IF(ISNA(MATCH(226,Engine!$C$2:$C$265,0)),"",INDEX('Compliance Database'!$C$2:$C$265,MATCH(226,Engine!$C$2:$C$265,0)))</f>
        <v>4</v>
      </c>
      <c r="D239" s="6" t="str">
        <f>IF(ISNA(MATCH(226,Engine!$C$2:$C$265,0)),"",INDEX('Compliance Database'!$D$2:$D$265,MATCH(226,Engine!$C$2:$C$265,0)))</f>
        <v>DIE REDE VIR DIE VERSOEK OM 'N OUDIT</v>
      </c>
      <c r="E239" t="str">
        <f>IF(ISNA(MATCH(226,Engine!$C$2:$C$265,0)),"",INDEX('Compliance Database'!$E$2:$E$265,MATCH(226,Engine!$C$2:$C$265,0)))</f>
        <v>73–74</v>
      </c>
      <c r="F239" t="str">
        <f>IF(ISNA(MATCH(226,Engine!$C$2:$C$265,0)),"",INDEX('Compliance Database'!$F$2:$F$265,MATCH(226,Engine!$C$2:$C$265,0)))</f>
        <v>Other</v>
      </c>
      <c r="G239" t="str">
        <f>IF(ISNA(MATCH(226,Engine!$C$2:$C$265,0)),"",INDEX('Compliance Database'!$G$2:$G$265,MATCH(226,Engine!$C$2:$C$265,0)))</f>
        <v>None</v>
      </c>
      <c r="H239" t="str">
        <f>IF(ISNA(MATCH(226,Engine!$C$2:$C$265,0)),"",INDEX('Compliance Database'!$H$2:$H$265,MATCH(226,Engine!$C$2:$C$265,0)))</f>
        <v>High (explicit)</v>
      </c>
      <c r="I239" s="6">
        <f>IF(ISNA(MATCH(226,Engine!$C$2:$C$265,0)),"",INDEX('Compliance Database'!$I$2:$I$265,MATCH(226,Engine!$C$2:$C$265,0)))</f>
        <v>0</v>
      </c>
      <c r="J239" s="6" t="str">
        <f>IF(ISNA(MATCH(226,Engine!$C$2:$C$265,0)),"",INDEX('Compliance Database'!$J$2:$J$265,MATCH(226,Engine!$C$2:$C$265,0)))</f>
        <v>Personal Information</v>
      </c>
      <c r="K239">
        <f>IF(ISNA(MATCH(226,Engine!$C$2:$C$265,0)),"",INDEX('Compliance Database'!$K$2:$K$265,MATCH(226,Engine!$C$2:$C$265,0)))</f>
        <v>0</v>
      </c>
      <c r="L239" s="6" t="str">
        <f>IF(ISNA(MATCH(226,Engine!$C$2:$C$265,0)),"",INDEX('Compliance Database'!$L$2:$L$265,MATCH(226,Engine!$C$2:$C$265,0)))</f>
        <v>Reasons for the request for an audit.</v>
      </c>
      <c r="M239" s="6" t="str">
        <f>IF(ISNA(MATCH(226,Engine!$C$2:$C$265,0)),"",INDEX('Compliance Database'!$M$2:$M$265,MATCH(226,Engine!$C$2:$C$265,0)))</f>
        <v>Reasons for the request for an audit.</v>
      </c>
      <c r="N239" s="6" t="str">
        <f>IF(ISNA(MATCH(226,Engine!$C$2:$C$265,0)),"",INDEX('Compliance Database'!$N$2:$N$265,MATCH(226,Engine!$C$2:$C$265,0)))</f>
        <v>[Must] State reasons for the request for an audit.</v>
      </c>
      <c r="O239" s="6" t="str">
        <f>IF(ISNA(MATCH(226,Engine!$C$2:$C$265,0)),"",INDEX('Compliance Database'!$O$2:$O$265,MATCH(226,Engine!$C$2:$C$265,0)))</f>
        <v>4. DIE REDE VIR DIE VERSOEK OM 'N OUDIT</v>
      </c>
    </row>
    <row r="240" spans="1:15" ht="28.8" x14ac:dyDescent="0.3">
      <c r="A240" t="str">
        <f>IF(ISNA(MATCH(227,Engine!$C$2:$C$265,0)),"",INDEX('Compliance Database'!$A$2:$A$265,MATCH(227,Engine!$C$2:$C$265,0)))</f>
        <v>South Africa</v>
      </c>
      <c r="B240" t="str">
        <f>IF(ISNA(MATCH(227,Engine!$C$2:$C$265,0)),"",INDEX('Compliance Database'!$B$2:$B$265,MATCH(227,Engine!$C$2:$C$265,0)))</f>
        <v>POPIA_Regulations_-_Dec_2018</v>
      </c>
      <c r="C240" t="str">
        <f>IF(ISNA(MATCH(227,Engine!$C$2:$C$265,0)),"",INDEX('Compliance Database'!$C$2:$C$265,MATCH(227,Engine!$C$2:$C$265,0)))</f>
        <v>4</v>
      </c>
      <c r="D240" s="6" t="str">
        <f>IF(ISNA(MATCH(227,Engine!$C$2:$C$265,0)),"",INDEX('Compliance Database'!$D$2:$D$265,MATCH(227,Engine!$C$2:$C$265,0)))</f>
        <v>WAAROM 'N OUDIT GEDOEN GAAN WORD/NIE GEDOEN GAAN WORD NIE</v>
      </c>
      <c r="E240" t="str">
        <f>IF(ISNA(MATCH(227,Engine!$C$2:$C$265,0)),"",INDEX('Compliance Database'!$E$2:$E$265,MATCH(227,Engine!$C$2:$C$265,0)))</f>
        <v>75</v>
      </c>
      <c r="F240" t="str">
        <f>IF(ISNA(MATCH(227,Engine!$C$2:$C$265,0)),"",INDEX('Compliance Database'!$F$2:$F$265,MATCH(227,Engine!$C$2:$C$265,0)))</f>
        <v>Other</v>
      </c>
      <c r="G240" t="str">
        <f>IF(ISNA(MATCH(227,Engine!$C$2:$C$265,0)),"",INDEX('Compliance Database'!$G$2:$G$265,MATCH(227,Engine!$C$2:$C$265,0)))</f>
        <v>None</v>
      </c>
      <c r="H240" t="str">
        <f>IF(ISNA(MATCH(227,Engine!$C$2:$C$265,0)),"",INDEX('Compliance Database'!$H$2:$H$265,MATCH(227,Engine!$C$2:$C$265,0)))</f>
        <v>High (explicit)</v>
      </c>
      <c r="I240" s="6">
        <f>IF(ISNA(MATCH(227,Engine!$C$2:$C$265,0)),"",INDEX('Compliance Database'!$I$2:$I$265,MATCH(227,Engine!$C$2:$C$265,0)))</f>
        <v>0</v>
      </c>
      <c r="J240" s="6" t="str">
        <f>IF(ISNA(MATCH(227,Engine!$C$2:$C$265,0)),"",INDEX('Compliance Database'!$J$2:$J$265,MATCH(227,Engine!$C$2:$C$265,0)))</f>
        <v>Personal Information</v>
      </c>
      <c r="K240">
        <f>IF(ISNA(MATCH(227,Engine!$C$2:$C$265,0)),"",INDEX('Compliance Database'!$K$2:$K$265,MATCH(227,Engine!$C$2:$C$265,0)))</f>
        <v>0</v>
      </c>
      <c r="L240" s="6" t="str">
        <f>IF(ISNA(MATCH(227,Engine!$C$2:$C$265,0)),"",INDEX('Compliance Database'!$L$2:$L$265,MATCH(227,Engine!$C$2:$C$265,0)))</f>
        <v>Reasons for the request for an audit.</v>
      </c>
      <c r="M240" s="6" t="str">
        <f>IF(ISNA(MATCH(227,Engine!$C$2:$C$265,0)),"",INDEX('Compliance Database'!$M$2:$M$265,MATCH(227,Engine!$C$2:$C$265,0)))</f>
        <v>Reasons for the request for an audit.</v>
      </c>
      <c r="N240" s="6" t="str">
        <f>IF(ISNA(MATCH(227,Engine!$C$2:$C$265,0)),"",INDEX('Compliance Database'!$N$2:$N$265,MATCH(227,Engine!$C$2:$C$265,0)))</f>
        <v>[Must] State reasons for the request for an audit.</v>
      </c>
      <c r="O240" s="6" t="str">
        <f>IF(ISNA(MATCH(227,Engine!$C$2:$C$265,0)),"",INDEX('Compliance Database'!$O$2:$O$265,MATCH(227,Engine!$C$2:$C$265,0)))</f>
        <v>4. DIE REDE VIR DIE VERSOEK OM 'N OUDIT</v>
      </c>
    </row>
    <row r="241" spans="1:15" ht="86.4" x14ac:dyDescent="0.3">
      <c r="A241" t="str">
        <f>IF(ISNA(MATCH(228,Engine!$C$2:$C$265,0)),"",INDEX('Compliance Database'!$A$2:$A$265,MATCH(228,Engine!$C$2:$C$265,0)))</f>
        <v>South Africa</v>
      </c>
      <c r="B241" t="str">
        <f>IF(ISNA(MATCH(228,Engine!$C$2:$C$265,0)),"",INDEX('Compliance Database'!$B$2:$B$265,MATCH(228,Engine!$C$2:$C$265,0)))</f>
        <v>POPIA_Regulations_-_Dec_2018</v>
      </c>
      <c r="C241" t="str">
        <f>IF(ISNA(MATCH(228,Engine!$C$2:$C$265,0)),"",INDEX('Compliance Database'!$C$2:$C$265,MATCH(228,Engine!$C$2:$C$265,0)))</f>
        <v>5</v>
      </c>
      <c r="D241" s="6" t="str">
        <f>IF(ISNA(MATCH(228,Engine!$C$2:$C$265,0)),"",INDEX('Compliance Database'!$D$2:$D$265,MATCH(228,Engine!$C$2:$C$265,0)))</f>
        <v>A private or public body which is sufficiently representative of any class of</v>
      </c>
      <c r="E241" t="str">
        <f>IF(ISNA(MATCH(228,Engine!$C$2:$C$265,0)),"",INDEX('Compliance Database'!$E$2:$E$265,MATCH(228,Engine!$C$2:$C$265,0)))</f>
        <v>3–4</v>
      </c>
      <c r="F241" t="str">
        <f>IF(ISNA(MATCH(228,Engine!$C$2:$C$265,0)),"",INDEX('Compliance Database'!$F$2:$F$265,MATCH(228,Engine!$C$2:$C$265,0)))</f>
        <v>Other</v>
      </c>
      <c r="G241" t="str">
        <f>IF(ISNA(MATCH(228,Engine!$C$2:$C$265,0)),"",INDEX('Compliance Database'!$G$2:$G$265,MATCH(228,Engine!$C$2:$C$265,0)))</f>
        <v>None</v>
      </c>
      <c r="H241" t="str">
        <f>IF(ISNA(MATCH(228,Engine!$C$2:$C$265,0)),"",INDEX('Compliance Database'!$H$2:$H$265,MATCH(228,Engine!$C$2:$C$265,0)))</f>
        <v>High (explicit)</v>
      </c>
      <c r="I241" s="6">
        <f>IF(ISNA(MATCH(228,Engine!$C$2:$C$265,0)),"",INDEX('Compliance Database'!$I$2:$I$265,MATCH(228,Engine!$C$2:$C$265,0)))</f>
        <v>0</v>
      </c>
      <c r="J241" s="6" t="str">
        <f>IF(ISNA(MATCH(228,Engine!$C$2:$C$265,0)),"",INDEX('Compliance Database'!$J$2:$J$265,MATCH(228,Engine!$C$2:$C$265,0)))</f>
        <v>Personal Information</v>
      </c>
      <c r="K241">
        <f>IF(ISNA(MATCH(228,Engine!$C$2:$C$265,0)),"",INDEX('Compliance Database'!$K$2:$K$265,MATCH(228,Engine!$C$2:$C$265,0)))</f>
        <v>0</v>
      </c>
      <c r="L241" s="6" t="str">
        <f>IF(ISNA(MATCH(228,Engine!$C$2:$C$265,0)),"",INDEX('Compliance Database'!$L$2:$L$265,MATCH(228,Engine!$C$2:$C$265,0)))</f>
        <v>Private or public bodies can apply for codes of conduct to the Regulator on Form 3 for industry-specific standards.</v>
      </c>
      <c r="M241" s="6" t="str">
        <f>IF(ISNA(MATCH(228,Engine!$C$2:$C$265,0)),"",INDEX('Compliance Database'!$M$2:$M$265,MATCH(228,Engine!$C$2:$C$265,0)))</f>
        <v>Bodies can apply for codes of conduct via Form 3; Regulator may issue codes of conduct.</v>
      </c>
      <c r="N241" s="6" t="str">
        <f>IF(ISNA(MATCH(228,Engine!$C$2:$C$265,0)),"",INDEX('Compliance Database'!$N$2:$N$265,MATCH(228,Engine!$C$2:$C$265,0)))</f>
        <v>[Must] A private or public body which is sufficiently representative of any class of bodies, or of any industry, profession, or vocation that wishes to apply for the issuing of a code of conduct in terms of section 61(1)(b) of the Act, must submit an application to the Regulator on Form 3</v>
      </c>
      <c r="O241" s="6" t="str">
        <f>IF(ISNA(MATCH(228,Engine!$C$2:$C$265,0)),"",INDEX('Compliance Database'!$O$2:$O$265,MATCH(228,Engine!$C$2:$C$265,0)))</f>
        <v>A private or public body which is sufficiently representative of any class of bodies, or of any industry, profession, or vocation that wishes to apply for the issuing of a code of conduct in terms of section 61(1)(b) of the Act, must submit an application to the Regulator on Form 3.</v>
      </c>
    </row>
    <row r="242" spans="1:15" ht="28.8" x14ac:dyDescent="0.3">
      <c r="A242" t="str">
        <f>IF(ISNA(MATCH(229,Engine!$C$2:$C$265,0)),"",INDEX('Compliance Database'!$A$2:$A$265,MATCH(229,Engine!$C$2:$C$265,0)))</f>
        <v>South Africa</v>
      </c>
      <c r="B242" t="str">
        <f>IF(ISNA(MATCH(229,Engine!$C$2:$C$265,0)),"",INDEX('Compliance Database'!$B$2:$B$265,MATCH(229,Engine!$C$2:$C$265,0)))</f>
        <v>POPIA_Regulations_-_Dec_2018</v>
      </c>
      <c r="C242" t="str">
        <f>IF(ISNA(MATCH(229,Engine!$C$2:$C$265,0)),"",INDEX('Compliance Database'!$C$2:$C$265,MATCH(229,Engine!$C$2:$C$265,0)))</f>
        <v>5</v>
      </c>
      <c r="D242" s="6" t="str">
        <f>IF(ISNA(MATCH(229,Engine!$C$2:$C$265,0)),"",INDEX('Compliance Database'!$D$2:$D$265,MATCH(229,Engine!$C$2:$C$265,0)))</f>
        <v>SPECIFIC ASPECTS OF THE PROCESSING OF INFORMATION THAT THE ASSESSMENT</v>
      </c>
      <c r="E242" t="str">
        <f>IF(ISNA(MATCH(229,Engine!$C$2:$C$265,0)),"",INDEX('Compliance Database'!$E$2:$E$265,MATCH(229,Engine!$C$2:$C$265,0)))</f>
        <v>30</v>
      </c>
      <c r="F242" t="str">
        <f>IF(ISNA(MATCH(229,Engine!$C$2:$C$265,0)),"",INDEX('Compliance Database'!$F$2:$F$265,MATCH(229,Engine!$C$2:$C$265,0)))</f>
        <v>Other</v>
      </c>
      <c r="G242" t="str">
        <f>IF(ISNA(MATCH(229,Engine!$C$2:$C$265,0)),"",INDEX('Compliance Database'!$G$2:$G$265,MATCH(229,Engine!$C$2:$C$265,0)))</f>
        <v>Unknown</v>
      </c>
      <c r="H242" t="str">
        <f>IF(ISNA(MATCH(229,Engine!$C$2:$C$265,0)),"",INDEX('Compliance Database'!$H$2:$H$265,MATCH(229,Engine!$C$2:$C$265,0)))</f>
        <v>Low</v>
      </c>
      <c r="I242" s="6">
        <f>IF(ISNA(MATCH(229,Engine!$C$2:$C$265,0)),"",INDEX('Compliance Database'!$I$2:$I$265,MATCH(229,Engine!$C$2:$C$265,0)))</f>
        <v>0</v>
      </c>
      <c r="J242" s="6">
        <f>IF(ISNA(MATCH(229,Engine!$C$2:$C$265,0)),"",INDEX('Compliance Database'!$J$2:$J$265,MATCH(229,Engine!$C$2:$C$265,0)))</f>
        <v>0</v>
      </c>
      <c r="K242">
        <f>IF(ISNA(MATCH(229,Engine!$C$2:$C$265,0)),"",INDEX('Compliance Database'!$K$2:$K$265,MATCH(229,Engine!$C$2:$C$265,0)))</f>
        <v>0</v>
      </c>
      <c r="L242" s="6">
        <f>IF(ISNA(MATCH(229,Engine!$C$2:$C$265,0)),"",INDEX('Compliance Database'!$L$2:$L$265,MATCH(229,Engine!$C$2:$C$265,0)))</f>
        <v>0</v>
      </c>
      <c r="M242" s="6">
        <f>IF(ISNA(MATCH(229,Engine!$C$2:$C$265,0)),"",INDEX('Compliance Database'!$M$2:$M$265,MATCH(229,Engine!$C$2:$C$265,0)))</f>
        <v>0</v>
      </c>
      <c r="N242" s="6">
        <f>IF(ISNA(MATCH(229,Engine!$C$2:$C$265,0)),"",INDEX('Compliance Database'!$N$2:$N$265,MATCH(229,Engine!$C$2:$C$265,0)))</f>
        <v>0</v>
      </c>
      <c r="O242" s="6">
        <f>IF(ISNA(MATCH(229,Engine!$C$2:$C$265,0)),"",INDEX('Compliance Database'!$O$2:$O$265,MATCH(229,Engine!$C$2:$C$265,0)))</f>
        <v>0</v>
      </c>
    </row>
    <row r="243" spans="1:15" ht="43.2" x14ac:dyDescent="0.3">
      <c r="A243" t="str">
        <f>IF(ISNA(MATCH(230,Engine!$C$2:$C$265,0)),"",INDEX('Compliance Database'!$A$2:$A$265,MATCH(230,Engine!$C$2:$C$265,0)))</f>
        <v>South Africa</v>
      </c>
      <c r="B243" t="str">
        <f>IF(ISNA(MATCH(230,Engine!$C$2:$C$265,0)),"",INDEX('Compliance Database'!$B$2:$B$265,MATCH(230,Engine!$C$2:$C$265,0)))</f>
        <v>POPIA_Regulations_-_Dec_2018</v>
      </c>
      <c r="C243" t="str">
        <f>IF(ISNA(MATCH(230,Engine!$C$2:$C$265,0)),"",INDEX('Compliance Database'!$C$2:$C$265,MATCH(230,Engine!$C$2:$C$265,0)))</f>
        <v>5</v>
      </c>
      <c r="D243" s="6" t="str">
        <f>IF(ISNA(MATCH(230,Engine!$C$2:$C$265,0)),"",INDEX('Compliance Database'!$D$2:$D$265,MATCH(230,Engine!$C$2:$C$265,0)))</f>
        <v>SPECIFIC ASPECTS OF THE PROCESSING OF INFORMATION THAT THE ASSESSMENT</v>
      </c>
      <c r="E243" t="str">
        <f>IF(ISNA(MATCH(230,Engine!$C$2:$C$265,0)),"",INDEX('Compliance Database'!$E$2:$E$265,MATCH(230,Engine!$C$2:$C$265,0)))</f>
        <v>31–45</v>
      </c>
      <c r="F243" t="str">
        <f>IF(ISNA(MATCH(230,Engine!$C$2:$C$265,0)),"",INDEX('Compliance Database'!$F$2:$F$265,MATCH(230,Engine!$C$2:$C$265,0)))</f>
        <v>Other</v>
      </c>
      <c r="G243" t="str">
        <f>IF(ISNA(MATCH(230,Engine!$C$2:$C$265,0)),"",INDEX('Compliance Database'!$G$2:$G$265,MATCH(230,Engine!$C$2:$C$265,0)))</f>
        <v>Low</v>
      </c>
      <c r="H243" t="str">
        <f>IF(ISNA(MATCH(230,Engine!$C$2:$C$265,0)),"",INDEX('Compliance Database'!$H$2:$H$265,MATCH(230,Engine!$C$2:$C$265,0)))</f>
        <v>High (explicit)</v>
      </c>
      <c r="I243" s="6">
        <f>IF(ISNA(MATCH(230,Engine!$C$2:$C$265,0)),"",INDEX('Compliance Database'!$I$2:$I$265,MATCH(230,Engine!$C$2:$C$265,0)))</f>
        <v>0</v>
      </c>
      <c r="J243" s="6">
        <f>IF(ISNA(MATCH(230,Engine!$C$2:$C$265,0)),"",INDEX('Compliance Database'!$J$2:$J$265,MATCH(230,Engine!$C$2:$C$265,0)))</f>
        <v>0</v>
      </c>
      <c r="K243">
        <f>IF(ISNA(MATCH(230,Engine!$C$2:$C$265,0)),"",INDEX('Compliance Database'!$K$2:$K$265,MATCH(230,Engine!$C$2:$C$265,0)))</f>
        <v>0</v>
      </c>
      <c r="L243" s="6" t="str">
        <f>IF(ISNA(MATCH(230,Engine!$C$2:$C$265,0)),"",INDEX('Compliance Database'!$L$2:$L$265,MATCH(230,Engine!$C$2:$C$265,0)))</f>
        <v>Specific aspects of processing that assessment should address are specified.</v>
      </c>
      <c r="M243" s="6" t="str">
        <f>IF(ISNA(MATCH(230,Engine!$C$2:$C$265,0)),"",INDEX('Compliance Database'!$M$2:$M$265,MATCH(230,Engine!$C$2:$C$265,0)))</f>
        <v>Specific aspects of processing that assessment should address are specified for compliance with POPIA.</v>
      </c>
      <c r="N243" s="6" t="str">
        <f>IF(ISNA(MATCH(230,Engine!$C$2:$C$265,0)),"",INDEX('Compliance Database'!$N$2:$N$265,MATCH(230,Engine!$C$2:$C$265,0)))</f>
        <v>[Must] Specific aspects of processing of information that the assessment should address are specified</v>
      </c>
      <c r="O243" s="6" t="str">
        <f>IF(ISNA(MATCH(230,Engine!$C$2:$C$265,0)),"",INDEX('Compliance Database'!$O$2:$O$265,MATCH(230,Engine!$C$2:$C$265,0)))</f>
        <v>5. SPECIFIC ASPECTS OF THE PROCESSING OF INFORMATION THAT THE ASSESSMENT SHOULD ADDRESS</v>
      </c>
    </row>
    <row r="244" spans="1:15" ht="86.4" x14ac:dyDescent="0.3">
      <c r="A244" t="str">
        <f>IF(ISNA(MATCH(231,Engine!$C$2:$C$265,0)),"",INDEX('Compliance Database'!$A$2:$A$265,MATCH(231,Engine!$C$2:$C$265,0)))</f>
        <v>South Africa</v>
      </c>
      <c r="B244" t="str">
        <f>IF(ISNA(MATCH(231,Engine!$C$2:$C$265,0)),"",INDEX('Compliance Database'!$B$2:$B$265,MATCH(231,Engine!$C$2:$C$265,0)))</f>
        <v>POPIA_Regulations_-_Dec_2018</v>
      </c>
      <c r="C244" t="str">
        <f>IF(ISNA(MATCH(231,Engine!$C$2:$C$265,0)),"",INDEX('Compliance Database'!$C$2:$C$265,MATCH(231,Engine!$C$2:$C$265,0)))</f>
        <v>5</v>
      </c>
      <c r="D244" s="6" t="str">
        <f>IF(ISNA(MATCH(231,Engine!$C$2:$C$265,0)),"",INDEX('Compliance Database'!$D$2:$D$265,MATCH(231,Engine!$C$2:$C$265,0)))</f>
        <v>‟n Privaat of openbare liggaam wat voldoende verteenwoordigend van enige klas</v>
      </c>
      <c r="E244" t="str">
        <f>IF(ISNA(MATCH(231,Engine!$C$2:$C$265,0)),"",INDEX('Compliance Database'!$E$2:$E$265,MATCH(231,Engine!$C$2:$C$265,0)))</f>
        <v>47–48</v>
      </c>
      <c r="F244" t="str">
        <f>IF(ISNA(MATCH(231,Engine!$C$2:$C$265,0)),"",INDEX('Compliance Database'!$F$2:$F$265,MATCH(231,Engine!$C$2:$C$265,0)))</f>
        <v>Data Subject Rights</v>
      </c>
      <c r="G244" t="str">
        <f>IF(ISNA(MATCH(231,Engine!$C$2:$C$265,0)),"",INDEX('Compliance Database'!$G$2:$G$265,MATCH(231,Engine!$C$2:$C$265,0)))</f>
        <v>Low</v>
      </c>
      <c r="H244" t="str">
        <f>IF(ISNA(MATCH(231,Engine!$C$2:$C$265,0)),"",INDEX('Compliance Database'!$H$2:$H$265,MATCH(231,Engine!$C$2:$C$265,0)))</f>
        <v>High (explicit)</v>
      </c>
      <c r="I244" s="6">
        <f>IF(ISNA(MATCH(231,Engine!$C$2:$C$265,0)),"",INDEX('Compliance Database'!$I$2:$I$265,MATCH(231,Engine!$C$2:$C$265,0)))</f>
        <v>0</v>
      </c>
      <c r="J244" s="6" t="str">
        <f>IF(ISNA(MATCH(231,Engine!$C$2:$C$265,0)),"",INDEX('Compliance Database'!$J$2:$J$265,MATCH(231,Engine!$C$2:$C$265,0)))</f>
        <v>Personal Information</v>
      </c>
      <c r="K244" t="str">
        <f>IF(ISNA(MATCH(231,Engine!$C$2:$C$265,0)),"",INDEX('Compliance Database'!$K$2:$K$265,MATCH(231,Engine!$C$2:$C$265,0)))</f>
        <v>Regulator</v>
      </c>
      <c r="L244" s="6" t="str">
        <f>IF(ISNA(MATCH(231,Engine!$C$2:$C$265,0)),"",INDEX('Compliance Database'!$L$2:$L$265,MATCH(231,Engine!$C$2:$C$265,0)))</f>
        <v>Organizations must submit a request form to the regulator for the issuance of a code of conduct under Article 61(1)(b) of the Act.</v>
      </c>
      <c r="M244" s="6" t="str">
        <f>IF(ISNA(MATCH(231,Engine!$C$2:$C$265,0)),"",INDEX('Compliance Database'!$M$2:$M$265,MATCH(231,Engine!$C$2:$C$265,0)))</f>
        <v>Organizations can request a code of conduct via Form 3; regulator must process the request.</v>
      </c>
      <c r="N244" s="6" t="str">
        <f>IF(ISNA(MATCH(231,Engine!$C$2:$C$265,0)),"",INDEX('Compliance Database'!$N$2:$N$265,MATCH(231,Engine!$C$2:$C$265,0)))</f>
        <v>[Must] Organization must submit Form 3 to regulator for code of conduct under Article 61(1)(b) of the Act</v>
      </c>
      <c r="O244" s="6" t="str">
        <f>IF(ISNA(MATCH(231,Engine!$C$2:$C$265,0)),"",INDEX('Compliance Database'!$O$2:$O$265,MATCH(231,Engine!$C$2:$C$265,0)))</f>
        <v>„n Privaat of openbare liggaam wat voldoende verteenwoordigend van enige klas van liggame, of van enige nywerheid, professie of ambag is wat om die uitreiking van ‟n gedragskode ingevolge artikel 61(1)(b) van die Wet wil aansoek doen, moet ‟n aansoek op Vorm 3 aan die Reguleerder voorlê.</v>
      </c>
    </row>
    <row r="245" spans="1:15" ht="28.8" x14ac:dyDescent="0.3">
      <c r="A245" t="str">
        <f>IF(ISNA(MATCH(232,Engine!$C$2:$C$265,0)),"",INDEX('Compliance Database'!$A$2:$A$265,MATCH(232,Engine!$C$2:$C$265,0)))</f>
        <v>South Africa</v>
      </c>
      <c r="B245" t="str">
        <f>IF(ISNA(MATCH(232,Engine!$C$2:$C$265,0)),"",INDEX('Compliance Database'!$B$2:$B$265,MATCH(232,Engine!$C$2:$C$265,0)))</f>
        <v>POPIA_Regulations_-_Dec_2018</v>
      </c>
      <c r="C245" t="str">
        <f>IF(ISNA(MATCH(232,Engine!$C$2:$C$265,0)),"",INDEX('Compliance Database'!$C$2:$C$265,MATCH(232,Engine!$C$2:$C$265,0)))</f>
        <v>5</v>
      </c>
      <c r="D245" s="6" t="str">
        <f>IF(ISNA(MATCH(232,Engine!$C$2:$C$265,0)),"",INDEX('Compliance Database'!$D$2:$D$265,MATCH(232,Engine!$C$2:$C$265,0)))</f>
        <v>SPESIFIEKE ASPEKTE VAN DIE VERWERKING VAN INLIGTING WAAROP DIE OUDIT MOET</v>
      </c>
      <c r="E245" t="str">
        <f>IF(ISNA(MATCH(232,Engine!$C$2:$C$265,0)),"",INDEX('Compliance Database'!$E$2:$E$265,MATCH(232,Engine!$C$2:$C$265,0)))</f>
        <v>74</v>
      </c>
      <c r="F245" t="str">
        <f>IF(ISNA(MATCH(232,Engine!$C$2:$C$265,0)),"",INDEX('Compliance Database'!$F$2:$F$265,MATCH(232,Engine!$C$2:$C$265,0)))</f>
        <v>Other</v>
      </c>
      <c r="G245" t="str">
        <f>IF(ISNA(MATCH(232,Engine!$C$2:$C$265,0)),"",INDEX('Compliance Database'!$G$2:$G$265,MATCH(232,Engine!$C$2:$C$265,0)))</f>
        <v>None</v>
      </c>
      <c r="H245" t="str">
        <f>IF(ISNA(MATCH(232,Engine!$C$2:$C$265,0)),"",INDEX('Compliance Database'!$H$2:$H$265,MATCH(232,Engine!$C$2:$C$265,0)))</f>
        <v>High (explicit)</v>
      </c>
      <c r="I245" s="6">
        <f>IF(ISNA(MATCH(232,Engine!$C$2:$C$265,0)),"",INDEX('Compliance Database'!$I$2:$I$265,MATCH(232,Engine!$C$2:$C$265,0)))</f>
        <v>0</v>
      </c>
      <c r="J245" s="6" t="str">
        <f>IF(ISNA(MATCH(232,Engine!$C$2:$C$265,0)),"",INDEX('Compliance Database'!$J$2:$J$265,MATCH(232,Engine!$C$2:$C$265,0)))</f>
        <v>Personal Information</v>
      </c>
      <c r="K245">
        <f>IF(ISNA(MATCH(232,Engine!$C$2:$C$265,0)),"",INDEX('Compliance Database'!$K$2:$K$265,MATCH(232,Engine!$C$2:$C$265,0)))</f>
        <v>0</v>
      </c>
      <c r="L245" s="6" t="str">
        <f>IF(ISNA(MATCH(232,Engine!$C$2:$C$265,0)),"",INDEX('Compliance Database'!$L$2:$L$265,MATCH(232,Engine!$C$2:$C$265,0)))</f>
        <v>Specific aspects of information processing that the audit must cover.</v>
      </c>
      <c r="M245" s="6" t="str">
        <f>IF(ISNA(MATCH(232,Engine!$C$2:$C$265,0)),"",INDEX('Compliance Database'!$M$2:$M$265,MATCH(232,Engine!$C$2:$C$265,0)))</f>
        <v>Specific aspects of information processing that the audit must cover.</v>
      </c>
      <c r="N245" s="6" t="str">
        <f>IF(ISNA(MATCH(232,Engine!$C$2:$C$265,0)),"",INDEX('Compliance Database'!$N$2:$N$265,MATCH(232,Engine!$C$2:$C$265,0)))</f>
        <v>[Must] Specify specific aspects of information processing that the audit must cover.</v>
      </c>
      <c r="O245" s="6" t="str">
        <f>IF(ISNA(MATCH(232,Engine!$C$2:$C$265,0)),"",INDEX('Compliance Database'!$O$2:$O$265,MATCH(232,Engine!$C$2:$C$265,0)))</f>
        <v>5. SPESIFIEKE ASPEKTE VAN DIE VERWERKING VAN INLIGTING WAAROP DIE OUDIT MOET INGAAN</v>
      </c>
    </row>
    <row r="246" spans="1:15" ht="28.8" x14ac:dyDescent="0.3">
      <c r="A246" t="str">
        <f>IF(ISNA(MATCH(233,Engine!$C$2:$C$265,0)),"",INDEX('Compliance Database'!$A$2:$A$265,MATCH(233,Engine!$C$2:$C$265,0)))</f>
        <v>South Africa</v>
      </c>
      <c r="B246" t="str">
        <f>IF(ISNA(MATCH(233,Engine!$C$2:$C$265,0)),"",INDEX('Compliance Database'!$B$2:$B$265,MATCH(233,Engine!$C$2:$C$265,0)))</f>
        <v>POPIA_Regulations_-_Dec_2018</v>
      </c>
      <c r="C246" t="str">
        <f>IF(ISNA(MATCH(233,Engine!$C$2:$C$265,0)),"",INDEX('Compliance Database'!$C$2:$C$265,MATCH(233,Engine!$C$2:$C$265,0)))</f>
        <v>5</v>
      </c>
      <c r="D246" s="6" t="str">
        <f>IF(ISNA(MATCH(233,Engine!$C$2:$C$265,0)),"",INDEX('Compliance Database'!$D$2:$D$265,MATCH(233,Engine!$C$2:$C$265,0)))</f>
        <v>SPESIFIEKE ASPEKTE VAN DIE VERWERKING VAN INLIGTING WAAROP DIE OUDIT MOET</v>
      </c>
      <c r="E246" t="str">
        <f>IF(ISNA(MATCH(233,Engine!$C$2:$C$265,0)),"",INDEX('Compliance Database'!$E$2:$E$265,MATCH(233,Engine!$C$2:$C$265,0)))</f>
        <v>75–89</v>
      </c>
      <c r="F246" t="str">
        <f>IF(ISNA(MATCH(233,Engine!$C$2:$C$265,0)),"",INDEX('Compliance Database'!$F$2:$F$265,MATCH(233,Engine!$C$2:$C$265,0)))</f>
        <v>Other</v>
      </c>
      <c r="G246" t="str">
        <f>IF(ISNA(MATCH(233,Engine!$C$2:$C$265,0)),"",INDEX('Compliance Database'!$G$2:$G$265,MATCH(233,Engine!$C$2:$C$265,0)))</f>
        <v>None</v>
      </c>
      <c r="H246" t="str">
        <f>IF(ISNA(MATCH(233,Engine!$C$2:$C$265,0)),"",INDEX('Compliance Database'!$H$2:$H$265,MATCH(233,Engine!$C$2:$C$265,0)))</f>
        <v>High (explicit)</v>
      </c>
      <c r="I246" s="6">
        <f>IF(ISNA(MATCH(233,Engine!$C$2:$C$265,0)),"",INDEX('Compliance Database'!$I$2:$I$265,MATCH(233,Engine!$C$2:$C$265,0)))</f>
        <v>0</v>
      </c>
      <c r="J246" s="6">
        <f>IF(ISNA(MATCH(233,Engine!$C$2:$C$265,0)),"",INDEX('Compliance Database'!$J$2:$J$265,MATCH(233,Engine!$C$2:$C$265,0)))</f>
        <v>0</v>
      </c>
      <c r="K246">
        <f>IF(ISNA(MATCH(233,Engine!$C$2:$C$265,0)),"",INDEX('Compliance Database'!$K$2:$K$265,MATCH(233,Engine!$C$2:$C$265,0)))</f>
        <v>0</v>
      </c>
      <c r="L246" s="6" t="str">
        <f>IF(ISNA(MATCH(233,Engine!$C$2:$C$265,0)),"",INDEX('Compliance Database'!$L$2:$L$265,MATCH(233,Engine!$C$2:$C$265,0)))</f>
        <v>Section 5 outlines specific aspects of information processing that the auditor must review.</v>
      </c>
      <c r="M246" s="6">
        <f>IF(ISNA(MATCH(233,Engine!$C$2:$C$265,0)),"",INDEX('Compliance Database'!$M$2:$M$265,MATCH(233,Engine!$C$2:$C$265,0)))</f>
        <v>0</v>
      </c>
      <c r="N246" s="6">
        <f>IF(ISNA(MATCH(233,Engine!$C$2:$C$265,0)),"",INDEX('Compliance Database'!$N$2:$N$265,MATCH(233,Engine!$C$2:$C$265,0)))</f>
        <v>0</v>
      </c>
      <c r="O246" s="6" t="str">
        <f>IF(ISNA(MATCH(233,Engine!$C$2:$C$265,0)),"",INDEX('Compliance Database'!$O$2:$O$265,MATCH(233,Engine!$C$2:$C$265,0)))</f>
        <v>5. SPESIFIEKE ASPEKTE VAN DIE VERWERKING VAN INLIGTING WAAROP DIE OUDIT MOET INGAAN</v>
      </c>
    </row>
    <row r="247" spans="1:15" ht="86.4" x14ac:dyDescent="0.3">
      <c r="A247" t="str">
        <f>IF(ISNA(MATCH(234,Engine!$C$2:$C$265,0)),"",INDEX('Compliance Database'!$A$2:$A$265,MATCH(234,Engine!$C$2:$C$265,0)))</f>
        <v>South Africa</v>
      </c>
      <c r="B247" t="str">
        <f>IF(ISNA(MATCH(234,Engine!$C$2:$C$265,0)),"",INDEX('Compliance Database'!$B$2:$B$265,MATCH(234,Engine!$C$2:$C$265,0)))</f>
        <v>POPIA_Regulations_-_Dec_2018</v>
      </c>
      <c r="C247" t="str">
        <f>IF(ISNA(MATCH(234,Engine!$C$2:$C$265,0)),"",INDEX('Compliance Database'!$C$2:$C$265,MATCH(234,Engine!$C$2:$C$265,0)))</f>
        <v>6</v>
      </c>
      <c r="D247" s="6" t="str">
        <f>IF(ISNA(MATCH(234,Engine!$C$2:$C$265,0)),"",INDEX('Compliance Database'!$D$2:$D$265,MATCH(234,Engine!$C$2:$C$265,0)))</f>
        <v>A responsible party who wishes to process personal information of a data subject</v>
      </c>
      <c r="E247" t="str">
        <f>IF(ISNA(MATCH(234,Engine!$C$2:$C$265,0)),"",INDEX('Compliance Database'!$E$2:$E$265,MATCH(234,Engine!$C$2:$C$265,0)))</f>
        <v>4</v>
      </c>
      <c r="F247" t="str">
        <f>IF(ISNA(MATCH(234,Engine!$C$2:$C$265,0)),"",INDEX('Compliance Database'!$F$2:$F$265,MATCH(234,Engine!$C$2:$C$265,0)))</f>
        <v>Consent</v>
      </c>
      <c r="G247" t="str">
        <f>IF(ISNA(MATCH(234,Engine!$C$2:$C$265,0)),"",INDEX('Compliance Database'!$G$2:$G$265,MATCH(234,Engine!$C$2:$C$265,0)))</f>
        <v>None</v>
      </c>
      <c r="H247" t="str">
        <f>IF(ISNA(MATCH(234,Engine!$C$2:$C$265,0)),"",INDEX('Compliance Database'!$H$2:$H$265,MATCH(234,Engine!$C$2:$C$265,0)))</f>
        <v>High (explicit)</v>
      </c>
      <c r="I247" s="6" t="str">
        <f>IF(ISNA(MATCH(234,Engine!$C$2:$C$265,0)),"",INDEX('Compliance Database'!$I$2:$I$265,MATCH(234,Engine!$C$2:$C$265,0)))</f>
        <v>Consent</v>
      </c>
      <c r="J247" s="6" t="str">
        <f>IF(ISNA(MATCH(234,Engine!$C$2:$C$265,0)),"",INDEX('Compliance Database'!$J$2:$J$265,MATCH(234,Engine!$C$2:$C$265,0)))</f>
        <v>Personal Information</v>
      </c>
      <c r="K247">
        <f>IF(ISNA(MATCH(234,Engine!$C$2:$C$265,0)),"",INDEX('Compliance Database'!$K$2:$K$265,MATCH(234,Engine!$C$2:$C$265,0)))</f>
        <v>0</v>
      </c>
      <c r="L247" s="6" t="str">
        <f>IF(ISNA(MATCH(234,Engine!$C$2:$C$265,0)),"",INDEX('Compliance Database'!$L$2:$L$265,MATCH(234,Engine!$C$2:$C$265,0)))</f>
        <v>Responsible parties must obtain written consent for direct marketing via electronic communication using Form 4.</v>
      </c>
      <c r="M247" s="6" t="str">
        <f>IF(ISNA(MATCH(234,Engine!$C$2:$C$265,0)),"",INDEX('Compliance Database'!$M$2:$M$265,MATCH(234,Engine!$C$2:$C$265,0)))</f>
        <v>Responsible parties must obtain written consent for direct marketing via Form 4.</v>
      </c>
      <c r="N247" s="6" t="str">
        <f>IF(ISNA(MATCH(234,Engine!$C$2:$C$265,0)),"",INDEX('Compliance Database'!$N$2:$N$265,MATCH(234,Engine!$C$2:$C$265,0)))</f>
        <v>[Must] A responsible party who wishes to process personal information of a data subject for the purpose of direct marketing by electronic communication must in terms of section 69(2) of the Act submit a request for written consent to that data subject on Form 4</v>
      </c>
      <c r="O247" s="6" t="str">
        <f>IF(ISNA(MATCH(234,Engine!$C$2:$C$265,0)),"",INDEX('Compliance Database'!$O$2:$O$265,MATCH(234,Engine!$C$2:$C$265,0)))</f>
        <v>A responsible party who wishes to process personal information of a data subject for the purpose of direct marketing by electronic communication must in terms of section 69(2) of the Act submit a request for written consent to that data subject on Form 4.</v>
      </c>
    </row>
    <row r="248" spans="1:15" x14ac:dyDescent="0.3">
      <c r="A248" t="str">
        <f>IF(ISNA(MATCH(235,Engine!$C$2:$C$265,0)),"",INDEX('Compliance Database'!$A$2:$A$265,MATCH(235,Engine!$C$2:$C$265,0)))</f>
        <v>South Africa</v>
      </c>
      <c r="B248" t="str">
        <f>IF(ISNA(MATCH(235,Engine!$C$2:$C$265,0)),"",INDEX('Compliance Database'!$B$2:$B$265,MATCH(235,Engine!$C$2:$C$265,0)))</f>
        <v>POPIA_Regulations_-_Dec_2018</v>
      </c>
      <c r="C248" t="str">
        <f>IF(ISNA(MATCH(235,Engine!$C$2:$C$265,0)),"",INDEX('Compliance Database'!$C$2:$C$265,MATCH(235,Engine!$C$2:$C$265,0)))</f>
        <v>6</v>
      </c>
      <c r="D248" s="6" t="str">
        <f>IF(ISNA(MATCH(235,Engine!$C$2:$C$265,0)),"",INDEX('Compliance Database'!$D$2:$D$265,MATCH(235,Engine!$C$2:$C$265,0)))</f>
        <v>PERIOD</v>
      </c>
      <c r="E248" t="str">
        <f>IF(ISNA(MATCH(235,Engine!$C$2:$C$265,0)),"",INDEX('Compliance Database'!$E$2:$E$265,MATCH(235,Engine!$C$2:$C$265,0)))</f>
        <v>30</v>
      </c>
      <c r="F248" t="str">
        <f>IF(ISNA(MATCH(235,Engine!$C$2:$C$265,0)),"",INDEX('Compliance Database'!$F$2:$F$265,MATCH(235,Engine!$C$2:$C$265,0)))</f>
        <v>Other</v>
      </c>
      <c r="G248" t="str">
        <f>IF(ISNA(MATCH(235,Engine!$C$2:$C$265,0)),"",INDEX('Compliance Database'!$G$2:$G$265,MATCH(235,Engine!$C$2:$C$265,0)))</f>
        <v>Unknown</v>
      </c>
      <c r="H248" t="str">
        <f>IF(ISNA(MATCH(235,Engine!$C$2:$C$265,0)),"",INDEX('Compliance Database'!$H$2:$H$265,MATCH(235,Engine!$C$2:$C$265,0)))</f>
        <v>Low</v>
      </c>
      <c r="I248" s="6">
        <f>IF(ISNA(MATCH(235,Engine!$C$2:$C$265,0)),"",INDEX('Compliance Database'!$I$2:$I$265,MATCH(235,Engine!$C$2:$C$265,0)))</f>
        <v>0</v>
      </c>
      <c r="J248" s="6">
        <f>IF(ISNA(MATCH(235,Engine!$C$2:$C$265,0)),"",INDEX('Compliance Database'!$J$2:$J$265,MATCH(235,Engine!$C$2:$C$265,0)))</f>
        <v>0</v>
      </c>
      <c r="K248">
        <f>IF(ISNA(MATCH(235,Engine!$C$2:$C$265,0)),"",INDEX('Compliance Database'!$K$2:$K$265,MATCH(235,Engine!$C$2:$C$265,0)))</f>
        <v>0</v>
      </c>
      <c r="L248" s="6">
        <f>IF(ISNA(MATCH(235,Engine!$C$2:$C$265,0)),"",INDEX('Compliance Database'!$L$2:$L$265,MATCH(235,Engine!$C$2:$C$265,0)))</f>
        <v>0</v>
      </c>
      <c r="M248" s="6">
        <f>IF(ISNA(MATCH(235,Engine!$C$2:$C$265,0)),"",INDEX('Compliance Database'!$M$2:$M$265,MATCH(235,Engine!$C$2:$C$265,0)))</f>
        <v>0</v>
      </c>
      <c r="N248" s="6">
        <f>IF(ISNA(MATCH(235,Engine!$C$2:$C$265,0)),"",INDEX('Compliance Database'!$N$2:$N$265,MATCH(235,Engine!$C$2:$C$265,0)))</f>
        <v>0</v>
      </c>
      <c r="O248" s="6">
        <f>IF(ISNA(MATCH(235,Engine!$C$2:$C$265,0)),"",INDEX('Compliance Database'!$O$2:$O$265,MATCH(235,Engine!$C$2:$C$265,0)))</f>
        <v>0</v>
      </c>
    </row>
    <row r="249" spans="1:15" ht="86.4" x14ac:dyDescent="0.3">
      <c r="A249" t="str">
        <f>IF(ISNA(MATCH(236,Engine!$C$2:$C$265,0)),"",INDEX('Compliance Database'!$A$2:$A$265,MATCH(236,Engine!$C$2:$C$265,0)))</f>
        <v>South Africa</v>
      </c>
      <c r="B249" t="str">
        <f>IF(ISNA(MATCH(236,Engine!$C$2:$C$265,0)),"",INDEX('Compliance Database'!$B$2:$B$265,MATCH(236,Engine!$C$2:$C$265,0)))</f>
        <v>POPIA_Regulations_-_Dec_2018</v>
      </c>
      <c r="C249" t="str">
        <f>IF(ISNA(MATCH(236,Engine!$C$2:$C$265,0)),"",INDEX('Compliance Database'!$C$2:$C$265,MATCH(236,Engine!$C$2:$C$265,0)))</f>
        <v>6</v>
      </c>
      <c r="D249" s="6" t="str">
        <f>IF(ISNA(MATCH(236,Engine!$C$2:$C$265,0)),"",INDEX('Compliance Database'!$D$2:$D$265,MATCH(236,Engine!$C$2:$C$265,0)))</f>
        <v>„n Verantwoordelike party wat die persoonlike inligting van ‟n datasubjek wil</v>
      </c>
      <c r="E249" t="str">
        <f>IF(ISNA(MATCH(236,Engine!$C$2:$C$265,0)),"",INDEX('Compliance Database'!$E$2:$E$265,MATCH(236,Engine!$C$2:$C$265,0)))</f>
        <v>48</v>
      </c>
      <c r="F249" t="str">
        <f>IF(ISNA(MATCH(236,Engine!$C$2:$C$265,0)),"",INDEX('Compliance Database'!$F$2:$F$265,MATCH(236,Engine!$C$2:$C$265,0)))</f>
        <v>Data Subject Rights</v>
      </c>
      <c r="G249" t="str">
        <f>IF(ISNA(MATCH(236,Engine!$C$2:$C$265,0)),"",INDEX('Compliance Database'!$G$2:$G$265,MATCH(236,Engine!$C$2:$C$265,0)))</f>
        <v>Low</v>
      </c>
      <c r="H249" t="str">
        <f>IF(ISNA(MATCH(236,Engine!$C$2:$C$265,0)),"",INDEX('Compliance Database'!$H$2:$H$265,MATCH(236,Engine!$C$2:$C$265,0)))</f>
        <v>High (explicit)</v>
      </c>
      <c r="I249" s="6" t="str">
        <f>IF(ISNA(MATCH(236,Engine!$C$2:$C$265,0)),"",INDEX('Compliance Database'!$I$2:$I$265,MATCH(236,Engine!$C$2:$C$265,0)))</f>
        <v>Consent</v>
      </c>
      <c r="J249" s="6" t="str">
        <f>IF(ISNA(MATCH(236,Engine!$C$2:$C$265,0)),"",INDEX('Compliance Database'!$J$2:$J$265,MATCH(236,Engine!$C$2:$C$265,0)))</f>
        <v>Personal Information</v>
      </c>
      <c r="K249" t="str">
        <f>IF(ISNA(MATCH(236,Engine!$C$2:$C$265,0)),"",INDEX('Compliance Database'!$K$2:$K$265,MATCH(236,Engine!$C$2:$C$265,0)))</f>
        <v>Responsible party</v>
      </c>
      <c r="L249" s="6" t="str">
        <f>IF(ISNA(MATCH(236,Engine!$C$2:$C$265,0)),"",INDEX('Compliance Database'!$L$2:$L$265,MATCH(236,Engine!$C$2:$C$265,0)))</f>
        <v>Responsible parties must obtain written consent from data subjects for direct marketing via electronic communication under Article 69(2) of the Act.</v>
      </c>
      <c r="M249" s="6" t="str">
        <f>IF(ISNA(MATCH(236,Engine!$C$2:$C$265,0)),"",INDEX('Compliance Database'!$M$2:$M$265,MATCH(236,Engine!$C$2:$C$265,0)))</f>
        <v>Responsible parties must obtain written consent for direct marketing via Form 4; data subjects must provide consent for electronic communication.</v>
      </c>
      <c r="N249" s="6" t="str">
        <f>IF(ISNA(MATCH(236,Engine!$C$2:$C$265,0)),"",INDEX('Compliance Database'!$N$2:$N$265,MATCH(236,Engine!$C$2:$C$265,0)))</f>
        <v>[Must] Responsible party must obtain written consent from data subject for direct marketing via electronic communication under Article 69(2) of the Act</v>
      </c>
      <c r="O249" s="6" t="str">
        <f>IF(ISNA(MATCH(236,Engine!$C$2:$C$265,0)),"",INDEX('Compliance Database'!$O$2:$O$265,MATCH(236,Engine!$C$2:$C$265,0)))</f>
        <v>„n Verantwoordelike party wat die persoonlike inligting van ‟n datasubjek wil verwerk met die oog op regstreekse bemarking deur elektroniese kommunikasie moet ingevolge artikel 69(2) van die Wet ‟n versoek om skriftelike toestemming op Vorm 4 aan daardie datasubjek voorlê.</v>
      </c>
    </row>
    <row r="250" spans="1:15" ht="72" x14ac:dyDescent="0.3">
      <c r="A250" t="str">
        <f>IF(ISNA(MATCH(237,Engine!$C$2:$C$265,0)),"",INDEX('Compliance Database'!$A$2:$A$265,MATCH(237,Engine!$C$2:$C$265,0)))</f>
        <v>South Africa</v>
      </c>
      <c r="B250" t="str">
        <f>IF(ISNA(MATCH(237,Engine!$C$2:$C$265,0)),"",INDEX('Compliance Database'!$B$2:$B$265,MATCH(237,Engine!$C$2:$C$265,0)))</f>
        <v>POPIA_Regulations_-_Dec_2018</v>
      </c>
      <c r="C250" t="str">
        <f>IF(ISNA(MATCH(237,Engine!$C$2:$C$265,0)),"",INDEX('Compliance Database'!$C$2:$C$265,MATCH(237,Engine!$C$2:$C$265,0)))</f>
        <v>6</v>
      </c>
      <c r="D250" s="6" t="str">
        <f>IF(ISNA(MATCH(237,Engine!$C$2:$C$265,0)),"",INDEX('Compliance Database'!$D$2:$D$265,MATCH(237,Engine!$C$2:$C$265,0)))</f>
        <v>TYDPERK</v>
      </c>
      <c r="E250" t="str">
        <f>IF(ISNA(MATCH(237,Engine!$C$2:$C$265,0)),"",INDEX('Compliance Database'!$E$2:$E$265,MATCH(237,Engine!$C$2:$C$265,0)))</f>
        <v>74</v>
      </c>
      <c r="F250" t="str">
        <f>IF(ISNA(MATCH(237,Engine!$C$2:$C$265,0)),"",INDEX('Compliance Database'!$F$2:$F$265,MATCH(237,Engine!$C$2:$C$265,0)))</f>
        <v>Other</v>
      </c>
      <c r="G250" t="str">
        <f>IF(ISNA(MATCH(237,Engine!$C$2:$C$265,0)),"",INDEX('Compliance Database'!$G$2:$G$265,MATCH(237,Engine!$C$2:$C$265,0)))</f>
        <v>None</v>
      </c>
      <c r="H250" t="str">
        <f>IF(ISNA(MATCH(237,Engine!$C$2:$C$265,0)),"",INDEX('Compliance Database'!$H$2:$H$265,MATCH(237,Engine!$C$2:$C$265,0)))</f>
        <v>High (explicit)</v>
      </c>
      <c r="I250" s="6">
        <f>IF(ISNA(MATCH(237,Engine!$C$2:$C$265,0)),"",INDEX('Compliance Database'!$I$2:$I$265,MATCH(237,Engine!$C$2:$C$265,0)))</f>
        <v>0</v>
      </c>
      <c r="J250" s="6" t="str">
        <f>IF(ISNA(MATCH(237,Engine!$C$2:$C$265,0)),"",INDEX('Compliance Database'!$J$2:$J$265,MATCH(237,Engine!$C$2:$C$265,0)))</f>
        <v>Personal Information</v>
      </c>
      <c r="K250">
        <f>IF(ISNA(MATCH(237,Engine!$C$2:$C$265,0)),"",INDEX('Compliance Database'!$K$2:$K$265,MATCH(237,Engine!$C$2:$C$265,0)))</f>
        <v>0</v>
      </c>
      <c r="L250" s="6" t="str">
        <f>IF(ISNA(MATCH(237,Engine!$C$2:$C$265,0)),"",INDEX('Compliance Database'!$L$2:$L$265,MATCH(237,Engine!$C$2:$C$265,0)))</f>
        <v>Time period for the audit request.</v>
      </c>
      <c r="M250" s="6" t="str">
        <f>IF(ISNA(MATCH(237,Engine!$C$2:$C$265,0)),"",INDEX('Compliance Database'!$M$2:$M$265,MATCH(237,Engine!$C$2:$C$265,0)))</f>
        <v>Time period for the audit request.</v>
      </c>
      <c r="N250" s="6" t="str">
        <f>IF(ISNA(MATCH(237,Engine!$C$2:$C$265,0)),"",INDEX('Compliance Database'!$N$2:$N$265,MATCH(237,Engine!$C$2:$C$265,0)))</f>
        <v>[Must] State the date when the audit request became known.
[Must] Explain the reason for the delay in requesting the audit (if any).</v>
      </c>
      <c r="O250" s="6" t="str">
        <f>IF(ISNA(MATCH(237,Engine!$C$2:$C$265,0)),"",INDEX('Compliance Database'!$O$2:$O$265,MATCH(237,Engine!$C$2:$C$265,0)))</f>
        <v>6. TYDPERK Ek het die eerste keer op die ......... dag van .......... 20..... daarvan bewus geword dat die verwerking van inligting geoudit moet word</v>
      </c>
    </row>
    <row r="251" spans="1:15" ht="115.2" x14ac:dyDescent="0.3">
      <c r="A251" t="str">
        <f>IF(ISNA(MATCH(238,Engine!$C$2:$C$265,0)),"",INDEX('Compliance Database'!$A$2:$A$265,MATCH(238,Engine!$C$2:$C$265,0)))</f>
        <v>South Africa</v>
      </c>
      <c r="B251" t="str">
        <f>IF(ISNA(MATCH(238,Engine!$C$2:$C$265,0)),"",INDEX('Compliance Database'!$B$2:$B$265,MATCH(238,Engine!$C$2:$C$265,0)))</f>
        <v>POPIA_Regulations_-_Dec_2018</v>
      </c>
      <c r="C251" t="str">
        <f>IF(ISNA(MATCH(238,Engine!$C$2:$C$265,0)),"",INDEX('Compliance Database'!$C$2:$C$265,MATCH(238,Engine!$C$2:$C$265,0)))</f>
        <v>7</v>
      </c>
      <c r="D251" s="6" t="str">
        <f>IF(ISNA(MATCH(238,Engine!$C$2:$C$265,0)),"",INDEX('Compliance Database'!$D$2:$D$265,MATCH(238,Engine!$C$2:$C$265,0)))</f>
        <v>(1)</v>
      </c>
      <c r="E251" t="str">
        <f>IF(ISNA(MATCH(238,Engine!$C$2:$C$265,0)),"",INDEX('Compliance Database'!$E$2:$E$265,MATCH(238,Engine!$C$2:$C$265,0)))</f>
        <v>4</v>
      </c>
      <c r="F251" t="str">
        <f>IF(ISNA(MATCH(238,Engine!$C$2:$C$265,0)),"",INDEX('Compliance Database'!$F$2:$F$265,MATCH(238,Engine!$C$2:$C$265,0)))</f>
        <v>Incident Reporting</v>
      </c>
      <c r="G251" t="str">
        <f>IF(ISNA(MATCH(238,Engine!$C$2:$C$265,0)),"",INDEX('Compliance Database'!$G$2:$G$265,MATCH(238,Engine!$C$2:$C$265,0)))</f>
        <v>None</v>
      </c>
      <c r="H251" t="str">
        <f>IF(ISNA(MATCH(238,Engine!$C$2:$C$265,0)),"",INDEX('Compliance Database'!$H$2:$H$265,MATCH(238,Engine!$C$2:$C$265,0)))</f>
        <v>High (explicit)</v>
      </c>
      <c r="I251" s="6" t="str">
        <f>IF(ISNA(MATCH(238,Engine!$C$2:$C$265,0)),"",INDEX('Compliance Database'!$I$2:$I$265,MATCH(238,Engine!$C$2:$C$265,0)))</f>
        <v>Incident Reporting</v>
      </c>
      <c r="J251" s="6" t="str">
        <f>IF(ISNA(MATCH(238,Engine!$C$2:$C$265,0)),"",INDEX('Compliance Database'!$J$2:$J$265,MATCH(238,Engine!$C$2:$C$265,0)))</f>
        <v>Personal Information</v>
      </c>
      <c r="K251">
        <f>IF(ISNA(MATCH(238,Engine!$C$2:$C$265,0)),"",INDEX('Compliance Database'!$K$2:$K$265,MATCH(238,Engine!$C$2:$C$265,0)))</f>
        <v>0</v>
      </c>
      <c r="L251" s="6" t="str">
        <f>IF(ISNA(MATCH(238,Engine!$C$2:$C$265,0)),"",INDEX('Compliance Database'!$L$2:$L$265,MATCH(238,Engine!$C$2:$C$265,0)))</f>
        <v>Complaints must be submitted to the Regulator on Form 5 for investigation under section 74 of the Act.</v>
      </c>
      <c r="M251" s="6" t="str">
        <f>IF(ISNA(MATCH(238,Engine!$C$2:$C$265,0)),"",INDEX('Compliance Database'!$M$2:$M$265,MATCH(238,Engine!$C$2:$C$265,0)))</f>
        <v>Complaints must be submitted to the Regulator on Form 5; Regulator handles complaints via Form 5.</v>
      </c>
      <c r="N251" s="6" t="str">
        <f>IF(ISNA(MATCH(238,Engine!$C$2:$C$265,0)),"",INDEX('Compliance Database'!$N$2:$N$265,MATCH(238,Engine!$C$2:$C$265,0)))</f>
        <v>[Must] Any person who wishes to submit a complaint contemplated in section 74(1) of the Act must submit such a complaint to the Regulator on Part I of Form 5
[Must] A responsible party or a data subject who wishes to submit a complaint contemplated in section 74(2) of the Act must submit such a complaint to the Regulator on Part II of Form 5</v>
      </c>
      <c r="O251" s="6" t="str">
        <f>IF(ISNA(MATCH(238,Engine!$C$2:$C$265,0)),"",INDEX('Compliance Database'!$O$2:$O$265,MATCH(238,Engine!$C$2:$C$265,0)))</f>
        <v>(1) Any person who wishes to submit a complaint contemplated in section 74(1) of the Act must submit such a complaint to the Regulator on Part I of Form 5. (2) A responsible party or a data subject who wishes to submit a complaint contemplated in section 74(2) of the Act must submit such a complaint to the Regulator on Part II of Form 5.</v>
      </c>
    </row>
    <row r="252" spans="1:15" ht="115.2" x14ac:dyDescent="0.3">
      <c r="A252" t="str">
        <f>IF(ISNA(MATCH(239,Engine!$C$2:$C$265,0)),"",INDEX('Compliance Database'!$A$2:$A$265,MATCH(239,Engine!$C$2:$C$265,0)))</f>
        <v>South Africa</v>
      </c>
      <c r="B252" t="str">
        <f>IF(ISNA(MATCH(239,Engine!$C$2:$C$265,0)),"",INDEX('Compliance Database'!$B$2:$B$265,MATCH(239,Engine!$C$2:$C$265,0)))</f>
        <v>POPIA_Regulations_-_Dec_2018</v>
      </c>
      <c r="C252" t="str">
        <f>IF(ISNA(MATCH(239,Engine!$C$2:$C$265,0)),"",INDEX('Compliance Database'!$C$2:$C$265,MATCH(239,Engine!$C$2:$C$265,0)))</f>
        <v>7</v>
      </c>
      <c r="D252" s="6" t="str">
        <f>IF(ISNA(MATCH(239,Engine!$C$2:$C$265,0)),"",INDEX('Compliance Database'!$D$2:$D$265,MATCH(239,Engine!$C$2:$C$265,0)))</f>
        <v>DATA SUBJECT PARTICIPATION:</v>
      </c>
      <c r="E252" t="str">
        <f>IF(ISNA(MATCH(239,Engine!$C$2:$C$265,0)),"",INDEX('Compliance Database'!$E$2:$E$265,MATCH(239,Engine!$C$2:$C$265,0)))</f>
        <v>30</v>
      </c>
      <c r="F252" t="str">
        <f>IF(ISNA(MATCH(239,Engine!$C$2:$C$265,0)),"",INDEX('Compliance Database'!$F$2:$F$265,MATCH(239,Engine!$C$2:$C$265,0)))</f>
        <v>Data Subject Rights</v>
      </c>
      <c r="G252" t="str">
        <f>IF(ISNA(MATCH(239,Engine!$C$2:$C$265,0)),"",INDEX('Compliance Database'!$G$2:$G$265,MATCH(239,Engine!$C$2:$C$265,0)))</f>
        <v>Low</v>
      </c>
      <c r="H252" t="str">
        <f>IF(ISNA(MATCH(239,Engine!$C$2:$C$265,0)),"",INDEX('Compliance Database'!$H$2:$H$265,MATCH(239,Engine!$C$2:$C$265,0)))</f>
        <v>High (explicit)</v>
      </c>
      <c r="I252" s="6">
        <f>IF(ISNA(MATCH(239,Engine!$C$2:$C$265,0)),"",INDEX('Compliance Database'!$I$2:$I$265,MATCH(239,Engine!$C$2:$C$265,0)))</f>
        <v>0</v>
      </c>
      <c r="J252" s="6" t="str">
        <f>IF(ISNA(MATCH(239,Engine!$C$2:$C$265,0)),"",INDEX('Compliance Database'!$J$2:$J$265,MATCH(239,Engine!$C$2:$C$265,0)))</f>
        <v>Personal Information</v>
      </c>
      <c r="K252">
        <f>IF(ISNA(MATCH(239,Engine!$C$2:$C$265,0)),"",INDEX('Compliance Database'!$K$2:$K$265,MATCH(239,Engine!$C$2:$C$265,0)))</f>
        <v>0</v>
      </c>
      <c r="L252" s="6" t="str">
        <f>IF(ISNA(MATCH(239,Engine!$C$2:$C$265,0)),"",INDEX('Compliance Database'!$L$2:$L$265,MATCH(239,Engine!$C$2:$C$265,0)))</f>
        <v>Data subject has right to access and correct personal information held by responsible party as per POPIA sections 23 and 24.</v>
      </c>
      <c r="M252" s="6" t="str">
        <f>IF(ISNA(MATCH(239,Engine!$C$2:$C$265,0)),"",INDEX('Compliance Database'!$M$2:$M$265,MATCH(239,Engine!$C$2:$C$265,0)))</f>
        <v>Data subject rights require access and correction of personal information under POPIA sections 23 and 24.</v>
      </c>
      <c r="N252" s="6" t="str">
        <f>IF(ISNA(MATCH(239,Engine!$C$2:$C$265,0)),"",INDEX('Compliance Database'!$N$2:$N$265,MATCH(239,Engine!$C$2:$C$265,0)))</f>
        <v>[Must] Data subject has right to access personal information held by responsible party in terms of section 23 of POPIA
[Must] Data subject has right to request correction of personal information held by responsible party in terms of section 24 of POPIA</v>
      </c>
      <c r="O252" s="6" t="str">
        <f>IF(ISNA(MATCH(239,Engine!$C$2:$C$265,0)),"",INDEX('Compliance Database'!$O$2:$O$265,MATCH(239,Engine!$C$2:$C$265,0)))</f>
        <v>Does the requester: Have the right to access personal information held by the responsible party in terms of section 23 of the Protection of Personal Information Act 4 of 2013: Yes/No/Not applicable. Have to right to request the responsible party to correct personal information in terms of section 24 of the Protection of Personal Information Act 4 of 2013: Yes/No/Not applicable.</v>
      </c>
    </row>
    <row r="253" spans="1:15" ht="43.2" x14ac:dyDescent="0.3">
      <c r="A253" t="str">
        <f>IF(ISNA(MATCH(240,Engine!$C$2:$C$265,0)),"",INDEX('Compliance Database'!$A$2:$A$265,MATCH(240,Engine!$C$2:$C$265,0)))</f>
        <v>South Africa</v>
      </c>
      <c r="B253" t="str">
        <f>IF(ISNA(MATCH(240,Engine!$C$2:$C$265,0)),"",INDEX('Compliance Database'!$B$2:$B$265,MATCH(240,Engine!$C$2:$C$265,0)))</f>
        <v>POPIA_Regulations_-_Dec_2018</v>
      </c>
      <c r="C253" t="str">
        <f>IF(ISNA(MATCH(240,Engine!$C$2:$C$265,0)),"",INDEX('Compliance Database'!$C$2:$C$265,MATCH(240,Engine!$C$2:$C$265,0)))</f>
        <v>7</v>
      </c>
      <c r="D253" s="6" t="str">
        <f>IF(ISNA(MATCH(240,Engine!$C$2:$C$265,0)),"",INDEX('Compliance Database'!$D$2:$D$265,MATCH(240,Engine!$C$2:$C$265,0)))</f>
        <v>(1)</v>
      </c>
      <c r="E253" t="str">
        <f>IF(ISNA(MATCH(240,Engine!$C$2:$C$265,0)),"",INDEX('Compliance Database'!$E$2:$E$265,MATCH(240,Engine!$C$2:$C$265,0)))</f>
        <v>48</v>
      </c>
      <c r="F253" t="str">
        <f>IF(ISNA(MATCH(240,Engine!$C$2:$C$265,0)),"",INDEX('Compliance Database'!$F$2:$F$265,MATCH(240,Engine!$C$2:$C$265,0)))</f>
        <v>Other</v>
      </c>
      <c r="G253" t="str">
        <f>IF(ISNA(MATCH(240,Engine!$C$2:$C$265,0)),"",INDEX('Compliance Database'!$G$2:$G$265,MATCH(240,Engine!$C$2:$C$265,0)))</f>
        <v>Low</v>
      </c>
      <c r="H253" t="str">
        <f>IF(ISNA(MATCH(240,Engine!$C$2:$C$265,0)),"",INDEX('Compliance Database'!$H$2:$H$265,MATCH(240,Engine!$C$2:$C$265,0)))</f>
        <v>High (explicit)</v>
      </c>
      <c r="I253" s="6">
        <f>IF(ISNA(MATCH(240,Engine!$C$2:$C$265,0)),"",INDEX('Compliance Database'!$I$2:$I$265,MATCH(240,Engine!$C$2:$C$265,0)))</f>
        <v>0</v>
      </c>
      <c r="J253" s="6" t="str">
        <f>IF(ISNA(MATCH(240,Engine!$C$2:$C$265,0)),"",INDEX('Compliance Database'!$J$2:$J$265,MATCH(240,Engine!$C$2:$C$265,0)))</f>
        <v>Personal Information</v>
      </c>
      <c r="K253" t="str">
        <f>IF(ISNA(MATCH(240,Engine!$C$2:$C$265,0)),"",INDEX('Compliance Database'!$K$2:$K$265,MATCH(240,Engine!$C$2:$C$265,0)))</f>
        <v>Regulator</v>
      </c>
      <c r="L253" s="6" t="str">
        <f>IF(ISNA(MATCH(240,Engine!$C$2:$C$265,0)),"",INDEX('Compliance Database'!$L$2:$L$265,MATCH(240,Engine!$C$2:$C$265,0)))</f>
        <v>Complaints must be submitted to the regulator in the form of Form 5.</v>
      </c>
      <c r="M253" s="6" t="str">
        <f>IF(ISNA(MATCH(240,Engine!$C$2:$C$265,0)),"",INDEX('Compliance Database'!$M$2:$M$265,MATCH(240,Engine!$C$2:$C$265,0)))</f>
        <v>Complaints must be filed with the regulator using Form 5; regulator must process complaints.</v>
      </c>
      <c r="N253" s="6" t="str">
        <f>IF(ISNA(MATCH(240,Engine!$C$2:$C$265,0)),"",INDEX('Compliance Database'!$N$2:$N$265,MATCH(240,Engine!$C$2:$C$265,0)))</f>
        <v>[Must] Complainant must submit complaint to regulator on Form 5</v>
      </c>
      <c r="O253" s="6" t="str">
        <f>IF(ISNA(MATCH(240,Engine!$C$2:$C$265,0)),"",INDEX('Compliance Database'!$O$2:$O$265,MATCH(240,Engine!$C$2:$C$265,0)))</f>
        <v>Enigiemand wat ‟n klagte in artikel 74(1) van die Wet bedoel, wil voorlê, moet sodanige klagte op Deel I van Vorm 5 aan die Reguleerder voorlê.</v>
      </c>
    </row>
    <row r="254" spans="1:15" ht="72" x14ac:dyDescent="0.3">
      <c r="A254" t="str">
        <f>IF(ISNA(MATCH(241,Engine!$C$2:$C$265,0)),"",INDEX('Compliance Database'!$A$2:$A$265,MATCH(241,Engine!$C$2:$C$265,0)))</f>
        <v>South Africa</v>
      </c>
      <c r="B254" t="str">
        <f>IF(ISNA(MATCH(241,Engine!$C$2:$C$265,0)),"",INDEX('Compliance Database'!$B$2:$B$265,MATCH(241,Engine!$C$2:$C$265,0)))</f>
        <v>POPIA_Regulations_-_Dec_2018</v>
      </c>
      <c r="C254" t="str">
        <f>IF(ISNA(MATCH(241,Engine!$C$2:$C$265,0)),"",INDEX('Compliance Database'!$C$2:$C$265,MATCH(241,Engine!$C$2:$C$265,0)))</f>
        <v>7</v>
      </c>
      <c r="D254" s="6" t="str">
        <f>IF(ISNA(MATCH(241,Engine!$C$2:$C$265,0)),"",INDEX('Compliance Database'!$D$2:$D$265,MATCH(241,Engine!$C$2:$C$265,0)))</f>
        <v>DATASUBJEK DEELNAME:</v>
      </c>
      <c r="E254" t="str">
        <f>IF(ISNA(MATCH(241,Engine!$C$2:$C$265,0)),"",INDEX('Compliance Database'!$E$2:$E$265,MATCH(241,Engine!$C$2:$C$265,0)))</f>
        <v>74</v>
      </c>
      <c r="F254" t="str">
        <f>IF(ISNA(MATCH(241,Engine!$C$2:$C$265,0)),"",INDEX('Compliance Database'!$F$2:$F$265,MATCH(241,Engine!$C$2:$C$265,0)))</f>
        <v>Other</v>
      </c>
      <c r="G254" t="str">
        <f>IF(ISNA(MATCH(241,Engine!$C$2:$C$265,0)),"",INDEX('Compliance Database'!$G$2:$G$265,MATCH(241,Engine!$C$2:$C$265,0)))</f>
        <v>None</v>
      </c>
      <c r="H254" t="str">
        <f>IF(ISNA(MATCH(241,Engine!$C$2:$C$265,0)),"",INDEX('Compliance Database'!$H$2:$H$265,MATCH(241,Engine!$C$2:$C$265,0)))</f>
        <v>High (explicit)</v>
      </c>
      <c r="I254" s="6" t="str">
        <f>IF(ISNA(MATCH(241,Engine!$C$2:$C$265,0)),"",INDEX('Compliance Database'!$I$2:$I$265,MATCH(241,Engine!$C$2:$C$265,0)))</f>
        <v>Data Sharing, Data Storage</v>
      </c>
      <c r="J254" s="6" t="str">
        <f>IF(ISNA(MATCH(241,Engine!$C$2:$C$265,0)),"",INDEX('Compliance Database'!$J$2:$J$265,MATCH(241,Engine!$C$2:$C$265,0)))</f>
        <v>Personal Information</v>
      </c>
      <c r="K254">
        <f>IF(ISNA(MATCH(241,Engine!$C$2:$C$265,0)),"",INDEX('Compliance Database'!$K$2:$K$265,MATCH(241,Engine!$C$2:$C$265,0)))</f>
        <v>0</v>
      </c>
      <c r="L254" s="6" t="str">
        <f>IF(ISNA(MATCH(241,Engine!$C$2:$C$265,0)),"",INDEX('Compliance Database'!$L$2:$L$265,MATCH(241,Engine!$C$2:$C$265,0)))</f>
        <v>Data subject's participation in the audit request.</v>
      </c>
      <c r="M254" s="6" t="str">
        <f>IF(ISNA(MATCH(241,Engine!$C$2:$C$265,0)),"",INDEX('Compliance Database'!$M$2:$M$265,MATCH(241,Engine!$C$2:$C$265,0)))</f>
        <v>Data subject's participation in the audit request.</v>
      </c>
      <c r="N254" s="6" t="str">
        <f>IF(ISNA(MATCH(241,Engine!$C$2:$C$265,0)),"",INDEX('Compliance Database'!$N$2:$N$265,MATCH(241,Engine!$C$2:$C$265,0)))</f>
        <v>[Must] Indicate whether the data subject has the right to access personal information.
[Must] Indicate whether the data subject has the right to correct personal information.</v>
      </c>
      <c r="O254" s="6" t="str">
        <f>IF(ISNA(MATCH(241,Engine!$C$2:$C$265,0)),"",INDEX('Compliance Database'!$O$2:$O$265,MATCH(241,Engine!$C$2:$C$265,0)))</f>
        <v>7. DATASUBJEK DEELNAME: Het die versoeker: Die reg op toegang tot die persoonlike inligting wat die verantwoordelike party ingevolge artikel 23 van die Wet op Beskerming van Persoonlike Inligting, 2013, hou</v>
      </c>
    </row>
    <row r="255" spans="1:15" ht="409.6" x14ac:dyDescent="0.3">
      <c r="A255" t="str">
        <f>IF(ISNA(MATCH(242,Engine!$C$2:$C$265,0)),"",INDEX('Compliance Database'!$A$2:$A$265,MATCH(242,Engine!$C$2:$C$265,0)))</f>
        <v>South Africa</v>
      </c>
      <c r="B255" t="str">
        <f>IF(ISNA(MATCH(242,Engine!$C$2:$C$265,0)),"",INDEX('Compliance Database'!$B$2:$B$265,MATCH(242,Engine!$C$2:$C$265,0)))</f>
        <v>POPIA_Regulations_-_Dec_2018</v>
      </c>
      <c r="C255" t="str">
        <f>IF(ISNA(MATCH(242,Engine!$C$2:$C$265,0)),"",INDEX('Compliance Database'!$C$2:$C$265,MATCH(242,Engine!$C$2:$C$265,0)))</f>
        <v>8</v>
      </c>
      <c r="D255" s="6" t="str">
        <f>IF(ISNA(MATCH(242,Engine!$C$2:$C$265,0)),"",INDEX('Compliance Database'!$D$2:$D$265,MATCH(242,Engine!$C$2:$C$265,0)))</f>
        <v>(1)</v>
      </c>
      <c r="E255" t="str">
        <f>IF(ISNA(MATCH(242,Engine!$C$2:$C$265,0)),"",INDEX('Compliance Database'!$E$2:$E$265,MATCH(242,Engine!$C$2:$C$265,0)))</f>
        <v>4–5</v>
      </c>
      <c r="F255" t="str">
        <f>IF(ISNA(MATCH(242,Engine!$C$2:$C$265,0)),"",INDEX('Compliance Database'!$F$2:$F$265,MATCH(242,Engine!$C$2:$C$265,0)))</f>
        <v>Incident Reporting</v>
      </c>
      <c r="G255" t="str">
        <f>IF(ISNA(MATCH(242,Engine!$C$2:$C$265,0)),"",INDEX('Compliance Database'!$G$2:$G$265,MATCH(242,Engine!$C$2:$C$265,0)))</f>
        <v>None</v>
      </c>
      <c r="H255" t="str">
        <f>IF(ISNA(MATCH(242,Engine!$C$2:$C$265,0)),"",INDEX('Compliance Database'!$H$2:$H$265,MATCH(242,Engine!$C$2:$C$265,0)))</f>
        <v>High (explicit)</v>
      </c>
      <c r="I255" s="6" t="str">
        <f>IF(ISNA(MATCH(242,Engine!$C$2:$C$265,0)),"",INDEX('Compliance Database'!$I$2:$I$265,MATCH(242,Engine!$C$2:$C$265,0)))</f>
        <v>Incident Reporting</v>
      </c>
      <c r="J255" s="6" t="str">
        <f>IF(ISNA(MATCH(242,Engine!$C$2:$C$265,0)),"",INDEX('Compliance Database'!$J$2:$J$265,MATCH(242,Engine!$C$2:$C$265,0)))</f>
        <v>Personal Information</v>
      </c>
      <c r="K255">
        <f>IF(ISNA(MATCH(242,Engine!$C$2:$C$265,0)),"",INDEX('Compliance Database'!$K$2:$K$265,MATCH(242,Engine!$C$2:$C$265,0)))</f>
        <v>0</v>
      </c>
      <c r="L255" s="6" t="str">
        <f>IF(ISNA(MATCH(242,Engine!$C$2:$C$265,0)),"",INDEX('Compliance Database'!$L$2:$L$265,MATCH(242,Engine!$C$2:$C$265,0)))</f>
        <v>Regulator must inform data subjects and responsible parties of conciliation meetings and issues during complaint investigations.</v>
      </c>
      <c r="M255" s="6" t="str">
        <f>IF(ISNA(MATCH(242,Engine!$C$2:$C$265,0)),"",INDEX('Compliance Database'!$M$2:$M$265,MATCH(242,Engine!$C$2:$C$265,0)))</f>
        <v>Regulator must inform data subjects and responsible parties of conciliation meetings and issues during investigations.</v>
      </c>
      <c r="N255" s="6" t="str">
        <f>IF(ISNA(MATCH(242,Engine!$C$2:$C$265,0)),"",INDEX('Compliance Database'!$N$2:$N$265,MATCH(242,Engine!$C$2:$C$265,0)))</f>
        <v>[Must] If during the investigation of a complaint the Regulator decides to act as a conciliator in terms of section 76(1)(b) of the Act, and convene a conciliation meeting, the Regulator must, as soon as it is practically possible, inform the data subject and the responsible party implicated in the complaint on Form 6 of the following: (a) the Regulator's decision to act as a conciliator in the matter; and (b) the date, time and place of the conciliation meeting
[May] The Regulator may consolidate separate complaints, which are alleged to relate to the same interference with the protection of personal information by the same responsible party, in order to deal with the complaints in the same conciliation proceedings
[Must] The Regulator must ensure that all persons entitled to attend the conciliation meeting are notified within a reasonable time, of the date, time and place of the meeting
[May] The Regulator may request all the relevant documentation relating to the complaint from the data subject and the responsible party
[May] The Regulator may confer with the parties in person, by electronic communication means, or by any other means as is deemed appropriate
[Must] Where a conciliation meeting fails to take place, the Regulator must arrange for an alternative date and notify the persons entitled to attend the conciliation meeting accordingly
[Must] The Regulator must issue a conciliation certificate on Form 7 within a reasonable time after the date of the conclusion of the conciliation meeting
[Must] If the complaint is not resolved, or either or both of the parties did not attend a conciliation meeting, the Regulator must proceed with the complaint as provided for in terms of section 76 of the Act</v>
      </c>
      <c r="O255" s="6" t="str">
        <f>IF(ISNA(MATCH(242,Engine!$C$2:$C$265,0)),"",INDEX('Compliance Database'!$O$2:$O$265,MATCH(242,Engine!$C$2:$C$265,0)))</f>
        <v>If during the investigation of a complaint the Regulator decides to act as a conciliator in terms of section 76(1)(b) of the Act, and convene a conciliation meeting, the Regulator must, as soon as it is practically possible, inform the data subject and the responsible party implicated in the complaint on Form 6 of the following: (a) the Regulator's decision to act as a conciliator in the matter; and (b) the date, time and place of the conciliation meeting. The Regulator- (a) may consolidate separate complaints, which are alleged to relate to the same interference with the protection of personal information by the same responsible party, in order to deal with the complaints in the same conciliation proceedings; (b) must ensure that all persons entitled to attend the conciliation meeting are notified within a reasonable time, of the date, time and place of the meeting; (c) may request all the relevant documentation relating to the complaint from the data subject and the responsible party; and (d) may confer with the parties in person, by electronic communication means, or by any other means as is deemed appropriate. Where a conciliation meeting fails to take place, the Regulator must arrange for an alternative date and notify the persons entitled to attend the conciliation meeting accordingly. The Regulator must issue a conciliation certificate on Form 7 within a reasonable time after the date of the conclusion of the conciliation meeting. If the complaint is not resolved, or either or both of the parties did not attend a conciliation meeting, the Regulator must proceed with the complaint as provided for in terms of section 76 of the Act.</v>
      </c>
    </row>
    <row r="256" spans="1:15" ht="144" x14ac:dyDescent="0.3">
      <c r="A256" t="str">
        <f>IF(ISNA(MATCH(243,Engine!$C$2:$C$265,0)),"",INDEX('Compliance Database'!$A$2:$A$265,MATCH(243,Engine!$C$2:$C$265,0)))</f>
        <v>South Africa</v>
      </c>
      <c r="B256" t="str">
        <f>IF(ISNA(MATCH(243,Engine!$C$2:$C$265,0)),"",INDEX('Compliance Database'!$B$2:$B$265,MATCH(243,Engine!$C$2:$C$265,0)))</f>
        <v>POPIA_Regulations_-_Dec_2018</v>
      </c>
      <c r="C256" t="str">
        <f>IF(ISNA(MATCH(243,Engine!$C$2:$C$265,0)),"",INDEX('Compliance Database'!$C$2:$C$265,MATCH(243,Engine!$C$2:$C$265,0)))</f>
        <v>8</v>
      </c>
      <c r="D256" s="6" t="str">
        <f>IF(ISNA(MATCH(243,Engine!$C$2:$C$265,0)),"",INDEX('Compliance Database'!$D$2:$D$265,MATCH(243,Engine!$C$2:$C$265,0)))</f>
        <v>(1)</v>
      </c>
      <c r="E256" t="str">
        <f>IF(ISNA(MATCH(243,Engine!$C$2:$C$265,0)),"",INDEX('Compliance Database'!$E$2:$E$265,MATCH(243,Engine!$C$2:$C$265,0)))</f>
        <v>48–49</v>
      </c>
      <c r="F256" t="str">
        <f>IF(ISNA(MATCH(243,Engine!$C$2:$C$265,0)),"",INDEX('Compliance Database'!$F$2:$F$265,MATCH(243,Engine!$C$2:$C$265,0)))</f>
        <v>Other</v>
      </c>
      <c r="G256" t="str">
        <f>IF(ISNA(MATCH(243,Engine!$C$2:$C$265,0)),"",INDEX('Compliance Database'!$G$2:$G$265,MATCH(243,Engine!$C$2:$C$265,0)))</f>
        <v>Low</v>
      </c>
      <c r="H256" t="str">
        <f>IF(ISNA(MATCH(243,Engine!$C$2:$C$265,0)),"",INDEX('Compliance Database'!$H$2:$H$265,MATCH(243,Engine!$C$2:$C$265,0)))</f>
        <v>High (explicit)</v>
      </c>
      <c r="I256" s="6">
        <f>IF(ISNA(MATCH(243,Engine!$C$2:$C$265,0)),"",INDEX('Compliance Database'!$I$2:$I$265,MATCH(243,Engine!$C$2:$C$265,0)))</f>
        <v>0</v>
      </c>
      <c r="J256" s="6" t="str">
        <f>IF(ISNA(MATCH(243,Engine!$C$2:$C$265,0)),"",INDEX('Compliance Database'!$J$2:$J$265,MATCH(243,Engine!$C$2:$C$265,0)))</f>
        <v>Personal Information</v>
      </c>
      <c r="K256" t="str">
        <f>IF(ISNA(MATCH(243,Engine!$C$2:$C$265,0)),"",INDEX('Compliance Database'!$K$2:$K$265,MATCH(243,Engine!$C$2:$C$265,0)))</f>
        <v>Regulator</v>
      </c>
      <c r="L256" s="6" t="str">
        <f>IF(ISNA(MATCH(243,Engine!$C$2:$C$265,0)),"",INDEX('Compliance Database'!$L$2:$L$265,MATCH(243,Engine!$C$2:$C$265,0)))</f>
        <v>Regulator may act as mediator during complaint investigations.</v>
      </c>
      <c r="M256" s="6" t="str">
        <f>IF(ISNA(MATCH(243,Engine!$C$2:$C$265,0)),"",INDEX('Compliance Database'!$M$2:$M$265,MATCH(243,Engine!$C$2:$C$265,0)))</f>
        <v>Regulator may act as mediator during complaint investigations; must inform parties of mediation proceedings.</v>
      </c>
      <c r="N256" s="6" t="str">
        <f>IF(ISNA(MATCH(243,Engine!$C$2:$C$265,0)),"",INDEX('Compliance Database'!$N$2:$N$265,MATCH(243,Engine!$C$2:$C$265,0)))</f>
        <v>[May] Regulator may act as mediator during complaint investigations
[Must] Regulator must inform data subject and responsible party of mediation proceedings</v>
      </c>
      <c r="O256" s="6" t="str">
        <f>IF(ISNA(MATCH(243,Engine!$C$2:$C$265,0)),"",INDEX('Compliance Database'!$O$2:$O$265,MATCH(243,Engine!$C$2:$C$265,0)))</f>
        <v>Indien die Reguleerder tydens die ondersoek van ‟n klagte besluit om ingevolge artikel 76(1)(b) van die Wet as ‟n konsiliator op te tree, en ‟n konsiliasievergadering saamroep, moet die Reguleerder, so gou as prakties moontlik, die datasubjek en die geïmpliseerde verantwoordelike party op Vorm 6 oor die volgende in kennis stel: (a) die Reguleerder se besluit om as ‟n konsiliator in die aangeleentheid op te tree; en (b) die datum, tyd en plek van die konsiliasievergadering.</v>
      </c>
    </row>
    <row r="257" spans="1:15" ht="115.2" x14ac:dyDescent="0.3">
      <c r="A257" t="str">
        <f>IF(ISNA(MATCH(244,Engine!$C$2:$C$265,0)),"",INDEX('Compliance Database'!$A$2:$A$265,MATCH(244,Engine!$C$2:$C$265,0)))</f>
        <v>South Africa</v>
      </c>
      <c r="B257" t="str">
        <f>IF(ISNA(MATCH(244,Engine!$C$2:$C$265,0)),"",INDEX('Compliance Database'!$B$2:$B$265,MATCH(244,Engine!$C$2:$C$265,0)))</f>
        <v>POPIA_Regulations_-_Dec_2018</v>
      </c>
      <c r="C257" t="str">
        <f>IF(ISNA(MATCH(244,Engine!$C$2:$C$265,0)),"",INDEX('Compliance Database'!$C$2:$C$265,MATCH(244,Engine!$C$2:$C$265,0)))</f>
        <v>9</v>
      </c>
      <c r="D257" s="6" t="str">
        <f>IF(ISNA(MATCH(244,Engine!$C$2:$C$265,0)),"",INDEX('Compliance Database'!$D$2:$D$265,MATCH(244,Engine!$C$2:$C$265,0)))</f>
        <v>(1) If the Regulator intends to investigate any matter contemplated in Chapter 10</v>
      </c>
      <c r="E257" t="str">
        <f>IF(ISNA(MATCH(244,Engine!$C$2:$C$265,0)),"",INDEX('Compliance Database'!$E$2:$E$265,MATCH(244,Engine!$C$2:$C$265,0)))</f>
        <v>5–6</v>
      </c>
      <c r="F257" t="str">
        <f>IF(ISNA(MATCH(244,Engine!$C$2:$C$265,0)),"",INDEX('Compliance Database'!$F$2:$F$265,MATCH(244,Engine!$C$2:$C$265,0)))</f>
        <v>Incident Reporting</v>
      </c>
      <c r="G257" t="str">
        <f>IF(ISNA(MATCH(244,Engine!$C$2:$C$265,0)),"",INDEX('Compliance Database'!$G$2:$G$265,MATCH(244,Engine!$C$2:$C$265,0)))</f>
        <v>None</v>
      </c>
      <c r="H257" t="str">
        <f>IF(ISNA(MATCH(244,Engine!$C$2:$C$265,0)),"",INDEX('Compliance Database'!$H$2:$H$265,MATCH(244,Engine!$C$2:$C$265,0)))</f>
        <v>High (explicit)</v>
      </c>
      <c r="I257" s="6" t="str">
        <f>IF(ISNA(MATCH(244,Engine!$C$2:$C$265,0)),"",INDEX('Compliance Database'!$I$2:$I$265,MATCH(244,Engine!$C$2:$C$265,0)))</f>
        <v>Incident Reporting</v>
      </c>
      <c r="J257" s="6" t="str">
        <f>IF(ISNA(MATCH(244,Engine!$C$2:$C$265,0)),"",INDEX('Compliance Database'!$J$2:$J$265,MATCH(244,Engine!$C$2:$C$265,0)))</f>
        <v>Personal Information</v>
      </c>
      <c r="K257">
        <f>IF(ISNA(MATCH(244,Engine!$C$2:$C$265,0)),"",INDEX('Compliance Database'!$K$2:$K$265,MATCH(244,Engine!$C$2:$C$265,0)))</f>
        <v>0</v>
      </c>
      <c r="L257" s="6" t="str">
        <f>IF(ISNA(MATCH(244,Engine!$C$2:$C$265,0)),"",INDEX('Compliance Database'!$L$2:$L$265,MATCH(244,Engine!$C$2:$C$265,0)))</f>
        <v>Regulator must handle complaints through Form 5 for investigation under section 74 of the Act.</v>
      </c>
      <c r="M257" s="6" t="str">
        <f>IF(ISNA(MATCH(244,Engine!$C$2:$C$265,0)),"",INDEX('Compliance Database'!$M$2:$M$265,MATCH(244,Engine!$C$2:$C$265,0)))</f>
        <v>Complaints must be submitted to the Regulator on Form 5; Regulator handles complaints via Form 5.</v>
      </c>
      <c r="N257" s="6" t="str">
        <f>IF(ISNA(MATCH(244,Engine!$C$2:$C$265,0)),"",INDEX('Compliance Database'!$N$2:$N$265,MATCH(244,Engine!$C$2:$C$265,0)))</f>
        <v>[Must] Any person who wishes to submit a complaint contemplated in section 74(1) of the Act must submit such a complaint to the Regulator on Part I of Form 5
[Must] A responsible party or a data subject who wishes to submit a complaint contemplated in section 74(2) of the Act must submit such a complaint to the Regulator on Part II of Form 5</v>
      </c>
      <c r="O257" s="6" t="str">
        <f>IF(ISNA(MATCH(244,Engine!$C$2:$C$265,0)),"",INDEX('Compliance Database'!$O$2:$O$265,MATCH(244,Engine!$C$2:$C$265,0)))</f>
        <v>(1) Any person who wishes to submit a complaint contemplated in section 74(1) of the Act must submit such a complaint to the Regulator on Part I of Form 5. (2) A responsible party or a data subject who wishes to submit a complaint contemplated in section 74(2) of the Act must submit such a complaint to the Regulator on Part II of Form 5.</v>
      </c>
    </row>
    <row r="258" spans="1:15" ht="100.8" x14ac:dyDescent="0.3">
      <c r="A258" t="str">
        <f>IF(ISNA(MATCH(245,Engine!$C$2:$C$265,0)),"",INDEX('Compliance Database'!$A$2:$A$265,MATCH(245,Engine!$C$2:$C$265,0)))</f>
        <v>South Africa</v>
      </c>
      <c r="B258" t="str">
        <f>IF(ISNA(MATCH(245,Engine!$C$2:$C$265,0)),"",INDEX('Compliance Database'!$B$2:$B$265,MATCH(245,Engine!$C$2:$C$265,0)))</f>
        <v>POPIA_Regulations_-_Dec_2018</v>
      </c>
      <c r="C258" t="str">
        <f>IF(ISNA(MATCH(245,Engine!$C$2:$C$265,0)),"",INDEX('Compliance Database'!$C$2:$C$265,MATCH(245,Engine!$C$2:$C$265,0)))</f>
        <v>9</v>
      </c>
      <c r="D258" s="6" t="str">
        <f>IF(ISNA(MATCH(245,Engine!$C$2:$C$265,0)),"",INDEX('Compliance Database'!$D$2:$D$265,MATCH(245,Engine!$C$2:$C$265,0)))</f>
        <v>(1)</v>
      </c>
      <c r="E258" t="str">
        <f>IF(ISNA(MATCH(245,Engine!$C$2:$C$265,0)),"",INDEX('Compliance Database'!$E$2:$E$265,MATCH(245,Engine!$C$2:$C$265,0)))</f>
        <v>49–50</v>
      </c>
      <c r="F258" t="str">
        <f>IF(ISNA(MATCH(245,Engine!$C$2:$C$265,0)),"",INDEX('Compliance Database'!$F$2:$F$265,MATCH(245,Engine!$C$2:$C$265,0)))</f>
        <v>Other</v>
      </c>
      <c r="G258" t="str">
        <f>IF(ISNA(MATCH(245,Engine!$C$2:$C$265,0)),"",INDEX('Compliance Database'!$G$2:$G$265,MATCH(245,Engine!$C$2:$C$265,0)))</f>
        <v>Low</v>
      </c>
      <c r="H258" t="str">
        <f>IF(ISNA(MATCH(245,Engine!$C$2:$C$265,0)),"",INDEX('Compliance Database'!$H$2:$H$265,MATCH(245,Engine!$C$2:$C$265,0)))</f>
        <v>High (explicit)</v>
      </c>
      <c r="I258" s="6">
        <f>IF(ISNA(MATCH(245,Engine!$C$2:$C$265,0)),"",INDEX('Compliance Database'!$I$2:$I$265,MATCH(245,Engine!$C$2:$C$265,0)))</f>
        <v>0</v>
      </c>
      <c r="J258" s="6" t="str">
        <f>IF(ISNA(MATCH(245,Engine!$C$2:$C$265,0)),"",INDEX('Compliance Database'!$J$2:$J$265,MATCH(245,Engine!$C$2:$C$265,0)))</f>
        <v>Personal Information</v>
      </c>
      <c r="K258" t="str">
        <f>IF(ISNA(MATCH(245,Engine!$C$2:$C$265,0)),"",INDEX('Compliance Database'!$K$2:$K$265,MATCH(245,Engine!$C$2:$C$265,0)))</f>
        <v>Regulator</v>
      </c>
      <c r="L258" s="6" t="str">
        <f>IF(ISNA(MATCH(245,Engine!$C$2:$C$265,0)),"",INDEX('Compliance Database'!$L$2:$L$265,MATCH(245,Engine!$C$2:$C$265,0)))</f>
        <v>Regulator must notify parties before conducting investigations.</v>
      </c>
      <c r="M258" s="6" t="str">
        <f>IF(ISNA(MATCH(245,Engine!$C$2:$C$265,0)),"",INDEX('Compliance Database'!$M$2:$M$265,MATCH(245,Engine!$C$2:$C$265,0)))</f>
        <v>Regulator must notify parties before conducting investigations; parties must respond to notifications.</v>
      </c>
      <c r="N258" s="6" t="str">
        <f>IF(ISNA(MATCH(245,Engine!$C$2:$C$265,0)),"",INDEX('Compliance Database'!$N$2:$N$265,MATCH(245,Engine!$C$2:$C$265,0)))</f>
        <v>[Must] Regulator must notify parties before conducting investigations
[Must] Regulator must inform responsible party of complaint or investigation subject</v>
      </c>
      <c r="O258" s="6" t="str">
        <f>IF(ISNA(MATCH(245,Engine!$C$2:$C$265,0)),"",INDEX('Compliance Database'!$O$2:$O$265,MATCH(245,Engine!$C$2:$C$265,0)))</f>
        <v>Indien die Reguleerder voornemens is om enige aangeleentheid beoog in Hoofstuk 10 van die Wet beoog, te ondersoek, moet die Reguleerder ingevolge artikel 79 van die Wet die partye op wie die ondersoek betrekking het, op Deel I van Vorm 8 verwittig van sodanige voorneme voordat die ondersoek gedoen word.</v>
      </c>
    </row>
    <row r="259" spans="1:15" ht="57.6" x14ac:dyDescent="0.3">
      <c r="A259" t="str">
        <f>IF(ISNA(MATCH(246,Engine!$C$2:$C$265,0)),"",INDEX('Compliance Database'!$A$2:$A$265,MATCH(246,Engine!$C$2:$C$265,0)))</f>
        <v>South Africa</v>
      </c>
      <c r="B259" t="str">
        <f>IF(ISNA(MATCH(246,Engine!$C$2:$C$265,0)),"",INDEX('Compliance Database'!$B$2:$B$265,MATCH(246,Engine!$C$2:$C$265,0)))</f>
        <v>POPIA_Regulations_-_Dec_2018</v>
      </c>
      <c r="C259" t="str">
        <f>IF(ISNA(MATCH(246,Engine!$C$2:$C$265,0)),"",INDEX('Compliance Database'!$C$2:$C$265,MATCH(246,Engine!$C$2:$C$265,0)))</f>
        <v>10</v>
      </c>
      <c r="D259" s="6" t="str">
        <f>IF(ISNA(MATCH(246,Engine!$C$2:$C$265,0)),"",INDEX('Compliance Database'!$D$2:$D$265,MATCH(246,Engine!$C$2:$C$265,0)))</f>
        <v>(1) If it appears from a complaint or any written reply to the complaint under</v>
      </c>
      <c r="E259" t="str">
        <f>IF(ISNA(MATCH(246,Engine!$C$2:$C$265,0)),"",INDEX('Compliance Database'!$E$2:$E$265,MATCH(246,Engine!$C$2:$C$265,0)))</f>
        <v>6</v>
      </c>
      <c r="F259" t="str">
        <f>IF(ISNA(MATCH(246,Engine!$C$2:$C$265,0)),"",INDEX('Compliance Database'!$F$2:$F$265,MATCH(246,Engine!$C$2:$C$265,0)))</f>
        <v>Incident Reporting</v>
      </c>
      <c r="G259" t="str">
        <f>IF(ISNA(MATCH(246,Engine!$C$2:$C$265,0)),"",INDEX('Compliance Database'!$G$2:$G$265,MATCH(246,Engine!$C$2:$C$265,0)))</f>
        <v>None</v>
      </c>
      <c r="H259" t="str">
        <f>IF(ISNA(MATCH(246,Engine!$C$2:$C$265,0)),"",INDEX('Compliance Database'!$H$2:$H$265,MATCH(246,Engine!$C$2:$C$265,0)))</f>
        <v>High (explicit)</v>
      </c>
      <c r="I259" s="6" t="str">
        <f>IF(ISNA(MATCH(246,Engine!$C$2:$C$265,0)),"",INDEX('Compliance Database'!$I$2:$I$265,MATCH(246,Engine!$C$2:$C$265,0)))</f>
        <v>Incident Reporting</v>
      </c>
      <c r="J259" s="6" t="str">
        <f>IF(ISNA(MATCH(246,Engine!$C$2:$C$265,0)),"",INDEX('Compliance Database'!$J$2:$J$265,MATCH(246,Engine!$C$2:$C$265,0)))</f>
        <v>Personal Information</v>
      </c>
      <c r="K259">
        <f>IF(ISNA(MATCH(246,Engine!$C$2:$C$265,0)),"",INDEX('Compliance Database'!$K$2:$K$265,MATCH(246,Engine!$C$2:$C$265,0)))</f>
        <v>0</v>
      </c>
      <c r="L259" s="6" t="str">
        <f>IF(ISNA(MATCH(246,Engine!$C$2:$C$265,0)),"",INDEX('Compliance Database'!$L$2:$L$265,MATCH(246,Engine!$C$2:$C$265,0)))</f>
        <v>Regulator must issue conciliation certificates on Form 7 after conciliation meetings.</v>
      </c>
      <c r="M259" s="6" t="str">
        <f>IF(ISNA(MATCH(246,Engine!$C$2:$C$265,0)),"",INDEX('Compliance Database'!$M$2:$M$265,MATCH(246,Engine!$C$2:$C$265,0)))</f>
        <v>Regulator must issue conciliation certificates on Form 7 after conciliation meetings.</v>
      </c>
      <c r="N259" s="6" t="str">
        <f>IF(ISNA(MATCH(246,Engine!$C$2:$C$265,0)),"",INDEX('Compliance Database'!$N$2:$N$265,MATCH(246,Engine!$C$2:$C$265,0)))</f>
        <v>[Must] The Regulator must issue a conciliation certificate on Form 7 within a reasonable time after the date of the conclusion of the conciliation meeting</v>
      </c>
      <c r="O259" s="6" t="str">
        <f>IF(ISNA(MATCH(246,Engine!$C$2:$C$265,0)),"",INDEX('Compliance Database'!$O$2:$O$265,MATCH(246,Engine!$C$2:$C$265,0)))</f>
        <v>The Regulator must issue a conciliation certificate on Form 7 within a reasonable time after the date of the conclusion of the conciliation meeting.</v>
      </c>
    </row>
    <row r="260" spans="1:15" ht="172.8" x14ac:dyDescent="0.3">
      <c r="A260" t="str">
        <f>IF(ISNA(MATCH(247,Engine!$C$2:$C$265,0)),"",INDEX('Compliance Database'!$A$2:$A$265,MATCH(247,Engine!$C$2:$C$265,0)))</f>
        <v>South Africa</v>
      </c>
      <c r="B260" t="str">
        <f>IF(ISNA(MATCH(247,Engine!$C$2:$C$265,0)),"",INDEX('Compliance Database'!$B$2:$B$265,MATCH(247,Engine!$C$2:$C$265,0)))</f>
        <v>POPIA_Regulations_-_Dec_2018</v>
      </c>
      <c r="C260" t="str">
        <f>IF(ISNA(MATCH(247,Engine!$C$2:$C$265,0)),"",INDEX('Compliance Database'!$C$2:$C$265,MATCH(247,Engine!$C$2:$C$265,0)))</f>
        <v>10</v>
      </c>
      <c r="D260" s="6" t="str">
        <f>IF(ISNA(MATCH(247,Engine!$C$2:$C$265,0)),"",INDEX('Compliance Database'!$D$2:$D$265,MATCH(247,Engine!$C$2:$C$265,0)))</f>
        <v>(1)</v>
      </c>
      <c r="E260" t="str">
        <f>IF(ISNA(MATCH(247,Engine!$C$2:$C$265,0)),"",INDEX('Compliance Database'!$E$2:$E$265,MATCH(247,Engine!$C$2:$C$265,0)))</f>
        <v>50–51</v>
      </c>
      <c r="F260" t="str">
        <f>IF(ISNA(MATCH(247,Engine!$C$2:$C$265,0)),"",INDEX('Compliance Database'!$F$2:$F$265,MATCH(247,Engine!$C$2:$C$265,0)))</f>
        <v>Other</v>
      </c>
      <c r="G260" t="str">
        <f>IF(ISNA(MATCH(247,Engine!$C$2:$C$265,0)),"",INDEX('Compliance Database'!$G$2:$G$265,MATCH(247,Engine!$C$2:$C$265,0)))</f>
        <v>Low</v>
      </c>
      <c r="H260" t="str">
        <f>IF(ISNA(MATCH(247,Engine!$C$2:$C$265,0)),"",INDEX('Compliance Database'!$H$2:$H$265,MATCH(247,Engine!$C$2:$C$265,0)))</f>
        <v>High (explicit)</v>
      </c>
      <c r="I260" s="6">
        <f>IF(ISNA(MATCH(247,Engine!$C$2:$C$265,0)),"",INDEX('Compliance Database'!$I$2:$I$265,MATCH(247,Engine!$C$2:$C$265,0)))</f>
        <v>0</v>
      </c>
      <c r="J260" s="6" t="str">
        <f>IF(ISNA(MATCH(247,Engine!$C$2:$C$265,0)),"",INDEX('Compliance Database'!$J$2:$J$265,MATCH(247,Engine!$C$2:$C$265,0)))</f>
        <v>Personal Information</v>
      </c>
      <c r="K260" t="str">
        <f>IF(ISNA(MATCH(247,Engine!$C$2:$C$265,0)),"",INDEX('Compliance Database'!$K$2:$K$265,MATCH(247,Engine!$C$2:$C$265,0)))</f>
        <v>Regulator</v>
      </c>
      <c r="L260" s="6" t="str">
        <f>IF(ISNA(MATCH(247,Engine!$C$2:$C$265,0)),"",INDEX('Compliance Database'!$L$2:$L$265,MATCH(247,Engine!$C$2:$C$265,0)))</f>
        <v>Regulator may facilitate settlements between parties during complaint investigations.</v>
      </c>
      <c r="M260" s="6" t="str">
        <f>IF(ISNA(MATCH(247,Engine!$C$2:$C$265,0)),"",INDEX('Compliance Database'!$M$2:$M$265,MATCH(247,Engine!$C$2:$C$265,0)))</f>
        <v>Regulator may facilitate settlements between parties; must issue settlement certificates.</v>
      </c>
      <c r="N260" s="6" t="str">
        <f>IF(ISNA(MATCH(247,Engine!$C$2:$C$265,0)),"",INDEX('Compliance Database'!$N$2:$N$265,MATCH(247,Engine!$C$2:$C$265,0)))</f>
        <v>[May] Regulator may facilitate settlements between parties
[Must] Regulator must issue settlement certificate on Form 10</v>
      </c>
      <c r="O260" s="6" t="str">
        <f>IF(ISNA(MATCH(247,Engine!$C$2:$C$265,0)),"",INDEX('Compliance Database'!$O$2:$O$265,MATCH(247,Engine!$C$2:$C$265,0)))</f>
        <v>Indien dit uit ‟n klagte of enige skriftelike antwoord op die klagte kragtens artikel 79(b)(ii) van die Wet of tydens ‟n konsiliasievergadering, voorkom dat dit moontlik kan wees om ‟n skikking tussen die partye en indien gepas, bevredigende versekerings soos beoog in artikel 80 van die Wet, te verkry, kan die Reguleerder persoonlik oorleg pleeg met die partye, per elektroniese kommunikasiemiddele, of per enige ander middele soos gepas geag word om te poog om ‟n skikking te verkry en indien van toepassing, bevredigende versekerings soos beoog in artikel 80 van die Wet.</v>
      </c>
    </row>
    <row r="261" spans="1:15" ht="115.2" x14ac:dyDescent="0.3">
      <c r="A261" t="str">
        <f>IF(ISNA(MATCH(248,Engine!$C$2:$C$265,0)),"",INDEX('Compliance Database'!$A$2:$A$265,MATCH(248,Engine!$C$2:$C$265,0)))</f>
        <v>South Africa</v>
      </c>
      <c r="B261" t="str">
        <f>IF(ISNA(MATCH(248,Engine!$C$2:$C$265,0)),"",INDEX('Compliance Database'!$B$2:$B$265,MATCH(248,Engine!$C$2:$C$265,0)))</f>
        <v>POPIA_Regulations_-_Dec_2018</v>
      </c>
      <c r="C261" t="str">
        <f>IF(ISNA(MATCH(248,Engine!$C$2:$C$265,0)),"",INDEX('Compliance Database'!$C$2:$C$265,MATCH(248,Engine!$C$2:$C$265,0)))</f>
        <v>11</v>
      </c>
      <c r="D261" s="6" t="str">
        <f>IF(ISNA(MATCH(248,Engine!$C$2:$C$265,0)),"",INDEX('Compliance Database'!$D$2:$D$265,MATCH(248,Engine!$C$2:$C$265,0)))</f>
        <v>(1)</v>
      </c>
      <c r="E261" t="str">
        <f>IF(ISNA(MATCH(248,Engine!$C$2:$C$265,0)),"",INDEX('Compliance Database'!$E$2:$E$265,MATCH(248,Engine!$C$2:$C$265,0)))</f>
        <v>6–7</v>
      </c>
      <c r="F261" t="str">
        <f>IF(ISNA(MATCH(248,Engine!$C$2:$C$265,0)),"",INDEX('Compliance Database'!$F$2:$F$265,MATCH(248,Engine!$C$2:$C$265,0)))</f>
        <v>Incident Reporting</v>
      </c>
      <c r="G261" t="str">
        <f>IF(ISNA(MATCH(248,Engine!$C$2:$C$265,0)),"",INDEX('Compliance Database'!$G$2:$G$265,MATCH(248,Engine!$C$2:$C$265,0)))</f>
        <v>None</v>
      </c>
      <c r="H261" t="str">
        <f>IF(ISNA(MATCH(248,Engine!$C$2:$C$265,0)),"",INDEX('Compliance Database'!$H$2:$H$265,MATCH(248,Engine!$C$2:$C$265,0)))</f>
        <v>High (explicit)</v>
      </c>
      <c r="I261" s="6" t="str">
        <f>IF(ISNA(MATCH(248,Engine!$C$2:$C$265,0)),"",INDEX('Compliance Database'!$I$2:$I$265,MATCH(248,Engine!$C$2:$C$265,0)))</f>
        <v>Incident Reporting</v>
      </c>
      <c r="J261" s="6" t="str">
        <f>IF(ISNA(MATCH(248,Engine!$C$2:$C$265,0)),"",INDEX('Compliance Database'!$J$2:$J$265,MATCH(248,Engine!$C$2:$C$265,0)))</f>
        <v>Personal Information</v>
      </c>
      <c r="K261">
        <f>IF(ISNA(MATCH(248,Engine!$C$2:$C$265,0)),"",INDEX('Compliance Database'!$K$2:$K$265,MATCH(248,Engine!$C$2:$C$265,0)))</f>
        <v>0</v>
      </c>
      <c r="L261" s="6" t="str">
        <f>IF(ISNA(MATCH(248,Engine!$C$2:$C$265,0)),"",INDEX('Compliance Database'!$L$2:$L$265,MATCH(248,Engine!$C$2:$C$265,0)))</f>
        <v>Regulator must handle complaints through Form 5 for investigation under section 74 of the Act.</v>
      </c>
      <c r="M261" s="6" t="str">
        <f>IF(ISNA(MATCH(248,Engine!$C$2:$C$265,0)),"",INDEX('Compliance Database'!$M$2:$M$265,MATCH(248,Engine!$C$2:$C$265,0)))</f>
        <v>Complaints must be submitted to the Regulator on Form 5; Regulator handles complaints via Form 5.</v>
      </c>
      <c r="N261" s="6" t="str">
        <f>IF(ISNA(MATCH(248,Engine!$C$2:$C$265,0)),"",INDEX('Compliance Database'!$N$2:$N$265,MATCH(248,Engine!$C$2:$C$265,0)))</f>
        <v>[Must] Any person who wishes to submit a complaint contemplated in section 74(1) of the Act must submit such a complaint to the Regulator on Part I of Form 5
[Must] A responsible party or a data subject who wishes to submit a complaint contemplated in section 74(2) of the Act must submit such a complaint to the Regulator on Part II of Form 5</v>
      </c>
      <c r="O261" s="6" t="str">
        <f>IF(ISNA(MATCH(248,Engine!$C$2:$C$265,0)),"",INDEX('Compliance Database'!$O$2:$O$265,MATCH(248,Engine!$C$2:$C$265,0)))</f>
        <v>(1) Any person who wishes to submit a complaint contemplated in section 74(1) of the Act must submit such a complaint to the Regulator on Part I of Form 5. (2) A responsible party or a data subject who wishes to submit a complaint contemplated in section 74(2) of the Act must submit such a complaint to the Regulator on Part II of Form 5.</v>
      </c>
    </row>
    <row r="262" spans="1:15" ht="43.2" x14ac:dyDescent="0.3">
      <c r="A262" t="str">
        <f>IF(ISNA(MATCH(249,Engine!$C$2:$C$265,0)),"",INDEX('Compliance Database'!$A$2:$A$265,MATCH(249,Engine!$C$2:$C$265,0)))</f>
        <v>South Africa</v>
      </c>
      <c r="B262" t="str">
        <f>IF(ISNA(MATCH(249,Engine!$C$2:$C$265,0)),"",INDEX('Compliance Database'!$B$2:$B$265,MATCH(249,Engine!$C$2:$C$265,0)))</f>
        <v>POPIA_Regulations_-_Dec_2018</v>
      </c>
      <c r="C262" t="str">
        <f>IF(ISNA(MATCH(249,Engine!$C$2:$C$265,0)),"",INDEX('Compliance Database'!$C$2:$C$265,MATCH(249,Engine!$C$2:$C$265,0)))</f>
        <v>11</v>
      </c>
      <c r="D262" s="6" t="str">
        <f>IF(ISNA(MATCH(249,Engine!$C$2:$C$265,0)),"",INDEX('Compliance Database'!$D$2:$D$265,MATCH(249,Engine!$C$2:$C$265,0)))</f>
        <v>(1)</v>
      </c>
      <c r="E262" t="str">
        <f>IF(ISNA(MATCH(249,Engine!$C$2:$C$265,0)),"",INDEX('Compliance Database'!$E$2:$E$265,MATCH(249,Engine!$C$2:$C$265,0)))</f>
        <v>51</v>
      </c>
      <c r="F262" t="str">
        <f>IF(ISNA(MATCH(249,Engine!$C$2:$C$265,0)),"",INDEX('Compliance Database'!$F$2:$F$265,MATCH(249,Engine!$C$2:$C$265,0)))</f>
        <v>Other</v>
      </c>
      <c r="G262" t="str">
        <f>IF(ISNA(MATCH(249,Engine!$C$2:$C$265,0)),"",INDEX('Compliance Database'!$G$2:$G$265,MATCH(249,Engine!$C$2:$C$265,0)))</f>
        <v>Low</v>
      </c>
      <c r="H262" t="str">
        <f>IF(ISNA(MATCH(249,Engine!$C$2:$C$265,0)),"",INDEX('Compliance Database'!$H$2:$H$265,MATCH(249,Engine!$C$2:$C$265,0)))</f>
        <v>High (explicit)</v>
      </c>
      <c r="I262" s="6">
        <f>IF(ISNA(MATCH(249,Engine!$C$2:$C$265,0)),"",INDEX('Compliance Database'!$I$2:$I$265,MATCH(249,Engine!$C$2:$C$265,0)))</f>
        <v>0</v>
      </c>
      <c r="J262" s="6" t="str">
        <f>IF(ISNA(MATCH(249,Engine!$C$2:$C$265,0)),"",INDEX('Compliance Database'!$J$2:$J$265,MATCH(249,Engine!$C$2:$C$265,0)))</f>
        <v>Personal Information</v>
      </c>
      <c r="K262" t="str">
        <f>IF(ISNA(MATCH(249,Engine!$C$2:$C$265,0)),"",INDEX('Compliance Database'!$K$2:$K$265,MATCH(249,Engine!$C$2:$C$265,0)))</f>
        <v>Regulator</v>
      </c>
      <c r="L262" s="6" t="str">
        <f>IF(ISNA(MATCH(249,Engine!$C$2:$C$265,0)),"",INDEX('Compliance Database'!$L$2:$L$265,MATCH(249,Engine!$C$2:$C$265,0)))</f>
        <v>Regulator must conduct audits and notify parties of audit findings.</v>
      </c>
      <c r="M262" s="6" t="str">
        <f>IF(ISNA(MATCH(249,Engine!$C$2:$C$265,0)),"",INDEX('Compliance Database'!$M$2:$M$265,MATCH(249,Engine!$C$2:$C$265,0)))</f>
        <v>Regulator must conduct audits; must notify parties of audit findings.</v>
      </c>
      <c r="N262" s="6" t="str">
        <f>IF(ISNA(MATCH(249,Engine!$C$2:$C$265,0)),"",INDEX('Compliance Database'!$N$2:$N$265,MATCH(249,Engine!$C$2:$C$265,0)))</f>
        <v>[Must] Regulator must conduct audits
Regulator must notify parties of audit findings</v>
      </c>
      <c r="O262" s="6" t="str">
        <f>IF(ISNA(MATCH(249,Engine!$C$2:$C$265,0)),"",INDEX('Compliance Database'!$O$2:$O$265,MATCH(249,Engine!$C$2:$C$265,0)))</f>
        <v>„n Versoek om ‟n oudit ingevolge artikel 89(1) van die Wet moet op Deel 1 van Vorm 11 aan die Reguleerder voorgelê word.</v>
      </c>
    </row>
    <row r="263" spans="1:15" ht="115.2" x14ac:dyDescent="0.3">
      <c r="A263" t="str">
        <f>IF(ISNA(MATCH(250,Engine!$C$2:$C$265,0)),"",INDEX('Compliance Database'!$A$2:$A$265,MATCH(250,Engine!$C$2:$C$265,0)))</f>
        <v>South Africa</v>
      </c>
      <c r="B263" t="str">
        <f>IF(ISNA(MATCH(250,Engine!$C$2:$C$265,0)),"",INDEX('Compliance Database'!$B$2:$B$265,MATCH(250,Engine!$C$2:$C$265,0)))</f>
        <v>POPIA_Regulations_-_Dec_2018</v>
      </c>
      <c r="C263" t="str">
        <f>IF(ISNA(MATCH(250,Engine!$C$2:$C$265,0)),"",INDEX('Compliance Database'!$C$2:$C$265,MATCH(250,Engine!$C$2:$C$265,0)))</f>
        <v>12</v>
      </c>
      <c r="D263" s="6" t="str">
        <f>IF(ISNA(MATCH(250,Engine!$C$2:$C$265,0)),"",INDEX('Compliance Database'!$D$2:$D$265,MATCH(250,Engine!$C$2:$C$265,0)))</f>
        <v>(1)</v>
      </c>
      <c r="E263" t="str">
        <f>IF(ISNA(MATCH(250,Engine!$C$2:$C$265,0)),"",INDEX('Compliance Database'!$E$2:$E$265,MATCH(250,Engine!$C$2:$C$265,0)))</f>
        <v>7–8</v>
      </c>
      <c r="F263" t="str">
        <f>IF(ISNA(MATCH(250,Engine!$C$2:$C$265,0)),"",INDEX('Compliance Database'!$F$2:$F$265,MATCH(250,Engine!$C$2:$C$265,0)))</f>
        <v>Incident Reporting</v>
      </c>
      <c r="G263" t="str">
        <f>IF(ISNA(MATCH(250,Engine!$C$2:$C$265,0)),"",INDEX('Compliance Database'!$G$2:$G$265,MATCH(250,Engine!$C$2:$C$265,0)))</f>
        <v>None</v>
      </c>
      <c r="H263" t="str">
        <f>IF(ISNA(MATCH(250,Engine!$C$2:$C$265,0)),"",INDEX('Compliance Database'!$H$2:$H$265,MATCH(250,Engine!$C$2:$C$265,0)))</f>
        <v>High (explicit)</v>
      </c>
      <c r="I263" s="6" t="str">
        <f>IF(ISNA(MATCH(250,Engine!$C$2:$C$265,0)),"",INDEX('Compliance Database'!$I$2:$I$265,MATCH(250,Engine!$C$2:$C$265,0)))</f>
        <v>Incident Reporting</v>
      </c>
      <c r="J263" s="6" t="str">
        <f>IF(ISNA(MATCH(250,Engine!$C$2:$C$265,0)),"",INDEX('Compliance Database'!$J$2:$J$265,MATCH(250,Engine!$C$2:$C$265,0)))</f>
        <v>Personal Information</v>
      </c>
      <c r="K263">
        <f>IF(ISNA(MATCH(250,Engine!$C$2:$C$265,0)),"",INDEX('Compliance Database'!$K$2:$K$265,MATCH(250,Engine!$C$2:$C$265,0)))</f>
        <v>0</v>
      </c>
      <c r="L263" s="6" t="str">
        <f>IF(ISNA(MATCH(250,Engine!$C$2:$C$265,0)),"",INDEX('Compliance Database'!$L$2:$L$265,MATCH(250,Engine!$C$2:$C$265,0)))</f>
        <v>Regulator must handle complaints through Form 5 for investigation under section 74 of the Act.</v>
      </c>
      <c r="M263" s="6" t="str">
        <f>IF(ISNA(MATCH(250,Engine!$C$2:$C$265,0)),"",INDEX('Compliance Database'!$M$2:$M$265,MATCH(250,Engine!$C$2:$C$265,0)))</f>
        <v>Complaints must be submitted to the Regulator on Form 5; Regulator handles complaints via Form 5.</v>
      </c>
      <c r="N263" s="6" t="str">
        <f>IF(ISNA(MATCH(250,Engine!$C$2:$C$265,0)),"",INDEX('Compliance Database'!$N$2:$N$265,MATCH(250,Engine!$C$2:$C$265,0)))</f>
        <v>[Must] Any person who wishes to submit a complaint contemplated in section 74(1) of the Act must submit such a complaint to the Regulator on Part I of Form 5
[Must] A responsible party or a data subject who wishes to submit a complaint contemplated in section 74(2) of the Act must submit such a complaint to the Regulator on Part II of Form 5</v>
      </c>
      <c r="O263" s="6" t="str">
        <f>IF(ISNA(MATCH(250,Engine!$C$2:$C$265,0)),"",INDEX('Compliance Database'!$O$2:$O$265,MATCH(250,Engine!$C$2:$C$265,0)))</f>
        <v>(1) Any person who wishes to submit a complaint contemplated in section 74(1) of the Act must submit such a complaint to the Regulator on Part I of Form 5. (2) A responsible party or a data subject who wishes to submit a complaint contemplated in section 74(2) of the Act must submit such a complaint to the Regulator on Part II of Form 5.</v>
      </c>
    </row>
    <row r="264" spans="1:15" ht="129.6" x14ac:dyDescent="0.3">
      <c r="A264" t="str">
        <f>IF(ISNA(MATCH(251,Engine!$C$2:$C$265,0)),"",INDEX('Compliance Database'!$A$2:$A$265,MATCH(251,Engine!$C$2:$C$265,0)))</f>
        <v>South Africa</v>
      </c>
      <c r="B264" t="str">
        <f>IF(ISNA(MATCH(251,Engine!$C$2:$C$265,0)),"",INDEX('Compliance Database'!$B$2:$B$265,MATCH(251,Engine!$C$2:$C$265,0)))</f>
        <v>POPIA_Regulations_-_Dec_2018</v>
      </c>
      <c r="C264" t="str">
        <f>IF(ISNA(MATCH(251,Engine!$C$2:$C$265,0)),"",INDEX('Compliance Database'!$C$2:$C$265,MATCH(251,Engine!$C$2:$C$265,0)))</f>
        <v>12</v>
      </c>
      <c r="D264" s="6" t="str">
        <f>IF(ISNA(MATCH(251,Engine!$C$2:$C$265,0)),"",INDEX('Compliance Database'!$D$2:$D$265,MATCH(251,Engine!$C$2:$C$265,0)))</f>
        <v>(1)</v>
      </c>
      <c r="E264" t="str">
        <f>IF(ISNA(MATCH(251,Engine!$C$2:$C$265,0)),"",INDEX('Compliance Database'!$E$2:$E$265,MATCH(251,Engine!$C$2:$C$265,0)))</f>
        <v>51–52</v>
      </c>
      <c r="F264" t="str">
        <f>IF(ISNA(MATCH(251,Engine!$C$2:$C$265,0)),"",INDEX('Compliance Database'!$F$2:$F$265,MATCH(251,Engine!$C$2:$C$265,0)))</f>
        <v>Other</v>
      </c>
      <c r="G264" t="str">
        <f>IF(ISNA(MATCH(251,Engine!$C$2:$C$265,0)),"",INDEX('Compliance Database'!$G$2:$G$265,MATCH(251,Engine!$C$2:$C$265,0)))</f>
        <v>Low</v>
      </c>
      <c r="H264" t="str">
        <f>IF(ISNA(MATCH(251,Engine!$C$2:$C$265,0)),"",INDEX('Compliance Database'!$H$2:$H$265,MATCH(251,Engine!$C$2:$C$265,0)))</f>
        <v>High (explicit)</v>
      </c>
      <c r="I264" s="6">
        <f>IF(ISNA(MATCH(251,Engine!$C$2:$C$265,0)),"",INDEX('Compliance Database'!$I$2:$I$265,MATCH(251,Engine!$C$2:$C$265,0)))</f>
        <v>0</v>
      </c>
      <c r="J264" s="6" t="str">
        <f>IF(ISNA(MATCH(251,Engine!$C$2:$C$265,0)),"",INDEX('Compliance Database'!$J$2:$J$265,MATCH(251,Engine!$C$2:$C$265,0)))</f>
        <v>Personal Information</v>
      </c>
      <c r="K264" t="str">
        <f>IF(ISNA(MATCH(251,Engine!$C$2:$C$265,0)),"",INDEX('Compliance Database'!$K$2:$K$265,MATCH(251,Engine!$C$2:$C$265,0)))</f>
        <v>Regulator</v>
      </c>
      <c r="L264" s="6" t="str">
        <f>IF(ISNA(MATCH(251,Engine!$C$2:$C$265,0)),"",INDEX('Compliance Database'!$L$2:$L$265,MATCH(251,Engine!$C$2:$C$265,0)))</f>
        <v>Regulator must inform parties of developments during investigations.</v>
      </c>
      <c r="M264" s="6" t="str">
        <f>IF(ISNA(MATCH(251,Engine!$C$2:$C$265,0)),"",INDEX('Compliance Database'!$M$2:$M$265,MATCH(251,Engine!$C$2:$C$265,0)))</f>
        <v>Regulator must inform parties of developments during investigations; must notify parties of investigation outcomes.</v>
      </c>
      <c r="N264" s="6" t="str">
        <f>IF(ISNA(MATCH(251,Engine!$C$2:$C$265,0)),"",INDEX('Compliance Database'!$N$2:$N$265,MATCH(251,Engine!$C$2:$C$265,0)))</f>
        <v>[Must] Regulator must inform parties of developments during investigations
[Must] Regulator must notify parties of investigation outcomes</v>
      </c>
      <c r="O264" s="6" t="str">
        <f>IF(ISNA(MATCH(251,Engine!$C$2:$C$265,0)),"",INDEX('Compliance Database'!$O$2:$O$265,MATCH(251,Engine!$C$2:$C$265,0)))</f>
        <v>Deur die loop van ‟n ondersoek moet die Reguleerder binne ‟n redelike tyd vanaf die datum waarop ‟n besluit geneem of stap gedoen word- (a) die klaer, die datasubjek (indien nie die klaer nie) en die verantwoordelike party ingelig hou van die ontwikkelings in die ondersoek; en (b) die klaer, datasubjek (indien nie klaer nie) en die verantwoordelike party verwittig van die uitslag van die ondersoek.</v>
      </c>
    </row>
    <row r="265" spans="1:15" ht="28.8" x14ac:dyDescent="0.3">
      <c r="A265" t="str">
        <f>IF(ISNA(MATCH(252,Engine!$C$2:$C$265,0)),"",INDEX('Compliance Database'!$A$2:$A$265,MATCH(252,Engine!$C$2:$C$265,0)))</f>
        <v>South Africa</v>
      </c>
      <c r="B265" t="str">
        <f>IF(ISNA(MATCH(252,Engine!$C$2:$C$265,0)),"",INDEX('Compliance Database'!$B$2:$B$265,MATCH(252,Engine!$C$2:$C$265,0)))</f>
        <v>POPIA_Regulations_-_Dec_2018</v>
      </c>
      <c r="C265" t="str">
        <f>IF(ISNA(MATCH(252,Engine!$C$2:$C$265,0)),"",INDEX('Compliance Database'!$C$2:$C$265,MATCH(252,Engine!$C$2:$C$265,0)))</f>
        <v>13</v>
      </c>
      <c r="D265" s="6" t="str">
        <f>IF(ISNA(MATCH(252,Engine!$C$2:$C$265,0)),"",INDEX('Compliance Database'!$D$2:$D$265,MATCH(252,Engine!$C$2:$C$265,0)))</f>
        <v>These Regulations shall be called the Regulations relating to the Protection of</v>
      </c>
      <c r="E265" t="str">
        <f>IF(ISNA(MATCH(252,Engine!$C$2:$C$265,0)),"",INDEX('Compliance Database'!$E$2:$E$265,MATCH(252,Engine!$C$2:$C$265,0)))</f>
        <v>8–9</v>
      </c>
      <c r="F265" t="str">
        <f>IF(ISNA(MATCH(252,Engine!$C$2:$C$265,0)),"",INDEX('Compliance Database'!$F$2:$F$265,MATCH(252,Engine!$C$2:$C$265,0)))</f>
        <v>Other</v>
      </c>
      <c r="G265" t="str">
        <f>IF(ISNA(MATCH(252,Engine!$C$2:$C$265,0)),"",INDEX('Compliance Database'!$G$2:$G$265,MATCH(252,Engine!$C$2:$C$265,0)))</f>
        <v>Unknown</v>
      </c>
      <c r="H265" t="str">
        <f>IF(ISNA(MATCH(252,Engine!$C$2:$C$265,0)),"",INDEX('Compliance Database'!$H$2:$H$265,MATCH(252,Engine!$C$2:$C$265,0)))</f>
        <v>Low</v>
      </c>
      <c r="I265" s="6">
        <f>IF(ISNA(MATCH(252,Engine!$C$2:$C$265,0)),"",INDEX('Compliance Database'!$I$2:$I$265,MATCH(252,Engine!$C$2:$C$265,0)))</f>
        <v>0</v>
      </c>
      <c r="J265" s="6">
        <f>IF(ISNA(MATCH(252,Engine!$C$2:$C$265,0)),"",INDEX('Compliance Database'!$J$2:$J$265,MATCH(252,Engine!$C$2:$C$265,0)))</f>
        <v>0</v>
      </c>
      <c r="K265">
        <f>IF(ISNA(MATCH(252,Engine!$C$2:$C$265,0)),"",INDEX('Compliance Database'!$K$2:$K$265,MATCH(252,Engine!$C$2:$C$265,0)))</f>
        <v>0</v>
      </c>
      <c r="L265" s="6">
        <f>IF(ISNA(MATCH(252,Engine!$C$2:$C$265,0)),"",INDEX('Compliance Database'!$L$2:$L$265,MATCH(252,Engine!$C$2:$C$265,0)))</f>
        <v>0</v>
      </c>
      <c r="M265" s="6">
        <f>IF(ISNA(MATCH(252,Engine!$C$2:$C$265,0)),"",INDEX('Compliance Database'!$M$2:$M$265,MATCH(252,Engine!$C$2:$C$265,0)))</f>
        <v>0</v>
      </c>
      <c r="N265" s="6">
        <f>IF(ISNA(MATCH(252,Engine!$C$2:$C$265,0)),"",INDEX('Compliance Database'!$N$2:$N$265,MATCH(252,Engine!$C$2:$C$265,0)))</f>
        <v>0</v>
      </c>
      <c r="O265" s="6">
        <f>IF(ISNA(MATCH(252,Engine!$C$2:$C$265,0)),"",INDEX('Compliance Database'!$O$2:$O$265,MATCH(252,Engine!$C$2:$C$265,0)))</f>
        <v>0</v>
      </c>
    </row>
    <row r="266" spans="1:15" ht="57.6" x14ac:dyDescent="0.3">
      <c r="A266" t="str">
        <f>IF(ISNA(MATCH(253,Engine!$C$2:$C$265,0)),"",INDEX('Compliance Database'!$A$2:$A$265,MATCH(253,Engine!$C$2:$C$265,0)))</f>
        <v>South Africa</v>
      </c>
      <c r="B266" t="str">
        <f>IF(ISNA(MATCH(253,Engine!$C$2:$C$265,0)),"",INDEX('Compliance Database'!$B$2:$B$265,MATCH(253,Engine!$C$2:$C$265,0)))</f>
        <v>POPIA_Regulations_-_Dec_2018</v>
      </c>
      <c r="C266" t="str">
        <f>IF(ISNA(MATCH(253,Engine!$C$2:$C$265,0)),"",INDEX('Compliance Database'!$C$2:$C$265,MATCH(253,Engine!$C$2:$C$265,0)))</f>
        <v>13</v>
      </c>
      <c r="D266" s="6" t="str">
        <f>IF(ISNA(MATCH(253,Engine!$C$2:$C$265,0)),"",INDEX('Compliance Database'!$D$2:$D$265,MATCH(253,Engine!$C$2:$C$265,0)))</f>
        <v>Hierdie Regulasies heet die Regulasies op die Beskerming van Persoonlike Inligting</v>
      </c>
      <c r="E266" t="str">
        <f>IF(ISNA(MATCH(253,Engine!$C$2:$C$265,0)),"",INDEX('Compliance Database'!$E$2:$E$265,MATCH(253,Engine!$C$2:$C$265,0)))</f>
        <v>52–53</v>
      </c>
      <c r="F266" t="str">
        <f>IF(ISNA(MATCH(253,Engine!$C$2:$C$265,0)),"",INDEX('Compliance Database'!$F$2:$F$265,MATCH(253,Engine!$C$2:$C$265,0)))</f>
        <v>Other</v>
      </c>
      <c r="G266" t="str">
        <f>IF(ISNA(MATCH(253,Engine!$C$2:$C$265,0)),"",INDEX('Compliance Database'!$G$2:$G$265,MATCH(253,Engine!$C$2:$C$265,0)))</f>
        <v>Low</v>
      </c>
      <c r="H266" t="str">
        <f>IF(ISNA(MATCH(253,Engine!$C$2:$C$265,0)),"",INDEX('Compliance Database'!$H$2:$H$265,MATCH(253,Engine!$C$2:$C$265,0)))</f>
        <v>High (explicit)</v>
      </c>
      <c r="I266" s="6">
        <f>IF(ISNA(MATCH(253,Engine!$C$2:$C$265,0)),"",INDEX('Compliance Database'!$I$2:$I$265,MATCH(253,Engine!$C$2:$C$265,0)))</f>
        <v>0</v>
      </c>
      <c r="J266" s="6" t="str">
        <f>IF(ISNA(MATCH(253,Engine!$C$2:$C$265,0)),"",INDEX('Compliance Database'!$J$2:$J$265,MATCH(253,Engine!$C$2:$C$265,0)))</f>
        <v>Personal Information</v>
      </c>
      <c r="K266">
        <f>IF(ISNA(MATCH(253,Engine!$C$2:$C$265,0)),"",INDEX('Compliance Database'!$K$2:$K$265,MATCH(253,Engine!$C$2:$C$265,0)))</f>
        <v>0</v>
      </c>
      <c r="L266" s="6" t="str">
        <f>IF(ISNA(MATCH(253,Engine!$C$2:$C$265,0)),"",INDEX('Compliance Database'!$L$2:$L$265,MATCH(253,Engine!$C$2:$C$265,0)))</f>
        <v>Regulations are titled 'Regulations on the Protection of Personal Information' and come into effect upon publication.</v>
      </c>
      <c r="M266" s="6" t="str">
        <f>IF(ISNA(MATCH(253,Engine!$C$2:$C$265,0)),"",INDEX('Compliance Database'!$M$2:$M$265,MATCH(253,Engine!$C$2:$C$265,0)))</f>
        <v>Regulations are titled 'Regulations on the Protection of Personal Information' and come into effect upon publication.</v>
      </c>
      <c r="N266" s="6">
        <f>IF(ISNA(MATCH(253,Engine!$C$2:$C$265,0)),"",INDEX('Compliance Database'!$N$2:$N$265,MATCH(253,Engine!$C$2:$C$265,0)))</f>
        <v>0</v>
      </c>
      <c r="O266" s="6" t="str">
        <f>IF(ISNA(MATCH(253,Engine!$C$2:$C$265,0)),"",INDEX('Compliance Database'!$O$2:$O$265,MATCH(253,Engine!$C$2:$C$265,0)))</f>
        <v>Hierdie Regulasies heet die Regulasies op die Beskerming van Persoonlike Inligting en tree in werking op ‟n datum deur die Reguleerder by proklamasie in die Staatskoerant vasgestel.</v>
      </c>
    </row>
    <row r="267" spans="1:15" ht="100.8" x14ac:dyDescent="0.3">
      <c r="A267" t="str">
        <f>IF(ISNA(MATCH(254,Engine!$C$2:$C$265,0)),"",INDEX('Compliance Database'!$A$2:$A$265,MATCH(254,Engine!$C$2:$C$265,0)))</f>
        <v>South Africa</v>
      </c>
      <c r="B267" t="str">
        <f>IF(ISNA(MATCH(254,Engine!$C$2:$C$265,0)),"",INDEX('Compliance Database'!$B$2:$B$265,MATCH(254,Engine!$C$2:$C$265,0)))</f>
        <v>South Africa National Cybersecurity Policy Framework (NCPF) 2015</v>
      </c>
      <c r="C267" t="str">
        <f>IF(ISNA(MATCH(254,Engine!$C$2:$C$265,0)),"",INDEX('Compliance Database'!$C$2:$C$265,MATCH(254,Engine!$C$2:$C$265,0)))</f>
        <v>1</v>
      </c>
      <c r="D267" s="6" t="str">
        <f>IF(ISNA(MATCH(254,Engine!$C$2:$C$265,0)),"",INDEX('Compliance Database'!$D$2:$D$265,MATCH(254,Engine!$C$2:$C$265,0)))</f>
        <v>1 . Introduction</v>
      </c>
      <c r="E267" t="str">
        <f>IF(ISNA(MATCH(254,Engine!$C$2:$C$265,0)),"",INDEX('Compliance Database'!$E$2:$E$265,MATCH(254,Engine!$C$2:$C$265,0)))</f>
        <v>10–12</v>
      </c>
      <c r="F267" t="str">
        <f>IF(ISNA(MATCH(254,Engine!$C$2:$C$265,0)),"",INDEX('Compliance Database'!$F$2:$F$265,MATCH(254,Engine!$C$2:$C$265,0)))</f>
        <v>Other</v>
      </c>
      <c r="G267" t="str">
        <f>IF(ISNA(MATCH(254,Engine!$C$2:$C$265,0)),"",INDEX('Compliance Database'!$G$2:$G$265,MATCH(254,Engine!$C$2:$C$265,0)))</f>
        <v>Low</v>
      </c>
      <c r="H267" t="str">
        <f>IF(ISNA(MATCH(254,Engine!$C$2:$C$265,0)),"",INDEX('Compliance Database'!$H$2:$H$265,MATCH(254,Engine!$C$2:$C$265,0)))</f>
        <v>High (explicit)</v>
      </c>
      <c r="I267" s="6">
        <f>IF(ISNA(MATCH(254,Engine!$C$2:$C$265,0)),"",INDEX('Compliance Database'!$I$2:$I$265,MATCH(254,Engine!$C$2:$C$265,0)))</f>
        <v>0</v>
      </c>
      <c r="J267" s="6">
        <f>IF(ISNA(MATCH(254,Engine!$C$2:$C$265,0)),"",INDEX('Compliance Database'!$J$2:$J$265,MATCH(254,Engine!$C$2:$C$265,0)))</f>
        <v>0</v>
      </c>
      <c r="K267">
        <f>IF(ISNA(MATCH(254,Engine!$C$2:$C$265,0)),"",INDEX('Compliance Database'!$K$2:$K$265,MATCH(254,Engine!$C$2:$C$265,0)))</f>
        <v>0</v>
      </c>
      <c r="L267" s="6" t="str">
        <f>IF(ISNA(MATCH(254,Engine!$C$2:$C$265,0)),"",INDEX('Compliance Database'!$L$2:$L$265,MATCH(254,Engine!$C$2:$C$265,0)))</f>
        <v>Introduces South Africa's National Cybersecurity Policy Framework (NCPF) as part of government's outcome-based priorities to enhance safety through cybersecurity measures, recognizing cyber threats' personal, national, and international dimensions.</v>
      </c>
      <c r="M267" s="6">
        <f>IF(ISNA(MATCH(254,Engine!$C$2:$C$265,0)),"",INDEX('Compliance Database'!$M$2:$M$265,MATCH(254,Engine!$C$2:$C$265,0)))</f>
        <v>0</v>
      </c>
      <c r="N267" s="6">
        <f>IF(ISNA(MATCH(254,Engine!$C$2:$C$265,0)),"",INDEX('Compliance Database'!$N$2:$N$265,MATCH(254,Engine!$C$2:$C$265,0)))</f>
        <v>0</v>
      </c>
      <c r="O267" s="6" t="str">
        <f>IF(ISNA(MATCH(254,Engine!$C$2:$C$265,0)),"",INDEX('Compliance Database'!$O$2:$O$265,MATCH(254,Engine!$C$2:$C$265,0)))</f>
        <v>1.1 A number of strategic interventions and tactical interventions have been successfully implemented over the past few years and other interventions are in the process of being implemented within the Justice, Crime Prevention and Security (JCPS) Cluster in the fight against crime with the objective of making South Africa Safe.</v>
      </c>
    </row>
    <row r="268" spans="1:15" ht="57.6" x14ac:dyDescent="0.3">
      <c r="A268" t="str">
        <f>IF(ISNA(MATCH(255,Engine!$C$2:$C$265,0)),"",INDEX('Compliance Database'!$A$2:$A$265,MATCH(255,Engine!$C$2:$C$265,0)))</f>
        <v>South Africa</v>
      </c>
      <c r="B268" t="str">
        <f>IF(ISNA(MATCH(255,Engine!$C$2:$C$265,0)),"",INDEX('Compliance Database'!$B$2:$B$265,MATCH(255,Engine!$C$2:$C$265,0)))</f>
        <v>South Africa National Cybersecurity Policy Framework (NCPF) 2015</v>
      </c>
      <c r="C268" t="str">
        <f>IF(ISNA(MATCH(255,Engine!$C$2:$C$265,0)),"",INDEX('Compliance Database'!$C$2:$C$265,MATCH(255,Engine!$C$2:$C$265,0)))</f>
        <v>2</v>
      </c>
      <c r="D268" s="6" t="str">
        <f>IF(ISNA(MATCH(255,Engine!$C$2:$C$265,0)),"",INDEX('Compliance Database'!$D$2:$D$265,MATCH(255,Engine!$C$2:$C$265,0)))</f>
        <v>have the potential to impact on our national security and economy.</v>
      </c>
      <c r="E268" t="str">
        <f>IF(ISNA(MATCH(255,Engine!$C$2:$C$265,0)),"",INDEX('Compliance Database'!$E$2:$E$265,MATCH(255,Engine!$C$2:$C$265,0)))</f>
        <v>12–14</v>
      </c>
      <c r="F268" t="str">
        <f>IF(ISNA(MATCH(255,Engine!$C$2:$C$265,0)),"",INDEX('Compliance Database'!$F$2:$F$265,MATCH(255,Engine!$C$2:$C$265,0)))</f>
        <v>Other</v>
      </c>
      <c r="G268" t="str">
        <f>IF(ISNA(MATCH(255,Engine!$C$2:$C$265,0)),"",INDEX('Compliance Database'!$G$2:$G$265,MATCH(255,Engine!$C$2:$C$265,0)))</f>
        <v>Low</v>
      </c>
      <c r="H268" t="str">
        <f>IF(ISNA(MATCH(255,Engine!$C$2:$C$265,0)),"",INDEX('Compliance Database'!$H$2:$H$265,MATCH(255,Engine!$C$2:$C$265,0)))</f>
        <v>High (explicit)</v>
      </c>
      <c r="I268" s="6">
        <f>IF(ISNA(MATCH(255,Engine!$C$2:$C$265,0)),"",INDEX('Compliance Database'!$I$2:$I$265,MATCH(255,Engine!$C$2:$C$265,0)))</f>
        <v>0</v>
      </c>
      <c r="J268" s="6">
        <f>IF(ISNA(MATCH(255,Engine!$C$2:$C$265,0)),"",INDEX('Compliance Database'!$J$2:$J$265,MATCH(255,Engine!$C$2:$C$265,0)))</f>
        <v>0</v>
      </c>
      <c r="K268">
        <f>IF(ISNA(MATCH(255,Engine!$C$2:$C$265,0)),"",INDEX('Compliance Database'!$K$2:$K$265,MATCH(255,Engine!$C$2:$C$265,0)))</f>
        <v>0</v>
      </c>
      <c r="L268" s="6" t="str">
        <f>IF(ISNA(MATCH(255,Engine!$C$2:$C$265,0)),"",INDEX('Compliance Database'!$L$2:$L$265,MATCH(255,Engine!$C$2:$C$265,0)))</f>
        <v>Highlights South Africa's vulnerability to cybercrime, noting phishing and e-crime incidents targeting the country, with the banking sector being especially vulnerable.</v>
      </c>
      <c r="M268" s="6">
        <f>IF(ISNA(MATCH(255,Engine!$C$2:$C$265,0)),"",INDEX('Compliance Database'!$M$2:$M$265,MATCH(255,Engine!$C$2:$C$265,0)))</f>
        <v>0</v>
      </c>
      <c r="N268" s="6">
        <f>IF(ISNA(MATCH(255,Engine!$C$2:$C$265,0)),"",INDEX('Compliance Database'!$N$2:$N$265,MATCH(255,Engine!$C$2:$C$265,0)))</f>
        <v>0</v>
      </c>
      <c r="O268" s="6" t="str">
        <f>IF(ISNA(MATCH(255,Engine!$C$2:$C$265,0)),"",INDEX('Compliance Database'!$O$2:$O$265,MATCH(255,Engine!$C$2:$C$265,0)))</f>
        <v>2.4 Statistics in 2011 indicate that South Africa was in the top three countries that are targeted for phishing purposes, the other countries are the USA and the UK.</v>
      </c>
    </row>
    <row r="269" spans="1:15" ht="100.8" x14ac:dyDescent="0.3">
      <c r="A269" t="str">
        <f>IF(ISNA(MATCH(256,Engine!$C$2:$C$265,0)),"",INDEX('Compliance Database'!$A$2:$A$265,MATCH(256,Engine!$C$2:$C$265,0)))</f>
        <v>South Africa</v>
      </c>
      <c r="B269" t="str">
        <f>IF(ISNA(MATCH(256,Engine!$C$2:$C$265,0)),"",INDEX('Compliance Database'!$B$2:$B$265,MATCH(256,Engine!$C$2:$C$265,0)))</f>
        <v>South Africa National Cybersecurity Policy Framework (NCPF) 2015</v>
      </c>
      <c r="C269" t="str">
        <f>IF(ISNA(MATCH(256,Engine!$C$2:$C$265,0)),"",INDEX('Compliance Database'!$C$2:$C$265,MATCH(256,Engine!$C$2:$C$265,0)))</f>
        <v>3</v>
      </c>
      <c r="D269" s="6" t="str">
        <f>IF(ISNA(MATCH(256,Engine!$C$2:$C$265,0)),"",INDEX('Compliance Database'!$D$2:$D$265,MATCH(256,Engine!$C$2:$C$265,0)))</f>
        <v>freedom of expression.</v>
      </c>
      <c r="E269" t="str">
        <f>IF(ISNA(MATCH(256,Engine!$C$2:$C$265,0)),"",INDEX('Compliance Database'!$E$2:$E$265,MATCH(256,Engine!$C$2:$C$265,0)))</f>
        <v>14–15</v>
      </c>
      <c r="F269" t="str">
        <f>IF(ISNA(MATCH(256,Engine!$C$2:$C$265,0)),"",INDEX('Compliance Database'!$F$2:$F$265,MATCH(256,Engine!$C$2:$C$265,0)))</f>
        <v>Other</v>
      </c>
      <c r="G269" t="str">
        <f>IF(ISNA(MATCH(256,Engine!$C$2:$C$265,0)),"",INDEX('Compliance Database'!$G$2:$G$265,MATCH(256,Engine!$C$2:$C$265,0)))</f>
        <v>Low</v>
      </c>
      <c r="H269" t="str">
        <f>IF(ISNA(MATCH(256,Engine!$C$2:$C$265,0)),"",INDEX('Compliance Database'!$H$2:$H$265,MATCH(256,Engine!$C$2:$C$265,0)))</f>
        <v>High (explicit)</v>
      </c>
      <c r="I269" s="6">
        <f>IF(ISNA(MATCH(256,Engine!$C$2:$C$265,0)),"",INDEX('Compliance Database'!$I$2:$I$265,MATCH(256,Engine!$C$2:$C$265,0)))</f>
        <v>0</v>
      </c>
      <c r="J269" s="6">
        <f>IF(ISNA(MATCH(256,Engine!$C$2:$C$265,0)),"",INDEX('Compliance Database'!$J$2:$J$265,MATCH(256,Engine!$C$2:$C$265,0)))</f>
        <v>0</v>
      </c>
      <c r="K269">
        <f>IF(ISNA(MATCH(256,Engine!$C$2:$C$265,0)),"",INDEX('Compliance Database'!$K$2:$K$265,MATCH(256,Engine!$C$2:$C$265,0)))</f>
        <v>0</v>
      </c>
      <c r="L269" s="6" t="str">
        <f>IF(ISNA(MATCH(256,Engine!$C$2:$C$265,0)),"",INDEX('Compliance Database'!$L$2:$L$265,MATCH(256,Engine!$C$2:$C$265,0)))</f>
        <v>Outlines the purpose of the NCPF to create a secure cyberspace that protects critical information infrastructure while strengthening shared human values and understanding of cybersecurity.</v>
      </c>
      <c r="M269" s="6">
        <f>IF(ISNA(MATCH(256,Engine!$C$2:$C$265,0)),"",INDEX('Compliance Database'!$M$2:$M$265,MATCH(256,Engine!$C$2:$C$265,0)))</f>
        <v>0</v>
      </c>
      <c r="N269" s="6">
        <f>IF(ISNA(MATCH(256,Engine!$C$2:$C$265,0)),"",INDEX('Compliance Database'!$N$2:$N$265,MATCH(256,Engine!$C$2:$C$265,0)))</f>
        <v>0</v>
      </c>
      <c r="O269" s="6" t="str">
        <f>IF(ISNA(MATCH(256,Engine!$C$2:$C$265,0)),"",INDEX('Compliance Database'!$O$2:$O$265,MATCH(256,Engine!$C$2:$C$265,0)))</f>
        <v>3.1 The purpose of the NCPF is to create a secure, dependable, reliable and trustworthy cyber environment that facilitates the protection of critical information infrastructure whilst strengthening shared human values and understanding of Cybersecurity in support of national security imperatives and the economy.</v>
      </c>
    </row>
    <row r="270" spans="1:15" ht="57.6" x14ac:dyDescent="0.3">
      <c r="A270" t="str">
        <f>IF(ISNA(MATCH(257,Engine!$C$2:$C$265,0)),"",INDEX('Compliance Database'!$A$2:$A$265,MATCH(257,Engine!$C$2:$C$265,0)))</f>
        <v>South Africa</v>
      </c>
      <c r="B270" t="str">
        <f>IF(ISNA(MATCH(257,Engine!$C$2:$C$265,0)),"",INDEX('Compliance Database'!$B$2:$B$265,MATCH(257,Engine!$C$2:$C$265,0)))</f>
        <v>South Africa National Cybersecurity Policy Framework (NCPF) 2015</v>
      </c>
      <c r="C270" t="str">
        <f>IF(ISNA(MATCH(257,Engine!$C$2:$C$265,0)),"",INDEX('Compliance Database'!$C$2:$C$265,MATCH(257,Engine!$C$2:$C$265,0)))</f>
        <v>4</v>
      </c>
      <c r="D270" s="6" t="str">
        <f>IF(ISNA(MATCH(257,Engine!$C$2:$C$265,0)),"",INDEX('Compliance Database'!$D$2:$D$265,MATCH(257,Engine!$C$2:$C$265,0)))</f>
        <v>Key Objectives of the NCPF</v>
      </c>
      <c r="E270" t="str">
        <f>IF(ISNA(MATCH(257,Engine!$C$2:$C$265,0)),"",INDEX('Compliance Database'!$E$2:$E$265,MATCH(257,Engine!$C$2:$C$265,0)))</f>
        <v>15</v>
      </c>
      <c r="F270" t="str">
        <f>IF(ISNA(MATCH(257,Engine!$C$2:$C$265,0)),"",INDEX('Compliance Database'!$F$2:$F$265,MATCH(257,Engine!$C$2:$C$265,0)))</f>
        <v>Other</v>
      </c>
      <c r="G270" t="str">
        <f>IF(ISNA(MATCH(257,Engine!$C$2:$C$265,0)),"",INDEX('Compliance Database'!$G$2:$G$265,MATCH(257,Engine!$C$2:$C$265,0)))</f>
        <v>Low</v>
      </c>
      <c r="H270" t="str">
        <f>IF(ISNA(MATCH(257,Engine!$C$2:$C$265,0)),"",INDEX('Compliance Database'!$H$2:$H$265,MATCH(257,Engine!$C$2:$C$265,0)))</f>
        <v>High (explicit)</v>
      </c>
      <c r="I270" s="6">
        <f>IF(ISNA(MATCH(257,Engine!$C$2:$C$265,0)),"",INDEX('Compliance Database'!$I$2:$I$265,MATCH(257,Engine!$C$2:$C$265,0)))</f>
        <v>0</v>
      </c>
      <c r="J270" s="6">
        <f>IF(ISNA(MATCH(257,Engine!$C$2:$C$265,0)),"",INDEX('Compliance Database'!$J$2:$J$265,MATCH(257,Engine!$C$2:$C$265,0)))</f>
        <v>0</v>
      </c>
      <c r="K270">
        <f>IF(ISNA(MATCH(257,Engine!$C$2:$C$265,0)),"",INDEX('Compliance Database'!$K$2:$K$265,MATCH(257,Engine!$C$2:$C$265,0)))</f>
        <v>0</v>
      </c>
      <c r="L270" s="6" t="str">
        <f>IF(ISNA(MATCH(257,Engine!$C$2:$C$265,0)),"",INDEX('Compliance Database'!$L$2:$L$265,MATCH(257,Engine!$C$2:$C$265,0)))</f>
        <v>Sets strategic priorities for the NCPF, including centralizing cybersecurity coordination, fostering public-private cooperation, promoting international collaboration, and developing cybersecurity skills.</v>
      </c>
      <c r="M270" s="6">
        <f>IF(ISNA(MATCH(257,Engine!$C$2:$C$265,0)),"",INDEX('Compliance Database'!$M$2:$M$265,MATCH(257,Engine!$C$2:$C$265,0)))</f>
        <v>0</v>
      </c>
      <c r="N270" s="6">
        <f>IF(ISNA(MATCH(257,Engine!$C$2:$C$265,0)),"",INDEX('Compliance Database'!$N$2:$N$265,MATCH(257,Engine!$C$2:$C$265,0)))</f>
        <v>0</v>
      </c>
      <c r="O270" s="6" t="str">
        <f>IF(ISNA(MATCH(257,Engine!$C$2:$C$265,0)),"",INDEX('Compliance Database'!$O$2:$O$265,MATCH(257,Engine!$C$2:$C$265,0)))</f>
        <v>4.1 The NCPF articulates the overall aim and objectives of the South African Government and sets out strategic priorities that will be pursued to achieve these objectives.</v>
      </c>
    </row>
    <row r="271" spans="1:15" ht="57.6" x14ac:dyDescent="0.3">
      <c r="A271" t="str">
        <f>IF(ISNA(MATCH(258,Engine!$C$2:$C$265,0)),"",INDEX('Compliance Database'!$A$2:$A$265,MATCH(258,Engine!$C$2:$C$265,0)))</f>
        <v>South Africa</v>
      </c>
      <c r="B271" t="str">
        <f>IF(ISNA(MATCH(258,Engine!$C$2:$C$265,0)),"",INDEX('Compliance Database'!$B$2:$B$265,MATCH(258,Engine!$C$2:$C$265,0)))</f>
        <v>South Africa National Cybersecurity Policy Framework (NCPF) 2015</v>
      </c>
      <c r="C271" t="str">
        <f>IF(ISNA(MATCH(258,Engine!$C$2:$C$265,0)),"",INDEX('Compliance Database'!$C$2:$C$265,MATCH(258,Engine!$C$2:$C$265,0)))</f>
        <v>5</v>
      </c>
      <c r="D271" s="6" t="str">
        <f>IF(ISNA(MATCH(258,Engine!$C$2:$C$265,0)),"",INDEX('Compliance Database'!$D$2:$D$265,MATCH(258,Engine!$C$2:$C$265,0)))</f>
        <v>Capacity to Respond to Cybersecurity Imperatives</v>
      </c>
      <c r="E271" t="str">
        <f>IF(ISNA(MATCH(258,Engine!$C$2:$C$265,0)),"",INDEX('Compliance Database'!$E$2:$E$265,MATCH(258,Engine!$C$2:$C$265,0)))</f>
        <v>15–18</v>
      </c>
      <c r="F271" t="str">
        <f>IF(ISNA(MATCH(258,Engine!$C$2:$C$265,0)),"",INDEX('Compliance Database'!$F$2:$F$265,MATCH(258,Engine!$C$2:$C$265,0)))</f>
        <v>Other</v>
      </c>
      <c r="G271" t="str">
        <f>IF(ISNA(MATCH(258,Engine!$C$2:$C$265,0)),"",INDEX('Compliance Database'!$G$2:$G$265,MATCH(258,Engine!$C$2:$C$265,0)))</f>
        <v>Low</v>
      </c>
      <c r="H271" t="str">
        <f>IF(ISNA(MATCH(258,Engine!$C$2:$C$265,0)),"",INDEX('Compliance Database'!$H$2:$H$265,MATCH(258,Engine!$C$2:$C$265,0)))</f>
        <v>High (explicit)</v>
      </c>
      <c r="I271" s="6">
        <f>IF(ISNA(MATCH(258,Engine!$C$2:$C$265,0)),"",INDEX('Compliance Database'!$I$2:$I$265,MATCH(258,Engine!$C$2:$C$265,0)))</f>
        <v>0</v>
      </c>
      <c r="J271" s="6">
        <f>IF(ISNA(MATCH(258,Engine!$C$2:$C$265,0)),"",INDEX('Compliance Database'!$J$2:$J$265,MATCH(258,Engine!$C$2:$C$265,0)))</f>
        <v>0</v>
      </c>
      <c r="K271">
        <f>IF(ISNA(MATCH(258,Engine!$C$2:$C$265,0)),"",INDEX('Compliance Database'!$K$2:$K$265,MATCH(258,Engine!$C$2:$C$265,0)))</f>
        <v>0</v>
      </c>
      <c r="L271" s="6" t="str">
        <f>IF(ISNA(MATCH(258,Engine!$C$2:$C$265,0)),"",INDEX('Compliance Database'!$L$2:$L$265,MATCH(258,Engine!$C$2:$C$265,0)))</f>
        <v>Establishes a Cybersecurity Response Committee to oversee implementation, coordinate cybersecurity activities, and ensure protection of national critical information infrastructure.</v>
      </c>
      <c r="M271" s="6">
        <f>IF(ISNA(MATCH(258,Engine!$C$2:$C$265,0)),"",INDEX('Compliance Database'!$M$2:$M$265,MATCH(258,Engine!$C$2:$C$265,0)))</f>
        <v>0</v>
      </c>
      <c r="N271" s="6">
        <f>IF(ISNA(MATCH(258,Engine!$C$2:$C$265,0)),"",INDEX('Compliance Database'!$N$2:$N$265,MATCH(258,Engine!$C$2:$C$265,0)))</f>
        <v>0</v>
      </c>
      <c r="O271" s="6" t="str">
        <f>IF(ISNA(MATCH(258,Engine!$C$2:$C$265,0)),"",INDEX('Compliance Database'!$O$2:$O$265,MATCH(258,Engine!$C$2:$C$265,0)))</f>
        <v>5.2 A dedicated JCPS Committee will be established within the JCPS Cluster to coordinate Cybersecurity activities, drive the implementation of the NCPF and manage the implementation of Output 8.</v>
      </c>
    </row>
    <row r="272" spans="1:15" ht="331.2" x14ac:dyDescent="0.3">
      <c r="A272" t="str">
        <f>IF(ISNA(MATCH(259,Engine!$C$2:$C$265,0)),"",INDEX('Compliance Database'!$A$2:$A$265,MATCH(259,Engine!$C$2:$C$265,0)))</f>
        <v>South Africa</v>
      </c>
      <c r="B272" t="str">
        <f>IF(ISNA(MATCH(259,Engine!$C$2:$C$265,0)),"",INDEX('Compliance Database'!$B$2:$B$265,MATCH(259,Engine!$C$2:$C$265,0)))</f>
        <v>South Africa National Cybersecurity Policy Framework (NCPF) 2015</v>
      </c>
      <c r="C272" t="str">
        <f>IF(ISNA(MATCH(259,Engine!$C$2:$C$265,0)),"",INDEX('Compliance Database'!$C$2:$C$265,MATCH(259,Engine!$C$2:$C$265,0)))</f>
        <v>6</v>
      </c>
      <c r="D272" s="6">
        <f>IF(ISNA(MATCH(259,Engine!$C$2:$C$265,0)),"",INDEX('Compliance Database'!$D$2:$D$265,MATCH(259,Engine!$C$2:$C$265,0)))</f>
        <v>0</v>
      </c>
      <c r="E272" t="str">
        <f>IF(ISNA(MATCH(259,Engine!$C$2:$C$265,0)),"",INDEX('Compliance Database'!$E$2:$E$265,MATCH(259,Engine!$C$2:$C$265,0)))</f>
        <v>18–19</v>
      </c>
      <c r="F272" t="str">
        <f>IF(ISNA(MATCH(259,Engine!$C$2:$C$265,0)),"",INDEX('Compliance Database'!$F$2:$F$265,MATCH(259,Engine!$C$2:$C$265,0)))</f>
        <v>Other</v>
      </c>
      <c r="G272" t="str">
        <f>IF(ISNA(MATCH(259,Engine!$C$2:$C$265,0)),"",INDEX('Compliance Database'!$G$2:$G$265,MATCH(259,Engine!$C$2:$C$265,0)))</f>
        <v>Low</v>
      </c>
      <c r="H272" t="str">
        <f>IF(ISNA(MATCH(259,Engine!$C$2:$C$265,0)),"",INDEX('Compliance Database'!$H$2:$H$265,MATCH(259,Engine!$C$2:$C$265,0)))</f>
        <v>High (explicit)</v>
      </c>
      <c r="I272" s="6">
        <f>IF(ISNA(MATCH(259,Engine!$C$2:$C$265,0)),"",INDEX('Compliance Database'!$I$2:$I$265,MATCH(259,Engine!$C$2:$C$265,0)))</f>
        <v>0</v>
      </c>
      <c r="J272" s="6">
        <f>IF(ISNA(MATCH(259,Engine!$C$2:$C$265,0)),"",INDEX('Compliance Database'!$J$2:$J$265,MATCH(259,Engine!$C$2:$C$265,0)))</f>
        <v>0</v>
      </c>
      <c r="K272" t="str">
        <f>IF(ISNA(MATCH(259,Engine!$C$2:$C$265,0)),"",INDEX('Compliance Database'!$K$2:$K$265,MATCH(259,Engine!$C$2:$C$265,0)))</f>
        <v>Department of Telecommunications and Postal Services (DOC)</v>
      </c>
      <c r="L272" s="6" t="str">
        <f>IF(ISNA(MATCH(259,Engine!$C$2:$C$265,0)),"",INDEX('Compliance Database'!$L$2:$L$265,MATCH(259,Engine!$C$2:$C$265,0)))</f>
        <v>Establishes Cybersecurity Hub within DOC to coordinate consultation between public sector, private sector, and civil society on cybersecurity matters.</v>
      </c>
      <c r="M272" s="6">
        <f>IF(ISNA(MATCH(259,Engine!$C$2:$C$265,0)),"",INDEX('Compliance Database'!$M$2:$M$265,MATCH(259,Engine!$C$2:$C$265,0)))</f>
        <v>0</v>
      </c>
      <c r="N272" s="6" t="str">
        <f>IF(ISNA(MATCH(259,Engine!$C$2:$C$265,0)),"",INDEX('Compliance Database'!$N$2:$N$265,MATCH(259,Engine!$C$2:$C$265,0)))</f>
        <v>[Must] Coordinate general Cybersecurity activities, in consultation with JCPS CRC as well as including identifying stakeholders and developing public-private relationships and collaborating with any sector CSIRTs that may be established
[Must] Disseminate relevant information to other sector CSIRTs, vendors, technology experts on Cybersecurity developments
[Must] Provide best practice guidance on ICT security for Government, business and civil society
[Must] Initiate Cybersecurity awareness campaigns
[Must] Promote compliance with standards, procedures and policy developed by the JCPS Cybersecurity Response Committee regarding Cybersecurity matters with a bearing on national security
[Must] Encourage and facilitate the development of appropriate additional sector CSIRTs</v>
      </c>
      <c r="O272" s="6" t="str">
        <f>IF(ISNA(MATCH(259,Engine!$C$2:$C$265,0)),"",INDEX('Compliance Database'!$O$2:$O$265,MATCH(259,Engine!$C$2:$C$265,0)))</f>
        <v>The Cybersecurity Hub will be operated within the DOC in accordance with national security guidelines and standards issued by the JCPS Cybersecurity Response Committee.</v>
      </c>
    </row>
    <row r="273" spans="1:15" ht="331.2" x14ac:dyDescent="0.3">
      <c r="A273" t="str">
        <f>IF(ISNA(MATCH(260,Engine!$C$2:$C$265,0)),"",INDEX('Compliance Database'!$A$2:$A$265,MATCH(260,Engine!$C$2:$C$265,0)))</f>
        <v>South Africa</v>
      </c>
      <c r="B273" t="str">
        <f>IF(ISNA(MATCH(260,Engine!$C$2:$C$265,0)),"",INDEX('Compliance Database'!$B$2:$B$265,MATCH(260,Engine!$C$2:$C$265,0)))</f>
        <v>South Africa National Cybersecurity Policy Framework (NCPF) 2015</v>
      </c>
      <c r="C273" t="str">
        <f>IF(ISNA(MATCH(260,Engine!$C$2:$C$265,0)),"",INDEX('Compliance Database'!$C$2:$C$265,MATCH(260,Engine!$C$2:$C$265,0)))</f>
        <v>7</v>
      </c>
      <c r="D273" s="6" t="str">
        <f>IF(ISNA(MATCH(260,Engine!$C$2:$C$265,0)),"",INDEX('Compliance Database'!$D$2:$D$265,MATCH(260,Engine!$C$2:$C$265,0)))</f>
        <v>Verification of Information Security Products and Systems</v>
      </c>
      <c r="E273" t="str">
        <f>IF(ISNA(MATCH(260,Engine!$C$2:$C$265,0)),"",INDEX('Compliance Database'!$E$2:$E$265,MATCH(260,Engine!$C$2:$C$265,0)))</f>
        <v>19–20</v>
      </c>
      <c r="F273" t="str">
        <f>IF(ISNA(MATCH(260,Engine!$C$2:$C$265,0)),"",INDEX('Compliance Database'!$F$2:$F$265,MATCH(260,Engine!$C$2:$C$265,0)))</f>
        <v>Other</v>
      </c>
      <c r="G273" t="str">
        <f>IF(ISNA(MATCH(260,Engine!$C$2:$C$265,0)),"",INDEX('Compliance Database'!$G$2:$G$265,MATCH(260,Engine!$C$2:$C$265,0)))</f>
        <v>Low</v>
      </c>
      <c r="H273" t="str">
        <f>IF(ISNA(MATCH(260,Engine!$C$2:$C$265,0)),"",INDEX('Compliance Database'!$H$2:$H$265,MATCH(260,Engine!$C$2:$C$265,0)))</f>
        <v>High (explicit)</v>
      </c>
      <c r="I273" s="6">
        <f>IF(ISNA(MATCH(260,Engine!$C$2:$C$265,0)),"",INDEX('Compliance Database'!$I$2:$I$265,MATCH(260,Engine!$C$2:$C$265,0)))</f>
        <v>0</v>
      </c>
      <c r="J273" s="6">
        <f>IF(ISNA(MATCH(260,Engine!$C$2:$C$265,0)),"",INDEX('Compliance Database'!$J$2:$J$265,MATCH(260,Engine!$C$2:$C$265,0)))</f>
        <v>0</v>
      </c>
      <c r="K273">
        <f>IF(ISNA(MATCH(260,Engine!$C$2:$C$265,0)),"",INDEX('Compliance Database'!$K$2:$K$265,MATCH(260,Engine!$C$2:$C$265,0)))</f>
        <v>0</v>
      </c>
      <c r="L273" s="6" t="str">
        <f>IF(ISNA(MATCH(260,Engine!$C$2:$C$265,0)),"",INDEX('Compliance Database'!$L$2:$L$265,MATCH(260,Engine!$C$2:$C$265,0)))</f>
        <v>Promotes development of National Information Security Verification Framework for assessing and certifying products/systems impacting national security.</v>
      </c>
      <c r="M273" s="6">
        <f>IF(ISNA(MATCH(260,Engine!$C$2:$C$265,0)),"",INDEX('Compliance Database'!$M$2:$M$265,MATCH(260,Engine!$C$2:$C$265,0)))</f>
        <v>0</v>
      </c>
      <c r="N273" s="6" t="str">
        <f>IF(ISNA(MATCH(260,Engine!$C$2:$C$265,0)),"",INDEX('Compliance Database'!$N$2:$N$265,MATCH(260,Engine!$C$2:$C$265,0)))</f>
        <v>[Must] Facilitating effective partnerships between the Republic of South Africa and countries with established capacity to perform information security assessments and certifications
[Must] Facilitating effective partnerships between the Government of South Africa, the private sector, academic and research institutions to ensure capacity for information security assessments and certifications within the borders of the Republic
[Must] Developing National regulations for verification of products and systems with applications in Information Security
[Must] Facilitating effective partnerships among government institutions to ensure solutions are implemented in accordance with certification conditions and legislation
[Must] Establishing a body that will centrally coordinate the required national verification functions</v>
      </c>
      <c r="O273" s="6" t="str">
        <f>IF(ISNA(MATCH(260,Engine!$C$2:$C$265,0)),"",INDEX('Compliance Database'!$O$2:$O$265,MATCH(260,Engine!$C$2:$C$265,0)))</f>
        <v>The NCPF therefore promotes the facilitation by the JCPS Cybersecurity Response Committee and the National Cybersecurity Hub of the development of a National Information Security Verification Framework</v>
      </c>
    </row>
    <row r="274" spans="1:15" ht="201.6" x14ac:dyDescent="0.3">
      <c r="A274" t="str">
        <f>IF(ISNA(MATCH(261,Engine!$C$2:$C$265,0)),"",INDEX('Compliance Database'!$A$2:$A$265,MATCH(261,Engine!$C$2:$C$265,0)))</f>
        <v>South Africa</v>
      </c>
      <c r="B274" t="str">
        <f>IF(ISNA(MATCH(261,Engine!$C$2:$C$265,0)),"",INDEX('Compliance Database'!$B$2:$B$265,MATCH(261,Engine!$C$2:$C$265,0)))</f>
        <v>South Africa National Cybersecurity Policy Framework (NCPF) 2015</v>
      </c>
      <c r="C274" t="str">
        <f>IF(ISNA(MATCH(261,Engine!$C$2:$C$265,0)),"",INDEX('Compliance Database'!$C$2:$C$265,MATCH(261,Engine!$C$2:$C$265,0)))</f>
        <v>8</v>
      </c>
      <c r="D274" s="6" t="str">
        <f>IF(ISNA(MATCH(261,Engine!$C$2:$C$265,0)),"",INDEX('Compliance Database'!$D$2:$D$265,MATCH(261,Engine!$C$2:$C$265,0)))</f>
        <v>NCII Protection</v>
      </c>
      <c r="E274" t="str">
        <f>IF(ISNA(MATCH(261,Engine!$C$2:$C$265,0)),"",INDEX('Compliance Database'!$E$2:$E$265,MATCH(261,Engine!$C$2:$C$265,0)))</f>
        <v>20–21</v>
      </c>
      <c r="F274" t="str">
        <f>IF(ISNA(MATCH(261,Engine!$C$2:$C$265,0)),"",INDEX('Compliance Database'!$F$2:$F$265,MATCH(261,Engine!$C$2:$C$265,0)))</f>
        <v>Other</v>
      </c>
      <c r="G274" t="str">
        <f>IF(ISNA(MATCH(261,Engine!$C$2:$C$265,0)),"",INDEX('Compliance Database'!$G$2:$G$265,MATCH(261,Engine!$C$2:$C$265,0)))</f>
        <v>High</v>
      </c>
      <c r="H274" t="str">
        <f>IF(ISNA(MATCH(261,Engine!$C$2:$C$265,0)),"",INDEX('Compliance Database'!$H$2:$H$265,MATCH(261,Engine!$C$2:$C$265,0)))</f>
        <v>High (explicit)</v>
      </c>
      <c r="I274" s="6">
        <f>IF(ISNA(MATCH(261,Engine!$C$2:$C$265,0)),"",INDEX('Compliance Database'!$I$2:$I$265,MATCH(261,Engine!$C$2:$C$265,0)))</f>
        <v>0</v>
      </c>
      <c r="J274" s="6">
        <f>IF(ISNA(MATCH(261,Engine!$C$2:$C$265,0)),"",INDEX('Compliance Database'!$J$2:$J$265,MATCH(261,Engine!$C$2:$C$265,0)))</f>
        <v>0</v>
      </c>
      <c r="K274">
        <f>IF(ISNA(MATCH(261,Engine!$C$2:$C$265,0)),"",INDEX('Compliance Database'!$K$2:$K$265,MATCH(261,Engine!$C$2:$C$265,0)))</f>
        <v>0</v>
      </c>
      <c r="L274" s="6" t="str">
        <f>IF(ISNA(MATCH(261,Engine!$C$2:$C$265,0)),"",INDEX('Compliance Database'!$L$2:$L$265,MATCH(261,Engine!$C$2:$C$265,0)))</f>
        <v>Requires identification and protection of National Critical Information Infrastructure (NCII) through regulations and business-government partnerships.</v>
      </c>
      <c r="M274" s="6">
        <f>IF(ISNA(MATCH(261,Engine!$C$2:$C$265,0)),"",INDEX('Compliance Database'!$M$2:$M$265,MATCH(261,Engine!$C$2:$C$265,0)))</f>
        <v>0</v>
      </c>
      <c r="N274" s="6" t="str">
        <f>IF(ISNA(MATCH(261,Engine!$C$2:$C$265,0)),"",INDEX('Compliance Database'!$N$2:$N$265,MATCH(261,Engine!$C$2:$C$265,0)))</f>
        <v>[Must] Developing National Critical Information Infrastructure regulations, relating, inter alia, to: Information Classification and Information Security Policy and Procedures
[Must] Third Party Access to NCII
[Must] Access to and authentication on NCII
[Must] Storage and archiving of critical databases
[Must] Incident management and business continuity
[Must] Physical and technical protection of all NCII</v>
      </c>
      <c r="O274" s="6" t="str">
        <f>IF(ISNA(MATCH(261,Engine!$C$2:$C$265,0)),"",INDEX('Compliance Database'!$O$2:$O$265,MATCH(261,Engine!$C$2:$C$265,0)))</f>
        <v>The NCPF therefore seeks to ensure that appropriate steps are taken to ascertain that all National Critical Information Infrastructure (NCII) are identified and properly protected from a variety of threats.</v>
      </c>
    </row>
    <row r="275" spans="1:15" ht="72" x14ac:dyDescent="0.3">
      <c r="A275" t="str">
        <f>IF(ISNA(MATCH(262,Engine!$C$2:$C$265,0)),"",INDEX('Compliance Database'!$A$2:$A$265,MATCH(262,Engine!$C$2:$C$265,0)))</f>
        <v>South Africa</v>
      </c>
      <c r="B275" t="str">
        <f>IF(ISNA(MATCH(262,Engine!$C$2:$C$265,0)),"",INDEX('Compliance Database'!$B$2:$B$265,MATCH(262,Engine!$C$2:$C$265,0)))</f>
        <v>South Africa National Cybersecurity Policy Framework (NCPF) 2015</v>
      </c>
      <c r="C275" t="str">
        <f>IF(ISNA(MATCH(262,Engine!$C$2:$C$265,0)),"",INDEX('Compliance Database'!$C$2:$C$265,MATCH(262,Engine!$C$2:$C$265,0)))</f>
        <v>9</v>
      </c>
      <c r="D275" s="6" t="str">
        <f>IF(ISNA(MATCH(262,Engine!$C$2:$C$265,0)),"",INDEX('Compliance Database'!$D$2:$D$265,MATCH(262,Engine!$C$2:$C$265,0)))</f>
        <v>Cryptography</v>
      </c>
      <c r="E275" t="str">
        <f>IF(ISNA(MATCH(262,Engine!$C$2:$C$265,0)),"",INDEX('Compliance Database'!$E$2:$E$265,MATCH(262,Engine!$C$2:$C$265,0)))</f>
        <v>21</v>
      </c>
      <c r="F275" t="str">
        <f>IF(ISNA(MATCH(262,Engine!$C$2:$C$265,0)),"",INDEX('Compliance Database'!$F$2:$F$265,MATCH(262,Engine!$C$2:$C$265,0)))</f>
        <v>Other</v>
      </c>
      <c r="G275" t="str">
        <f>IF(ISNA(MATCH(262,Engine!$C$2:$C$265,0)),"",INDEX('Compliance Database'!$G$2:$G$265,MATCH(262,Engine!$C$2:$C$265,0)))</f>
        <v>Low</v>
      </c>
      <c r="H275" t="str">
        <f>IF(ISNA(MATCH(262,Engine!$C$2:$C$265,0)),"",INDEX('Compliance Database'!$H$2:$H$265,MATCH(262,Engine!$C$2:$C$265,0)))</f>
        <v>High (explicit)</v>
      </c>
      <c r="I275" s="6">
        <f>IF(ISNA(MATCH(262,Engine!$C$2:$C$265,0)),"",INDEX('Compliance Database'!$I$2:$I$265,MATCH(262,Engine!$C$2:$C$265,0)))</f>
        <v>0</v>
      </c>
      <c r="J275" s="6">
        <f>IF(ISNA(MATCH(262,Engine!$C$2:$C$265,0)),"",INDEX('Compliance Database'!$J$2:$J$265,MATCH(262,Engine!$C$2:$C$265,0)))</f>
        <v>0</v>
      </c>
      <c r="K275">
        <f>IF(ISNA(MATCH(262,Engine!$C$2:$C$265,0)),"",INDEX('Compliance Database'!$K$2:$K$265,MATCH(262,Engine!$C$2:$C$265,0)))</f>
        <v>0</v>
      </c>
      <c r="L275" s="6" t="str">
        <f>IF(ISNA(MATCH(262,Engine!$C$2:$C$265,0)),"",INDEX('Compliance Database'!$L$2:$L$265,MATCH(262,Engine!$C$2:$C$265,0)))</f>
        <v>Recognizes need to review existing cryptography legislation and develop an integrated regulatory framework.</v>
      </c>
      <c r="M275" s="6">
        <f>IF(ISNA(MATCH(262,Engine!$C$2:$C$265,0)),"",INDEX('Compliance Database'!$M$2:$M$265,MATCH(262,Engine!$C$2:$C$265,0)))</f>
        <v>0</v>
      </c>
      <c r="N275" s="6" t="str">
        <f>IF(ISNA(MATCH(262,Engine!$C$2:$C$265,0)),"",INDEX('Compliance Database'!$N$2:$N$265,MATCH(262,Engine!$C$2:$C$265,0)))</f>
        <v>[Must] Review the existing legislation and regulations thereof
[Must] Develop an integrated regulatory framework for Cryptography for the country</v>
      </c>
      <c r="O275" s="6" t="str">
        <f>IF(ISNA(MATCH(262,Engine!$C$2:$C$265,0)),"",INDEX('Compliance Database'!$O$2:$O$265,MATCH(262,Engine!$C$2:$C$265,0)))</f>
        <v>The NCPF recognises that there is a need to: Review the existing legislation and regulations thereof; and Develop an integrated regulatory framework for Cryptography for the country.</v>
      </c>
    </row>
    <row r="276" spans="1:15" ht="43.2" x14ac:dyDescent="0.3">
      <c r="A276" t="str">
        <f>IF(ISNA(MATCH(263,Engine!$C$2:$C$265,0)),"",INDEX('Compliance Database'!$A$2:$A$265,MATCH(263,Engine!$C$2:$C$265,0)))</f>
        <v>South Africa</v>
      </c>
      <c r="B276" t="str">
        <f>IF(ISNA(MATCH(263,Engine!$C$2:$C$265,0)),"",INDEX('Compliance Database'!$B$2:$B$265,MATCH(263,Engine!$C$2:$C$265,0)))</f>
        <v>South Africa National Cybersecurity Policy Framework (NCPF) 2015</v>
      </c>
      <c r="C276" t="str">
        <f>IF(ISNA(MATCH(263,Engine!$C$2:$C$265,0)),"",INDEX('Compliance Database'!$C$2:$C$265,MATCH(263,Engine!$C$2:$C$265,0)))</f>
        <v>10</v>
      </c>
      <c r="D276" s="6">
        <f>IF(ISNA(MATCH(263,Engine!$C$2:$C$265,0)),"",INDEX('Compliance Database'!$D$2:$D$265,MATCH(263,Engine!$C$2:$C$265,0)))</f>
        <v>0</v>
      </c>
      <c r="E276" t="str">
        <f>IF(ISNA(MATCH(263,Engine!$C$2:$C$265,0)),"",INDEX('Compliance Database'!$E$2:$E$265,MATCH(263,Engine!$C$2:$C$265,0)))</f>
        <v>21–23</v>
      </c>
      <c r="F276" t="str">
        <f>IF(ISNA(MATCH(263,Engine!$C$2:$C$265,0)),"",INDEX('Compliance Database'!$F$2:$F$265,MATCH(263,Engine!$C$2:$C$265,0)))</f>
        <v>Other</v>
      </c>
      <c r="G276" t="str">
        <f>IF(ISNA(MATCH(263,Engine!$C$2:$C$265,0)),"",INDEX('Compliance Database'!$G$2:$G$265,MATCH(263,Engine!$C$2:$C$265,0)))</f>
        <v>High</v>
      </c>
      <c r="H276" t="str">
        <f>IF(ISNA(MATCH(263,Engine!$C$2:$C$265,0)),"",INDEX('Compliance Database'!$H$2:$H$265,MATCH(263,Engine!$C$2:$C$265,0)))</f>
        <v>High (explicit)</v>
      </c>
      <c r="I276" s="6">
        <f>IF(ISNA(MATCH(263,Engine!$C$2:$C$265,0)),"",INDEX('Compliance Database'!$I$2:$I$265,MATCH(263,Engine!$C$2:$C$265,0)))</f>
        <v>0</v>
      </c>
      <c r="J276" s="6">
        <f>IF(ISNA(MATCH(263,Engine!$C$2:$C$265,0)),"",INDEX('Compliance Database'!$J$2:$J$265,MATCH(263,Engine!$C$2:$C$265,0)))</f>
        <v>0</v>
      </c>
      <c r="K276">
        <f>IF(ISNA(MATCH(263,Engine!$C$2:$C$265,0)),"",INDEX('Compliance Database'!$K$2:$K$265,MATCH(263,Engine!$C$2:$C$265,0)))</f>
        <v>0</v>
      </c>
      <c r="L276" s="6" t="str">
        <f>IF(ISNA(MATCH(263,Engine!$C$2:$C$265,0)),"",INDEX('Compliance Database'!$L$2:$L$265,MATCH(263,Engine!$C$2:$C$265,0)))</f>
        <v>Promotes development of integrated National E-identity and PKI strategy for secure e-government services.</v>
      </c>
      <c r="M276" s="6">
        <f>IF(ISNA(MATCH(263,Engine!$C$2:$C$265,0)),"",INDEX('Compliance Database'!$M$2:$M$265,MATCH(263,Engine!$C$2:$C$265,0)))</f>
        <v>0</v>
      </c>
      <c r="N276" s="6" t="str">
        <f>IF(ISNA(MATCH(263,Engine!$C$2:$C$265,0)),"",INDEX('Compliance Database'!$N$2:$N$265,MATCH(263,Engine!$C$2:$C$265,0)))</f>
        <v>[Must] Promote the development of an integrated National E-identity and PKI strategy</v>
      </c>
      <c r="O276" s="6" t="str">
        <f>IF(ISNA(MATCH(263,Engine!$C$2:$C$265,0)),"",INDEX('Compliance Database'!$O$2:$O$265,MATCH(263,Engine!$C$2:$C$265,0)))</f>
        <v>The NCPF seeks to address the fragmented approach by promoting the development of an integrated National E-identity and PKI strategy.</v>
      </c>
    </row>
    <row r="277" spans="1:15" ht="187.2" x14ac:dyDescent="0.3">
      <c r="A277" t="str">
        <f>IF(ISNA(MATCH(264,Engine!$C$2:$C$265,0)),"",INDEX('Compliance Database'!$A$2:$A$265,MATCH(264,Engine!$C$2:$C$265,0)))</f>
        <v>South Africa</v>
      </c>
      <c r="B277" t="str">
        <f>IF(ISNA(MATCH(264,Engine!$C$2:$C$265,0)),"",INDEX('Compliance Database'!$B$2:$B$265,MATCH(264,Engine!$C$2:$C$265,0)))</f>
        <v>South Africa National Cybersecurity Policy Framework (NCPF) 2015</v>
      </c>
      <c r="C277" t="str">
        <f>IF(ISNA(MATCH(264,Engine!$C$2:$C$265,0)),"",INDEX('Compliance Database'!$C$2:$C$265,MATCH(264,Engine!$C$2:$C$265,0)))</f>
        <v>11</v>
      </c>
      <c r="D277" s="6" t="str">
        <f>IF(ISNA(MATCH(264,Engine!$C$2:$C$265,0)),"",INDEX('Compliance Database'!$D$2:$D$265,MATCH(264,Engine!$C$2:$C$265,0)))</f>
        <v>1 1 . Promote and Strengthen Local and International Cooperation</v>
      </c>
      <c r="E277" t="str">
        <f>IF(ISNA(MATCH(264,Engine!$C$2:$C$265,0)),"",INDEX('Compliance Database'!$E$2:$E$265,MATCH(264,Engine!$C$2:$C$265,0)))</f>
        <v>23–30</v>
      </c>
      <c r="F277" t="str">
        <f>IF(ISNA(MATCH(264,Engine!$C$2:$C$265,0)),"",INDEX('Compliance Database'!$F$2:$F$265,MATCH(264,Engine!$C$2:$C$265,0)))</f>
        <v>Other</v>
      </c>
      <c r="G277" t="str">
        <f>IF(ISNA(MATCH(264,Engine!$C$2:$C$265,0)),"",INDEX('Compliance Database'!$G$2:$G$265,MATCH(264,Engine!$C$2:$C$265,0)))</f>
        <v>Low</v>
      </c>
      <c r="H277" t="str">
        <f>IF(ISNA(MATCH(264,Engine!$C$2:$C$265,0)),"",INDEX('Compliance Database'!$H$2:$H$265,MATCH(264,Engine!$C$2:$C$265,0)))</f>
        <v>High (explicit)</v>
      </c>
      <c r="I277" s="6" t="str">
        <f>IF(ISNA(MATCH(264,Engine!$C$2:$C$265,0)),"",INDEX('Compliance Database'!$I$2:$I$265,MATCH(264,Engine!$C$2:$C$265,0)))</f>
        <v>Cross-border Transfer, International Processing, Data Storage, Data Residency, Security, Encryption, Access Control, Processing, Collection, Retention, Deletion, Data Sharing, Third Party Processing, Outsourcing, Cloud Services, Incident Reporting, Breach Notification, Consent, Customer Information, Employee Information, Special Personal Information, Children, Financial Data, KYC, AML, Governance, Record Keeping</v>
      </c>
      <c r="J277" s="6" t="str">
        <f>IF(ISNA(MATCH(264,Engine!$C$2:$C$265,0)),"",INDEX('Compliance Database'!$J$2:$J$265,MATCH(264,Engine!$C$2:$C$265,0)))</f>
        <v>Personal Information, Financial Data, Customer Data, Employee Data, Health Data, Children's Data, Biometric Data, Special Personal Information</v>
      </c>
      <c r="K277">
        <f>IF(ISNA(MATCH(264,Engine!$C$2:$C$265,0)),"",INDEX('Compliance Database'!$K$2:$K$265,MATCH(264,Engine!$C$2:$C$265,0)))</f>
        <v>0</v>
      </c>
      <c r="L277" s="6" t="str">
        <f>IF(ISNA(MATCH(264,Engine!$C$2:$C$265,0)),"",INDEX('Compliance Database'!$L$2:$L$265,MATCH(264,Engine!$C$2:$C$265,0)))</f>
        <v>Promotes public-private-civil sector collaboration to enhance cybersecurity through joint knowledge, threat understanding, and trusted forums.</v>
      </c>
      <c r="M277" s="6">
        <f>IF(ISNA(MATCH(264,Engine!$C$2:$C$265,0)),"",INDEX('Compliance Database'!$M$2:$M$265,MATCH(264,Engine!$C$2:$C$265,0)))</f>
        <v>0</v>
      </c>
      <c r="N277" s="6" t="str">
        <f>IF(ISNA(MATCH(264,Engine!$C$2:$C$265,0)),"",INDEX('Compliance Database'!$N$2:$N$265,MATCH(264,Engine!$C$2:$C$265,0)))</f>
        <v>[Must] Promotes public-private-civil sector collaboration to enhance cybersecurity through joint knowledge, threat understanding, and trusted forums.</v>
      </c>
      <c r="O277" s="6" t="str">
        <f>IF(ISNA(MATCH(264,Engine!$C$2:$C$265,0)),"",INDEX('Compliance Database'!$O$2:$O$265,MATCH(264,Engine!$C$2:$C$265,0)))</f>
        <v>11.2.2 The NCPF thus promotes the establishment of collaboration with local stakeholders, with a focus on the following aspects: (a) Inclusion of the industry and creating an enabling environment for a successful partnership; (b) Encouraging private sector groups to address common security interests and collaborate with government including encouraging cooperation among groups from interdependent industries; (c) Bringing private sector and government together in trusted forums; and (d) Creating a common understanding of the threats and vulnerabilities that the country faces and the responses required.</v>
      </c>
    </row>
  </sheetData>
  <mergeCells count="1">
    <mergeCell ref="A1:D1"/>
  </mergeCells>
  <pageMargins left="0.75" right="0.75" top="1" bottom="1" header="0.5" footer="0.5"/>
  <extLst>
    <ext xmlns:x14="http://schemas.microsoft.com/office/spreadsheetml/2009/9/main" uri="{CCE6A557-97BC-4b89-ADB6-D9C93CAAB3DF}">
      <x14:dataValidations xmlns:xm="http://schemas.microsoft.com/office/excel/2006/main" count="6">
        <x14:dataValidation type="list" allowBlank="1" xr:uid="{00000000-0002-0000-0100-000000000000}">
          <x14:formula1>
            <xm:f>Lists!$A$2:$A$3</xm:f>
          </x14:formula1>
          <xm:sqref>B4</xm:sqref>
        </x14:dataValidation>
        <x14:dataValidation type="list" allowBlank="1" xr:uid="{00000000-0002-0000-0100-000001000000}">
          <x14:formula1>
            <xm:f>Lists!$B$2:$B$26</xm:f>
          </x14:formula1>
          <xm:sqref>B5</xm:sqref>
        </x14:dataValidation>
        <x14:dataValidation type="list" allowBlank="1" xr:uid="{00000000-0002-0000-0100-000002000000}">
          <x14:formula1>
            <xm:f>Lists!$C$2:$C$54</xm:f>
          </x14:formula1>
          <xm:sqref>B6</xm:sqref>
        </x14:dataValidation>
        <x14:dataValidation type="list" allowBlank="1" xr:uid="{00000000-0002-0000-0100-000003000000}">
          <x14:formula1>
            <xm:f>Lists!$D$2:$D$11</xm:f>
          </x14:formula1>
          <xm:sqref>B7</xm:sqref>
        </x14:dataValidation>
        <x14:dataValidation type="list" allowBlank="1" xr:uid="{00000000-0002-0000-0100-000004000000}">
          <x14:formula1>
            <xm:f>Lists!$E$2:$E$6</xm:f>
          </x14:formula1>
          <xm:sqref>B8</xm:sqref>
        </x14:dataValidation>
        <x14:dataValidation type="list" allowBlank="1" xr:uid="{00000000-0002-0000-0100-000005000000}">
          <x14:formula1>
            <xm:f>Lists!$F$2:$F$34</xm:f>
          </x14:formula1>
          <xm:sqref>B9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265"/>
  <sheetViews>
    <sheetView workbookViewId="0">
      <pane ySplit="1" topLeftCell="A2" activePane="bottomLeft" state="frozen"/>
      <selection pane="bottomLeft"/>
    </sheetView>
  </sheetViews>
  <sheetFormatPr defaultRowHeight="14.4" x14ac:dyDescent="0.3"/>
  <cols>
    <col min="1" max="1" width="14" customWidth="1"/>
    <col min="2" max="2" width="60" customWidth="1"/>
    <col min="3" max="3" width="12" customWidth="1"/>
    <col min="4" max="4" width="45" customWidth="1"/>
    <col min="5" max="5" width="12" customWidth="1"/>
    <col min="6" max="6" width="39" customWidth="1"/>
    <col min="7" max="7" width="21" customWidth="1"/>
    <col min="8" max="8" width="31" customWidth="1"/>
    <col min="9" max="10" width="45" customWidth="1"/>
    <col min="11" max="11" width="60" customWidth="1"/>
    <col min="12" max="15" width="45" customWidth="1"/>
  </cols>
  <sheetData>
    <row r="1" spans="1:15" x14ac:dyDescent="0.3">
      <c r="A1" s="7" t="s">
        <v>13</v>
      </c>
      <c r="B1" s="7" t="s">
        <v>22</v>
      </c>
      <c r="C1" s="7" t="s">
        <v>23</v>
      </c>
      <c r="D1" s="7" t="s">
        <v>24</v>
      </c>
      <c r="E1" s="7" t="s">
        <v>25</v>
      </c>
      <c r="F1" s="7" t="s">
        <v>15</v>
      </c>
      <c r="G1" s="7" t="s">
        <v>18</v>
      </c>
      <c r="H1" s="7" t="s">
        <v>26</v>
      </c>
      <c r="I1" s="7" t="s">
        <v>4</v>
      </c>
      <c r="J1" s="7" t="s">
        <v>27</v>
      </c>
      <c r="K1" s="7" t="s">
        <v>19</v>
      </c>
      <c r="L1" s="7" t="s">
        <v>28</v>
      </c>
      <c r="M1" s="7" t="s">
        <v>29</v>
      </c>
      <c r="N1" s="7" t="s">
        <v>30</v>
      </c>
      <c r="O1" s="7" t="s">
        <v>31</v>
      </c>
    </row>
    <row r="2" spans="1:15" ht="72" x14ac:dyDescent="0.3">
      <c r="A2" t="s">
        <v>32</v>
      </c>
      <c r="B2" t="s">
        <v>33</v>
      </c>
      <c r="C2" t="s">
        <v>34</v>
      </c>
      <c r="D2" s="6" t="s">
        <v>35</v>
      </c>
      <c r="E2" t="s">
        <v>36</v>
      </c>
      <c r="F2" t="s">
        <v>35</v>
      </c>
      <c r="G2" t="s">
        <v>37</v>
      </c>
      <c r="H2" t="s">
        <v>38</v>
      </c>
      <c r="I2" s="6" t="s">
        <v>35</v>
      </c>
      <c r="J2" s="6" t="s">
        <v>39</v>
      </c>
      <c r="L2" s="6" t="s">
        <v>40</v>
      </c>
      <c r="M2" s="6"/>
      <c r="N2" s="6"/>
      <c r="O2" s="6" t="s">
        <v>41</v>
      </c>
    </row>
    <row r="3" spans="1:15" ht="409.6" x14ac:dyDescent="0.3">
      <c r="A3" t="s">
        <v>32</v>
      </c>
      <c r="B3" t="s">
        <v>33</v>
      </c>
      <c r="C3" t="s">
        <v>42</v>
      </c>
      <c r="D3" s="6" t="s">
        <v>43</v>
      </c>
      <c r="E3" t="s">
        <v>44</v>
      </c>
      <c r="F3" t="s">
        <v>45</v>
      </c>
      <c r="G3" t="s">
        <v>37</v>
      </c>
      <c r="H3" t="s">
        <v>38</v>
      </c>
      <c r="I3" s="6" t="s">
        <v>45</v>
      </c>
      <c r="J3" s="6" t="s">
        <v>39</v>
      </c>
      <c r="L3" s="6" t="s">
        <v>46</v>
      </c>
      <c r="M3" s="6"/>
      <c r="N3" s="6" t="s">
        <v>47</v>
      </c>
      <c r="O3" s="6" t="s">
        <v>48</v>
      </c>
    </row>
    <row r="4" spans="1:15" ht="409.6" x14ac:dyDescent="0.3">
      <c r="A4" t="s">
        <v>32</v>
      </c>
      <c r="B4" t="s">
        <v>33</v>
      </c>
      <c r="C4" t="s">
        <v>44</v>
      </c>
      <c r="D4" s="6" t="s">
        <v>49</v>
      </c>
      <c r="E4" t="s">
        <v>50</v>
      </c>
      <c r="F4" t="s">
        <v>51</v>
      </c>
      <c r="G4" t="s">
        <v>37</v>
      </c>
      <c r="H4" t="s">
        <v>38</v>
      </c>
      <c r="I4" s="6" t="s">
        <v>51</v>
      </c>
      <c r="J4" s="6" t="s">
        <v>39</v>
      </c>
      <c r="L4" s="6" t="s">
        <v>52</v>
      </c>
      <c r="M4" s="6"/>
      <c r="N4" s="6" t="s">
        <v>53</v>
      </c>
      <c r="O4" s="6" t="s">
        <v>54</v>
      </c>
    </row>
    <row r="5" spans="1:15" ht="409.6" x14ac:dyDescent="0.3">
      <c r="A5" t="s">
        <v>32</v>
      </c>
      <c r="B5" t="s">
        <v>33</v>
      </c>
      <c r="C5" t="s">
        <v>55</v>
      </c>
      <c r="D5" s="6" t="s">
        <v>56</v>
      </c>
      <c r="E5" t="s">
        <v>55</v>
      </c>
      <c r="F5" t="s">
        <v>57</v>
      </c>
      <c r="G5" t="s">
        <v>37</v>
      </c>
      <c r="H5" t="s">
        <v>38</v>
      </c>
      <c r="I5" s="6" t="s">
        <v>57</v>
      </c>
      <c r="J5" s="6" t="s">
        <v>39</v>
      </c>
      <c r="L5" s="6" t="s">
        <v>58</v>
      </c>
      <c r="M5" s="6"/>
      <c r="N5" s="6" t="s">
        <v>59</v>
      </c>
      <c r="O5" s="6" t="s">
        <v>60</v>
      </c>
    </row>
    <row r="6" spans="1:15" ht="409.6" x14ac:dyDescent="0.3">
      <c r="A6" t="s">
        <v>32</v>
      </c>
      <c r="B6" t="s">
        <v>33</v>
      </c>
      <c r="C6" t="s">
        <v>61</v>
      </c>
      <c r="D6" s="6" t="s">
        <v>62</v>
      </c>
      <c r="E6" t="s">
        <v>63</v>
      </c>
      <c r="F6" t="s">
        <v>64</v>
      </c>
      <c r="G6" t="s">
        <v>37</v>
      </c>
      <c r="H6" t="s">
        <v>38</v>
      </c>
      <c r="I6" s="6" t="s">
        <v>64</v>
      </c>
      <c r="J6" s="6" t="s">
        <v>39</v>
      </c>
      <c r="K6" t="s">
        <v>65</v>
      </c>
      <c r="L6" s="6" t="s">
        <v>66</v>
      </c>
      <c r="M6" s="6"/>
      <c r="N6" s="6" t="s">
        <v>67</v>
      </c>
      <c r="O6" s="6" t="s">
        <v>68</v>
      </c>
    </row>
    <row r="7" spans="1:15" ht="86.4" x14ac:dyDescent="0.3">
      <c r="A7" t="s">
        <v>32</v>
      </c>
      <c r="B7" t="s">
        <v>69</v>
      </c>
      <c r="C7" t="s">
        <v>34</v>
      </c>
      <c r="D7" s="6" t="s">
        <v>70</v>
      </c>
      <c r="E7" t="s">
        <v>50</v>
      </c>
      <c r="F7" t="s">
        <v>71</v>
      </c>
      <c r="G7" t="s">
        <v>72</v>
      </c>
      <c r="H7" t="s">
        <v>38</v>
      </c>
      <c r="I7" s="6"/>
      <c r="J7" s="6"/>
      <c r="K7" t="s">
        <v>73</v>
      </c>
      <c r="L7" s="6" t="s">
        <v>74</v>
      </c>
      <c r="M7" s="6"/>
      <c r="N7" s="6"/>
      <c r="O7" s="6" t="s">
        <v>75</v>
      </c>
    </row>
    <row r="8" spans="1:15" ht="86.4" x14ac:dyDescent="0.3">
      <c r="A8" t="s">
        <v>32</v>
      </c>
      <c r="B8" t="s">
        <v>69</v>
      </c>
      <c r="C8" t="s">
        <v>34</v>
      </c>
      <c r="D8" s="6" t="s">
        <v>76</v>
      </c>
      <c r="E8" t="s">
        <v>77</v>
      </c>
      <c r="F8" t="s">
        <v>71</v>
      </c>
      <c r="G8" t="s">
        <v>72</v>
      </c>
      <c r="H8" t="s">
        <v>38</v>
      </c>
      <c r="I8" s="6"/>
      <c r="J8" s="6"/>
      <c r="K8" t="s">
        <v>73</v>
      </c>
      <c r="L8" s="6" t="s">
        <v>74</v>
      </c>
      <c r="M8" s="6"/>
      <c r="N8" s="6"/>
      <c r="O8" s="6" t="s">
        <v>75</v>
      </c>
    </row>
    <row r="9" spans="1:15" ht="86.4" x14ac:dyDescent="0.3">
      <c r="A9" t="s">
        <v>32</v>
      </c>
      <c r="B9" t="s">
        <v>69</v>
      </c>
      <c r="C9" t="s">
        <v>42</v>
      </c>
      <c r="D9" s="6" t="s">
        <v>78</v>
      </c>
      <c r="E9" t="s">
        <v>63</v>
      </c>
      <c r="F9" t="s">
        <v>71</v>
      </c>
      <c r="G9" t="s">
        <v>72</v>
      </c>
      <c r="H9" t="s">
        <v>38</v>
      </c>
      <c r="I9" s="6"/>
      <c r="J9" s="6"/>
      <c r="K9" t="s">
        <v>73</v>
      </c>
      <c r="L9" s="6" t="s">
        <v>79</v>
      </c>
      <c r="M9" s="6"/>
      <c r="N9" s="6"/>
      <c r="O9" s="6" t="s">
        <v>75</v>
      </c>
    </row>
    <row r="10" spans="1:15" ht="86.4" x14ac:dyDescent="0.3">
      <c r="A10" t="s">
        <v>32</v>
      </c>
      <c r="B10" t="s">
        <v>69</v>
      </c>
      <c r="C10" t="s">
        <v>42</v>
      </c>
      <c r="D10" s="6" t="s">
        <v>80</v>
      </c>
      <c r="E10" t="s">
        <v>77</v>
      </c>
      <c r="F10" t="s">
        <v>71</v>
      </c>
      <c r="G10" t="s">
        <v>72</v>
      </c>
      <c r="H10" t="s">
        <v>38</v>
      </c>
      <c r="I10" s="6"/>
      <c r="J10" s="6"/>
      <c r="K10" t="s">
        <v>73</v>
      </c>
      <c r="L10" s="6" t="s">
        <v>79</v>
      </c>
      <c r="M10" s="6"/>
      <c r="N10" s="6"/>
      <c r="O10" s="6" t="s">
        <v>75</v>
      </c>
    </row>
    <row r="11" spans="1:15" ht="86.4" x14ac:dyDescent="0.3">
      <c r="A11" t="s">
        <v>32</v>
      </c>
      <c r="B11" t="s">
        <v>69</v>
      </c>
      <c r="C11" t="s">
        <v>44</v>
      </c>
      <c r="D11" s="6" t="s">
        <v>81</v>
      </c>
      <c r="E11" t="s">
        <v>82</v>
      </c>
      <c r="F11" t="s">
        <v>71</v>
      </c>
      <c r="G11" t="s">
        <v>72</v>
      </c>
      <c r="H11" t="s">
        <v>38</v>
      </c>
      <c r="I11" s="6"/>
      <c r="J11" s="6"/>
      <c r="K11" t="s">
        <v>73</v>
      </c>
      <c r="L11" s="6" t="s">
        <v>83</v>
      </c>
      <c r="M11" s="6"/>
      <c r="N11" s="6"/>
      <c r="O11" s="6" t="s">
        <v>84</v>
      </c>
    </row>
    <row r="12" spans="1:15" ht="86.4" x14ac:dyDescent="0.3">
      <c r="A12" t="s">
        <v>32</v>
      </c>
      <c r="B12" t="s">
        <v>69</v>
      </c>
      <c r="C12" t="s">
        <v>44</v>
      </c>
      <c r="D12" s="6" t="s">
        <v>85</v>
      </c>
      <c r="E12" t="s">
        <v>77</v>
      </c>
      <c r="F12" t="s">
        <v>71</v>
      </c>
      <c r="G12" t="s">
        <v>72</v>
      </c>
      <c r="H12" t="s">
        <v>38</v>
      </c>
      <c r="I12" s="6"/>
      <c r="J12" s="6"/>
      <c r="K12" t="s">
        <v>73</v>
      </c>
      <c r="L12" s="6" t="s">
        <v>83</v>
      </c>
      <c r="M12" s="6"/>
      <c r="N12" s="6"/>
      <c r="O12" s="6" t="s">
        <v>84</v>
      </c>
    </row>
    <row r="13" spans="1:15" ht="28.8" x14ac:dyDescent="0.3">
      <c r="A13" t="s">
        <v>32</v>
      </c>
      <c r="B13" t="s">
        <v>69</v>
      </c>
      <c r="C13" t="s">
        <v>55</v>
      </c>
      <c r="D13" s="6" t="s">
        <v>86</v>
      </c>
      <c r="E13" t="s">
        <v>77</v>
      </c>
      <c r="F13" t="s">
        <v>71</v>
      </c>
      <c r="G13" t="s">
        <v>87</v>
      </c>
      <c r="H13" t="s">
        <v>37</v>
      </c>
      <c r="I13" s="6"/>
      <c r="J13" s="6"/>
      <c r="L13" s="6"/>
      <c r="M13" s="6"/>
      <c r="N13" s="6"/>
      <c r="O13" s="6"/>
    </row>
    <row r="14" spans="1:15" ht="72" x14ac:dyDescent="0.3">
      <c r="A14" t="s">
        <v>32</v>
      </c>
      <c r="B14" t="s">
        <v>69</v>
      </c>
      <c r="C14" t="s">
        <v>55</v>
      </c>
      <c r="D14" s="6" t="s">
        <v>88</v>
      </c>
      <c r="E14" t="s">
        <v>89</v>
      </c>
      <c r="F14" t="s">
        <v>71</v>
      </c>
      <c r="G14" t="s">
        <v>37</v>
      </c>
      <c r="H14" t="s">
        <v>90</v>
      </c>
      <c r="I14" s="6"/>
      <c r="J14" s="6"/>
      <c r="L14" s="6" t="s">
        <v>91</v>
      </c>
      <c r="M14" s="6"/>
      <c r="N14" s="6"/>
      <c r="O14" s="6" t="s">
        <v>92</v>
      </c>
    </row>
    <row r="15" spans="1:15" ht="86.4" x14ac:dyDescent="0.3">
      <c r="A15" t="s">
        <v>32</v>
      </c>
      <c r="B15" t="s">
        <v>69</v>
      </c>
      <c r="C15" t="s">
        <v>61</v>
      </c>
      <c r="D15" s="6" t="s">
        <v>93</v>
      </c>
      <c r="E15" t="s">
        <v>94</v>
      </c>
      <c r="F15" t="s">
        <v>71</v>
      </c>
      <c r="G15" t="s">
        <v>37</v>
      </c>
      <c r="H15" t="s">
        <v>90</v>
      </c>
      <c r="I15" s="6"/>
      <c r="J15" s="6"/>
      <c r="L15" s="6" t="s">
        <v>95</v>
      </c>
      <c r="M15" s="6"/>
      <c r="N15" s="6"/>
      <c r="O15" s="6" t="s">
        <v>96</v>
      </c>
    </row>
    <row r="16" spans="1:15" ht="72" x14ac:dyDescent="0.3">
      <c r="A16" t="s">
        <v>32</v>
      </c>
      <c r="B16" t="s">
        <v>69</v>
      </c>
      <c r="C16" t="s">
        <v>97</v>
      </c>
      <c r="D16" s="6" t="s">
        <v>98</v>
      </c>
      <c r="E16" t="s">
        <v>99</v>
      </c>
      <c r="F16" t="s">
        <v>71</v>
      </c>
      <c r="G16" t="s">
        <v>37</v>
      </c>
      <c r="H16" t="s">
        <v>90</v>
      </c>
      <c r="I16" s="6"/>
      <c r="J16" s="6"/>
      <c r="L16" s="6" t="s">
        <v>100</v>
      </c>
      <c r="M16" s="6"/>
      <c r="N16" s="6"/>
      <c r="O16" s="6" t="s">
        <v>101</v>
      </c>
    </row>
    <row r="17" spans="1:15" ht="129.6" x14ac:dyDescent="0.3">
      <c r="A17" t="s">
        <v>32</v>
      </c>
      <c r="B17" t="s">
        <v>69</v>
      </c>
      <c r="C17" t="s">
        <v>102</v>
      </c>
      <c r="D17" s="6" t="s">
        <v>103</v>
      </c>
      <c r="E17" t="s">
        <v>104</v>
      </c>
      <c r="F17" t="s">
        <v>71</v>
      </c>
      <c r="G17" t="s">
        <v>72</v>
      </c>
      <c r="H17" t="s">
        <v>38</v>
      </c>
      <c r="I17" s="6" t="s">
        <v>105</v>
      </c>
      <c r="J17" s="6" t="s">
        <v>106</v>
      </c>
      <c r="K17" t="s">
        <v>73</v>
      </c>
      <c r="L17" s="6" t="s">
        <v>107</v>
      </c>
      <c r="M17" s="6" t="s">
        <v>108</v>
      </c>
      <c r="N17" s="6" t="s">
        <v>109</v>
      </c>
      <c r="O17" s="6" t="s">
        <v>110</v>
      </c>
    </row>
    <row r="18" spans="1:15" ht="86.4" x14ac:dyDescent="0.3">
      <c r="A18" t="s">
        <v>32</v>
      </c>
      <c r="B18" t="s">
        <v>69</v>
      </c>
      <c r="C18" t="s">
        <v>77</v>
      </c>
      <c r="D18" s="6" t="s">
        <v>111</v>
      </c>
      <c r="E18" t="s">
        <v>112</v>
      </c>
      <c r="F18" t="s">
        <v>71</v>
      </c>
      <c r="G18" t="s">
        <v>72</v>
      </c>
      <c r="H18" t="s">
        <v>38</v>
      </c>
      <c r="I18" s="6" t="s">
        <v>113</v>
      </c>
      <c r="J18" s="6" t="s">
        <v>106</v>
      </c>
      <c r="K18" t="s">
        <v>73</v>
      </c>
      <c r="L18" s="6" t="s">
        <v>114</v>
      </c>
      <c r="M18" s="6" t="s">
        <v>115</v>
      </c>
      <c r="N18" s="6" t="s">
        <v>116</v>
      </c>
      <c r="O18" s="6" t="s">
        <v>117</v>
      </c>
    </row>
    <row r="19" spans="1:15" ht="57.6" x14ac:dyDescent="0.3">
      <c r="A19" t="s">
        <v>32</v>
      </c>
      <c r="B19" t="s">
        <v>69</v>
      </c>
      <c r="C19" t="s">
        <v>118</v>
      </c>
      <c r="D19" s="6" t="s">
        <v>119</v>
      </c>
      <c r="E19" t="s">
        <v>120</v>
      </c>
      <c r="F19" t="s">
        <v>71</v>
      </c>
      <c r="G19" t="s">
        <v>37</v>
      </c>
      <c r="H19" t="s">
        <v>38</v>
      </c>
      <c r="I19" s="6" t="s">
        <v>121</v>
      </c>
      <c r="J19" s="6" t="s">
        <v>106</v>
      </c>
      <c r="L19" s="6" t="s">
        <v>122</v>
      </c>
      <c r="M19" s="6" t="s">
        <v>123</v>
      </c>
      <c r="N19" s="6"/>
      <c r="O19" s="6" t="s">
        <v>124</v>
      </c>
    </row>
    <row r="20" spans="1:15" ht="57.6" x14ac:dyDescent="0.3">
      <c r="A20" t="s">
        <v>32</v>
      </c>
      <c r="B20" t="s">
        <v>69</v>
      </c>
      <c r="C20" t="s">
        <v>125</v>
      </c>
      <c r="D20" s="6" t="s">
        <v>126</v>
      </c>
      <c r="E20" t="s">
        <v>127</v>
      </c>
      <c r="F20" t="s">
        <v>71</v>
      </c>
      <c r="G20" t="s">
        <v>72</v>
      </c>
      <c r="H20" t="s">
        <v>38</v>
      </c>
      <c r="I20" s="6" t="s">
        <v>113</v>
      </c>
      <c r="J20" s="6" t="s">
        <v>106</v>
      </c>
      <c r="K20" t="s">
        <v>73</v>
      </c>
      <c r="L20" s="6" t="s">
        <v>128</v>
      </c>
      <c r="M20" s="6" t="s">
        <v>129</v>
      </c>
      <c r="N20" s="6" t="s">
        <v>130</v>
      </c>
      <c r="O20" s="6" t="s">
        <v>131</v>
      </c>
    </row>
    <row r="21" spans="1:15" ht="43.2" x14ac:dyDescent="0.3">
      <c r="A21" t="s">
        <v>32</v>
      </c>
      <c r="B21" t="s">
        <v>132</v>
      </c>
      <c r="C21" t="s">
        <v>42</v>
      </c>
      <c r="D21" s="6" t="s">
        <v>133</v>
      </c>
      <c r="E21" t="s">
        <v>134</v>
      </c>
      <c r="F21" t="s">
        <v>71</v>
      </c>
      <c r="G21" t="s">
        <v>72</v>
      </c>
      <c r="H21" t="s">
        <v>90</v>
      </c>
      <c r="I21" s="6" t="s">
        <v>135</v>
      </c>
      <c r="J21" s="6" t="s">
        <v>106</v>
      </c>
      <c r="K21" t="s">
        <v>65</v>
      </c>
      <c r="L21" s="6"/>
      <c r="M21" s="6"/>
      <c r="N21" s="6" t="s">
        <v>136</v>
      </c>
      <c r="O21" s="6" t="s">
        <v>137</v>
      </c>
    </row>
    <row r="22" spans="1:15" ht="409.6" x14ac:dyDescent="0.3">
      <c r="A22" t="s">
        <v>32</v>
      </c>
      <c r="B22" t="s">
        <v>132</v>
      </c>
      <c r="C22" t="s">
        <v>44</v>
      </c>
      <c r="D22" s="6" t="s">
        <v>138</v>
      </c>
      <c r="E22" t="s">
        <v>139</v>
      </c>
      <c r="F22" t="s">
        <v>51</v>
      </c>
      <c r="G22" t="s">
        <v>72</v>
      </c>
      <c r="H22" t="s">
        <v>38</v>
      </c>
      <c r="I22" s="6" t="s">
        <v>140</v>
      </c>
      <c r="J22" s="6" t="s">
        <v>141</v>
      </c>
      <c r="K22" t="s">
        <v>142</v>
      </c>
      <c r="L22" s="6" t="s">
        <v>143</v>
      </c>
      <c r="M22" s="6" t="s">
        <v>144</v>
      </c>
      <c r="N22" s="6" t="s">
        <v>145</v>
      </c>
      <c r="O22" s="6" t="s">
        <v>146</v>
      </c>
    </row>
    <row r="23" spans="1:15" ht="28.8" x14ac:dyDescent="0.3">
      <c r="A23" t="s">
        <v>32</v>
      </c>
      <c r="B23" t="s">
        <v>132</v>
      </c>
      <c r="C23" t="s">
        <v>55</v>
      </c>
      <c r="D23" s="6" t="s">
        <v>147</v>
      </c>
      <c r="E23" t="s">
        <v>42</v>
      </c>
      <c r="F23" t="s">
        <v>71</v>
      </c>
      <c r="G23" t="s">
        <v>72</v>
      </c>
      <c r="H23" t="s">
        <v>37</v>
      </c>
      <c r="I23" s="6"/>
      <c r="J23" s="6"/>
      <c r="L23" s="6"/>
      <c r="M23" s="6"/>
      <c r="N23" s="6"/>
      <c r="O23" s="6" t="s">
        <v>147</v>
      </c>
    </row>
    <row r="24" spans="1:15" ht="28.8" x14ac:dyDescent="0.3">
      <c r="A24" t="s">
        <v>32</v>
      </c>
      <c r="B24" t="s">
        <v>132</v>
      </c>
      <c r="C24" t="s">
        <v>61</v>
      </c>
      <c r="D24" s="6" t="s">
        <v>148</v>
      </c>
      <c r="E24" t="s">
        <v>42</v>
      </c>
      <c r="F24" t="s">
        <v>71</v>
      </c>
      <c r="G24" t="s">
        <v>72</v>
      </c>
      <c r="H24" t="s">
        <v>37</v>
      </c>
      <c r="I24" s="6"/>
      <c r="J24" s="6"/>
      <c r="L24" s="6"/>
      <c r="M24" s="6"/>
      <c r="N24" s="6"/>
      <c r="O24" s="6" t="s">
        <v>149</v>
      </c>
    </row>
    <row r="25" spans="1:15" ht="28.8" x14ac:dyDescent="0.3">
      <c r="A25" t="s">
        <v>32</v>
      </c>
      <c r="B25" t="s">
        <v>132</v>
      </c>
      <c r="C25" t="s">
        <v>150</v>
      </c>
      <c r="D25" s="6" t="s">
        <v>151</v>
      </c>
      <c r="E25" t="s">
        <v>42</v>
      </c>
      <c r="F25" t="s">
        <v>71</v>
      </c>
      <c r="G25" t="s">
        <v>72</v>
      </c>
      <c r="H25" t="s">
        <v>37</v>
      </c>
      <c r="I25" s="6"/>
      <c r="J25" s="6"/>
      <c r="L25" s="6"/>
      <c r="M25" s="6"/>
      <c r="N25" s="6"/>
      <c r="O25" s="6" t="s">
        <v>151</v>
      </c>
    </row>
    <row r="26" spans="1:15" ht="129.6" x14ac:dyDescent="0.3">
      <c r="A26" t="s">
        <v>32</v>
      </c>
      <c r="B26" t="s">
        <v>132</v>
      </c>
      <c r="C26" t="s">
        <v>150</v>
      </c>
      <c r="D26" s="6" t="s">
        <v>152</v>
      </c>
      <c r="E26" t="s">
        <v>153</v>
      </c>
      <c r="F26" t="s">
        <v>154</v>
      </c>
      <c r="G26" t="s">
        <v>72</v>
      </c>
      <c r="H26" t="s">
        <v>38</v>
      </c>
      <c r="I26" s="6" t="s">
        <v>155</v>
      </c>
      <c r="J26" s="6" t="s">
        <v>154</v>
      </c>
      <c r="L26" s="6" t="s">
        <v>156</v>
      </c>
      <c r="M26" s="6" t="s">
        <v>156</v>
      </c>
      <c r="N26" s="6" t="s">
        <v>157</v>
      </c>
      <c r="O26" s="6" t="s">
        <v>158</v>
      </c>
    </row>
    <row r="27" spans="1:15" ht="57.6" x14ac:dyDescent="0.3">
      <c r="A27" t="s">
        <v>32</v>
      </c>
      <c r="B27" t="s">
        <v>132</v>
      </c>
      <c r="C27" t="s">
        <v>125</v>
      </c>
      <c r="D27" s="6" t="s">
        <v>159</v>
      </c>
      <c r="E27" t="s">
        <v>160</v>
      </c>
      <c r="F27" t="s">
        <v>35</v>
      </c>
      <c r="G27" t="s">
        <v>161</v>
      </c>
      <c r="H27" t="s">
        <v>72</v>
      </c>
      <c r="I27" s="6"/>
      <c r="J27" s="6"/>
      <c r="K27" t="s">
        <v>65</v>
      </c>
      <c r="L27" s="6"/>
      <c r="M27" s="6"/>
      <c r="N27" s="6"/>
      <c r="O27" s="6" t="s">
        <v>162</v>
      </c>
    </row>
    <row r="28" spans="1:15" ht="115.2" x14ac:dyDescent="0.3">
      <c r="A28" t="s">
        <v>32</v>
      </c>
      <c r="B28" t="s">
        <v>163</v>
      </c>
      <c r="C28" t="s">
        <v>34</v>
      </c>
      <c r="D28" s="6" t="s">
        <v>35</v>
      </c>
      <c r="E28" t="s">
        <v>164</v>
      </c>
      <c r="F28" t="s">
        <v>35</v>
      </c>
      <c r="G28" t="s">
        <v>37</v>
      </c>
      <c r="H28" t="s">
        <v>38</v>
      </c>
      <c r="I28" s="6" t="s">
        <v>35</v>
      </c>
      <c r="J28" s="6" t="s">
        <v>165</v>
      </c>
      <c r="L28" s="6" t="s">
        <v>166</v>
      </c>
      <c r="M28" s="6"/>
      <c r="N28" s="6"/>
      <c r="O28" s="6" t="s">
        <v>167</v>
      </c>
    </row>
    <row r="29" spans="1:15" ht="129.6" x14ac:dyDescent="0.3">
      <c r="A29" t="s">
        <v>32</v>
      </c>
      <c r="B29" t="s">
        <v>163</v>
      </c>
      <c r="C29" t="s">
        <v>42</v>
      </c>
      <c r="D29" s="6" t="s">
        <v>168</v>
      </c>
      <c r="E29" t="s">
        <v>134</v>
      </c>
      <c r="F29" t="s">
        <v>168</v>
      </c>
      <c r="G29" t="s">
        <v>37</v>
      </c>
      <c r="H29" t="s">
        <v>38</v>
      </c>
      <c r="I29" s="6" t="s">
        <v>169</v>
      </c>
      <c r="J29" s="6" t="s">
        <v>106</v>
      </c>
      <c r="L29" s="6" t="s">
        <v>170</v>
      </c>
      <c r="M29" s="6"/>
      <c r="N29" s="6"/>
      <c r="O29" s="6" t="s">
        <v>171</v>
      </c>
    </row>
    <row r="30" spans="1:15" ht="43.2" x14ac:dyDescent="0.3">
      <c r="A30" t="s">
        <v>32</v>
      </c>
      <c r="B30" t="s">
        <v>163</v>
      </c>
      <c r="C30" t="s">
        <v>44</v>
      </c>
      <c r="D30" s="6" t="s">
        <v>172</v>
      </c>
      <c r="E30" t="s">
        <v>102</v>
      </c>
      <c r="F30" t="s">
        <v>172</v>
      </c>
      <c r="G30" t="s">
        <v>37</v>
      </c>
      <c r="H30" t="s">
        <v>38</v>
      </c>
      <c r="I30" s="6" t="s">
        <v>173</v>
      </c>
      <c r="J30" s="6" t="s">
        <v>106</v>
      </c>
      <c r="L30" s="6" t="s">
        <v>174</v>
      </c>
      <c r="M30" s="6"/>
      <c r="N30" s="6"/>
      <c r="O30" s="6" t="s">
        <v>175</v>
      </c>
    </row>
    <row r="31" spans="1:15" ht="409.6" x14ac:dyDescent="0.3">
      <c r="A31" t="s">
        <v>32</v>
      </c>
      <c r="B31" t="s">
        <v>163</v>
      </c>
      <c r="C31" t="s">
        <v>61</v>
      </c>
      <c r="D31" s="6" t="s">
        <v>176</v>
      </c>
      <c r="E31" t="s">
        <v>177</v>
      </c>
      <c r="F31" t="s">
        <v>178</v>
      </c>
      <c r="G31" t="s">
        <v>72</v>
      </c>
      <c r="H31" t="s">
        <v>38</v>
      </c>
      <c r="I31" s="6" t="s">
        <v>179</v>
      </c>
      <c r="J31" s="6" t="s">
        <v>106</v>
      </c>
      <c r="K31" t="s">
        <v>180</v>
      </c>
      <c r="L31" s="6" t="s">
        <v>181</v>
      </c>
      <c r="M31" s="6" t="s">
        <v>182</v>
      </c>
      <c r="N31" s="6" t="s">
        <v>183</v>
      </c>
      <c r="O31" s="6" t="s">
        <v>184</v>
      </c>
    </row>
    <row r="32" spans="1:15" ht="409.6" x14ac:dyDescent="0.3">
      <c r="A32" t="s">
        <v>32</v>
      </c>
      <c r="B32" t="s">
        <v>163</v>
      </c>
      <c r="C32" t="s">
        <v>97</v>
      </c>
      <c r="D32" s="6" t="s">
        <v>185</v>
      </c>
      <c r="E32" t="s">
        <v>186</v>
      </c>
      <c r="F32" t="s">
        <v>185</v>
      </c>
      <c r="G32" t="s">
        <v>72</v>
      </c>
      <c r="H32" t="s">
        <v>38</v>
      </c>
      <c r="I32" s="6" t="s">
        <v>187</v>
      </c>
      <c r="J32" s="6" t="s">
        <v>106</v>
      </c>
      <c r="K32" t="s">
        <v>180</v>
      </c>
      <c r="L32" s="6" t="s">
        <v>188</v>
      </c>
      <c r="M32" s="6" t="s">
        <v>189</v>
      </c>
      <c r="N32" s="6" t="s">
        <v>190</v>
      </c>
      <c r="O32" s="6" t="s">
        <v>191</v>
      </c>
    </row>
    <row r="33" spans="1:15" ht="129.6" x14ac:dyDescent="0.3">
      <c r="A33" t="s">
        <v>32</v>
      </c>
      <c r="B33" t="s">
        <v>163</v>
      </c>
      <c r="C33" t="s">
        <v>102</v>
      </c>
      <c r="D33" s="6" t="s">
        <v>192</v>
      </c>
      <c r="E33" t="s">
        <v>193</v>
      </c>
      <c r="F33" t="s">
        <v>71</v>
      </c>
      <c r="G33" t="s">
        <v>72</v>
      </c>
      <c r="H33" t="s">
        <v>38</v>
      </c>
      <c r="I33" s="6" t="s">
        <v>194</v>
      </c>
      <c r="J33" s="6" t="s">
        <v>154</v>
      </c>
      <c r="K33" t="s">
        <v>180</v>
      </c>
      <c r="L33" s="6" t="s">
        <v>195</v>
      </c>
      <c r="M33" s="6" t="s">
        <v>196</v>
      </c>
      <c r="N33" s="6" t="s">
        <v>197</v>
      </c>
      <c r="O33" s="6" t="s">
        <v>198</v>
      </c>
    </row>
    <row r="34" spans="1:15" ht="28.8" x14ac:dyDescent="0.3">
      <c r="A34" t="s">
        <v>32</v>
      </c>
      <c r="B34" t="s">
        <v>199</v>
      </c>
      <c r="C34" t="s">
        <v>34</v>
      </c>
      <c r="D34" s="6" t="s">
        <v>200</v>
      </c>
      <c r="E34" t="s">
        <v>127</v>
      </c>
      <c r="F34" t="s">
        <v>35</v>
      </c>
      <c r="G34" t="s">
        <v>72</v>
      </c>
      <c r="H34" t="s">
        <v>38</v>
      </c>
      <c r="I34" s="6"/>
      <c r="J34" s="6"/>
      <c r="L34" s="6" t="s">
        <v>201</v>
      </c>
      <c r="M34" s="6"/>
      <c r="N34" s="6" t="s">
        <v>202</v>
      </c>
      <c r="O34" s="6" t="s">
        <v>203</v>
      </c>
    </row>
    <row r="35" spans="1:15" ht="129.6" x14ac:dyDescent="0.3">
      <c r="A35" t="s">
        <v>32</v>
      </c>
      <c r="B35" t="s">
        <v>199</v>
      </c>
      <c r="C35" t="s">
        <v>42</v>
      </c>
      <c r="D35" s="6" t="s">
        <v>204</v>
      </c>
      <c r="E35" t="s">
        <v>34</v>
      </c>
      <c r="F35" t="s">
        <v>35</v>
      </c>
      <c r="G35" t="s">
        <v>72</v>
      </c>
      <c r="H35" t="s">
        <v>38</v>
      </c>
      <c r="I35" s="6"/>
      <c r="J35" s="6"/>
      <c r="L35" s="6" t="s">
        <v>205</v>
      </c>
      <c r="M35" s="6"/>
      <c r="N35" s="6" t="s">
        <v>206</v>
      </c>
      <c r="O35" s="6" t="s">
        <v>207</v>
      </c>
    </row>
    <row r="36" spans="1:15" ht="129.6" x14ac:dyDescent="0.3">
      <c r="A36" t="s">
        <v>32</v>
      </c>
      <c r="B36" t="s">
        <v>199</v>
      </c>
      <c r="C36" t="s">
        <v>42</v>
      </c>
      <c r="D36" s="6" t="s">
        <v>208</v>
      </c>
      <c r="E36" t="s">
        <v>42</v>
      </c>
      <c r="F36" t="s">
        <v>35</v>
      </c>
      <c r="G36" t="s">
        <v>72</v>
      </c>
      <c r="H36" t="s">
        <v>38</v>
      </c>
      <c r="I36" s="6"/>
      <c r="J36" s="6"/>
      <c r="L36" s="6" t="s">
        <v>205</v>
      </c>
      <c r="M36" s="6"/>
      <c r="N36" s="6" t="s">
        <v>206</v>
      </c>
      <c r="O36" s="6" t="s">
        <v>207</v>
      </c>
    </row>
    <row r="37" spans="1:15" ht="115.2" x14ac:dyDescent="0.3">
      <c r="A37" t="s">
        <v>32</v>
      </c>
      <c r="B37" t="s">
        <v>199</v>
      </c>
      <c r="C37" t="s">
        <v>42</v>
      </c>
      <c r="D37" s="6" t="s">
        <v>209</v>
      </c>
      <c r="E37" t="s">
        <v>127</v>
      </c>
      <c r="F37" t="s">
        <v>71</v>
      </c>
      <c r="G37" t="s">
        <v>72</v>
      </c>
      <c r="H37" t="s">
        <v>38</v>
      </c>
      <c r="I37" s="6"/>
      <c r="J37" s="6"/>
      <c r="L37" s="6" t="s">
        <v>210</v>
      </c>
      <c r="M37" s="6"/>
      <c r="N37" s="6" t="s">
        <v>211</v>
      </c>
      <c r="O37" s="6" t="s">
        <v>212</v>
      </c>
    </row>
    <row r="38" spans="1:15" ht="72" x14ac:dyDescent="0.3">
      <c r="A38" t="s">
        <v>32</v>
      </c>
      <c r="B38" t="s">
        <v>199</v>
      </c>
      <c r="C38" t="s">
        <v>44</v>
      </c>
      <c r="D38" s="6" t="s">
        <v>213</v>
      </c>
      <c r="E38" t="s">
        <v>214</v>
      </c>
      <c r="F38" t="s">
        <v>35</v>
      </c>
      <c r="G38" t="s">
        <v>72</v>
      </c>
      <c r="H38" t="s">
        <v>38</v>
      </c>
      <c r="I38" s="6"/>
      <c r="J38" s="6"/>
      <c r="L38" s="6" t="s">
        <v>215</v>
      </c>
      <c r="M38" s="6"/>
      <c r="N38" s="6" t="s">
        <v>216</v>
      </c>
      <c r="O38" s="6" t="s">
        <v>217</v>
      </c>
    </row>
    <row r="39" spans="1:15" ht="72" x14ac:dyDescent="0.3">
      <c r="A39" t="s">
        <v>32</v>
      </c>
      <c r="B39" t="s">
        <v>199</v>
      </c>
      <c r="C39" t="s">
        <v>44</v>
      </c>
      <c r="D39" s="6" t="s">
        <v>218</v>
      </c>
      <c r="E39" t="s">
        <v>42</v>
      </c>
      <c r="F39" t="s">
        <v>35</v>
      </c>
      <c r="G39" t="s">
        <v>72</v>
      </c>
      <c r="H39" t="s">
        <v>38</v>
      </c>
      <c r="I39" s="6"/>
      <c r="J39" s="6"/>
      <c r="L39" s="6" t="s">
        <v>215</v>
      </c>
      <c r="M39" s="6"/>
      <c r="N39" s="6" t="s">
        <v>216</v>
      </c>
      <c r="O39" s="6" t="s">
        <v>217</v>
      </c>
    </row>
    <row r="40" spans="1:15" ht="230.4" x14ac:dyDescent="0.3">
      <c r="A40" t="s">
        <v>32</v>
      </c>
      <c r="B40" t="s">
        <v>199</v>
      </c>
      <c r="C40" t="s">
        <v>55</v>
      </c>
      <c r="D40" s="6" t="s">
        <v>219</v>
      </c>
      <c r="E40" t="s">
        <v>42</v>
      </c>
      <c r="F40" t="s">
        <v>71</v>
      </c>
      <c r="G40" t="s">
        <v>72</v>
      </c>
      <c r="H40" t="s">
        <v>38</v>
      </c>
      <c r="I40" s="6" t="s">
        <v>220</v>
      </c>
      <c r="J40" s="6" t="s">
        <v>106</v>
      </c>
      <c r="L40" s="6" t="s">
        <v>221</v>
      </c>
      <c r="M40" s="6" t="s">
        <v>222</v>
      </c>
      <c r="N40" s="6" t="s">
        <v>223</v>
      </c>
      <c r="O40" s="6" t="s">
        <v>224</v>
      </c>
    </row>
    <row r="41" spans="1:15" ht="230.4" x14ac:dyDescent="0.3">
      <c r="A41" t="s">
        <v>32</v>
      </c>
      <c r="B41" t="s">
        <v>199</v>
      </c>
      <c r="C41" t="s">
        <v>55</v>
      </c>
      <c r="D41" s="6" t="s">
        <v>225</v>
      </c>
      <c r="E41" t="s">
        <v>42</v>
      </c>
      <c r="F41" t="s">
        <v>71</v>
      </c>
      <c r="G41" t="s">
        <v>72</v>
      </c>
      <c r="H41" t="s">
        <v>38</v>
      </c>
      <c r="I41" s="6" t="s">
        <v>220</v>
      </c>
      <c r="J41" s="6" t="s">
        <v>106</v>
      </c>
      <c r="L41" s="6" t="s">
        <v>221</v>
      </c>
      <c r="M41" s="6" t="s">
        <v>222</v>
      </c>
      <c r="N41" s="6" t="s">
        <v>223</v>
      </c>
      <c r="O41" s="6" t="s">
        <v>224</v>
      </c>
    </row>
    <row r="42" spans="1:15" ht="72" x14ac:dyDescent="0.3">
      <c r="A42" t="s">
        <v>32</v>
      </c>
      <c r="B42" t="s">
        <v>199</v>
      </c>
      <c r="C42" t="s">
        <v>55</v>
      </c>
      <c r="D42" s="6" t="s">
        <v>226</v>
      </c>
      <c r="E42" t="s">
        <v>227</v>
      </c>
      <c r="F42" t="s">
        <v>71</v>
      </c>
      <c r="G42" t="s">
        <v>72</v>
      </c>
      <c r="H42" t="s">
        <v>38</v>
      </c>
      <c r="I42" s="6"/>
      <c r="J42" s="6"/>
      <c r="L42" s="6" t="s">
        <v>228</v>
      </c>
      <c r="M42" s="6"/>
      <c r="N42" s="6" t="s">
        <v>229</v>
      </c>
      <c r="O42" s="6" t="s">
        <v>230</v>
      </c>
    </row>
    <row r="43" spans="1:15" ht="409.6" x14ac:dyDescent="0.3">
      <c r="A43" t="s">
        <v>32</v>
      </c>
      <c r="B43" t="s">
        <v>199</v>
      </c>
      <c r="C43" t="s">
        <v>61</v>
      </c>
      <c r="D43" s="6" t="s">
        <v>231</v>
      </c>
      <c r="E43" t="s">
        <v>36</v>
      </c>
      <c r="F43" t="s">
        <v>71</v>
      </c>
      <c r="G43" t="s">
        <v>72</v>
      </c>
      <c r="H43" t="s">
        <v>38</v>
      </c>
      <c r="I43" s="6" t="s">
        <v>232</v>
      </c>
      <c r="J43" s="6" t="s">
        <v>106</v>
      </c>
      <c r="L43" s="6" t="s">
        <v>233</v>
      </c>
      <c r="M43" s="6" t="s">
        <v>234</v>
      </c>
      <c r="N43" s="6" t="s">
        <v>235</v>
      </c>
      <c r="O43" s="6" t="s">
        <v>236</v>
      </c>
    </row>
    <row r="44" spans="1:15" ht="57.6" x14ac:dyDescent="0.3">
      <c r="A44" t="s">
        <v>32</v>
      </c>
      <c r="B44" t="s">
        <v>199</v>
      </c>
      <c r="C44" t="s">
        <v>102</v>
      </c>
      <c r="D44" s="6" t="s">
        <v>237</v>
      </c>
      <c r="E44" t="s">
        <v>44</v>
      </c>
      <c r="F44" t="s">
        <v>71</v>
      </c>
      <c r="G44" t="s">
        <v>72</v>
      </c>
      <c r="H44" t="s">
        <v>38</v>
      </c>
      <c r="I44" s="6"/>
      <c r="J44" s="6"/>
      <c r="L44" s="6" t="s">
        <v>238</v>
      </c>
      <c r="M44" s="6" t="s">
        <v>238</v>
      </c>
      <c r="N44" s="6" t="s">
        <v>239</v>
      </c>
      <c r="O44" s="6" t="s">
        <v>240</v>
      </c>
    </row>
    <row r="45" spans="1:15" ht="57.6" x14ac:dyDescent="0.3">
      <c r="A45" t="s">
        <v>32</v>
      </c>
      <c r="B45" t="s">
        <v>199</v>
      </c>
      <c r="C45" t="s">
        <v>118</v>
      </c>
      <c r="D45" s="6" t="s">
        <v>241</v>
      </c>
      <c r="E45" t="s">
        <v>44</v>
      </c>
      <c r="F45" t="s">
        <v>71</v>
      </c>
      <c r="G45" t="s">
        <v>72</v>
      </c>
      <c r="H45" t="s">
        <v>38</v>
      </c>
      <c r="I45" s="6"/>
      <c r="J45" s="6"/>
      <c r="L45" s="6" t="s">
        <v>242</v>
      </c>
      <c r="M45" s="6" t="s">
        <v>243</v>
      </c>
      <c r="N45" s="6" t="s">
        <v>244</v>
      </c>
      <c r="O45" s="6" t="s">
        <v>245</v>
      </c>
    </row>
    <row r="46" spans="1:15" x14ac:dyDescent="0.3">
      <c r="A46" t="s">
        <v>32</v>
      </c>
      <c r="B46" t="s">
        <v>199</v>
      </c>
      <c r="C46" t="s">
        <v>150</v>
      </c>
      <c r="D46" s="6" t="s">
        <v>246</v>
      </c>
      <c r="E46" t="s">
        <v>50</v>
      </c>
      <c r="F46" t="s">
        <v>71</v>
      </c>
      <c r="G46" t="s">
        <v>87</v>
      </c>
      <c r="H46" t="s">
        <v>37</v>
      </c>
      <c r="I46" s="6"/>
      <c r="J46" s="6"/>
      <c r="L46" s="6"/>
      <c r="M46" s="6"/>
      <c r="N46" s="6"/>
      <c r="O46" s="6"/>
    </row>
    <row r="47" spans="1:15" x14ac:dyDescent="0.3">
      <c r="A47" t="s">
        <v>32</v>
      </c>
      <c r="B47" t="s">
        <v>199</v>
      </c>
      <c r="C47" t="s">
        <v>125</v>
      </c>
      <c r="D47" s="6" t="s">
        <v>247</v>
      </c>
      <c r="E47" t="s">
        <v>55</v>
      </c>
      <c r="F47" t="s">
        <v>71</v>
      </c>
      <c r="G47" t="s">
        <v>87</v>
      </c>
      <c r="H47" t="s">
        <v>37</v>
      </c>
      <c r="I47" s="6"/>
      <c r="J47" s="6"/>
      <c r="L47" s="6"/>
      <c r="M47" s="6"/>
      <c r="N47" s="6"/>
      <c r="O47" s="6"/>
    </row>
    <row r="48" spans="1:15" ht="28.8" x14ac:dyDescent="0.3">
      <c r="A48" t="s">
        <v>32</v>
      </c>
      <c r="B48" t="s">
        <v>199</v>
      </c>
      <c r="C48" t="s">
        <v>248</v>
      </c>
      <c r="D48" s="6" t="s">
        <v>249</v>
      </c>
      <c r="E48" t="s">
        <v>55</v>
      </c>
      <c r="F48" t="s">
        <v>71</v>
      </c>
      <c r="G48" t="s">
        <v>87</v>
      </c>
      <c r="H48" t="s">
        <v>37</v>
      </c>
      <c r="I48" s="6"/>
      <c r="J48" s="6"/>
      <c r="L48" s="6"/>
      <c r="M48" s="6"/>
      <c r="N48" s="6"/>
      <c r="O48" s="6"/>
    </row>
    <row r="49" spans="1:15" ht="28.8" x14ac:dyDescent="0.3">
      <c r="A49" t="s">
        <v>32</v>
      </c>
      <c r="B49" t="s">
        <v>199</v>
      </c>
      <c r="C49" t="s">
        <v>250</v>
      </c>
      <c r="D49" s="6" t="s">
        <v>251</v>
      </c>
      <c r="E49" t="s">
        <v>63</v>
      </c>
      <c r="F49" t="s">
        <v>71</v>
      </c>
      <c r="G49" t="s">
        <v>87</v>
      </c>
      <c r="H49" t="s">
        <v>37</v>
      </c>
      <c r="I49" s="6"/>
      <c r="J49" s="6"/>
      <c r="L49" s="6"/>
      <c r="M49" s="6"/>
      <c r="N49" s="6"/>
      <c r="O49" s="6"/>
    </row>
    <row r="50" spans="1:15" ht="115.2" x14ac:dyDescent="0.3">
      <c r="A50" t="s">
        <v>32</v>
      </c>
      <c r="B50" t="s">
        <v>199</v>
      </c>
      <c r="C50" t="s">
        <v>252</v>
      </c>
      <c r="D50" s="6" t="s">
        <v>253</v>
      </c>
      <c r="E50" t="s">
        <v>61</v>
      </c>
      <c r="F50" t="s">
        <v>71</v>
      </c>
      <c r="G50" t="s">
        <v>72</v>
      </c>
      <c r="H50" t="s">
        <v>38</v>
      </c>
      <c r="I50" s="6"/>
      <c r="J50" s="6" t="s">
        <v>106</v>
      </c>
      <c r="L50" s="6" t="s">
        <v>254</v>
      </c>
      <c r="M50" s="6" t="s">
        <v>255</v>
      </c>
      <c r="N50" s="6" t="s">
        <v>256</v>
      </c>
      <c r="O50" s="6" t="s">
        <v>257</v>
      </c>
    </row>
    <row r="51" spans="1:15" ht="28.8" x14ac:dyDescent="0.3">
      <c r="A51" t="s">
        <v>32</v>
      </c>
      <c r="B51" t="s">
        <v>199</v>
      </c>
      <c r="C51" t="s">
        <v>258</v>
      </c>
      <c r="D51" s="6" t="s">
        <v>259</v>
      </c>
      <c r="E51" t="s">
        <v>61</v>
      </c>
      <c r="F51" t="s">
        <v>71</v>
      </c>
      <c r="G51" t="s">
        <v>72</v>
      </c>
      <c r="H51" t="s">
        <v>38</v>
      </c>
      <c r="I51" s="6"/>
      <c r="J51" s="6" t="s">
        <v>106</v>
      </c>
      <c r="L51" s="6" t="s">
        <v>260</v>
      </c>
      <c r="M51" s="6" t="s">
        <v>260</v>
      </c>
      <c r="N51" s="6" t="s">
        <v>261</v>
      </c>
      <c r="O51" s="6" t="s">
        <v>262</v>
      </c>
    </row>
    <row r="52" spans="1:15" ht="100.8" x14ac:dyDescent="0.3">
      <c r="A52" t="s">
        <v>32</v>
      </c>
      <c r="B52" t="s">
        <v>199</v>
      </c>
      <c r="C52" t="s">
        <v>263</v>
      </c>
      <c r="D52" s="6" t="s">
        <v>264</v>
      </c>
      <c r="E52" t="s">
        <v>61</v>
      </c>
      <c r="F52" t="s">
        <v>71</v>
      </c>
      <c r="G52" t="s">
        <v>72</v>
      </c>
      <c r="H52" t="s">
        <v>38</v>
      </c>
      <c r="I52" s="6"/>
      <c r="J52" s="6" t="s">
        <v>106</v>
      </c>
      <c r="L52" s="6" t="s">
        <v>265</v>
      </c>
      <c r="M52" s="6" t="s">
        <v>266</v>
      </c>
      <c r="N52" s="6" t="s">
        <v>267</v>
      </c>
      <c r="O52" s="6" t="s">
        <v>268</v>
      </c>
    </row>
    <row r="53" spans="1:15" ht="230.4" x14ac:dyDescent="0.3">
      <c r="A53" t="s">
        <v>32</v>
      </c>
      <c r="B53" t="s">
        <v>199</v>
      </c>
      <c r="C53" t="s">
        <v>269</v>
      </c>
      <c r="D53" s="6" t="s">
        <v>270</v>
      </c>
      <c r="E53" t="s">
        <v>271</v>
      </c>
      <c r="F53" t="s">
        <v>71</v>
      </c>
      <c r="G53" t="s">
        <v>72</v>
      </c>
      <c r="H53" t="s">
        <v>38</v>
      </c>
      <c r="I53" s="6" t="s">
        <v>64</v>
      </c>
      <c r="J53" s="6" t="s">
        <v>106</v>
      </c>
      <c r="L53" s="6" t="s">
        <v>272</v>
      </c>
      <c r="M53" s="6" t="s">
        <v>273</v>
      </c>
      <c r="N53" s="6" t="s">
        <v>274</v>
      </c>
      <c r="O53" s="6" t="s">
        <v>275</v>
      </c>
    </row>
    <row r="54" spans="1:15" ht="259.2" x14ac:dyDescent="0.3">
      <c r="A54" t="s">
        <v>32</v>
      </c>
      <c r="B54" t="s">
        <v>199</v>
      </c>
      <c r="C54" t="s">
        <v>276</v>
      </c>
      <c r="D54" s="6" t="s">
        <v>277</v>
      </c>
      <c r="E54" t="s">
        <v>97</v>
      </c>
      <c r="F54" t="s">
        <v>71</v>
      </c>
      <c r="G54" t="s">
        <v>72</v>
      </c>
      <c r="H54" t="s">
        <v>38</v>
      </c>
      <c r="I54" s="6"/>
      <c r="J54" s="6"/>
      <c r="L54" s="6" t="s">
        <v>278</v>
      </c>
      <c r="M54" s="6" t="s">
        <v>279</v>
      </c>
      <c r="N54" s="6" t="s">
        <v>280</v>
      </c>
      <c r="O54" s="6" t="s">
        <v>281</v>
      </c>
    </row>
    <row r="55" spans="1:15" ht="57.6" x14ac:dyDescent="0.3">
      <c r="A55" t="s">
        <v>32</v>
      </c>
      <c r="B55" t="s">
        <v>199</v>
      </c>
      <c r="C55" t="s">
        <v>276</v>
      </c>
      <c r="D55" s="6" t="s">
        <v>282</v>
      </c>
      <c r="E55" t="s">
        <v>283</v>
      </c>
      <c r="F55" t="s">
        <v>35</v>
      </c>
      <c r="G55" t="s">
        <v>72</v>
      </c>
      <c r="H55" t="s">
        <v>38</v>
      </c>
      <c r="I55" s="6"/>
      <c r="J55" s="6"/>
      <c r="L55" s="6" t="s">
        <v>284</v>
      </c>
      <c r="M55" s="6"/>
      <c r="N55" s="6" t="s">
        <v>285</v>
      </c>
      <c r="O55" s="6" t="s">
        <v>286</v>
      </c>
    </row>
    <row r="56" spans="1:15" ht="43.2" x14ac:dyDescent="0.3">
      <c r="A56" t="s">
        <v>32</v>
      </c>
      <c r="B56" t="s">
        <v>199</v>
      </c>
      <c r="C56" t="s">
        <v>287</v>
      </c>
      <c r="D56" s="6" t="s">
        <v>288</v>
      </c>
      <c r="E56" t="s">
        <v>289</v>
      </c>
      <c r="F56" t="s">
        <v>71</v>
      </c>
      <c r="G56" t="s">
        <v>37</v>
      </c>
      <c r="H56" t="s">
        <v>38</v>
      </c>
      <c r="I56" s="6"/>
      <c r="J56" s="6"/>
      <c r="K56" t="s">
        <v>290</v>
      </c>
      <c r="L56" s="6" t="s">
        <v>291</v>
      </c>
      <c r="M56" s="6"/>
      <c r="N56" s="6" t="s">
        <v>292</v>
      </c>
      <c r="O56" s="6" t="s">
        <v>293</v>
      </c>
    </row>
    <row r="57" spans="1:15" ht="409.6" x14ac:dyDescent="0.3">
      <c r="A57" t="s">
        <v>32</v>
      </c>
      <c r="B57" t="s">
        <v>199</v>
      </c>
      <c r="C57" t="s">
        <v>294</v>
      </c>
      <c r="D57" s="6" t="s">
        <v>295</v>
      </c>
      <c r="E57" t="s">
        <v>296</v>
      </c>
      <c r="F57" t="s">
        <v>297</v>
      </c>
      <c r="G57" t="s">
        <v>72</v>
      </c>
      <c r="H57" t="s">
        <v>38</v>
      </c>
      <c r="I57" s="6" t="s">
        <v>298</v>
      </c>
      <c r="J57" s="6" t="s">
        <v>39</v>
      </c>
      <c r="K57" t="s">
        <v>299</v>
      </c>
      <c r="L57" s="6" t="s">
        <v>300</v>
      </c>
      <c r="M57" s="6" t="s">
        <v>301</v>
      </c>
      <c r="N57" s="6" t="s">
        <v>302</v>
      </c>
      <c r="O57" s="6" t="s">
        <v>303</v>
      </c>
    </row>
    <row r="58" spans="1:15" ht="158.4" x14ac:dyDescent="0.3">
      <c r="A58" t="s">
        <v>32</v>
      </c>
      <c r="B58" t="s">
        <v>199</v>
      </c>
      <c r="C58" t="s">
        <v>304</v>
      </c>
      <c r="D58" s="6" t="s">
        <v>305</v>
      </c>
      <c r="E58" t="s">
        <v>77</v>
      </c>
      <c r="F58" t="s">
        <v>306</v>
      </c>
      <c r="G58" t="s">
        <v>72</v>
      </c>
      <c r="H58" t="s">
        <v>38</v>
      </c>
      <c r="I58" s="6" t="s">
        <v>306</v>
      </c>
      <c r="J58" s="6" t="s">
        <v>39</v>
      </c>
      <c r="K58" t="s">
        <v>299</v>
      </c>
      <c r="L58" s="6" t="s">
        <v>307</v>
      </c>
      <c r="M58" s="6" t="s">
        <v>308</v>
      </c>
      <c r="N58" s="6" t="s">
        <v>309</v>
      </c>
      <c r="O58" s="6" t="s">
        <v>310</v>
      </c>
    </row>
    <row r="59" spans="1:15" ht="259.2" x14ac:dyDescent="0.3">
      <c r="A59" t="s">
        <v>32</v>
      </c>
      <c r="B59" t="s">
        <v>199</v>
      </c>
      <c r="C59" t="s">
        <v>127</v>
      </c>
      <c r="D59" s="6" t="s">
        <v>311</v>
      </c>
      <c r="E59" t="s">
        <v>77</v>
      </c>
      <c r="F59" t="s">
        <v>298</v>
      </c>
      <c r="G59" t="s">
        <v>72</v>
      </c>
      <c r="H59" t="s">
        <v>38</v>
      </c>
      <c r="I59" s="6" t="s">
        <v>298</v>
      </c>
      <c r="J59" s="6" t="s">
        <v>39</v>
      </c>
      <c r="K59" t="s">
        <v>299</v>
      </c>
      <c r="L59" s="6" t="s">
        <v>312</v>
      </c>
      <c r="M59" s="6" t="s">
        <v>313</v>
      </c>
      <c r="N59" s="6" t="s">
        <v>314</v>
      </c>
      <c r="O59" s="6" t="s">
        <v>315</v>
      </c>
    </row>
    <row r="60" spans="1:15" ht="86.4" x14ac:dyDescent="0.3">
      <c r="A60" t="s">
        <v>32</v>
      </c>
      <c r="B60" t="s">
        <v>199</v>
      </c>
      <c r="C60" t="s">
        <v>227</v>
      </c>
      <c r="D60" s="6" t="s">
        <v>316</v>
      </c>
      <c r="E60" t="s">
        <v>77</v>
      </c>
      <c r="F60" t="s">
        <v>298</v>
      </c>
      <c r="G60" t="s">
        <v>37</v>
      </c>
      <c r="H60" t="s">
        <v>38</v>
      </c>
      <c r="I60" s="6" t="s">
        <v>298</v>
      </c>
      <c r="J60" s="6" t="s">
        <v>39</v>
      </c>
      <c r="L60" s="6" t="s">
        <v>317</v>
      </c>
      <c r="M60" s="6" t="s">
        <v>318</v>
      </c>
      <c r="N60" s="6" t="s">
        <v>319</v>
      </c>
      <c r="O60" s="6" t="s">
        <v>320</v>
      </c>
    </row>
    <row r="61" spans="1:15" ht="403.2" x14ac:dyDescent="0.3">
      <c r="A61" t="s">
        <v>32</v>
      </c>
      <c r="B61" t="s">
        <v>199</v>
      </c>
      <c r="C61" t="s">
        <v>321</v>
      </c>
      <c r="D61" s="6" t="s">
        <v>322</v>
      </c>
      <c r="E61" t="s">
        <v>323</v>
      </c>
      <c r="F61" t="s">
        <v>71</v>
      </c>
      <c r="G61" t="s">
        <v>72</v>
      </c>
      <c r="H61" t="s">
        <v>38</v>
      </c>
      <c r="I61" s="6"/>
      <c r="J61" s="6" t="s">
        <v>39</v>
      </c>
      <c r="K61" t="s">
        <v>324</v>
      </c>
      <c r="L61" s="6" t="s">
        <v>325</v>
      </c>
      <c r="M61" s="6" t="s">
        <v>326</v>
      </c>
      <c r="N61" s="6" t="s">
        <v>327</v>
      </c>
      <c r="O61" s="6" t="s">
        <v>328</v>
      </c>
    </row>
    <row r="62" spans="1:15" ht="273.60000000000002" x14ac:dyDescent="0.3">
      <c r="A62" t="s">
        <v>32</v>
      </c>
      <c r="B62" t="s">
        <v>199</v>
      </c>
      <c r="C62" t="s">
        <v>329</v>
      </c>
      <c r="D62" s="6" t="s">
        <v>330</v>
      </c>
      <c r="E62" t="s">
        <v>118</v>
      </c>
      <c r="F62" t="s">
        <v>71</v>
      </c>
      <c r="G62" t="s">
        <v>72</v>
      </c>
      <c r="H62" t="s">
        <v>38</v>
      </c>
      <c r="I62" s="6"/>
      <c r="J62" s="6" t="s">
        <v>106</v>
      </c>
      <c r="K62" t="s">
        <v>299</v>
      </c>
      <c r="L62" s="6" t="s">
        <v>331</v>
      </c>
      <c r="M62" s="6" t="s">
        <v>332</v>
      </c>
      <c r="N62" s="6" t="s">
        <v>333</v>
      </c>
      <c r="O62" s="6" t="s">
        <v>334</v>
      </c>
    </row>
    <row r="63" spans="1:15" ht="244.8" x14ac:dyDescent="0.3">
      <c r="A63" t="s">
        <v>32</v>
      </c>
      <c r="B63" t="s">
        <v>199</v>
      </c>
      <c r="C63" t="s">
        <v>335</v>
      </c>
      <c r="D63" s="6" t="s">
        <v>336</v>
      </c>
      <c r="E63" t="s">
        <v>337</v>
      </c>
      <c r="F63" t="s">
        <v>71</v>
      </c>
      <c r="G63" t="s">
        <v>72</v>
      </c>
      <c r="H63" t="s">
        <v>38</v>
      </c>
      <c r="I63" s="6"/>
      <c r="J63" s="6" t="s">
        <v>39</v>
      </c>
      <c r="K63" t="s">
        <v>338</v>
      </c>
      <c r="L63" s="6" t="s">
        <v>339</v>
      </c>
      <c r="M63" s="6" t="s">
        <v>340</v>
      </c>
      <c r="N63" s="6" t="s">
        <v>341</v>
      </c>
      <c r="O63" s="6" t="s">
        <v>342</v>
      </c>
    </row>
    <row r="64" spans="1:15" ht="144" x14ac:dyDescent="0.3">
      <c r="A64" t="s">
        <v>32</v>
      </c>
      <c r="B64" t="s">
        <v>199</v>
      </c>
      <c r="C64" t="s">
        <v>343</v>
      </c>
      <c r="D64" s="6" t="s">
        <v>344</v>
      </c>
      <c r="E64" t="s">
        <v>345</v>
      </c>
      <c r="F64" t="s">
        <v>71</v>
      </c>
      <c r="G64" t="s">
        <v>72</v>
      </c>
      <c r="H64" t="s">
        <v>38</v>
      </c>
      <c r="I64" s="6"/>
      <c r="J64" s="6" t="s">
        <v>106</v>
      </c>
      <c r="K64" t="s">
        <v>290</v>
      </c>
      <c r="L64" s="6" t="s">
        <v>346</v>
      </c>
      <c r="M64" s="6" t="s">
        <v>347</v>
      </c>
      <c r="N64" s="6" t="s">
        <v>348</v>
      </c>
      <c r="O64" s="6" t="s">
        <v>349</v>
      </c>
    </row>
    <row r="65" spans="1:15" ht="345.6" x14ac:dyDescent="0.3">
      <c r="A65" t="s">
        <v>32</v>
      </c>
      <c r="B65" t="s">
        <v>199</v>
      </c>
      <c r="C65" t="s">
        <v>350</v>
      </c>
      <c r="D65" s="6" t="s">
        <v>351</v>
      </c>
      <c r="E65" t="s">
        <v>125</v>
      </c>
      <c r="F65" t="s">
        <v>71</v>
      </c>
      <c r="G65" t="s">
        <v>72</v>
      </c>
      <c r="H65" t="s">
        <v>38</v>
      </c>
      <c r="I65" s="6"/>
      <c r="J65" s="6" t="s">
        <v>106</v>
      </c>
      <c r="K65" t="s">
        <v>324</v>
      </c>
      <c r="L65" s="6" t="s">
        <v>352</v>
      </c>
      <c r="M65" s="6" t="s">
        <v>353</v>
      </c>
      <c r="N65" s="6" t="s">
        <v>354</v>
      </c>
      <c r="O65" s="6" t="s">
        <v>355</v>
      </c>
    </row>
    <row r="66" spans="1:15" ht="115.2" x14ac:dyDescent="0.3">
      <c r="A66" t="s">
        <v>32</v>
      </c>
      <c r="B66" t="s">
        <v>199</v>
      </c>
      <c r="C66" t="s">
        <v>356</v>
      </c>
      <c r="D66" s="6" t="s">
        <v>357</v>
      </c>
      <c r="E66" t="s">
        <v>125</v>
      </c>
      <c r="F66" t="s">
        <v>71</v>
      </c>
      <c r="G66" t="s">
        <v>72</v>
      </c>
      <c r="H66" t="s">
        <v>38</v>
      </c>
      <c r="I66" s="6"/>
      <c r="J66" s="6" t="s">
        <v>106</v>
      </c>
      <c r="K66" t="s">
        <v>324</v>
      </c>
      <c r="L66" s="6" t="s">
        <v>358</v>
      </c>
      <c r="M66" s="6" t="s">
        <v>359</v>
      </c>
      <c r="N66" s="6" t="s">
        <v>360</v>
      </c>
      <c r="O66" s="6" t="s">
        <v>361</v>
      </c>
    </row>
    <row r="67" spans="1:15" ht="288" x14ac:dyDescent="0.3">
      <c r="A67" t="s">
        <v>32</v>
      </c>
      <c r="B67" t="s">
        <v>199</v>
      </c>
      <c r="C67" t="s">
        <v>362</v>
      </c>
      <c r="D67" s="6" t="s">
        <v>363</v>
      </c>
      <c r="E67" t="s">
        <v>125</v>
      </c>
      <c r="F67" t="s">
        <v>71</v>
      </c>
      <c r="G67" t="s">
        <v>72</v>
      </c>
      <c r="H67" t="s">
        <v>38</v>
      </c>
      <c r="I67" s="6"/>
      <c r="J67" s="6" t="s">
        <v>106</v>
      </c>
      <c r="K67" t="s">
        <v>324</v>
      </c>
      <c r="L67" s="6" t="s">
        <v>364</v>
      </c>
      <c r="M67" s="6" t="s">
        <v>365</v>
      </c>
      <c r="N67" s="6" t="s">
        <v>366</v>
      </c>
      <c r="O67" s="6" t="s">
        <v>367</v>
      </c>
    </row>
    <row r="68" spans="1:15" ht="302.39999999999998" x14ac:dyDescent="0.3">
      <c r="A68" t="s">
        <v>32</v>
      </c>
      <c r="B68" t="s">
        <v>199</v>
      </c>
      <c r="C68" t="s">
        <v>368</v>
      </c>
      <c r="D68" s="6" t="s">
        <v>369</v>
      </c>
      <c r="E68" t="s">
        <v>370</v>
      </c>
      <c r="F68" t="s">
        <v>71</v>
      </c>
      <c r="G68" t="s">
        <v>72</v>
      </c>
      <c r="H68" t="s">
        <v>38</v>
      </c>
      <c r="I68" s="6"/>
      <c r="J68" s="6" t="s">
        <v>106</v>
      </c>
      <c r="K68" t="s">
        <v>371</v>
      </c>
      <c r="L68" s="6" t="s">
        <v>372</v>
      </c>
      <c r="M68" s="6" t="s">
        <v>373</v>
      </c>
      <c r="N68" s="6" t="s">
        <v>374</v>
      </c>
      <c r="O68" s="6" t="s">
        <v>375</v>
      </c>
    </row>
    <row r="69" spans="1:15" ht="158.4" x14ac:dyDescent="0.3">
      <c r="A69" t="s">
        <v>32</v>
      </c>
      <c r="B69" t="s">
        <v>199</v>
      </c>
      <c r="C69" t="s">
        <v>376</v>
      </c>
      <c r="D69" s="6" t="s">
        <v>377</v>
      </c>
      <c r="E69" t="s">
        <v>248</v>
      </c>
      <c r="F69" t="s">
        <v>378</v>
      </c>
      <c r="G69" t="s">
        <v>72</v>
      </c>
      <c r="H69" t="s">
        <v>38</v>
      </c>
      <c r="I69" s="6" t="s">
        <v>379</v>
      </c>
      <c r="J69" s="6" t="s">
        <v>106</v>
      </c>
      <c r="K69" t="s">
        <v>380</v>
      </c>
      <c r="L69" s="6" t="s">
        <v>381</v>
      </c>
      <c r="M69" s="6" t="s">
        <v>382</v>
      </c>
      <c r="N69" s="6" t="s">
        <v>383</v>
      </c>
      <c r="O69" s="6" t="s">
        <v>384</v>
      </c>
    </row>
    <row r="70" spans="1:15" ht="100.8" x14ac:dyDescent="0.3">
      <c r="A70" t="s">
        <v>32</v>
      </c>
      <c r="B70" t="s">
        <v>199</v>
      </c>
      <c r="C70" t="s">
        <v>385</v>
      </c>
      <c r="D70" s="6" t="s">
        <v>386</v>
      </c>
      <c r="E70" t="s">
        <v>387</v>
      </c>
      <c r="F70" t="s">
        <v>378</v>
      </c>
      <c r="G70" t="s">
        <v>72</v>
      </c>
      <c r="H70" t="s">
        <v>38</v>
      </c>
      <c r="I70" s="6" t="s">
        <v>379</v>
      </c>
      <c r="J70" s="6" t="s">
        <v>106</v>
      </c>
      <c r="K70" t="s">
        <v>380</v>
      </c>
      <c r="L70" s="6" t="s">
        <v>388</v>
      </c>
      <c r="M70" s="6" t="s">
        <v>389</v>
      </c>
      <c r="N70" s="6" t="s">
        <v>390</v>
      </c>
      <c r="O70" s="6" t="s">
        <v>391</v>
      </c>
    </row>
    <row r="71" spans="1:15" ht="72" x14ac:dyDescent="0.3">
      <c r="A71" t="s">
        <v>32</v>
      </c>
      <c r="B71" t="s">
        <v>199</v>
      </c>
      <c r="C71" t="s">
        <v>392</v>
      </c>
      <c r="D71" s="6" t="s">
        <v>393</v>
      </c>
      <c r="E71" t="s">
        <v>250</v>
      </c>
      <c r="F71" t="s">
        <v>378</v>
      </c>
      <c r="G71" t="s">
        <v>72</v>
      </c>
      <c r="H71" t="s">
        <v>38</v>
      </c>
      <c r="I71" s="6" t="s">
        <v>379</v>
      </c>
      <c r="J71" s="6" t="s">
        <v>106</v>
      </c>
      <c r="K71" t="s">
        <v>380</v>
      </c>
      <c r="L71" s="6" t="s">
        <v>394</v>
      </c>
      <c r="M71" s="6" t="s">
        <v>395</v>
      </c>
      <c r="N71" s="6" t="s">
        <v>396</v>
      </c>
      <c r="O71" s="6" t="s">
        <v>397</v>
      </c>
    </row>
    <row r="72" spans="1:15" ht="100.8" x14ac:dyDescent="0.3">
      <c r="A72" t="s">
        <v>32</v>
      </c>
      <c r="B72" t="s">
        <v>199</v>
      </c>
      <c r="C72" t="s">
        <v>398</v>
      </c>
      <c r="D72" s="6" t="s">
        <v>399</v>
      </c>
      <c r="E72" t="s">
        <v>400</v>
      </c>
      <c r="F72" t="s">
        <v>378</v>
      </c>
      <c r="G72" t="s">
        <v>72</v>
      </c>
      <c r="H72" t="s">
        <v>38</v>
      </c>
      <c r="I72" s="6" t="s">
        <v>379</v>
      </c>
      <c r="J72" s="6" t="s">
        <v>106</v>
      </c>
      <c r="K72" t="s">
        <v>380</v>
      </c>
      <c r="L72" s="6" t="s">
        <v>401</v>
      </c>
      <c r="M72" s="6" t="s">
        <v>402</v>
      </c>
      <c r="N72" s="6" t="s">
        <v>403</v>
      </c>
      <c r="O72" s="6" t="s">
        <v>404</v>
      </c>
    </row>
    <row r="73" spans="1:15" ht="100.8" x14ac:dyDescent="0.3">
      <c r="A73" t="s">
        <v>32</v>
      </c>
      <c r="B73" t="s">
        <v>199</v>
      </c>
      <c r="C73" t="s">
        <v>405</v>
      </c>
      <c r="D73" s="6" t="s">
        <v>406</v>
      </c>
      <c r="E73" t="s">
        <v>252</v>
      </c>
      <c r="F73" t="s">
        <v>378</v>
      </c>
      <c r="G73" t="s">
        <v>72</v>
      </c>
      <c r="H73" t="s">
        <v>38</v>
      </c>
      <c r="I73" s="6" t="s">
        <v>379</v>
      </c>
      <c r="J73" s="6" t="s">
        <v>106</v>
      </c>
      <c r="K73" t="s">
        <v>380</v>
      </c>
      <c r="L73" s="6" t="s">
        <v>407</v>
      </c>
      <c r="M73" s="6" t="s">
        <v>408</v>
      </c>
      <c r="N73" s="6" t="s">
        <v>409</v>
      </c>
      <c r="O73" s="6" t="s">
        <v>410</v>
      </c>
    </row>
    <row r="74" spans="1:15" ht="172.8" x14ac:dyDescent="0.3">
      <c r="A74" t="s">
        <v>32</v>
      </c>
      <c r="B74" t="s">
        <v>199</v>
      </c>
      <c r="C74" t="s">
        <v>411</v>
      </c>
      <c r="D74" s="6" t="s">
        <v>412</v>
      </c>
      <c r="E74" t="s">
        <v>413</v>
      </c>
      <c r="F74" t="s">
        <v>378</v>
      </c>
      <c r="G74" t="s">
        <v>72</v>
      </c>
      <c r="H74" t="s">
        <v>38</v>
      </c>
      <c r="I74" s="6" t="s">
        <v>379</v>
      </c>
      <c r="J74" s="6" t="s">
        <v>106</v>
      </c>
      <c r="K74" t="s">
        <v>380</v>
      </c>
      <c r="L74" s="6" t="s">
        <v>414</v>
      </c>
      <c r="M74" s="6" t="s">
        <v>415</v>
      </c>
      <c r="N74" s="6" t="s">
        <v>416</v>
      </c>
      <c r="O74" s="6" t="s">
        <v>417</v>
      </c>
    </row>
    <row r="75" spans="1:15" ht="129.6" x14ac:dyDescent="0.3">
      <c r="A75" t="s">
        <v>32</v>
      </c>
      <c r="B75" t="s">
        <v>199</v>
      </c>
      <c r="C75" t="s">
        <v>418</v>
      </c>
      <c r="D75" s="6" t="s">
        <v>419</v>
      </c>
      <c r="E75" t="s">
        <v>258</v>
      </c>
      <c r="F75" t="s">
        <v>378</v>
      </c>
      <c r="G75" t="s">
        <v>72</v>
      </c>
      <c r="H75" t="s">
        <v>38</v>
      </c>
      <c r="I75" s="6" t="s">
        <v>379</v>
      </c>
      <c r="J75" s="6" t="s">
        <v>106</v>
      </c>
      <c r="K75" t="s">
        <v>380</v>
      </c>
      <c r="L75" s="6" t="s">
        <v>420</v>
      </c>
      <c r="M75" s="6" t="s">
        <v>421</v>
      </c>
      <c r="N75" s="6" t="s">
        <v>422</v>
      </c>
      <c r="O75" s="6" t="s">
        <v>423</v>
      </c>
    </row>
    <row r="76" spans="1:15" ht="115.2" x14ac:dyDescent="0.3">
      <c r="A76" t="s">
        <v>32</v>
      </c>
      <c r="B76" t="s">
        <v>199</v>
      </c>
      <c r="C76" t="s">
        <v>424</v>
      </c>
      <c r="D76" s="6" t="s">
        <v>425</v>
      </c>
      <c r="E76" t="s">
        <v>258</v>
      </c>
      <c r="F76" t="s">
        <v>378</v>
      </c>
      <c r="G76" t="s">
        <v>72</v>
      </c>
      <c r="H76" t="s">
        <v>38</v>
      </c>
      <c r="I76" s="6" t="s">
        <v>379</v>
      </c>
      <c r="J76" s="6" t="s">
        <v>106</v>
      </c>
      <c r="K76" t="s">
        <v>380</v>
      </c>
      <c r="L76" s="6" t="s">
        <v>426</v>
      </c>
      <c r="M76" s="6" t="s">
        <v>427</v>
      </c>
      <c r="N76" s="6" t="s">
        <v>428</v>
      </c>
      <c r="O76" s="6" t="s">
        <v>429</v>
      </c>
    </row>
    <row r="77" spans="1:15" ht="57.6" x14ac:dyDescent="0.3">
      <c r="A77" t="s">
        <v>32</v>
      </c>
      <c r="B77" t="s">
        <v>199</v>
      </c>
      <c r="C77" t="s">
        <v>430</v>
      </c>
      <c r="D77" s="6" t="s">
        <v>431</v>
      </c>
      <c r="E77" t="s">
        <v>258</v>
      </c>
      <c r="F77" t="s">
        <v>378</v>
      </c>
      <c r="G77" t="s">
        <v>72</v>
      </c>
      <c r="H77" t="s">
        <v>38</v>
      </c>
      <c r="I77" s="6" t="s">
        <v>379</v>
      </c>
      <c r="J77" s="6" t="s">
        <v>106</v>
      </c>
      <c r="K77" t="s">
        <v>380</v>
      </c>
      <c r="L77" s="6" t="s">
        <v>432</v>
      </c>
      <c r="M77" s="6" t="s">
        <v>433</v>
      </c>
      <c r="N77" s="6" t="s">
        <v>434</v>
      </c>
      <c r="O77" s="6" t="s">
        <v>435</v>
      </c>
    </row>
    <row r="78" spans="1:15" ht="57.6" x14ac:dyDescent="0.3">
      <c r="A78" t="s">
        <v>32</v>
      </c>
      <c r="B78" t="s">
        <v>199</v>
      </c>
      <c r="C78" t="s">
        <v>436</v>
      </c>
      <c r="D78" s="6" t="s">
        <v>437</v>
      </c>
      <c r="E78" t="s">
        <v>258</v>
      </c>
      <c r="F78" t="s">
        <v>378</v>
      </c>
      <c r="G78" t="s">
        <v>72</v>
      </c>
      <c r="H78" t="s">
        <v>38</v>
      </c>
      <c r="I78" s="6" t="s">
        <v>379</v>
      </c>
      <c r="J78" s="6" t="s">
        <v>106</v>
      </c>
      <c r="K78" t="s">
        <v>380</v>
      </c>
      <c r="L78" s="6" t="s">
        <v>438</v>
      </c>
      <c r="M78" s="6" t="s">
        <v>439</v>
      </c>
      <c r="N78" s="6" t="s">
        <v>440</v>
      </c>
      <c r="O78" s="6" t="s">
        <v>441</v>
      </c>
    </row>
    <row r="79" spans="1:15" ht="72" x14ac:dyDescent="0.3">
      <c r="A79" t="s">
        <v>32</v>
      </c>
      <c r="B79" t="s">
        <v>199</v>
      </c>
      <c r="C79" t="s">
        <v>442</v>
      </c>
      <c r="D79" s="6" t="s">
        <v>443</v>
      </c>
      <c r="E79" t="s">
        <v>258</v>
      </c>
      <c r="F79" t="s">
        <v>378</v>
      </c>
      <c r="G79" t="s">
        <v>72</v>
      </c>
      <c r="H79" t="s">
        <v>38</v>
      </c>
      <c r="I79" s="6" t="s">
        <v>379</v>
      </c>
      <c r="J79" s="6" t="s">
        <v>106</v>
      </c>
      <c r="K79" t="s">
        <v>380</v>
      </c>
      <c r="L79" s="6" t="s">
        <v>444</v>
      </c>
      <c r="M79" s="6" t="s">
        <v>445</v>
      </c>
      <c r="N79" s="6" t="s">
        <v>446</v>
      </c>
      <c r="O79" s="6" t="s">
        <v>447</v>
      </c>
    </row>
    <row r="80" spans="1:15" ht="57.6" x14ac:dyDescent="0.3">
      <c r="A80" t="s">
        <v>32</v>
      </c>
      <c r="B80" t="s">
        <v>199</v>
      </c>
      <c r="C80" t="s">
        <v>448</v>
      </c>
      <c r="D80" s="6" t="s">
        <v>449</v>
      </c>
      <c r="E80" t="s">
        <v>450</v>
      </c>
      <c r="F80" t="s">
        <v>378</v>
      </c>
      <c r="G80" t="s">
        <v>72</v>
      </c>
      <c r="H80" t="s">
        <v>38</v>
      </c>
      <c r="I80" s="6" t="s">
        <v>379</v>
      </c>
      <c r="J80" s="6" t="s">
        <v>106</v>
      </c>
      <c r="K80" t="s">
        <v>380</v>
      </c>
      <c r="L80" s="6" t="s">
        <v>451</v>
      </c>
      <c r="M80" s="6" t="s">
        <v>452</v>
      </c>
      <c r="N80" s="6" t="s">
        <v>453</v>
      </c>
      <c r="O80" s="6" t="s">
        <v>454</v>
      </c>
    </row>
    <row r="81" spans="1:15" ht="57.6" x14ac:dyDescent="0.3">
      <c r="A81" t="s">
        <v>32</v>
      </c>
      <c r="B81" t="s">
        <v>199</v>
      </c>
      <c r="C81" t="s">
        <v>455</v>
      </c>
      <c r="D81" s="6" t="s">
        <v>456</v>
      </c>
      <c r="E81" t="s">
        <v>263</v>
      </c>
      <c r="F81" t="s">
        <v>378</v>
      </c>
      <c r="G81" t="s">
        <v>72</v>
      </c>
      <c r="H81" t="s">
        <v>38</v>
      </c>
      <c r="I81" s="6" t="s">
        <v>379</v>
      </c>
      <c r="J81" s="6" t="s">
        <v>106</v>
      </c>
      <c r="K81" t="s">
        <v>380</v>
      </c>
      <c r="L81" s="6" t="s">
        <v>457</v>
      </c>
      <c r="M81" s="6" t="s">
        <v>458</v>
      </c>
      <c r="N81" s="6" t="s">
        <v>459</v>
      </c>
      <c r="O81" s="6" t="s">
        <v>460</v>
      </c>
    </row>
    <row r="82" spans="1:15" ht="72" x14ac:dyDescent="0.3">
      <c r="A82" t="s">
        <v>32</v>
      </c>
      <c r="B82" t="s">
        <v>199</v>
      </c>
      <c r="C82" t="s">
        <v>461</v>
      </c>
      <c r="D82" s="6" t="s">
        <v>462</v>
      </c>
      <c r="E82" t="s">
        <v>263</v>
      </c>
      <c r="F82" t="s">
        <v>378</v>
      </c>
      <c r="G82" t="s">
        <v>72</v>
      </c>
      <c r="H82" t="s">
        <v>38</v>
      </c>
      <c r="I82" s="6" t="s">
        <v>379</v>
      </c>
      <c r="J82" s="6" t="s">
        <v>106</v>
      </c>
      <c r="K82" t="s">
        <v>380</v>
      </c>
      <c r="L82" s="6" t="s">
        <v>463</v>
      </c>
      <c r="M82" s="6" t="s">
        <v>464</v>
      </c>
      <c r="N82" s="6" t="s">
        <v>465</v>
      </c>
      <c r="O82" s="6" t="s">
        <v>466</v>
      </c>
    </row>
    <row r="83" spans="1:15" ht="86.4" x14ac:dyDescent="0.3">
      <c r="A83" t="s">
        <v>32</v>
      </c>
      <c r="B83" t="s">
        <v>199</v>
      </c>
      <c r="C83" t="s">
        <v>467</v>
      </c>
      <c r="D83" s="6" t="s">
        <v>468</v>
      </c>
      <c r="E83" t="s">
        <v>263</v>
      </c>
      <c r="F83" t="s">
        <v>378</v>
      </c>
      <c r="G83" t="s">
        <v>72</v>
      </c>
      <c r="H83" t="s">
        <v>38</v>
      </c>
      <c r="I83" s="6" t="s">
        <v>379</v>
      </c>
      <c r="J83" s="6" t="s">
        <v>106</v>
      </c>
      <c r="K83" t="s">
        <v>380</v>
      </c>
      <c r="L83" s="6" t="s">
        <v>469</v>
      </c>
      <c r="M83" s="6" t="s">
        <v>470</v>
      </c>
      <c r="N83" s="6" t="s">
        <v>471</v>
      </c>
      <c r="O83" s="6" t="s">
        <v>472</v>
      </c>
    </row>
    <row r="84" spans="1:15" ht="72" x14ac:dyDescent="0.3">
      <c r="A84" t="s">
        <v>32</v>
      </c>
      <c r="B84" t="s">
        <v>199</v>
      </c>
      <c r="C84" t="s">
        <v>473</v>
      </c>
      <c r="D84" s="6" t="s">
        <v>474</v>
      </c>
      <c r="E84" t="s">
        <v>263</v>
      </c>
      <c r="F84" t="s">
        <v>378</v>
      </c>
      <c r="G84" t="s">
        <v>72</v>
      </c>
      <c r="H84" t="s">
        <v>38</v>
      </c>
      <c r="I84" s="6" t="s">
        <v>379</v>
      </c>
      <c r="J84" s="6" t="s">
        <v>106</v>
      </c>
      <c r="K84" t="s">
        <v>380</v>
      </c>
      <c r="L84" s="6" t="s">
        <v>475</v>
      </c>
      <c r="M84" s="6" t="s">
        <v>476</v>
      </c>
      <c r="N84" s="6" t="s">
        <v>477</v>
      </c>
      <c r="O84" s="6" t="s">
        <v>478</v>
      </c>
    </row>
    <row r="85" spans="1:15" ht="57.6" x14ac:dyDescent="0.3">
      <c r="A85" t="s">
        <v>32</v>
      </c>
      <c r="B85" t="s">
        <v>199</v>
      </c>
      <c r="C85" t="s">
        <v>479</v>
      </c>
      <c r="D85" s="6" t="s">
        <v>480</v>
      </c>
      <c r="E85" t="s">
        <v>263</v>
      </c>
      <c r="F85" t="s">
        <v>378</v>
      </c>
      <c r="G85" t="s">
        <v>72</v>
      </c>
      <c r="H85" t="s">
        <v>38</v>
      </c>
      <c r="I85" s="6" t="s">
        <v>379</v>
      </c>
      <c r="J85" s="6" t="s">
        <v>106</v>
      </c>
      <c r="K85" t="s">
        <v>380</v>
      </c>
      <c r="L85" s="6" t="s">
        <v>481</v>
      </c>
      <c r="M85" s="6" t="s">
        <v>482</v>
      </c>
      <c r="N85" s="6" t="s">
        <v>483</v>
      </c>
      <c r="O85" s="6" t="s">
        <v>484</v>
      </c>
    </row>
    <row r="86" spans="1:15" ht="57.6" x14ac:dyDescent="0.3">
      <c r="A86" t="s">
        <v>32</v>
      </c>
      <c r="B86" t="s">
        <v>199</v>
      </c>
      <c r="C86" t="s">
        <v>485</v>
      </c>
      <c r="D86" s="6" t="s">
        <v>486</v>
      </c>
      <c r="E86" t="s">
        <v>263</v>
      </c>
      <c r="F86" t="s">
        <v>378</v>
      </c>
      <c r="G86" t="s">
        <v>72</v>
      </c>
      <c r="H86" t="s">
        <v>38</v>
      </c>
      <c r="I86" s="6" t="s">
        <v>379</v>
      </c>
      <c r="J86" s="6" t="s">
        <v>106</v>
      </c>
      <c r="K86" t="s">
        <v>380</v>
      </c>
      <c r="L86" s="6" t="s">
        <v>487</v>
      </c>
      <c r="M86" s="6" t="s">
        <v>488</v>
      </c>
      <c r="N86" s="6" t="s">
        <v>489</v>
      </c>
      <c r="O86" s="6" t="s">
        <v>490</v>
      </c>
    </row>
    <row r="87" spans="1:15" ht="72" x14ac:dyDescent="0.3">
      <c r="A87" t="s">
        <v>32</v>
      </c>
      <c r="B87" t="s">
        <v>199</v>
      </c>
      <c r="C87" t="s">
        <v>491</v>
      </c>
      <c r="D87" s="6" t="s">
        <v>492</v>
      </c>
      <c r="E87" t="s">
        <v>263</v>
      </c>
      <c r="F87" t="s">
        <v>493</v>
      </c>
      <c r="G87" t="s">
        <v>72</v>
      </c>
      <c r="H87" t="s">
        <v>38</v>
      </c>
      <c r="I87" s="6"/>
      <c r="J87" s="6" t="s">
        <v>106</v>
      </c>
      <c r="K87" t="s">
        <v>494</v>
      </c>
      <c r="L87" s="6" t="s">
        <v>495</v>
      </c>
      <c r="M87" s="6" t="s">
        <v>496</v>
      </c>
      <c r="N87" s="6" t="s">
        <v>497</v>
      </c>
      <c r="O87" s="6" t="s">
        <v>498</v>
      </c>
    </row>
    <row r="88" spans="1:15" ht="43.2" x14ac:dyDescent="0.3">
      <c r="A88" t="s">
        <v>32</v>
      </c>
      <c r="B88" t="s">
        <v>199</v>
      </c>
      <c r="C88" t="s">
        <v>499</v>
      </c>
      <c r="D88" s="6" t="s">
        <v>500</v>
      </c>
      <c r="E88" t="s">
        <v>263</v>
      </c>
      <c r="F88" t="s">
        <v>493</v>
      </c>
      <c r="G88" t="s">
        <v>72</v>
      </c>
      <c r="H88" t="s">
        <v>38</v>
      </c>
      <c r="I88" s="6"/>
      <c r="J88" s="6" t="s">
        <v>106</v>
      </c>
      <c r="K88" t="s">
        <v>494</v>
      </c>
      <c r="L88" s="6" t="s">
        <v>501</v>
      </c>
      <c r="M88" s="6" t="s">
        <v>502</v>
      </c>
      <c r="N88" s="6" t="s">
        <v>503</v>
      </c>
      <c r="O88" s="6" t="s">
        <v>504</v>
      </c>
    </row>
    <row r="89" spans="1:15" ht="115.2" x14ac:dyDescent="0.3">
      <c r="A89" t="s">
        <v>32</v>
      </c>
      <c r="B89" t="s">
        <v>199</v>
      </c>
      <c r="C89" t="s">
        <v>505</v>
      </c>
      <c r="D89" s="6" t="s">
        <v>506</v>
      </c>
      <c r="E89" t="s">
        <v>99</v>
      </c>
      <c r="F89" t="s">
        <v>493</v>
      </c>
      <c r="G89" t="s">
        <v>72</v>
      </c>
      <c r="H89" t="s">
        <v>38</v>
      </c>
      <c r="I89" s="6"/>
      <c r="J89" s="6" t="s">
        <v>106</v>
      </c>
      <c r="K89" t="s">
        <v>494</v>
      </c>
      <c r="L89" s="6" t="s">
        <v>507</v>
      </c>
      <c r="M89" s="6" t="s">
        <v>508</v>
      </c>
      <c r="N89" s="6" t="s">
        <v>509</v>
      </c>
      <c r="O89" s="6" t="s">
        <v>510</v>
      </c>
    </row>
    <row r="90" spans="1:15" ht="72" x14ac:dyDescent="0.3">
      <c r="A90" t="s">
        <v>32</v>
      </c>
      <c r="B90" t="s">
        <v>199</v>
      </c>
      <c r="C90" t="s">
        <v>511</v>
      </c>
      <c r="D90" s="6" t="s">
        <v>512</v>
      </c>
      <c r="E90" t="s">
        <v>513</v>
      </c>
      <c r="F90" t="s">
        <v>493</v>
      </c>
      <c r="G90" t="s">
        <v>72</v>
      </c>
      <c r="H90" t="s">
        <v>38</v>
      </c>
      <c r="I90" s="6"/>
      <c r="J90" s="6" t="s">
        <v>106</v>
      </c>
      <c r="K90" t="s">
        <v>494</v>
      </c>
      <c r="L90" s="6" t="s">
        <v>514</v>
      </c>
      <c r="M90" s="6" t="s">
        <v>515</v>
      </c>
      <c r="N90" s="6" t="s">
        <v>516</v>
      </c>
      <c r="O90" s="6" t="s">
        <v>517</v>
      </c>
    </row>
    <row r="91" spans="1:15" ht="57.6" x14ac:dyDescent="0.3">
      <c r="A91" t="s">
        <v>32</v>
      </c>
      <c r="B91" t="s">
        <v>199</v>
      </c>
      <c r="C91" t="s">
        <v>518</v>
      </c>
      <c r="D91" s="6" t="s">
        <v>519</v>
      </c>
      <c r="E91" t="s">
        <v>513</v>
      </c>
      <c r="F91" t="s">
        <v>493</v>
      </c>
      <c r="G91" t="s">
        <v>72</v>
      </c>
      <c r="H91" t="s">
        <v>38</v>
      </c>
      <c r="I91" s="6"/>
      <c r="J91" s="6" t="s">
        <v>106</v>
      </c>
      <c r="K91" t="s">
        <v>494</v>
      </c>
      <c r="L91" s="6" t="s">
        <v>520</v>
      </c>
      <c r="M91" s="6" t="s">
        <v>521</v>
      </c>
      <c r="N91" s="6" t="s">
        <v>522</v>
      </c>
      <c r="O91" s="6" t="s">
        <v>523</v>
      </c>
    </row>
    <row r="92" spans="1:15" ht="72" x14ac:dyDescent="0.3">
      <c r="A92" t="s">
        <v>32</v>
      </c>
      <c r="B92" t="s">
        <v>199</v>
      </c>
      <c r="C92" t="s">
        <v>524</v>
      </c>
      <c r="D92" s="6" t="s">
        <v>525</v>
      </c>
      <c r="E92" t="s">
        <v>513</v>
      </c>
      <c r="F92" t="s">
        <v>493</v>
      </c>
      <c r="G92" t="s">
        <v>72</v>
      </c>
      <c r="H92" t="s">
        <v>38</v>
      </c>
      <c r="I92" s="6"/>
      <c r="J92" s="6" t="s">
        <v>106</v>
      </c>
      <c r="K92" t="s">
        <v>494</v>
      </c>
      <c r="L92" s="6" t="s">
        <v>526</v>
      </c>
      <c r="M92" s="6" t="s">
        <v>527</v>
      </c>
      <c r="N92" s="6" t="s">
        <v>528</v>
      </c>
      <c r="O92" s="6" t="s">
        <v>529</v>
      </c>
    </row>
    <row r="93" spans="1:15" ht="57.6" x14ac:dyDescent="0.3">
      <c r="A93" t="s">
        <v>32</v>
      </c>
      <c r="B93" t="s">
        <v>199</v>
      </c>
      <c r="C93" t="s">
        <v>530</v>
      </c>
      <c r="D93" s="6" t="s">
        <v>531</v>
      </c>
      <c r="E93" t="s">
        <v>269</v>
      </c>
      <c r="F93" t="s">
        <v>493</v>
      </c>
      <c r="G93" t="s">
        <v>72</v>
      </c>
      <c r="H93" t="s">
        <v>38</v>
      </c>
      <c r="I93" s="6"/>
      <c r="J93" s="6" t="s">
        <v>106</v>
      </c>
      <c r="K93" t="s">
        <v>494</v>
      </c>
      <c r="L93" s="6" t="s">
        <v>532</v>
      </c>
      <c r="M93" s="6" t="s">
        <v>533</v>
      </c>
      <c r="N93" s="6" t="s">
        <v>534</v>
      </c>
      <c r="O93" s="6" t="s">
        <v>535</v>
      </c>
    </row>
    <row r="94" spans="1:15" ht="100.8" x14ac:dyDescent="0.3">
      <c r="A94" t="s">
        <v>32</v>
      </c>
      <c r="B94" t="s">
        <v>199</v>
      </c>
      <c r="C94" t="s">
        <v>536</v>
      </c>
      <c r="D94" s="6" t="s">
        <v>537</v>
      </c>
      <c r="E94" t="s">
        <v>269</v>
      </c>
      <c r="F94" t="s">
        <v>35</v>
      </c>
      <c r="G94" t="s">
        <v>37</v>
      </c>
      <c r="H94" t="s">
        <v>38</v>
      </c>
      <c r="I94" s="6"/>
      <c r="J94" s="6" t="s">
        <v>106</v>
      </c>
      <c r="L94" s="6" t="s">
        <v>538</v>
      </c>
      <c r="M94" s="6" t="s">
        <v>539</v>
      </c>
      <c r="N94" s="6"/>
      <c r="O94" s="6" t="s">
        <v>540</v>
      </c>
    </row>
    <row r="95" spans="1:15" ht="72" x14ac:dyDescent="0.3">
      <c r="A95" t="s">
        <v>32</v>
      </c>
      <c r="B95" t="s">
        <v>199</v>
      </c>
      <c r="C95" t="s">
        <v>541</v>
      </c>
      <c r="D95" s="6" t="s">
        <v>542</v>
      </c>
      <c r="E95" t="s">
        <v>269</v>
      </c>
      <c r="F95" t="s">
        <v>493</v>
      </c>
      <c r="G95" t="s">
        <v>72</v>
      </c>
      <c r="H95" t="s">
        <v>38</v>
      </c>
      <c r="I95" s="6"/>
      <c r="J95" s="6" t="s">
        <v>106</v>
      </c>
      <c r="K95" t="s">
        <v>494</v>
      </c>
      <c r="L95" s="6" t="s">
        <v>543</v>
      </c>
      <c r="M95" s="6" t="s">
        <v>544</v>
      </c>
      <c r="N95" s="6" t="s">
        <v>545</v>
      </c>
      <c r="O95" s="6" t="s">
        <v>546</v>
      </c>
    </row>
    <row r="96" spans="1:15" ht="129.6" x14ac:dyDescent="0.3">
      <c r="A96" t="s">
        <v>32</v>
      </c>
      <c r="B96" t="s">
        <v>199</v>
      </c>
      <c r="C96" t="s">
        <v>547</v>
      </c>
      <c r="D96" s="6" t="s">
        <v>548</v>
      </c>
      <c r="E96" t="s">
        <v>549</v>
      </c>
      <c r="F96" t="s">
        <v>71</v>
      </c>
      <c r="G96" t="s">
        <v>37</v>
      </c>
      <c r="H96" t="s">
        <v>38</v>
      </c>
      <c r="I96" s="6"/>
      <c r="J96" s="6" t="s">
        <v>106</v>
      </c>
      <c r="K96" t="s">
        <v>494</v>
      </c>
      <c r="L96" s="6" t="s">
        <v>550</v>
      </c>
      <c r="M96" s="6" t="s">
        <v>551</v>
      </c>
      <c r="N96" s="6" t="s">
        <v>552</v>
      </c>
      <c r="O96" s="6" t="s">
        <v>553</v>
      </c>
    </row>
    <row r="97" spans="1:15" ht="115.2" x14ac:dyDescent="0.3">
      <c r="A97" t="s">
        <v>32</v>
      </c>
      <c r="B97" t="s">
        <v>199</v>
      </c>
      <c r="C97" t="s">
        <v>554</v>
      </c>
      <c r="D97" s="6" t="s">
        <v>555</v>
      </c>
      <c r="E97" t="s">
        <v>193</v>
      </c>
      <c r="F97" t="s">
        <v>493</v>
      </c>
      <c r="G97" t="s">
        <v>72</v>
      </c>
      <c r="H97" t="s">
        <v>38</v>
      </c>
      <c r="I97" s="6"/>
      <c r="J97" s="6" t="s">
        <v>106</v>
      </c>
      <c r="K97" t="s">
        <v>556</v>
      </c>
      <c r="L97" s="6" t="s">
        <v>557</v>
      </c>
      <c r="M97" s="6" t="s">
        <v>558</v>
      </c>
      <c r="N97" s="6" t="s">
        <v>559</v>
      </c>
      <c r="O97" s="6" t="s">
        <v>560</v>
      </c>
    </row>
    <row r="98" spans="1:15" ht="115.2" x14ac:dyDescent="0.3">
      <c r="A98" t="s">
        <v>32</v>
      </c>
      <c r="B98" t="s">
        <v>199</v>
      </c>
      <c r="C98" t="s">
        <v>561</v>
      </c>
      <c r="D98" s="6" t="s">
        <v>562</v>
      </c>
      <c r="E98" t="s">
        <v>112</v>
      </c>
      <c r="F98" t="s">
        <v>493</v>
      </c>
      <c r="G98" t="s">
        <v>72</v>
      </c>
      <c r="H98" t="s">
        <v>38</v>
      </c>
      <c r="I98" s="6"/>
      <c r="J98" s="6" t="s">
        <v>106</v>
      </c>
      <c r="K98" t="s">
        <v>563</v>
      </c>
      <c r="L98" s="6" t="s">
        <v>564</v>
      </c>
      <c r="M98" s="6" t="s">
        <v>565</v>
      </c>
      <c r="N98" s="6" t="s">
        <v>566</v>
      </c>
      <c r="O98" s="6" t="s">
        <v>567</v>
      </c>
    </row>
    <row r="99" spans="1:15" ht="115.2" x14ac:dyDescent="0.3">
      <c r="A99" t="s">
        <v>32</v>
      </c>
      <c r="B99" t="s">
        <v>199</v>
      </c>
      <c r="C99" t="s">
        <v>561</v>
      </c>
      <c r="D99" s="6" t="s">
        <v>568</v>
      </c>
      <c r="E99" t="s">
        <v>569</v>
      </c>
      <c r="F99" t="s">
        <v>493</v>
      </c>
      <c r="G99" t="s">
        <v>72</v>
      </c>
      <c r="H99" t="s">
        <v>38</v>
      </c>
      <c r="I99" s="6"/>
      <c r="J99" s="6" t="s">
        <v>106</v>
      </c>
      <c r="K99" t="s">
        <v>563</v>
      </c>
      <c r="L99" s="6" t="s">
        <v>564</v>
      </c>
      <c r="M99" s="6" t="s">
        <v>565</v>
      </c>
      <c r="N99" s="6" t="s">
        <v>566</v>
      </c>
      <c r="O99" s="6" t="s">
        <v>567</v>
      </c>
    </row>
    <row r="100" spans="1:15" ht="57.6" x14ac:dyDescent="0.3">
      <c r="A100" t="s">
        <v>32</v>
      </c>
      <c r="B100" t="s">
        <v>199</v>
      </c>
      <c r="C100" t="s">
        <v>570</v>
      </c>
      <c r="D100" s="6" t="s">
        <v>571</v>
      </c>
      <c r="E100" t="s">
        <v>569</v>
      </c>
      <c r="F100" t="s">
        <v>572</v>
      </c>
      <c r="G100" t="s">
        <v>37</v>
      </c>
      <c r="H100" t="s">
        <v>38</v>
      </c>
      <c r="I100" s="6"/>
      <c r="J100" s="6" t="s">
        <v>106</v>
      </c>
      <c r="K100" t="s">
        <v>290</v>
      </c>
      <c r="L100" s="6" t="s">
        <v>573</v>
      </c>
      <c r="M100" s="6" t="s">
        <v>574</v>
      </c>
      <c r="N100" s="6" t="s">
        <v>575</v>
      </c>
      <c r="O100" s="6" t="s">
        <v>576</v>
      </c>
    </row>
    <row r="101" spans="1:15" ht="28.8" x14ac:dyDescent="0.3">
      <c r="A101" t="s">
        <v>32</v>
      </c>
      <c r="B101" t="s">
        <v>199</v>
      </c>
      <c r="C101" t="s">
        <v>577</v>
      </c>
      <c r="D101" s="6" t="s">
        <v>578</v>
      </c>
      <c r="E101" t="s">
        <v>579</v>
      </c>
      <c r="F101" t="s">
        <v>71</v>
      </c>
      <c r="G101" t="s">
        <v>87</v>
      </c>
      <c r="H101" t="s">
        <v>37</v>
      </c>
      <c r="I101" s="6"/>
      <c r="J101" s="6"/>
      <c r="L101" s="6"/>
      <c r="M101" s="6"/>
      <c r="N101" s="6"/>
      <c r="O101" s="6"/>
    </row>
    <row r="102" spans="1:15" ht="158.4" x14ac:dyDescent="0.3">
      <c r="A102" t="s">
        <v>32</v>
      </c>
      <c r="B102" t="s">
        <v>199</v>
      </c>
      <c r="C102" t="s">
        <v>580</v>
      </c>
      <c r="D102" s="6" t="s">
        <v>581</v>
      </c>
      <c r="E102" t="s">
        <v>294</v>
      </c>
      <c r="F102" t="s">
        <v>71</v>
      </c>
      <c r="G102" t="s">
        <v>72</v>
      </c>
      <c r="H102" t="s">
        <v>38</v>
      </c>
      <c r="I102" s="6"/>
      <c r="J102" s="6"/>
      <c r="K102" t="s">
        <v>290</v>
      </c>
      <c r="L102" s="6" t="s">
        <v>582</v>
      </c>
      <c r="M102" s="6"/>
      <c r="N102" s="6" t="s">
        <v>583</v>
      </c>
      <c r="O102" s="6" t="s">
        <v>584</v>
      </c>
    </row>
    <row r="103" spans="1:15" ht="201.6" x14ac:dyDescent="0.3">
      <c r="A103" t="s">
        <v>32</v>
      </c>
      <c r="B103" t="s">
        <v>199</v>
      </c>
      <c r="C103" t="s">
        <v>585</v>
      </c>
      <c r="D103" s="6" t="s">
        <v>586</v>
      </c>
      <c r="E103" t="s">
        <v>294</v>
      </c>
      <c r="F103" t="s">
        <v>71</v>
      </c>
      <c r="G103" t="s">
        <v>72</v>
      </c>
      <c r="H103" t="s">
        <v>38</v>
      </c>
      <c r="I103" s="6"/>
      <c r="J103" s="6"/>
      <c r="K103" t="s">
        <v>290</v>
      </c>
      <c r="L103" s="6" t="s">
        <v>587</v>
      </c>
      <c r="M103" s="6"/>
      <c r="N103" s="6" t="s">
        <v>588</v>
      </c>
      <c r="O103" s="6" t="s">
        <v>589</v>
      </c>
    </row>
    <row r="104" spans="1:15" ht="86.4" x14ac:dyDescent="0.3">
      <c r="A104" t="s">
        <v>32</v>
      </c>
      <c r="B104" t="s">
        <v>199</v>
      </c>
      <c r="C104" t="s">
        <v>590</v>
      </c>
      <c r="D104" s="6" t="s">
        <v>591</v>
      </c>
      <c r="E104" t="s">
        <v>294</v>
      </c>
      <c r="F104" t="s">
        <v>71</v>
      </c>
      <c r="G104" t="s">
        <v>37</v>
      </c>
      <c r="H104" t="s">
        <v>38</v>
      </c>
      <c r="I104" s="6"/>
      <c r="J104" s="6"/>
      <c r="L104" s="6" t="s">
        <v>592</v>
      </c>
      <c r="M104" s="6"/>
      <c r="N104" s="6" t="s">
        <v>593</v>
      </c>
      <c r="O104" s="6" t="s">
        <v>594</v>
      </c>
    </row>
    <row r="105" spans="1:15" ht="57.6" x14ac:dyDescent="0.3">
      <c r="A105" t="s">
        <v>32</v>
      </c>
      <c r="B105" t="s">
        <v>199</v>
      </c>
      <c r="C105" t="s">
        <v>595</v>
      </c>
      <c r="D105" s="6" t="s">
        <v>596</v>
      </c>
      <c r="E105" t="s">
        <v>153</v>
      </c>
      <c r="F105" t="s">
        <v>71</v>
      </c>
      <c r="G105" t="s">
        <v>161</v>
      </c>
      <c r="H105" t="s">
        <v>38</v>
      </c>
      <c r="I105" s="6"/>
      <c r="J105" s="6"/>
      <c r="L105" s="6" t="s">
        <v>597</v>
      </c>
      <c r="M105" s="6"/>
      <c r="N105" s="6"/>
      <c r="O105" s="6" t="s">
        <v>598</v>
      </c>
    </row>
    <row r="106" spans="1:15" ht="72" x14ac:dyDescent="0.3">
      <c r="A106" t="s">
        <v>32</v>
      </c>
      <c r="B106" t="s">
        <v>199</v>
      </c>
      <c r="C106" t="s">
        <v>599</v>
      </c>
      <c r="D106" s="6" t="s">
        <v>600</v>
      </c>
      <c r="E106" t="s">
        <v>304</v>
      </c>
      <c r="F106" t="s">
        <v>71</v>
      </c>
      <c r="G106" t="s">
        <v>37</v>
      </c>
      <c r="H106" t="s">
        <v>38</v>
      </c>
      <c r="I106" s="6"/>
      <c r="J106" s="6"/>
      <c r="L106" s="6" t="s">
        <v>601</v>
      </c>
      <c r="M106" s="6"/>
      <c r="N106" s="6" t="s">
        <v>602</v>
      </c>
      <c r="O106" s="6" t="s">
        <v>603</v>
      </c>
    </row>
    <row r="107" spans="1:15" ht="115.2" x14ac:dyDescent="0.3">
      <c r="A107" t="s">
        <v>32</v>
      </c>
      <c r="B107" t="s">
        <v>199</v>
      </c>
      <c r="C107" t="s">
        <v>604</v>
      </c>
      <c r="D107" s="6" t="s">
        <v>605</v>
      </c>
      <c r="E107" t="s">
        <v>304</v>
      </c>
      <c r="F107" t="s">
        <v>71</v>
      </c>
      <c r="G107" t="s">
        <v>37</v>
      </c>
      <c r="H107" t="s">
        <v>38</v>
      </c>
      <c r="I107" s="6"/>
      <c r="J107" s="6"/>
      <c r="K107" t="s">
        <v>606</v>
      </c>
      <c r="L107" s="6" t="s">
        <v>607</v>
      </c>
      <c r="M107" s="6"/>
      <c r="N107" s="6" t="s">
        <v>608</v>
      </c>
      <c r="O107" s="6" t="s">
        <v>609</v>
      </c>
    </row>
    <row r="108" spans="1:15" ht="129.6" x14ac:dyDescent="0.3">
      <c r="A108" t="s">
        <v>32</v>
      </c>
      <c r="B108" t="s">
        <v>199</v>
      </c>
      <c r="C108" t="s">
        <v>610</v>
      </c>
      <c r="D108" s="6" t="s">
        <v>611</v>
      </c>
      <c r="E108" t="s">
        <v>513</v>
      </c>
      <c r="F108" t="s">
        <v>493</v>
      </c>
      <c r="G108" t="s">
        <v>72</v>
      </c>
      <c r="H108" t="s">
        <v>38</v>
      </c>
      <c r="I108" s="6"/>
      <c r="J108" s="6" t="s">
        <v>106</v>
      </c>
      <c r="K108" t="s">
        <v>494</v>
      </c>
      <c r="L108" s="6" t="s">
        <v>612</v>
      </c>
      <c r="M108" s="6" t="s">
        <v>613</v>
      </c>
      <c r="N108" s="6" t="s">
        <v>614</v>
      </c>
      <c r="O108" s="6" t="s">
        <v>615</v>
      </c>
    </row>
    <row r="109" spans="1:15" ht="86.4" x14ac:dyDescent="0.3">
      <c r="A109" t="s">
        <v>32</v>
      </c>
      <c r="B109" t="s">
        <v>199</v>
      </c>
      <c r="C109" t="s">
        <v>616</v>
      </c>
      <c r="D109" s="6" t="s">
        <v>617</v>
      </c>
      <c r="E109" t="s">
        <v>250</v>
      </c>
      <c r="F109" t="s">
        <v>378</v>
      </c>
      <c r="G109" t="s">
        <v>72</v>
      </c>
      <c r="H109" t="s">
        <v>38</v>
      </c>
      <c r="I109" s="6" t="s">
        <v>379</v>
      </c>
      <c r="J109" s="6" t="s">
        <v>106</v>
      </c>
      <c r="K109" t="s">
        <v>380</v>
      </c>
      <c r="L109" s="6" t="s">
        <v>618</v>
      </c>
      <c r="M109" s="6" t="s">
        <v>619</v>
      </c>
      <c r="N109" s="6" t="s">
        <v>620</v>
      </c>
      <c r="O109" s="6" t="s">
        <v>621</v>
      </c>
    </row>
    <row r="110" spans="1:15" ht="43.2" x14ac:dyDescent="0.3">
      <c r="A110" t="s">
        <v>32</v>
      </c>
      <c r="B110" t="s">
        <v>199</v>
      </c>
      <c r="C110" t="s">
        <v>622</v>
      </c>
      <c r="D110" s="6" t="s">
        <v>623</v>
      </c>
      <c r="E110" t="s">
        <v>624</v>
      </c>
      <c r="F110" t="s">
        <v>493</v>
      </c>
      <c r="G110" t="s">
        <v>72</v>
      </c>
      <c r="H110" t="s">
        <v>38</v>
      </c>
      <c r="I110" s="6"/>
      <c r="J110" s="6" t="s">
        <v>106</v>
      </c>
      <c r="K110" t="s">
        <v>494</v>
      </c>
      <c r="L110" s="6" t="s">
        <v>625</v>
      </c>
      <c r="M110" s="6" t="s">
        <v>626</v>
      </c>
      <c r="N110" s="6" t="s">
        <v>627</v>
      </c>
      <c r="O110" s="6" t="s">
        <v>628</v>
      </c>
    </row>
    <row r="111" spans="1:15" ht="43.2" x14ac:dyDescent="0.3">
      <c r="A111" t="s">
        <v>32</v>
      </c>
      <c r="B111" t="s">
        <v>629</v>
      </c>
      <c r="C111" t="s">
        <v>34</v>
      </c>
      <c r="D111" s="6" t="s">
        <v>630</v>
      </c>
      <c r="E111" t="s">
        <v>631</v>
      </c>
      <c r="F111" t="s">
        <v>35</v>
      </c>
      <c r="G111" t="s">
        <v>72</v>
      </c>
      <c r="H111" t="s">
        <v>38</v>
      </c>
      <c r="I111" s="6"/>
      <c r="J111" s="6" t="s">
        <v>106</v>
      </c>
      <c r="L111" s="6" t="s">
        <v>632</v>
      </c>
      <c r="M111" s="6"/>
      <c r="N111" s="6" t="s">
        <v>633</v>
      </c>
      <c r="O111" s="6" t="s">
        <v>634</v>
      </c>
    </row>
    <row r="112" spans="1:15" ht="144" x14ac:dyDescent="0.3">
      <c r="A112" t="s">
        <v>32</v>
      </c>
      <c r="B112" t="s">
        <v>629</v>
      </c>
      <c r="C112" t="s">
        <v>34</v>
      </c>
      <c r="D112" s="6" t="s">
        <v>635</v>
      </c>
      <c r="E112" t="s">
        <v>343</v>
      </c>
      <c r="F112" t="s">
        <v>71</v>
      </c>
      <c r="G112" t="s">
        <v>72</v>
      </c>
      <c r="H112" t="s">
        <v>38</v>
      </c>
      <c r="I112" s="6" t="s">
        <v>106</v>
      </c>
      <c r="J112" s="6" t="s">
        <v>106</v>
      </c>
      <c r="L112" s="6" t="s">
        <v>636</v>
      </c>
      <c r="M112" s="6"/>
      <c r="N112" s="6" t="s">
        <v>637</v>
      </c>
      <c r="O112" s="6" t="s">
        <v>638</v>
      </c>
    </row>
    <row r="113" spans="1:15" ht="144" x14ac:dyDescent="0.3">
      <c r="A113" t="s">
        <v>32</v>
      </c>
      <c r="B113" t="s">
        <v>629</v>
      </c>
      <c r="C113" t="s">
        <v>34</v>
      </c>
      <c r="D113" s="6" t="s">
        <v>639</v>
      </c>
      <c r="E113" t="s">
        <v>356</v>
      </c>
      <c r="F113" t="s">
        <v>71</v>
      </c>
      <c r="G113" t="s">
        <v>72</v>
      </c>
      <c r="H113" t="s">
        <v>38</v>
      </c>
      <c r="I113" s="6" t="s">
        <v>106</v>
      </c>
      <c r="J113" s="6" t="s">
        <v>106</v>
      </c>
      <c r="L113" s="6" t="s">
        <v>636</v>
      </c>
      <c r="M113" s="6"/>
      <c r="N113" s="6" t="s">
        <v>637</v>
      </c>
      <c r="O113" s="6" t="s">
        <v>638</v>
      </c>
    </row>
    <row r="114" spans="1:15" ht="144" x14ac:dyDescent="0.3">
      <c r="A114" t="s">
        <v>32</v>
      </c>
      <c r="B114" t="s">
        <v>629</v>
      </c>
      <c r="C114" t="s">
        <v>34</v>
      </c>
      <c r="D114" s="6" t="s">
        <v>640</v>
      </c>
      <c r="E114" t="s">
        <v>385</v>
      </c>
      <c r="F114" t="s">
        <v>71</v>
      </c>
      <c r="G114" t="s">
        <v>72</v>
      </c>
      <c r="H114" t="s">
        <v>38</v>
      </c>
      <c r="I114" s="6" t="s">
        <v>106</v>
      </c>
      <c r="J114" s="6" t="s">
        <v>106</v>
      </c>
      <c r="L114" s="6" t="s">
        <v>636</v>
      </c>
      <c r="M114" s="6"/>
      <c r="N114" s="6" t="s">
        <v>637</v>
      </c>
      <c r="O114" s="6" t="s">
        <v>638</v>
      </c>
    </row>
    <row r="115" spans="1:15" ht="43.2" x14ac:dyDescent="0.3">
      <c r="A115" t="s">
        <v>32</v>
      </c>
      <c r="B115" t="s">
        <v>629</v>
      </c>
      <c r="C115" t="s">
        <v>42</v>
      </c>
      <c r="D115" s="6" t="s">
        <v>641</v>
      </c>
      <c r="E115" t="s">
        <v>296</v>
      </c>
      <c r="F115" t="s">
        <v>35</v>
      </c>
      <c r="G115" t="s">
        <v>72</v>
      </c>
      <c r="H115" t="s">
        <v>38</v>
      </c>
      <c r="I115" s="6"/>
      <c r="J115" s="6"/>
      <c r="L115" s="6" t="s">
        <v>642</v>
      </c>
      <c r="M115" s="6"/>
      <c r="N115" s="6" t="s">
        <v>643</v>
      </c>
      <c r="O115" s="6" t="s">
        <v>644</v>
      </c>
    </row>
    <row r="116" spans="1:15" ht="172.8" x14ac:dyDescent="0.3">
      <c r="A116" t="s">
        <v>32</v>
      </c>
      <c r="B116" t="s">
        <v>629</v>
      </c>
      <c r="C116" t="s">
        <v>42</v>
      </c>
      <c r="D116" s="6" t="s">
        <v>645</v>
      </c>
      <c r="E116" t="s">
        <v>646</v>
      </c>
      <c r="F116" t="s">
        <v>71</v>
      </c>
      <c r="G116" t="s">
        <v>72</v>
      </c>
      <c r="H116" t="s">
        <v>38</v>
      </c>
      <c r="I116" s="6" t="s">
        <v>106</v>
      </c>
      <c r="J116" s="6" t="s">
        <v>106</v>
      </c>
      <c r="L116" s="6" t="s">
        <v>647</v>
      </c>
      <c r="M116" s="6"/>
      <c r="N116" s="6" t="s">
        <v>648</v>
      </c>
      <c r="O116" s="6" t="s">
        <v>649</v>
      </c>
    </row>
    <row r="117" spans="1:15" ht="172.8" x14ac:dyDescent="0.3">
      <c r="A117" t="s">
        <v>32</v>
      </c>
      <c r="B117" t="s">
        <v>629</v>
      </c>
      <c r="C117" t="s">
        <v>42</v>
      </c>
      <c r="D117" s="6" t="s">
        <v>650</v>
      </c>
      <c r="E117" t="s">
        <v>356</v>
      </c>
      <c r="F117" t="s">
        <v>71</v>
      </c>
      <c r="G117" t="s">
        <v>72</v>
      </c>
      <c r="H117" t="s">
        <v>38</v>
      </c>
      <c r="I117" s="6" t="s">
        <v>106</v>
      </c>
      <c r="J117" s="6" t="s">
        <v>106</v>
      </c>
      <c r="L117" s="6" t="s">
        <v>647</v>
      </c>
      <c r="M117" s="6"/>
      <c r="N117" s="6" t="s">
        <v>648</v>
      </c>
      <c r="O117" s="6" t="s">
        <v>649</v>
      </c>
    </row>
    <row r="118" spans="1:15" x14ac:dyDescent="0.3">
      <c r="A118" t="s">
        <v>32</v>
      </c>
      <c r="B118" t="s">
        <v>629</v>
      </c>
      <c r="C118" t="s">
        <v>44</v>
      </c>
      <c r="D118" s="6" t="s">
        <v>651</v>
      </c>
      <c r="E118" t="s">
        <v>652</v>
      </c>
      <c r="F118" t="s">
        <v>71</v>
      </c>
      <c r="G118" t="s">
        <v>87</v>
      </c>
      <c r="H118" t="s">
        <v>37</v>
      </c>
      <c r="I118" s="6"/>
      <c r="J118" s="6"/>
      <c r="L118" s="6"/>
      <c r="M118" s="6"/>
      <c r="N118" s="6"/>
      <c r="O118" s="6"/>
    </row>
    <row r="119" spans="1:15" ht="345.6" x14ac:dyDescent="0.3">
      <c r="A119" t="s">
        <v>32</v>
      </c>
      <c r="B119" t="s">
        <v>629</v>
      </c>
      <c r="C119" t="s">
        <v>55</v>
      </c>
      <c r="D119" s="6" t="s">
        <v>653</v>
      </c>
      <c r="E119" t="s">
        <v>323</v>
      </c>
      <c r="F119" t="s">
        <v>654</v>
      </c>
      <c r="G119" t="s">
        <v>72</v>
      </c>
      <c r="H119" t="s">
        <v>38</v>
      </c>
      <c r="I119" s="6"/>
      <c r="J119" s="6"/>
      <c r="K119" t="s">
        <v>655</v>
      </c>
      <c r="L119" s="6" t="s">
        <v>656</v>
      </c>
      <c r="M119" s="6"/>
      <c r="N119" s="6" t="s">
        <v>657</v>
      </c>
      <c r="O119" s="6" t="s">
        <v>658</v>
      </c>
    </row>
    <row r="120" spans="1:15" ht="158.4" x14ac:dyDescent="0.3">
      <c r="A120" t="s">
        <v>32</v>
      </c>
      <c r="B120" t="s">
        <v>629</v>
      </c>
      <c r="C120" t="s">
        <v>55</v>
      </c>
      <c r="D120" s="6" t="s">
        <v>659</v>
      </c>
      <c r="E120" t="s">
        <v>660</v>
      </c>
      <c r="F120" t="s">
        <v>71</v>
      </c>
      <c r="G120" t="s">
        <v>72</v>
      </c>
      <c r="H120" t="s">
        <v>38</v>
      </c>
      <c r="I120" s="6" t="s">
        <v>106</v>
      </c>
      <c r="J120" s="6" t="s">
        <v>106</v>
      </c>
      <c r="L120" s="6" t="s">
        <v>661</v>
      </c>
      <c r="M120" s="6"/>
      <c r="N120" s="6" t="s">
        <v>662</v>
      </c>
      <c r="O120" s="6" t="s">
        <v>663</v>
      </c>
    </row>
    <row r="121" spans="1:15" ht="158.4" x14ac:dyDescent="0.3">
      <c r="A121" t="s">
        <v>32</v>
      </c>
      <c r="B121" t="s">
        <v>629</v>
      </c>
      <c r="C121" t="s">
        <v>55</v>
      </c>
      <c r="D121" s="6" t="s">
        <v>664</v>
      </c>
      <c r="E121" t="s">
        <v>362</v>
      </c>
      <c r="F121" t="s">
        <v>71</v>
      </c>
      <c r="G121" t="s">
        <v>72</v>
      </c>
      <c r="H121" t="s">
        <v>38</v>
      </c>
      <c r="I121" s="6" t="s">
        <v>106</v>
      </c>
      <c r="J121" s="6" t="s">
        <v>106</v>
      </c>
      <c r="L121" s="6" t="s">
        <v>661</v>
      </c>
      <c r="M121" s="6"/>
      <c r="N121" s="6" t="s">
        <v>662</v>
      </c>
      <c r="O121" s="6" t="s">
        <v>663</v>
      </c>
    </row>
    <row r="122" spans="1:15" ht="409.6" x14ac:dyDescent="0.3">
      <c r="A122" t="s">
        <v>32</v>
      </c>
      <c r="B122" t="s">
        <v>629</v>
      </c>
      <c r="C122" t="s">
        <v>61</v>
      </c>
      <c r="D122" s="6" t="s">
        <v>665</v>
      </c>
      <c r="E122" t="s">
        <v>118</v>
      </c>
      <c r="F122" t="s">
        <v>71</v>
      </c>
      <c r="G122" t="s">
        <v>37</v>
      </c>
      <c r="H122" t="s">
        <v>38</v>
      </c>
      <c r="I122" s="6"/>
      <c r="J122" s="6"/>
      <c r="K122" t="s">
        <v>290</v>
      </c>
      <c r="L122" s="6" t="s">
        <v>666</v>
      </c>
      <c r="M122" s="6"/>
      <c r="N122" s="6" t="s">
        <v>667</v>
      </c>
      <c r="O122" s="6" t="s">
        <v>668</v>
      </c>
    </row>
    <row r="123" spans="1:15" ht="158.4" x14ac:dyDescent="0.3">
      <c r="A123" t="s">
        <v>32</v>
      </c>
      <c r="B123" t="s">
        <v>629</v>
      </c>
      <c r="C123" t="s">
        <v>97</v>
      </c>
      <c r="D123" s="6" t="s">
        <v>669</v>
      </c>
      <c r="E123" t="s">
        <v>337</v>
      </c>
      <c r="F123" t="s">
        <v>71</v>
      </c>
      <c r="G123" t="s">
        <v>37</v>
      </c>
      <c r="H123" t="s">
        <v>38</v>
      </c>
      <c r="I123" s="6"/>
      <c r="J123" s="6"/>
      <c r="K123" t="s">
        <v>670</v>
      </c>
      <c r="L123" s="6" t="s">
        <v>671</v>
      </c>
      <c r="M123" s="6"/>
      <c r="N123" s="6" t="s">
        <v>672</v>
      </c>
      <c r="O123" s="6" t="s">
        <v>673</v>
      </c>
    </row>
    <row r="124" spans="1:15" ht="57.6" x14ac:dyDescent="0.3">
      <c r="A124" t="s">
        <v>32</v>
      </c>
      <c r="B124" t="s">
        <v>629</v>
      </c>
      <c r="C124" t="s">
        <v>97</v>
      </c>
      <c r="D124" s="6" t="s">
        <v>674</v>
      </c>
      <c r="E124" t="s">
        <v>675</v>
      </c>
      <c r="F124" t="s">
        <v>71</v>
      </c>
      <c r="G124" t="s">
        <v>72</v>
      </c>
      <c r="H124" t="s">
        <v>38</v>
      </c>
      <c r="I124" s="6" t="s">
        <v>106</v>
      </c>
      <c r="J124" s="6" t="s">
        <v>106</v>
      </c>
      <c r="L124" s="6" t="s">
        <v>676</v>
      </c>
      <c r="M124" s="6"/>
      <c r="N124" s="6" t="s">
        <v>677</v>
      </c>
      <c r="O124" s="6" t="s">
        <v>678</v>
      </c>
    </row>
    <row r="125" spans="1:15" ht="57.6" x14ac:dyDescent="0.3">
      <c r="A125" t="s">
        <v>32</v>
      </c>
      <c r="B125" t="s">
        <v>629</v>
      </c>
      <c r="C125" t="s">
        <v>97</v>
      </c>
      <c r="D125" s="6" t="s">
        <v>664</v>
      </c>
      <c r="E125" t="s">
        <v>679</v>
      </c>
      <c r="F125" t="s">
        <v>71</v>
      </c>
      <c r="G125" t="s">
        <v>72</v>
      </c>
      <c r="H125" t="s">
        <v>38</v>
      </c>
      <c r="I125" s="6" t="s">
        <v>106</v>
      </c>
      <c r="J125" s="6" t="s">
        <v>106</v>
      </c>
      <c r="L125" s="6" t="s">
        <v>676</v>
      </c>
      <c r="M125" s="6"/>
      <c r="N125" s="6" t="s">
        <v>677</v>
      </c>
      <c r="O125" s="6" t="s">
        <v>678</v>
      </c>
    </row>
    <row r="126" spans="1:15" ht="72" x14ac:dyDescent="0.3">
      <c r="A126" t="s">
        <v>32</v>
      </c>
      <c r="B126" t="s">
        <v>629</v>
      </c>
      <c r="C126" t="s">
        <v>102</v>
      </c>
      <c r="D126" s="6" t="s">
        <v>680</v>
      </c>
      <c r="E126" t="s">
        <v>345</v>
      </c>
      <c r="F126" t="s">
        <v>71</v>
      </c>
      <c r="G126" t="s">
        <v>72</v>
      </c>
      <c r="H126" t="s">
        <v>38</v>
      </c>
      <c r="I126" s="6"/>
      <c r="J126" s="6"/>
      <c r="L126" s="6" t="s">
        <v>681</v>
      </c>
      <c r="M126" s="6"/>
      <c r="N126" s="6" t="s">
        <v>682</v>
      </c>
      <c r="O126" s="6" t="s">
        <v>683</v>
      </c>
    </row>
    <row r="127" spans="1:15" ht="57.6" x14ac:dyDescent="0.3">
      <c r="A127" t="s">
        <v>32</v>
      </c>
      <c r="B127" t="s">
        <v>629</v>
      </c>
      <c r="C127" t="s">
        <v>102</v>
      </c>
      <c r="D127" s="6" t="s">
        <v>684</v>
      </c>
      <c r="E127" t="s">
        <v>350</v>
      </c>
      <c r="F127" t="s">
        <v>71</v>
      </c>
      <c r="G127" t="s">
        <v>72</v>
      </c>
      <c r="H127" t="s">
        <v>38</v>
      </c>
      <c r="I127" s="6" t="s">
        <v>106</v>
      </c>
      <c r="J127" s="6" t="s">
        <v>106</v>
      </c>
      <c r="L127" s="6" t="s">
        <v>685</v>
      </c>
      <c r="M127" s="6"/>
      <c r="N127" s="6"/>
      <c r="O127" s="6" t="s">
        <v>686</v>
      </c>
    </row>
    <row r="128" spans="1:15" ht="129.6" x14ac:dyDescent="0.3">
      <c r="A128" t="s">
        <v>32</v>
      </c>
      <c r="B128" t="s">
        <v>629</v>
      </c>
      <c r="C128" t="s">
        <v>77</v>
      </c>
      <c r="D128" s="6" t="s">
        <v>687</v>
      </c>
      <c r="E128" t="s">
        <v>688</v>
      </c>
      <c r="F128" t="s">
        <v>71</v>
      </c>
      <c r="G128" t="s">
        <v>72</v>
      </c>
      <c r="H128" t="s">
        <v>38</v>
      </c>
      <c r="I128" s="6"/>
      <c r="J128" s="6"/>
      <c r="K128" t="s">
        <v>655</v>
      </c>
      <c r="L128" s="6" t="s">
        <v>689</v>
      </c>
      <c r="M128" s="6"/>
      <c r="N128" s="6" t="s">
        <v>690</v>
      </c>
      <c r="O128" s="6" t="s">
        <v>691</v>
      </c>
    </row>
    <row r="129" spans="1:15" ht="57.6" x14ac:dyDescent="0.3">
      <c r="A129" t="s">
        <v>32</v>
      </c>
      <c r="B129" t="s">
        <v>629</v>
      </c>
      <c r="C129" t="s">
        <v>77</v>
      </c>
      <c r="D129" s="6" t="s">
        <v>692</v>
      </c>
      <c r="E129" t="s">
        <v>693</v>
      </c>
      <c r="F129" t="s">
        <v>71</v>
      </c>
      <c r="G129" t="s">
        <v>72</v>
      </c>
      <c r="H129" t="s">
        <v>38</v>
      </c>
      <c r="I129" s="6" t="s">
        <v>106</v>
      </c>
      <c r="J129" s="6" t="s">
        <v>106</v>
      </c>
      <c r="L129" s="6" t="s">
        <v>694</v>
      </c>
      <c r="M129" s="6"/>
      <c r="N129" s="6"/>
      <c r="O129" s="6" t="s">
        <v>695</v>
      </c>
    </row>
    <row r="130" spans="1:15" ht="115.2" x14ac:dyDescent="0.3">
      <c r="A130" t="s">
        <v>32</v>
      </c>
      <c r="B130" t="s">
        <v>629</v>
      </c>
      <c r="C130" t="s">
        <v>118</v>
      </c>
      <c r="D130" s="6" t="s">
        <v>696</v>
      </c>
      <c r="E130" t="s">
        <v>250</v>
      </c>
      <c r="F130" t="s">
        <v>71</v>
      </c>
      <c r="G130" t="s">
        <v>72</v>
      </c>
      <c r="H130" t="s">
        <v>38</v>
      </c>
      <c r="I130" s="6"/>
      <c r="J130" s="6"/>
      <c r="K130" t="s">
        <v>655</v>
      </c>
      <c r="L130" s="6" t="s">
        <v>697</v>
      </c>
      <c r="M130" s="6"/>
      <c r="N130" s="6" t="s">
        <v>698</v>
      </c>
      <c r="O130" s="6" t="s">
        <v>699</v>
      </c>
    </row>
    <row r="131" spans="1:15" ht="144" x14ac:dyDescent="0.3">
      <c r="A131" t="s">
        <v>32</v>
      </c>
      <c r="B131" t="s">
        <v>629</v>
      </c>
      <c r="C131" t="s">
        <v>150</v>
      </c>
      <c r="D131" s="6" t="s">
        <v>700</v>
      </c>
      <c r="E131" t="s">
        <v>400</v>
      </c>
      <c r="F131" t="s">
        <v>71</v>
      </c>
      <c r="G131" t="s">
        <v>72</v>
      </c>
      <c r="H131" t="s">
        <v>38</v>
      </c>
      <c r="I131" s="6"/>
      <c r="J131" s="6"/>
      <c r="K131" t="s">
        <v>655</v>
      </c>
      <c r="L131" s="6" t="s">
        <v>701</v>
      </c>
      <c r="M131" s="6"/>
      <c r="N131" s="6" t="s">
        <v>702</v>
      </c>
      <c r="O131" s="6" t="s">
        <v>703</v>
      </c>
    </row>
    <row r="132" spans="1:15" ht="187.2" x14ac:dyDescent="0.3">
      <c r="A132" t="s">
        <v>32</v>
      </c>
      <c r="B132" t="s">
        <v>629</v>
      </c>
      <c r="C132" t="s">
        <v>125</v>
      </c>
      <c r="D132" s="6" t="s">
        <v>704</v>
      </c>
      <c r="E132" t="s">
        <v>252</v>
      </c>
      <c r="F132" t="s">
        <v>71</v>
      </c>
      <c r="G132" t="s">
        <v>37</v>
      </c>
      <c r="H132" t="s">
        <v>38</v>
      </c>
      <c r="I132" s="6"/>
      <c r="J132" s="6"/>
      <c r="L132" s="6" t="s">
        <v>705</v>
      </c>
      <c r="M132" s="6"/>
      <c r="N132" s="6" t="s">
        <v>706</v>
      </c>
      <c r="O132" s="6" t="s">
        <v>707</v>
      </c>
    </row>
    <row r="133" spans="1:15" ht="28.8" x14ac:dyDescent="0.3">
      <c r="A133" t="s">
        <v>32</v>
      </c>
      <c r="B133" t="s">
        <v>629</v>
      </c>
      <c r="C133" t="s">
        <v>248</v>
      </c>
      <c r="D133" s="6" t="s">
        <v>708</v>
      </c>
      <c r="E133" t="s">
        <v>42</v>
      </c>
      <c r="F133" t="s">
        <v>35</v>
      </c>
      <c r="G133" t="s">
        <v>37</v>
      </c>
      <c r="H133" t="s">
        <v>38</v>
      </c>
      <c r="I133" s="6"/>
      <c r="J133" s="6"/>
      <c r="L133" s="6" t="s">
        <v>709</v>
      </c>
      <c r="M133" s="6"/>
      <c r="N133" s="6"/>
      <c r="O133" s="6" t="s">
        <v>710</v>
      </c>
    </row>
    <row r="134" spans="1:15" ht="172.8" x14ac:dyDescent="0.3">
      <c r="A134" t="s">
        <v>32</v>
      </c>
      <c r="B134" t="s">
        <v>629</v>
      </c>
      <c r="C134" t="s">
        <v>248</v>
      </c>
      <c r="D134" s="6" t="s">
        <v>711</v>
      </c>
      <c r="E134" t="s">
        <v>413</v>
      </c>
      <c r="F134" t="s">
        <v>572</v>
      </c>
      <c r="G134" t="s">
        <v>90</v>
      </c>
      <c r="H134" t="s">
        <v>38</v>
      </c>
      <c r="I134" s="6"/>
      <c r="J134" s="6"/>
      <c r="K134" t="s">
        <v>712</v>
      </c>
      <c r="L134" s="6" t="s">
        <v>713</v>
      </c>
      <c r="M134" s="6"/>
      <c r="N134" s="6" t="s">
        <v>714</v>
      </c>
      <c r="O134" s="6" t="s">
        <v>715</v>
      </c>
    </row>
    <row r="135" spans="1:15" ht="201.6" x14ac:dyDescent="0.3">
      <c r="A135" t="s">
        <v>32</v>
      </c>
      <c r="B135" t="s">
        <v>629</v>
      </c>
      <c r="C135" t="s">
        <v>252</v>
      </c>
      <c r="D135" s="6" t="s">
        <v>716</v>
      </c>
      <c r="E135" t="s">
        <v>450</v>
      </c>
      <c r="F135" t="s">
        <v>71</v>
      </c>
      <c r="G135" t="s">
        <v>72</v>
      </c>
      <c r="H135" t="s">
        <v>38</v>
      </c>
      <c r="I135" s="6"/>
      <c r="J135" s="6"/>
      <c r="K135" t="s">
        <v>717</v>
      </c>
      <c r="L135" s="6" t="s">
        <v>718</v>
      </c>
      <c r="M135" s="6" t="s">
        <v>719</v>
      </c>
      <c r="N135" s="6" t="s">
        <v>720</v>
      </c>
      <c r="O135" s="6" t="s">
        <v>721</v>
      </c>
    </row>
    <row r="136" spans="1:15" ht="216" x14ac:dyDescent="0.3">
      <c r="A136" t="s">
        <v>32</v>
      </c>
      <c r="B136" t="s">
        <v>629</v>
      </c>
      <c r="C136" t="s">
        <v>258</v>
      </c>
      <c r="D136" s="6" t="s">
        <v>722</v>
      </c>
      <c r="E136" t="s">
        <v>263</v>
      </c>
      <c r="F136" t="s">
        <v>71</v>
      </c>
      <c r="G136" t="s">
        <v>72</v>
      </c>
      <c r="H136" t="s">
        <v>38</v>
      </c>
      <c r="I136" s="6"/>
      <c r="J136" s="6" t="s">
        <v>106</v>
      </c>
      <c r="K136" t="s">
        <v>712</v>
      </c>
      <c r="L136" s="6" t="s">
        <v>723</v>
      </c>
      <c r="M136" s="6" t="s">
        <v>724</v>
      </c>
      <c r="N136" s="6" t="s">
        <v>725</v>
      </c>
      <c r="O136" s="6" t="s">
        <v>726</v>
      </c>
    </row>
    <row r="137" spans="1:15" ht="331.2" x14ac:dyDescent="0.3">
      <c r="A137" t="s">
        <v>32</v>
      </c>
      <c r="B137" t="s">
        <v>629</v>
      </c>
      <c r="C137" t="s">
        <v>263</v>
      </c>
      <c r="D137" s="6" t="s">
        <v>727</v>
      </c>
      <c r="E137" t="s">
        <v>99</v>
      </c>
      <c r="F137" t="s">
        <v>71</v>
      </c>
      <c r="G137" t="s">
        <v>72</v>
      </c>
      <c r="H137" t="s">
        <v>38</v>
      </c>
      <c r="I137" s="6"/>
      <c r="J137" s="6"/>
      <c r="K137" t="s">
        <v>712</v>
      </c>
      <c r="L137" s="6" t="s">
        <v>728</v>
      </c>
      <c r="M137" s="6" t="s">
        <v>728</v>
      </c>
      <c r="N137" s="6" t="s">
        <v>729</v>
      </c>
      <c r="O137" s="6" t="s">
        <v>730</v>
      </c>
    </row>
    <row r="138" spans="1:15" ht="409.6" x14ac:dyDescent="0.3">
      <c r="A138" t="s">
        <v>32</v>
      </c>
      <c r="B138" t="s">
        <v>629</v>
      </c>
      <c r="C138" t="s">
        <v>513</v>
      </c>
      <c r="D138" s="6" t="s">
        <v>731</v>
      </c>
      <c r="E138" t="s">
        <v>513</v>
      </c>
      <c r="F138" t="s">
        <v>71</v>
      </c>
      <c r="G138" t="s">
        <v>72</v>
      </c>
      <c r="H138" t="s">
        <v>38</v>
      </c>
      <c r="I138" s="6"/>
      <c r="J138" s="6" t="s">
        <v>106</v>
      </c>
      <c r="K138" t="s">
        <v>712</v>
      </c>
      <c r="L138" s="6" t="s">
        <v>732</v>
      </c>
      <c r="M138" s="6" t="s">
        <v>733</v>
      </c>
      <c r="N138" s="6" t="s">
        <v>734</v>
      </c>
      <c r="O138" s="6" t="s">
        <v>735</v>
      </c>
    </row>
    <row r="139" spans="1:15" ht="302.39999999999998" x14ac:dyDescent="0.3">
      <c r="A139" t="s">
        <v>32</v>
      </c>
      <c r="B139" t="s">
        <v>629</v>
      </c>
      <c r="C139" t="s">
        <v>269</v>
      </c>
      <c r="D139" s="6" t="s">
        <v>736</v>
      </c>
      <c r="E139" t="s">
        <v>513</v>
      </c>
      <c r="F139" t="s">
        <v>298</v>
      </c>
      <c r="G139" t="s">
        <v>72</v>
      </c>
      <c r="H139" t="s">
        <v>38</v>
      </c>
      <c r="I139" s="6" t="s">
        <v>298</v>
      </c>
      <c r="J139" s="6"/>
      <c r="K139" t="s">
        <v>712</v>
      </c>
      <c r="L139" s="6" t="s">
        <v>737</v>
      </c>
      <c r="M139" s="6" t="s">
        <v>738</v>
      </c>
      <c r="N139" s="6" t="s">
        <v>739</v>
      </c>
      <c r="O139" s="6" t="s">
        <v>740</v>
      </c>
    </row>
    <row r="140" spans="1:15" ht="409.6" x14ac:dyDescent="0.3">
      <c r="A140" t="s">
        <v>32</v>
      </c>
      <c r="B140" t="s">
        <v>629</v>
      </c>
      <c r="C140" t="s">
        <v>276</v>
      </c>
      <c r="D140" s="6" t="s">
        <v>741</v>
      </c>
      <c r="E140" t="s">
        <v>624</v>
      </c>
      <c r="F140" t="s">
        <v>71</v>
      </c>
      <c r="G140" t="s">
        <v>72</v>
      </c>
      <c r="H140" t="s">
        <v>38</v>
      </c>
      <c r="I140" s="6"/>
      <c r="J140" s="6" t="s">
        <v>106</v>
      </c>
      <c r="K140" t="s">
        <v>712</v>
      </c>
      <c r="L140" s="6" t="s">
        <v>742</v>
      </c>
      <c r="M140" s="6" t="s">
        <v>743</v>
      </c>
      <c r="N140" s="6" t="s">
        <v>744</v>
      </c>
      <c r="O140" s="6" t="s">
        <v>745</v>
      </c>
    </row>
    <row r="141" spans="1:15" ht="172.8" x14ac:dyDescent="0.3">
      <c r="A141" t="s">
        <v>32</v>
      </c>
      <c r="B141" t="s">
        <v>629</v>
      </c>
      <c r="C141" t="s">
        <v>287</v>
      </c>
      <c r="D141" s="6" t="s">
        <v>746</v>
      </c>
      <c r="E141" t="s">
        <v>549</v>
      </c>
      <c r="F141" t="s">
        <v>71</v>
      </c>
      <c r="G141" t="s">
        <v>90</v>
      </c>
      <c r="H141" t="s">
        <v>38</v>
      </c>
      <c r="I141" s="6"/>
      <c r="J141" s="6"/>
      <c r="K141" t="s">
        <v>747</v>
      </c>
      <c r="L141" s="6" t="s">
        <v>748</v>
      </c>
      <c r="M141" s="6" t="s">
        <v>749</v>
      </c>
      <c r="N141" s="6" t="s">
        <v>750</v>
      </c>
      <c r="O141" s="6" t="s">
        <v>751</v>
      </c>
    </row>
    <row r="142" spans="1:15" ht="28.8" x14ac:dyDescent="0.3">
      <c r="A142" t="s">
        <v>32</v>
      </c>
      <c r="B142" t="s">
        <v>629</v>
      </c>
      <c r="C142" t="s">
        <v>569</v>
      </c>
      <c r="D142" s="6" t="s">
        <v>752</v>
      </c>
      <c r="E142" t="s">
        <v>276</v>
      </c>
      <c r="F142" t="s">
        <v>71</v>
      </c>
      <c r="G142" t="s">
        <v>87</v>
      </c>
      <c r="H142" t="s">
        <v>37</v>
      </c>
      <c r="I142" s="6"/>
      <c r="J142" s="6"/>
      <c r="L142" s="6"/>
      <c r="M142" s="6"/>
      <c r="N142" s="6"/>
      <c r="O142" s="6"/>
    </row>
    <row r="143" spans="1:15" ht="201.6" x14ac:dyDescent="0.3">
      <c r="A143" t="s">
        <v>32</v>
      </c>
      <c r="B143" t="s">
        <v>629</v>
      </c>
      <c r="C143" t="s">
        <v>294</v>
      </c>
      <c r="D143" s="6" t="s">
        <v>753</v>
      </c>
      <c r="E143" t="s">
        <v>276</v>
      </c>
      <c r="F143" t="s">
        <v>71</v>
      </c>
      <c r="G143" t="s">
        <v>72</v>
      </c>
      <c r="H143" t="s">
        <v>38</v>
      </c>
      <c r="I143" s="6"/>
      <c r="J143" s="6"/>
      <c r="K143" t="s">
        <v>747</v>
      </c>
      <c r="L143" s="6" t="s">
        <v>754</v>
      </c>
      <c r="M143" s="6"/>
      <c r="N143" s="6" t="s">
        <v>755</v>
      </c>
      <c r="O143" s="6" t="s">
        <v>756</v>
      </c>
    </row>
    <row r="144" spans="1:15" ht="216" x14ac:dyDescent="0.3">
      <c r="A144" t="s">
        <v>32</v>
      </c>
      <c r="B144" t="s">
        <v>629</v>
      </c>
      <c r="C144" t="s">
        <v>304</v>
      </c>
      <c r="D144" s="6" t="s">
        <v>757</v>
      </c>
      <c r="E144" t="s">
        <v>193</v>
      </c>
      <c r="F144" t="s">
        <v>71</v>
      </c>
      <c r="G144" t="s">
        <v>72</v>
      </c>
      <c r="H144" t="s">
        <v>38</v>
      </c>
      <c r="I144" s="6"/>
      <c r="J144" s="6"/>
      <c r="K144" t="s">
        <v>758</v>
      </c>
      <c r="L144" s="6" t="s">
        <v>759</v>
      </c>
      <c r="M144" s="6"/>
      <c r="N144" s="6" t="s">
        <v>760</v>
      </c>
      <c r="O144" s="6" t="s">
        <v>761</v>
      </c>
    </row>
    <row r="145" spans="1:15" ht="273.60000000000002" x14ac:dyDescent="0.3">
      <c r="A145" t="s">
        <v>32</v>
      </c>
      <c r="B145" t="s">
        <v>629</v>
      </c>
      <c r="C145" t="s">
        <v>127</v>
      </c>
      <c r="D145" s="6" t="s">
        <v>762</v>
      </c>
      <c r="E145" t="s">
        <v>287</v>
      </c>
      <c r="F145" t="s">
        <v>71</v>
      </c>
      <c r="G145" t="s">
        <v>72</v>
      </c>
      <c r="H145" t="s">
        <v>38</v>
      </c>
      <c r="I145" s="6"/>
      <c r="J145" s="6"/>
      <c r="L145" s="6" t="s">
        <v>763</v>
      </c>
      <c r="M145" s="6"/>
      <c r="N145" s="6" t="s">
        <v>764</v>
      </c>
      <c r="O145" s="6" t="s">
        <v>765</v>
      </c>
    </row>
    <row r="146" spans="1:15" ht="72" x14ac:dyDescent="0.3">
      <c r="A146" t="s">
        <v>32</v>
      </c>
      <c r="B146" t="s">
        <v>629</v>
      </c>
      <c r="C146" t="s">
        <v>227</v>
      </c>
      <c r="D146" s="6" t="s">
        <v>766</v>
      </c>
      <c r="E146" t="s">
        <v>287</v>
      </c>
      <c r="F146" t="s">
        <v>71</v>
      </c>
      <c r="G146" t="s">
        <v>72</v>
      </c>
      <c r="H146" t="s">
        <v>38</v>
      </c>
      <c r="I146" s="6"/>
      <c r="J146" s="6"/>
      <c r="K146" t="s">
        <v>767</v>
      </c>
      <c r="L146" s="6" t="s">
        <v>768</v>
      </c>
      <c r="M146" s="6"/>
      <c r="N146" s="6" t="s">
        <v>769</v>
      </c>
      <c r="O146" s="6" t="s">
        <v>770</v>
      </c>
    </row>
    <row r="147" spans="1:15" ht="409.6" x14ac:dyDescent="0.3">
      <c r="A147" t="s">
        <v>32</v>
      </c>
      <c r="B147" t="s">
        <v>629</v>
      </c>
      <c r="C147" t="s">
        <v>321</v>
      </c>
      <c r="D147" s="6" t="s">
        <v>771</v>
      </c>
      <c r="E147" t="s">
        <v>112</v>
      </c>
      <c r="F147" t="s">
        <v>71</v>
      </c>
      <c r="G147" t="s">
        <v>72</v>
      </c>
      <c r="H147" t="s">
        <v>38</v>
      </c>
      <c r="I147" s="6"/>
      <c r="J147" s="6"/>
      <c r="K147" t="s">
        <v>747</v>
      </c>
      <c r="L147" s="6" t="s">
        <v>772</v>
      </c>
      <c r="M147" s="6"/>
      <c r="N147" s="6" t="s">
        <v>773</v>
      </c>
      <c r="O147" s="6" t="s">
        <v>774</v>
      </c>
    </row>
    <row r="148" spans="1:15" ht="409.6" x14ac:dyDescent="0.3">
      <c r="A148" t="s">
        <v>32</v>
      </c>
      <c r="B148" t="s">
        <v>629</v>
      </c>
      <c r="C148" t="s">
        <v>775</v>
      </c>
      <c r="D148" s="6" t="s">
        <v>776</v>
      </c>
      <c r="E148" t="s">
        <v>579</v>
      </c>
      <c r="F148" t="s">
        <v>71</v>
      </c>
      <c r="G148" t="s">
        <v>72</v>
      </c>
      <c r="H148" t="s">
        <v>38</v>
      </c>
      <c r="I148" s="6"/>
      <c r="J148" s="6"/>
      <c r="L148" s="6" t="s">
        <v>777</v>
      </c>
      <c r="M148" s="6"/>
      <c r="N148" s="6" t="s">
        <v>778</v>
      </c>
      <c r="O148" s="6" t="s">
        <v>779</v>
      </c>
    </row>
    <row r="149" spans="1:15" ht="259.2" x14ac:dyDescent="0.3">
      <c r="A149" t="s">
        <v>32</v>
      </c>
      <c r="B149" t="s">
        <v>629</v>
      </c>
      <c r="C149" t="s">
        <v>329</v>
      </c>
      <c r="D149" s="6" t="s">
        <v>780</v>
      </c>
      <c r="E149" t="s">
        <v>153</v>
      </c>
      <c r="F149" t="s">
        <v>71</v>
      </c>
      <c r="G149" t="s">
        <v>72</v>
      </c>
      <c r="H149" t="s">
        <v>38</v>
      </c>
      <c r="I149" s="6"/>
      <c r="J149" s="6"/>
      <c r="L149" s="6" t="s">
        <v>781</v>
      </c>
      <c r="M149" s="6"/>
      <c r="N149" s="6" t="s">
        <v>782</v>
      </c>
      <c r="O149" s="6" t="s">
        <v>783</v>
      </c>
    </row>
    <row r="150" spans="1:15" ht="172.8" x14ac:dyDescent="0.3">
      <c r="A150" t="s">
        <v>32</v>
      </c>
      <c r="B150" t="s">
        <v>629</v>
      </c>
      <c r="C150" t="s">
        <v>335</v>
      </c>
      <c r="D150" s="6" t="s">
        <v>784</v>
      </c>
      <c r="E150" t="s">
        <v>304</v>
      </c>
      <c r="F150" t="s">
        <v>71</v>
      </c>
      <c r="G150" t="s">
        <v>72</v>
      </c>
      <c r="H150" t="s">
        <v>38</v>
      </c>
      <c r="I150" s="6"/>
      <c r="J150" s="6"/>
      <c r="L150" s="6" t="s">
        <v>785</v>
      </c>
      <c r="M150" s="6"/>
      <c r="N150" s="6" t="s">
        <v>786</v>
      </c>
      <c r="O150" s="6" t="s">
        <v>787</v>
      </c>
    </row>
    <row r="151" spans="1:15" ht="115.2" x14ac:dyDescent="0.3">
      <c r="A151" t="s">
        <v>32</v>
      </c>
      <c r="B151" t="s">
        <v>629</v>
      </c>
      <c r="C151" t="s">
        <v>343</v>
      </c>
      <c r="D151" s="6" t="s">
        <v>788</v>
      </c>
      <c r="E151" t="s">
        <v>304</v>
      </c>
      <c r="F151" t="s">
        <v>71</v>
      </c>
      <c r="G151" t="s">
        <v>72</v>
      </c>
      <c r="H151" t="s">
        <v>38</v>
      </c>
      <c r="I151" s="6"/>
      <c r="J151" s="6"/>
      <c r="L151" s="6" t="s">
        <v>789</v>
      </c>
      <c r="M151" s="6"/>
      <c r="N151" s="6" t="s">
        <v>790</v>
      </c>
      <c r="O151" s="6" t="s">
        <v>791</v>
      </c>
    </row>
    <row r="152" spans="1:15" x14ac:dyDescent="0.3">
      <c r="A152" t="s">
        <v>32</v>
      </c>
      <c r="B152" t="s">
        <v>629</v>
      </c>
      <c r="C152" t="s">
        <v>343</v>
      </c>
      <c r="D152" s="6" t="s">
        <v>792</v>
      </c>
      <c r="E152" t="s">
        <v>368</v>
      </c>
      <c r="F152" t="s">
        <v>71</v>
      </c>
      <c r="G152" t="s">
        <v>87</v>
      </c>
      <c r="H152" t="s">
        <v>37</v>
      </c>
      <c r="I152" s="6"/>
      <c r="J152" s="6"/>
      <c r="L152" s="6"/>
      <c r="M152" s="6"/>
      <c r="N152" s="6"/>
      <c r="O152" s="6"/>
    </row>
    <row r="153" spans="1:15" ht="172.8" x14ac:dyDescent="0.3">
      <c r="A153" t="s">
        <v>32</v>
      </c>
      <c r="B153" t="s">
        <v>629</v>
      </c>
      <c r="C153" t="s">
        <v>660</v>
      </c>
      <c r="D153" s="6" t="s">
        <v>793</v>
      </c>
      <c r="E153" t="s">
        <v>304</v>
      </c>
      <c r="F153" t="s">
        <v>71</v>
      </c>
      <c r="G153" t="s">
        <v>72</v>
      </c>
      <c r="H153" t="s">
        <v>38</v>
      </c>
      <c r="I153" s="6"/>
      <c r="J153" s="6"/>
      <c r="L153" s="6" t="s">
        <v>794</v>
      </c>
      <c r="M153" s="6"/>
      <c r="N153" s="6" t="s">
        <v>795</v>
      </c>
      <c r="O153" s="6" t="s">
        <v>796</v>
      </c>
    </row>
    <row r="154" spans="1:15" ht="259.2" x14ac:dyDescent="0.3">
      <c r="A154" t="s">
        <v>32</v>
      </c>
      <c r="B154" t="s">
        <v>629</v>
      </c>
      <c r="C154" t="s">
        <v>660</v>
      </c>
      <c r="D154" s="6" t="s">
        <v>797</v>
      </c>
      <c r="E154" t="s">
        <v>798</v>
      </c>
      <c r="F154" t="s">
        <v>71</v>
      </c>
      <c r="G154" t="s">
        <v>72</v>
      </c>
      <c r="H154" t="s">
        <v>38</v>
      </c>
      <c r="I154" s="6" t="s">
        <v>106</v>
      </c>
      <c r="J154" s="6" t="s">
        <v>106</v>
      </c>
      <c r="L154" s="6" t="s">
        <v>799</v>
      </c>
      <c r="M154" s="6"/>
      <c r="N154" s="6" t="s">
        <v>800</v>
      </c>
      <c r="O154" s="6" t="s">
        <v>801</v>
      </c>
    </row>
    <row r="155" spans="1:15" ht="316.8" x14ac:dyDescent="0.3">
      <c r="A155" t="s">
        <v>32</v>
      </c>
      <c r="B155" t="s">
        <v>629</v>
      </c>
      <c r="C155" t="s">
        <v>350</v>
      </c>
      <c r="D155" s="6" t="s">
        <v>802</v>
      </c>
      <c r="E155" t="s">
        <v>44</v>
      </c>
      <c r="F155" t="s">
        <v>654</v>
      </c>
      <c r="G155" t="s">
        <v>72</v>
      </c>
      <c r="H155" t="s">
        <v>803</v>
      </c>
      <c r="I155" s="6"/>
      <c r="J155" s="6"/>
      <c r="K155" t="s">
        <v>804</v>
      </c>
      <c r="L155" s="6" t="s">
        <v>805</v>
      </c>
      <c r="M155" s="6"/>
      <c r="N155" s="6" t="s">
        <v>806</v>
      </c>
      <c r="O155" s="6" t="s">
        <v>807</v>
      </c>
    </row>
    <row r="156" spans="1:15" ht="158.4" x14ac:dyDescent="0.3">
      <c r="A156" t="s">
        <v>32</v>
      </c>
      <c r="B156" t="s">
        <v>629</v>
      </c>
      <c r="C156" t="s">
        <v>350</v>
      </c>
      <c r="D156" s="6" t="s">
        <v>808</v>
      </c>
      <c r="E156" t="s">
        <v>304</v>
      </c>
      <c r="F156" t="s">
        <v>71</v>
      </c>
      <c r="G156" t="s">
        <v>72</v>
      </c>
      <c r="H156" t="s">
        <v>38</v>
      </c>
      <c r="I156" s="6"/>
      <c r="J156" s="6"/>
      <c r="K156" t="s">
        <v>655</v>
      </c>
      <c r="L156" s="6" t="s">
        <v>809</v>
      </c>
      <c r="M156" s="6"/>
      <c r="N156" s="6" t="s">
        <v>810</v>
      </c>
      <c r="O156" s="6" t="s">
        <v>811</v>
      </c>
    </row>
    <row r="157" spans="1:15" ht="144" x14ac:dyDescent="0.3">
      <c r="A157" t="s">
        <v>32</v>
      </c>
      <c r="B157" t="s">
        <v>629</v>
      </c>
      <c r="C157" t="s">
        <v>356</v>
      </c>
      <c r="D157" s="6" t="s">
        <v>812</v>
      </c>
      <c r="E157" t="s">
        <v>283</v>
      </c>
      <c r="F157" t="s">
        <v>493</v>
      </c>
      <c r="G157" t="s">
        <v>72</v>
      </c>
      <c r="H157" t="s">
        <v>38</v>
      </c>
      <c r="I157" s="6"/>
      <c r="J157" s="6" t="s">
        <v>106</v>
      </c>
      <c r="K157" t="s">
        <v>655</v>
      </c>
      <c r="L157" s="6" t="s">
        <v>813</v>
      </c>
      <c r="M157" s="6" t="s">
        <v>814</v>
      </c>
      <c r="N157" s="6" t="s">
        <v>815</v>
      </c>
      <c r="O157" s="6" t="s">
        <v>816</v>
      </c>
    </row>
    <row r="158" spans="1:15" ht="144" x14ac:dyDescent="0.3">
      <c r="A158" t="s">
        <v>32</v>
      </c>
      <c r="B158" t="s">
        <v>629</v>
      </c>
      <c r="C158" t="s">
        <v>362</v>
      </c>
      <c r="D158" s="6" t="s">
        <v>817</v>
      </c>
      <c r="E158" t="s">
        <v>818</v>
      </c>
      <c r="F158" t="s">
        <v>493</v>
      </c>
      <c r="G158" t="s">
        <v>72</v>
      </c>
      <c r="H158" t="s">
        <v>38</v>
      </c>
      <c r="I158" s="6"/>
      <c r="J158" s="6"/>
      <c r="K158" t="s">
        <v>655</v>
      </c>
      <c r="L158" s="6" t="s">
        <v>819</v>
      </c>
      <c r="M158" s="6" t="s">
        <v>820</v>
      </c>
      <c r="N158" s="6" t="s">
        <v>821</v>
      </c>
      <c r="O158" s="6" t="s">
        <v>822</v>
      </c>
    </row>
    <row r="159" spans="1:15" ht="72" x14ac:dyDescent="0.3">
      <c r="A159" t="s">
        <v>32</v>
      </c>
      <c r="B159" t="s">
        <v>629</v>
      </c>
      <c r="C159" t="s">
        <v>368</v>
      </c>
      <c r="D159" s="6" t="s">
        <v>823</v>
      </c>
      <c r="E159" t="s">
        <v>227</v>
      </c>
      <c r="F159" t="s">
        <v>71</v>
      </c>
      <c r="G159" t="s">
        <v>72</v>
      </c>
      <c r="H159" t="s">
        <v>38</v>
      </c>
      <c r="I159" s="6"/>
      <c r="J159" s="6"/>
      <c r="K159" t="s">
        <v>290</v>
      </c>
      <c r="L159" s="6" t="s">
        <v>824</v>
      </c>
      <c r="M159" s="6" t="s">
        <v>825</v>
      </c>
      <c r="N159" s="6" t="s">
        <v>826</v>
      </c>
      <c r="O159" s="6" t="s">
        <v>827</v>
      </c>
    </row>
    <row r="160" spans="1:15" ht="72" x14ac:dyDescent="0.3">
      <c r="A160" t="s">
        <v>32</v>
      </c>
      <c r="B160" t="s">
        <v>629</v>
      </c>
      <c r="C160" t="s">
        <v>368</v>
      </c>
      <c r="D160" s="6" t="s">
        <v>828</v>
      </c>
      <c r="E160" t="s">
        <v>829</v>
      </c>
      <c r="F160" t="s">
        <v>572</v>
      </c>
      <c r="G160" t="s">
        <v>72</v>
      </c>
      <c r="H160" t="s">
        <v>38</v>
      </c>
      <c r="I160" s="6"/>
      <c r="J160" s="6" t="s">
        <v>106</v>
      </c>
      <c r="L160" s="6" t="s">
        <v>830</v>
      </c>
      <c r="M160" s="6" t="s">
        <v>831</v>
      </c>
      <c r="N160" s="6" t="s">
        <v>832</v>
      </c>
      <c r="O160" s="6" t="s">
        <v>833</v>
      </c>
    </row>
    <row r="161" spans="1:15" ht="129.6" x14ac:dyDescent="0.3">
      <c r="A161" t="s">
        <v>32</v>
      </c>
      <c r="B161" t="s">
        <v>629</v>
      </c>
      <c r="C161" t="s">
        <v>376</v>
      </c>
      <c r="D161" s="6" t="s">
        <v>834</v>
      </c>
      <c r="E161" t="s">
        <v>227</v>
      </c>
      <c r="F161" t="s">
        <v>71</v>
      </c>
      <c r="G161" t="s">
        <v>72</v>
      </c>
      <c r="H161" t="s">
        <v>38</v>
      </c>
      <c r="I161" s="6"/>
      <c r="J161" s="6"/>
      <c r="L161" s="6" t="s">
        <v>835</v>
      </c>
      <c r="M161" s="6" t="s">
        <v>836</v>
      </c>
      <c r="N161" s="6" t="s">
        <v>837</v>
      </c>
      <c r="O161" s="6" t="s">
        <v>838</v>
      </c>
    </row>
    <row r="162" spans="1:15" ht="57.6" x14ac:dyDescent="0.3">
      <c r="A162" t="s">
        <v>32</v>
      </c>
      <c r="B162" t="s">
        <v>629</v>
      </c>
      <c r="C162" t="s">
        <v>385</v>
      </c>
      <c r="D162" s="6" t="s">
        <v>839</v>
      </c>
      <c r="E162" t="s">
        <v>840</v>
      </c>
      <c r="F162" t="s">
        <v>493</v>
      </c>
      <c r="G162" t="s">
        <v>72</v>
      </c>
      <c r="H162" t="s">
        <v>38</v>
      </c>
      <c r="I162" s="6"/>
      <c r="J162" s="6" t="s">
        <v>106</v>
      </c>
      <c r="K162" t="s">
        <v>841</v>
      </c>
      <c r="L162" s="6" t="s">
        <v>842</v>
      </c>
      <c r="M162" s="6" t="s">
        <v>842</v>
      </c>
      <c r="N162" s="6" t="s">
        <v>843</v>
      </c>
      <c r="O162" s="6" t="s">
        <v>844</v>
      </c>
    </row>
    <row r="163" spans="1:15" ht="288" x14ac:dyDescent="0.3">
      <c r="A163" t="s">
        <v>32</v>
      </c>
      <c r="B163" t="s">
        <v>629</v>
      </c>
      <c r="C163" t="s">
        <v>392</v>
      </c>
      <c r="D163" s="6" t="s">
        <v>845</v>
      </c>
      <c r="E163" t="s">
        <v>321</v>
      </c>
      <c r="F163" t="s">
        <v>493</v>
      </c>
      <c r="G163" t="s">
        <v>72</v>
      </c>
      <c r="H163" t="s">
        <v>38</v>
      </c>
      <c r="I163" s="6"/>
      <c r="J163" s="6"/>
      <c r="K163" t="s">
        <v>655</v>
      </c>
      <c r="L163" s="6" t="s">
        <v>846</v>
      </c>
      <c r="M163" s="6" t="s">
        <v>847</v>
      </c>
      <c r="N163" s="6" t="s">
        <v>848</v>
      </c>
      <c r="O163" s="6" t="s">
        <v>849</v>
      </c>
    </row>
    <row r="164" spans="1:15" ht="86.4" x14ac:dyDescent="0.3">
      <c r="A164" t="s">
        <v>32</v>
      </c>
      <c r="B164" t="s">
        <v>629</v>
      </c>
      <c r="C164" t="s">
        <v>850</v>
      </c>
      <c r="D164" s="6" t="s">
        <v>851</v>
      </c>
      <c r="E164" t="s">
        <v>321</v>
      </c>
      <c r="F164" t="s">
        <v>493</v>
      </c>
      <c r="G164" t="s">
        <v>72</v>
      </c>
      <c r="H164" t="s">
        <v>38</v>
      </c>
      <c r="I164" s="6"/>
      <c r="J164" s="6"/>
      <c r="K164" t="s">
        <v>852</v>
      </c>
      <c r="L164" s="6" t="s">
        <v>853</v>
      </c>
      <c r="M164" s="6" t="s">
        <v>854</v>
      </c>
      <c r="N164" s="6" t="s">
        <v>855</v>
      </c>
      <c r="O164" s="6" t="s">
        <v>856</v>
      </c>
    </row>
    <row r="165" spans="1:15" ht="158.4" x14ac:dyDescent="0.3">
      <c r="A165" t="s">
        <v>32</v>
      </c>
      <c r="B165" t="s">
        <v>629</v>
      </c>
      <c r="C165" t="s">
        <v>398</v>
      </c>
      <c r="D165" s="6" t="s">
        <v>857</v>
      </c>
      <c r="E165" t="s">
        <v>321</v>
      </c>
      <c r="F165" t="s">
        <v>493</v>
      </c>
      <c r="G165" t="s">
        <v>72</v>
      </c>
      <c r="H165" t="s">
        <v>38</v>
      </c>
      <c r="I165" s="6"/>
      <c r="J165" s="6"/>
      <c r="L165" s="6" t="s">
        <v>858</v>
      </c>
      <c r="M165" s="6" t="s">
        <v>859</v>
      </c>
      <c r="N165" s="6" t="s">
        <v>860</v>
      </c>
      <c r="O165" s="6" t="s">
        <v>861</v>
      </c>
    </row>
    <row r="166" spans="1:15" ht="86.4" x14ac:dyDescent="0.3">
      <c r="A166" t="s">
        <v>32</v>
      </c>
      <c r="B166" t="s">
        <v>629</v>
      </c>
      <c r="C166" t="s">
        <v>405</v>
      </c>
      <c r="D166" s="6" t="s">
        <v>862</v>
      </c>
      <c r="E166" t="s">
        <v>863</v>
      </c>
      <c r="F166" t="s">
        <v>71</v>
      </c>
      <c r="G166" t="s">
        <v>72</v>
      </c>
      <c r="H166" t="s">
        <v>38</v>
      </c>
      <c r="I166" s="6"/>
      <c r="J166" s="6" t="s">
        <v>106</v>
      </c>
      <c r="K166" t="s">
        <v>290</v>
      </c>
      <c r="L166" s="6" t="s">
        <v>864</v>
      </c>
      <c r="M166" s="6" t="s">
        <v>865</v>
      </c>
      <c r="N166" s="6" t="s">
        <v>866</v>
      </c>
      <c r="O166" s="6" t="s">
        <v>867</v>
      </c>
    </row>
    <row r="167" spans="1:15" ht="72" x14ac:dyDescent="0.3">
      <c r="A167" t="s">
        <v>32</v>
      </c>
      <c r="B167" t="s">
        <v>629</v>
      </c>
      <c r="C167" t="s">
        <v>411</v>
      </c>
      <c r="D167" s="6" t="s">
        <v>868</v>
      </c>
      <c r="E167" t="s">
        <v>775</v>
      </c>
      <c r="F167" t="s">
        <v>64</v>
      </c>
      <c r="G167" t="s">
        <v>72</v>
      </c>
      <c r="H167" t="s">
        <v>38</v>
      </c>
      <c r="I167" s="6" t="s">
        <v>64</v>
      </c>
      <c r="J167" s="6"/>
      <c r="K167" t="s">
        <v>655</v>
      </c>
      <c r="L167" s="6" t="s">
        <v>869</v>
      </c>
      <c r="M167" s="6" t="s">
        <v>870</v>
      </c>
      <c r="N167" s="6" t="s">
        <v>871</v>
      </c>
      <c r="O167" s="6" t="s">
        <v>872</v>
      </c>
    </row>
    <row r="168" spans="1:15" ht="158.4" x14ac:dyDescent="0.3">
      <c r="A168" t="s">
        <v>32</v>
      </c>
      <c r="B168" t="s">
        <v>629</v>
      </c>
      <c r="C168" t="s">
        <v>418</v>
      </c>
      <c r="D168" s="6" t="s">
        <v>873</v>
      </c>
      <c r="E168" t="s">
        <v>775</v>
      </c>
      <c r="F168" t="s">
        <v>71</v>
      </c>
      <c r="G168" t="s">
        <v>72</v>
      </c>
      <c r="H168" t="s">
        <v>38</v>
      </c>
      <c r="I168" s="6"/>
      <c r="J168" s="6" t="s">
        <v>106</v>
      </c>
      <c r="K168" t="s">
        <v>290</v>
      </c>
      <c r="L168" s="6" t="s">
        <v>874</v>
      </c>
      <c r="M168" s="6" t="s">
        <v>875</v>
      </c>
      <c r="N168" s="6" t="s">
        <v>876</v>
      </c>
      <c r="O168" s="6" t="s">
        <v>877</v>
      </c>
    </row>
    <row r="169" spans="1:15" ht="201.6" x14ac:dyDescent="0.3">
      <c r="A169" t="s">
        <v>32</v>
      </c>
      <c r="B169" t="s">
        <v>629</v>
      </c>
      <c r="C169" t="s">
        <v>424</v>
      </c>
      <c r="D169" s="6" t="s">
        <v>878</v>
      </c>
      <c r="E169" t="s">
        <v>879</v>
      </c>
      <c r="F169" t="s">
        <v>572</v>
      </c>
      <c r="G169" t="s">
        <v>72</v>
      </c>
      <c r="H169" t="s">
        <v>38</v>
      </c>
      <c r="I169" s="6"/>
      <c r="J169" s="6"/>
      <c r="K169" t="s">
        <v>655</v>
      </c>
      <c r="L169" s="6" t="s">
        <v>880</v>
      </c>
      <c r="M169" s="6" t="s">
        <v>880</v>
      </c>
      <c r="N169" s="6" t="s">
        <v>881</v>
      </c>
      <c r="O169" s="6" t="s">
        <v>882</v>
      </c>
    </row>
    <row r="170" spans="1:15" ht="57.6" x14ac:dyDescent="0.3">
      <c r="A170" t="s">
        <v>32</v>
      </c>
      <c r="B170" t="s">
        <v>629</v>
      </c>
      <c r="C170" t="s">
        <v>436</v>
      </c>
      <c r="D170" s="6" t="s">
        <v>883</v>
      </c>
      <c r="E170" t="s">
        <v>884</v>
      </c>
      <c r="F170" t="s">
        <v>71</v>
      </c>
      <c r="G170" t="s">
        <v>161</v>
      </c>
      <c r="H170" t="s">
        <v>38</v>
      </c>
      <c r="I170" s="6"/>
      <c r="J170" s="6"/>
      <c r="L170" s="6" t="s">
        <v>885</v>
      </c>
      <c r="M170" s="6"/>
      <c r="N170" s="6"/>
      <c r="O170" s="6" t="s">
        <v>886</v>
      </c>
    </row>
    <row r="171" spans="1:15" ht="259.2" x14ac:dyDescent="0.3">
      <c r="A171" t="s">
        <v>32</v>
      </c>
      <c r="B171" t="s">
        <v>629</v>
      </c>
      <c r="C171" t="s">
        <v>887</v>
      </c>
      <c r="D171" s="6" t="s">
        <v>797</v>
      </c>
      <c r="E171" t="s">
        <v>888</v>
      </c>
      <c r="F171" t="s">
        <v>71</v>
      </c>
      <c r="G171" t="s">
        <v>72</v>
      </c>
      <c r="H171" t="s">
        <v>38</v>
      </c>
      <c r="I171" s="6" t="s">
        <v>106</v>
      </c>
      <c r="J171" s="6" t="s">
        <v>106</v>
      </c>
      <c r="L171" s="6" t="s">
        <v>799</v>
      </c>
      <c r="M171" s="6"/>
      <c r="N171" s="6" t="s">
        <v>889</v>
      </c>
      <c r="O171" s="6" t="s">
        <v>890</v>
      </c>
    </row>
    <row r="172" spans="1:15" ht="43.2" x14ac:dyDescent="0.3">
      <c r="A172" t="s">
        <v>32</v>
      </c>
      <c r="B172" t="s">
        <v>629</v>
      </c>
      <c r="C172" t="s">
        <v>891</v>
      </c>
      <c r="D172" s="6" t="s">
        <v>892</v>
      </c>
      <c r="E172" t="s">
        <v>102</v>
      </c>
      <c r="F172" t="s">
        <v>654</v>
      </c>
      <c r="G172" t="s">
        <v>37</v>
      </c>
      <c r="H172" t="s">
        <v>38</v>
      </c>
      <c r="I172" s="6"/>
      <c r="J172" s="6"/>
      <c r="L172" s="6" t="s">
        <v>893</v>
      </c>
      <c r="M172" s="6"/>
      <c r="N172" s="6" t="s">
        <v>894</v>
      </c>
      <c r="O172" s="6" t="s">
        <v>895</v>
      </c>
    </row>
    <row r="173" spans="1:15" ht="43.2" x14ac:dyDescent="0.3">
      <c r="A173" t="s">
        <v>32</v>
      </c>
      <c r="B173" t="s">
        <v>896</v>
      </c>
      <c r="C173" t="s">
        <v>44</v>
      </c>
      <c r="D173" s="6" t="s">
        <v>897</v>
      </c>
      <c r="E173" t="s">
        <v>164</v>
      </c>
      <c r="F173" t="s">
        <v>35</v>
      </c>
      <c r="G173" t="s">
        <v>37</v>
      </c>
      <c r="H173" t="s">
        <v>38</v>
      </c>
      <c r="I173" s="6"/>
      <c r="J173" s="6"/>
      <c r="L173" s="6" t="s">
        <v>898</v>
      </c>
      <c r="M173" s="6"/>
      <c r="N173" s="6"/>
      <c r="O173" s="6" t="s">
        <v>899</v>
      </c>
    </row>
    <row r="174" spans="1:15" ht="273.60000000000002" x14ac:dyDescent="0.3">
      <c r="A174" t="s">
        <v>32</v>
      </c>
      <c r="B174" t="s">
        <v>896</v>
      </c>
      <c r="C174" t="s">
        <v>55</v>
      </c>
      <c r="D174" s="6" t="s">
        <v>900</v>
      </c>
      <c r="E174" t="s">
        <v>61</v>
      </c>
      <c r="F174" t="s">
        <v>45</v>
      </c>
      <c r="G174" t="s">
        <v>72</v>
      </c>
      <c r="H174" t="s">
        <v>38</v>
      </c>
      <c r="I174" s="6"/>
      <c r="J174" s="6" t="s">
        <v>106</v>
      </c>
      <c r="L174" s="6" t="s">
        <v>901</v>
      </c>
      <c r="M174" s="6" t="s">
        <v>902</v>
      </c>
      <c r="N174" s="6" t="s">
        <v>903</v>
      </c>
      <c r="O174" s="6" t="s">
        <v>904</v>
      </c>
    </row>
    <row r="175" spans="1:15" ht="216" x14ac:dyDescent="0.3">
      <c r="A175" t="s">
        <v>32</v>
      </c>
      <c r="B175" t="s">
        <v>896</v>
      </c>
      <c r="C175" t="s">
        <v>61</v>
      </c>
      <c r="D175" s="6" t="s">
        <v>905</v>
      </c>
      <c r="E175" t="s">
        <v>271</v>
      </c>
      <c r="F175" t="s">
        <v>51</v>
      </c>
      <c r="G175" t="s">
        <v>72</v>
      </c>
      <c r="H175" t="s">
        <v>38</v>
      </c>
      <c r="I175" s="6"/>
      <c r="J175" s="6" t="s">
        <v>106</v>
      </c>
      <c r="L175" s="6" t="s">
        <v>906</v>
      </c>
      <c r="M175" s="6" t="s">
        <v>907</v>
      </c>
      <c r="N175" s="6" t="s">
        <v>908</v>
      </c>
      <c r="O175" s="6" t="s">
        <v>909</v>
      </c>
    </row>
    <row r="176" spans="1:15" ht="115.2" x14ac:dyDescent="0.3">
      <c r="A176" t="s">
        <v>32</v>
      </c>
      <c r="B176" t="s">
        <v>896</v>
      </c>
      <c r="C176" t="s">
        <v>97</v>
      </c>
      <c r="D176" s="6" t="s">
        <v>910</v>
      </c>
      <c r="E176" t="s">
        <v>97</v>
      </c>
      <c r="F176" t="s">
        <v>71</v>
      </c>
      <c r="G176" t="s">
        <v>72</v>
      </c>
      <c r="H176" t="s">
        <v>38</v>
      </c>
      <c r="I176" s="6"/>
      <c r="J176" s="6" t="s">
        <v>106</v>
      </c>
      <c r="L176" s="6" t="s">
        <v>911</v>
      </c>
      <c r="M176" s="6" t="s">
        <v>912</v>
      </c>
      <c r="N176" s="6" t="s">
        <v>913</v>
      </c>
      <c r="O176" s="6" t="s">
        <v>914</v>
      </c>
    </row>
    <row r="177" spans="1:15" ht="409.6" x14ac:dyDescent="0.3">
      <c r="A177" t="s">
        <v>32</v>
      </c>
      <c r="B177" t="s">
        <v>896</v>
      </c>
      <c r="C177" t="s">
        <v>102</v>
      </c>
      <c r="D177" s="6" t="s">
        <v>915</v>
      </c>
      <c r="E177" t="s">
        <v>916</v>
      </c>
      <c r="F177" t="s">
        <v>71</v>
      </c>
      <c r="G177" t="s">
        <v>72</v>
      </c>
      <c r="H177" t="s">
        <v>38</v>
      </c>
      <c r="I177" s="6"/>
      <c r="J177" s="6" t="s">
        <v>106</v>
      </c>
      <c r="L177" s="6" t="s">
        <v>917</v>
      </c>
      <c r="M177" s="6" t="s">
        <v>918</v>
      </c>
      <c r="N177" s="6" t="s">
        <v>919</v>
      </c>
      <c r="O177" s="6" t="s">
        <v>920</v>
      </c>
    </row>
    <row r="178" spans="1:15" ht="72" x14ac:dyDescent="0.3">
      <c r="A178" t="s">
        <v>32</v>
      </c>
      <c r="B178" t="s">
        <v>896</v>
      </c>
      <c r="C178" t="s">
        <v>77</v>
      </c>
      <c r="D178" s="6" t="s">
        <v>921</v>
      </c>
      <c r="E178" t="s">
        <v>77</v>
      </c>
      <c r="F178" t="s">
        <v>71</v>
      </c>
      <c r="G178" t="s">
        <v>72</v>
      </c>
      <c r="H178" t="s">
        <v>38</v>
      </c>
      <c r="I178" s="6"/>
      <c r="J178" s="6" t="s">
        <v>106</v>
      </c>
      <c r="L178" s="6" t="s">
        <v>922</v>
      </c>
      <c r="M178" s="6" t="s">
        <v>923</v>
      </c>
      <c r="N178" s="6" t="s">
        <v>924</v>
      </c>
      <c r="O178" s="6" t="s">
        <v>925</v>
      </c>
    </row>
    <row r="179" spans="1:15" ht="409.6" x14ac:dyDescent="0.3">
      <c r="A179" t="s">
        <v>32</v>
      </c>
      <c r="B179" t="s">
        <v>896</v>
      </c>
      <c r="C179" t="s">
        <v>118</v>
      </c>
      <c r="D179" s="6" t="s">
        <v>926</v>
      </c>
      <c r="E179" t="s">
        <v>323</v>
      </c>
      <c r="F179" t="s">
        <v>71</v>
      </c>
      <c r="G179" t="s">
        <v>72</v>
      </c>
      <c r="H179" t="s">
        <v>38</v>
      </c>
      <c r="I179" s="6"/>
      <c r="J179" s="6" t="s">
        <v>106</v>
      </c>
      <c r="L179" s="6" t="s">
        <v>927</v>
      </c>
      <c r="M179" s="6" t="s">
        <v>928</v>
      </c>
      <c r="N179" s="6" t="s">
        <v>929</v>
      </c>
      <c r="O179" s="6" t="s">
        <v>930</v>
      </c>
    </row>
    <row r="180" spans="1:15" ht="403.2" x14ac:dyDescent="0.3">
      <c r="A180" t="s">
        <v>32</v>
      </c>
      <c r="B180" t="s">
        <v>896</v>
      </c>
      <c r="C180" t="s">
        <v>150</v>
      </c>
      <c r="D180" s="6" t="s">
        <v>931</v>
      </c>
      <c r="E180" t="s">
        <v>337</v>
      </c>
      <c r="F180" t="s">
        <v>71</v>
      </c>
      <c r="G180" t="s">
        <v>72</v>
      </c>
      <c r="H180" t="s">
        <v>38</v>
      </c>
      <c r="I180" s="6"/>
      <c r="J180" s="6" t="s">
        <v>106</v>
      </c>
      <c r="L180" s="6" t="s">
        <v>932</v>
      </c>
      <c r="M180" s="6" t="s">
        <v>932</v>
      </c>
      <c r="N180" s="6" t="s">
        <v>933</v>
      </c>
      <c r="O180" s="6" t="s">
        <v>934</v>
      </c>
    </row>
    <row r="181" spans="1:15" ht="100.8" x14ac:dyDescent="0.3">
      <c r="A181" t="s">
        <v>32</v>
      </c>
      <c r="B181" t="s">
        <v>896</v>
      </c>
      <c r="C181" t="s">
        <v>125</v>
      </c>
      <c r="D181" s="6" t="s">
        <v>935</v>
      </c>
      <c r="E181" t="s">
        <v>150</v>
      </c>
      <c r="F181" t="s">
        <v>106</v>
      </c>
      <c r="G181" t="s">
        <v>72</v>
      </c>
      <c r="H181" t="s">
        <v>38</v>
      </c>
      <c r="I181" s="6" t="s">
        <v>178</v>
      </c>
      <c r="J181" s="6" t="s">
        <v>106</v>
      </c>
      <c r="K181" t="s">
        <v>936</v>
      </c>
      <c r="L181" s="6" t="s">
        <v>937</v>
      </c>
      <c r="M181" s="6" t="s">
        <v>938</v>
      </c>
      <c r="N181" s="6" t="s">
        <v>939</v>
      </c>
      <c r="O181" s="6" t="s">
        <v>940</v>
      </c>
    </row>
    <row r="182" spans="1:15" ht="409.6" x14ac:dyDescent="0.3">
      <c r="A182" t="s">
        <v>32</v>
      </c>
      <c r="B182" t="s">
        <v>896</v>
      </c>
      <c r="C182" t="s">
        <v>248</v>
      </c>
      <c r="D182" s="6" t="s">
        <v>941</v>
      </c>
      <c r="E182" t="s">
        <v>345</v>
      </c>
      <c r="F182" t="s">
        <v>106</v>
      </c>
      <c r="G182" t="s">
        <v>72</v>
      </c>
      <c r="H182" t="s">
        <v>38</v>
      </c>
      <c r="I182" s="6"/>
      <c r="J182" s="6" t="s">
        <v>106</v>
      </c>
      <c r="L182" s="6" t="s">
        <v>942</v>
      </c>
      <c r="M182" s="6" t="s">
        <v>943</v>
      </c>
      <c r="N182" s="6" t="s">
        <v>944</v>
      </c>
      <c r="O182" s="6" t="s">
        <v>945</v>
      </c>
    </row>
    <row r="183" spans="1:15" ht="409.6" x14ac:dyDescent="0.3">
      <c r="A183" t="s">
        <v>32</v>
      </c>
      <c r="B183" t="s">
        <v>896</v>
      </c>
      <c r="C183" t="s">
        <v>250</v>
      </c>
      <c r="D183" s="6" t="s">
        <v>946</v>
      </c>
      <c r="E183" t="s">
        <v>688</v>
      </c>
      <c r="F183" t="s">
        <v>106</v>
      </c>
      <c r="G183" t="s">
        <v>72</v>
      </c>
      <c r="H183" t="s">
        <v>38</v>
      </c>
      <c r="I183" s="6"/>
      <c r="J183" s="6" t="s">
        <v>106</v>
      </c>
      <c r="L183" s="6" t="s">
        <v>947</v>
      </c>
      <c r="M183" s="6" t="s">
        <v>948</v>
      </c>
      <c r="N183" s="6" t="s">
        <v>949</v>
      </c>
      <c r="O183" s="6" t="s">
        <v>950</v>
      </c>
    </row>
    <row r="184" spans="1:15" ht="409.6" x14ac:dyDescent="0.3">
      <c r="A184" t="s">
        <v>32</v>
      </c>
      <c r="B184" t="s">
        <v>896</v>
      </c>
      <c r="C184" t="s">
        <v>252</v>
      </c>
      <c r="D184" s="6" t="s">
        <v>951</v>
      </c>
      <c r="E184" t="s">
        <v>250</v>
      </c>
      <c r="F184" t="s">
        <v>106</v>
      </c>
      <c r="G184" t="s">
        <v>72</v>
      </c>
      <c r="H184" t="s">
        <v>38</v>
      </c>
      <c r="I184" s="6"/>
      <c r="J184" s="6" t="s">
        <v>106</v>
      </c>
      <c r="L184" s="6" t="s">
        <v>952</v>
      </c>
      <c r="M184" s="6" t="s">
        <v>953</v>
      </c>
      <c r="N184" s="6" t="s">
        <v>954</v>
      </c>
      <c r="O184" s="6" t="s">
        <v>955</v>
      </c>
    </row>
    <row r="185" spans="1:15" ht="115.2" x14ac:dyDescent="0.3">
      <c r="A185" t="s">
        <v>32</v>
      </c>
      <c r="B185" t="s">
        <v>896</v>
      </c>
      <c r="C185" t="s">
        <v>258</v>
      </c>
      <c r="D185" s="6" t="s">
        <v>956</v>
      </c>
      <c r="E185" t="s">
        <v>250</v>
      </c>
      <c r="F185" t="s">
        <v>106</v>
      </c>
      <c r="G185" t="s">
        <v>72</v>
      </c>
      <c r="H185" t="s">
        <v>38</v>
      </c>
      <c r="I185" s="6" t="s">
        <v>378</v>
      </c>
      <c r="J185" s="6" t="s">
        <v>106</v>
      </c>
      <c r="L185" s="6" t="s">
        <v>957</v>
      </c>
      <c r="M185" s="6" t="s">
        <v>958</v>
      </c>
      <c r="N185" s="6" t="s">
        <v>959</v>
      </c>
      <c r="O185" s="6" t="s">
        <v>960</v>
      </c>
    </row>
    <row r="186" spans="1:15" ht="28.8" x14ac:dyDescent="0.3">
      <c r="A186" t="s">
        <v>32</v>
      </c>
      <c r="B186" t="s">
        <v>896</v>
      </c>
      <c r="C186" t="s">
        <v>263</v>
      </c>
      <c r="D186" s="6" t="s">
        <v>961</v>
      </c>
      <c r="E186" t="s">
        <v>250</v>
      </c>
      <c r="F186" t="s">
        <v>71</v>
      </c>
      <c r="G186" t="s">
        <v>161</v>
      </c>
      <c r="H186" t="s">
        <v>38</v>
      </c>
      <c r="I186" s="6"/>
      <c r="J186" s="6"/>
      <c r="L186" s="6" t="s">
        <v>962</v>
      </c>
      <c r="M186" s="6"/>
      <c r="N186" s="6"/>
      <c r="O186" s="6" t="s">
        <v>963</v>
      </c>
    </row>
    <row r="187" spans="1:15" ht="43.2" x14ac:dyDescent="0.3">
      <c r="A187" t="s">
        <v>32</v>
      </c>
      <c r="B187" t="s">
        <v>964</v>
      </c>
      <c r="C187" t="s">
        <v>42</v>
      </c>
      <c r="D187" s="6" t="s">
        <v>897</v>
      </c>
      <c r="E187" t="s">
        <v>965</v>
      </c>
      <c r="F187" t="s">
        <v>35</v>
      </c>
      <c r="G187" t="s">
        <v>90</v>
      </c>
      <c r="H187" t="s">
        <v>38</v>
      </c>
      <c r="I187" s="6" t="s">
        <v>35</v>
      </c>
      <c r="J187" s="6" t="s">
        <v>39</v>
      </c>
      <c r="L187" s="6" t="s">
        <v>966</v>
      </c>
      <c r="M187" s="6"/>
      <c r="N187" s="6"/>
      <c r="O187" s="6" t="s">
        <v>897</v>
      </c>
    </row>
    <row r="188" spans="1:15" ht="273.60000000000002" x14ac:dyDescent="0.3">
      <c r="A188" t="s">
        <v>32</v>
      </c>
      <c r="B188" t="s">
        <v>964</v>
      </c>
      <c r="C188" t="s">
        <v>44</v>
      </c>
      <c r="D188" s="6" t="s">
        <v>900</v>
      </c>
      <c r="E188" t="s">
        <v>289</v>
      </c>
      <c r="F188" t="s">
        <v>900</v>
      </c>
      <c r="G188" t="s">
        <v>72</v>
      </c>
      <c r="H188" t="s">
        <v>38</v>
      </c>
      <c r="I188" s="6" t="s">
        <v>900</v>
      </c>
      <c r="J188" s="6" t="s">
        <v>106</v>
      </c>
      <c r="L188" s="6" t="s">
        <v>967</v>
      </c>
      <c r="M188" s="6" t="s">
        <v>968</v>
      </c>
      <c r="N188" s="6" t="s">
        <v>969</v>
      </c>
      <c r="O188" s="6" t="s">
        <v>970</v>
      </c>
    </row>
    <row r="189" spans="1:15" ht="259.2" x14ac:dyDescent="0.3">
      <c r="A189" t="s">
        <v>32</v>
      </c>
      <c r="B189" t="s">
        <v>964</v>
      </c>
      <c r="C189" t="s">
        <v>55</v>
      </c>
      <c r="D189" s="6" t="s">
        <v>905</v>
      </c>
      <c r="E189" t="s">
        <v>102</v>
      </c>
      <c r="F189" t="s">
        <v>51</v>
      </c>
      <c r="G189" t="s">
        <v>72</v>
      </c>
      <c r="H189" t="s">
        <v>38</v>
      </c>
      <c r="I189" s="6" t="s">
        <v>51</v>
      </c>
      <c r="J189" s="6" t="s">
        <v>106</v>
      </c>
      <c r="L189" s="6" t="s">
        <v>971</v>
      </c>
      <c r="M189" s="6" t="s">
        <v>972</v>
      </c>
      <c r="N189" s="6" t="s">
        <v>973</v>
      </c>
      <c r="O189" s="6" t="s">
        <v>974</v>
      </c>
    </row>
    <row r="190" spans="1:15" ht="302.39999999999998" x14ac:dyDescent="0.3">
      <c r="A190" t="s">
        <v>32</v>
      </c>
      <c r="B190" t="s">
        <v>964</v>
      </c>
      <c r="C190" t="s">
        <v>61</v>
      </c>
      <c r="D190" s="6" t="s">
        <v>51</v>
      </c>
      <c r="E190" t="s">
        <v>296</v>
      </c>
      <c r="F190" t="s">
        <v>51</v>
      </c>
      <c r="G190" t="s">
        <v>72</v>
      </c>
      <c r="H190" t="s">
        <v>38</v>
      </c>
      <c r="I190" s="6" t="s">
        <v>51</v>
      </c>
      <c r="J190" s="6" t="s">
        <v>106</v>
      </c>
      <c r="L190" s="6" t="s">
        <v>975</v>
      </c>
      <c r="M190" s="6" t="s">
        <v>976</v>
      </c>
      <c r="N190" s="6" t="s">
        <v>977</v>
      </c>
      <c r="O190" s="6" t="s">
        <v>978</v>
      </c>
    </row>
    <row r="191" spans="1:15" ht="409.6" x14ac:dyDescent="0.3">
      <c r="A191" t="s">
        <v>32</v>
      </c>
      <c r="B191" t="s">
        <v>964</v>
      </c>
      <c r="C191" t="s">
        <v>97</v>
      </c>
      <c r="D191" s="6" t="s">
        <v>979</v>
      </c>
      <c r="E191" t="s">
        <v>77</v>
      </c>
      <c r="F191" t="s">
        <v>979</v>
      </c>
      <c r="G191" t="s">
        <v>72</v>
      </c>
      <c r="H191" t="s">
        <v>38</v>
      </c>
      <c r="I191" s="6" t="s">
        <v>979</v>
      </c>
      <c r="J191" s="6" t="s">
        <v>106</v>
      </c>
      <c r="L191" s="6" t="s">
        <v>980</v>
      </c>
      <c r="M191" s="6" t="s">
        <v>981</v>
      </c>
      <c r="N191" s="6" t="s">
        <v>982</v>
      </c>
      <c r="O191" s="6" t="s">
        <v>983</v>
      </c>
    </row>
    <row r="192" spans="1:15" ht="216" x14ac:dyDescent="0.3">
      <c r="A192" t="s">
        <v>32</v>
      </c>
      <c r="B192" t="s">
        <v>964</v>
      </c>
      <c r="C192" t="s">
        <v>102</v>
      </c>
      <c r="D192" s="6" t="s">
        <v>984</v>
      </c>
      <c r="E192" t="s">
        <v>985</v>
      </c>
      <c r="F192" t="s">
        <v>178</v>
      </c>
      <c r="G192" t="s">
        <v>72</v>
      </c>
      <c r="H192" t="s">
        <v>38</v>
      </c>
      <c r="I192" s="6" t="s">
        <v>986</v>
      </c>
      <c r="J192" s="6" t="s">
        <v>106</v>
      </c>
      <c r="K192" t="s">
        <v>936</v>
      </c>
      <c r="L192" s="6" t="s">
        <v>987</v>
      </c>
      <c r="M192" s="6" t="s">
        <v>988</v>
      </c>
      <c r="N192" s="6" t="s">
        <v>989</v>
      </c>
      <c r="O192" s="6" t="s">
        <v>990</v>
      </c>
    </row>
    <row r="193" spans="1:15" ht="345.6" x14ac:dyDescent="0.3">
      <c r="A193" t="s">
        <v>32</v>
      </c>
      <c r="B193" t="s">
        <v>964</v>
      </c>
      <c r="C193" t="s">
        <v>77</v>
      </c>
      <c r="D193" s="6" t="s">
        <v>991</v>
      </c>
      <c r="E193" t="s">
        <v>992</v>
      </c>
      <c r="F193" t="s">
        <v>178</v>
      </c>
      <c r="G193" t="s">
        <v>72</v>
      </c>
      <c r="H193" t="s">
        <v>38</v>
      </c>
      <c r="I193" s="6" t="s">
        <v>993</v>
      </c>
      <c r="J193" s="6" t="s">
        <v>39</v>
      </c>
      <c r="K193" t="s">
        <v>994</v>
      </c>
      <c r="L193" s="6" t="s">
        <v>995</v>
      </c>
      <c r="M193" s="6" t="s">
        <v>996</v>
      </c>
      <c r="N193" s="6" t="s">
        <v>997</v>
      </c>
      <c r="O193" s="6" t="s">
        <v>998</v>
      </c>
    </row>
    <row r="194" spans="1:15" ht="144" x14ac:dyDescent="0.3">
      <c r="A194" t="s">
        <v>32</v>
      </c>
      <c r="B194" t="s">
        <v>964</v>
      </c>
      <c r="C194" t="s">
        <v>118</v>
      </c>
      <c r="D194" s="6" t="s">
        <v>999</v>
      </c>
      <c r="E194" t="s">
        <v>513</v>
      </c>
      <c r="F194" t="s">
        <v>378</v>
      </c>
      <c r="G194" t="s">
        <v>72</v>
      </c>
      <c r="H194" t="s">
        <v>38</v>
      </c>
      <c r="I194" s="6" t="s">
        <v>379</v>
      </c>
      <c r="J194" s="6" t="s">
        <v>39</v>
      </c>
      <c r="K194" t="s">
        <v>994</v>
      </c>
      <c r="L194" s="6" t="s">
        <v>1000</v>
      </c>
      <c r="M194" s="6" t="s">
        <v>1001</v>
      </c>
      <c r="N194" s="6" t="s">
        <v>1002</v>
      </c>
      <c r="O194" s="6" t="s">
        <v>1003</v>
      </c>
    </row>
    <row r="195" spans="1:15" ht="72" x14ac:dyDescent="0.3">
      <c r="A195" t="s">
        <v>32</v>
      </c>
      <c r="B195" t="s">
        <v>964</v>
      </c>
      <c r="C195" t="s">
        <v>150</v>
      </c>
      <c r="D195" s="6" t="s">
        <v>1004</v>
      </c>
      <c r="E195" t="s">
        <v>513</v>
      </c>
      <c r="F195" t="s">
        <v>71</v>
      </c>
      <c r="G195" t="s">
        <v>161</v>
      </c>
      <c r="H195" t="s">
        <v>38</v>
      </c>
      <c r="I195" s="6"/>
      <c r="J195" s="6"/>
      <c r="K195" t="s">
        <v>994</v>
      </c>
      <c r="L195" s="6" t="s">
        <v>1005</v>
      </c>
      <c r="M195" s="6"/>
      <c r="N195" s="6"/>
      <c r="O195" s="6" t="s">
        <v>1006</v>
      </c>
    </row>
    <row r="196" spans="1:15" ht="100.8" x14ac:dyDescent="0.3">
      <c r="A196" t="s">
        <v>32</v>
      </c>
      <c r="B196" t="s">
        <v>1007</v>
      </c>
      <c r="C196" t="s">
        <v>34</v>
      </c>
      <c r="D196" s="6"/>
      <c r="E196" t="s">
        <v>214</v>
      </c>
      <c r="F196" t="s">
        <v>1008</v>
      </c>
      <c r="G196" t="s">
        <v>72</v>
      </c>
      <c r="H196" t="s">
        <v>38</v>
      </c>
      <c r="I196" s="6" t="s">
        <v>1009</v>
      </c>
      <c r="J196" s="6" t="s">
        <v>1010</v>
      </c>
      <c r="K196" t="s">
        <v>1011</v>
      </c>
      <c r="L196" s="6" t="s">
        <v>1012</v>
      </c>
      <c r="M196" s="6" t="s">
        <v>1013</v>
      </c>
      <c r="N196" s="6" t="s">
        <v>1014</v>
      </c>
      <c r="O196" s="6" t="s">
        <v>1015</v>
      </c>
    </row>
    <row r="197" spans="1:15" ht="409.6" x14ac:dyDescent="0.3">
      <c r="A197" t="s">
        <v>32</v>
      </c>
      <c r="B197" t="s">
        <v>1007</v>
      </c>
      <c r="C197" t="s">
        <v>42</v>
      </c>
      <c r="D197" s="6"/>
      <c r="E197" t="s">
        <v>1016</v>
      </c>
      <c r="F197" t="s">
        <v>1008</v>
      </c>
      <c r="G197" t="s">
        <v>72</v>
      </c>
      <c r="H197" t="s">
        <v>38</v>
      </c>
      <c r="I197" s="6" t="s">
        <v>1017</v>
      </c>
      <c r="J197" s="6" t="s">
        <v>1010</v>
      </c>
      <c r="K197" t="s">
        <v>1011</v>
      </c>
      <c r="L197" s="6" t="s">
        <v>1018</v>
      </c>
      <c r="M197" s="6" t="s">
        <v>1019</v>
      </c>
      <c r="N197" s="6" t="s">
        <v>1020</v>
      </c>
      <c r="O197" s="6" t="s">
        <v>1021</v>
      </c>
    </row>
    <row r="198" spans="1:15" ht="100.8" x14ac:dyDescent="0.3">
      <c r="A198" t="s">
        <v>32</v>
      </c>
      <c r="B198" t="s">
        <v>1007</v>
      </c>
      <c r="C198" t="s">
        <v>44</v>
      </c>
      <c r="D198" s="6"/>
      <c r="E198" t="s">
        <v>55</v>
      </c>
      <c r="F198" t="s">
        <v>71</v>
      </c>
      <c r="G198" t="s">
        <v>37</v>
      </c>
      <c r="H198" t="s">
        <v>38</v>
      </c>
      <c r="I198" s="6" t="s">
        <v>298</v>
      </c>
      <c r="J198" s="6"/>
      <c r="K198" t="s">
        <v>1011</v>
      </c>
      <c r="L198" s="6" t="s">
        <v>1022</v>
      </c>
      <c r="M198" s="6" t="s">
        <v>1023</v>
      </c>
      <c r="N198" s="6" t="s">
        <v>1024</v>
      </c>
      <c r="O198" s="6" t="s">
        <v>1025</v>
      </c>
    </row>
    <row r="199" spans="1:15" ht="316.8" x14ac:dyDescent="0.3">
      <c r="A199" t="s">
        <v>32</v>
      </c>
      <c r="B199" t="s">
        <v>1026</v>
      </c>
      <c r="C199" t="s">
        <v>34</v>
      </c>
      <c r="D199" s="6" t="s">
        <v>1027</v>
      </c>
      <c r="E199" t="s">
        <v>214</v>
      </c>
      <c r="F199" t="s">
        <v>35</v>
      </c>
      <c r="G199" t="s">
        <v>161</v>
      </c>
      <c r="H199" t="s">
        <v>38</v>
      </c>
      <c r="I199" s="6"/>
      <c r="J199" s="6" t="s">
        <v>39</v>
      </c>
      <c r="L199" s="6" t="s">
        <v>1028</v>
      </c>
      <c r="M199" s="6"/>
      <c r="N199" s="6" t="s">
        <v>1029</v>
      </c>
      <c r="O199" s="6" t="s">
        <v>1030</v>
      </c>
    </row>
    <row r="200" spans="1:15" x14ac:dyDescent="0.3">
      <c r="A200" t="s">
        <v>32</v>
      </c>
      <c r="B200" t="s">
        <v>1026</v>
      </c>
      <c r="C200" t="s">
        <v>34</v>
      </c>
      <c r="D200" s="6" t="s">
        <v>1031</v>
      </c>
      <c r="E200" t="s">
        <v>335</v>
      </c>
      <c r="F200" t="s">
        <v>71</v>
      </c>
      <c r="G200" t="s">
        <v>87</v>
      </c>
      <c r="H200" t="s">
        <v>37</v>
      </c>
      <c r="I200" s="6"/>
      <c r="J200" s="6"/>
      <c r="L200" s="6"/>
      <c r="M200" s="6"/>
      <c r="N200" s="6"/>
      <c r="O200" s="6"/>
    </row>
    <row r="201" spans="1:15" ht="43.2" x14ac:dyDescent="0.3">
      <c r="A201" t="s">
        <v>32</v>
      </c>
      <c r="B201" t="s">
        <v>1026</v>
      </c>
      <c r="C201" t="s">
        <v>34</v>
      </c>
      <c r="D201" s="6" t="s">
        <v>1032</v>
      </c>
      <c r="E201" t="s">
        <v>646</v>
      </c>
      <c r="F201" t="s">
        <v>71</v>
      </c>
      <c r="G201" t="s">
        <v>37</v>
      </c>
      <c r="H201" t="s">
        <v>38</v>
      </c>
      <c r="I201" s="6"/>
      <c r="J201" s="6"/>
      <c r="K201" t="s">
        <v>1033</v>
      </c>
      <c r="L201" s="6" t="s">
        <v>1034</v>
      </c>
      <c r="M201" s="6" t="s">
        <v>1035</v>
      </c>
      <c r="N201" s="6" t="s">
        <v>1036</v>
      </c>
      <c r="O201" s="6" t="s">
        <v>1037</v>
      </c>
    </row>
    <row r="202" spans="1:15" ht="43.2" x14ac:dyDescent="0.3">
      <c r="A202" t="s">
        <v>32</v>
      </c>
      <c r="B202" t="s">
        <v>1026</v>
      </c>
      <c r="C202" t="s">
        <v>34</v>
      </c>
      <c r="D202" s="6" t="s">
        <v>1038</v>
      </c>
      <c r="E202" t="s">
        <v>1039</v>
      </c>
      <c r="F202" t="s">
        <v>71</v>
      </c>
      <c r="G202" t="s">
        <v>37</v>
      </c>
      <c r="H202" t="s">
        <v>38</v>
      </c>
      <c r="I202" s="6"/>
      <c r="J202" s="6"/>
      <c r="K202" t="s">
        <v>1033</v>
      </c>
      <c r="L202" s="6" t="s">
        <v>1034</v>
      </c>
      <c r="M202" s="6" t="s">
        <v>1035</v>
      </c>
      <c r="N202" s="6" t="s">
        <v>1036</v>
      </c>
      <c r="O202" s="6" t="s">
        <v>1037</v>
      </c>
    </row>
    <row r="203" spans="1:15" ht="57.6" x14ac:dyDescent="0.3">
      <c r="A203" t="s">
        <v>32</v>
      </c>
      <c r="B203" t="s">
        <v>1026</v>
      </c>
      <c r="C203" t="s">
        <v>34</v>
      </c>
      <c r="D203" s="6" t="s">
        <v>1040</v>
      </c>
      <c r="E203" t="s">
        <v>1041</v>
      </c>
      <c r="F203" t="s">
        <v>71</v>
      </c>
      <c r="G203" t="s">
        <v>161</v>
      </c>
      <c r="H203" t="s">
        <v>38</v>
      </c>
      <c r="I203" s="6"/>
      <c r="J203" s="6" t="s">
        <v>39</v>
      </c>
      <c r="K203" t="s">
        <v>1042</v>
      </c>
      <c r="L203" s="6" t="s">
        <v>1043</v>
      </c>
      <c r="M203" s="6" t="s">
        <v>1043</v>
      </c>
      <c r="N203" s="6" t="s">
        <v>1044</v>
      </c>
      <c r="O203" s="6" t="s">
        <v>1045</v>
      </c>
    </row>
    <row r="204" spans="1:15" ht="57.6" x14ac:dyDescent="0.3">
      <c r="A204" t="s">
        <v>32</v>
      </c>
      <c r="B204" t="s">
        <v>1026</v>
      </c>
      <c r="C204" t="s">
        <v>34</v>
      </c>
      <c r="D204" s="6" t="s">
        <v>1046</v>
      </c>
      <c r="E204" t="s">
        <v>1047</v>
      </c>
      <c r="F204" t="s">
        <v>71</v>
      </c>
      <c r="G204" t="s">
        <v>161</v>
      </c>
      <c r="H204" t="s">
        <v>38</v>
      </c>
      <c r="I204" s="6"/>
      <c r="J204" s="6" t="s">
        <v>39</v>
      </c>
      <c r="K204" t="s">
        <v>1042</v>
      </c>
      <c r="L204" s="6" t="s">
        <v>1043</v>
      </c>
      <c r="M204" s="6" t="s">
        <v>1043</v>
      </c>
      <c r="N204" s="6" t="s">
        <v>1044</v>
      </c>
      <c r="O204" s="6" t="s">
        <v>1045</v>
      </c>
    </row>
    <row r="205" spans="1:15" ht="129.6" x14ac:dyDescent="0.3">
      <c r="A205" t="s">
        <v>32</v>
      </c>
      <c r="B205" t="s">
        <v>1026</v>
      </c>
      <c r="C205" t="s">
        <v>42</v>
      </c>
      <c r="D205" s="6" t="s">
        <v>1048</v>
      </c>
      <c r="E205" t="s">
        <v>42</v>
      </c>
      <c r="F205" t="s">
        <v>1049</v>
      </c>
      <c r="G205" t="s">
        <v>161</v>
      </c>
      <c r="H205" t="s">
        <v>38</v>
      </c>
      <c r="I205" s="6"/>
      <c r="J205" s="6" t="s">
        <v>39</v>
      </c>
      <c r="L205" s="6" t="s">
        <v>1050</v>
      </c>
      <c r="M205" s="6" t="s">
        <v>1051</v>
      </c>
      <c r="N205" s="6" t="s">
        <v>1052</v>
      </c>
      <c r="O205" s="6" t="s">
        <v>1053</v>
      </c>
    </row>
    <row r="206" spans="1:15" x14ac:dyDescent="0.3">
      <c r="A206" t="s">
        <v>32</v>
      </c>
      <c r="B206" t="s">
        <v>1026</v>
      </c>
      <c r="C206" t="s">
        <v>42</v>
      </c>
      <c r="D206" s="6" t="s">
        <v>1054</v>
      </c>
      <c r="E206" t="s">
        <v>335</v>
      </c>
      <c r="F206" t="s">
        <v>71</v>
      </c>
      <c r="G206" t="s">
        <v>87</v>
      </c>
      <c r="H206" t="s">
        <v>37</v>
      </c>
      <c r="I206" s="6"/>
      <c r="J206" s="6"/>
      <c r="L206" s="6"/>
      <c r="M206" s="6"/>
      <c r="N206" s="6"/>
      <c r="O206" s="6"/>
    </row>
    <row r="207" spans="1:15" ht="28.8" x14ac:dyDescent="0.3">
      <c r="A207" t="s">
        <v>32</v>
      </c>
      <c r="B207" t="s">
        <v>1026</v>
      </c>
      <c r="C207" t="s">
        <v>42</v>
      </c>
      <c r="D207" s="6" t="s">
        <v>1054</v>
      </c>
      <c r="E207" t="s">
        <v>660</v>
      </c>
      <c r="F207" t="s">
        <v>71</v>
      </c>
      <c r="G207" t="s">
        <v>37</v>
      </c>
      <c r="H207" t="s">
        <v>38</v>
      </c>
      <c r="I207" s="6"/>
      <c r="J207" s="6"/>
      <c r="L207" s="6" t="s">
        <v>1055</v>
      </c>
      <c r="M207" s="6" t="s">
        <v>1056</v>
      </c>
      <c r="N207" s="6" t="s">
        <v>1057</v>
      </c>
      <c r="O207" s="6" t="s">
        <v>1058</v>
      </c>
    </row>
    <row r="208" spans="1:15" ht="115.2" x14ac:dyDescent="0.3">
      <c r="A208" t="s">
        <v>32</v>
      </c>
      <c r="B208" t="s">
        <v>1026</v>
      </c>
      <c r="C208" t="s">
        <v>42</v>
      </c>
      <c r="D208" s="6" t="s">
        <v>1059</v>
      </c>
      <c r="E208" t="s">
        <v>436</v>
      </c>
      <c r="F208" t="s">
        <v>1049</v>
      </c>
      <c r="G208" t="s">
        <v>37</v>
      </c>
      <c r="H208" t="s">
        <v>38</v>
      </c>
      <c r="I208" s="6"/>
      <c r="J208" s="6" t="s">
        <v>39</v>
      </c>
      <c r="K208" t="s">
        <v>1060</v>
      </c>
      <c r="L208" s="6" t="s">
        <v>1061</v>
      </c>
      <c r="M208" s="6" t="s">
        <v>1062</v>
      </c>
      <c r="N208" s="6" t="s">
        <v>1063</v>
      </c>
      <c r="O208" s="6" t="s">
        <v>1064</v>
      </c>
    </row>
    <row r="209" spans="1:15" ht="28.8" x14ac:dyDescent="0.3">
      <c r="A209" t="s">
        <v>32</v>
      </c>
      <c r="B209" t="s">
        <v>1026</v>
      </c>
      <c r="C209" t="s">
        <v>42</v>
      </c>
      <c r="D209" s="6" t="s">
        <v>1065</v>
      </c>
      <c r="E209" t="s">
        <v>1041</v>
      </c>
      <c r="F209" t="s">
        <v>71</v>
      </c>
      <c r="G209" t="s">
        <v>161</v>
      </c>
      <c r="H209" t="s">
        <v>38</v>
      </c>
      <c r="I209" s="6"/>
      <c r="J209" s="6" t="s">
        <v>39</v>
      </c>
      <c r="L209" s="6" t="s">
        <v>1066</v>
      </c>
      <c r="M209" s="6" t="s">
        <v>1066</v>
      </c>
      <c r="N209" s="6" t="s">
        <v>1067</v>
      </c>
      <c r="O209" s="6" t="s">
        <v>1068</v>
      </c>
    </row>
    <row r="210" spans="1:15" ht="28.8" x14ac:dyDescent="0.3">
      <c r="A210" t="s">
        <v>32</v>
      </c>
      <c r="B210" t="s">
        <v>1026</v>
      </c>
      <c r="C210" t="s">
        <v>42</v>
      </c>
      <c r="D210" s="6" t="s">
        <v>1069</v>
      </c>
      <c r="E210" t="s">
        <v>577</v>
      </c>
      <c r="F210" t="s">
        <v>71</v>
      </c>
      <c r="G210" t="s">
        <v>161</v>
      </c>
      <c r="H210" t="s">
        <v>38</v>
      </c>
      <c r="I210" s="6"/>
      <c r="J210" s="6" t="s">
        <v>39</v>
      </c>
      <c r="L210" s="6" t="s">
        <v>1066</v>
      </c>
      <c r="M210" s="6" t="s">
        <v>1066</v>
      </c>
      <c r="N210" s="6" t="s">
        <v>1067</v>
      </c>
      <c r="O210" s="6" t="s">
        <v>1068</v>
      </c>
    </row>
    <row r="211" spans="1:15" ht="144" x14ac:dyDescent="0.3">
      <c r="A211" t="s">
        <v>32</v>
      </c>
      <c r="B211" t="s">
        <v>1026</v>
      </c>
      <c r="C211" t="s">
        <v>44</v>
      </c>
      <c r="D211" s="6" t="s">
        <v>1070</v>
      </c>
      <c r="E211" t="s">
        <v>36</v>
      </c>
      <c r="F211" t="s">
        <v>1049</v>
      </c>
      <c r="G211" t="s">
        <v>161</v>
      </c>
      <c r="H211" t="s">
        <v>38</v>
      </c>
      <c r="I211" s="6"/>
      <c r="J211" s="6" t="s">
        <v>39</v>
      </c>
      <c r="L211" s="6" t="s">
        <v>1071</v>
      </c>
      <c r="M211" s="6" t="s">
        <v>1072</v>
      </c>
      <c r="N211" s="6" t="s">
        <v>1073</v>
      </c>
      <c r="O211" s="6" t="s">
        <v>1074</v>
      </c>
    </row>
    <row r="212" spans="1:15" ht="144" x14ac:dyDescent="0.3">
      <c r="A212" t="s">
        <v>32</v>
      </c>
      <c r="B212" t="s">
        <v>1026</v>
      </c>
      <c r="C212" t="s">
        <v>44</v>
      </c>
      <c r="D212" s="6" t="s">
        <v>1075</v>
      </c>
      <c r="E212" t="s">
        <v>1076</v>
      </c>
      <c r="F212" t="s">
        <v>1049</v>
      </c>
      <c r="G212" t="s">
        <v>161</v>
      </c>
      <c r="H212" t="s">
        <v>38</v>
      </c>
      <c r="I212" s="6"/>
      <c r="J212" s="6" t="s">
        <v>39</v>
      </c>
      <c r="L212" s="6" t="s">
        <v>1071</v>
      </c>
      <c r="M212" s="6" t="s">
        <v>1072</v>
      </c>
      <c r="N212" s="6" t="s">
        <v>1073</v>
      </c>
      <c r="O212" s="6" t="s">
        <v>1074</v>
      </c>
    </row>
    <row r="213" spans="1:15" ht="43.2" x14ac:dyDescent="0.3">
      <c r="A213" t="s">
        <v>32</v>
      </c>
      <c r="B213" t="s">
        <v>1026</v>
      </c>
      <c r="C213" t="s">
        <v>44</v>
      </c>
      <c r="D213" s="6" t="s">
        <v>1075</v>
      </c>
      <c r="E213" t="s">
        <v>1077</v>
      </c>
      <c r="F213" t="s">
        <v>1049</v>
      </c>
      <c r="G213" t="s">
        <v>37</v>
      </c>
      <c r="H213" t="s">
        <v>38</v>
      </c>
      <c r="I213" s="6"/>
      <c r="J213" s="6" t="s">
        <v>39</v>
      </c>
      <c r="L213" s="6" t="s">
        <v>1078</v>
      </c>
      <c r="M213" s="6" t="s">
        <v>1079</v>
      </c>
      <c r="N213" s="6" t="s">
        <v>1080</v>
      </c>
      <c r="O213" s="6" t="s">
        <v>1081</v>
      </c>
    </row>
    <row r="214" spans="1:15" ht="43.2" x14ac:dyDescent="0.3">
      <c r="A214" t="s">
        <v>32</v>
      </c>
      <c r="B214" t="s">
        <v>1026</v>
      </c>
      <c r="C214" t="s">
        <v>44</v>
      </c>
      <c r="D214" s="6" t="s">
        <v>1075</v>
      </c>
      <c r="E214" t="s">
        <v>1082</v>
      </c>
      <c r="F214" t="s">
        <v>1049</v>
      </c>
      <c r="G214" t="s">
        <v>37</v>
      </c>
      <c r="H214" t="s">
        <v>38</v>
      </c>
      <c r="I214" s="6"/>
      <c r="J214" s="6" t="s">
        <v>39</v>
      </c>
      <c r="L214" s="6" t="s">
        <v>1078</v>
      </c>
      <c r="M214" s="6" t="s">
        <v>1079</v>
      </c>
      <c r="N214" s="6" t="s">
        <v>1080</v>
      </c>
      <c r="O214" s="6" t="s">
        <v>1081</v>
      </c>
    </row>
    <row r="215" spans="1:15" ht="43.2" x14ac:dyDescent="0.3">
      <c r="A215" t="s">
        <v>32</v>
      </c>
      <c r="B215" t="s">
        <v>1026</v>
      </c>
      <c r="C215" t="s">
        <v>44</v>
      </c>
      <c r="D215" s="6" t="s">
        <v>1083</v>
      </c>
      <c r="E215" t="s">
        <v>335</v>
      </c>
      <c r="F215" t="s">
        <v>1049</v>
      </c>
      <c r="G215" t="s">
        <v>37</v>
      </c>
      <c r="H215" t="s">
        <v>38</v>
      </c>
      <c r="I215" s="6"/>
      <c r="J215" s="6" t="s">
        <v>39</v>
      </c>
      <c r="L215" s="6" t="s">
        <v>1078</v>
      </c>
      <c r="M215" s="6" t="s">
        <v>1079</v>
      </c>
      <c r="N215" s="6" t="s">
        <v>1080</v>
      </c>
      <c r="O215" s="6" t="s">
        <v>1081</v>
      </c>
    </row>
    <row r="216" spans="1:15" ht="28.8" x14ac:dyDescent="0.3">
      <c r="A216" t="s">
        <v>32</v>
      </c>
      <c r="B216" t="s">
        <v>1026</v>
      </c>
      <c r="C216" t="s">
        <v>44</v>
      </c>
      <c r="D216" s="6" t="s">
        <v>1083</v>
      </c>
      <c r="E216" t="s">
        <v>660</v>
      </c>
      <c r="F216" t="s">
        <v>71</v>
      </c>
      <c r="G216" t="s">
        <v>37</v>
      </c>
      <c r="H216" t="s">
        <v>38</v>
      </c>
      <c r="I216" s="6"/>
      <c r="J216" s="6"/>
      <c r="L216" s="6" t="s">
        <v>1084</v>
      </c>
      <c r="M216" s="6" t="s">
        <v>1085</v>
      </c>
      <c r="N216" s="6" t="s">
        <v>1086</v>
      </c>
      <c r="O216" s="6" t="s">
        <v>1087</v>
      </c>
    </row>
    <row r="217" spans="1:15" ht="115.2" x14ac:dyDescent="0.3">
      <c r="A217" t="s">
        <v>32</v>
      </c>
      <c r="B217" t="s">
        <v>1026</v>
      </c>
      <c r="C217" t="s">
        <v>44</v>
      </c>
      <c r="D217" s="6" t="s">
        <v>1059</v>
      </c>
      <c r="E217" t="s">
        <v>1088</v>
      </c>
      <c r="F217" t="s">
        <v>1049</v>
      </c>
      <c r="G217" t="s">
        <v>37</v>
      </c>
      <c r="H217" t="s">
        <v>38</v>
      </c>
      <c r="I217" s="6"/>
      <c r="J217" s="6" t="s">
        <v>39</v>
      </c>
      <c r="K217" t="s">
        <v>1060</v>
      </c>
      <c r="L217" s="6" t="s">
        <v>1089</v>
      </c>
      <c r="M217" s="6" t="s">
        <v>1090</v>
      </c>
      <c r="N217" s="6" t="s">
        <v>1091</v>
      </c>
      <c r="O217" s="6" t="s">
        <v>1092</v>
      </c>
    </row>
    <row r="218" spans="1:15" ht="115.2" x14ac:dyDescent="0.3">
      <c r="A218" t="s">
        <v>32</v>
      </c>
      <c r="B218" t="s">
        <v>1026</v>
      </c>
      <c r="C218" t="s">
        <v>44</v>
      </c>
      <c r="D218" s="6" t="s">
        <v>1093</v>
      </c>
      <c r="E218" t="s">
        <v>1094</v>
      </c>
      <c r="F218" t="s">
        <v>1049</v>
      </c>
      <c r="G218" t="s">
        <v>37</v>
      </c>
      <c r="H218" t="s">
        <v>38</v>
      </c>
      <c r="I218" s="6"/>
      <c r="J218" s="6" t="s">
        <v>39</v>
      </c>
      <c r="K218" t="s">
        <v>1060</v>
      </c>
      <c r="L218" s="6" t="s">
        <v>1089</v>
      </c>
      <c r="M218" s="6" t="s">
        <v>1090</v>
      </c>
      <c r="N218" s="6" t="s">
        <v>1091</v>
      </c>
      <c r="O218" s="6" t="s">
        <v>1092</v>
      </c>
    </row>
    <row r="219" spans="1:15" ht="115.2" x14ac:dyDescent="0.3">
      <c r="A219" t="s">
        <v>32</v>
      </c>
      <c r="B219" t="s">
        <v>1026</v>
      </c>
      <c r="C219" t="s">
        <v>44</v>
      </c>
      <c r="D219" s="6" t="s">
        <v>1093</v>
      </c>
      <c r="E219" t="s">
        <v>1095</v>
      </c>
      <c r="F219" t="s">
        <v>1049</v>
      </c>
      <c r="G219" t="s">
        <v>37</v>
      </c>
      <c r="H219" t="s">
        <v>38</v>
      </c>
      <c r="I219" s="6"/>
      <c r="J219" s="6" t="s">
        <v>39</v>
      </c>
      <c r="K219" t="s">
        <v>1060</v>
      </c>
      <c r="L219" s="6" t="s">
        <v>1089</v>
      </c>
      <c r="M219" s="6" t="s">
        <v>1090</v>
      </c>
      <c r="N219" s="6" t="s">
        <v>1091</v>
      </c>
      <c r="O219" s="6" t="s">
        <v>1092</v>
      </c>
    </row>
    <row r="220" spans="1:15" ht="28.8" x14ac:dyDescent="0.3">
      <c r="A220" t="s">
        <v>32</v>
      </c>
      <c r="B220" t="s">
        <v>1026</v>
      </c>
      <c r="C220" t="s">
        <v>44</v>
      </c>
      <c r="D220" s="6" t="s">
        <v>1093</v>
      </c>
      <c r="E220" t="s">
        <v>1096</v>
      </c>
      <c r="F220" t="s">
        <v>71</v>
      </c>
      <c r="G220" t="s">
        <v>161</v>
      </c>
      <c r="H220" t="s">
        <v>38</v>
      </c>
      <c r="I220" s="6"/>
      <c r="J220" s="6" t="s">
        <v>39</v>
      </c>
      <c r="L220" s="6" t="s">
        <v>1097</v>
      </c>
      <c r="M220" s="6" t="s">
        <v>1097</v>
      </c>
      <c r="N220" s="6" t="s">
        <v>1098</v>
      </c>
      <c r="O220" s="6" t="s">
        <v>1099</v>
      </c>
    </row>
    <row r="221" spans="1:15" ht="28.8" x14ac:dyDescent="0.3">
      <c r="A221" t="s">
        <v>32</v>
      </c>
      <c r="B221" t="s">
        <v>1026</v>
      </c>
      <c r="C221" t="s">
        <v>44</v>
      </c>
      <c r="D221" s="6" t="s">
        <v>1100</v>
      </c>
      <c r="E221" t="s">
        <v>1041</v>
      </c>
      <c r="F221" t="s">
        <v>71</v>
      </c>
      <c r="G221" t="s">
        <v>161</v>
      </c>
      <c r="H221" t="s">
        <v>38</v>
      </c>
      <c r="I221" s="6"/>
      <c r="J221" s="6" t="s">
        <v>39</v>
      </c>
      <c r="L221" s="6" t="s">
        <v>1097</v>
      </c>
      <c r="M221" s="6" t="s">
        <v>1097</v>
      </c>
      <c r="N221" s="6" t="s">
        <v>1098</v>
      </c>
      <c r="O221" s="6" t="s">
        <v>1099</v>
      </c>
    </row>
    <row r="222" spans="1:15" ht="28.8" x14ac:dyDescent="0.3">
      <c r="A222" t="s">
        <v>32</v>
      </c>
      <c r="B222" t="s">
        <v>1026</v>
      </c>
      <c r="C222" t="s">
        <v>44</v>
      </c>
      <c r="D222" s="6" t="s">
        <v>1100</v>
      </c>
      <c r="E222" t="s">
        <v>577</v>
      </c>
      <c r="F222" t="s">
        <v>71</v>
      </c>
      <c r="G222" t="s">
        <v>161</v>
      </c>
      <c r="H222" t="s">
        <v>38</v>
      </c>
      <c r="I222" s="6"/>
      <c r="J222" s="6" t="s">
        <v>39</v>
      </c>
      <c r="L222" s="6" t="s">
        <v>1097</v>
      </c>
      <c r="M222" s="6" t="s">
        <v>1097</v>
      </c>
      <c r="N222" s="6" t="s">
        <v>1098</v>
      </c>
      <c r="O222" s="6" t="s">
        <v>1099</v>
      </c>
    </row>
    <row r="223" spans="1:15" ht="409.6" x14ac:dyDescent="0.3">
      <c r="A223" t="s">
        <v>32</v>
      </c>
      <c r="B223" t="s">
        <v>1026</v>
      </c>
      <c r="C223" t="s">
        <v>55</v>
      </c>
      <c r="D223" s="6" t="s">
        <v>1101</v>
      </c>
      <c r="E223" t="s">
        <v>44</v>
      </c>
      <c r="F223" t="s">
        <v>51</v>
      </c>
      <c r="G223" t="s">
        <v>161</v>
      </c>
      <c r="H223" t="s">
        <v>38</v>
      </c>
      <c r="I223" s="6" t="s">
        <v>1102</v>
      </c>
      <c r="J223" s="6" t="s">
        <v>39</v>
      </c>
      <c r="L223" s="6" t="s">
        <v>1103</v>
      </c>
      <c r="M223" s="6" t="s">
        <v>1104</v>
      </c>
      <c r="N223" s="6" t="s">
        <v>1105</v>
      </c>
      <c r="O223" s="6" t="s">
        <v>1106</v>
      </c>
    </row>
    <row r="224" spans="1:15" x14ac:dyDescent="0.3">
      <c r="A224" t="s">
        <v>32</v>
      </c>
      <c r="B224" t="s">
        <v>1026</v>
      </c>
      <c r="C224" t="s">
        <v>55</v>
      </c>
      <c r="D224" s="6" t="s">
        <v>1107</v>
      </c>
      <c r="E224" t="s">
        <v>884</v>
      </c>
      <c r="F224" t="s">
        <v>71</v>
      </c>
      <c r="G224" t="s">
        <v>87</v>
      </c>
      <c r="H224" t="s">
        <v>37</v>
      </c>
      <c r="I224" s="6"/>
      <c r="J224" s="6"/>
      <c r="L224" s="6"/>
      <c r="M224" s="6"/>
      <c r="N224" s="6"/>
      <c r="O224" s="6"/>
    </row>
    <row r="225" spans="1:15" ht="28.8" x14ac:dyDescent="0.3">
      <c r="A225" t="s">
        <v>32</v>
      </c>
      <c r="B225" t="s">
        <v>1026</v>
      </c>
      <c r="C225" t="s">
        <v>55</v>
      </c>
      <c r="D225" s="6" t="s">
        <v>1108</v>
      </c>
      <c r="E225" t="s">
        <v>660</v>
      </c>
      <c r="F225" t="s">
        <v>71</v>
      </c>
      <c r="G225" t="s">
        <v>37</v>
      </c>
      <c r="H225" t="s">
        <v>38</v>
      </c>
      <c r="I225" s="6"/>
      <c r="J225" s="6"/>
      <c r="L225" s="6" t="s">
        <v>1109</v>
      </c>
      <c r="M225" s="6" t="s">
        <v>1110</v>
      </c>
      <c r="N225" s="6" t="s">
        <v>1111</v>
      </c>
      <c r="O225" s="6" t="s">
        <v>1112</v>
      </c>
    </row>
    <row r="226" spans="1:15" ht="273.60000000000002" x14ac:dyDescent="0.3">
      <c r="A226" t="s">
        <v>32</v>
      </c>
      <c r="B226" t="s">
        <v>1026</v>
      </c>
      <c r="C226" t="s">
        <v>55</v>
      </c>
      <c r="D226" s="6" t="s">
        <v>1059</v>
      </c>
      <c r="E226" t="s">
        <v>442</v>
      </c>
      <c r="F226" t="s">
        <v>51</v>
      </c>
      <c r="G226" t="s">
        <v>37</v>
      </c>
      <c r="H226" t="s">
        <v>38</v>
      </c>
      <c r="I226" s="6" t="s">
        <v>51</v>
      </c>
      <c r="J226" s="6" t="s">
        <v>39</v>
      </c>
      <c r="K226" t="s">
        <v>1113</v>
      </c>
      <c r="L226" s="6" t="s">
        <v>1114</v>
      </c>
      <c r="M226" s="6" t="s">
        <v>1115</v>
      </c>
      <c r="N226" s="6" t="s">
        <v>1116</v>
      </c>
      <c r="O226" s="6" t="s">
        <v>1117</v>
      </c>
    </row>
    <row r="227" spans="1:15" x14ac:dyDescent="0.3">
      <c r="A227" t="s">
        <v>32</v>
      </c>
      <c r="B227" t="s">
        <v>1026</v>
      </c>
      <c r="C227" t="s">
        <v>55</v>
      </c>
      <c r="D227" s="6" t="s">
        <v>1118</v>
      </c>
      <c r="E227" t="s">
        <v>1119</v>
      </c>
      <c r="F227" t="s">
        <v>71</v>
      </c>
      <c r="G227" t="s">
        <v>161</v>
      </c>
      <c r="H227" t="s">
        <v>38</v>
      </c>
      <c r="I227" s="6"/>
      <c r="J227" s="6" t="s">
        <v>39</v>
      </c>
      <c r="L227" s="6" t="s">
        <v>1120</v>
      </c>
      <c r="M227" s="6" t="s">
        <v>1120</v>
      </c>
      <c r="N227" s="6" t="s">
        <v>1121</v>
      </c>
      <c r="O227" s="6" t="s">
        <v>1122</v>
      </c>
    </row>
    <row r="228" spans="1:15" ht="28.8" x14ac:dyDescent="0.3">
      <c r="A228" t="s">
        <v>32</v>
      </c>
      <c r="B228" t="s">
        <v>1026</v>
      </c>
      <c r="C228" t="s">
        <v>55</v>
      </c>
      <c r="D228" s="6" t="s">
        <v>1123</v>
      </c>
      <c r="E228" t="s">
        <v>577</v>
      </c>
      <c r="F228" t="s">
        <v>71</v>
      </c>
      <c r="G228" t="s">
        <v>161</v>
      </c>
      <c r="H228" t="s">
        <v>38</v>
      </c>
      <c r="I228" s="6"/>
      <c r="J228" s="6" t="s">
        <v>39</v>
      </c>
      <c r="L228" s="6" t="s">
        <v>1120</v>
      </c>
      <c r="M228" s="6" t="s">
        <v>1120</v>
      </c>
      <c r="N228" s="6" t="s">
        <v>1121</v>
      </c>
      <c r="O228" s="6" t="s">
        <v>1122</v>
      </c>
    </row>
    <row r="229" spans="1:15" ht="86.4" x14ac:dyDescent="0.3">
      <c r="A229" t="s">
        <v>32</v>
      </c>
      <c r="B229" t="s">
        <v>1026</v>
      </c>
      <c r="C229" t="s">
        <v>61</v>
      </c>
      <c r="D229" s="6" t="s">
        <v>1124</v>
      </c>
      <c r="E229" t="s">
        <v>50</v>
      </c>
      <c r="F229" t="s">
        <v>71</v>
      </c>
      <c r="G229" t="s">
        <v>161</v>
      </c>
      <c r="H229" t="s">
        <v>38</v>
      </c>
      <c r="I229" s="6"/>
      <c r="J229" s="6" t="s">
        <v>39</v>
      </c>
      <c r="L229" s="6" t="s">
        <v>1125</v>
      </c>
      <c r="M229" s="6" t="s">
        <v>1126</v>
      </c>
      <c r="N229" s="6" t="s">
        <v>1127</v>
      </c>
      <c r="O229" s="6" t="s">
        <v>1128</v>
      </c>
    </row>
    <row r="230" spans="1:15" ht="28.8" x14ac:dyDescent="0.3">
      <c r="A230" t="s">
        <v>32</v>
      </c>
      <c r="B230" t="s">
        <v>1026</v>
      </c>
      <c r="C230" t="s">
        <v>61</v>
      </c>
      <c r="D230" s="6" t="s">
        <v>1129</v>
      </c>
      <c r="E230" t="s">
        <v>343</v>
      </c>
      <c r="F230" t="s">
        <v>71</v>
      </c>
      <c r="G230" t="s">
        <v>87</v>
      </c>
      <c r="H230" t="s">
        <v>37</v>
      </c>
      <c r="I230" s="6"/>
      <c r="J230" s="6"/>
      <c r="L230" s="6"/>
      <c r="M230" s="6"/>
      <c r="N230" s="6"/>
      <c r="O230" s="6"/>
    </row>
    <row r="231" spans="1:15" ht="43.2" x14ac:dyDescent="0.3">
      <c r="A231" t="s">
        <v>32</v>
      </c>
      <c r="B231" t="s">
        <v>1026</v>
      </c>
      <c r="C231" t="s">
        <v>61</v>
      </c>
      <c r="D231" s="6" t="s">
        <v>1129</v>
      </c>
      <c r="E231" t="s">
        <v>1130</v>
      </c>
      <c r="F231" t="s">
        <v>71</v>
      </c>
      <c r="G231" t="s">
        <v>37</v>
      </c>
      <c r="H231" t="s">
        <v>38</v>
      </c>
      <c r="I231" s="6"/>
      <c r="J231" s="6"/>
      <c r="L231" s="6" t="s">
        <v>1131</v>
      </c>
      <c r="M231" s="6" t="s">
        <v>1132</v>
      </c>
      <c r="N231" s="6" t="s">
        <v>1133</v>
      </c>
      <c r="O231" s="6" t="s">
        <v>1134</v>
      </c>
    </row>
    <row r="232" spans="1:15" ht="86.4" x14ac:dyDescent="0.3">
      <c r="A232" t="s">
        <v>32</v>
      </c>
      <c r="B232" t="s">
        <v>1026</v>
      </c>
      <c r="C232" t="s">
        <v>61</v>
      </c>
      <c r="D232" s="6" t="s">
        <v>1135</v>
      </c>
      <c r="E232" t="s">
        <v>1136</v>
      </c>
      <c r="F232" t="s">
        <v>1049</v>
      </c>
      <c r="G232" t="s">
        <v>37</v>
      </c>
      <c r="H232" t="s">
        <v>38</v>
      </c>
      <c r="I232" s="6"/>
      <c r="J232" s="6" t="s">
        <v>39</v>
      </c>
      <c r="K232" t="s">
        <v>1042</v>
      </c>
      <c r="L232" s="6" t="s">
        <v>1137</v>
      </c>
      <c r="M232" s="6" t="s">
        <v>1138</v>
      </c>
      <c r="N232" s="6" t="s">
        <v>1139</v>
      </c>
      <c r="O232" s="6" t="s">
        <v>1140</v>
      </c>
    </row>
    <row r="233" spans="1:15" ht="28.8" x14ac:dyDescent="0.3">
      <c r="A233" t="s">
        <v>32</v>
      </c>
      <c r="B233" t="s">
        <v>1026</v>
      </c>
      <c r="C233" t="s">
        <v>61</v>
      </c>
      <c r="D233" s="6" t="s">
        <v>1141</v>
      </c>
      <c r="E233" t="s">
        <v>1142</v>
      </c>
      <c r="F233" t="s">
        <v>71</v>
      </c>
      <c r="G233" t="s">
        <v>161</v>
      </c>
      <c r="H233" t="s">
        <v>38</v>
      </c>
      <c r="I233" s="6"/>
      <c r="J233" s="6" t="s">
        <v>39</v>
      </c>
      <c r="L233" s="6" t="s">
        <v>1143</v>
      </c>
      <c r="M233" s="6" t="s">
        <v>1143</v>
      </c>
      <c r="N233" s="6" t="s">
        <v>1144</v>
      </c>
      <c r="O233" s="6" t="s">
        <v>1145</v>
      </c>
    </row>
    <row r="234" spans="1:15" ht="28.8" x14ac:dyDescent="0.3">
      <c r="A234" t="s">
        <v>32</v>
      </c>
      <c r="B234" t="s">
        <v>1026</v>
      </c>
      <c r="C234" t="s">
        <v>61</v>
      </c>
      <c r="D234" s="6" t="s">
        <v>1141</v>
      </c>
      <c r="E234" t="s">
        <v>1146</v>
      </c>
      <c r="F234" t="s">
        <v>71</v>
      </c>
      <c r="G234" t="s">
        <v>161</v>
      </c>
      <c r="H234" t="s">
        <v>38</v>
      </c>
      <c r="I234" s="6"/>
      <c r="J234" s="6"/>
      <c r="L234" s="6" t="s">
        <v>1147</v>
      </c>
      <c r="M234" s="6"/>
      <c r="N234" s="6"/>
      <c r="O234" s="6" t="s">
        <v>1145</v>
      </c>
    </row>
    <row r="235" spans="1:15" ht="86.4" x14ac:dyDescent="0.3">
      <c r="A235" t="s">
        <v>32</v>
      </c>
      <c r="B235" t="s">
        <v>1026</v>
      </c>
      <c r="C235" t="s">
        <v>97</v>
      </c>
      <c r="D235" s="6" t="s">
        <v>1148</v>
      </c>
      <c r="E235" t="s">
        <v>55</v>
      </c>
      <c r="F235" t="s">
        <v>1149</v>
      </c>
      <c r="G235" t="s">
        <v>161</v>
      </c>
      <c r="H235" t="s">
        <v>38</v>
      </c>
      <c r="I235" s="6" t="s">
        <v>1149</v>
      </c>
      <c r="J235" s="6" t="s">
        <v>39</v>
      </c>
      <c r="L235" s="6" t="s">
        <v>1150</v>
      </c>
      <c r="M235" s="6" t="s">
        <v>1151</v>
      </c>
      <c r="N235" s="6" t="s">
        <v>1152</v>
      </c>
      <c r="O235" s="6" t="s">
        <v>1153</v>
      </c>
    </row>
    <row r="236" spans="1:15" x14ac:dyDescent="0.3">
      <c r="A236" t="s">
        <v>32</v>
      </c>
      <c r="B236" t="s">
        <v>1026</v>
      </c>
      <c r="C236" t="s">
        <v>97</v>
      </c>
      <c r="D236" s="6" t="s">
        <v>1154</v>
      </c>
      <c r="E236" t="s">
        <v>343</v>
      </c>
      <c r="F236" t="s">
        <v>71</v>
      </c>
      <c r="G236" t="s">
        <v>87</v>
      </c>
      <c r="H236" t="s">
        <v>37</v>
      </c>
      <c r="I236" s="6"/>
      <c r="J236" s="6"/>
      <c r="L236" s="6"/>
      <c r="M236" s="6"/>
      <c r="N236" s="6"/>
      <c r="O236" s="6"/>
    </row>
    <row r="237" spans="1:15" ht="86.4" x14ac:dyDescent="0.3">
      <c r="A237" t="s">
        <v>32</v>
      </c>
      <c r="B237" t="s">
        <v>1026</v>
      </c>
      <c r="C237" t="s">
        <v>97</v>
      </c>
      <c r="D237" s="6" t="s">
        <v>1155</v>
      </c>
      <c r="E237" t="s">
        <v>448</v>
      </c>
      <c r="F237" t="s">
        <v>1049</v>
      </c>
      <c r="G237" t="s">
        <v>37</v>
      </c>
      <c r="H237" t="s">
        <v>38</v>
      </c>
      <c r="I237" s="6" t="s">
        <v>1149</v>
      </c>
      <c r="J237" s="6" t="s">
        <v>39</v>
      </c>
      <c r="K237" t="s">
        <v>1060</v>
      </c>
      <c r="L237" s="6" t="s">
        <v>1156</v>
      </c>
      <c r="M237" s="6" t="s">
        <v>1157</v>
      </c>
      <c r="N237" s="6" t="s">
        <v>1158</v>
      </c>
      <c r="O237" s="6" t="s">
        <v>1159</v>
      </c>
    </row>
    <row r="238" spans="1:15" ht="72" x14ac:dyDescent="0.3">
      <c r="A238" t="s">
        <v>32</v>
      </c>
      <c r="B238" t="s">
        <v>1026</v>
      </c>
      <c r="C238" t="s">
        <v>97</v>
      </c>
      <c r="D238" s="6" t="s">
        <v>1160</v>
      </c>
      <c r="E238" t="s">
        <v>1142</v>
      </c>
      <c r="F238" t="s">
        <v>71</v>
      </c>
      <c r="G238" t="s">
        <v>161</v>
      </c>
      <c r="H238" t="s">
        <v>38</v>
      </c>
      <c r="I238" s="6"/>
      <c r="J238" s="6" t="s">
        <v>39</v>
      </c>
      <c r="L238" s="6" t="s">
        <v>1161</v>
      </c>
      <c r="M238" s="6" t="s">
        <v>1161</v>
      </c>
      <c r="N238" s="6" t="s">
        <v>1162</v>
      </c>
      <c r="O238" s="6" t="s">
        <v>1163</v>
      </c>
    </row>
    <row r="239" spans="1:15" ht="115.2" x14ac:dyDescent="0.3">
      <c r="A239" t="s">
        <v>32</v>
      </c>
      <c r="B239" t="s">
        <v>1026</v>
      </c>
      <c r="C239" t="s">
        <v>102</v>
      </c>
      <c r="D239" s="6" t="s">
        <v>1059</v>
      </c>
      <c r="E239" t="s">
        <v>55</v>
      </c>
      <c r="F239" t="s">
        <v>378</v>
      </c>
      <c r="G239" t="s">
        <v>161</v>
      </c>
      <c r="H239" t="s">
        <v>38</v>
      </c>
      <c r="I239" s="6" t="s">
        <v>378</v>
      </c>
      <c r="J239" s="6" t="s">
        <v>39</v>
      </c>
      <c r="L239" s="6" t="s">
        <v>1164</v>
      </c>
      <c r="M239" s="6" t="s">
        <v>1165</v>
      </c>
      <c r="N239" s="6" t="s">
        <v>1166</v>
      </c>
      <c r="O239" s="6" t="s">
        <v>1167</v>
      </c>
    </row>
    <row r="240" spans="1:15" ht="115.2" x14ac:dyDescent="0.3">
      <c r="A240" t="s">
        <v>32</v>
      </c>
      <c r="B240" t="s">
        <v>1026</v>
      </c>
      <c r="C240" t="s">
        <v>102</v>
      </c>
      <c r="D240" s="6" t="s">
        <v>1168</v>
      </c>
      <c r="E240" t="s">
        <v>343</v>
      </c>
      <c r="F240" t="s">
        <v>1049</v>
      </c>
      <c r="G240" t="s">
        <v>37</v>
      </c>
      <c r="H240" t="s">
        <v>38</v>
      </c>
      <c r="I240" s="6"/>
      <c r="J240" s="6" t="s">
        <v>39</v>
      </c>
      <c r="L240" s="6" t="s">
        <v>1169</v>
      </c>
      <c r="M240" s="6" t="s">
        <v>1170</v>
      </c>
      <c r="N240" s="6" t="s">
        <v>1171</v>
      </c>
      <c r="O240" s="6" t="s">
        <v>1172</v>
      </c>
    </row>
    <row r="241" spans="1:15" ht="43.2" x14ac:dyDescent="0.3">
      <c r="A241" t="s">
        <v>32</v>
      </c>
      <c r="B241" t="s">
        <v>1026</v>
      </c>
      <c r="C241" t="s">
        <v>102</v>
      </c>
      <c r="D241" s="6" t="s">
        <v>1059</v>
      </c>
      <c r="E241" t="s">
        <v>448</v>
      </c>
      <c r="F241" t="s">
        <v>71</v>
      </c>
      <c r="G241" t="s">
        <v>37</v>
      </c>
      <c r="H241" t="s">
        <v>38</v>
      </c>
      <c r="I241" s="6"/>
      <c r="J241" s="6" t="s">
        <v>39</v>
      </c>
      <c r="K241" t="s">
        <v>1042</v>
      </c>
      <c r="L241" s="6" t="s">
        <v>1173</v>
      </c>
      <c r="M241" s="6" t="s">
        <v>1174</v>
      </c>
      <c r="N241" s="6" t="s">
        <v>1175</v>
      </c>
      <c r="O241" s="6" t="s">
        <v>1176</v>
      </c>
    </row>
    <row r="242" spans="1:15" ht="72" x14ac:dyDescent="0.3">
      <c r="A242" t="s">
        <v>32</v>
      </c>
      <c r="B242" t="s">
        <v>1026</v>
      </c>
      <c r="C242" t="s">
        <v>102</v>
      </c>
      <c r="D242" s="6" t="s">
        <v>1177</v>
      </c>
      <c r="E242" t="s">
        <v>1142</v>
      </c>
      <c r="F242" t="s">
        <v>71</v>
      </c>
      <c r="G242" t="s">
        <v>161</v>
      </c>
      <c r="H242" t="s">
        <v>38</v>
      </c>
      <c r="I242" s="6" t="s">
        <v>1178</v>
      </c>
      <c r="J242" s="6" t="s">
        <v>39</v>
      </c>
      <c r="L242" s="6" t="s">
        <v>1179</v>
      </c>
      <c r="M242" s="6" t="s">
        <v>1179</v>
      </c>
      <c r="N242" s="6" t="s">
        <v>1180</v>
      </c>
      <c r="O242" s="6" t="s">
        <v>1181</v>
      </c>
    </row>
    <row r="243" spans="1:15" ht="409.6" x14ac:dyDescent="0.3">
      <c r="A243" t="s">
        <v>32</v>
      </c>
      <c r="B243" t="s">
        <v>1026</v>
      </c>
      <c r="C243" t="s">
        <v>77</v>
      </c>
      <c r="D243" s="6" t="s">
        <v>1059</v>
      </c>
      <c r="E243" t="s">
        <v>63</v>
      </c>
      <c r="F243" t="s">
        <v>378</v>
      </c>
      <c r="G243" t="s">
        <v>161</v>
      </c>
      <c r="H243" t="s">
        <v>38</v>
      </c>
      <c r="I243" s="6" t="s">
        <v>378</v>
      </c>
      <c r="J243" s="6" t="s">
        <v>39</v>
      </c>
      <c r="L243" s="6" t="s">
        <v>1182</v>
      </c>
      <c r="M243" s="6" t="s">
        <v>1183</v>
      </c>
      <c r="N243" s="6" t="s">
        <v>1184</v>
      </c>
      <c r="O243" s="6" t="s">
        <v>1185</v>
      </c>
    </row>
    <row r="244" spans="1:15" ht="144" x14ac:dyDescent="0.3">
      <c r="A244" t="s">
        <v>32</v>
      </c>
      <c r="B244" t="s">
        <v>1026</v>
      </c>
      <c r="C244" t="s">
        <v>77</v>
      </c>
      <c r="D244" s="6" t="s">
        <v>1059</v>
      </c>
      <c r="E244" t="s">
        <v>1186</v>
      </c>
      <c r="F244" t="s">
        <v>71</v>
      </c>
      <c r="G244" t="s">
        <v>37</v>
      </c>
      <c r="H244" t="s">
        <v>38</v>
      </c>
      <c r="I244" s="6"/>
      <c r="J244" s="6" t="s">
        <v>39</v>
      </c>
      <c r="K244" t="s">
        <v>1042</v>
      </c>
      <c r="L244" s="6" t="s">
        <v>1187</v>
      </c>
      <c r="M244" s="6" t="s">
        <v>1188</v>
      </c>
      <c r="N244" s="6" t="s">
        <v>1189</v>
      </c>
      <c r="O244" s="6" t="s">
        <v>1190</v>
      </c>
    </row>
    <row r="245" spans="1:15" ht="115.2" x14ac:dyDescent="0.3">
      <c r="A245" t="s">
        <v>32</v>
      </c>
      <c r="B245" t="s">
        <v>1026</v>
      </c>
      <c r="C245" t="s">
        <v>118</v>
      </c>
      <c r="D245" s="6" t="s">
        <v>1191</v>
      </c>
      <c r="E245" t="s">
        <v>271</v>
      </c>
      <c r="F245" t="s">
        <v>378</v>
      </c>
      <c r="G245" t="s">
        <v>161</v>
      </c>
      <c r="H245" t="s">
        <v>38</v>
      </c>
      <c r="I245" s="6" t="s">
        <v>378</v>
      </c>
      <c r="J245" s="6" t="s">
        <v>39</v>
      </c>
      <c r="L245" s="6" t="s">
        <v>1192</v>
      </c>
      <c r="M245" s="6" t="s">
        <v>1165</v>
      </c>
      <c r="N245" s="6" t="s">
        <v>1166</v>
      </c>
      <c r="O245" s="6" t="s">
        <v>1167</v>
      </c>
    </row>
    <row r="246" spans="1:15" ht="100.8" x14ac:dyDescent="0.3">
      <c r="A246" t="s">
        <v>32</v>
      </c>
      <c r="B246" t="s">
        <v>1026</v>
      </c>
      <c r="C246" t="s">
        <v>118</v>
      </c>
      <c r="D246" s="6" t="s">
        <v>1059</v>
      </c>
      <c r="E246" t="s">
        <v>1193</v>
      </c>
      <c r="F246" t="s">
        <v>71</v>
      </c>
      <c r="G246" t="s">
        <v>37</v>
      </c>
      <c r="H246" t="s">
        <v>38</v>
      </c>
      <c r="I246" s="6"/>
      <c r="J246" s="6" t="s">
        <v>39</v>
      </c>
      <c r="K246" t="s">
        <v>1042</v>
      </c>
      <c r="L246" s="6" t="s">
        <v>1194</v>
      </c>
      <c r="M246" s="6" t="s">
        <v>1195</v>
      </c>
      <c r="N246" s="6" t="s">
        <v>1196</v>
      </c>
      <c r="O246" s="6" t="s">
        <v>1197</v>
      </c>
    </row>
    <row r="247" spans="1:15" ht="57.6" x14ac:dyDescent="0.3">
      <c r="A247" t="s">
        <v>32</v>
      </c>
      <c r="B247" t="s">
        <v>1026</v>
      </c>
      <c r="C247" t="s">
        <v>150</v>
      </c>
      <c r="D247" s="6" t="s">
        <v>1198</v>
      </c>
      <c r="E247" t="s">
        <v>97</v>
      </c>
      <c r="F247" t="s">
        <v>378</v>
      </c>
      <c r="G247" t="s">
        <v>161</v>
      </c>
      <c r="H247" t="s">
        <v>38</v>
      </c>
      <c r="I247" s="6" t="s">
        <v>378</v>
      </c>
      <c r="J247" s="6" t="s">
        <v>39</v>
      </c>
      <c r="L247" s="6" t="s">
        <v>1199</v>
      </c>
      <c r="M247" s="6" t="s">
        <v>1199</v>
      </c>
      <c r="N247" s="6" t="s">
        <v>1200</v>
      </c>
      <c r="O247" s="6" t="s">
        <v>1201</v>
      </c>
    </row>
    <row r="248" spans="1:15" ht="172.8" x14ac:dyDescent="0.3">
      <c r="A248" t="s">
        <v>32</v>
      </c>
      <c r="B248" t="s">
        <v>1026</v>
      </c>
      <c r="C248" t="s">
        <v>150</v>
      </c>
      <c r="D248" s="6" t="s">
        <v>1059</v>
      </c>
      <c r="E248" t="s">
        <v>1202</v>
      </c>
      <c r="F248" t="s">
        <v>71</v>
      </c>
      <c r="G248" t="s">
        <v>37</v>
      </c>
      <c r="H248" t="s">
        <v>38</v>
      </c>
      <c r="I248" s="6"/>
      <c r="J248" s="6" t="s">
        <v>39</v>
      </c>
      <c r="K248" t="s">
        <v>1042</v>
      </c>
      <c r="L248" s="6" t="s">
        <v>1203</v>
      </c>
      <c r="M248" s="6" t="s">
        <v>1204</v>
      </c>
      <c r="N248" s="6" t="s">
        <v>1205</v>
      </c>
      <c r="O248" s="6" t="s">
        <v>1206</v>
      </c>
    </row>
    <row r="249" spans="1:15" ht="115.2" x14ac:dyDescent="0.3">
      <c r="A249" t="s">
        <v>32</v>
      </c>
      <c r="B249" t="s">
        <v>1026</v>
      </c>
      <c r="C249" t="s">
        <v>125</v>
      </c>
      <c r="D249" s="6" t="s">
        <v>1059</v>
      </c>
      <c r="E249" t="s">
        <v>289</v>
      </c>
      <c r="F249" t="s">
        <v>378</v>
      </c>
      <c r="G249" t="s">
        <v>161</v>
      </c>
      <c r="H249" t="s">
        <v>38</v>
      </c>
      <c r="I249" s="6" t="s">
        <v>378</v>
      </c>
      <c r="J249" s="6" t="s">
        <v>39</v>
      </c>
      <c r="L249" s="6" t="s">
        <v>1192</v>
      </c>
      <c r="M249" s="6" t="s">
        <v>1165</v>
      </c>
      <c r="N249" s="6" t="s">
        <v>1166</v>
      </c>
      <c r="O249" s="6" t="s">
        <v>1167</v>
      </c>
    </row>
    <row r="250" spans="1:15" ht="43.2" x14ac:dyDescent="0.3">
      <c r="A250" t="s">
        <v>32</v>
      </c>
      <c r="B250" t="s">
        <v>1026</v>
      </c>
      <c r="C250" t="s">
        <v>125</v>
      </c>
      <c r="D250" s="6" t="s">
        <v>1059</v>
      </c>
      <c r="E250" t="s">
        <v>461</v>
      </c>
      <c r="F250" t="s">
        <v>71</v>
      </c>
      <c r="G250" t="s">
        <v>37</v>
      </c>
      <c r="H250" t="s">
        <v>38</v>
      </c>
      <c r="I250" s="6"/>
      <c r="J250" s="6" t="s">
        <v>39</v>
      </c>
      <c r="K250" t="s">
        <v>1042</v>
      </c>
      <c r="L250" s="6" t="s">
        <v>1207</v>
      </c>
      <c r="M250" s="6" t="s">
        <v>1208</v>
      </c>
      <c r="N250" s="6" t="s">
        <v>1209</v>
      </c>
      <c r="O250" s="6" t="s">
        <v>1210</v>
      </c>
    </row>
    <row r="251" spans="1:15" ht="115.2" x14ac:dyDescent="0.3">
      <c r="A251" t="s">
        <v>32</v>
      </c>
      <c r="B251" t="s">
        <v>1026</v>
      </c>
      <c r="C251" t="s">
        <v>248</v>
      </c>
      <c r="D251" s="6" t="s">
        <v>1059</v>
      </c>
      <c r="E251" t="s">
        <v>296</v>
      </c>
      <c r="F251" t="s">
        <v>378</v>
      </c>
      <c r="G251" t="s">
        <v>161</v>
      </c>
      <c r="H251" t="s">
        <v>38</v>
      </c>
      <c r="I251" s="6" t="s">
        <v>378</v>
      </c>
      <c r="J251" s="6" t="s">
        <v>39</v>
      </c>
      <c r="L251" s="6" t="s">
        <v>1192</v>
      </c>
      <c r="M251" s="6" t="s">
        <v>1165</v>
      </c>
      <c r="N251" s="6" t="s">
        <v>1166</v>
      </c>
      <c r="O251" s="6" t="s">
        <v>1167</v>
      </c>
    </row>
    <row r="252" spans="1:15" ht="129.6" x14ac:dyDescent="0.3">
      <c r="A252" t="s">
        <v>32</v>
      </c>
      <c r="B252" t="s">
        <v>1026</v>
      </c>
      <c r="C252" t="s">
        <v>248</v>
      </c>
      <c r="D252" s="6" t="s">
        <v>1059</v>
      </c>
      <c r="E252" t="s">
        <v>1211</v>
      </c>
      <c r="F252" t="s">
        <v>71</v>
      </c>
      <c r="G252" t="s">
        <v>37</v>
      </c>
      <c r="H252" t="s">
        <v>38</v>
      </c>
      <c r="I252" s="6"/>
      <c r="J252" s="6" t="s">
        <v>39</v>
      </c>
      <c r="K252" t="s">
        <v>1042</v>
      </c>
      <c r="L252" s="6" t="s">
        <v>1212</v>
      </c>
      <c r="M252" s="6" t="s">
        <v>1213</v>
      </c>
      <c r="N252" s="6" t="s">
        <v>1214</v>
      </c>
      <c r="O252" s="6" t="s">
        <v>1215</v>
      </c>
    </row>
    <row r="253" spans="1:15" ht="28.8" x14ac:dyDescent="0.3">
      <c r="A253" t="s">
        <v>32</v>
      </c>
      <c r="B253" t="s">
        <v>1026</v>
      </c>
      <c r="C253" t="s">
        <v>250</v>
      </c>
      <c r="D253" s="6" t="s">
        <v>1216</v>
      </c>
      <c r="E253" t="s">
        <v>323</v>
      </c>
      <c r="F253" t="s">
        <v>71</v>
      </c>
      <c r="G253" t="s">
        <v>87</v>
      </c>
      <c r="H253" t="s">
        <v>37</v>
      </c>
      <c r="I253" s="6"/>
      <c r="J253" s="6"/>
      <c r="L253" s="6"/>
      <c r="M253" s="6"/>
      <c r="N253" s="6"/>
      <c r="O253" s="6"/>
    </row>
    <row r="254" spans="1:15" ht="57.6" x14ac:dyDescent="0.3">
      <c r="A254" t="s">
        <v>32</v>
      </c>
      <c r="B254" t="s">
        <v>1026</v>
      </c>
      <c r="C254" t="s">
        <v>250</v>
      </c>
      <c r="D254" s="6" t="s">
        <v>1217</v>
      </c>
      <c r="E254" t="s">
        <v>1218</v>
      </c>
      <c r="F254" t="s">
        <v>71</v>
      </c>
      <c r="G254" t="s">
        <v>37</v>
      </c>
      <c r="H254" t="s">
        <v>38</v>
      </c>
      <c r="I254" s="6"/>
      <c r="J254" s="6" t="s">
        <v>39</v>
      </c>
      <c r="L254" s="6" t="s">
        <v>1219</v>
      </c>
      <c r="M254" s="6" t="s">
        <v>1219</v>
      </c>
      <c r="N254" s="6"/>
      <c r="O254" s="6" t="s">
        <v>1220</v>
      </c>
    </row>
    <row r="255" spans="1:15" ht="100.8" x14ac:dyDescent="0.3">
      <c r="A255" t="s">
        <v>32</v>
      </c>
      <c r="B255" t="s">
        <v>1221</v>
      </c>
      <c r="C255" t="s">
        <v>34</v>
      </c>
      <c r="D255" s="6" t="s">
        <v>1222</v>
      </c>
      <c r="E255" t="s">
        <v>1223</v>
      </c>
      <c r="F255" t="s">
        <v>71</v>
      </c>
      <c r="G255" t="s">
        <v>37</v>
      </c>
      <c r="H255" t="s">
        <v>38</v>
      </c>
      <c r="I255" s="6"/>
      <c r="J255" s="6"/>
      <c r="L255" s="6" t="s">
        <v>1224</v>
      </c>
      <c r="M255" s="6"/>
      <c r="N255" s="6"/>
      <c r="O255" s="6" t="s">
        <v>1225</v>
      </c>
    </row>
    <row r="256" spans="1:15" ht="57.6" x14ac:dyDescent="0.3">
      <c r="A256" t="s">
        <v>32</v>
      </c>
      <c r="B256" t="s">
        <v>1221</v>
      </c>
      <c r="C256" t="s">
        <v>42</v>
      </c>
      <c r="D256" s="6" t="s">
        <v>1226</v>
      </c>
      <c r="E256" t="s">
        <v>1227</v>
      </c>
      <c r="F256" t="s">
        <v>71</v>
      </c>
      <c r="G256" t="s">
        <v>37</v>
      </c>
      <c r="H256" t="s">
        <v>38</v>
      </c>
      <c r="I256" s="6"/>
      <c r="J256" s="6"/>
      <c r="L256" s="6" t="s">
        <v>1228</v>
      </c>
      <c r="M256" s="6"/>
      <c r="N256" s="6"/>
      <c r="O256" s="6" t="s">
        <v>1229</v>
      </c>
    </row>
    <row r="257" spans="1:15" ht="100.8" x14ac:dyDescent="0.3">
      <c r="A257" t="s">
        <v>32</v>
      </c>
      <c r="B257" t="s">
        <v>1221</v>
      </c>
      <c r="C257" t="s">
        <v>44</v>
      </c>
      <c r="D257" s="6" t="s">
        <v>1230</v>
      </c>
      <c r="E257" t="s">
        <v>413</v>
      </c>
      <c r="F257" t="s">
        <v>71</v>
      </c>
      <c r="G257" t="s">
        <v>37</v>
      </c>
      <c r="H257" t="s">
        <v>38</v>
      </c>
      <c r="I257" s="6"/>
      <c r="J257" s="6"/>
      <c r="L257" s="6" t="s">
        <v>1231</v>
      </c>
      <c r="M257" s="6"/>
      <c r="N257" s="6"/>
      <c r="O257" s="6" t="s">
        <v>1232</v>
      </c>
    </row>
    <row r="258" spans="1:15" ht="57.6" x14ac:dyDescent="0.3">
      <c r="A258" t="s">
        <v>32</v>
      </c>
      <c r="B258" t="s">
        <v>1221</v>
      </c>
      <c r="C258" t="s">
        <v>55</v>
      </c>
      <c r="D258" s="6" t="s">
        <v>1233</v>
      </c>
      <c r="E258" t="s">
        <v>258</v>
      </c>
      <c r="F258" t="s">
        <v>71</v>
      </c>
      <c r="G258" t="s">
        <v>37</v>
      </c>
      <c r="H258" t="s">
        <v>38</v>
      </c>
      <c r="I258" s="6"/>
      <c r="J258" s="6"/>
      <c r="L258" s="6" t="s">
        <v>1234</v>
      </c>
      <c r="M258" s="6"/>
      <c r="N258" s="6"/>
      <c r="O258" s="6" t="s">
        <v>1235</v>
      </c>
    </row>
    <row r="259" spans="1:15" ht="57.6" x14ac:dyDescent="0.3">
      <c r="A259" t="s">
        <v>32</v>
      </c>
      <c r="B259" t="s">
        <v>1221</v>
      </c>
      <c r="C259" t="s">
        <v>61</v>
      </c>
      <c r="D259" s="6" t="s">
        <v>1236</v>
      </c>
      <c r="E259" t="s">
        <v>1237</v>
      </c>
      <c r="F259" t="s">
        <v>71</v>
      </c>
      <c r="G259" t="s">
        <v>37</v>
      </c>
      <c r="H259" t="s">
        <v>38</v>
      </c>
      <c r="I259" s="6"/>
      <c r="J259" s="6"/>
      <c r="L259" s="6" t="s">
        <v>1238</v>
      </c>
      <c r="M259" s="6"/>
      <c r="N259" s="6"/>
      <c r="O259" s="6" t="s">
        <v>1239</v>
      </c>
    </row>
    <row r="260" spans="1:15" ht="331.2" x14ac:dyDescent="0.3">
      <c r="A260" t="s">
        <v>32</v>
      </c>
      <c r="B260" t="s">
        <v>1221</v>
      </c>
      <c r="C260" t="s">
        <v>97</v>
      </c>
      <c r="D260" s="6"/>
      <c r="E260" t="s">
        <v>549</v>
      </c>
      <c r="F260" t="s">
        <v>71</v>
      </c>
      <c r="G260" t="s">
        <v>37</v>
      </c>
      <c r="H260" t="s">
        <v>38</v>
      </c>
      <c r="I260" s="6"/>
      <c r="J260" s="6"/>
      <c r="K260" t="s">
        <v>1240</v>
      </c>
      <c r="L260" s="6" t="s">
        <v>1241</v>
      </c>
      <c r="M260" s="6"/>
      <c r="N260" s="6" t="s">
        <v>1242</v>
      </c>
      <c r="O260" s="6" t="s">
        <v>1243</v>
      </c>
    </row>
    <row r="261" spans="1:15" ht="331.2" x14ac:dyDescent="0.3">
      <c r="A261" t="s">
        <v>32</v>
      </c>
      <c r="B261" t="s">
        <v>1221</v>
      </c>
      <c r="C261" t="s">
        <v>102</v>
      </c>
      <c r="D261" s="6" t="s">
        <v>1244</v>
      </c>
      <c r="E261" t="s">
        <v>193</v>
      </c>
      <c r="F261" t="s">
        <v>71</v>
      </c>
      <c r="G261" t="s">
        <v>37</v>
      </c>
      <c r="H261" t="s">
        <v>38</v>
      </c>
      <c r="I261" s="6"/>
      <c r="J261" s="6"/>
      <c r="L261" s="6" t="s">
        <v>1245</v>
      </c>
      <c r="M261" s="6"/>
      <c r="N261" s="6" t="s">
        <v>1246</v>
      </c>
      <c r="O261" s="6" t="s">
        <v>1247</v>
      </c>
    </row>
    <row r="262" spans="1:15" ht="201.6" x14ac:dyDescent="0.3">
      <c r="A262" t="s">
        <v>32</v>
      </c>
      <c r="B262" t="s">
        <v>1221</v>
      </c>
      <c r="C262" t="s">
        <v>77</v>
      </c>
      <c r="D262" s="6" t="s">
        <v>1248</v>
      </c>
      <c r="E262" t="s">
        <v>112</v>
      </c>
      <c r="F262" t="s">
        <v>71</v>
      </c>
      <c r="G262" t="s">
        <v>72</v>
      </c>
      <c r="H262" t="s">
        <v>38</v>
      </c>
      <c r="I262" s="6"/>
      <c r="J262" s="6"/>
      <c r="L262" s="6" t="s">
        <v>1249</v>
      </c>
      <c r="M262" s="6"/>
      <c r="N262" s="6" t="s">
        <v>1250</v>
      </c>
      <c r="O262" s="6" t="s">
        <v>1251</v>
      </c>
    </row>
    <row r="263" spans="1:15" ht="72" x14ac:dyDescent="0.3">
      <c r="A263" t="s">
        <v>32</v>
      </c>
      <c r="B263" t="s">
        <v>1221</v>
      </c>
      <c r="C263" t="s">
        <v>118</v>
      </c>
      <c r="D263" s="6" t="s">
        <v>1252</v>
      </c>
      <c r="E263" t="s">
        <v>569</v>
      </c>
      <c r="F263" t="s">
        <v>71</v>
      </c>
      <c r="G263" t="s">
        <v>37</v>
      </c>
      <c r="H263" t="s">
        <v>38</v>
      </c>
      <c r="I263" s="6"/>
      <c r="J263" s="6"/>
      <c r="L263" s="6" t="s">
        <v>1253</v>
      </c>
      <c r="M263" s="6"/>
      <c r="N263" s="6" t="s">
        <v>1254</v>
      </c>
      <c r="O263" s="6" t="s">
        <v>1255</v>
      </c>
    </row>
    <row r="264" spans="1:15" ht="43.2" x14ac:dyDescent="0.3">
      <c r="A264" t="s">
        <v>32</v>
      </c>
      <c r="B264" t="s">
        <v>1221</v>
      </c>
      <c r="C264" t="s">
        <v>150</v>
      </c>
      <c r="D264" s="6"/>
      <c r="E264" t="s">
        <v>120</v>
      </c>
      <c r="F264" t="s">
        <v>71</v>
      </c>
      <c r="G264" t="s">
        <v>72</v>
      </c>
      <c r="H264" t="s">
        <v>38</v>
      </c>
      <c r="I264" s="6"/>
      <c r="J264" s="6"/>
      <c r="L264" s="6" t="s">
        <v>1256</v>
      </c>
      <c r="M264" s="6"/>
      <c r="N264" s="6" t="s">
        <v>1257</v>
      </c>
      <c r="O264" s="6" t="s">
        <v>1258</v>
      </c>
    </row>
    <row r="265" spans="1:15" ht="187.2" x14ac:dyDescent="0.3">
      <c r="A265" t="s">
        <v>32</v>
      </c>
      <c r="B265" t="s">
        <v>1221</v>
      </c>
      <c r="C265" t="s">
        <v>125</v>
      </c>
      <c r="D265" s="6" t="s">
        <v>1259</v>
      </c>
      <c r="E265" t="s">
        <v>1260</v>
      </c>
      <c r="F265" t="s">
        <v>71</v>
      </c>
      <c r="G265" t="s">
        <v>37</v>
      </c>
      <c r="H265" t="s">
        <v>38</v>
      </c>
      <c r="I265" s="6" t="s">
        <v>169</v>
      </c>
      <c r="J265" s="6" t="s">
        <v>1261</v>
      </c>
      <c r="L265" s="6" t="s">
        <v>1262</v>
      </c>
      <c r="M265" s="6"/>
      <c r="N265" s="6" t="s">
        <v>1263</v>
      </c>
      <c r="O265" s="6" t="s">
        <v>1264</v>
      </c>
    </row>
  </sheetData>
  <pageMargins left="0.75" right="0.75" top="1" bottom="1" header="0.5" footer="0.5"/>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2"/>
  <sheetViews>
    <sheetView workbookViewId="0">
      <pane ySplit="1" topLeftCell="A2" activePane="bottomLeft" state="frozen"/>
      <selection pane="bottomLeft"/>
    </sheetView>
  </sheetViews>
  <sheetFormatPr defaultRowHeight="14.4" x14ac:dyDescent="0.3"/>
  <cols>
    <col min="1" max="1" width="14" customWidth="1"/>
    <col min="2" max="2" width="60" customWidth="1"/>
    <col min="3" max="3" width="12" customWidth="1"/>
    <col min="4" max="5" width="60" customWidth="1"/>
    <col min="6" max="6" width="21" customWidth="1"/>
  </cols>
  <sheetData>
    <row r="1" spans="1:6" x14ac:dyDescent="0.3">
      <c r="A1" s="7" t="s">
        <v>13</v>
      </c>
      <c r="B1" s="7" t="s">
        <v>22</v>
      </c>
      <c r="C1" s="7" t="s">
        <v>1265</v>
      </c>
      <c r="D1" s="7" t="s">
        <v>3</v>
      </c>
      <c r="E1" s="7" t="s">
        <v>4</v>
      </c>
      <c r="F1" s="7" t="s">
        <v>18</v>
      </c>
    </row>
    <row r="2" spans="1:6" x14ac:dyDescent="0.3">
      <c r="A2" t="s">
        <v>32</v>
      </c>
      <c r="B2" t="s">
        <v>33</v>
      </c>
      <c r="C2">
        <v>5</v>
      </c>
      <c r="D2" t="s">
        <v>65</v>
      </c>
      <c r="E2" t="s">
        <v>1266</v>
      </c>
      <c r="F2" t="s">
        <v>37</v>
      </c>
    </row>
    <row r="3" spans="1:6" x14ac:dyDescent="0.3">
      <c r="A3" t="s">
        <v>32</v>
      </c>
      <c r="B3" t="s">
        <v>69</v>
      </c>
      <c r="C3">
        <v>14</v>
      </c>
      <c r="D3" t="s">
        <v>73</v>
      </c>
      <c r="E3" t="s">
        <v>1267</v>
      </c>
      <c r="F3" t="s">
        <v>72</v>
      </c>
    </row>
    <row r="4" spans="1:6" x14ac:dyDescent="0.3">
      <c r="A4" t="s">
        <v>32</v>
      </c>
      <c r="B4" t="s">
        <v>132</v>
      </c>
      <c r="C4">
        <v>7</v>
      </c>
      <c r="D4" t="s">
        <v>1268</v>
      </c>
      <c r="E4" t="s">
        <v>1269</v>
      </c>
      <c r="F4" t="s">
        <v>72</v>
      </c>
    </row>
    <row r="5" spans="1:6" x14ac:dyDescent="0.3">
      <c r="A5" t="s">
        <v>32</v>
      </c>
      <c r="B5" t="s">
        <v>163</v>
      </c>
      <c r="C5">
        <v>6</v>
      </c>
      <c r="D5" t="s">
        <v>180</v>
      </c>
      <c r="E5" t="s">
        <v>1270</v>
      </c>
      <c r="F5" t="s">
        <v>72</v>
      </c>
    </row>
    <row r="6" spans="1:6" x14ac:dyDescent="0.3">
      <c r="A6" t="s">
        <v>32</v>
      </c>
      <c r="B6" t="s">
        <v>199</v>
      </c>
      <c r="C6">
        <v>77</v>
      </c>
      <c r="D6" t="s">
        <v>1271</v>
      </c>
      <c r="E6" t="s">
        <v>1272</v>
      </c>
      <c r="F6" t="s">
        <v>72</v>
      </c>
    </row>
    <row r="7" spans="1:6" x14ac:dyDescent="0.3">
      <c r="A7" t="s">
        <v>32</v>
      </c>
      <c r="B7" t="s">
        <v>629</v>
      </c>
      <c r="C7">
        <v>62</v>
      </c>
      <c r="D7" t="s">
        <v>1273</v>
      </c>
      <c r="E7" t="s">
        <v>1274</v>
      </c>
      <c r="F7" t="s">
        <v>72</v>
      </c>
    </row>
    <row r="8" spans="1:6" x14ac:dyDescent="0.3">
      <c r="A8" t="s">
        <v>32</v>
      </c>
      <c r="B8" t="s">
        <v>896</v>
      </c>
      <c r="C8">
        <v>14</v>
      </c>
      <c r="D8" t="s">
        <v>936</v>
      </c>
      <c r="E8" t="s">
        <v>1275</v>
      </c>
      <c r="F8" t="s">
        <v>72</v>
      </c>
    </row>
    <row r="9" spans="1:6" x14ac:dyDescent="0.3">
      <c r="A9" t="s">
        <v>32</v>
      </c>
      <c r="B9" t="s">
        <v>964</v>
      </c>
      <c r="C9">
        <v>9</v>
      </c>
      <c r="D9" t="s">
        <v>1276</v>
      </c>
      <c r="E9" t="s">
        <v>1277</v>
      </c>
      <c r="F9" t="s">
        <v>72</v>
      </c>
    </row>
    <row r="10" spans="1:6" x14ac:dyDescent="0.3">
      <c r="A10" t="s">
        <v>32</v>
      </c>
      <c r="B10" t="s">
        <v>1007</v>
      </c>
      <c r="C10">
        <v>3</v>
      </c>
      <c r="D10" t="s">
        <v>1011</v>
      </c>
      <c r="E10" t="s">
        <v>1278</v>
      </c>
      <c r="F10" t="s">
        <v>72</v>
      </c>
    </row>
    <row r="11" spans="1:6" x14ac:dyDescent="0.3">
      <c r="A11" t="s">
        <v>32</v>
      </c>
      <c r="B11" t="s">
        <v>1026</v>
      </c>
      <c r="C11">
        <v>56</v>
      </c>
      <c r="D11" t="s">
        <v>1279</v>
      </c>
      <c r="E11" t="s">
        <v>1280</v>
      </c>
      <c r="F11" t="s">
        <v>37</v>
      </c>
    </row>
    <row r="12" spans="1:6" x14ac:dyDescent="0.3">
      <c r="A12" t="s">
        <v>32</v>
      </c>
      <c r="B12" t="s">
        <v>1221</v>
      </c>
      <c r="C12">
        <v>11</v>
      </c>
      <c r="D12" t="s">
        <v>1240</v>
      </c>
      <c r="E12" t="s">
        <v>1281</v>
      </c>
      <c r="F12" t="s">
        <v>72</v>
      </c>
    </row>
  </sheetData>
  <pageMargins left="0.75" right="0.75" top="1" bottom="1" header="0.5" footer="0.5"/>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33"/>
  <sheetViews>
    <sheetView workbookViewId="0">
      <pane ySplit="1" topLeftCell="A2" activePane="bottomLeft" state="frozen"/>
      <selection pane="bottomLeft"/>
    </sheetView>
  </sheetViews>
  <sheetFormatPr defaultRowHeight="14.4" x14ac:dyDescent="0.3"/>
  <cols>
    <col min="1" max="1" width="60" customWidth="1"/>
    <col min="2" max="2" width="14" customWidth="1"/>
    <col min="3" max="3" width="60" customWidth="1"/>
  </cols>
  <sheetData>
    <row r="1" spans="1:3" x14ac:dyDescent="0.3">
      <c r="A1" s="7" t="s">
        <v>19</v>
      </c>
      <c r="B1" s="7" t="s">
        <v>1</v>
      </c>
      <c r="C1" s="7" t="s">
        <v>2</v>
      </c>
    </row>
    <row r="2" spans="1:3" x14ac:dyDescent="0.3">
      <c r="A2" t="s">
        <v>299</v>
      </c>
      <c r="B2" t="s">
        <v>32</v>
      </c>
      <c r="C2" t="s">
        <v>199</v>
      </c>
    </row>
    <row r="3" spans="1:3" x14ac:dyDescent="0.3">
      <c r="A3" t="s">
        <v>758</v>
      </c>
      <c r="B3" t="s">
        <v>32</v>
      </c>
      <c r="C3" t="s">
        <v>629</v>
      </c>
    </row>
    <row r="4" spans="1:3" x14ac:dyDescent="0.3">
      <c r="A4" t="s">
        <v>994</v>
      </c>
      <c r="B4" t="s">
        <v>32</v>
      </c>
      <c r="C4" t="s">
        <v>964</v>
      </c>
    </row>
    <row r="5" spans="1:3" x14ac:dyDescent="0.3">
      <c r="A5" t="s">
        <v>747</v>
      </c>
      <c r="B5" t="s">
        <v>32</v>
      </c>
      <c r="C5" t="s">
        <v>629</v>
      </c>
    </row>
    <row r="6" spans="1:3" x14ac:dyDescent="0.3">
      <c r="A6" t="s">
        <v>338</v>
      </c>
      <c r="B6" t="s">
        <v>32</v>
      </c>
      <c r="C6" t="s">
        <v>199</v>
      </c>
    </row>
    <row r="7" spans="1:3" x14ac:dyDescent="0.3">
      <c r="A7" t="s">
        <v>494</v>
      </c>
      <c r="B7" t="s">
        <v>32</v>
      </c>
      <c r="C7" t="s">
        <v>199</v>
      </c>
    </row>
    <row r="8" spans="1:3" x14ac:dyDescent="0.3">
      <c r="A8" t="s">
        <v>841</v>
      </c>
      <c r="B8" t="s">
        <v>32</v>
      </c>
      <c r="C8" t="s">
        <v>629</v>
      </c>
    </row>
    <row r="9" spans="1:3" x14ac:dyDescent="0.3">
      <c r="A9" t="s">
        <v>563</v>
      </c>
      <c r="B9" t="s">
        <v>32</v>
      </c>
      <c r="C9" t="s">
        <v>199</v>
      </c>
    </row>
    <row r="10" spans="1:3" x14ac:dyDescent="0.3">
      <c r="A10" t="s">
        <v>1240</v>
      </c>
      <c r="B10" t="s">
        <v>32</v>
      </c>
      <c r="C10" t="s">
        <v>1221</v>
      </c>
    </row>
    <row r="11" spans="1:3" x14ac:dyDescent="0.3">
      <c r="A11" t="s">
        <v>73</v>
      </c>
      <c r="B11" t="s">
        <v>32</v>
      </c>
      <c r="C11" t="s">
        <v>69</v>
      </c>
    </row>
    <row r="12" spans="1:3" x14ac:dyDescent="0.3">
      <c r="A12" t="s">
        <v>324</v>
      </c>
      <c r="B12" t="s">
        <v>32</v>
      </c>
      <c r="C12" t="s">
        <v>199</v>
      </c>
    </row>
    <row r="13" spans="1:3" x14ac:dyDescent="0.3">
      <c r="A13" t="s">
        <v>380</v>
      </c>
      <c r="B13" t="s">
        <v>32</v>
      </c>
      <c r="C13" t="s">
        <v>199</v>
      </c>
    </row>
    <row r="14" spans="1:3" x14ac:dyDescent="0.3">
      <c r="A14" t="s">
        <v>65</v>
      </c>
      <c r="B14" t="s">
        <v>32</v>
      </c>
      <c r="C14" t="s">
        <v>1282</v>
      </c>
    </row>
    <row r="15" spans="1:3" x14ac:dyDescent="0.3">
      <c r="A15" t="s">
        <v>142</v>
      </c>
      <c r="B15" t="s">
        <v>32</v>
      </c>
      <c r="C15" t="s">
        <v>132</v>
      </c>
    </row>
    <row r="16" spans="1:3" x14ac:dyDescent="0.3">
      <c r="A16" t="s">
        <v>852</v>
      </c>
      <c r="B16" t="s">
        <v>32</v>
      </c>
      <c r="C16" t="s">
        <v>629</v>
      </c>
    </row>
    <row r="17" spans="1:3" x14ac:dyDescent="0.3">
      <c r="A17" t="s">
        <v>936</v>
      </c>
      <c r="B17" t="s">
        <v>32</v>
      </c>
      <c r="C17" t="s">
        <v>1283</v>
      </c>
    </row>
    <row r="18" spans="1:3" x14ac:dyDescent="0.3">
      <c r="A18" t="s">
        <v>1033</v>
      </c>
      <c r="B18" t="s">
        <v>32</v>
      </c>
      <c r="C18" t="s">
        <v>1026</v>
      </c>
    </row>
    <row r="19" spans="1:3" x14ac:dyDescent="0.3">
      <c r="A19" t="s">
        <v>1113</v>
      </c>
      <c r="B19" t="s">
        <v>32</v>
      </c>
      <c r="C19" t="s">
        <v>1026</v>
      </c>
    </row>
    <row r="20" spans="1:3" x14ac:dyDescent="0.3">
      <c r="A20" t="s">
        <v>371</v>
      </c>
      <c r="B20" t="s">
        <v>32</v>
      </c>
      <c r="C20" t="s">
        <v>199</v>
      </c>
    </row>
    <row r="21" spans="1:3" x14ac:dyDescent="0.3">
      <c r="A21" t="s">
        <v>290</v>
      </c>
      <c r="B21" t="s">
        <v>32</v>
      </c>
      <c r="C21" t="s">
        <v>1284</v>
      </c>
    </row>
    <row r="22" spans="1:3" x14ac:dyDescent="0.3">
      <c r="A22" t="s">
        <v>670</v>
      </c>
      <c r="B22" t="s">
        <v>32</v>
      </c>
      <c r="C22" t="s">
        <v>629</v>
      </c>
    </row>
    <row r="23" spans="1:3" x14ac:dyDescent="0.3">
      <c r="A23" t="s">
        <v>804</v>
      </c>
      <c r="B23" t="s">
        <v>32</v>
      </c>
      <c r="C23" t="s">
        <v>629</v>
      </c>
    </row>
    <row r="24" spans="1:3" x14ac:dyDescent="0.3">
      <c r="A24" t="s">
        <v>767</v>
      </c>
      <c r="B24" t="s">
        <v>32</v>
      </c>
      <c r="C24" t="s">
        <v>629</v>
      </c>
    </row>
    <row r="25" spans="1:3" x14ac:dyDescent="0.3">
      <c r="A25" t="s">
        <v>556</v>
      </c>
      <c r="B25" t="s">
        <v>32</v>
      </c>
      <c r="C25" t="s">
        <v>199</v>
      </c>
    </row>
    <row r="26" spans="1:3" x14ac:dyDescent="0.3">
      <c r="A26" t="s">
        <v>606</v>
      </c>
      <c r="B26" t="s">
        <v>32</v>
      </c>
      <c r="C26" t="s">
        <v>199</v>
      </c>
    </row>
    <row r="27" spans="1:3" x14ac:dyDescent="0.3">
      <c r="A27" t="s">
        <v>1011</v>
      </c>
      <c r="B27" t="s">
        <v>32</v>
      </c>
      <c r="C27" t="s">
        <v>1007</v>
      </c>
    </row>
    <row r="28" spans="1:3" x14ac:dyDescent="0.3">
      <c r="A28" t="s">
        <v>655</v>
      </c>
      <c r="B28" t="s">
        <v>32</v>
      </c>
      <c r="C28" t="s">
        <v>629</v>
      </c>
    </row>
    <row r="29" spans="1:3" x14ac:dyDescent="0.3">
      <c r="A29" t="s">
        <v>1042</v>
      </c>
      <c r="B29" t="s">
        <v>32</v>
      </c>
      <c r="C29" t="s">
        <v>1026</v>
      </c>
    </row>
    <row r="30" spans="1:3" x14ac:dyDescent="0.3">
      <c r="A30" t="s">
        <v>1060</v>
      </c>
      <c r="B30" t="s">
        <v>32</v>
      </c>
      <c r="C30" t="s">
        <v>1026</v>
      </c>
    </row>
    <row r="31" spans="1:3" x14ac:dyDescent="0.3">
      <c r="A31" t="s">
        <v>180</v>
      </c>
      <c r="B31" t="s">
        <v>32</v>
      </c>
      <c r="C31" t="s">
        <v>163</v>
      </c>
    </row>
    <row r="32" spans="1:3" x14ac:dyDescent="0.3">
      <c r="A32" t="s">
        <v>717</v>
      </c>
      <c r="B32" t="s">
        <v>32</v>
      </c>
      <c r="C32" t="s">
        <v>629</v>
      </c>
    </row>
    <row r="33" spans="1:3" x14ac:dyDescent="0.3">
      <c r="A33" t="s">
        <v>712</v>
      </c>
      <c r="B33" t="s">
        <v>32</v>
      </c>
      <c r="C33" t="s">
        <v>629</v>
      </c>
    </row>
  </sheetData>
  <pageMargins left="0.75" right="0.75" top="1" bottom="1" header="0.5" footer="0.5"/>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workbookViewId="0">
      <pane ySplit="1" topLeftCell="A2" activePane="bottomLeft" state="frozen"/>
      <selection pane="bottomLeft"/>
    </sheetView>
  </sheetViews>
  <sheetFormatPr defaultRowHeight="14.4" x14ac:dyDescent="0.3"/>
  <cols>
    <col min="1" max="1" width="39" customWidth="1"/>
    <col min="2" max="2" width="12" customWidth="1"/>
  </cols>
  <sheetData>
    <row r="1" spans="1:2" x14ac:dyDescent="0.3">
      <c r="A1" s="7" t="s">
        <v>16</v>
      </c>
      <c r="B1" s="7" t="s">
        <v>1265</v>
      </c>
    </row>
    <row r="2" spans="1:2" x14ac:dyDescent="0.3">
      <c r="A2" t="s">
        <v>378</v>
      </c>
      <c r="B2">
        <v>30</v>
      </c>
    </row>
    <row r="3" spans="1:2" x14ac:dyDescent="0.3">
      <c r="A3" t="s">
        <v>1285</v>
      </c>
      <c r="B3">
        <v>22</v>
      </c>
    </row>
    <row r="4" spans="1:2" x14ac:dyDescent="0.3">
      <c r="A4" t="s">
        <v>106</v>
      </c>
      <c r="B4">
        <v>16</v>
      </c>
    </row>
    <row r="5" spans="1:2" x14ac:dyDescent="0.3">
      <c r="A5" t="s">
        <v>64</v>
      </c>
      <c r="B5">
        <v>12</v>
      </c>
    </row>
    <row r="6" spans="1:2" x14ac:dyDescent="0.3">
      <c r="A6" t="s">
        <v>51</v>
      </c>
      <c r="B6">
        <v>10</v>
      </c>
    </row>
    <row r="7" spans="1:2" x14ac:dyDescent="0.3">
      <c r="A7" t="s">
        <v>298</v>
      </c>
      <c r="B7">
        <v>9</v>
      </c>
    </row>
    <row r="8" spans="1:2" x14ac:dyDescent="0.3">
      <c r="A8" t="s">
        <v>1149</v>
      </c>
      <c r="B8">
        <v>7</v>
      </c>
    </row>
    <row r="9" spans="1:2" x14ac:dyDescent="0.3">
      <c r="A9" t="s">
        <v>45</v>
      </c>
      <c r="B9">
        <v>5</v>
      </c>
    </row>
    <row r="10" spans="1:2" x14ac:dyDescent="0.3">
      <c r="A10" t="s">
        <v>1286</v>
      </c>
      <c r="B10">
        <v>5</v>
      </c>
    </row>
    <row r="11" spans="1:2" x14ac:dyDescent="0.3">
      <c r="A11" t="s">
        <v>306</v>
      </c>
      <c r="B11">
        <v>5</v>
      </c>
    </row>
    <row r="12" spans="1:2" x14ac:dyDescent="0.3">
      <c r="A12" t="s">
        <v>1008</v>
      </c>
      <c r="B12">
        <v>5</v>
      </c>
    </row>
    <row r="13" spans="1:2" x14ac:dyDescent="0.3">
      <c r="A13" t="s">
        <v>654</v>
      </c>
      <c r="B13">
        <v>4</v>
      </c>
    </row>
    <row r="14" spans="1:2" x14ac:dyDescent="0.3">
      <c r="A14" t="s">
        <v>178</v>
      </c>
      <c r="B14">
        <v>4</v>
      </c>
    </row>
    <row r="15" spans="1:2" x14ac:dyDescent="0.3">
      <c r="A15" t="s">
        <v>35</v>
      </c>
      <c r="B15">
        <v>3</v>
      </c>
    </row>
    <row r="16" spans="1:2" x14ac:dyDescent="0.3">
      <c r="A16" t="s">
        <v>154</v>
      </c>
      <c r="B16">
        <v>3</v>
      </c>
    </row>
    <row r="17" spans="1:2" x14ac:dyDescent="0.3">
      <c r="A17" t="s">
        <v>1287</v>
      </c>
      <c r="B17">
        <v>3</v>
      </c>
    </row>
    <row r="18" spans="1:2" x14ac:dyDescent="0.3">
      <c r="A18" t="s">
        <v>1288</v>
      </c>
      <c r="B18">
        <v>2</v>
      </c>
    </row>
    <row r="19" spans="1:2" x14ac:dyDescent="0.3">
      <c r="A19" t="s">
        <v>1289</v>
      </c>
      <c r="B19">
        <v>2</v>
      </c>
    </row>
    <row r="20" spans="1:2" x14ac:dyDescent="0.3">
      <c r="A20" t="s">
        <v>1290</v>
      </c>
      <c r="B20">
        <v>2</v>
      </c>
    </row>
    <row r="21" spans="1:2" x14ac:dyDescent="0.3">
      <c r="A21" t="s">
        <v>1291</v>
      </c>
      <c r="B21">
        <v>2</v>
      </c>
    </row>
    <row r="22" spans="1:2" x14ac:dyDescent="0.3">
      <c r="A22" t="s">
        <v>1292</v>
      </c>
      <c r="B22">
        <v>2</v>
      </c>
    </row>
    <row r="23" spans="1:2" x14ac:dyDescent="0.3">
      <c r="A23" t="s">
        <v>1293</v>
      </c>
      <c r="B23">
        <v>2</v>
      </c>
    </row>
    <row r="24" spans="1:2" x14ac:dyDescent="0.3">
      <c r="A24" t="s">
        <v>1294</v>
      </c>
      <c r="B24">
        <v>2</v>
      </c>
    </row>
    <row r="25" spans="1:2" x14ac:dyDescent="0.3">
      <c r="A25" t="s">
        <v>1295</v>
      </c>
      <c r="B25">
        <v>2</v>
      </c>
    </row>
    <row r="26" spans="1:2" x14ac:dyDescent="0.3">
      <c r="A26" t="s">
        <v>1296</v>
      </c>
      <c r="B26">
        <v>2</v>
      </c>
    </row>
    <row r="27" spans="1:2" x14ac:dyDescent="0.3">
      <c r="A27" t="s">
        <v>1297</v>
      </c>
      <c r="B27">
        <v>2</v>
      </c>
    </row>
    <row r="28" spans="1:2" x14ac:dyDescent="0.3">
      <c r="A28" t="s">
        <v>1298</v>
      </c>
      <c r="B28">
        <v>2</v>
      </c>
    </row>
    <row r="29" spans="1:2" x14ac:dyDescent="0.3">
      <c r="A29" t="s">
        <v>1299</v>
      </c>
      <c r="B29">
        <v>2</v>
      </c>
    </row>
    <row r="30" spans="1:2" x14ac:dyDescent="0.3">
      <c r="A30" t="s">
        <v>297</v>
      </c>
      <c r="B30">
        <v>2</v>
      </c>
    </row>
    <row r="31" spans="1:2" x14ac:dyDescent="0.3">
      <c r="A31" t="s">
        <v>1300</v>
      </c>
      <c r="B31">
        <v>2</v>
      </c>
    </row>
    <row r="32" spans="1:2" x14ac:dyDescent="0.3">
      <c r="A32" t="s">
        <v>1301</v>
      </c>
      <c r="B32">
        <v>2</v>
      </c>
    </row>
    <row r="33" spans="1:2" x14ac:dyDescent="0.3">
      <c r="A33" t="s">
        <v>57</v>
      </c>
      <c r="B33">
        <v>1</v>
      </c>
    </row>
    <row r="34" spans="1:2" x14ac:dyDescent="0.3">
      <c r="A34" t="s">
        <v>135</v>
      </c>
      <c r="B34">
        <v>1</v>
      </c>
    </row>
    <row r="35" spans="1:2" x14ac:dyDescent="0.3">
      <c r="A35" t="s">
        <v>1302</v>
      </c>
      <c r="B35">
        <v>1</v>
      </c>
    </row>
    <row r="36" spans="1:2" x14ac:dyDescent="0.3">
      <c r="A36" t="s">
        <v>1303</v>
      </c>
      <c r="B36">
        <v>1</v>
      </c>
    </row>
    <row r="37" spans="1:2" x14ac:dyDescent="0.3">
      <c r="A37" t="s">
        <v>1304</v>
      </c>
      <c r="B37">
        <v>1</v>
      </c>
    </row>
    <row r="38" spans="1:2" x14ac:dyDescent="0.3">
      <c r="A38" t="s">
        <v>1305</v>
      </c>
      <c r="B38">
        <v>1</v>
      </c>
    </row>
    <row r="39" spans="1:2" x14ac:dyDescent="0.3">
      <c r="A39" t="s">
        <v>1306</v>
      </c>
      <c r="B39">
        <v>1</v>
      </c>
    </row>
    <row r="40" spans="1:2" x14ac:dyDescent="0.3">
      <c r="A40" t="s">
        <v>1307</v>
      </c>
      <c r="B40">
        <v>1</v>
      </c>
    </row>
    <row r="41" spans="1:2" x14ac:dyDescent="0.3">
      <c r="A41" t="s">
        <v>1308</v>
      </c>
      <c r="B41">
        <v>1</v>
      </c>
    </row>
    <row r="42" spans="1:2" x14ac:dyDescent="0.3">
      <c r="A42" t="s">
        <v>1309</v>
      </c>
      <c r="B42">
        <v>1</v>
      </c>
    </row>
    <row r="43" spans="1:2" x14ac:dyDescent="0.3">
      <c r="A43" t="s">
        <v>185</v>
      </c>
      <c r="B43">
        <v>1</v>
      </c>
    </row>
    <row r="44" spans="1:2" x14ac:dyDescent="0.3">
      <c r="A44" t="s">
        <v>1310</v>
      </c>
      <c r="B44">
        <v>1</v>
      </c>
    </row>
    <row r="45" spans="1:2" x14ac:dyDescent="0.3">
      <c r="A45" t="s">
        <v>1311</v>
      </c>
      <c r="B45">
        <v>1</v>
      </c>
    </row>
    <row r="46" spans="1:2" x14ac:dyDescent="0.3">
      <c r="A46" t="s">
        <v>1312</v>
      </c>
      <c r="B46">
        <v>1</v>
      </c>
    </row>
    <row r="47" spans="1:2" x14ac:dyDescent="0.3">
      <c r="A47" t="s">
        <v>1313</v>
      </c>
      <c r="B47">
        <v>1</v>
      </c>
    </row>
    <row r="48" spans="1:2" x14ac:dyDescent="0.3">
      <c r="A48" t="s">
        <v>900</v>
      </c>
      <c r="B48">
        <v>1</v>
      </c>
    </row>
    <row r="49" spans="1:2" x14ac:dyDescent="0.3">
      <c r="A49" t="s">
        <v>979</v>
      </c>
      <c r="B49">
        <v>1</v>
      </c>
    </row>
    <row r="50" spans="1:2" x14ac:dyDescent="0.3">
      <c r="A50" t="s">
        <v>986</v>
      </c>
      <c r="B50">
        <v>1</v>
      </c>
    </row>
    <row r="51" spans="1:2" x14ac:dyDescent="0.3">
      <c r="A51" t="s">
        <v>1314</v>
      </c>
      <c r="B51">
        <v>1</v>
      </c>
    </row>
    <row r="52" spans="1:2" x14ac:dyDescent="0.3">
      <c r="A52" t="s">
        <v>1315</v>
      </c>
      <c r="B52">
        <v>1</v>
      </c>
    </row>
    <row r="53" spans="1:2" x14ac:dyDescent="0.3">
      <c r="A53" t="s">
        <v>1316</v>
      </c>
      <c r="B53">
        <v>1</v>
      </c>
    </row>
  </sheetData>
  <pageMargins left="0.75" right="0.75" top="1" bottom="1" header="0.5" footer="0.5"/>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54"/>
  <sheetViews>
    <sheetView workbookViewId="0"/>
  </sheetViews>
  <sheetFormatPr defaultRowHeight="14.4" x14ac:dyDescent="0.3"/>
  <sheetData>
    <row r="1" spans="1:6" x14ac:dyDescent="0.3">
      <c r="A1" t="s">
        <v>13</v>
      </c>
      <c r="B1" t="s">
        <v>15</v>
      </c>
      <c r="C1" t="s">
        <v>16</v>
      </c>
      <c r="D1" t="s">
        <v>17</v>
      </c>
      <c r="E1" t="s">
        <v>18</v>
      </c>
      <c r="F1" t="s">
        <v>19</v>
      </c>
    </row>
    <row r="2" spans="1:6" x14ac:dyDescent="0.3">
      <c r="A2" t="s">
        <v>14</v>
      </c>
      <c r="B2" t="s">
        <v>14</v>
      </c>
      <c r="C2" t="s">
        <v>14</v>
      </c>
      <c r="D2" t="s">
        <v>14</v>
      </c>
      <c r="E2" t="s">
        <v>14</v>
      </c>
      <c r="F2" t="s">
        <v>14</v>
      </c>
    </row>
    <row r="3" spans="1:6" x14ac:dyDescent="0.3">
      <c r="A3" t="s">
        <v>32</v>
      </c>
      <c r="B3" t="s">
        <v>900</v>
      </c>
      <c r="C3" t="s">
        <v>1300</v>
      </c>
      <c r="D3" t="s">
        <v>1317</v>
      </c>
      <c r="E3" t="s">
        <v>72</v>
      </c>
      <c r="F3" t="s">
        <v>299</v>
      </c>
    </row>
    <row r="4" spans="1:6" x14ac:dyDescent="0.3">
      <c r="B4" t="s">
        <v>168</v>
      </c>
      <c r="C4" t="s">
        <v>1287</v>
      </c>
      <c r="D4" t="s">
        <v>1318</v>
      </c>
      <c r="E4" t="s">
        <v>90</v>
      </c>
      <c r="F4" t="s">
        <v>758</v>
      </c>
    </row>
    <row r="5" spans="1:6" x14ac:dyDescent="0.3">
      <c r="B5" t="s">
        <v>1008</v>
      </c>
      <c r="C5" t="s">
        <v>900</v>
      </c>
      <c r="D5" t="s">
        <v>1010</v>
      </c>
      <c r="E5" t="s">
        <v>37</v>
      </c>
      <c r="F5" t="s">
        <v>994</v>
      </c>
    </row>
    <row r="6" spans="1:6" x14ac:dyDescent="0.3">
      <c r="B6" t="s">
        <v>1149</v>
      </c>
      <c r="C6" t="s">
        <v>1285</v>
      </c>
      <c r="D6" t="s">
        <v>154</v>
      </c>
      <c r="E6" t="s">
        <v>161</v>
      </c>
      <c r="F6" t="s">
        <v>747</v>
      </c>
    </row>
    <row r="7" spans="1:6" x14ac:dyDescent="0.3">
      <c r="B7" t="s">
        <v>654</v>
      </c>
      <c r="C7" t="s">
        <v>1299</v>
      </c>
      <c r="D7" t="s">
        <v>1319</v>
      </c>
      <c r="F7" t="s">
        <v>338</v>
      </c>
    </row>
    <row r="8" spans="1:6" x14ac:dyDescent="0.3">
      <c r="B8" t="s">
        <v>154</v>
      </c>
      <c r="C8" t="s">
        <v>1008</v>
      </c>
      <c r="D8" t="s">
        <v>106</v>
      </c>
      <c r="F8" t="s">
        <v>494</v>
      </c>
    </row>
    <row r="9" spans="1:6" x14ac:dyDescent="0.3">
      <c r="B9" t="s">
        <v>979</v>
      </c>
      <c r="C9" t="s">
        <v>1293</v>
      </c>
      <c r="D9" t="s">
        <v>1320</v>
      </c>
      <c r="F9" t="s">
        <v>841</v>
      </c>
    </row>
    <row r="10" spans="1:6" x14ac:dyDescent="0.3">
      <c r="B10" t="s">
        <v>57</v>
      </c>
      <c r="C10" t="s">
        <v>1289</v>
      </c>
      <c r="D10" t="s">
        <v>39</v>
      </c>
      <c r="F10" t="s">
        <v>563</v>
      </c>
    </row>
    <row r="11" spans="1:6" x14ac:dyDescent="0.3">
      <c r="B11" t="s">
        <v>64</v>
      </c>
      <c r="C11" t="s">
        <v>1149</v>
      </c>
      <c r="D11" t="s">
        <v>1298</v>
      </c>
      <c r="F11" t="s">
        <v>1240</v>
      </c>
    </row>
    <row r="12" spans="1:6" x14ac:dyDescent="0.3">
      <c r="B12" t="s">
        <v>1049</v>
      </c>
      <c r="C12" t="s">
        <v>654</v>
      </c>
      <c r="F12" t="s">
        <v>73</v>
      </c>
    </row>
    <row r="13" spans="1:6" x14ac:dyDescent="0.3">
      <c r="B13" t="s">
        <v>35</v>
      </c>
      <c r="C13" t="s">
        <v>154</v>
      </c>
      <c r="F13" t="s">
        <v>324</v>
      </c>
    </row>
    <row r="14" spans="1:6" x14ac:dyDescent="0.3">
      <c r="B14" t="s">
        <v>493</v>
      </c>
      <c r="C14" t="s">
        <v>1304</v>
      </c>
      <c r="F14" t="s">
        <v>380</v>
      </c>
    </row>
    <row r="15" spans="1:6" x14ac:dyDescent="0.3">
      <c r="B15" t="s">
        <v>572</v>
      </c>
      <c r="C15" t="s">
        <v>979</v>
      </c>
      <c r="F15" t="s">
        <v>65</v>
      </c>
    </row>
    <row r="16" spans="1:6" x14ac:dyDescent="0.3">
      <c r="B16" t="s">
        <v>106</v>
      </c>
      <c r="C16" t="s">
        <v>57</v>
      </c>
      <c r="F16" t="s">
        <v>142</v>
      </c>
    </row>
    <row r="17" spans="2:6" x14ac:dyDescent="0.3">
      <c r="B17" t="s">
        <v>51</v>
      </c>
      <c r="C17" t="s">
        <v>1301</v>
      </c>
      <c r="F17" t="s">
        <v>852</v>
      </c>
    </row>
    <row r="18" spans="2:6" x14ac:dyDescent="0.3">
      <c r="B18" t="s">
        <v>378</v>
      </c>
      <c r="C18" t="s">
        <v>1291</v>
      </c>
      <c r="F18" t="s">
        <v>936</v>
      </c>
    </row>
    <row r="19" spans="2:6" x14ac:dyDescent="0.3">
      <c r="B19" t="s">
        <v>297</v>
      </c>
      <c r="C19" t="s">
        <v>64</v>
      </c>
      <c r="F19" t="s">
        <v>1033</v>
      </c>
    </row>
    <row r="20" spans="2:6" x14ac:dyDescent="0.3">
      <c r="B20" t="s">
        <v>71</v>
      </c>
      <c r="C20" t="s">
        <v>1286</v>
      </c>
      <c r="F20" t="s">
        <v>1113</v>
      </c>
    </row>
    <row r="21" spans="2:6" x14ac:dyDescent="0.3">
      <c r="B21" t="s">
        <v>45</v>
      </c>
      <c r="C21" t="s">
        <v>35</v>
      </c>
      <c r="F21" t="s">
        <v>371</v>
      </c>
    </row>
    <row r="22" spans="2:6" x14ac:dyDescent="0.3">
      <c r="B22" t="s">
        <v>172</v>
      </c>
      <c r="C22" t="s">
        <v>1294</v>
      </c>
      <c r="F22" t="s">
        <v>290</v>
      </c>
    </row>
    <row r="23" spans="2:6" x14ac:dyDescent="0.3">
      <c r="B23" t="s">
        <v>298</v>
      </c>
      <c r="C23" t="s">
        <v>1311</v>
      </c>
      <c r="F23" t="s">
        <v>670</v>
      </c>
    </row>
    <row r="24" spans="2:6" x14ac:dyDescent="0.3">
      <c r="B24" t="s">
        <v>306</v>
      </c>
      <c r="C24" t="s">
        <v>1313</v>
      </c>
      <c r="F24" t="s">
        <v>804</v>
      </c>
    </row>
    <row r="25" spans="2:6" x14ac:dyDescent="0.3">
      <c r="B25" t="s">
        <v>178</v>
      </c>
      <c r="C25" t="s">
        <v>1297</v>
      </c>
      <c r="F25" t="s">
        <v>767</v>
      </c>
    </row>
    <row r="26" spans="2:6" x14ac:dyDescent="0.3">
      <c r="B26" t="s">
        <v>185</v>
      </c>
      <c r="C26" t="s">
        <v>1292</v>
      </c>
      <c r="F26" t="s">
        <v>556</v>
      </c>
    </row>
    <row r="27" spans="2:6" x14ac:dyDescent="0.3">
      <c r="C27" t="s">
        <v>135</v>
      </c>
      <c r="F27" t="s">
        <v>606</v>
      </c>
    </row>
    <row r="28" spans="2:6" x14ac:dyDescent="0.3">
      <c r="C28" t="s">
        <v>106</v>
      </c>
      <c r="F28" t="s">
        <v>1011</v>
      </c>
    </row>
    <row r="29" spans="2:6" x14ac:dyDescent="0.3">
      <c r="C29" t="s">
        <v>51</v>
      </c>
      <c r="F29" t="s">
        <v>655</v>
      </c>
    </row>
    <row r="30" spans="2:6" x14ac:dyDescent="0.3">
      <c r="C30" t="s">
        <v>378</v>
      </c>
      <c r="F30" t="s">
        <v>1042</v>
      </c>
    </row>
    <row r="31" spans="2:6" x14ac:dyDescent="0.3">
      <c r="C31" t="s">
        <v>1307</v>
      </c>
      <c r="F31" t="s">
        <v>1060</v>
      </c>
    </row>
    <row r="32" spans="2:6" x14ac:dyDescent="0.3">
      <c r="C32" t="s">
        <v>1310</v>
      </c>
      <c r="F32" t="s">
        <v>180</v>
      </c>
    </row>
    <row r="33" spans="3:6" x14ac:dyDescent="0.3">
      <c r="C33" t="s">
        <v>1302</v>
      </c>
      <c r="F33" t="s">
        <v>717</v>
      </c>
    </row>
    <row r="34" spans="3:6" x14ac:dyDescent="0.3">
      <c r="C34" t="s">
        <v>1290</v>
      </c>
      <c r="F34" t="s">
        <v>712</v>
      </c>
    </row>
    <row r="35" spans="3:6" x14ac:dyDescent="0.3">
      <c r="C35" t="s">
        <v>297</v>
      </c>
    </row>
    <row r="36" spans="3:6" x14ac:dyDescent="0.3">
      <c r="C36" t="s">
        <v>986</v>
      </c>
    </row>
    <row r="37" spans="3:6" x14ac:dyDescent="0.3">
      <c r="C37" t="s">
        <v>1309</v>
      </c>
    </row>
    <row r="38" spans="3:6" x14ac:dyDescent="0.3">
      <c r="C38" t="s">
        <v>1316</v>
      </c>
    </row>
    <row r="39" spans="3:6" x14ac:dyDescent="0.3">
      <c r="C39" t="s">
        <v>1296</v>
      </c>
    </row>
    <row r="40" spans="3:6" x14ac:dyDescent="0.3">
      <c r="C40" t="s">
        <v>1312</v>
      </c>
    </row>
    <row r="41" spans="3:6" x14ac:dyDescent="0.3">
      <c r="C41" t="s">
        <v>45</v>
      </c>
    </row>
    <row r="42" spans="3:6" x14ac:dyDescent="0.3">
      <c r="C42" t="s">
        <v>298</v>
      </c>
    </row>
    <row r="43" spans="3:6" x14ac:dyDescent="0.3">
      <c r="C43" t="s">
        <v>1305</v>
      </c>
    </row>
    <row r="44" spans="3:6" x14ac:dyDescent="0.3">
      <c r="C44" t="s">
        <v>306</v>
      </c>
    </row>
    <row r="45" spans="3:6" x14ac:dyDescent="0.3">
      <c r="C45" t="s">
        <v>1288</v>
      </c>
    </row>
    <row r="46" spans="3:6" x14ac:dyDescent="0.3">
      <c r="C46" t="s">
        <v>178</v>
      </c>
    </row>
    <row r="47" spans="3:6" x14ac:dyDescent="0.3">
      <c r="C47" t="s">
        <v>1315</v>
      </c>
    </row>
    <row r="48" spans="3:6" x14ac:dyDescent="0.3">
      <c r="C48" t="s">
        <v>1308</v>
      </c>
    </row>
    <row r="49" spans="3:3" x14ac:dyDescent="0.3">
      <c r="C49" t="s">
        <v>1298</v>
      </c>
    </row>
    <row r="50" spans="3:3" x14ac:dyDescent="0.3">
      <c r="C50" t="s">
        <v>185</v>
      </c>
    </row>
    <row r="51" spans="3:3" x14ac:dyDescent="0.3">
      <c r="C51" t="s">
        <v>1303</v>
      </c>
    </row>
    <row r="52" spans="3:3" x14ac:dyDescent="0.3">
      <c r="C52" t="s">
        <v>1306</v>
      </c>
    </row>
    <row r="53" spans="3:3" x14ac:dyDescent="0.3">
      <c r="C53" t="s">
        <v>1295</v>
      </c>
    </row>
    <row r="54" spans="3:3" x14ac:dyDescent="0.3">
      <c r="C54" t="s">
        <v>1314</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265"/>
  <sheetViews>
    <sheetView workbookViewId="0"/>
  </sheetViews>
  <sheetFormatPr defaultRowHeight="14.4" x14ac:dyDescent="0.3"/>
  <sheetData>
    <row r="1" spans="1:4" x14ac:dyDescent="0.3">
      <c r="A1" t="s">
        <v>1321</v>
      </c>
      <c r="B1" t="s">
        <v>1322</v>
      </c>
      <c r="C1" t="s">
        <v>1323</v>
      </c>
      <c r="D1">
        <f>SUM($A$2:$A$265)</f>
        <v>264</v>
      </c>
    </row>
    <row r="2" spans="1:4" x14ac:dyDescent="0.3">
      <c r="A2">
        <f>IF(AND(OR(Query!$B$4="All",'Compliance Database'!$A2=Query!$B$4),OR(Query!$B$5="All",'Compliance Database'!$F2=Query!$B$5),OR(Query!$B$6="All",ISNUMBER(SEARCH(Query!$B$6,'Compliance Database'!$I2))),OR(Query!$B$7="All",ISNUMBER(SEARCH(Query!$B$7,'Compliance Database'!$J2))),OR(Query!$B$8="All",'Compliance Database'!$G2=Query!$B$8),OR(Query!$B$9="All",'Compliance Database'!$K2=Query!$B$9),OR(Query!$B$10="",ISNUMBER(SEARCH(Query!$B$10,'Compliance Database'!$D2&amp;" "&amp;'Compliance Database'!$L2&amp;" "&amp;'Compliance Database'!$M2&amp;" "&amp;'Compliance Database'!$N2&amp;" "&amp;'Compliance Database'!$O2)))),1,0)</f>
        <v>1</v>
      </c>
      <c r="B2">
        <f>IF($A2=1,SUM($A$2:$A2),"")</f>
        <v>1</v>
      </c>
      <c r="C2">
        <f>IF($A2=1,SUM($A$2:$A2),0)</f>
        <v>1</v>
      </c>
    </row>
    <row r="3" spans="1:4" x14ac:dyDescent="0.3">
      <c r="A3">
        <f>IF(AND(OR(Query!$B$4="All",'Compliance Database'!$A3=Query!$B$4),OR(Query!$B$5="All",'Compliance Database'!$F3=Query!$B$5),OR(Query!$B$6="All",ISNUMBER(SEARCH(Query!$B$6,'Compliance Database'!$I3))),OR(Query!$B$7="All",ISNUMBER(SEARCH(Query!$B$7,'Compliance Database'!$J3))),OR(Query!$B$8="All",'Compliance Database'!$G3=Query!$B$8),OR(Query!$B$9="All",'Compliance Database'!$K3=Query!$B$9),OR(Query!$B$10="",ISNUMBER(SEARCH(Query!$B$10,'Compliance Database'!$D3&amp;" "&amp;'Compliance Database'!$L3&amp;" "&amp;'Compliance Database'!$M3&amp;" "&amp;'Compliance Database'!$N3&amp;" "&amp;'Compliance Database'!$O3)))),1,0)</f>
        <v>1</v>
      </c>
      <c r="B3">
        <f>IF($A3=1,SUM($A$2:$A3),"")</f>
        <v>2</v>
      </c>
      <c r="C3">
        <f>IF($A3=1,SUM($A$2:$A3),0)</f>
        <v>2</v>
      </c>
    </row>
    <row r="4" spans="1:4" x14ac:dyDescent="0.3">
      <c r="A4">
        <f>IF(AND(OR(Query!$B$4="All",'Compliance Database'!$A4=Query!$B$4),OR(Query!$B$5="All",'Compliance Database'!$F4=Query!$B$5),OR(Query!$B$6="All",ISNUMBER(SEARCH(Query!$B$6,'Compliance Database'!$I4))),OR(Query!$B$7="All",ISNUMBER(SEARCH(Query!$B$7,'Compliance Database'!$J4))),OR(Query!$B$8="All",'Compliance Database'!$G4=Query!$B$8),OR(Query!$B$9="All",'Compliance Database'!$K4=Query!$B$9),OR(Query!$B$10="",ISNUMBER(SEARCH(Query!$B$10,'Compliance Database'!$D4&amp;" "&amp;'Compliance Database'!$L4&amp;" "&amp;'Compliance Database'!$M4&amp;" "&amp;'Compliance Database'!$N4&amp;" "&amp;'Compliance Database'!$O4)))),1,0)</f>
        <v>1</v>
      </c>
      <c r="B4">
        <f>IF($A4=1,SUM($A$2:$A4),"")</f>
        <v>3</v>
      </c>
      <c r="C4">
        <f>IF($A4=1,SUM($A$2:$A4),0)</f>
        <v>3</v>
      </c>
    </row>
    <row r="5" spans="1:4" x14ac:dyDescent="0.3">
      <c r="A5">
        <f>IF(AND(OR(Query!$B$4="All",'Compliance Database'!$A5=Query!$B$4),OR(Query!$B$5="All",'Compliance Database'!$F5=Query!$B$5),OR(Query!$B$6="All",ISNUMBER(SEARCH(Query!$B$6,'Compliance Database'!$I5))),OR(Query!$B$7="All",ISNUMBER(SEARCH(Query!$B$7,'Compliance Database'!$J5))),OR(Query!$B$8="All",'Compliance Database'!$G5=Query!$B$8),OR(Query!$B$9="All",'Compliance Database'!$K5=Query!$B$9),OR(Query!$B$10="",ISNUMBER(SEARCH(Query!$B$10,'Compliance Database'!$D5&amp;" "&amp;'Compliance Database'!$L5&amp;" "&amp;'Compliance Database'!$M5&amp;" "&amp;'Compliance Database'!$N5&amp;" "&amp;'Compliance Database'!$O5)))),1,0)</f>
        <v>1</v>
      </c>
      <c r="B5">
        <f>IF($A5=1,SUM($A$2:$A5),"")</f>
        <v>4</v>
      </c>
      <c r="C5">
        <f>IF($A5=1,SUM($A$2:$A5),0)</f>
        <v>4</v>
      </c>
    </row>
    <row r="6" spans="1:4" x14ac:dyDescent="0.3">
      <c r="A6">
        <f>IF(AND(OR(Query!$B$4="All",'Compliance Database'!$A6=Query!$B$4),OR(Query!$B$5="All",'Compliance Database'!$F6=Query!$B$5),OR(Query!$B$6="All",ISNUMBER(SEARCH(Query!$B$6,'Compliance Database'!$I6))),OR(Query!$B$7="All",ISNUMBER(SEARCH(Query!$B$7,'Compliance Database'!$J6))),OR(Query!$B$8="All",'Compliance Database'!$G6=Query!$B$8),OR(Query!$B$9="All",'Compliance Database'!$K6=Query!$B$9),OR(Query!$B$10="",ISNUMBER(SEARCH(Query!$B$10,'Compliance Database'!$D6&amp;" "&amp;'Compliance Database'!$L6&amp;" "&amp;'Compliance Database'!$M6&amp;" "&amp;'Compliance Database'!$N6&amp;" "&amp;'Compliance Database'!$O6)))),1,0)</f>
        <v>1</v>
      </c>
      <c r="B6">
        <f>IF($A6=1,SUM($A$2:$A6),"")</f>
        <v>5</v>
      </c>
      <c r="C6">
        <f>IF($A6=1,SUM($A$2:$A6),0)</f>
        <v>5</v>
      </c>
    </row>
    <row r="7" spans="1:4" x14ac:dyDescent="0.3">
      <c r="A7">
        <f>IF(AND(OR(Query!$B$4="All",'Compliance Database'!$A7=Query!$B$4),OR(Query!$B$5="All",'Compliance Database'!$F7=Query!$B$5),OR(Query!$B$6="All",ISNUMBER(SEARCH(Query!$B$6,'Compliance Database'!$I7))),OR(Query!$B$7="All",ISNUMBER(SEARCH(Query!$B$7,'Compliance Database'!$J7))),OR(Query!$B$8="All",'Compliance Database'!$G7=Query!$B$8),OR(Query!$B$9="All",'Compliance Database'!$K7=Query!$B$9),OR(Query!$B$10="",ISNUMBER(SEARCH(Query!$B$10,'Compliance Database'!$D7&amp;" "&amp;'Compliance Database'!$L7&amp;" "&amp;'Compliance Database'!$M7&amp;" "&amp;'Compliance Database'!$N7&amp;" "&amp;'Compliance Database'!$O7)))),1,0)</f>
        <v>1</v>
      </c>
      <c r="B7">
        <f>IF($A7=1,SUM($A$2:$A7),"")</f>
        <v>6</v>
      </c>
      <c r="C7">
        <f>IF($A7=1,SUM($A$2:$A7),0)</f>
        <v>6</v>
      </c>
    </row>
    <row r="8" spans="1:4" x14ac:dyDescent="0.3">
      <c r="A8">
        <f>IF(AND(OR(Query!$B$4="All",'Compliance Database'!$A8=Query!$B$4),OR(Query!$B$5="All",'Compliance Database'!$F8=Query!$B$5),OR(Query!$B$6="All",ISNUMBER(SEARCH(Query!$B$6,'Compliance Database'!$I8))),OR(Query!$B$7="All",ISNUMBER(SEARCH(Query!$B$7,'Compliance Database'!$J8))),OR(Query!$B$8="All",'Compliance Database'!$G8=Query!$B$8),OR(Query!$B$9="All",'Compliance Database'!$K8=Query!$B$9),OR(Query!$B$10="",ISNUMBER(SEARCH(Query!$B$10,'Compliance Database'!$D8&amp;" "&amp;'Compliance Database'!$L8&amp;" "&amp;'Compliance Database'!$M8&amp;" "&amp;'Compliance Database'!$N8&amp;" "&amp;'Compliance Database'!$O8)))),1,0)</f>
        <v>1</v>
      </c>
      <c r="B8">
        <f>IF($A8=1,SUM($A$2:$A8),"")</f>
        <v>7</v>
      </c>
      <c r="C8">
        <f>IF($A8=1,SUM($A$2:$A8),0)</f>
        <v>7</v>
      </c>
    </row>
    <row r="9" spans="1:4" x14ac:dyDescent="0.3">
      <c r="A9">
        <f>IF(AND(OR(Query!$B$4="All",'Compliance Database'!$A9=Query!$B$4),OR(Query!$B$5="All",'Compliance Database'!$F9=Query!$B$5),OR(Query!$B$6="All",ISNUMBER(SEARCH(Query!$B$6,'Compliance Database'!$I9))),OR(Query!$B$7="All",ISNUMBER(SEARCH(Query!$B$7,'Compliance Database'!$J9))),OR(Query!$B$8="All",'Compliance Database'!$G9=Query!$B$8),OR(Query!$B$9="All",'Compliance Database'!$K9=Query!$B$9),OR(Query!$B$10="",ISNUMBER(SEARCH(Query!$B$10,'Compliance Database'!$D9&amp;" "&amp;'Compliance Database'!$L9&amp;" "&amp;'Compliance Database'!$M9&amp;" "&amp;'Compliance Database'!$N9&amp;" "&amp;'Compliance Database'!$O9)))),1,0)</f>
        <v>1</v>
      </c>
      <c r="B9">
        <f>IF($A9=1,SUM($A$2:$A9),"")</f>
        <v>8</v>
      </c>
      <c r="C9">
        <f>IF($A9=1,SUM($A$2:$A9),0)</f>
        <v>8</v>
      </c>
    </row>
    <row r="10" spans="1:4" x14ac:dyDescent="0.3">
      <c r="A10">
        <f>IF(AND(OR(Query!$B$4="All",'Compliance Database'!$A10=Query!$B$4),OR(Query!$B$5="All",'Compliance Database'!$F10=Query!$B$5),OR(Query!$B$6="All",ISNUMBER(SEARCH(Query!$B$6,'Compliance Database'!$I10))),OR(Query!$B$7="All",ISNUMBER(SEARCH(Query!$B$7,'Compliance Database'!$J10))),OR(Query!$B$8="All",'Compliance Database'!$G10=Query!$B$8),OR(Query!$B$9="All",'Compliance Database'!$K10=Query!$B$9),OR(Query!$B$10="",ISNUMBER(SEARCH(Query!$B$10,'Compliance Database'!$D10&amp;" "&amp;'Compliance Database'!$L10&amp;" "&amp;'Compliance Database'!$M10&amp;" "&amp;'Compliance Database'!$N10&amp;" "&amp;'Compliance Database'!$O10)))),1,0)</f>
        <v>1</v>
      </c>
      <c r="B10">
        <f>IF($A10=1,SUM($A$2:$A10),"")</f>
        <v>9</v>
      </c>
      <c r="C10">
        <f>IF($A10=1,SUM($A$2:$A10),0)</f>
        <v>9</v>
      </c>
    </row>
    <row r="11" spans="1:4" x14ac:dyDescent="0.3">
      <c r="A11">
        <f>IF(AND(OR(Query!$B$4="All",'Compliance Database'!$A11=Query!$B$4),OR(Query!$B$5="All",'Compliance Database'!$F11=Query!$B$5),OR(Query!$B$6="All",ISNUMBER(SEARCH(Query!$B$6,'Compliance Database'!$I11))),OR(Query!$B$7="All",ISNUMBER(SEARCH(Query!$B$7,'Compliance Database'!$J11))),OR(Query!$B$8="All",'Compliance Database'!$G11=Query!$B$8),OR(Query!$B$9="All",'Compliance Database'!$K11=Query!$B$9),OR(Query!$B$10="",ISNUMBER(SEARCH(Query!$B$10,'Compliance Database'!$D11&amp;" "&amp;'Compliance Database'!$L11&amp;" "&amp;'Compliance Database'!$M11&amp;" "&amp;'Compliance Database'!$N11&amp;" "&amp;'Compliance Database'!$O11)))),1,0)</f>
        <v>1</v>
      </c>
      <c r="B11">
        <f>IF($A11=1,SUM($A$2:$A11),"")</f>
        <v>10</v>
      </c>
      <c r="C11">
        <f>IF($A11=1,SUM($A$2:$A11),0)</f>
        <v>10</v>
      </c>
    </row>
    <row r="12" spans="1:4" x14ac:dyDescent="0.3">
      <c r="A12">
        <f>IF(AND(OR(Query!$B$4="All",'Compliance Database'!$A12=Query!$B$4),OR(Query!$B$5="All",'Compliance Database'!$F12=Query!$B$5),OR(Query!$B$6="All",ISNUMBER(SEARCH(Query!$B$6,'Compliance Database'!$I12))),OR(Query!$B$7="All",ISNUMBER(SEARCH(Query!$B$7,'Compliance Database'!$J12))),OR(Query!$B$8="All",'Compliance Database'!$G12=Query!$B$8),OR(Query!$B$9="All",'Compliance Database'!$K12=Query!$B$9),OR(Query!$B$10="",ISNUMBER(SEARCH(Query!$B$10,'Compliance Database'!$D12&amp;" "&amp;'Compliance Database'!$L12&amp;" "&amp;'Compliance Database'!$M12&amp;" "&amp;'Compliance Database'!$N12&amp;" "&amp;'Compliance Database'!$O12)))),1,0)</f>
        <v>1</v>
      </c>
      <c r="B12">
        <f>IF($A12=1,SUM($A$2:$A12),"")</f>
        <v>11</v>
      </c>
      <c r="C12">
        <f>IF($A12=1,SUM($A$2:$A12),0)</f>
        <v>11</v>
      </c>
    </row>
    <row r="13" spans="1:4" x14ac:dyDescent="0.3">
      <c r="A13">
        <f>IF(AND(OR(Query!$B$4="All",'Compliance Database'!$A13=Query!$B$4),OR(Query!$B$5="All",'Compliance Database'!$F13=Query!$B$5),OR(Query!$B$6="All",ISNUMBER(SEARCH(Query!$B$6,'Compliance Database'!$I13))),OR(Query!$B$7="All",ISNUMBER(SEARCH(Query!$B$7,'Compliance Database'!$J13))),OR(Query!$B$8="All",'Compliance Database'!$G13=Query!$B$8),OR(Query!$B$9="All",'Compliance Database'!$K13=Query!$B$9),OR(Query!$B$10="",ISNUMBER(SEARCH(Query!$B$10,'Compliance Database'!$D13&amp;" "&amp;'Compliance Database'!$L13&amp;" "&amp;'Compliance Database'!$M13&amp;" "&amp;'Compliance Database'!$N13&amp;" "&amp;'Compliance Database'!$O13)))),1,0)</f>
        <v>1</v>
      </c>
      <c r="B13">
        <f>IF($A13=1,SUM($A$2:$A13),"")</f>
        <v>12</v>
      </c>
      <c r="C13">
        <f>IF($A13=1,SUM($A$2:$A13),0)</f>
        <v>12</v>
      </c>
    </row>
    <row r="14" spans="1:4" x14ac:dyDescent="0.3">
      <c r="A14">
        <f>IF(AND(OR(Query!$B$4="All",'Compliance Database'!$A14=Query!$B$4),OR(Query!$B$5="All",'Compliance Database'!$F14=Query!$B$5),OR(Query!$B$6="All",ISNUMBER(SEARCH(Query!$B$6,'Compliance Database'!$I14))),OR(Query!$B$7="All",ISNUMBER(SEARCH(Query!$B$7,'Compliance Database'!$J14))),OR(Query!$B$8="All",'Compliance Database'!$G14=Query!$B$8),OR(Query!$B$9="All",'Compliance Database'!$K14=Query!$B$9),OR(Query!$B$10="",ISNUMBER(SEARCH(Query!$B$10,'Compliance Database'!$D14&amp;" "&amp;'Compliance Database'!$L14&amp;" "&amp;'Compliance Database'!$M14&amp;" "&amp;'Compliance Database'!$N14&amp;" "&amp;'Compliance Database'!$O14)))),1,0)</f>
        <v>1</v>
      </c>
      <c r="B14">
        <f>IF($A14=1,SUM($A$2:$A14),"")</f>
        <v>13</v>
      </c>
      <c r="C14">
        <f>IF($A14=1,SUM($A$2:$A14),0)</f>
        <v>13</v>
      </c>
    </row>
    <row r="15" spans="1:4" x14ac:dyDescent="0.3">
      <c r="A15">
        <f>IF(AND(OR(Query!$B$4="All",'Compliance Database'!$A15=Query!$B$4),OR(Query!$B$5="All",'Compliance Database'!$F15=Query!$B$5),OR(Query!$B$6="All",ISNUMBER(SEARCH(Query!$B$6,'Compliance Database'!$I15))),OR(Query!$B$7="All",ISNUMBER(SEARCH(Query!$B$7,'Compliance Database'!$J15))),OR(Query!$B$8="All",'Compliance Database'!$G15=Query!$B$8),OR(Query!$B$9="All",'Compliance Database'!$K15=Query!$B$9),OR(Query!$B$10="",ISNUMBER(SEARCH(Query!$B$10,'Compliance Database'!$D15&amp;" "&amp;'Compliance Database'!$L15&amp;" "&amp;'Compliance Database'!$M15&amp;" "&amp;'Compliance Database'!$N15&amp;" "&amp;'Compliance Database'!$O15)))),1,0)</f>
        <v>1</v>
      </c>
      <c r="B15">
        <f>IF($A15=1,SUM($A$2:$A15),"")</f>
        <v>14</v>
      </c>
      <c r="C15">
        <f>IF($A15=1,SUM($A$2:$A15),0)</f>
        <v>14</v>
      </c>
    </row>
    <row r="16" spans="1:4" x14ac:dyDescent="0.3">
      <c r="A16">
        <f>IF(AND(OR(Query!$B$4="All",'Compliance Database'!$A16=Query!$B$4),OR(Query!$B$5="All",'Compliance Database'!$F16=Query!$B$5),OR(Query!$B$6="All",ISNUMBER(SEARCH(Query!$B$6,'Compliance Database'!$I16))),OR(Query!$B$7="All",ISNUMBER(SEARCH(Query!$B$7,'Compliance Database'!$J16))),OR(Query!$B$8="All",'Compliance Database'!$G16=Query!$B$8),OR(Query!$B$9="All",'Compliance Database'!$K16=Query!$B$9),OR(Query!$B$10="",ISNUMBER(SEARCH(Query!$B$10,'Compliance Database'!$D16&amp;" "&amp;'Compliance Database'!$L16&amp;" "&amp;'Compliance Database'!$M16&amp;" "&amp;'Compliance Database'!$N16&amp;" "&amp;'Compliance Database'!$O16)))),1,0)</f>
        <v>1</v>
      </c>
      <c r="B16">
        <f>IF($A16=1,SUM($A$2:$A16),"")</f>
        <v>15</v>
      </c>
      <c r="C16">
        <f>IF($A16=1,SUM($A$2:$A16),0)</f>
        <v>15</v>
      </c>
    </row>
    <row r="17" spans="1:3" x14ac:dyDescent="0.3">
      <c r="A17">
        <f>IF(AND(OR(Query!$B$4="All",'Compliance Database'!$A17=Query!$B$4),OR(Query!$B$5="All",'Compliance Database'!$F17=Query!$B$5),OR(Query!$B$6="All",ISNUMBER(SEARCH(Query!$B$6,'Compliance Database'!$I17))),OR(Query!$B$7="All",ISNUMBER(SEARCH(Query!$B$7,'Compliance Database'!$J17))),OR(Query!$B$8="All",'Compliance Database'!$G17=Query!$B$8),OR(Query!$B$9="All",'Compliance Database'!$K17=Query!$B$9),OR(Query!$B$10="",ISNUMBER(SEARCH(Query!$B$10,'Compliance Database'!$D17&amp;" "&amp;'Compliance Database'!$L17&amp;" "&amp;'Compliance Database'!$M17&amp;" "&amp;'Compliance Database'!$N17&amp;" "&amp;'Compliance Database'!$O17)))),1,0)</f>
        <v>1</v>
      </c>
      <c r="B17">
        <f>IF($A17=1,SUM($A$2:$A17),"")</f>
        <v>16</v>
      </c>
      <c r="C17">
        <f>IF($A17=1,SUM($A$2:$A17),0)</f>
        <v>16</v>
      </c>
    </row>
    <row r="18" spans="1:3" x14ac:dyDescent="0.3">
      <c r="A18">
        <f>IF(AND(OR(Query!$B$4="All",'Compliance Database'!$A18=Query!$B$4),OR(Query!$B$5="All",'Compliance Database'!$F18=Query!$B$5),OR(Query!$B$6="All",ISNUMBER(SEARCH(Query!$B$6,'Compliance Database'!$I18))),OR(Query!$B$7="All",ISNUMBER(SEARCH(Query!$B$7,'Compliance Database'!$J18))),OR(Query!$B$8="All",'Compliance Database'!$G18=Query!$B$8),OR(Query!$B$9="All",'Compliance Database'!$K18=Query!$B$9),OR(Query!$B$10="",ISNUMBER(SEARCH(Query!$B$10,'Compliance Database'!$D18&amp;" "&amp;'Compliance Database'!$L18&amp;" "&amp;'Compliance Database'!$M18&amp;" "&amp;'Compliance Database'!$N18&amp;" "&amp;'Compliance Database'!$O18)))),1,0)</f>
        <v>1</v>
      </c>
      <c r="B18">
        <f>IF($A18=1,SUM($A$2:$A18),"")</f>
        <v>17</v>
      </c>
      <c r="C18">
        <f>IF($A18=1,SUM($A$2:$A18),0)</f>
        <v>17</v>
      </c>
    </row>
    <row r="19" spans="1:3" x14ac:dyDescent="0.3">
      <c r="A19">
        <f>IF(AND(OR(Query!$B$4="All",'Compliance Database'!$A19=Query!$B$4),OR(Query!$B$5="All",'Compliance Database'!$F19=Query!$B$5),OR(Query!$B$6="All",ISNUMBER(SEARCH(Query!$B$6,'Compliance Database'!$I19))),OR(Query!$B$7="All",ISNUMBER(SEARCH(Query!$B$7,'Compliance Database'!$J19))),OR(Query!$B$8="All",'Compliance Database'!$G19=Query!$B$8),OR(Query!$B$9="All",'Compliance Database'!$K19=Query!$B$9),OR(Query!$B$10="",ISNUMBER(SEARCH(Query!$B$10,'Compliance Database'!$D19&amp;" "&amp;'Compliance Database'!$L19&amp;" "&amp;'Compliance Database'!$M19&amp;" "&amp;'Compliance Database'!$N19&amp;" "&amp;'Compliance Database'!$O19)))),1,0)</f>
        <v>1</v>
      </c>
      <c r="B19">
        <f>IF($A19=1,SUM($A$2:$A19),"")</f>
        <v>18</v>
      </c>
      <c r="C19">
        <f>IF($A19=1,SUM($A$2:$A19),0)</f>
        <v>18</v>
      </c>
    </row>
    <row r="20" spans="1:3" x14ac:dyDescent="0.3">
      <c r="A20">
        <f>IF(AND(OR(Query!$B$4="All",'Compliance Database'!$A20=Query!$B$4),OR(Query!$B$5="All",'Compliance Database'!$F20=Query!$B$5),OR(Query!$B$6="All",ISNUMBER(SEARCH(Query!$B$6,'Compliance Database'!$I20))),OR(Query!$B$7="All",ISNUMBER(SEARCH(Query!$B$7,'Compliance Database'!$J20))),OR(Query!$B$8="All",'Compliance Database'!$G20=Query!$B$8),OR(Query!$B$9="All",'Compliance Database'!$K20=Query!$B$9),OR(Query!$B$10="",ISNUMBER(SEARCH(Query!$B$10,'Compliance Database'!$D20&amp;" "&amp;'Compliance Database'!$L20&amp;" "&amp;'Compliance Database'!$M20&amp;" "&amp;'Compliance Database'!$N20&amp;" "&amp;'Compliance Database'!$O20)))),1,0)</f>
        <v>1</v>
      </c>
      <c r="B20">
        <f>IF($A20=1,SUM($A$2:$A20),"")</f>
        <v>19</v>
      </c>
      <c r="C20">
        <f>IF($A20=1,SUM($A$2:$A20),0)</f>
        <v>19</v>
      </c>
    </row>
    <row r="21" spans="1:3" x14ac:dyDescent="0.3">
      <c r="A21">
        <f>IF(AND(OR(Query!$B$4="All",'Compliance Database'!$A21=Query!$B$4),OR(Query!$B$5="All",'Compliance Database'!$F21=Query!$B$5),OR(Query!$B$6="All",ISNUMBER(SEARCH(Query!$B$6,'Compliance Database'!$I21))),OR(Query!$B$7="All",ISNUMBER(SEARCH(Query!$B$7,'Compliance Database'!$J21))),OR(Query!$B$8="All",'Compliance Database'!$G21=Query!$B$8),OR(Query!$B$9="All",'Compliance Database'!$K21=Query!$B$9),OR(Query!$B$10="",ISNUMBER(SEARCH(Query!$B$10,'Compliance Database'!$D21&amp;" "&amp;'Compliance Database'!$L21&amp;" "&amp;'Compliance Database'!$M21&amp;" "&amp;'Compliance Database'!$N21&amp;" "&amp;'Compliance Database'!$O21)))),1,0)</f>
        <v>1</v>
      </c>
      <c r="B21">
        <f>IF($A21=1,SUM($A$2:$A21),"")</f>
        <v>20</v>
      </c>
      <c r="C21">
        <f>IF($A21=1,SUM($A$2:$A21),0)</f>
        <v>20</v>
      </c>
    </row>
    <row r="22" spans="1:3" x14ac:dyDescent="0.3">
      <c r="A22">
        <f>IF(AND(OR(Query!$B$4="All",'Compliance Database'!$A22=Query!$B$4),OR(Query!$B$5="All",'Compliance Database'!$F22=Query!$B$5),OR(Query!$B$6="All",ISNUMBER(SEARCH(Query!$B$6,'Compliance Database'!$I22))),OR(Query!$B$7="All",ISNUMBER(SEARCH(Query!$B$7,'Compliance Database'!$J22))),OR(Query!$B$8="All",'Compliance Database'!$G22=Query!$B$8),OR(Query!$B$9="All",'Compliance Database'!$K22=Query!$B$9),OR(Query!$B$10="",ISNUMBER(SEARCH(Query!$B$10,'Compliance Database'!$D22&amp;" "&amp;'Compliance Database'!$L22&amp;" "&amp;'Compliance Database'!$M22&amp;" "&amp;'Compliance Database'!$N22&amp;" "&amp;'Compliance Database'!$O22)))),1,0)</f>
        <v>1</v>
      </c>
      <c r="B22">
        <f>IF($A22=1,SUM($A$2:$A22),"")</f>
        <v>21</v>
      </c>
      <c r="C22">
        <f>IF($A22=1,SUM($A$2:$A22),0)</f>
        <v>21</v>
      </c>
    </row>
    <row r="23" spans="1:3" x14ac:dyDescent="0.3">
      <c r="A23">
        <f>IF(AND(OR(Query!$B$4="All",'Compliance Database'!$A23=Query!$B$4),OR(Query!$B$5="All",'Compliance Database'!$F23=Query!$B$5),OR(Query!$B$6="All",ISNUMBER(SEARCH(Query!$B$6,'Compliance Database'!$I23))),OR(Query!$B$7="All",ISNUMBER(SEARCH(Query!$B$7,'Compliance Database'!$J23))),OR(Query!$B$8="All",'Compliance Database'!$G23=Query!$B$8),OR(Query!$B$9="All",'Compliance Database'!$K23=Query!$B$9),OR(Query!$B$10="",ISNUMBER(SEARCH(Query!$B$10,'Compliance Database'!$D23&amp;" "&amp;'Compliance Database'!$L23&amp;" "&amp;'Compliance Database'!$M23&amp;" "&amp;'Compliance Database'!$N23&amp;" "&amp;'Compliance Database'!$O23)))),1,0)</f>
        <v>1</v>
      </c>
      <c r="B23">
        <f>IF($A23=1,SUM($A$2:$A23),"")</f>
        <v>22</v>
      </c>
      <c r="C23">
        <f>IF($A23=1,SUM($A$2:$A23),0)</f>
        <v>22</v>
      </c>
    </row>
    <row r="24" spans="1:3" x14ac:dyDescent="0.3">
      <c r="A24">
        <f>IF(AND(OR(Query!$B$4="All",'Compliance Database'!$A24=Query!$B$4),OR(Query!$B$5="All",'Compliance Database'!$F24=Query!$B$5),OR(Query!$B$6="All",ISNUMBER(SEARCH(Query!$B$6,'Compliance Database'!$I24))),OR(Query!$B$7="All",ISNUMBER(SEARCH(Query!$B$7,'Compliance Database'!$J24))),OR(Query!$B$8="All",'Compliance Database'!$G24=Query!$B$8),OR(Query!$B$9="All",'Compliance Database'!$K24=Query!$B$9),OR(Query!$B$10="",ISNUMBER(SEARCH(Query!$B$10,'Compliance Database'!$D24&amp;" "&amp;'Compliance Database'!$L24&amp;" "&amp;'Compliance Database'!$M24&amp;" "&amp;'Compliance Database'!$N24&amp;" "&amp;'Compliance Database'!$O24)))),1,0)</f>
        <v>1</v>
      </c>
      <c r="B24">
        <f>IF($A24=1,SUM($A$2:$A24),"")</f>
        <v>23</v>
      </c>
      <c r="C24">
        <f>IF($A24=1,SUM($A$2:$A24),0)</f>
        <v>23</v>
      </c>
    </row>
    <row r="25" spans="1:3" x14ac:dyDescent="0.3">
      <c r="A25">
        <f>IF(AND(OR(Query!$B$4="All",'Compliance Database'!$A25=Query!$B$4),OR(Query!$B$5="All",'Compliance Database'!$F25=Query!$B$5),OR(Query!$B$6="All",ISNUMBER(SEARCH(Query!$B$6,'Compliance Database'!$I25))),OR(Query!$B$7="All",ISNUMBER(SEARCH(Query!$B$7,'Compliance Database'!$J25))),OR(Query!$B$8="All",'Compliance Database'!$G25=Query!$B$8),OR(Query!$B$9="All",'Compliance Database'!$K25=Query!$B$9),OR(Query!$B$10="",ISNUMBER(SEARCH(Query!$B$10,'Compliance Database'!$D25&amp;" "&amp;'Compliance Database'!$L25&amp;" "&amp;'Compliance Database'!$M25&amp;" "&amp;'Compliance Database'!$N25&amp;" "&amp;'Compliance Database'!$O25)))),1,0)</f>
        <v>1</v>
      </c>
      <c r="B25">
        <f>IF($A25=1,SUM($A$2:$A25),"")</f>
        <v>24</v>
      </c>
      <c r="C25">
        <f>IF($A25=1,SUM($A$2:$A25),0)</f>
        <v>24</v>
      </c>
    </row>
    <row r="26" spans="1:3" x14ac:dyDescent="0.3">
      <c r="A26">
        <f>IF(AND(OR(Query!$B$4="All",'Compliance Database'!$A26=Query!$B$4),OR(Query!$B$5="All",'Compliance Database'!$F26=Query!$B$5),OR(Query!$B$6="All",ISNUMBER(SEARCH(Query!$B$6,'Compliance Database'!$I26))),OR(Query!$B$7="All",ISNUMBER(SEARCH(Query!$B$7,'Compliance Database'!$J26))),OR(Query!$B$8="All",'Compliance Database'!$G26=Query!$B$8),OR(Query!$B$9="All",'Compliance Database'!$K26=Query!$B$9),OR(Query!$B$10="",ISNUMBER(SEARCH(Query!$B$10,'Compliance Database'!$D26&amp;" "&amp;'Compliance Database'!$L26&amp;" "&amp;'Compliance Database'!$M26&amp;" "&amp;'Compliance Database'!$N26&amp;" "&amp;'Compliance Database'!$O26)))),1,0)</f>
        <v>1</v>
      </c>
      <c r="B26">
        <f>IF($A26=1,SUM($A$2:$A26),"")</f>
        <v>25</v>
      </c>
      <c r="C26">
        <f>IF($A26=1,SUM($A$2:$A26),0)</f>
        <v>25</v>
      </c>
    </row>
    <row r="27" spans="1:3" x14ac:dyDescent="0.3">
      <c r="A27">
        <f>IF(AND(OR(Query!$B$4="All",'Compliance Database'!$A27=Query!$B$4),OR(Query!$B$5="All",'Compliance Database'!$F27=Query!$B$5),OR(Query!$B$6="All",ISNUMBER(SEARCH(Query!$B$6,'Compliance Database'!$I27))),OR(Query!$B$7="All",ISNUMBER(SEARCH(Query!$B$7,'Compliance Database'!$J27))),OR(Query!$B$8="All",'Compliance Database'!$G27=Query!$B$8),OR(Query!$B$9="All",'Compliance Database'!$K27=Query!$B$9),OR(Query!$B$10="",ISNUMBER(SEARCH(Query!$B$10,'Compliance Database'!$D27&amp;" "&amp;'Compliance Database'!$L27&amp;" "&amp;'Compliance Database'!$M27&amp;" "&amp;'Compliance Database'!$N27&amp;" "&amp;'Compliance Database'!$O27)))),1,0)</f>
        <v>1</v>
      </c>
      <c r="B27">
        <f>IF($A27=1,SUM($A$2:$A27),"")</f>
        <v>26</v>
      </c>
      <c r="C27">
        <f>IF($A27=1,SUM($A$2:$A27),0)</f>
        <v>26</v>
      </c>
    </row>
    <row r="28" spans="1:3" x14ac:dyDescent="0.3">
      <c r="A28">
        <f>IF(AND(OR(Query!$B$4="All",'Compliance Database'!$A28=Query!$B$4),OR(Query!$B$5="All",'Compliance Database'!$F28=Query!$B$5),OR(Query!$B$6="All",ISNUMBER(SEARCH(Query!$B$6,'Compliance Database'!$I28))),OR(Query!$B$7="All",ISNUMBER(SEARCH(Query!$B$7,'Compliance Database'!$J28))),OR(Query!$B$8="All",'Compliance Database'!$G28=Query!$B$8),OR(Query!$B$9="All",'Compliance Database'!$K28=Query!$B$9),OR(Query!$B$10="",ISNUMBER(SEARCH(Query!$B$10,'Compliance Database'!$D28&amp;" "&amp;'Compliance Database'!$L28&amp;" "&amp;'Compliance Database'!$M28&amp;" "&amp;'Compliance Database'!$N28&amp;" "&amp;'Compliance Database'!$O28)))),1,0)</f>
        <v>1</v>
      </c>
      <c r="B28">
        <f>IF($A28=1,SUM($A$2:$A28),"")</f>
        <v>27</v>
      </c>
      <c r="C28">
        <f>IF($A28=1,SUM($A$2:$A28),0)</f>
        <v>27</v>
      </c>
    </row>
    <row r="29" spans="1:3" x14ac:dyDescent="0.3">
      <c r="A29">
        <f>IF(AND(OR(Query!$B$4="All",'Compliance Database'!$A29=Query!$B$4),OR(Query!$B$5="All",'Compliance Database'!$F29=Query!$B$5),OR(Query!$B$6="All",ISNUMBER(SEARCH(Query!$B$6,'Compliance Database'!$I29))),OR(Query!$B$7="All",ISNUMBER(SEARCH(Query!$B$7,'Compliance Database'!$J29))),OR(Query!$B$8="All",'Compliance Database'!$G29=Query!$B$8),OR(Query!$B$9="All",'Compliance Database'!$K29=Query!$B$9),OR(Query!$B$10="",ISNUMBER(SEARCH(Query!$B$10,'Compliance Database'!$D29&amp;" "&amp;'Compliance Database'!$L29&amp;" "&amp;'Compliance Database'!$M29&amp;" "&amp;'Compliance Database'!$N29&amp;" "&amp;'Compliance Database'!$O29)))),1,0)</f>
        <v>1</v>
      </c>
      <c r="B29">
        <f>IF($A29=1,SUM($A$2:$A29),"")</f>
        <v>28</v>
      </c>
      <c r="C29">
        <f>IF($A29=1,SUM($A$2:$A29),0)</f>
        <v>28</v>
      </c>
    </row>
    <row r="30" spans="1:3" x14ac:dyDescent="0.3">
      <c r="A30">
        <f>IF(AND(OR(Query!$B$4="All",'Compliance Database'!$A30=Query!$B$4),OR(Query!$B$5="All",'Compliance Database'!$F30=Query!$B$5),OR(Query!$B$6="All",ISNUMBER(SEARCH(Query!$B$6,'Compliance Database'!$I30))),OR(Query!$B$7="All",ISNUMBER(SEARCH(Query!$B$7,'Compliance Database'!$J30))),OR(Query!$B$8="All",'Compliance Database'!$G30=Query!$B$8),OR(Query!$B$9="All",'Compliance Database'!$K30=Query!$B$9),OR(Query!$B$10="",ISNUMBER(SEARCH(Query!$B$10,'Compliance Database'!$D30&amp;" "&amp;'Compliance Database'!$L30&amp;" "&amp;'Compliance Database'!$M30&amp;" "&amp;'Compliance Database'!$N30&amp;" "&amp;'Compliance Database'!$O30)))),1,0)</f>
        <v>1</v>
      </c>
      <c r="B30">
        <f>IF($A30=1,SUM($A$2:$A30),"")</f>
        <v>29</v>
      </c>
      <c r="C30">
        <f>IF($A30=1,SUM($A$2:$A30),0)</f>
        <v>29</v>
      </c>
    </row>
    <row r="31" spans="1:3" x14ac:dyDescent="0.3">
      <c r="A31">
        <f>IF(AND(OR(Query!$B$4="All",'Compliance Database'!$A31=Query!$B$4),OR(Query!$B$5="All",'Compliance Database'!$F31=Query!$B$5),OR(Query!$B$6="All",ISNUMBER(SEARCH(Query!$B$6,'Compliance Database'!$I31))),OR(Query!$B$7="All",ISNUMBER(SEARCH(Query!$B$7,'Compliance Database'!$J31))),OR(Query!$B$8="All",'Compliance Database'!$G31=Query!$B$8),OR(Query!$B$9="All",'Compliance Database'!$K31=Query!$B$9),OR(Query!$B$10="",ISNUMBER(SEARCH(Query!$B$10,'Compliance Database'!$D31&amp;" "&amp;'Compliance Database'!$L31&amp;" "&amp;'Compliance Database'!$M31&amp;" "&amp;'Compliance Database'!$N31&amp;" "&amp;'Compliance Database'!$O31)))),1,0)</f>
        <v>1</v>
      </c>
      <c r="B31">
        <f>IF($A31=1,SUM($A$2:$A31),"")</f>
        <v>30</v>
      </c>
      <c r="C31">
        <f>IF($A31=1,SUM($A$2:$A31),0)</f>
        <v>30</v>
      </c>
    </row>
    <row r="32" spans="1:3" x14ac:dyDescent="0.3">
      <c r="A32">
        <f>IF(AND(OR(Query!$B$4="All",'Compliance Database'!$A32=Query!$B$4),OR(Query!$B$5="All",'Compliance Database'!$F32=Query!$B$5),OR(Query!$B$6="All",ISNUMBER(SEARCH(Query!$B$6,'Compliance Database'!$I32))),OR(Query!$B$7="All",ISNUMBER(SEARCH(Query!$B$7,'Compliance Database'!$J32))),OR(Query!$B$8="All",'Compliance Database'!$G32=Query!$B$8),OR(Query!$B$9="All",'Compliance Database'!$K32=Query!$B$9),OR(Query!$B$10="",ISNUMBER(SEARCH(Query!$B$10,'Compliance Database'!$D32&amp;" "&amp;'Compliance Database'!$L32&amp;" "&amp;'Compliance Database'!$M32&amp;" "&amp;'Compliance Database'!$N32&amp;" "&amp;'Compliance Database'!$O32)))),1,0)</f>
        <v>1</v>
      </c>
      <c r="B32">
        <f>IF($A32=1,SUM($A$2:$A32),"")</f>
        <v>31</v>
      </c>
      <c r="C32">
        <f>IF($A32=1,SUM($A$2:$A32),0)</f>
        <v>31</v>
      </c>
    </row>
    <row r="33" spans="1:3" x14ac:dyDescent="0.3">
      <c r="A33">
        <f>IF(AND(OR(Query!$B$4="All",'Compliance Database'!$A33=Query!$B$4),OR(Query!$B$5="All",'Compliance Database'!$F33=Query!$B$5),OR(Query!$B$6="All",ISNUMBER(SEARCH(Query!$B$6,'Compliance Database'!$I33))),OR(Query!$B$7="All",ISNUMBER(SEARCH(Query!$B$7,'Compliance Database'!$J33))),OR(Query!$B$8="All",'Compliance Database'!$G33=Query!$B$8),OR(Query!$B$9="All",'Compliance Database'!$K33=Query!$B$9),OR(Query!$B$10="",ISNUMBER(SEARCH(Query!$B$10,'Compliance Database'!$D33&amp;" "&amp;'Compliance Database'!$L33&amp;" "&amp;'Compliance Database'!$M33&amp;" "&amp;'Compliance Database'!$N33&amp;" "&amp;'Compliance Database'!$O33)))),1,0)</f>
        <v>1</v>
      </c>
      <c r="B33">
        <f>IF($A33=1,SUM($A$2:$A33),"")</f>
        <v>32</v>
      </c>
      <c r="C33">
        <f>IF($A33=1,SUM($A$2:$A33),0)</f>
        <v>32</v>
      </c>
    </row>
    <row r="34" spans="1:3" x14ac:dyDescent="0.3">
      <c r="A34">
        <f>IF(AND(OR(Query!$B$4="All",'Compliance Database'!$A34=Query!$B$4),OR(Query!$B$5="All",'Compliance Database'!$F34=Query!$B$5),OR(Query!$B$6="All",ISNUMBER(SEARCH(Query!$B$6,'Compliance Database'!$I34))),OR(Query!$B$7="All",ISNUMBER(SEARCH(Query!$B$7,'Compliance Database'!$J34))),OR(Query!$B$8="All",'Compliance Database'!$G34=Query!$B$8),OR(Query!$B$9="All",'Compliance Database'!$K34=Query!$B$9),OR(Query!$B$10="",ISNUMBER(SEARCH(Query!$B$10,'Compliance Database'!$D34&amp;" "&amp;'Compliance Database'!$L34&amp;" "&amp;'Compliance Database'!$M34&amp;" "&amp;'Compliance Database'!$N34&amp;" "&amp;'Compliance Database'!$O34)))),1,0)</f>
        <v>1</v>
      </c>
      <c r="B34">
        <f>IF($A34=1,SUM($A$2:$A34),"")</f>
        <v>33</v>
      </c>
      <c r="C34">
        <f>IF($A34=1,SUM($A$2:$A34),0)</f>
        <v>33</v>
      </c>
    </row>
    <row r="35" spans="1:3" x14ac:dyDescent="0.3">
      <c r="A35">
        <f>IF(AND(OR(Query!$B$4="All",'Compliance Database'!$A35=Query!$B$4),OR(Query!$B$5="All",'Compliance Database'!$F35=Query!$B$5),OR(Query!$B$6="All",ISNUMBER(SEARCH(Query!$B$6,'Compliance Database'!$I35))),OR(Query!$B$7="All",ISNUMBER(SEARCH(Query!$B$7,'Compliance Database'!$J35))),OR(Query!$B$8="All",'Compliance Database'!$G35=Query!$B$8),OR(Query!$B$9="All",'Compliance Database'!$K35=Query!$B$9),OR(Query!$B$10="",ISNUMBER(SEARCH(Query!$B$10,'Compliance Database'!$D35&amp;" "&amp;'Compliance Database'!$L35&amp;" "&amp;'Compliance Database'!$M35&amp;" "&amp;'Compliance Database'!$N35&amp;" "&amp;'Compliance Database'!$O35)))),1,0)</f>
        <v>1</v>
      </c>
      <c r="B35">
        <f>IF($A35=1,SUM($A$2:$A35),"")</f>
        <v>34</v>
      </c>
      <c r="C35">
        <f>IF($A35=1,SUM($A$2:$A35),0)</f>
        <v>34</v>
      </c>
    </row>
    <row r="36" spans="1:3" x14ac:dyDescent="0.3">
      <c r="A36">
        <f>IF(AND(OR(Query!$B$4="All",'Compliance Database'!$A36=Query!$B$4),OR(Query!$B$5="All",'Compliance Database'!$F36=Query!$B$5),OR(Query!$B$6="All",ISNUMBER(SEARCH(Query!$B$6,'Compliance Database'!$I36))),OR(Query!$B$7="All",ISNUMBER(SEARCH(Query!$B$7,'Compliance Database'!$J36))),OR(Query!$B$8="All",'Compliance Database'!$G36=Query!$B$8),OR(Query!$B$9="All",'Compliance Database'!$K36=Query!$B$9),OR(Query!$B$10="",ISNUMBER(SEARCH(Query!$B$10,'Compliance Database'!$D36&amp;" "&amp;'Compliance Database'!$L36&amp;" "&amp;'Compliance Database'!$M36&amp;" "&amp;'Compliance Database'!$N36&amp;" "&amp;'Compliance Database'!$O36)))),1,0)</f>
        <v>1</v>
      </c>
      <c r="B36">
        <f>IF($A36=1,SUM($A$2:$A36),"")</f>
        <v>35</v>
      </c>
      <c r="C36">
        <f>IF($A36=1,SUM($A$2:$A36),0)</f>
        <v>35</v>
      </c>
    </row>
    <row r="37" spans="1:3" x14ac:dyDescent="0.3">
      <c r="A37">
        <f>IF(AND(OR(Query!$B$4="All",'Compliance Database'!$A37=Query!$B$4),OR(Query!$B$5="All",'Compliance Database'!$F37=Query!$B$5),OR(Query!$B$6="All",ISNUMBER(SEARCH(Query!$B$6,'Compliance Database'!$I37))),OR(Query!$B$7="All",ISNUMBER(SEARCH(Query!$B$7,'Compliance Database'!$J37))),OR(Query!$B$8="All",'Compliance Database'!$G37=Query!$B$8),OR(Query!$B$9="All",'Compliance Database'!$K37=Query!$B$9),OR(Query!$B$10="",ISNUMBER(SEARCH(Query!$B$10,'Compliance Database'!$D37&amp;" "&amp;'Compliance Database'!$L37&amp;" "&amp;'Compliance Database'!$M37&amp;" "&amp;'Compliance Database'!$N37&amp;" "&amp;'Compliance Database'!$O37)))),1,0)</f>
        <v>1</v>
      </c>
      <c r="B37">
        <f>IF($A37=1,SUM($A$2:$A37),"")</f>
        <v>36</v>
      </c>
      <c r="C37">
        <f>IF($A37=1,SUM($A$2:$A37),0)</f>
        <v>36</v>
      </c>
    </row>
    <row r="38" spans="1:3" x14ac:dyDescent="0.3">
      <c r="A38">
        <f>IF(AND(OR(Query!$B$4="All",'Compliance Database'!$A38=Query!$B$4),OR(Query!$B$5="All",'Compliance Database'!$F38=Query!$B$5),OR(Query!$B$6="All",ISNUMBER(SEARCH(Query!$B$6,'Compliance Database'!$I38))),OR(Query!$B$7="All",ISNUMBER(SEARCH(Query!$B$7,'Compliance Database'!$J38))),OR(Query!$B$8="All",'Compliance Database'!$G38=Query!$B$8),OR(Query!$B$9="All",'Compliance Database'!$K38=Query!$B$9),OR(Query!$B$10="",ISNUMBER(SEARCH(Query!$B$10,'Compliance Database'!$D38&amp;" "&amp;'Compliance Database'!$L38&amp;" "&amp;'Compliance Database'!$M38&amp;" "&amp;'Compliance Database'!$N38&amp;" "&amp;'Compliance Database'!$O38)))),1,0)</f>
        <v>1</v>
      </c>
      <c r="B38">
        <f>IF($A38=1,SUM($A$2:$A38),"")</f>
        <v>37</v>
      </c>
      <c r="C38">
        <f>IF($A38=1,SUM($A$2:$A38),0)</f>
        <v>37</v>
      </c>
    </row>
    <row r="39" spans="1:3" x14ac:dyDescent="0.3">
      <c r="A39">
        <f>IF(AND(OR(Query!$B$4="All",'Compliance Database'!$A39=Query!$B$4),OR(Query!$B$5="All",'Compliance Database'!$F39=Query!$B$5),OR(Query!$B$6="All",ISNUMBER(SEARCH(Query!$B$6,'Compliance Database'!$I39))),OR(Query!$B$7="All",ISNUMBER(SEARCH(Query!$B$7,'Compliance Database'!$J39))),OR(Query!$B$8="All",'Compliance Database'!$G39=Query!$B$8),OR(Query!$B$9="All",'Compliance Database'!$K39=Query!$B$9),OR(Query!$B$10="",ISNUMBER(SEARCH(Query!$B$10,'Compliance Database'!$D39&amp;" "&amp;'Compliance Database'!$L39&amp;" "&amp;'Compliance Database'!$M39&amp;" "&amp;'Compliance Database'!$N39&amp;" "&amp;'Compliance Database'!$O39)))),1,0)</f>
        <v>1</v>
      </c>
      <c r="B39">
        <f>IF($A39=1,SUM($A$2:$A39),"")</f>
        <v>38</v>
      </c>
      <c r="C39">
        <f>IF($A39=1,SUM($A$2:$A39),0)</f>
        <v>38</v>
      </c>
    </row>
    <row r="40" spans="1:3" x14ac:dyDescent="0.3">
      <c r="A40">
        <f>IF(AND(OR(Query!$B$4="All",'Compliance Database'!$A40=Query!$B$4),OR(Query!$B$5="All",'Compliance Database'!$F40=Query!$B$5),OR(Query!$B$6="All",ISNUMBER(SEARCH(Query!$B$6,'Compliance Database'!$I40))),OR(Query!$B$7="All",ISNUMBER(SEARCH(Query!$B$7,'Compliance Database'!$J40))),OR(Query!$B$8="All",'Compliance Database'!$G40=Query!$B$8),OR(Query!$B$9="All",'Compliance Database'!$K40=Query!$B$9),OR(Query!$B$10="",ISNUMBER(SEARCH(Query!$B$10,'Compliance Database'!$D40&amp;" "&amp;'Compliance Database'!$L40&amp;" "&amp;'Compliance Database'!$M40&amp;" "&amp;'Compliance Database'!$N40&amp;" "&amp;'Compliance Database'!$O40)))),1,0)</f>
        <v>1</v>
      </c>
      <c r="B40">
        <f>IF($A40=1,SUM($A$2:$A40),"")</f>
        <v>39</v>
      </c>
      <c r="C40">
        <f>IF($A40=1,SUM($A$2:$A40),0)</f>
        <v>39</v>
      </c>
    </row>
    <row r="41" spans="1:3" x14ac:dyDescent="0.3">
      <c r="A41">
        <f>IF(AND(OR(Query!$B$4="All",'Compliance Database'!$A41=Query!$B$4),OR(Query!$B$5="All",'Compliance Database'!$F41=Query!$B$5),OR(Query!$B$6="All",ISNUMBER(SEARCH(Query!$B$6,'Compliance Database'!$I41))),OR(Query!$B$7="All",ISNUMBER(SEARCH(Query!$B$7,'Compliance Database'!$J41))),OR(Query!$B$8="All",'Compliance Database'!$G41=Query!$B$8),OR(Query!$B$9="All",'Compliance Database'!$K41=Query!$B$9),OR(Query!$B$10="",ISNUMBER(SEARCH(Query!$B$10,'Compliance Database'!$D41&amp;" "&amp;'Compliance Database'!$L41&amp;" "&amp;'Compliance Database'!$M41&amp;" "&amp;'Compliance Database'!$N41&amp;" "&amp;'Compliance Database'!$O41)))),1,0)</f>
        <v>1</v>
      </c>
      <c r="B41">
        <f>IF($A41=1,SUM($A$2:$A41),"")</f>
        <v>40</v>
      </c>
      <c r="C41">
        <f>IF($A41=1,SUM($A$2:$A41),0)</f>
        <v>40</v>
      </c>
    </row>
    <row r="42" spans="1:3" x14ac:dyDescent="0.3">
      <c r="A42">
        <f>IF(AND(OR(Query!$B$4="All",'Compliance Database'!$A42=Query!$B$4),OR(Query!$B$5="All",'Compliance Database'!$F42=Query!$B$5),OR(Query!$B$6="All",ISNUMBER(SEARCH(Query!$B$6,'Compliance Database'!$I42))),OR(Query!$B$7="All",ISNUMBER(SEARCH(Query!$B$7,'Compliance Database'!$J42))),OR(Query!$B$8="All",'Compliance Database'!$G42=Query!$B$8),OR(Query!$B$9="All",'Compliance Database'!$K42=Query!$B$9),OR(Query!$B$10="",ISNUMBER(SEARCH(Query!$B$10,'Compliance Database'!$D42&amp;" "&amp;'Compliance Database'!$L42&amp;" "&amp;'Compliance Database'!$M42&amp;" "&amp;'Compliance Database'!$N42&amp;" "&amp;'Compliance Database'!$O42)))),1,0)</f>
        <v>1</v>
      </c>
      <c r="B42">
        <f>IF($A42=1,SUM($A$2:$A42),"")</f>
        <v>41</v>
      </c>
      <c r="C42">
        <f>IF($A42=1,SUM($A$2:$A42),0)</f>
        <v>41</v>
      </c>
    </row>
    <row r="43" spans="1:3" x14ac:dyDescent="0.3">
      <c r="A43">
        <f>IF(AND(OR(Query!$B$4="All",'Compliance Database'!$A43=Query!$B$4),OR(Query!$B$5="All",'Compliance Database'!$F43=Query!$B$5),OR(Query!$B$6="All",ISNUMBER(SEARCH(Query!$B$6,'Compliance Database'!$I43))),OR(Query!$B$7="All",ISNUMBER(SEARCH(Query!$B$7,'Compliance Database'!$J43))),OR(Query!$B$8="All",'Compliance Database'!$G43=Query!$B$8),OR(Query!$B$9="All",'Compliance Database'!$K43=Query!$B$9),OR(Query!$B$10="",ISNUMBER(SEARCH(Query!$B$10,'Compliance Database'!$D43&amp;" "&amp;'Compliance Database'!$L43&amp;" "&amp;'Compliance Database'!$M43&amp;" "&amp;'Compliance Database'!$N43&amp;" "&amp;'Compliance Database'!$O43)))),1,0)</f>
        <v>1</v>
      </c>
      <c r="B43">
        <f>IF($A43=1,SUM($A$2:$A43),"")</f>
        <v>42</v>
      </c>
      <c r="C43">
        <f>IF($A43=1,SUM($A$2:$A43),0)</f>
        <v>42</v>
      </c>
    </row>
    <row r="44" spans="1:3" x14ac:dyDescent="0.3">
      <c r="A44">
        <f>IF(AND(OR(Query!$B$4="All",'Compliance Database'!$A44=Query!$B$4),OR(Query!$B$5="All",'Compliance Database'!$F44=Query!$B$5),OR(Query!$B$6="All",ISNUMBER(SEARCH(Query!$B$6,'Compliance Database'!$I44))),OR(Query!$B$7="All",ISNUMBER(SEARCH(Query!$B$7,'Compliance Database'!$J44))),OR(Query!$B$8="All",'Compliance Database'!$G44=Query!$B$8),OR(Query!$B$9="All",'Compliance Database'!$K44=Query!$B$9),OR(Query!$B$10="",ISNUMBER(SEARCH(Query!$B$10,'Compliance Database'!$D44&amp;" "&amp;'Compliance Database'!$L44&amp;" "&amp;'Compliance Database'!$M44&amp;" "&amp;'Compliance Database'!$N44&amp;" "&amp;'Compliance Database'!$O44)))),1,0)</f>
        <v>1</v>
      </c>
      <c r="B44">
        <f>IF($A44=1,SUM($A$2:$A44),"")</f>
        <v>43</v>
      </c>
      <c r="C44">
        <f>IF($A44=1,SUM($A$2:$A44),0)</f>
        <v>43</v>
      </c>
    </row>
    <row r="45" spans="1:3" x14ac:dyDescent="0.3">
      <c r="A45">
        <f>IF(AND(OR(Query!$B$4="All",'Compliance Database'!$A45=Query!$B$4),OR(Query!$B$5="All",'Compliance Database'!$F45=Query!$B$5),OR(Query!$B$6="All",ISNUMBER(SEARCH(Query!$B$6,'Compliance Database'!$I45))),OR(Query!$B$7="All",ISNUMBER(SEARCH(Query!$B$7,'Compliance Database'!$J45))),OR(Query!$B$8="All",'Compliance Database'!$G45=Query!$B$8),OR(Query!$B$9="All",'Compliance Database'!$K45=Query!$B$9),OR(Query!$B$10="",ISNUMBER(SEARCH(Query!$B$10,'Compliance Database'!$D45&amp;" "&amp;'Compliance Database'!$L45&amp;" "&amp;'Compliance Database'!$M45&amp;" "&amp;'Compliance Database'!$N45&amp;" "&amp;'Compliance Database'!$O45)))),1,0)</f>
        <v>1</v>
      </c>
      <c r="B45">
        <f>IF($A45=1,SUM($A$2:$A45),"")</f>
        <v>44</v>
      </c>
      <c r="C45">
        <f>IF($A45=1,SUM($A$2:$A45),0)</f>
        <v>44</v>
      </c>
    </row>
    <row r="46" spans="1:3" x14ac:dyDescent="0.3">
      <c r="A46">
        <f>IF(AND(OR(Query!$B$4="All",'Compliance Database'!$A46=Query!$B$4),OR(Query!$B$5="All",'Compliance Database'!$F46=Query!$B$5),OR(Query!$B$6="All",ISNUMBER(SEARCH(Query!$B$6,'Compliance Database'!$I46))),OR(Query!$B$7="All",ISNUMBER(SEARCH(Query!$B$7,'Compliance Database'!$J46))),OR(Query!$B$8="All",'Compliance Database'!$G46=Query!$B$8),OR(Query!$B$9="All",'Compliance Database'!$K46=Query!$B$9),OR(Query!$B$10="",ISNUMBER(SEARCH(Query!$B$10,'Compliance Database'!$D46&amp;" "&amp;'Compliance Database'!$L46&amp;" "&amp;'Compliance Database'!$M46&amp;" "&amp;'Compliance Database'!$N46&amp;" "&amp;'Compliance Database'!$O46)))),1,0)</f>
        <v>1</v>
      </c>
      <c r="B46">
        <f>IF($A46=1,SUM($A$2:$A46),"")</f>
        <v>45</v>
      </c>
      <c r="C46">
        <f>IF($A46=1,SUM($A$2:$A46),0)</f>
        <v>45</v>
      </c>
    </row>
    <row r="47" spans="1:3" x14ac:dyDescent="0.3">
      <c r="A47">
        <f>IF(AND(OR(Query!$B$4="All",'Compliance Database'!$A47=Query!$B$4),OR(Query!$B$5="All",'Compliance Database'!$F47=Query!$B$5),OR(Query!$B$6="All",ISNUMBER(SEARCH(Query!$B$6,'Compliance Database'!$I47))),OR(Query!$B$7="All",ISNUMBER(SEARCH(Query!$B$7,'Compliance Database'!$J47))),OR(Query!$B$8="All",'Compliance Database'!$G47=Query!$B$8),OR(Query!$B$9="All",'Compliance Database'!$K47=Query!$B$9),OR(Query!$B$10="",ISNUMBER(SEARCH(Query!$B$10,'Compliance Database'!$D47&amp;" "&amp;'Compliance Database'!$L47&amp;" "&amp;'Compliance Database'!$M47&amp;" "&amp;'Compliance Database'!$N47&amp;" "&amp;'Compliance Database'!$O47)))),1,0)</f>
        <v>1</v>
      </c>
      <c r="B47">
        <f>IF($A47=1,SUM($A$2:$A47),"")</f>
        <v>46</v>
      </c>
      <c r="C47">
        <f>IF($A47=1,SUM($A$2:$A47),0)</f>
        <v>46</v>
      </c>
    </row>
    <row r="48" spans="1:3" x14ac:dyDescent="0.3">
      <c r="A48">
        <f>IF(AND(OR(Query!$B$4="All",'Compliance Database'!$A48=Query!$B$4),OR(Query!$B$5="All",'Compliance Database'!$F48=Query!$B$5),OR(Query!$B$6="All",ISNUMBER(SEARCH(Query!$B$6,'Compliance Database'!$I48))),OR(Query!$B$7="All",ISNUMBER(SEARCH(Query!$B$7,'Compliance Database'!$J48))),OR(Query!$B$8="All",'Compliance Database'!$G48=Query!$B$8),OR(Query!$B$9="All",'Compliance Database'!$K48=Query!$B$9),OR(Query!$B$10="",ISNUMBER(SEARCH(Query!$B$10,'Compliance Database'!$D48&amp;" "&amp;'Compliance Database'!$L48&amp;" "&amp;'Compliance Database'!$M48&amp;" "&amp;'Compliance Database'!$N48&amp;" "&amp;'Compliance Database'!$O48)))),1,0)</f>
        <v>1</v>
      </c>
      <c r="B48">
        <f>IF($A48=1,SUM($A$2:$A48),"")</f>
        <v>47</v>
      </c>
      <c r="C48">
        <f>IF($A48=1,SUM($A$2:$A48),0)</f>
        <v>47</v>
      </c>
    </row>
    <row r="49" spans="1:3" x14ac:dyDescent="0.3">
      <c r="A49">
        <f>IF(AND(OR(Query!$B$4="All",'Compliance Database'!$A49=Query!$B$4),OR(Query!$B$5="All",'Compliance Database'!$F49=Query!$B$5),OR(Query!$B$6="All",ISNUMBER(SEARCH(Query!$B$6,'Compliance Database'!$I49))),OR(Query!$B$7="All",ISNUMBER(SEARCH(Query!$B$7,'Compliance Database'!$J49))),OR(Query!$B$8="All",'Compliance Database'!$G49=Query!$B$8),OR(Query!$B$9="All",'Compliance Database'!$K49=Query!$B$9),OR(Query!$B$10="",ISNUMBER(SEARCH(Query!$B$10,'Compliance Database'!$D49&amp;" "&amp;'Compliance Database'!$L49&amp;" "&amp;'Compliance Database'!$M49&amp;" "&amp;'Compliance Database'!$N49&amp;" "&amp;'Compliance Database'!$O49)))),1,0)</f>
        <v>1</v>
      </c>
      <c r="B49">
        <f>IF($A49=1,SUM($A$2:$A49),"")</f>
        <v>48</v>
      </c>
      <c r="C49">
        <f>IF($A49=1,SUM($A$2:$A49),0)</f>
        <v>48</v>
      </c>
    </row>
    <row r="50" spans="1:3" x14ac:dyDescent="0.3">
      <c r="A50">
        <f>IF(AND(OR(Query!$B$4="All",'Compliance Database'!$A50=Query!$B$4),OR(Query!$B$5="All",'Compliance Database'!$F50=Query!$B$5),OR(Query!$B$6="All",ISNUMBER(SEARCH(Query!$B$6,'Compliance Database'!$I50))),OR(Query!$B$7="All",ISNUMBER(SEARCH(Query!$B$7,'Compliance Database'!$J50))),OR(Query!$B$8="All",'Compliance Database'!$G50=Query!$B$8),OR(Query!$B$9="All",'Compliance Database'!$K50=Query!$B$9),OR(Query!$B$10="",ISNUMBER(SEARCH(Query!$B$10,'Compliance Database'!$D50&amp;" "&amp;'Compliance Database'!$L50&amp;" "&amp;'Compliance Database'!$M50&amp;" "&amp;'Compliance Database'!$N50&amp;" "&amp;'Compliance Database'!$O50)))),1,0)</f>
        <v>1</v>
      </c>
      <c r="B50">
        <f>IF($A50=1,SUM($A$2:$A50),"")</f>
        <v>49</v>
      </c>
      <c r="C50">
        <f>IF($A50=1,SUM($A$2:$A50),0)</f>
        <v>49</v>
      </c>
    </row>
    <row r="51" spans="1:3" x14ac:dyDescent="0.3">
      <c r="A51">
        <f>IF(AND(OR(Query!$B$4="All",'Compliance Database'!$A51=Query!$B$4),OR(Query!$B$5="All",'Compliance Database'!$F51=Query!$B$5),OR(Query!$B$6="All",ISNUMBER(SEARCH(Query!$B$6,'Compliance Database'!$I51))),OR(Query!$B$7="All",ISNUMBER(SEARCH(Query!$B$7,'Compliance Database'!$J51))),OR(Query!$B$8="All",'Compliance Database'!$G51=Query!$B$8),OR(Query!$B$9="All",'Compliance Database'!$K51=Query!$B$9),OR(Query!$B$10="",ISNUMBER(SEARCH(Query!$B$10,'Compliance Database'!$D51&amp;" "&amp;'Compliance Database'!$L51&amp;" "&amp;'Compliance Database'!$M51&amp;" "&amp;'Compliance Database'!$N51&amp;" "&amp;'Compliance Database'!$O51)))),1,0)</f>
        <v>1</v>
      </c>
      <c r="B51">
        <f>IF($A51=1,SUM($A$2:$A51),"")</f>
        <v>50</v>
      </c>
      <c r="C51">
        <f>IF($A51=1,SUM($A$2:$A51),0)</f>
        <v>50</v>
      </c>
    </row>
    <row r="52" spans="1:3" x14ac:dyDescent="0.3">
      <c r="A52">
        <f>IF(AND(OR(Query!$B$4="All",'Compliance Database'!$A52=Query!$B$4),OR(Query!$B$5="All",'Compliance Database'!$F52=Query!$B$5),OR(Query!$B$6="All",ISNUMBER(SEARCH(Query!$B$6,'Compliance Database'!$I52))),OR(Query!$B$7="All",ISNUMBER(SEARCH(Query!$B$7,'Compliance Database'!$J52))),OR(Query!$B$8="All",'Compliance Database'!$G52=Query!$B$8),OR(Query!$B$9="All",'Compliance Database'!$K52=Query!$B$9),OR(Query!$B$10="",ISNUMBER(SEARCH(Query!$B$10,'Compliance Database'!$D52&amp;" "&amp;'Compliance Database'!$L52&amp;" "&amp;'Compliance Database'!$M52&amp;" "&amp;'Compliance Database'!$N52&amp;" "&amp;'Compliance Database'!$O52)))),1,0)</f>
        <v>1</v>
      </c>
      <c r="B52">
        <f>IF($A52=1,SUM($A$2:$A52),"")</f>
        <v>51</v>
      </c>
      <c r="C52">
        <f>IF($A52=1,SUM($A$2:$A52),0)</f>
        <v>51</v>
      </c>
    </row>
    <row r="53" spans="1:3" x14ac:dyDescent="0.3">
      <c r="A53">
        <f>IF(AND(OR(Query!$B$4="All",'Compliance Database'!$A53=Query!$B$4),OR(Query!$B$5="All",'Compliance Database'!$F53=Query!$B$5),OR(Query!$B$6="All",ISNUMBER(SEARCH(Query!$B$6,'Compliance Database'!$I53))),OR(Query!$B$7="All",ISNUMBER(SEARCH(Query!$B$7,'Compliance Database'!$J53))),OR(Query!$B$8="All",'Compliance Database'!$G53=Query!$B$8),OR(Query!$B$9="All",'Compliance Database'!$K53=Query!$B$9),OR(Query!$B$10="",ISNUMBER(SEARCH(Query!$B$10,'Compliance Database'!$D53&amp;" "&amp;'Compliance Database'!$L53&amp;" "&amp;'Compliance Database'!$M53&amp;" "&amp;'Compliance Database'!$N53&amp;" "&amp;'Compliance Database'!$O53)))),1,0)</f>
        <v>1</v>
      </c>
      <c r="B53">
        <f>IF($A53=1,SUM($A$2:$A53),"")</f>
        <v>52</v>
      </c>
      <c r="C53">
        <f>IF($A53=1,SUM($A$2:$A53),0)</f>
        <v>52</v>
      </c>
    </row>
    <row r="54" spans="1:3" x14ac:dyDescent="0.3">
      <c r="A54">
        <f>IF(AND(OR(Query!$B$4="All",'Compliance Database'!$A54=Query!$B$4),OR(Query!$B$5="All",'Compliance Database'!$F54=Query!$B$5),OR(Query!$B$6="All",ISNUMBER(SEARCH(Query!$B$6,'Compliance Database'!$I54))),OR(Query!$B$7="All",ISNUMBER(SEARCH(Query!$B$7,'Compliance Database'!$J54))),OR(Query!$B$8="All",'Compliance Database'!$G54=Query!$B$8),OR(Query!$B$9="All",'Compliance Database'!$K54=Query!$B$9),OR(Query!$B$10="",ISNUMBER(SEARCH(Query!$B$10,'Compliance Database'!$D54&amp;" "&amp;'Compliance Database'!$L54&amp;" "&amp;'Compliance Database'!$M54&amp;" "&amp;'Compliance Database'!$N54&amp;" "&amp;'Compliance Database'!$O54)))),1,0)</f>
        <v>1</v>
      </c>
      <c r="B54">
        <f>IF($A54=1,SUM($A$2:$A54),"")</f>
        <v>53</v>
      </c>
      <c r="C54">
        <f>IF($A54=1,SUM($A$2:$A54),0)</f>
        <v>53</v>
      </c>
    </row>
    <row r="55" spans="1:3" x14ac:dyDescent="0.3">
      <c r="A55">
        <f>IF(AND(OR(Query!$B$4="All",'Compliance Database'!$A55=Query!$B$4),OR(Query!$B$5="All",'Compliance Database'!$F55=Query!$B$5),OR(Query!$B$6="All",ISNUMBER(SEARCH(Query!$B$6,'Compliance Database'!$I55))),OR(Query!$B$7="All",ISNUMBER(SEARCH(Query!$B$7,'Compliance Database'!$J55))),OR(Query!$B$8="All",'Compliance Database'!$G55=Query!$B$8),OR(Query!$B$9="All",'Compliance Database'!$K55=Query!$B$9),OR(Query!$B$10="",ISNUMBER(SEARCH(Query!$B$10,'Compliance Database'!$D55&amp;" "&amp;'Compliance Database'!$L55&amp;" "&amp;'Compliance Database'!$M55&amp;" "&amp;'Compliance Database'!$N55&amp;" "&amp;'Compliance Database'!$O55)))),1,0)</f>
        <v>1</v>
      </c>
      <c r="B55">
        <f>IF($A55=1,SUM($A$2:$A55),"")</f>
        <v>54</v>
      </c>
      <c r="C55">
        <f>IF($A55=1,SUM($A$2:$A55),0)</f>
        <v>54</v>
      </c>
    </row>
    <row r="56" spans="1:3" x14ac:dyDescent="0.3">
      <c r="A56">
        <f>IF(AND(OR(Query!$B$4="All",'Compliance Database'!$A56=Query!$B$4),OR(Query!$B$5="All",'Compliance Database'!$F56=Query!$B$5),OR(Query!$B$6="All",ISNUMBER(SEARCH(Query!$B$6,'Compliance Database'!$I56))),OR(Query!$B$7="All",ISNUMBER(SEARCH(Query!$B$7,'Compliance Database'!$J56))),OR(Query!$B$8="All",'Compliance Database'!$G56=Query!$B$8),OR(Query!$B$9="All",'Compliance Database'!$K56=Query!$B$9),OR(Query!$B$10="",ISNUMBER(SEARCH(Query!$B$10,'Compliance Database'!$D56&amp;" "&amp;'Compliance Database'!$L56&amp;" "&amp;'Compliance Database'!$M56&amp;" "&amp;'Compliance Database'!$N56&amp;" "&amp;'Compliance Database'!$O56)))),1,0)</f>
        <v>1</v>
      </c>
      <c r="B56">
        <f>IF($A56=1,SUM($A$2:$A56),"")</f>
        <v>55</v>
      </c>
      <c r="C56">
        <f>IF($A56=1,SUM($A$2:$A56),0)</f>
        <v>55</v>
      </c>
    </row>
    <row r="57" spans="1:3" x14ac:dyDescent="0.3">
      <c r="A57">
        <f>IF(AND(OR(Query!$B$4="All",'Compliance Database'!$A57=Query!$B$4),OR(Query!$B$5="All",'Compliance Database'!$F57=Query!$B$5),OR(Query!$B$6="All",ISNUMBER(SEARCH(Query!$B$6,'Compliance Database'!$I57))),OR(Query!$B$7="All",ISNUMBER(SEARCH(Query!$B$7,'Compliance Database'!$J57))),OR(Query!$B$8="All",'Compliance Database'!$G57=Query!$B$8),OR(Query!$B$9="All",'Compliance Database'!$K57=Query!$B$9),OR(Query!$B$10="",ISNUMBER(SEARCH(Query!$B$10,'Compliance Database'!$D57&amp;" "&amp;'Compliance Database'!$L57&amp;" "&amp;'Compliance Database'!$M57&amp;" "&amp;'Compliance Database'!$N57&amp;" "&amp;'Compliance Database'!$O57)))),1,0)</f>
        <v>1</v>
      </c>
      <c r="B57">
        <f>IF($A57=1,SUM($A$2:$A57),"")</f>
        <v>56</v>
      </c>
      <c r="C57">
        <f>IF($A57=1,SUM($A$2:$A57),0)</f>
        <v>56</v>
      </c>
    </row>
    <row r="58" spans="1:3" x14ac:dyDescent="0.3">
      <c r="A58">
        <f>IF(AND(OR(Query!$B$4="All",'Compliance Database'!$A58=Query!$B$4),OR(Query!$B$5="All",'Compliance Database'!$F58=Query!$B$5),OR(Query!$B$6="All",ISNUMBER(SEARCH(Query!$B$6,'Compliance Database'!$I58))),OR(Query!$B$7="All",ISNUMBER(SEARCH(Query!$B$7,'Compliance Database'!$J58))),OR(Query!$B$8="All",'Compliance Database'!$G58=Query!$B$8),OR(Query!$B$9="All",'Compliance Database'!$K58=Query!$B$9),OR(Query!$B$10="",ISNUMBER(SEARCH(Query!$B$10,'Compliance Database'!$D58&amp;" "&amp;'Compliance Database'!$L58&amp;" "&amp;'Compliance Database'!$M58&amp;" "&amp;'Compliance Database'!$N58&amp;" "&amp;'Compliance Database'!$O58)))),1,0)</f>
        <v>1</v>
      </c>
      <c r="B58">
        <f>IF($A58=1,SUM($A$2:$A58),"")</f>
        <v>57</v>
      </c>
      <c r="C58">
        <f>IF($A58=1,SUM($A$2:$A58),0)</f>
        <v>57</v>
      </c>
    </row>
    <row r="59" spans="1:3" x14ac:dyDescent="0.3">
      <c r="A59">
        <f>IF(AND(OR(Query!$B$4="All",'Compliance Database'!$A59=Query!$B$4),OR(Query!$B$5="All",'Compliance Database'!$F59=Query!$B$5),OR(Query!$B$6="All",ISNUMBER(SEARCH(Query!$B$6,'Compliance Database'!$I59))),OR(Query!$B$7="All",ISNUMBER(SEARCH(Query!$B$7,'Compliance Database'!$J59))),OR(Query!$B$8="All",'Compliance Database'!$G59=Query!$B$8),OR(Query!$B$9="All",'Compliance Database'!$K59=Query!$B$9),OR(Query!$B$10="",ISNUMBER(SEARCH(Query!$B$10,'Compliance Database'!$D59&amp;" "&amp;'Compliance Database'!$L59&amp;" "&amp;'Compliance Database'!$M59&amp;" "&amp;'Compliance Database'!$N59&amp;" "&amp;'Compliance Database'!$O59)))),1,0)</f>
        <v>1</v>
      </c>
      <c r="B59">
        <f>IF($A59=1,SUM($A$2:$A59),"")</f>
        <v>58</v>
      </c>
      <c r="C59">
        <f>IF($A59=1,SUM($A$2:$A59),0)</f>
        <v>58</v>
      </c>
    </row>
    <row r="60" spans="1:3" x14ac:dyDescent="0.3">
      <c r="A60">
        <f>IF(AND(OR(Query!$B$4="All",'Compliance Database'!$A60=Query!$B$4),OR(Query!$B$5="All",'Compliance Database'!$F60=Query!$B$5),OR(Query!$B$6="All",ISNUMBER(SEARCH(Query!$B$6,'Compliance Database'!$I60))),OR(Query!$B$7="All",ISNUMBER(SEARCH(Query!$B$7,'Compliance Database'!$J60))),OR(Query!$B$8="All",'Compliance Database'!$G60=Query!$B$8),OR(Query!$B$9="All",'Compliance Database'!$K60=Query!$B$9),OR(Query!$B$10="",ISNUMBER(SEARCH(Query!$B$10,'Compliance Database'!$D60&amp;" "&amp;'Compliance Database'!$L60&amp;" "&amp;'Compliance Database'!$M60&amp;" "&amp;'Compliance Database'!$N60&amp;" "&amp;'Compliance Database'!$O60)))),1,0)</f>
        <v>1</v>
      </c>
      <c r="B60">
        <f>IF($A60=1,SUM($A$2:$A60),"")</f>
        <v>59</v>
      </c>
      <c r="C60">
        <f>IF($A60=1,SUM($A$2:$A60),0)</f>
        <v>59</v>
      </c>
    </row>
    <row r="61" spans="1:3" x14ac:dyDescent="0.3">
      <c r="A61">
        <f>IF(AND(OR(Query!$B$4="All",'Compliance Database'!$A61=Query!$B$4),OR(Query!$B$5="All",'Compliance Database'!$F61=Query!$B$5),OR(Query!$B$6="All",ISNUMBER(SEARCH(Query!$B$6,'Compliance Database'!$I61))),OR(Query!$B$7="All",ISNUMBER(SEARCH(Query!$B$7,'Compliance Database'!$J61))),OR(Query!$B$8="All",'Compliance Database'!$G61=Query!$B$8),OR(Query!$B$9="All",'Compliance Database'!$K61=Query!$B$9),OR(Query!$B$10="",ISNUMBER(SEARCH(Query!$B$10,'Compliance Database'!$D61&amp;" "&amp;'Compliance Database'!$L61&amp;" "&amp;'Compliance Database'!$M61&amp;" "&amp;'Compliance Database'!$N61&amp;" "&amp;'Compliance Database'!$O61)))),1,0)</f>
        <v>1</v>
      </c>
      <c r="B61">
        <f>IF($A61=1,SUM($A$2:$A61),"")</f>
        <v>60</v>
      </c>
      <c r="C61">
        <f>IF($A61=1,SUM($A$2:$A61),0)</f>
        <v>60</v>
      </c>
    </row>
    <row r="62" spans="1:3" x14ac:dyDescent="0.3">
      <c r="A62">
        <f>IF(AND(OR(Query!$B$4="All",'Compliance Database'!$A62=Query!$B$4),OR(Query!$B$5="All",'Compliance Database'!$F62=Query!$B$5),OR(Query!$B$6="All",ISNUMBER(SEARCH(Query!$B$6,'Compliance Database'!$I62))),OR(Query!$B$7="All",ISNUMBER(SEARCH(Query!$B$7,'Compliance Database'!$J62))),OR(Query!$B$8="All",'Compliance Database'!$G62=Query!$B$8),OR(Query!$B$9="All",'Compliance Database'!$K62=Query!$B$9),OR(Query!$B$10="",ISNUMBER(SEARCH(Query!$B$10,'Compliance Database'!$D62&amp;" "&amp;'Compliance Database'!$L62&amp;" "&amp;'Compliance Database'!$M62&amp;" "&amp;'Compliance Database'!$N62&amp;" "&amp;'Compliance Database'!$O62)))),1,0)</f>
        <v>1</v>
      </c>
      <c r="B62">
        <f>IF($A62=1,SUM($A$2:$A62),"")</f>
        <v>61</v>
      </c>
      <c r="C62">
        <f>IF($A62=1,SUM($A$2:$A62),0)</f>
        <v>61</v>
      </c>
    </row>
    <row r="63" spans="1:3" x14ac:dyDescent="0.3">
      <c r="A63">
        <f>IF(AND(OR(Query!$B$4="All",'Compliance Database'!$A63=Query!$B$4),OR(Query!$B$5="All",'Compliance Database'!$F63=Query!$B$5),OR(Query!$B$6="All",ISNUMBER(SEARCH(Query!$B$6,'Compliance Database'!$I63))),OR(Query!$B$7="All",ISNUMBER(SEARCH(Query!$B$7,'Compliance Database'!$J63))),OR(Query!$B$8="All",'Compliance Database'!$G63=Query!$B$8),OR(Query!$B$9="All",'Compliance Database'!$K63=Query!$B$9),OR(Query!$B$10="",ISNUMBER(SEARCH(Query!$B$10,'Compliance Database'!$D63&amp;" "&amp;'Compliance Database'!$L63&amp;" "&amp;'Compliance Database'!$M63&amp;" "&amp;'Compliance Database'!$N63&amp;" "&amp;'Compliance Database'!$O63)))),1,0)</f>
        <v>1</v>
      </c>
      <c r="B63">
        <f>IF($A63=1,SUM($A$2:$A63),"")</f>
        <v>62</v>
      </c>
      <c r="C63">
        <f>IF($A63=1,SUM($A$2:$A63),0)</f>
        <v>62</v>
      </c>
    </row>
    <row r="64" spans="1:3" x14ac:dyDescent="0.3">
      <c r="A64">
        <f>IF(AND(OR(Query!$B$4="All",'Compliance Database'!$A64=Query!$B$4),OR(Query!$B$5="All",'Compliance Database'!$F64=Query!$B$5),OR(Query!$B$6="All",ISNUMBER(SEARCH(Query!$B$6,'Compliance Database'!$I64))),OR(Query!$B$7="All",ISNUMBER(SEARCH(Query!$B$7,'Compliance Database'!$J64))),OR(Query!$B$8="All",'Compliance Database'!$G64=Query!$B$8),OR(Query!$B$9="All",'Compliance Database'!$K64=Query!$B$9),OR(Query!$B$10="",ISNUMBER(SEARCH(Query!$B$10,'Compliance Database'!$D64&amp;" "&amp;'Compliance Database'!$L64&amp;" "&amp;'Compliance Database'!$M64&amp;" "&amp;'Compliance Database'!$N64&amp;" "&amp;'Compliance Database'!$O64)))),1,0)</f>
        <v>1</v>
      </c>
      <c r="B64">
        <f>IF($A64=1,SUM($A$2:$A64),"")</f>
        <v>63</v>
      </c>
      <c r="C64">
        <f>IF($A64=1,SUM($A$2:$A64),0)</f>
        <v>63</v>
      </c>
    </row>
    <row r="65" spans="1:3" x14ac:dyDescent="0.3">
      <c r="A65">
        <f>IF(AND(OR(Query!$B$4="All",'Compliance Database'!$A65=Query!$B$4),OR(Query!$B$5="All",'Compliance Database'!$F65=Query!$B$5),OR(Query!$B$6="All",ISNUMBER(SEARCH(Query!$B$6,'Compliance Database'!$I65))),OR(Query!$B$7="All",ISNUMBER(SEARCH(Query!$B$7,'Compliance Database'!$J65))),OR(Query!$B$8="All",'Compliance Database'!$G65=Query!$B$8),OR(Query!$B$9="All",'Compliance Database'!$K65=Query!$B$9),OR(Query!$B$10="",ISNUMBER(SEARCH(Query!$B$10,'Compliance Database'!$D65&amp;" "&amp;'Compliance Database'!$L65&amp;" "&amp;'Compliance Database'!$M65&amp;" "&amp;'Compliance Database'!$N65&amp;" "&amp;'Compliance Database'!$O65)))),1,0)</f>
        <v>1</v>
      </c>
      <c r="B65">
        <f>IF($A65=1,SUM($A$2:$A65),"")</f>
        <v>64</v>
      </c>
      <c r="C65">
        <f>IF($A65=1,SUM($A$2:$A65),0)</f>
        <v>64</v>
      </c>
    </row>
    <row r="66" spans="1:3" x14ac:dyDescent="0.3">
      <c r="A66">
        <f>IF(AND(OR(Query!$B$4="All",'Compliance Database'!$A66=Query!$B$4),OR(Query!$B$5="All",'Compliance Database'!$F66=Query!$B$5),OR(Query!$B$6="All",ISNUMBER(SEARCH(Query!$B$6,'Compliance Database'!$I66))),OR(Query!$B$7="All",ISNUMBER(SEARCH(Query!$B$7,'Compliance Database'!$J66))),OR(Query!$B$8="All",'Compliance Database'!$G66=Query!$B$8),OR(Query!$B$9="All",'Compliance Database'!$K66=Query!$B$9),OR(Query!$B$10="",ISNUMBER(SEARCH(Query!$B$10,'Compliance Database'!$D66&amp;" "&amp;'Compliance Database'!$L66&amp;" "&amp;'Compliance Database'!$M66&amp;" "&amp;'Compliance Database'!$N66&amp;" "&amp;'Compliance Database'!$O66)))),1,0)</f>
        <v>1</v>
      </c>
      <c r="B66">
        <f>IF($A66=1,SUM($A$2:$A66),"")</f>
        <v>65</v>
      </c>
      <c r="C66">
        <f>IF($A66=1,SUM($A$2:$A66),0)</f>
        <v>65</v>
      </c>
    </row>
    <row r="67" spans="1:3" x14ac:dyDescent="0.3">
      <c r="A67">
        <f>IF(AND(OR(Query!$B$4="All",'Compliance Database'!$A67=Query!$B$4),OR(Query!$B$5="All",'Compliance Database'!$F67=Query!$B$5),OR(Query!$B$6="All",ISNUMBER(SEARCH(Query!$B$6,'Compliance Database'!$I67))),OR(Query!$B$7="All",ISNUMBER(SEARCH(Query!$B$7,'Compliance Database'!$J67))),OR(Query!$B$8="All",'Compliance Database'!$G67=Query!$B$8),OR(Query!$B$9="All",'Compliance Database'!$K67=Query!$B$9),OR(Query!$B$10="",ISNUMBER(SEARCH(Query!$B$10,'Compliance Database'!$D67&amp;" "&amp;'Compliance Database'!$L67&amp;" "&amp;'Compliance Database'!$M67&amp;" "&amp;'Compliance Database'!$N67&amp;" "&amp;'Compliance Database'!$O67)))),1,0)</f>
        <v>1</v>
      </c>
      <c r="B67">
        <f>IF($A67=1,SUM($A$2:$A67),"")</f>
        <v>66</v>
      </c>
      <c r="C67">
        <f>IF($A67=1,SUM($A$2:$A67),0)</f>
        <v>66</v>
      </c>
    </row>
    <row r="68" spans="1:3" x14ac:dyDescent="0.3">
      <c r="A68">
        <f>IF(AND(OR(Query!$B$4="All",'Compliance Database'!$A68=Query!$B$4),OR(Query!$B$5="All",'Compliance Database'!$F68=Query!$B$5),OR(Query!$B$6="All",ISNUMBER(SEARCH(Query!$B$6,'Compliance Database'!$I68))),OR(Query!$B$7="All",ISNUMBER(SEARCH(Query!$B$7,'Compliance Database'!$J68))),OR(Query!$B$8="All",'Compliance Database'!$G68=Query!$B$8),OR(Query!$B$9="All",'Compliance Database'!$K68=Query!$B$9),OR(Query!$B$10="",ISNUMBER(SEARCH(Query!$B$10,'Compliance Database'!$D68&amp;" "&amp;'Compliance Database'!$L68&amp;" "&amp;'Compliance Database'!$M68&amp;" "&amp;'Compliance Database'!$N68&amp;" "&amp;'Compliance Database'!$O68)))),1,0)</f>
        <v>1</v>
      </c>
      <c r="B68">
        <f>IF($A68=1,SUM($A$2:$A68),"")</f>
        <v>67</v>
      </c>
      <c r="C68">
        <f>IF($A68=1,SUM($A$2:$A68),0)</f>
        <v>67</v>
      </c>
    </row>
    <row r="69" spans="1:3" x14ac:dyDescent="0.3">
      <c r="A69">
        <f>IF(AND(OR(Query!$B$4="All",'Compliance Database'!$A69=Query!$B$4),OR(Query!$B$5="All",'Compliance Database'!$F69=Query!$B$5),OR(Query!$B$6="All",ISNUMBER(SEARCH(Query!$B$6,'Compliance Database'!$I69))),OR(Query!$B$7="All",ISNUMBER(SEARCH(Query!$B$7,'Compliance Database'!$J69))),OR(Query!$B$8="All",'Compliance Database'!$G69=Query!$B$8),OR(Query!$B$9="All",'Compliance Database'!$K69=Query!$B$9),OR(Query!$B$10="",ISNUMBER(SEARCH(Query!$B$10,'Compliance Database'!$D69&amp;" "&amp;'Compliance Database'!$L69&amp;" "&amp;'Compliance Database'!$M69&amp;" "&amp;'Compliance Database'!$N69&amp;" "&amp;'Compliance Database'!$O69)))),1,0)</f>
        <v>1</v>
      </c>
      <c r="B69">
        <f>IF($A69=1,SUM($A$2:$A69),"")</f>
        <v>68</v>
      </c>
      <c r="C69">
        <f>IF($A69=1,SUM($A$2:$A69),0)</f>
        <v>68</v>
      </c>
    </row>
    <row r="70" spans="1:3" x14ac:dyDescent="0.3">
      <c r="A70">
        <f>IF(AND(OR(Query!$B$4="All",'Compliance Database'!$A70=Query!$B$4),OR(Query!$B$5="All",'Compliance Database'!$F70=Query!$B$5),OR(Query!$B$6="All",ISNUMBER(SEARCH(Query!$B$6,'Compliance Database'!$I70))),OR(Query!$B$7="All",ISNUMBER(SEARCH(Query!$B$7,'Compliance Database'!$J70))),OR(Query!$B$8="All",'Compliance Database'!$G70=Query!$B$8),OR(Query!$B$9="All",'Compliance Database'!$K70=Query!$B$9),OR(Query!$B$10="",ISNUMBER(SEARCH(Query!$B$10,'Compliance Database'!$D70&amp;" "&amp;'Compliance Database'!$L70&amp;" "&amp;'Compliance Database'!$M70&amp;" "&amp;'Compliance Database'!$N70&amp;" "&amp;'Compliance Database'!$O70)))),1,0)</f>
        <v>1</v>
      </c>
      <c r="B70">
        <f>IF($A70=1,SUM($A$2:$A70),"")</f>
        <v>69</v>
      </c>
      <c r="C70">
        <f>IF($A70=1,SUM($A$2:$A70),0)</f>
        <v>69</v>
      </c>
    </row>
    <row r="71" spans="1:3" x14ac:dyDescent="0.3">
      <c r="A71">
        <f>IF(AND(OR(Query!$B$4="All",'Compliance Database'!$A71=Query!$B$4),OR(Query!$B$5="All",'Compliance Database'!$F71=Query!$B$5),OR(Query!$B$6="All",ISNUMBER(SEARCH(Query!$B$6,'Compliance Database'!$I71))),OR(Query!$B$7="All",ISNUMBER(SEARCH(Query!$B$7,'Compliance Database'!$J71))),OR(Query!$B$8="All",'Compliance Database'!$G71=Query!$B$8),OR(Query!$B$9="All",'Compliance Database'!$K71=Query!$B$9),OR(Query!$B$10="",ISNUMBER(SEARCH(Query!$B$10,'Compliance Database'!$D71&amp;" "&amp;'Compliance Database'!$L71&amp;" "&amp;'Compliance Database'!$M71&amp;" "&amp;'Compliance Database'!$N71&amp;" "&amp;'Compliance Database'!$O71)))),1,0)</f>
        <v>1</v>
      </c>
      <c r="B71">
        <f>IF($A71=1,SUM($A$2:$A71),"")</f>
        <v>70</v>
      </c>
      <c r="C71">
        <f>IF($A71=1,SUM($A$2:$A71),0)</f>
        <v>70</v>
      </c>
    </row>
    <row r="72" spans="1:3" x14ac:dyDescent="0.3">
      <c r="A72">
        <f>IF(AND(OR(Query!$B$4="All",'Compliance Database'!$A72=Query!$B$4),OR(Query!$B$5="All",'Compliance Database'!$F72=Query!$B$5),OR(Query!$B$6="All",ISNUMBER(SEARCH(Query!$B$6,'Compliance Database'!$I72))),OR(Query!$B$7="All",ISNUMBER(SEARCH(Query!$B$7,'Compliance Database'!$J72))),OR(Query!$B$8="All",'Compliance Database'!$G72=Query!$B$8),OR(Query!$B$9="All",'Compliance Database'!$K72=Query!$B$9),OR(Query!$B$10="",ISNUMBER(SEARCH(Query!$B$10,'Compliance Database'!$D72&amp;" "&amp;'Compliance Database'!$L72&amp;" "&amp;'Compliance Database'!$M72&amp;" "&amp;'Compliance Database'!$N72&amp;" "&amp;'Compliance Database'!$O72)))),1,0)</f>
        <v>1</v>
      </c>
      <c r="B72">
        <f>IF($A72=1,SUM($A$2:$A72),"")</f>
        <v>71</v>
      </c>
      <c r="C72">
        <f>IF($A72=1,SUM($A$2:$A72),0)</f>
        <v>71</v>
      </c>
    </row>
    <row r="73" spans="1:3" x14ac:dyDescent="0.3">
      <c r="A73">
        <f>IF(AND(OR(Query!$B$4="All",'Compliance Database'!$A73=Query!$B$4),OR(Query!$B$5="All",'Compliance Database'!$F73=Query!$B$5),OR(Query!$B$6="All",ISNUMBER(SEARCH(Query!$B$6,'Compliance Database'!$I73))),OR(Query!$B$7="All",ISNUMBER(SEARCH(Query!$B$7,'Compliance Database'!$J73))),OR(Query!$B$8="All",'Compliance Database'!$G73=Query!$B$8),OR(Query!$B$9="All",'Compliance Database'!$K73=Query!$B$9),OR(Query!$B$10="",ISNUMBER(SEARCH(Query!$B$10,'Compliance Database'!$D73&amp;" "&amp;'Compliance Database'!$L73&amp;" "&amp;'Compliance Database'!$M73&amp;" "&amp;'Compliance Database'!$N73&amp;" "&amp;'Compliance Database'!$O73)))),1,0)</f>
        <v>1</v>
      </c>
      <c r="B73">
        <f>IF($A73=1,SUM($A$2:$A73),"")</f>
        <v>72</v>
      </c>
      <c r="C73">
        <f>IF($A73=1,SUM($A$2:$A73),0)</f>
        <v>72</v>
      </c>
    </row>
    <row r="74" spans="1:3" x14ac:dyDescent="0.3">
      <c r="A74">
        <f>IF(AND(OR(Query!$B$4="All",'Compliance Database'!$A74=Query!$B$4),OR(Query!$B$5="All",'Compliance Database'!$F74=Query!$B$5),OR(Query!$B$6="All",ISNUMBER(SEARCH(Query!$B$6,'Compliance Database'!$I74))),OR(Query!$B$7="All",ISNUMBER(SEARCH(Query!$B$7,'Compliance Database'!$J74))),OR(Query!$B$8="All",'Compliance Database'!$G74=Query!$B$8),OR(Query!$B$9="All",'Compliance Database'!$K74=Query!$B$9),OR(Query!$B$10="",ISNUMBER(SEARCH(Query!$B$10,'Compliance Database'!$D74&amp;" "&amp;'Compliance Database'!$L74&amp;" "&amp;'Compliance Database'!$M74&amp;" "&amp;'Compliance Database'!$N74&amp;" "&amp;'Compliance Database'!$O74)))),1,0)</f>
        <v>1</v>
      </c>
      <c r="B74">
        <f>IF($A74=1,SUM($A$2:$A74),"")</f>
        <v>73</v>
      </c>
      <c r="C74">
        <f>IF($A74=1,SUM($A$2:$A74),0)</f>
        <v>73</v>
      </c>
    </row>
    <row r="75" spans="1:3" x14ac:dyDescent="0.3">
      <c r="A75">
        <f>IF(AND(OR(Query!$B$4="All",'Compliance Database'!$A75=Query!$B$4),OR(Query!$B$5="All",'Compliance Database'!$F75=Query!$B$5),OR(Query!$B$6="All",ISNUMBER(SEARCH(Query!$B$6,'Compliance Database'!$I75))),OR(Query!$B$7="All",ISNUMBER(SEARCH(Query!$B$7,'Compliance Database'!$J75))),OR(Query!$B$8="All",'Compliance Database'!$G75=Query!$B$8),OR(Query!$B$9="All",'Compliance Database'!$K75=Query!$B$9),OR(Query!$B$10="",ISNUMBER(SEARCH(Query!$B$10,'Compliance Database'!$D75&amp;" "&amp;'Compliance Database'!$L75&amp;" "&amp;'Compliance Database'!$M75&amp;" "&amp;'Compliance Database'!$N75&amp;" "&amp;'Compliance Database'!$O75)))),1,0)</f>
        <v>1</v>
      </c>
      <c r="B75">
        <f>IF($A75=1,SUM($A$2:$A75),"")</f>
        <v>74</v>
      </c>
      <c r="C75">
        <f>IF($A75=1,SUM($A$2:$A75),0)</f>
        <v>74</v>
      </c>
    </row>
    <row r="76" spans="1:3" x14ac:dyDescent="0.3">
      <c r="A76">
        <f>IF(AND(OR(Query!$B$4="All",'Compliance Database'!$A76=Query!$B$4),OR(Query!$B$5="All",'Compliance Database'!$F76=Query!$B$5),OR(Query!$B$6="All",ISNUMBER(SEARCH(Query!$B$6,'Compliance Database'!$I76))),OR(Query!$B$7="All",ISNUMBER(SEARCH(Query!$B$7,'Compliance Database'!$J76))),OR(Query!$B$8="All",'Compliance Database'!$G76=Query!$B$8),OR(Query!$B$9="All",'Compliance Database'!$K76=Query!$B$9),OR(Query!$B$10="",ISNUMBER(SEARCH(Query!$B$10,'Compliance Database'!$D76&amp;" "&amp;'Compliance Database'!$L76&amp;" "&amp;'Compliance Database'!$M76&amp;" "&amp;'Compliance Database'!$N76&amp;" "&amp;'Compliance Database'!$O76)))),1,0)</f>
        <v>1</v>
      </c>
      <c r="B76">
        <f>IF($A76=1,SUM($A$2:$A76),"")</f>
        <v>75</v>
      </c>
      <c r="C76">
        <f>IF($A76=1,SUM($A$2:$A76),0)</f>
        <v>75</v>
      </c>
    </row>
    <row r="77" spans="1:3" x14ac:dyDescent="0.3">
      <c r="A77">
        <f>IF(AND(OR(Query!$B$4="All",'Compliance Database'!$A77=Query!$B$4),OR(Query!$B$5="All",'Compliance Database'!$F77=Query!$B$5),OR(Query!$B$6="All",ISNUMBER(SEARCH(Query!$B$6,'Compliance Database'!$I77))),OR(Query!$B$7="All",ISNUMBER(SEARCH(Query!$B$7,'Compliance Database'!$J77))),OR(Query!$B$8="All",'Compliance Database'!$G77=Query!$B$8),OR(Query!$B$9="All",'Compliance Database'!$K77=Query!$B$9),OR(Query!$B$10="",ISNUMBER(SEARCH(Query!$B$10,'Compliance Database'!$D77&amp;" "&amp;'Compliance Database'!$L77&amp;" "&amp;'Compliance Database'!$M77&amp;" "&amp;'Compliance Database'!$N77&amp;" "&amp;'Compliance Database'!$O77)))),1,0)</f>
        <v>1</v>
      </c>
      <c r="B77">
        <f>IF($A77=1,SUM($A$2:$A77),"")</f>
        <v>76</v>
      </c>
      <c r="C77">
        <f>IF($A77=1,SUM($A$2:$A77),0)</f>
        <v>76</v>
      </c>
    </row>
    <row r="78" spans="1:3" x14ac:dyDescent="0.3">
      <c r="A78">
        <f>IF(AND(OR(Query!$B$4="All",'Compliance Database'!$A78=Query!$B$4),OR(Query!$B$5="All",'Compliance Database'!$F78=Query!$B$5),OR(Query!$B$6="All",ISNUMBER(SEARCH(Query!$B$6,'Compliance Database'!$I78))),OR(Query!$B$7="All",ISNUMBER(SEARCH(Query!$B$7,'Compliance Database'!$J78))),OR(Query!$B$8="All",'Compliance Database'!$G78=Query!$B$8),OR(Query!$B$9="All",'Compliance Database'!$K78=Query!$B$9),OR(Query!$B$10="",ISNUMBER(SEARCH(Query!$B$10,'Compliance Database'!$D78&amp;" "&amp;'Compliance Database'!$L78&amp;" "&amp;'Compliance Database'!$M78&amp;" "&amp;'Compliance Database'!$N78&amp;" "&amp;'Compliance Database'!$O78)))),1,0)</f>
        <v>1</v>
      </c>
      <c r="B78">
        <f>IF($A78=1,SUM($A$2:$A78),"")</f>
        <v>77</v>
      </c>
      <c r="C78">
        <f>IF($A78=1,SUM($A$2:$A78),0)</f>
        <v>77</v>
      </c>
    </row>
    <row r="79" spans="1:3" x14ac:dyDescent="0.3">
      <c r="A79">
        <f>IF(AND(OR(Query!$B$4="All",'Compliance Database'!$A79=Query!$B$4),OR(Query!$B$5="All",'Compliance Database'!$F79=Query!$B$5),OR(Query!$B$6="All",ISNUMBER(SEARCH(Query!$B$6,'Compliance Database'!$I79))),OR(Query!$B$7="All",ISNUMBER(SEARCH(Query!$B$7,'Compliance Database'!$J79))),OR(Query!$B$8="All",'Compliance Database'!$G79=Query!$B$8),OR(Query!$B$9="All",'Compliance Database'!$K79=Query!$B$9),OR(Query!$B$10="",ISNUMBER(SEARCH(Query!$B$10,'Compliance Database'!$D79&amp;" "&amp;'Compliance Database'!$L79&amp;" "&amp;'Compliance Database'!$M79&amp;" "&amp;'Compliance Database'!$N79&amp;" "&amp;'Compliance Database'!$O79)))),1,0)</f>
        <v>1</v>
      </c>
      <c r="B79">
        <f>IF($A79=1,SUM($A$2:$A79),"")</f>
        <v>78</v>
      </c>
      <c r="C79">
        <f>IF($A79=1,SUM($A$2:$A79),0)</f>
        <v>78</v>
      </c>
    </row>
    <row r="80" spans="1:3" x14ac:dyDescent="0.3">
      <c r="A80">
        <f>IF(AND(OR(Query!$B$4="All",'Compliance Database'!$A80=Query!$B$4),OR(Query!$B$5="All",'Compliance Database'!$F80=Query!$B$5),OR(Query!$B$6="All",ISNUMBER(SEARCH(Query!$B$6,'Compliance Database'!$I80))),OR(Query!$B$7="All",ISNUMBER(SEARCH(Query!$B$7,'Compliance Database'!$J80))),OR(Query!$B$8="All",'Compliance Database'!$G80=Query!$B$8),OR(Query!$B$9="All",'Compliance Database'!$K80=Query!$B$9),OR(Query!$B$10="",ISNUMBER(SEARCH(Query!$B$10,'Compliance Database'!$D80&amp;" "&amp;'Compliance Database'!$L80&amp;" "&amp;'Compliance Database'!$M80&amp;" "&amp;'Compliance Database'!$N80&amp;" "&amp;'Compliance Database'!$O80)))),1,0)</f>
        <v>1</v>
      </c>
      <c r="B80">
        <f>IF($A80=1,SUM($A$2:$A80),"")</f>
        <v>79</v>
      </c>
      <c r="C80">
        <f>IF($A80=1,SUM($A$2:$A80),0)</f>
        <v>79</v>
      </c>
    </row>
    <row r="81" spans="1:3" x14ac:dyDescent="0.3">
      <c r="A81">
        <f>IF(AND(OR(Query!$B$4="All",'Compliance Database'!$A81=Query!$B$4),OR(Query!$B$5="All",'Compliance Database'!$F81=Query!$B$5),OR(Query!$B$6="All",ISNUMBER(SEARCH(Query!$B$6,'Compliance Database'!$I81))),OR(Query!$B$7="All",ISNUMBER(SEARCH(Query!$B$7,'Compliance Database'!$J81))),OR(Query!$B$8="All",'Compliance Database'!$G81=Query!$B$8),OR(Query!$B$9="All",'Compliance Database'!$K81=Query!$B$9),OR(Query!$B$10="",ISNUMBER(SEARCH(Query!$B$10,'Compliance Database'!$D81&amp;" "&amp;'Compliance Database'!$L81&amp;" "&amp;'Compliance Database'!$M81&amp;" "&amp;'Compliance Database'!$N81&amp;" "&amp;'Compliance Database'!$O81)))),1,0)</f>
        <v>1</v>
      </c>
      <c r="B81">
        <f>IF($A81=1,SUM($A$2:$A81),"")</f>
        <v>80</v>
      </c>
      <c r="C81">
        <f>IF($A81=1,SUM($A$2:$A81),0)</f>
        <v>80</v>
      </c>
    </row>
    <row r="82" spans="1:3" x14ac:dyDescent="0.3">
      <c r="A82">
        <f>IF(AND(OR(Query!$B$4="All",'Compliance Database'!$A82=Query!$B$4),OR(Query!$B$5="All",'Compliance Database'!$F82=Query!$B$5),OR(Query!$B$6="All",ISNUMBER(SEARCH(Query!$B$6,'Compliance Database'!$I82))),OR(Query!$B$7="All",ISNUMBER(SEARCH(Query!$B$7,'Compliance Database'!$J82))),OR(Query!$B$8="All",'Compliance Database'!$G82=Query!$B$8),OR(Query!$B$9="All",'Compliance Database'!$K82=Query!$B$9),OR(Query!$B$10="",ISNUMBER(SEARCH(Query!$B$10,'Compliance Database'!$D82&amp;" "&amp;'Compliance Database'!$L82&amp;" "&amp;'Compliance Database'!$M82&amp;" "&amp;'Compliance Database'!$N82&amp;" "&amp;'Compliance Database'!$O82)))),1,0)</f>
        <v>1</v>
      </c>
      <c r="B82">
        <f>IF($A82=1,SUM($A$2:$A82),"")</f>
        <v>81</v>
      </c>
      <c r="C82">
        <f>IF($A82=1,SUM($A$2:$A82),0)</f>
        <v>81</v>
      </c>
    </row>
    <row r="83" spans="1:3" x14ac:dyDescent="0.3">
      <c r="A83">
        <f>IF(AND(OR(Query!$B$4="All",'Compliance Database'!$A83=Query!$B$4),OR(Query!$B$5="All",'Compliance Database'!$F83=Query!$B$5),OR(Query!$B$6="All",ISNUMBER(SEARCH(Query!$B$6,'Compliance Database'!$I83))),OR(Query!$B$7="All",ISNUMBER(SEARCH(Query!$B$7,'Compliance Database'!$J83))),OR(Query!$B$8="All",'Compliance Database'!$G83=Query!$B$8),OR(Query!$B$9="All",'Compliance Database'!$K83=Query!$B$9),OR(Query!$B$10="",ISNUMBER(SEARCH(Query!$B$10,'Compliance Database'!$D83&amp;" "&amp;'Compliance Database'!$L83&amp;" "&amp;'Compliance Database'!$M83&amp;" "&amp;'Compliance Database'!$N83&amp;" "&amp;'Compliance Database'!$O83)))),1,0)</f>
        <v>1</v>
      </c>
      <c r="B83">
        <f>IF($A83=1,SUM($A$2:$A83),"")</f>
        <v>82</v>
      </c>
      <c r="C83">
        <f>IF($A83=1,SUM($A$2:$A83),0)</f>
        <v>82</v>
      </c>
    </row>
    <row r="84" spans="1:3" x14ac:dyDescent="0.3">
      <c r="A84">
        <f>IF(AND(OR(Query!$B$4="All",'Compliance Database'!$A84=Query!$B$4),OR(Query!$B$5="All",'Compliance Database'!$F84=Query!$B$5),OR(Query!$B$6="All",ISNUMBER(SEARCH(Query!$B$6,'Compliance Database'!$I84))),OR(Query!$B$7="All",ISNUMBER(SEARCH(Query!$B$7,'Compliance Database'!$J84))),OR(Query!$B$8="All",'Compliance Database'!$G84=Query!$B$8),OR(Query!$B$9="All",'Compliance Database'!$K84=Query!$B$9),OR(Query!$B$10="",ISNUMBER(SEARCH(Query!$B$10,'Compliance Database'!$D84&amp;" "&amp;'Compliance Database'!$L84&amp;" "&amp;'Compliance Database'!$M84&amp;" "&amp;'Compliance Database'!$N84&amp;" "&amp;'Compliance Database'!$O84)))),1,0)</f>
        <v>1</v>
      </c>
      <c r="B84">
        <f>IF($A84=1,SUM($A$2:$A84),"")</f>
        <v>83</v>
      </c>
      <c r="C84">
        <f>IF($A84=1,SUM($A$2:$A84),0)</f>
        <v>83</v>
      </c>
    </row>
    <row r="85" spans="1:3" x14ac:dyDescent="0.3">
      <c r="A85">
        <f>IF(AND(OR(Query!$B$4="All",'Compliance Database'!$A85=Query!$B$4),OR(Query!$B$5="All",'Compliance Database'!$F85=Query!$B$5),OR(Query!$B$6="All",ISNUMBER(SEARCH(Query!$B$6,'Compliance Database'!$I85))),OR(Query!$B$7="All",ISNUMBER(SEARCH(Query!$B$7,'Compliance Database'!$J85))),OR(Query!$B$8="All",'Compliance Database'!$G85=Query!$B$8),OR(Query!$B$9="All",'Compliance Database'!$K85=Query!$B$9),OR(Query!$B$10="",ISNUMBER(SEARCH(Query!$B$10,'Compliance Database'!$D85&amp;" "&amp;'Compliance Database'!$L85&amp;" "&amp;'Compliance Database'!$M85&amp;" "&amp;'Compliance Database'!$N85&amp;" "&amp;'Compliance Database'!$O85)))),1,0)</f>
        <v>1</v>
      </c>
      <c r="B85">
        <f>IF($A85=1,SUM($A$2:$A85),"")</f>
        <v>84</v>
      </c>
      <c r="C85">
        <f>IF($A85=1,SUM($A$2:$A85),0)</f>
        <v>84</v>
      </c>
    </row>
    <row r="86" spans="1:3" x14ac:dyDescent="0.3">
      <c r="A86">
        <f>IF(AND(OR(Query!$B$4="All",'Compliance Database'!$A86=Query!$B$4),OR(Query!$B$5="All",'Compliance Database'!$F86=Query!$B$5),OR(Query!$B$6="All",ISNUMBER(SEARCH(Query!$B$6,'Compliance Database'!$I86))),OR(Query!$B$7="All",ISNUMBER(SEARCH(Query!$B$7,'Compliance Database'!$J86))),OR(Query!$B$8="All",'Compliance Database'!$G86=Query!$B$8),OR(Query!$B$9="All",'Compliance Database'!$K86=Query!$B$9),OR(Query!$B$10="",ISNUMBER(SEARCH(Query!$B$10,'Compliance Database'!$D86&amp;" "&amp;'Compliance Database'!$L86&amp;" "&amp;'Compliance Database'!$M86&amp;" "&amp;'Compliance Database'!$N86&amp;" "&amp;'Compliance Database'!$O86)))),1,0)</f>
        <v>1</v>
      </c>
      <c r="B86">
        <f>IF($A86=1,SUM($A$2:$A86),"")</f>
        <v>85</v>
      </c>
      <c r="C86">
        <f>IF($A86=1,SUM($A$2:$A86),0)</f>
        <v>85</v>
      </c>
    </row>
    <row r="87" spans="1:3" x14ac:dyDescent="0.3">
      <c r="A87">
        <f>IF(AND(OR(Query!$B$4="All",'Compliance Database'!$A87=Query!$B$4),OR(Query!$B$5="All",'Compliance Database'!$F87=Query!$B$5),OR(Query!$B$6="All",ISNUMBER(SEARCH(Query!$B$6,'Compliance Database'!$I87))),OR(Query!$B$7="All",ISNUMBER(SEARCH(Query!$B$7,'Compliance Database'!$J87))),OR(Query!$B$8="All",'Compliance Database'!$G87=Query!$B$8),OR(Query!$B$9="All",'Compliance Database'!$K87=Query!$B$9),OR(Query!$B$10="",ISNUMBER(SEARCH(Query!$B$10,'Compliance Database'!$D87&amp;" "&amp;'Compliance Database'!$L87&amp;" "&amp;'Compliance Database'!$M87&amp;" "&amp;'Compliance Database'!$N87&amp;" "&amp;'Compliance Database'!$O87)))),1,0)</f>
        <v>1</v>
      </c>
      <c r="B87">
        <f>IF($A87=1,SUM($A$2:$A87),"")</f>
        <v>86</v>
      </c>
      <c r="C87">
        <f>IF($A87=1,SUM($A$2:$A87),0)</f>
        <v>86</v>
      </c>
    </row>
    <row r="88" spans="1:3" x14ac:dyDescent="0.3">
      <c r="A88">
        <f>IF(AND(OR(Query!$B$4="All",'Compliance Database'!$A88=Query!$B$4),OR(Query!$B$5="All",'Compliance Database'!$F88=Query!$B$5),OR(Query!$B$6="All",ISNUMBER(SEARCH(Query!$B$6,'Compliance Database'!$I88))),OR(Query!$B$7="All",ISNUMBER(SEARCH(Query!$B$7,'Compliance Database'!$J88))),OR(Query!$B$8="All",'Compliance Database'!$G88=Query!$B$8),OR(Query!$B$9="All",'Compliance Database'!$K88=Query!$B$9),OR(Query!$B$10="",ISNUMBER(SEARCH(Query!$B$10,'Compliance Database'!$D88&amp;" "&amp;'Compliance Database'!$L88&amp;" "&amp;'Compliance Database'!$M88&amp;" "&amp;'Compliance Database'!$N88&amp;" "&amp;'Compliance Database'!$O88)))),1,0)</f>
        <v>1</v>
      </c>
      <c r="B88">
        <f>IF($A88=1,SUM($A$2:$A88),"")</f>
        <v>87</v>
      </c>
      <c r="C88">
        <f>IF($A88=1,SUM($A$2:$A88),0)</f>
        <v>87</v>
      </c>
    </row>
    <row r="89" spans="1:3" x14ac:dyDescent="0.3">
      <c r="A89">
        <f>IF(AND(OR(Query!$B$4="All",'Compliance Database'!$A89=Query!$B$4),OR(Query!$B$5="All",'Compliance Database'!$F89=Query!$B$5),OR(Query!$B$6="All",ISNUMBER(SEARCH(Query!$B$6,'Compliance Database'!$I89))),OR(Query!$B$7="All",ISNUMBER(SEARCH(Query!$B$7,'Compliance Database'!$J89))),OR(Query!$B$8="All",'Compliance Database'!$G89=Query!$B$8),OR(Query!$B$9="All",'Compliance Database'!$K89=Query!$B$9),OR(Query!$B$10="",ISNUMBER(SEARCH(Query!$B$10,'Compliance Database'!$D89&amp;" "&amp;'Compliance Database'!$L89&amp;" "&amp;'Compliance Database'!$M89&amp;" "&amp;'Compliance Database'!$N89&amp;" "&amp;'Compliance Database'!$O89)))),1,0)</f>
        <v>1</v>
      </c>
      <c r="B89">
        <f>IF($A89=1,SUM($A$2:$A89),"")</f>
        <v>88</v>
      </c>
      <c r="C89">
        <f>IF($A89=1,SUM($A$2:$A89),0)</f>
        <v>88</v>
      </c>
    </row>
    <row r="90" spans="1:3" x14ac:dyDescent="0.3">
      <c r="A90">
        <f>IF(AND(OR(Query!$B$4="All",'Compliance Database'!$A90=Query!$B$4),OR(Query!$B$5="All",'Compliance Database'!$F90=Query!$B$5),OR(Query!$B$6="All",ISNUMBER(SEARCH(Query!$B$6,'Compliance Database'!$I90))),OR(Query!$B$7="All",ISNUMBER(SEARCH(Query!$B$7,'Compliance Database'!$J90))),OR(Query!$B$8="All",'Compliance Database'!$G90=Query!$B$8),OR(Query!$B$9="All",'Compliance Database'!$K90=Query!$B$9),OR(Query!$B$10="",ISNUMBER(SEARCH(Query!$B$10,'Compliance Database'!$D90&amp;" "&amp;'Compliance Database'!$L90&amp;" "&amp;'Compliance Database'!$M90&amp;" "&amp;'Compliance Database'!$N90&amp;" "&amp;'Compliance Database'!$O90)))),1,0)</f>
        <v>1</v>
      </c>
      <c r="B90">
        <f>IF($A90=1,SUM($A$2:$A90),"")</f>
        <v>89</v>
      </c>
      <c r="C90">
        <f>IF($A90=1,SUM($A$2:$A90),0)</f>
        <v>89</v>
      </c>
    </row>
    <row r="91" spans="1:3" x14ac:dyDescent="0.3">
      <c r="A91">
        <f>IF(AND(OR(Query!$B$4="All",'Compliance Database'!$A91=Query!$B$4),OR(Query!$B$5="All",'Compliance Database'!$F91=Query!$B$5),OR(Query!$B$6="All",ISNUMBER(SEARCH(Query!$B$6,'Compliance Database'!$I91))),OR(Query!$B$7="All",ISNUMBER(SEARCH(Query!$B$7,'Compliance Database'!$J91))),OR(Query!$B$8="All",'Compliance Database'!$G91=Query!$B$8),OR(Query!$B$9="All",'Compliance Database'!$K91=Query!$B$9),OR(Query!$B$10="",ISNUMBER(SEARCH(Query!$B$10,'Compliance Database'!$D91&amp;" "&amp;'Compliance Database'!$L91&amp;" "&amp;'Compliance Database'!$M91&amp;" "&amp;'Compliance Database'!$N91&amp;" "&amp;'Compliance Database'!$O91)))),1,0)</f>
        <v>1</v>
      </c>
      <c r="B91">
        <f>IF($A91=1,SUM($A$2:$A91),"")</f>
        <v>90</v>
      </c>
      <c r="C91">
        <f>IF($A91=1,SUM($A$2:$A91),0)</f>
        <v>90</v>
      </c>
    </row>
    <row r="92" spans="1:3" x14ac:dyDescent="0.3">
      <c r="A92">
        <f>IF(AND(OR(Query!$B$4="All",'Compliance Database'!$A92=Query!$B$4),OR(Query!$B$5="All",'Compliance Database'!$F92=Query!$B$5),OR(Query!$B$6="All",ISNUMBER(SEARCH(Query!$B$6,'Compliance Database'!$I92))),OR(Query!$B$7="All",ISNUMBER(SEARCH(Query!$B$7,'Compliance Database'!$J92))),OR(Query!$B$8="All",'Compliance Database'!$G92=Query!$B$8),OR(Query!$B$9="All",'Compliance Database'!$K92=Query!$B$9),OR(Query!$B$10="",ISNUMBER(SEARCH(Query!$B$10,'Compliance Database'!$D92&amp;" "&amp;'Compliance Database'!$L92&amp;" "&amp;'Compliance Database'!$M92&amp;" "&amp;'Compliance Database'!$N92&amp;" "&amp;'Compliance Database'!$O92)))),1,0)</f>
        <v>1</v>
      </c>
      <c r="B92">
        <f>IF($A92=1,SUM($A$2:$A92),"")</f>
        <v>91</v>
      </c>
      <c r="C92">
        <f>IF($A92=1,SUM($A$2:$A92),0)</f>
        <v>91</v>
      </c>
    </row>
    <row r="93" spans="1:3" x14ac:dyDescent="0.3">
      <c r="A93">
        <f>IF(AND(OR(Query!$B$4="All",'Compliance Database'!$A93=Query!$B$4),OR(Query!$B$5="All",'Compliance Database'!$F93=Query!$B$5),OR(Query!$B$6="All",ISNUMBER(SEARCH(Query!$B$6,'Compliance Database'!$I93))),OR(Query!$B$7="All",ISNUMBER(SEARCH(Query!$B$7,'Compliance Database'!$J93))),OR(Query!$B$8="All",'Compliance Database'!$G93=Query!$B$8),OR(Query!$B$9="All",'Compliance Database'!$K93=Query!$B$9),OR(Query!$B$10="",ISNUMBER(SEARCH(Query!$B$10,'Compliance Database'!$D93&amp;" "&amp;'Compliance Database'!$L93&amp;" "&amp;'Compliance Database'!$M93&amp;" "&amp;'Compliance Database'!$N93&amp;" "&amp;'Compliance Database'!$O93)))),1,0)</f>
        <v>1</v>
      </c>
      <c r="B93">
        <f>IF($A93=1,SUM($A$2:$A93),"")</f>
        <v>92</v>
      </c>
      <c r="C93">
        <f>IF($A93=1,SUM($A$2:$A93),0)</f>
        <v>92</v>
      </c>
    </row>
    <row r="94" spans="1:3" x14ac:dyDescent="0.3">
      <c r="A94">
        <f>IF(AND(OR(Query!$B$4="All",'Compliance Database'!$A94=Query!$B$4),OR(Query!$B$5="All",'Compliance Database'!$F94=Query!$B$5),OR(Query!$B$6="All",ISNUMBER(SEARCH(Query!$B$6,'Compliance Database'!$I94))),OR(Query!$B$7="All",ISNUMBER(SEARCH(Query!$B$7,'Compliance Database'!$J94))),OR(Query!$B$8="All",'Compliance Database'!$G94=Query!$B$8),OR(Query!$B$9="All",'Compliance Database'!$K94=Query!$B$9),OR(Query!$B$10="",ISNUMBER(SEARCH(Query!$B$10,'Compliance Database'!$D94&amp;" "&amp;'Compliance Database'!$L94&amp;" "&amp;'Compliance Database'!$M94&amp;" "&amp;'Compliance Database'!$N94&amp;" "&amp;'Compliance Database'!$O94)))),1,0)</f>
        <v>1</v>
      </c>
      <c r="B94">
        <f>IF($A94=1,SUM($A$2:$A94),"")</f>
        <v>93</v>
      </c>
      <c r="C94">
        <f>IF($A94=1,SUM($A$2:$A94),0)</f>
        <v>93</v>
      </c>
    </row>
    <row r="95" spans="1:3" x14ac:dyDescent="0.3">
      <c r="A95">
        <f>IF(AND(OR(Query!$B$4="All",'Compliance Database'!$A95=Query!$B$4),OR(Query!$B$5="All",'Compliance Database'!$F95=Query!$B$5),OR(Query!$B$6="All",ISNUMBER(SEARCH(Query!$B$6,'Compliance Database'!$I95))),OR(Query!$B$7="All",ISNUMBER(SEARCH(Query!$B$7,'Compliance Database'!$J95))),OR(Query!$B$8="All",'Compliance Database'!$G95=Query!$B$8),OR(Query!$B$9="All",'Compliance Database'!$K95=Query!$B$9),OR(Query!$B$10="",ISNUMBER(SEARCH(Query!$B$10,'Compliance Database'!$D95&amp;" "&amp;'Compliance Database'!$L95&amp;" "&amp;'Compliance Database'!$M95&amp;" "&amp;'Compliance Database'!$N95&amp;" "&amp;'Compliance Database'!$O95)))),1,0)</f>
        <v>1</v>
      </c>
      <c r="B95">
        <f>IF($A95=1,SUM($A$2:$A95),"")</f>
        <v>94</v>
      </c>
      <c r="C95">
        <f>IF($A95=1,SUM($A$2:$A95),0)</f>
        <v>94</v>
      </c>
    </row>
    <row r="96" spans="1:3" x14ac:dyDescent="0.3">
      <c r="A96">
        <f>IF(AND(OR(Query!$B$4="All",'Compliance Database'!$A96=Query!$B$4),OR(Query!$B$5="All",'Compliance Database'!$F96=Query!$B$5),OR(Query!$B$6="All",ISNUMBER(SEARCH(Query!$B$6,'Compliance Database'!$I96))),OR(Query!$B$7="All",ISNUMBER(SEARCH(Query!$B$7,'Compliance Database'!$J96))),OR(Query!$B$8="All",'Compliance Database'!$G96=Query!$B$8),OR(Query!$B$9="All",'Compliance Database'!$K96=Query!$B$9),OR(Query!$B$10="",ISNUMBER(SEARCH(Query!$B$10,'Compliance Database'!$D96&amp;" "&amp;'Compliance Database'!$L96&amp;" "&amp;'Compliance Database'!$M96&amp;" "&amp;'Compliance Database'!$N96&amp;" "&amp;'Compliance Database'!$O96)))),1,0)</f>
        <v>1</v>
      </c>
      <c r="B96">
        <f>IF($A96=1,SUM($A$2:$A96),"")</f>
        <v>95</v>
      </c>
      <c r="C96">
        <f>IF($A96=1,SUM($A$2:$A96),0)</f>
        <v>95</v>
      </c>
    </row>
    <row r="97" spans="1:3" x14ac:dyDescent="0.3">
      <c r="A97">
        <f>IF(AND(OR(Query!$B$4="All",'Compliance Database'!$A97=Query!$B$4),OR(Query!$B$5="All",'Compliance Database'!$F97=Query!$B$5),OR(Query!$B$6="All",ISNUMBER(SEARCH(Query!$B$6,'Compliance Database'!$I97))),OR(Query!$B$7="All",ISNUMBER(SEARCH(Query!$B$7,'Compliance Database'!$J97))),OR(Query!$B$8="All",'Compliance Database'!$G97=Query!$B$8),OR(Query!$B$9="All",'Compliance Database'!$K97=Query!$B$9),OR(Query!$B$10="",ISNUMBER(SEARCH(Query!$B$10,'Compliance Database'!$D97&amp;" "&amp;'Compliance Database'!$L97&amp;" "&amp;'Compliance Database'!$M97&amp;" "&amp;'Compliance Database'!$N97&amp;" "&amp;'Compliance Database'!$O97)))),1,0)</f>
        <v>1</v>
      </c>
      <c r="B97">
        <f>IF($A97=1,SUM($A$2:$A97),"")</f>
        <v>96</v>
      </c>
      <c r="C97">
        <f>IF($A97=1,SUM($A$2:$A97),0)</f>
        <v>96</v>
      </c>
    </row>
    <row r="98" spans="1:3" x14ac:dyDescent="0.3">
      <c r="A98">
        <f>IF(AND(OR(Query!$B$4="All",'Compliance Database'!$A98=Query!$B$4),OR(Query!$B$5="All",'Compliance Database'!$F98=Query!$B$5),OR(Query!$B$6="All",ISNUMBER(SEARCH(Query!$B$6,'Compliance Database'!$I98))),OR(Query!$B$7="All",ISNUMBER(SEARCH(Query!$B$7,'Compliance Database'!$J98))),OR(Query!$B$8="All",'Compliance Database'!$G98=Query!$B$8),OR(Query!$B$9="All",'Compliance Database'!$K98=Query!$B$9),OR(Query!$B$10="",ISNUMBER(SEARCH(Query!$B$10,'Compliance Database'!$D98&amp;" "&amp;'Compliance Database'!$L98&amp;" "&amp;'Compliance Database'!$M98&amp;" "&amp;'Compliance Database'!$N98&amp;" "&amp;'Compliance Database'!$O98)))),1,0)</f>
        <v>1</v>
      </c>
      <c r="B98">
        <f>IF($A98=1,SUM($A$2:$A98),"")</f>
        <v>97</v>
      </c>
      <c r="C98">
        <f>IF($A98=1,SUM($A$2:$A98),0)</f>
        <v>97</v>
      </c>
    </row>
    <row r="99" spans="1:3" x14ac:dyDescent="0.3">
      <c r="A99">
        <f>IF(AND(OR(Query!$B$4="All",'Compliance Database'!$A99=Query!$B$4),OR(Query!$B$5="All",'Compliance Database'!$F99=Query!$B$5),OR(Query!$B$6="All",ISNUMBER(SEARCH(Query!$B$6,'Compliance Database'!$I99))),OR(Query!$B$7="All",ISNUMBER(SEARCH(Query!$B$7,'Compliance Database'!$J99))),OR(Query!$B$8="All",'Compliance Database'!$G99=Query!$B$8),OR(Query!$B$9="All",'Compliance Database'!$K99=Query!$B$9),OR(Query!$B$10="",ISNUMBER(SEARCH(Query!$B$10,'Compliance Database'!$D99&amp;" "&amp;'Compliance Database'!$L99&amp;" "&amp;'Compliance Database'!$M99&amp;" "&amp;'Compliance Database'!$N99&amp;" "&amp;'Compliance Database'!$O99)))),1,0)</f>
        <v>1</v>
      </c>
      <c r="B99">
        <f>IF($A99=1,SUM($A$2:$A99),"")</f>
        <v>98</v>
      </c>
      <c r="C99">
        <f>IF($A99=1,SUM($A$2:$A99),0)</f>
        <v>98</v>
      </c>
    </row>
    <row r="100" spans="1:3" x14ac:dyDescent="0.3">
      <c r="A100">
        <f>IF(AND(OR(Query!$B$4="All",'Compliance Database'!$A100=Query!$B$4),OR(Query!$B$5="All",'Compliance Database'!$F100=Query!$B$5),OR(Query!$B$6="All",ISNUMBER(SEARCH(Query!$B$6,'Compliance Database'!$I100))),OR(Query!$B$7="All",ISNUMBER(SEARCH(Query!$B$7,'Compliance Database'!$J100))),OR(Query!$B$8="All",'Compliance Database'!$G100=Query!$B$8),OR(Query!$B$9="All",'Compliance Database'!$K100=Query!$B$9),OR(Query!$B$10="",ISNUMBER(SEARCH(Query!$B$10,'Compliance Database'!$D100&amp;" "&amp;'Compliance Database'!$L100&amp;" "&amp;'Compliance Database'!$M100&amp;" "&amp;'Compliance Database'!$N100&amp;" "&amp;'Compliance Database'!$O100)))),1,0)</f>
        <v>1</v>
      </c>
      <c r="B100">
        <f>IF($A100=1,SUM($A$2:$A100),"")</f>
        <v>99</v>
      </c>
      <c r="C100">
        <f>IF($A100=1,SUM($A$2:$A100),0)</f>
        <v>99</v>
      </c>
    </row>
    <row r="101" spans="1:3" x14ac:dyDescent="0.3">
      <c r="A101">
        <f>IF(AND(OR(Query!$B$4="All",'Compliance Database'!$A101=Query!$B$4),OR(Query!$B$5="All",'Compliance Database'!$F101=Query!$B$5),OR(Query!$B$6="All",ISNUMBER(SEARCH(Query!$B$6,'Compliance Database'!$I101))),OR(Query!$B$7="All",ISNUMBER(SEARCH(Query!$B$7,'Compliance Database'!$J101))),OR(Query!$B$8="All",'Compliance Database'!$G101=Query!$B$8),OR(Query!$B$9="All",'Compliance Database'!$K101=Query!$B$9),OR(Query!$B$10="",ISNUMBER(SEARCH(Query!$B$10,'Compliance Database'!$D101&amp;" "&amp;'Compliance Database'!$L101&amp;" "&amp;'Compliance Database'!$M101&amp;" "&amp;'Compliance Database'!$N101&amp;" "&amp;'Compliance Database'!$O101)))),1,0)</f>
        <v>1</v>
      </c>
      <c r="B101">
        <f>IF($A101=1,SUM($A$2:$A101),"")</f>
        <v>100</v>
      </c>
      <c r="C101">
        <f>IF($A101=1,SUM($A$2:$A101),0)</f>
        <v>100</v>
      </c>
    </row>
    <row r="102" spans="1:3" x14ac:dyDescent="0.3">
      <c r="A102">
        <f>IF(AND(OR(Query!$B$4="All",'Compliance Database'!$A102=Query!$B$4),OR(Query!$B$5="All",'Compliance Database'!$F102=Query!$B$5),OR(Query!$B$6="All",ISNUMBER(SEARCH(Query!$B$6,'Compliance Database'!$I102))),OR(Query!$B$7="All",ISNUMBER(SEARCH(Query!$B$7,'Compliance Database'!$J102))),OR(Query!$B$8="All",'Compliance Database'!$G102=Query!$B$8),OR(Query!$B$9="All",'Compliance Database'!$K102=Query!$B$9),OR(Query!$B$10="",ISNUMBER(SEARCH(Query!$B$10,'Compliance Database'!$D102&amp;" "&amp;'Compliance Database'!$L102&amp;" "&amp;'Compliance Database'!$M102&amp;" "&amp;'Compliance Database'!$N102&amp;" "&amp;'Compliance Database'!$O102)))),1,0)</f>
        <v>1</v>
      </c>
      <c r="B102">
        <f>IF($A102=1,SUM($A$2:$A102),"")</f>
        <v>101</v>
      </c>
      <c r="C102">
        <f>IF($A102=1,SUM($A$2:$A102),0)</f>
        <v>101</v>
      </c>
    </row>
    <row r="103" spans="1:3" x14ac:dyDescent="0.3">
      <c r="A103">
        <f>IF(AND(OR(Query!$B$4="All",'Compliance Database'!$A103=Query!$B$4),OR(Query!$B$5="All",'Compliance Database'!$F103=Query!$B$5),OR(Query!$B$6="All",ISNUMBER(SEARCH(Query!$B$6,'Compliance Database'!$I103))),OR(Query!$B$7="All",ISNUMBER(SEARCH(Query!$B$7,'Compliance Database'!$J103))),OR(Query!$B$8="All",'Compliance Database'!$G103=Query!$B$8),OR(Query!$B$9="All",'Compliance Database'!$K103=Query!$B$9),OR(Query!$B$10="",ISNUMBER(SEARCH(Query!$B$10,'Compliance Database'!$D103&amp;" "&amp;'Compliance Database'!$L103&amp;" "&amp;'Compliance Database'!$M103&amp;" "&amp;'Compliance Database'!$N103&amp;" "&amp;'Compliance Database'!$O103)))),1,0)</f>
        <v>1</v>
      </c>
      <c r="B103">
        <f>IF($A103=1,SUM($A$2:$A103),"")</f>
        <v>102</v>
      </c>
      <c r="C103">
        <f>IF($A103=1,SUM($A$2:$A103),0)</f>
        <v>102</v>
      </c>
    </row>
    <row r="104" spans="1:3" x14ac:dyDescent="0.3">
      <c r="A104">
        <f>IF(AND(OR(Query!$B$4="All",'Compliance Database'!$A104=Query!$B$4),OR(Query!$B$5="All",'Compliance Database'!$F104=Query!$B$5),OR(Query!$B$6="All",ISNUMBER(SEARCH(Query!$B$6,'Compliance Database'!$I104))),OR(Query!$B$7="All",ISNUMBER(SEARCH(Query!$B$7,'Compliance Database'!$J104))),OR(Query!$B$8="All",'Compliance Database'!$G104=Query!$B$8),OR(Query!$B$9="All",'Compliance Database'!$K104=Query!$B$9),OR(Query!$B$10="",ISNUMBER(SEARCH(Query!$B$10,'Compliance Database'!$D104&amp;" "&amp;'Compliance Database'!$L104&amp;" "&amp;'Compliance Database'!$M104&amp;" "&amp;'Compliance Database'!$N104&amp;" "&amp;'Compliance Database'!$O104)))),1,0)</f>
        <v>1</v>
      </c>
      <c r="B104">
        <f>IF($A104=1,SUM($A$2:$A104),"")</f>
        <v>103</v>
      </c>
      <c r="C104">
        <f>IF($A104=1,SUM($A$2:$A104),0)</f>
        <v>103</v>
      </c>
    </row>
    <row r="105" spans="1:3" x14ac:dyDescent="0.3">
      <c r="A105">
        <f>IF(AND(OR(Query!$B$4="All",'Compliance Database'!$A105=Query!$B$4),OR(Query!$B$5="All",'Compliance Database'!$F105=Query!$B$5),OR(Query!$B$6="All",ISNUMBER(SEARCH(Query!$B$6,'Compliance Database'!$I105))),OR(Query!$B$7="All",ISNUMBER(SEARCH(Query!$B$7,'Compliance Database'!$J105))),OR(Query!$B$8="All",'Compliance Database'!$G105=Query!$B$8),OR(Query!$B$9="All",'Compliance Database'!$K105=Query!$B$9),OR(Query!$B$10="",ISNUMBER(SEARCH(Query!$B$10,'Compliance Database'!$D105&amp;" "&amp;'Compliance Database'!$L105&amp;" "&amp;'Compliance Database'!$M105&amp;" "&amp;'Compliance Database'!$N105&amp;" "&amp;'Compliance Database'!$O105)))),1,0)</f>
        <v>1</v>
      </c>
      <c r="B105">
        <f>IF($A105=1,SUM($A$2:$A105),"")</f>
        <v>104</v>
      </c>
      <c r="C105">
        <f>IF($A105=1,SUM($A$2:$A105),0)</f>
        <v>104</v>
      </c>
    </row>
    <row r="106" spans="1:3" x14ac:dyDescent="0.3">
      <c r="A106">
        <f>IF(AND(OR(Query!$B$4="All",'Compliance Database'!$A106=Query!$B$4),OR(Query!$B$5="All",'Compliance Database'!$F106=Query!$B$5),OR(Query!$B$6="All",ISNUMBER(SEARCH(Query!$B$6,'Compliance Database'!$I106))),OR(Query!$B$7="All",ISNUMBER(SEARCH(Query!$B$7,'Compliance Database'!$J106))),OR(Query!$B$8="All",'Compliance Database'!$G106=Query!$B$8),OR(Query!$B$9="All",'Compliance Database'!$K106=Query!$B$9),OR(Query!$B$10="",ISNUMBER(SEARCH(Query!$B$10,'Compliance Database'!$D106&amp;" "&amp;'Compliance Database'!$L106&amp;" "&amp;'Compliance Database'!$M106&amp;" "&amp;'Compliance Database'!$N106&amp;" "&amp;'Compliance Database'!$O106)))),1,0)</f>
        <v>1</v>
      </c>
      <c r="B106">
        <f>IF($A106=1,SUM($A$2:$A106),"")</f>
        <v>105</v>
      </c>
      <c r="C106">
        <f>IF($A106=1,SUM($A$2:$A106),0)</f>
        <v>105</v>
      </c>
    </row>
    <row r="107" spans="1:3" x14ac:dyDescent="0.3">
      <c r="A107">
        <f>IF(AND(OR(Query!$B$4="All",'Compliance Database'!$A107=Query!$B$4),OR(Query!$B$5="All",'Compliance Database'!$F107=Query!$B$5),OR(Query!$B$6="All",ISNUMBER(SEARCH(Query!$B$6,'Compliance Database'!$I107))),OR(Query!$B$7="All",ISNUMBER(SEARCH(Query!$B$7,'Compliance Database'!$J107))),OR(Query!$B$8="All",'Compliance Database'!$G107=Query!$B$8),OR(Query!$B$9="All",'Compliance Database'!$K107=Query!$B$9),OR(Query!$B$10="",ISNUMBER(SEARCH(Query!$B$10,'Compliance Database'!$D107&amp;" "&amp;'Compliance Database'!$L107&amp;" "&amp;'Compliance Database'!$M107&amp;" "&amp;'Compliance Database'!$N107&amp;" "&amp;'Compliance Database'!$O107)))),1,0)</f>
        <v>1</v>
      </c>
      <c r="B107">
        <f>IF($A107=1,SUM($A$2:$A107),"")</f>
        <v>106</v>
      </c>
      <c r="C107">
        <f>IF($A107=1,SUM($A$2:$A107),0)</f>
        <v>106</v>
      </c>
    </row>
    <row r="108" spans="1:3" x14ac:dyDescent="0.3">
      <c r="A108">
        <f>IF(AND(OR(Query!$B$4="All",'Compliance Database'!$A108=Query!$B$4),OR(Query!$B$5="All",'Compliance Database'!$F108=Query!$B$5),OR(Query!$B$6="All",ISNUMBER(SEARCH(Query!$B$6,'Compliance Database'!$I108))),OR(Query!$B$7="All",ISNUMBER(SEARCH(Query!$B$7,'Compliance Database'!$J108))),OR(Query!$B$8="All",'Compliance Database'!$G108=Query!$B$8),OR(Query!$B$9="All",'Compliance Database'!$K108=Query!$B$9),OR(Query!$B$10="",ISNUMBER(SEARCH(Query!$B$10,'Compliance Database'!$D108&amp;" "&amp;'Compliance Database'!$L108&amp;" "&amp;'Compliance Database'!$M108&amp;" "&amp;'Compliance Database'!$N108&amp;" "&amp;'Compliance Database'!$O108)))),1,0)</f>
        <v>1</v>
      </c>
      <c r="B108">
        <f>IF($A108=1,SUM($A$2:$A108),"")</f>
        <v>107</v>
      </c>
      <c r="C108">
        <f>IF($A108=1,SUM($A$2:$A108),0)</f>
        <v>107</v>
      </c>
    </row>
    <row r="109" spans="1:3" x14ac:dyDescent="0.3">
      <c r="A109">
        <f>IF(AND(OR(Query!$B$4="All",'Compliance Database'!$A109=Query!$B$4),OR(Query!$B$5="All",'Compliance Database'!$F109=Query!$B$5),OR(Query!$B$6="All",ISNUMBER(SEARCH(Query!$B$6,'Compliance Database'!$I109))),OR(Query!$B$7="All",ISNUMBER(SEARCH(Query!$B$7,'Compliance Database'!$J109))),OR(Query!$B$8="All",'Compliance Database'!$G109=Query!$B$8),OR(Query!$B$9="All",'Compliance Database'!$K109=Query!$B$9),OR(Query!$B$10="",ISNUMBER(SEARCH(Query!$B$10,'Compliance Database'!$D109&amp;" "&amp;'Compliance Database'!$L109&amp;" "&amp;'Compliance Database'!$M109&amp;" "&amp;'Compliance Database'!$N109&amp;" "&amp;'Compliance Database'!$O109)))),1,0)</f>
        <v>1</v>
      </c>
      <c r="B109">
        <f>IF($A109=1,SUM($A$2:$A109),"")</f>
        <v>108</v>
      </c>
      <c r="C109">
        <f>IF($A109=1,SUM($A$2:$A109),0)</f>
        <v>108</v>
      </c>
    </row>
    <row r="110" spans="1:3" x14ac:dyDescent="0.3">
      <c r="A110">
        <f>IF(AND(OR(Query!$B$4="All",'Compliance Database'!$A110=Query!$B$4),OR(Query!$B$5="All",'Compliance Database'!$F110=Query!$B$5),OR(Query!$B$6="All",ISNUMBER(SEARCH(Query!$B$6,'Compliance Database'!$I110))),OR(Query!$B$7="All",ISNUMBER(SEARCH(Query!$B$7,'Compliance Database'!$J110))),OR(Query!$B$8="All",'Compliance Database'!$G110=Query!$B$8),OR(Query!$B$9="All",'Compliance Database'!$K110=Query!$B$9),OR(Query!$B$10="",ISNUMBER(SEARCH(Query!$B$10,'Compliance Database'!$D110&amp;" "&amp;'Compliance Database'!$L110&amp;" "&amp;'Compliance Database'!$M110&amp;" "&amp;'Compliance Database'!$N110&amp;" "&amp;'Compliance Database'!$O110)))),1,0)</f>
        <v>1</v>
      </c>
      <c r="B110">
        <f>IF($A110=1,SUM($A$2:$A110),"")</f>
        <v>109</v>
      </c>
      <c r="C110">
        <f>IF($A110=1,SUM($A$2:$A110),0)</f>
        <v>109</v>
      </c>
    </row>
    <row r="111" spans="1:3" x14ac:dyDescent="0.3">
      <c r="A111">
        <f>IF(AND(OR(Query!$B$4="All",'Compliance Database'!$A111=Query!$B$4),OR(Query!$B$5="All",'Compliance Database'!$F111=Query!$B$5),OR(Query!$B$6="All",ISNUMBER(SEARCH(Query!$B$6,'Compliance Database'!$I111))),OR(Query!$B$7="All",ISNUMBER(SEARCH(Query!$B$7,'Compliance Database'!$J111))),OR(Query!$B$8="All",'Compliance Database'!$G111=Query!$B$8),OR(Query!$B$9="All",'Compliance Database'!$K111=Query!$B$9),OR(Query!$B$10="",ISNUMBER(SEARCH(Query!$B$10,'Compliance Database'!$D111&amp;" "&amp;'Compliance Database'!$L111&amp;" "&amp;'Compliance Database'!$M111&amp;" "&amp;'Compliance Database'!$N111&amp;" "&amp;'Compliance Database'!$O111)))),1,0)</f>
        <v>1</v>
      </c>
      <c r="B111">
        <f>IF($A111=1,SUM($A$2:$A111),"")</f>
        <v>110</v>
      </c>
      <c r="C111">
        <f>IF($A111=1,SUM($A$2:$A111),0)</f>
        <v>110</v>
      </c>
    </row>
    <row r="112" spans="1:3" x14ac:dyDescent="0.3">
      <c r="A112">
        <f>IF(AND(OR(Query!$B$4="All",'Compliance Database'!$A112=Query!$B$4),OR(Query!$B$5="All",'Compliance Database'!$F112=Query!$B$5),OR(Query!$B$6="All",ISNUMBER(SEARCH(Query!$B$6,'Compliance Database'!$I112))),OR(Query!$B$7="All",ISNUMBER(SEARCH(Query!$B$7,'Compliance Database'!$J112))),OR(Query!$B$8="All",'Compliance Database'!$G112=Query!$B$8),OR(Query!$B$9="All",'Compliance Database'!$K112=Query!$B$9),OR(Query!$B$10="",ISNUMBER(SEARCH(Query!$B$10,'Compliance Database'!$D112&amp;" "&amp;'Compliance Database'!$L112&amp;" "&amp;'Compliance Database'!$M112&amp;" "&amp;'Compliance Database'!$N112&amp;" "&amp;'Compliance Database'!$O112)))),1,0)</f>
        <v>1</v>
      </c>
      <c r="B112">
        <f>IF($A112=1,SUM($A$2:$A112),"")</f>
        <v>111</v>
      </c>
      <c r="C112">
        <f>IF($A112=1,SUM($A$2:$A112),0)</f>
        <v>111</v>
      </c>
    </row>
    <row r="113" spans="1:3" x14ac:dyDescent="0.3">
      <c r="A113">
        <f>IF(AND(OR(Query!$B$4="All",'Compliance Database'!$A113=Query!$B$4),OR(Query!$B$5="All",'Compliance Database'!$F113=Query!$B$5),OR(Query!$B$6="All",ISNUMBER(SEARCH(Query!$B$6,'Compliance Database'!$I113))),OR(Query!$B$7="All",ISNUMBER(SEARCH(Query!$B$7,'Compliance Database'!$J113))),OR(Query!$B$8="All",'Compliance Database'!$G113=Query!$B$8),OR(Query!$B$9="All",'Compliance Database'!$K113=Query!$B$9),OR(Query!$B$10="",ISNUMBER(SEARCH(Query!$B$10,'Compliance Database'!$D113&amp;" "&amp;'Compliance Database'!$L113&amp;" "&amp;'Compliance Database'!$M113&amp;" "&amp;'Compliance Database'!$N113&amp;" "&amp;'Compliance Database'!$O113)))),1,0)</f>
        <v>1</v>
      </c>
      <c r="B113">
        <f>IF($A113=1,SUM($A$2:$A113),"")</f>
        <v>112</v>
      </c>
      <c r="C113">
        <f>IF($A113=1,SUM($A$2:$A113),0)</f>
        <v>112</v>
      </c>
    </row>
    <row r="114" spans="1:3" x14ac:dyDescent="0.3">
      <c r="A114">
        <f>IF(AND(OR(Query!$B$4="All",'Compliance Database'!$A114=Query!$B$4),OR(Query!$B$5="All",'Compliance Database'!$F114=Query!$B$5),OR(Query!$B$6="All",ISNUMBER(SEARCH(Query!$B$6,'Compliance Database'!$I114))),OR(Query!$B$7="All",ISNUMBER(SEARCH(Query!$B$7,'Compliance Database'!$J114))),OR(Query!$B$8="All",'Compliance Database'!$G114=Query!$B$8),OR(Query!$B$9="All",'Compliance Database'!$K114=Query!$B$9),OR(Query!$B$10="",ISNUMBER(SEARCH(Query!$B$10,'Compliance Database'!$D114&amp;" "&amp;'Compliance Database'!$L114&amp;" "&amp;'Compliance Database'!$M114&amp;" "&amp;'Compliance Database'!$N114&amp;" "&amp;'Compliance Database'!$O114)))),1,0)</f>
        <v>1</v>
      </c>
      <c r="B114">
        <f>IF($A114=1,SUM($A$2:$A114),"")</f>
        <v>113</v>
      </c>
      <c r="C114">
        <f>IF($A114=1,SUM($A$2:$A114),0)</f>
        <v>113</v>
      </c>
    </row>
    <row r="115" spans="1:3" x14ac:dyDescent="0.3">
      <c r="A115">
        <f>IF(AND(OR(Query!$B$4="All",'Compliance Database'!$A115=Query!$B$4),OR(Query!$B$5="All",'Compliance Database'!$F115=Query!$B$5),OR(Query!$B$6="All",ISNUMBER(SEARCH(Query!$B$6,'Compliance Database'!$I115))),OR(Query!$B$7="All",ISNUMBER(SEARCH(Query!$B$7,'Compliance Database'!$J115))),OR(Query!$B$8="All",'Compliance Database'!$G115=Query!$B$8),OR(Query!$B$9="All",'Compliance Database'!$K115=Query!$B$9),OR(Query!$B$10="",ISNUMBER(SEARCH(Query!$B$10,'Compliance Database'!$D115&amp;" "&amp;'Compliance Database'!$L115&amp;" "&amp;'Compliance Database'!$M115&amp;" "&amp;'Compliance Database'!$N115&amp;" "&amp;'Compliance Database'!$O115)))),1,0)</f>
        <v>1</v>
      </c>
      <c r="B115">
        <f>IF($A115=1,SUM($A$2:$A115),"")</f>
        <v>114</v>
      </c>
      <c r="C115">
        <f>IF($A115=1,SUM($A$2:$A115),0)</f>
        <v>114</v>
      </c>
    </row>
    <row r="116" spans="1:3" x14ac:dyDescent="0.3">
      <c r="A116">
        <f>IF(AND(OR(Query!$B$4="All",'Compliance Database'!$A116=Query!$B$4),OR(Query!$B$5="All",'Compliance Database'!$F116=Query!$B$5),OR(Query!$B$6="All",ISNUMBER(SEARCH(Query!$B$6,'Compliance Database'!$I116))),OR(Query!$B$7="All",ISNUMBER(SEARCH(Query!$B$7,'Compliance Database'!$J116))),OR(Query!$B$8="All",'Compliance Database'!$G116=Query!$B$8),OR(Query!$B$9="All",'Compliance Database'!$K116=Query!$B$9),OR(Query!$B$10="",ISNUMBER(SEARCH(Query!$B$10,'Compliance Database'!$D116&amp;" "&amp;'Compliance Database'!$L116&amp;" "&amp;'Compliance Database'!$M116&amp;" "&amp;'Compliance Database'!$N116&amp;" "&amp;'Compliance Database'!$O116)))),1,0)</f>
        <v>1</v>
      </c>
      <c r="B116">
        <f>IF($A116=1,SUM($A$2:$A116),"")</f>
        <v>115</v>
      </c>
      <c r="C116">
        <f>IF($A116=1,SUM($A$2:$A116),0)</f>
        <v>115</v>
      </c>
    </row>
    <row r="117" spans="1:3" x14ac:dyDescent="0.3">
      <c r="A117">
        <f>IF(AND(OR(Query!$B$4="All",'Compliance Database'!$A117=Query!$B$4),OR(Query!$B$5="All",'Compliance Database'!$F117=Query!$B$5),OR(Query!$B$6="All",ISNUMBER(SEARCH(Query!$B$6,'Compliance Database'!$I117))),OR(Query!$B$7="All",ISNUMBER(SEARCH(Query!$B$7,'Compliance Database'!$J117))),OR(Query!$B$8="All",'Compliance Database'!$G117=Query!$B$8),OR(Query!$B$9="All",'Compliance Database'!$K117=Query!$B$9),OR(Query!$B$10="",ISNUMBER(SEARCH(Query!$B$10,'Compliance Database'!$D117&amp;" "&amp;'Compliance Database'!$L117&amp;" "&amp;'Compliance Database'!$M117&amp;" "&amp;'Compliance Database'!$N117&amp;" "&amp;'Compliance Database'!$O117)))),1,0)</f>
        <v>1</v>
      </c>
      <c r="B117">
        <f>IF($A117=1,SUM($A$2:$A117),"")</f>
        <v>116</v>
      </c>
      <c r="C117">
        <f>IF($A117=1,SUM($A$2:$A117),0)</f>
        <v>116</v>
      </c>
    </row>
    <row r="118" spans="1:3" x14ac:dyDescent="0.3">
      <c r="A118">
        <f>IF(AND(OR(Query!$B$4="All",'Compliance Database'!$A118=Query!$B$4),OR(Query!$B$5="All",'Compliance Database'!$F118=Query!$B$5),OR(Query!$B$6="All",ISNUMBER(SEARCH(Query!$B$6,'Compliance Database'!$I118))),OR(Query!$B$7="All",ISNUMBER(SEARCH(Query!$B$7,'Compliance Database'!$J118))),OR(Query!$B$8="All",'Compliance Database'!$G118=Query!$B$8),OR(Query!$B$9="All",'Compliance Database'!$K118=Query!$B$9),OR(Query!$B$10="",ISNUMBER(SEARCH(Query!$B$10,'Compliance Database'!$D118&amp;" "&amp;'Compliance Database'!$L118&amp;" "&amp;'Compliance Database'!$M118&amp;" "&amp;'Compliance Database'!$N118&amp;" "&amp;'Compliance Database'!$O118)))),1,0)</f>
        <v>1</v>
      </c>
      <c r="B118">
        <f>IF($A118=1,SUM($A$2:$A118),"")</f>
        <v>117</v>
      </c>
      <c r="C118">
        <f>IF($A118=1,SUM($A$2:$A118),0)</f>
        <v>117</v>
      </c>
    </row>
    <row r="119" spans="1:3" x14ac:dyDescent="0.3">
      <c r="A119">
        <f>IF(AND(OR(Query!$B$4="All",'Compliance Database'!$A119=Query!$B$4),OR(Query!$B$5="All",'Compliance Database'!$F119=Query!$B$5),OR(Query!$B$6="All",ISNUMBER(SEARCH(Query!$B$6,'Compliance Database'!$I119))),OR(Query!$B$7="All",ISNUMBER(SEARCH(Query!$B$7,'Compliance Database'!$J119))),OR(Query!$B$8="All",'Compliance Database'!$G119=Query!$B$8),OR(Query!$B$9="All",'Compliance Database'!$K119=Query!$B$9),OR(Query!$B$10="",ISNUMBER(SEARCH(Query!$B$10,'Compliance Database'!$D119&amp;" "&amp;'Compliance Database'!$L119&amp;" "&amp;'Compliance Database'!$M119&amp;" "&amp;'Compliance Database'!$N119&amp;" "&amp;'Compliance Database'!$O119)))),1,0)</f>
        <v>1</v>
      </c>
      <c r="B119">
        <f>IF($A119=1,SUM($A$2:$A119),"")</f>
        <v>118</v>
      </c>
      <c r="C119">
        <f>IF($A119=1,SUM($A$2:$A119),0)</f>
        <v>118</v>
      </c>
    </row>
    <row r="120" spans="1:3" x14ac:dyDescent="0.3">
      <c r="A120">
        <f>IF(AND(OR(Query!$B$4="All",'Compliance Database'!$A120=Query!$B$4),OR(Query!$B$5="All",'Compliance Database'!$F120=Query!$B$5),OR(Query!$B$6="All",ISNUMBER(SEARCH(Query!$B$6,'Compliance Database'!$I120))),OR(Query!$B$7="All",ISNUMBER(SEARCH(Query!$B$7,'Compliance Database'!$J120))),OR(Query!$B$8="All",'Compliance Database'!$G120=Query!$B$8),OR(Query!$B$9="All",'Compliance Database'!$K120=Query!$B$9),OR(Query!$B$10="",ISNUMBER(SEARCH(Query!$B$10,'Compliance Database'!$D120&amp;" "&amp;'Compliance Database'!$L120&amp;" "&amp;'Compliance Database'!$M120&amp;" "&amp;'Compliance Database'!$N120&amp;" "&amp;'Compliance Database'!$O120)))),1,0)</f>
        <v>1</v>
      </c>
      <c r="B120">
        <f>IF($A120=1,SUM($A$2:$A120),"")</f>
        <v>119</v>
      </c>
      <c r="C120">
        <f>IF($A120=1,SUM($A$2:$A120),0)</f>
        <v>119</v>
      </c>
    </row>
    <row r="121" spans="1:3" x14ac:dyDescent="0.3">
      <c r="A121">
        <f>IF(AND(OR(Query!$B$4="All",'Compliance Database'!$A121=Query!$B$4),OR(Query!$B$5="All",'Compliance Database'!$F121=Query!$B$5),OR(Query!$B$6="All",ISNUMBER(SEARCH(Query!$B$6,'Compliance Database'!$I121))),OR(Query!$B$7="All",ISNUMBER(SEARCH(Query!$B$7,'Compliance Database'!$J121))),OR(Query!$B$8="All",'Compliance Database'!$G121=Query!$B$8),OR(Query!$B$9="All",'Compliance Database'!$K121=Query!$B$9),OR(Query!$B$10="",ISNUMBER(SEARCH(Query!$B$10,'Compliance Database'!$D121&amp;" "&amp;'Compliance Database'!$L121&amp;" "&amp;'Compliance Database'!$M121&amp;" "&amp;'Compliance Database'!$N121&amp;" "&amp;'Compliance Database'!$O121)))),1,0)</f>
        <v>1</v>
      </c>
      <c r="B121">
        <f>IF($A121=1,SUM($A$2:$A121),"")</f>
        <v>120</v>
      </c>
      <c r="C121">
        <f>IF($A121=1,SUM($A$2:$A121),0)</f>
        <v>120</v>
      </c>
    </row>
    <row r="122" spans="1:3" x14ac:dyDescent="0.3">
      <c r="A122">
        <f>IF(AND(OR(Query!$B$4="All",'Compliance Database'!$A122=Query!$B$4),OR(Query!$B$5="All",'Compliance Database'!$F122=Query!$B$5),OR(Query!$B$6="All",ISNUMBER(SEARCH(Query!$B$6,'Compliance Database'!$I122))),OR(Query!$B$7="All",ISNUMBER(SEARCH(Query!$B$7,'Compliance Database'!$J122))),OR(Query!$B$8="All",'Compliance Database'!$G122=Query!$B$8),OR(Query!$B$9="All",'Compliance Database'!$K122=Query!$B$9),OR(Query!$B$10="",ISNUMBER(SEARCH(Query!$B$10,'Compliance Database'!$D122&amp;" "&amp;'Compliance Database'!$L122&amp;" "&amp;'Compliance Database'!$M122&amp;" "&amp;'Compliance Database'!$N122&amp;" "&amp;'Compliance Database'!$O122)))),1,0)</f>
        <v>1</v>
      </c>
      <c r="B122">
        <f>IF($A122=1,SUM($A$2:$A122),"")</f>
        <v>121</v>
      </c>
      <c r="C122">
        <f>IF($A122=1,SUM($A$2:$A122),0)</f>
        <v>121</v>
      </c>
    </row>
    <row r="123" spans="1:3" x14ac:dyDescent="0.3">
      <c r="A123">
        <f>IF(AND(OR(Query!$B$4="All",'Compliance Database'!$A123=Query!$B$4),OR(Query!$B$5="All",'Compliance Database'!$F123=Query!$B$5),OR(Query!$B$6="All",ISNUMBER(SEARCH(Query!$B$6,'Compliance Database'!$I123))),OR(Query!$B$7="All",ISNUMBER(SEARCH(Query!$B$7,'Compliance Database'!$J123))),OR(Query!$B$8="All",'Compliance Database'!$G123=Query!$B$8),OR(Query!$B$9="All",'Compliance Database'!$K123=Query!$B$9),OR(Query!$B$10="",ISNUMBER(SEARCH(Query!$B$10,'Compliance Database'!$D123&amp;" "&amp;'Compliance Database'!$L123&amp;" "&amp;'Compliance Database'!$M123&amp;" "&amp;'Compliance Database'!$N123&amp;" "&amp;'Compliance Database'!$O123)))),1,0)</f>
        <v>1</v>
      </c>
      <c r="B123">
        <f>IF($A123=1,SUM($A$2:$A123),"")</f>
        <v>122</v>
      </c>
      <c r="C123">
        <f>IF($A123=1,SUM($A$2:$A123),0)</f>
        <v>122</v>
      </c>
    </row>
    <row r="124" spans="1:3" x14ac:dyDescent="0.3">
      <c r="A124">
        <f>IF(AND(OR(Query!$B$4="All",'Compliance Database'!$A124=Query!$B$4),OR(Query!$B$5="All",'Compliance Database'!$F124=Query!$B$5),OR(Query!$B$6="All",ISNUMBER(SEARCH(Query!$B$6,'Compliance Database'!$I124))),OR(Query!$B$7="All",ISNUMBER(SEARCH(Query!$B$7,'Compliance Database'!$J124))),OR(Query!$B$8="All",'Compliance Database'!$G124=Query!$B$8),OR(Query!$B$9="All",'Compliance Database'!$K124=Query!$B$9),OR(Query!$B$10="",ISNUMBER(SEARCH(Query!$B$10,'Compliance Database'!$D124&amp;" "&amp;'Compliance Database'!$L124&amp;" "&amp;'Compliance Database'!$M124&amp;" "&amp;'Compliance Database'!$N124&amp;" "&amp;'Compliance Database'!$O124)))),1,0)</f>
        <v>1</v>
      </c>
      <c r="B124">
        <f>IF($A124=1,SUM($A$2:$A124),"")</f>
        <v>123</v>
      </c>
      <c r="C124">
        <f>IF($A124=1,SUM($A$2:$A124),0)</f>
        <v>123</v>
      </c>
    </row>
    <row r="125" spans="1:3" x14ac:dyDescent="0.3">
      <c r="A125">
        <f>IF(AND(OR(Query!$B$4="All",'Compliance Database'!$A125=Query!$B$4),OR(Query!$B$5="All",'Compliance Database'!$F125=Query!$B$5),OR(Query!$B$6="All",ISNUMBER(SEARCH(Query!$B$6,'Compliance Database'!$I125))),OR(Query!$B$7="All",ISNUMBER(SEARCH(Query!$B$7,'Compliance Database'!$J125))),OR(Query!$B$8="All",'Compliance Database'!$G125=Query!$B$8),OR(Query!$B$9="All",'Compliance Database'!$K125=Query!$B$9),OR(Query!$B$10="",ISNUMBER(SEARCH(Query!$B$10,'Compliance Database'!$D125&amp;" "&amp;'Compliance Database'!$L125&amp;" "&amp;'Compliance Database'!$M125&amp;" "&amp;'Compliance Database'!$N125&amp;" "&amp;'Compliance Database'!$O125)))),1,0)</f>
        <v>1</v>
      </c>
      <c r="B125">
        <f>IF($A125=1,SUM($A$2:$A125),"")</f>
        <v>124</v>
      </c>
      <c r="C125">
        <f>IF($A125=1,SUM($A$2:$A125),0)</f>
        <v>124</v>
      </c>
    </row>
    <row r="126" spans="1:3" x14ac:dyDescent="0.3">
      <c r="A126">
        <f>IF(AND(OR(Query!$B$4="All",'Compliance Database'!$A126=Query!$B$4),OR(Query!$B$5="All",'Compliance Database'!$F126=Query!$B$5),OR(Query!$B$6="All",ISNUMBER(SEARCH(Query!$B$6,'Compliance Database'!$I126))),OR(Query!$B$7="All",ISNUMBER(SEARCH(Query!$B$7,'Compliance Database'!$J126))),OR(Query!$B$8="All",'Compliance Database'!$G126=Query!$B$8),OR(Query!$B$9="All",'Compliance Database'!$K126=Query!$B$9),OR(Query!$B$10="",ISNUMBER(SEARCH(Query!$B$10,'Compliance Database'!$D126&amp;" "&amp;'Compliance Database'!$L126&amp;" "&amp;'Compliance Database'!$M126&amp;" "&amp;'Compliance Database'!$N126&amp;" "&amp;'Compliance Database'!$O126)))),1,0)</f>
        <v>1</v>
      </c>
      <c r="B126">
        <f>IF($A126=1,SUM($A$2:$A126),"")</f>
        <v>125</v>
      </c>
      <c r="C126">
        <f>IF($A126=1,SUM($A$2:$A126),0)</f>
        <v>125</v>
      </c>
    </row>
    <row r="127" spans="1:3" x14ac:dyDescent="0.3">
      <c r="A127">
        <f>IF(AND(OR(Query!$B$4="All",'Compliance Database'!$A127=Query!$B$4),OR(Query!$B$5="All",'Compliance Database'!$F127=Query!$B$5),OR(Query!$B$6="All",ISNUMBER(SEARCH(Query!$B$6,'Compliance Database'!$I127))),OR(Query!$B$7="All",ISNUMBER(SEARCH(Query!$B$7,'Compliance Database'!$J127))),OR(Query!$B$8="All",'Compliance Database'!$G127=Query!$B$8),OR(Query!$B$9="All",'Compliance Database'!$K127=Query!$B$9),OR(Query!$B$10="",ISNUMBER(SEARCH(Query!$B$10,'Compliance Database'!$D127&amp;" "&amp;'Compliance Database'!$L127&amp;" "&amp;'Compliance Database'!$M127&amp;" "&amp;'Compliance Database'!$N127&amp;" "&amp;'Compliance Database'!$O127)))),1,0)</f>
        <v>1</v>
      </c>
      <c r="B127">
        <f>IF($A127=1,SUM($A$2:$A127),"")</f>
        <v>126</v>
      </c>
      <c r="C127">
        <f>IF($A127=1,SUM($A$2:$A127),0)</f>
        <v>126</v>
      </c>
    </row>
    <row r="128" spans="1:3" x14ac:dyDescent="0.3">
      <c r="A128">
        <f>IF(AND(OR(Query!$B$4="All",'Compliance Database'!$A128=Query!$B$4),OR(Query!$B$5="All",'Compliance Database'!$F128=Query!$B$5),OR(Query!$B$6="All",ISNUMBER(SEARCH(Query!$B$6,'Compliance Database'!$I128))),OR(Query!$B$7="All",ISNUMBER(SEARCH(Query!$B$7,'Compliance Database'!$J128))),OR(Query!$B$8="All",'Compliance Database'!$G128=Query!$B$8),OR(Query!$B$9="All",'Compliance Database'!$K128=Query!$B$9),OR(Query!$B$10="",ISNUMBER(SEARCH(Query!$B$10,'Compliance Database'!$D128&amp;" "&amp;'Compliance Database'!$L128&amp;" "&amp;'Compliance Database'!$M128&amp;" "&amp;'Compliance Database'!$N128&amp;" "&amp;'Compliance Database'!$O128)))),1,0)</f>
        <v>1</v>
      </c>
      <c r="B128">
        <f>IF($A128=1,SUM($A$2:$A128),"")</f>
        <v>127</v>
      </c>
      <c r="C128">
        <f>IF($A128=1,SUM($A$2:$A128),0)</f>
        <v>127</v>
      </c>
    </row>
    <row r="129" spans="1:3" x14ac:dyDescent="0.3">
      <c r="A129">
        <f>IF(AND(OR(Query!$B$4="All",'Compliance Database'!$A129=Query!$B$4),OR(Query!$B$5="All",'Compliance Database'!$F129=Query!$B$5),OR(Query!$B$6="All",ISNUMBER(SEARCH(Query!$B$6,'Compliance Database'!$I129))),OR(Query!$B$7="All",ISNUMBER(SEARCH(Query!$B$7,'Compliance Database'!$J129))),OR(Query!$B$8="All",'Compliance Database'!$G129=Query!$B$8),OR(Query!$B$9="All",'Compliance Database'!$K129=Query!$B$9),OR(Query!$B$10="",ISNUMBER(SEARCH(Query!$B$10,'Compliance Database'!$D129&amp;" "&amp;'Compliance Database'!$L129&amp;" "&amp;'Compliance Database'!$M129&amp;" "&amp;'Compliance Database'!$N129&amp;" "&amp;'Compliance Database'!$O129)))),1,0)</f>
        <v>1</v>
      </c>
      <c r="B129">
        <f>IF($A129=1,SUM($A$2:$A129),"")</f>
        <v>128</v>
      </c>
      <c r="C129">
        <f>IF($A129=1,SUM($A$2:$A129),0)</f>
        <v>128</v>
      </c>
    </row>
    <row r="130" spans="1:3" x14ac:dyDescent="0.3">
      <c r="A130">
        <f>IF(AND(OR(Query!$B$4="All",'Compliance Database'!$A130=Query!$B$4),OR(Query!$B$5="All",'Compliance Database'!$F130=Query!$B$5),OR(Query!$B$6="All",ISNUMBER(SEARCH(Query!$B$6,'Compliance Database'!$I130))),OR(Query!$B$7="All",ISNUMBER(SEARCH(Query!$B$7,'Compliance Database'!$J130))),OR(Query!$B$8="All",'Compliance Database'!$G130=Query!$B$8),OR(Query!$B$9="All",'Compliance Database'!$K130=Query!$B$9),OR(Query!$B$10="",ISNUMBER(SEARCH(Query!$B$10,'Compliance Database'!$D130&amp;" "&amp;'Compliance Database'!$L130&amp;" "&amp;'Compliance Database'!$M130&amp;" "&amp;'Compliance Database'!$N130&amp;" "&amp;'Compliance Database'!$O130)))),1,0)</f>
        <v>1</v>
      </c>
      <c r="B130">
        <f>IF($A130=1,SUM($A$2:$A130),"")</f>
        <v>129</v>
      </c>
      <c r="C130">
        <f>IF($A130=1,SUM($A$2:$A130),0)</f>
        <v>129</v>
      </c>
    </row>
    <row r="131" spans="1:3" x14ac:dyDescent="0.3">
      <c r="A131">
        <f>IF(AND(OR(Query!$B$4="All",'Compliance Database'!$A131=Query!$B$4),OR(Query!$B$5="All",'Compliance Database'!$F131=Query!$B$5),OR(Query!$B$6="All",ISNUMBER(SEARCH(Query!$B$6,'Compliance Database'!$I131))),OR(Query!$B$7="All",ISNUMBER(SEARCH(Query!$B$7,'Compliance Database'!$J131))),OR(Query!$B$8="All",'Compliance Database'!$G131=Query!$B$8),OR(Query!$B$9="All",'Compliance Database'!$K131=Query!$B$9),OR(Query!$B$10="",ISNUMBER(SEARCH(Query!$B$10,'Compliance Database'!$D131&amp;" "&amp;'Compliance Database'!$L131&amp;" "&amp;'Compliance Database'!$M131&amp;" "&amp;'Compliance Database'!$N131&amp;" "&amp;'Compliance Database'!$O131)))),1,0)</f>
        <v>1</v>
      </c>
      <c r="B131">
        <f>IF($A131=1,SUM($A$2:$A131),"")</f>
        <v>130</v>
      </c>
      <c r="C131">
        <f>IF($A131=1,SUM($A$2:$A131),0)</f>
        <v>130</v>
      </c>
    </row>
    <row r="132" spans="1:3" x14ac:dyDescent="0.3">
      <c r="A132">
        <f>IF(AND(OR(Query!$B$4="All",'Compliance Database'!$A132=Query!$B$4),OR(Query!$B$5="All",'Compliance Database'!$F132=Query!$B$5),OR(Query!$B$6="All",ISNUMBER(SEARCH(Query!$B$6,'Compliance Database'!$I132))),OR(Query!$B$7="All",ISNUMBER(SEARCH(Query!$B$7,'Compliance Database'!$J132))),OR(Query!$B$8="All",'Compliance Database'!$G132=Query!$B$8),OR(Query!$B$9="All",'Compliance Database'!$K132=Query!$B$9),OR(Query!$B$10="",ISNUMBER(SEARCH(Query!$B$10,'Compliance Database'!$D132&amp;" "&amp;'Compliance Database'!$L132&amp;" "&amp;'Compliance Database'!$M132&amp;" "&amp;'Compliance Database'!$N132&amp;" "&amp;'Compliance Database'!$O132)))),1,0)</f>
        <v>1</v>
      </c>
      <c r="B132">
        <f>IF($A132=1,SUM($A$2:$A132),"")</f>
        <v>131</v>
      </c>
      <c r="C132">
        <f>IF($A132=1,SUM($A$2:$A132),0)</f>
        <v>131</v>
      </c>
    </row>
    <row r="133" spans="1:3" x14ac:dyDescent="0.3">
      <c r="A133">
        <f>IF(AND(OR(Query!$B$4="All",'Compliance Database'!$A133=Query!$B$4),OR(Query!$B$5="All",'Compliance Database'!$F133=Query!$B$5),OR(Query!$B$6="All",ISNUMBER(SEARCH(Query!$B$6,'Compliance Database'!$I133))),OR(Query!$B$7="All",ISNUMBER(SEARCH(Query!$B$7,'Compliance Database'!$J133))),OR(Query!$B$8="All",'Compliance Database'!$G133=Query!$B$8),OR(Query!$B$9="All",'Compliance Database'!$K133=Query!$B$9),OR(Query!$B$10="",ISNUMBER(SEARCH(Query!$B$10,'Compliance Database'!$D133&amp;" "&amp;'Compliance Database'!$L133&amp;" "&amp;'Compliance Database'!$M133&amp;" "&amp;'Compliance Database'!$N133&amp;" "&amp;'Compliance Database'!$O133)))),1,0)</f>
        <v>1</v>
      </c>
      <c r="B133">
        <f>IF($A133=1,SUM($A$2:$A133),"")</f>
        <v>132</v>
      </c>
      <c r="C133">
        <f>IF($A133=1,SUM($A$2:$A133),0)</f>
        <v>132</v>
      </c>
    </row>
    <row r="134" spans="1:3" x14ac:dyDescent="0.3">
      <c r="A134">
        <f>IF(AND(OR(Query!$B$4="All",'Compliance Database'!$A134=Query!$B$4),OR(Query!$B$5="All",'Compliance Database'!$F134=Query!$B$5),OR(Query!$B$6="All",ISNUMBER(SEARCH(Query!$B$6,'Compliance Database'!$I134))),OR(Query!$B$7="All",ISNUMBER(SEARCH(Query!$B$7,'Compliance Database'!$J134))),OR(Query!$B$8="All",'Compliance Database'!$G134=Query!$B$8),OR(Query!$B$9="All",'Compliance Database'!$K134=Query!$B$9),OR(Query!$B$10="",ISNUMBER(SEARCH(Query!$B$10,'Compliance Database'!$D134&amp;" "&amp;'Compliance Database'!$L134&amp;" "&amp;'Compliance Database'!$M134&amp;" "&amp;'Compliance Database'!$N134&amp;" "&amp;'Compliance Database'!$O134)))),1,0)</f>
        <v>1</v>
      </c>
      <c r="B134">
        <f>IF($A134=1,SUM($A$2:$A134),"")</f>
        <v>133</v>
      </c>
      <c r="C134">
        <f>IF($A134=1,SUM($A$2:$A134),0)</f>
        <v>133</v>
      </c>
    </row>
    <row r="135" spans="1:3" x14ac:dyDescent="0.3">
      <c r="A135">
        <f>IF(AND(OR(Query!$B$4="All",'Compliance Database'!$A135=Query!$B$4),OR(Query!$B$5="All",'Compliance Database'!$F135=Query!$B$5),OR(Query!$B$6="All",ISNUMBER(SEARCH(Query!$B$6,'Compliance Database'!$I135))),OR(Query!$B$7="All",ISNUMBER(SEARCH(Query!$B$7,'Compliance Database'!$J135))),OR(Query!$B$8="All",'Compliance Database'!$G135=Query!$B$8),OR(Query!$B$9="All",'Compliance Database'!$K135=Query!$B$9),OR(Query!$B$10="",ISNUMBER(SEARCH(Query!$B$10,'Compliance Database'!$D135&amp;" "&amp;'Compliance Database'!$L135&amp;" "&amp;'Compliance Database'!$M135&amp;" "&amp;'Compliance Database'!$N135&amp;" "&amp;'Compliance Database'!$O135)))),1,0)</f>
        <v>1</v>
      </c>
      <c r="B135">
        <f>IF($A135=1,SUM($A$2:$A135),"")</f>
        <v>134</v>
      </c>
      <c r="C135">
        <f>IF($A135=1,SUM($A$2:$A135),0)</f>
        <v>134</v>
      </c>
    </row>
    <row r="136" spans="1:3" x14ac:dyDescent="0.3">
      <c r="A136">
        <f>IF(AND(OR(Query!$B$4="All",'Compliance Database'!$A136=Query!$B$4),OR(Query!$B$5="All",'Compliance Database'!$F136=Query!$B$5),OR(Query!$B$6="All",ISNUMBER(SEARCH(Query!$B$6,'Compliance Database'!$I136))),OR(Query!$B$7="All",ISNUMBER(SEARCH(Query!$B$7,'Compliance Database'!$J136))),OR(Query!$B$8="All",'Compliance Database'!$G136=Query!$B$8),OR(Query!$B$9="All",'Compliance Database'!$K136=Query!$B$9),OR(Query!$B$10="",ISNUMBER(SEARCH(Query!$B$10,'Compliance Database'!$D136&amp;" "&amp;'Compliance Database'!$L136&amp;" "&amp;'Compliance Database'!$M136&amp;" "&amp;'Compliance Database'!$N136&amp;" "&amp;'Compliance Database'!$O136)))),1,0)</f>
        <v>1</v>
      </c>
      <c r="B136">
        <f>IF($A136=1,SUM($A$2:$A136),"")</f>
        <v>135</v>
      </c>
      <c r="C136">
        <f>IF($A136=1,SUM($A$2:$A136),0)</f>
        <v>135</v>
      </c>
    </row>
    <row r="137" spans="1:3" x14ac:dyDescent="0.3">
      <c r="A137">
        <f>IF(AND(OR(Query!$B$4="All",'Compliance Database'!$A137=Query!$B$4),OR(Query!$B$5="All",'Compliance Database'!$F137=Query!$B$5),OR(Query!$B$6="All",ISNUMBER(SEARCH(Query!$B$6,'Compliance Database'!$I137))),OR(Query!$B$7="All",ISNUMBER(SEARCH(Query!$B$7,'Compliance Database'!$J137))),OR(Query!$B$8="All",'Compliance Database'!$G137=Query!$B$8),OR(Query!$B$9="All",'Compliance Database'!$K137=Query!$B$9),OR(Query!$B$10="",ISNUMBER(SEARCH(Query!$B$10,'Compliance Database'!$D137&amp;" "&amp;'Compliance Database'!$L137&amp;" "&amp;'Compliance Database'!$M137&amp;" "&amp;'Compliance Database'!$N137&amp;" "&amp;'Compliance Database'!$O137)))),1,0)</f>
        <v>1</v>
      </c>
      <c r="B137">
        <f>IF($A137=1,SUM($A$2:$A137),"")</f>
        <v>136</v>
      </c>
      <c r="C137">
        <f>IF($A137=1,SUM($A$2:$A137),0)</f>
        <v>136</v>
      </c>
    </row>
    <row r="138" spans="1:3" x14ac:dyDescent="0.3">
      <c r="A138">
        <f>IF(AND(OR(Query!$B$4="All",'Compliance Database'!$A138=Query!$B$4),OR(Query!$B$5="All",'Compliance Database'!$F138=Query!$B$5),OR(Query!$B$6="All",ISNUMBER(SEARCH(Query!$B$6,'Compliance Database'!$I138))),OR(Query!$B$7="All",ISNUMBER(SEARCH(Query!$B$7,'Compliance Database'!$J138))),OR(Query!$B$8="All",'Compliance Database'!$G138=Query!$B$8),OR(Query!$B$9="All",'Compliance Database'!$K138=Query!$B$9),OR(Query!$B$10="",ISNUMBER(SEARCH(Query!$B$10,'Compliance Database'!$D138&amp;" "&amp;'Compliance Database'!$L138&amp;" "&amp;'Compliance Database'!$M138&amp;" "&amp;'Compliance Database'!$N138&amp;" "&amp;'Compliance Database'!$O138)))),1,0)</f>
        <v>1</v>
      </c>
      <c r="B138">
        <f>IF($A138=1,SUM($A$2:$A138),"")</f>
        <v>137</v>
      </c>
      <c r="C138">
        <f>IF($A138=1,SUM($A$2:$A138),0)</f>
        <v>137</v>
      </c>
    </row>
    <row r="139" spans="1:3" x14ac:dyDescent="0.3">
      <c r="A139">
        <f>IF(AND(OR(Query!$B$4="All",'Compliance Database'!$A139=Query!$B$4),OR(Query!$B$5="All",'Compliance Database'!$F139=Query!$B$5),OR(Query!$B$6="All",ISNUMBER(SEARCH(Query!$B$6,'Compliance Database'!$I139))),OR(Query!$B$7="All",ISNUMBER(SEARCH(Query!$B$7,'Compliance Database'!$J139))),OR(Query!$B$8="All",'Compliance Database'!$G139=Query!$B$8),OR(Query!$B$9="All",'Compliance Database'!$K139=Query!$B$9),OR(Query!$B$10="",ISNUMBER(SEARCH(Query!$B$10,'Compliance Database'!$D139&amp;" "&amp;'Compliance Database'!$L139&amp;" "&amp;'Compliance Database'!$M139&amp;" "&amp;'Compliance Database'!$N139&amp;" "&amp;'Compliance Database'!$O139)))),1,0)</f>
        <v>1</v>
      </c>
      <c r="B139">
        <f>IF($A139=1,SUM($A$2:$A139),"")</f>
        <v>138</v>
      </c>
      <c r="C139">
        <f>IF($A139=1,SUM($A$2:$A139),0)</f>
        <v>138</v>
      </c>
    </row>
    <row r="140" spans="1:3" x14ac:dyDescent="0.3">
      <c r="A140">
        <f>IF(AND(OR(Query!$B$4="All",'Compliance Database'!$A140=Query!$B$4),OR(Query!$B$5="All",'Compliance Database'!$F140=Query!$B$5),OR(Query!$B$6="All",ISNUMBER(SEARCH(Query!$B$6,'Compliance Database'!$I140))),OR(Query!$B$7="All",ISNUMBER(SEARCH(Query!$B$7,'Compliance Database'!$J140))),OR(Query!$B$8="All",'Compliance Database'!$G140=Query!$B$8),OR(Query!$B$9="All",'Compliance Database'!$K140=Query!$B$9),OR(Query!$B$10="",ISNUMBER(SEARCH(Query!$B$10,'Compliance Database'!$D140&amp;" "&amp;'Compliance Database'!$L140&amp;" "&amp;'Compliance Database'!$M140&amp;" "&amp;'Compliance Database'!$N140&amp;" "&amp;'Compliance Database'!$O140)))),1,0)</f>
        <v>1</v>
      </c>
      <c r="B140">
        <f>IF($A140=1,SUM($A$2:$A140),"")</f>
        <v>139</v>
      </c>
      <c r="C140">
        <f>IF($A140=1,SUM($A$2:$A140),0)</f>
        <v>139</v>
      </c>
    </row>
    <row r="141" spans="1:3" x14ac:dyDescent="0.3">
      <c r="A141">
        <f>IF(AND(OR(Query!$B$4="All",'Compliance Database'!$A141=Query!$B$4),OR(Query!$B$5="All",'Compliance Database'!$F141=Query!$B$5),OR(Query!$B$6="All",ISNUMBER(SEARCH(Query!$B$6,'Compliance Database'!$I141))),OR(Query!$B$7="All",ISNUMBER(SEARCH(Query!$B$7,'Compliance Database'!$J141))),OR(Query!$B$8="All",'Compliance Database'!$G141=Query!$B$8),OR(Query!$B$9="All",'Compliance Database'!$K141=Query!$B$9),OR(Query!$B$10="",ISNUMBER(SEARCH(Query!$B$10,'Compliance Database'!$D141&amp;" "&amp;'Compliance Database'!$L141&amp;" "&amp;'Compliance Database'!$M141&amp;" "&amp;'Compliance Database'!$N141&amp;" "&amp;'Compliance Database'!$O141)))),1,0)</f>
        <v>1</v>
      </c>
      <c r="B141">
        <f>IF($A141=1,SUM($A$2:$A141),"")</f>
        <v>140</v>
      </c>
      <c r="C141">
        <f>IF($A141=1,SUM($A$2:$A141),0)</f>
        <v>140</v>
      </c>
    </row>
    <row r="142" spans="1:3" x14ac:dyDescent="0.3">
      <c r="A142">
        <f>IF(AND(OR(Query!$B$4="All",'Compliance Database'!$A142=Query!$B$4),OR(Query!$B$5="All",'Compliance Database'!$F142=Query!$B$5),OR(Query!$B$6="All",ISNUMBER(SEARCH(Query!$B$6,'Compliance Database'!$I142))),OR(Query!$B$7="All",ISNUMBER(SEARCH(Query!$B$7,'Compliance Database'!$J142))),OR(Query!$B$8="All",'Compliance Database'!$G142=Query!$B$8),OR(Query!$B$9="All",'Compliance Database'!$K142=Query!$B$9),OR(Query!$B$10="",ISNUMBER(SEARCH(Query!$B$10,'Compliance Database'!$D142&amp;" "&amp;'Compliance Database'!$L142&amp;" "&amp;'Compliance Database'!$M142&amp;" "&amp;'Compliance Database'!$N142&amp;" "&amp;'Compliance Database'!$O142)))),1,0)</f>
        <v>1</v>
      </c>
      <c r="B142">
        <f>IF($A142=1,SUM($A$2:$A142),"")</f>
        <v>141</v>
      </c>
      <c r="C142">
        <f>IF($A142=1,SUM($A$2:$A142),0)</f>
        <v>141</v>
      </c>
    </row>
    <row r="143" spans="1:3" x14ac:dyDescent="0.3">
      <c r="A143">
        <f>IF(AND(OR(Query!$B$4="All",'Compliance Database'!$A143=Query!$B$4),OR(Query!$B$5="All",'Compliance Database'!$F143=Query!$B$5),OR(Query!$B$6="All",ISNUMBER(SEARCH(Query!$B$6,'Compliance Database'!$I143))),OR(Query!$B$7="All",ISNUMBER(SEARCH(Query!$B$7,'Compliance Database'!$J143))),OR(Query!$B$8="All",'Compliance Database'!$G143=Query!$B$8),OR(Query!$B$9="All",'Compliance Database'!$K143=Query!$B$9),OR(Query!$B$10="",ISNUMBER(SEARCH(Query!$B$10,'Compliance Database'!$D143&amp;" "&amp;'Compliance Database'!$L143&amp;" "&amp;'Compliance Database'!$M143&amp;" "&amp;'Compliance Database'!$N143&amp;" "&amp;'Compliance Database'!$O143)))),1,0)</f>
        <v>1</v>
      </c>
      <c r="B143">
        <f>IF($A143=1,SUM($A$2:$A143),"")</f>
        <v>142</v>
      </c>
      <c r="C143">
        <f>IF($A143=1,SUM($A$2:$A143),0)</f>
        <v>142</v>
      </c>
    </row>
    <row r="144" spans="1:3" x14ac:dyDescent="0.3">
      <c r="A144">
        <f>IF(AND(OR(Query!$B$4="All",'Compliance Database'!$A144=Query!$B$4),OR(Query!$B$5="All",'Compliance Database'!$F144=Query!$B$5),OR(Query!$B$6="All",ISNUMBER(SEARCH(Query!$B$6,'Compliance Database'!$I144))),OR(Query!$B$7="All",ISNUMBER(SEARCH(Query!$B$7,'Compliance Database'!$J144))),OR(Query!$B$8="All",'Compliance Database'!$G144=Query!$B$8),OR(Query!$B$9="All",'Compliance Database'!$K144=Query!$B$9),OR(Query!$B$10="",ISNUMBER(SEARCH(Query!$B$10,'Compliance Database'!$D144&amp;" "&amp;'Compliance Database'!$L144&amp;" "&amp;'Compliance Database'!$M144&amp;" "&amp;'Compliance Database'!$N144&amp;" "&amp;'Compliance Database'!$O144)))),1,0)</f>
        <v>1</v>
      </c>
      <c r="B144">
        <f>IF($A144=1,SUM($A$2:$A144),"")</f>
        <v>143</v>
      </c>
      <c r="C144">
        <f>IF($A144=1,SUM($A$2:$A144),0)</f>
        <v>143</v>
      </c>
    </row>
    <row r="145" spans="1:3" x14ac:dyDescent="0.3">
      <c r="A145">
        <f>IF(AND(OR(Query!$B$4="All",'Compliance Database'!$A145=Query!$B$4),OR(Query!$B$5="All",'Compliance Database'!$F145=Query!$B$5),OR(Query!$B$6="All",ISNUMBER(SEARCH(Query!$B$6,'Compliance Database'!$I145))),OR(Query!$B$7="All",ISNUMBER(SEARCH(Query!$B$7,'Compliance Database'!$J145))),OR(Query!$B$8="All",'Compliance Database'!$G145=Query!$B$8),OR(Query!$B$9="All",'Compliance Database'!$K145=Query!$B$9),OR(Query!$B$10="",ISNUMBER(SEARCH(Query!$B$10,'Compliance Database'!$D145&amp;" "&amp;'Compliance Database'!$L145&amp;" "&amp;'Compliance Database'!$M145&amp;" "&amp;'Compliance Database'!$N145&amp;" "&amp;'Compliance Database'!$O145)))),1,0)</f>
        <v>1</v>
      </c>
      <c r="B145">
        <f>IF($A145=1,SUM($A$2:$A145),"")</f>
        <v>144</v>
      </c>
      <c r="C145">
        <f>IF($A145=1,SUM($A$2:$A145),0)</f>
        <v>144</v>
      </c>
    </row>
    <row r="146" spans="1:3" x14ac:dyDescent="0.3">
      <c r="A146">
        <f>IF(AND(OR(Query!$B$4="All",'Compliance Database'!$A146=Query!$B$4),OR(Query!$B$5="All",'Compliance Database'!$F146=Query!$B$5),OR(Query!$B$6="All",ISNUMBER(SEARCH(Query!$B$6,'Compliance Database'!$I146))),OR(Query!$B$7="All",ISNUMBER(SEARCH(Query!$B$7,'Compliance Database'!$J146))),OR(Query!$B$8="All",'Compliance Database'!$G146=Query!$B$8),OR(Query!$B$9="All",'Compliance Database'!$K146=Query!$B$9),OR(Query!$B$10="",ISNUMBER(SEARCH(Query!$B$10,'Compliance Database'!$D146&amp;" "&amp;'Compliance Database'!$L146&amp;" "&amp;'Compliance Database'!$M146&amp;" "&amp;'Compliance Database'!$N146&amp;" "&amp;'Compliance Database'!$O146)))),1,0)</f>
        <v>1</v>
      </c>
      <c r="B146">
        <f>IF($A146=1,SUM($A$2:$A146),"")</f>
        <v>145</v>
      </c>
      <c r="C146">
        <f>IF($A146=1,SUM($A$2:$A146),0)</f>
        <v>145</v>
      </c>
    </row>
    <row r="147" spans="1:3" x14ac:dyDescent="0.3">
      <c r="A147">
        <f>IF(AND(OR(Query!$B$4="All",'Compliance Database'!$A147=Query!$B$4),OR(Query!$B$5="All",'Compliance Database'!$F147=Query!$B$5),OR(Query!$B$6="All",ISNUMBER(SEARCH(Query!$B$6,'Compliance Database'!$I147))),OR(Query!$B$7="All",ISNUMBER(SEARCH(Query!$B$7,'Compliance Database'!$J147))),OR(Query!$B$8="All",'Compliance Database'!$G147=Query!$B$8),OR(Query!$B$9="All",'Compliance Database'!$K147=Query!$B$9),OR(Query!$B$10="",ISNUMBER(SEARCH(Query!$B$10,'Compliance Database'!$D147&amp;" "&amp;'Compliance Database'!$L147&amp;" "&amp;'Compliance Database'!$M147&amp;" "&amp;'Compliance Database'!$N147&amp;" "&amp;'Compliance Database'!$O147)))),1,0)</f>
        <v>1</v>
      </c>
      <c r="B147">
        <f>IF($A147=1,SUM($A$2:$A147),"")</f>
        <v>146</v>
      </c>
      <c r="C147">
        <f>IF($A147=1,SUM($A$2:$A147),0)</f>
        <v>146</v>
      </c>
    </row>
    <row r="148" spans="1:3" x14ac:dyDescent="0.3">
      <c r="A148">
        <f>IF(AND(OR(Query!$B$4="All",'Compliance Database'!$A148=Query!$B$4),OR(Query!$B$5="All",'Compliance Database'!$F148=Query!$B$5),OR(Query!$B$6="All",ISNUMBER(SEARCH(Query!$B$6,'Compliance Database'!$I148))),OR(Query!$B$7="All",ISNUMBER(SEARCH(Query!$B$7,'Compliance Database'!$J148))),OR(Query!$B$8="All",'Compliance Database'!$G148=Query!$B$8),OR(Query!$B$9="All",'Compliance Database'!$K148=Query!$B$9),OR(Query!$B$10="",ISNUMBER(SEARCH(Query!$B$10,'Compliance Database'!$D148&amp;" "&amp;'Compliance Database'!$L148&amp;" "&amp;'Compliance Database'!$M148&amp;" "&amp;'Compliance Database'!$N148&amp;" "&amp;'Compliance Database'!$O148)))),1,0)</f>
        <v>1</v>
      </c>
      <c r="B148">
        <f>IF($A148=1,SUM($A$2:$A148),"")</f>
        <v>147</v>
      </c>
      <c r="C148">
        <f>IF($A148=1,SUM($A$2:$A148),0)</f>
        <v>147</v>
      </c>
    </row>
    <row r="149" spans="1:3" x14ac:dyDescent="0.3">
      <c r="A149">
        <f>IF(AND(OR(Query!$B$4="All",'Compliance Database'!$A149=Query!$B$4),OR(Query!$B$5="All",'Compliance Database'!$F149=Query!$B$5),OR(Query!$B$6="All",ISNUMBER(SEARCH(Query!$B$6,'Compliance Database'!$I149))),OR(Query!$B$7="All",ISNUMBER(SEARCH(Query!$B$7,'Compliance Database'!$J149))),OR(Query!$B$8="All",'Compliance Database'!$G149=Query!$B$8),OR(Query!$B$9="All",'Compliance Database'!$K149=Query!$B$9),OR(Query!$B$10="",ISNUMBER(SEARCH(Query!$B$10,'Compliance Database'!$D149&amp;" "&amp;'Compliance Database'!$L149&amp;" "&amp;'Compliance Database'!$M149&amp;" "&amp;'Compliance Database'!$N149&amp;" "&amp;'Compliance Database'!$O149)))),1,0)</f>
        <v>1</v>
      </c>
      <c r="B149">
        <f>IF($A149=1,SUM($A$2:$A149),"")</f>
        <v>148</v>
      </c>
      <c r="C149">
        <f>IF($A149=1,SUM($A$2:$A149),0)</f>
        <v>148</v>
      </c>
    </row>
    <row r="150" spans="1:3" x14ac:dyDescent="0.3">
      <c r="A150">
        <f>IF(AND(OR(Query!$B$4="All",'Compliance Database'!$A150=Query!$B$4),OR(Query!$B$5="All",'Compliance Database'!$F150=Query!$B$5),OR(Query!$B$6="All",ISNUMBER(SEARCH(Query!$B$6,'Compliance Database'!$I150))),OR(Query!$B$7="All",ISNUMBER(SEARCH(Query!$B$7,'Compliance Database'!$J150))),OR(Query!$B$8="All",'Compliance Database'!$G150=Query!$B$8),OR(Query!$B$9="All",'Compliance Database'!$K150=Query!$B$9),OR(Query!$B$10="",ISNUMBER(SEARCH(Query!$B$10,'Compliance Database'!$D150&amp;" "&amp;'Compliance Database'!$L150&amp;" "&amp;'Compliance Database'!$M150&amp;" "&amp;'Compliance Database'!$N150&amp;" "&amp;'Compliance Database'!$O150)))),1,0)</f>
        <v>1</v>
      </c>
      <c r="B150">
        <f>IF($A150=1,SUM($A$2:$A150),"")</f>
        <v>149</v>
      </c>
      <c r="C150">
        <f>IF($A150=1,SUM($A$2:$A150),0)</f>
        <v>149</v>
      </c>
    </row>
    <row r="151" spans="1:3" x14ac:dyDescent="0.3">
      <c r="A151">
        <f>IF(AND(OR(Query!$B$4="All",'Compliance Database'!$A151=Query!$B$4),OR(Query!$B$5="All",'Compliance Database'!$F151=Query!$B$5),OR(Query!$B$6="All",ISNUMBER(SEARCH(Query!$B$6,'Compliance Database'!$I151))),OR(Query!$B$7="All",ISNUMBER(SEARCH(Query!$B$7,'Compliance Database'!$J151))),OR(Query!$B$8="All",'Compliance Database'!$G151=Query!$B$8),OR(Query!$B$9="All",'Compliance Database'!$K151=Query!$B$9),OR(Query!$B$10="",ISNUMBER(SEARCH(Query!$B$10,'Compliance Database'!$D151&amp;" "&amp;'Compliance Database'!$L151&amp;" "&amp;'Compliance Database'!$M151&amp;" "&amp;'Compliance Database'!$N151&amp;" "&amp;'Compliance Database'!$O151)))),1,0)</f>
        <v>1</v>
      </c>
      <c r="B151">
        <f>IF($A151=1,SUM($A$2:$A151),"")</f>
        <v>150</v>
      </c>
      <c r="C151">
        <f>IF($A151=1,SUM($A$2:$A151),0)</f>
        <v>150</v>
      </c>
    </row>
    <row r="152" spans="1:3" x14ac:dyDescent="0.3">
      <c r="A152">
        <f>IF(AND(OR(Query!$B$4="All",'Compliance Database'!$A152=Query!$B$4),OR(Query!$B$5="All",'Compliance Database'!$F152=Query!$B$5),OR(Query!$B$6="All",ISNUMBER(SEARCH(Query!$B$6,'Compliance Database'!$I152))),OR(Query!$B$7="All",ISNUMBER(SEARCH(Query!$B$7,'Compliance Database'!$J152))),OR(Query!$B$8="All",'Compliance Database'!$G152=Query!$B$8),OR(Query!$B$9="All",'Compliance Database'!$K152=Query!$B$9),OR(Query!$B$10="",ISNUMBER(SEARCH(Query!$B$10,'Compliance Database'!$D152&amp;" "&amp;'Compliance Database'!$L152&amp;" "&amp;'Compliance Database'!$M152&amp;" "&amp;'Compliance Database'!$N152&amp;" "&amp;'Compliance Database'!$O152)))),1,0)</f>
        <v>1</v>
      </c>
      <c r="B152">
        <f>IF($A152=1,SUM($A$2:$A152),"")</f>
        <v>151</v>
      </c>
      <c r="C152">
        <f>IF($A152=1,SUM($A$2:$A152),0)</f>
        <v>151</v>
      </c>
    </row>
    <row r="153" spans="1:3" x14ac:dyDescent="0.3">
      <c r="A153">
        <f>IF(AND(OR(Query!$B$4="All",'Compliance Database'!$A153=Query!$B$4),OR(Query!$B$5="All",'Compliance Database'!$F153=Query!$B$5),OR(Query!$B$6="All",ISNUMBER(SEARCH(Query!$B$6,'Compliance Database'!$I153))),OR(Query!$B$7="All",ISNUMBER(SEARCH(Query!$B$7,'Compliance Database'!$J153))),OR(Query!$B$8="All",'Compliance Database'!$G153=Query!$B$8),OR(Query!$B$9="All",'Compliance Database'!$K153=Query!$B$9),OR(Query!$B$10="",ISNUMBER(SEARCH(Query!$B$10,'Compliance Database'!$D153&amp;" "&amp;'Compliance Database'!$L153&amp;" "&amp;'Compliance Database'!$M153&amp;" "&amp;'Compliance Database'!$N153&amp;" "&amp;'Compliance Database'!$O153)))),1,0)</f>
        <v>1</v>
      </c>
      <c r="B153">
        <f>IF($A153=1,SUM($A$2:$A153),"")</f>
        <v>152</v>
      </c>
      <c r="C153">
        <f>IF($A153=1,SUM($A$2:$A153),0)</f>
        <v>152</v>
      </c>
    </row>
    <row r="154" spans="1:3" x14ac:dyDescent="0.3">
      <c r="A154">
        <f>IF(AND(OR(Query!$B$4="All",'Compliance Database'!$A154=Query!$B$4),OR(Query!$B$5="All",'Compliance Database'!$F154=Query!$B$5),OR(Query!$B$6="All",ISNUMBER(SEARCH(Query!$B$6,'Compliance Database'!$I154))),OR(Query!$B$7="All",ISNUMBER(SEARCH(Query!$B$7,'Compliance Database'!$J154))),OR(Query!$B$8="All",'Compliance Database'!$G154=Query!$B$8),OR(Query!$B$9="All",'Compliance Database'!$K154=Query!$B$9),OR(Query!$B$10="",ISNUMBER(SEARCH(Query!$B$10,'Compliance Database'!$D154&amp;" "&amp;'Compliance Database'!$L154&amp;" "&amp;'Compliance Database'!$M154&amp;" "&amp;'Compliance Database'!$N154&amp;" "&amp;'Compliance Database'!$O154)))),1,0)</f>
        <v>1</v>
      </c>
      <c r="B154">
        <f>IF($A154=1,SUM($A$2:$A154),"")</f>
        <v>153</v>
      </c>
      <c r="C154">
        <f>IF($A154=1,SUM($A$2:$A154),0)</f>
        <v>153</v>
      </c>
    </row>
    <row r="155" spans="1:3" x14ac:dyDescent="0.3">
      <c r="A155">
        <f>IF(AND(OR(Query!$B$4="All",'Compliance Database'!$A155=Query!$B$4),OR(Query!$B$5="All",'Compliance Database'!$F155=Query!$B$5),OR(Query!$B$6="All",ISNUMBER(SEARCH(Query!$B$6,'Compliance Database'!$I155))),OR(Query!$B$7="All",ISNUMBER(SEARCH(Query!$B$7,'Compliance Database'!$J155))),OR(Query!$B$8="All",'Compliance Database'!$G155=Query!$B$8),OR(Query!$B$9="All",'Compliance Database'!$K155=Query!$B$9),OR(Query!$B$10="",ISNUMBER(SEARCH(Query!$B$10,'Compliance Database'!$D155&amp;" "&amp;'Compliance Database'!$L155&amp;" "&amp;'Compliance Database'!$M155&amp;" "&amp;'Compliance Database'!$N155&amp;" "&amp;'Compliance Database'!$O155)))),1,0)</f>
        <v>1</v>
      </c>
      <c r="B155">
        <f>IF($A155=1,SUM($A$2:$A155),"")</f>
        <v>154</v>
      </c>
      <c r="C155">
        <f>IF($A155=1,SUM($A$2:$A155),0)</f>
        <v>154</v>
      </c>
    </row>
    <row r="156" spans="1:3" x14ac:dyDescent="0.3">
      <c r="A156">
        <f>IF(AND(OR(Query!$B$4="All",'Compliance Database'!$A156=Query!$B$4),OR(Query!$B$5="All",'Compliance Database'!$F156=Query!$B$5),OR(Query!$B$6="All",ISNUMBER(SEARCH(Query!$B$6,'Compliance Database'!$I156))),OR(Query!$B$7="All",ISNUMBER(SEARCH(Query!$B$7,'Compliance Database'!$J156))),OR(Query!$B$8="All",'Compliance Database'!$G156=Query!$B$8),OR(Query!$B$9="All",'Compliance Database'!$K156=Query!$B$9),OR(Query!$B$10="",ISNUMBER(SEARCH(Query!$B$10,'Compliance Database'!$D156&amp;" "&amp;'Compliance Database'!$L156&amp;" "&amp;'Compliance Database'!$M156&amp;" "&amp;'Compliance Database'!$N156&amp;" "&amp;'Compliance Database'!$O156)))),1,0)</f>
        <v>1</v>
      </c>
      <c r="B156">
        <f>IF($A156=1,SUM($A$2:$A156),"")</f>
        <v>155</v>
      </c>
      <c r="C156">
        <f>IF($A156=1,SUM($A$2:$A156),0)</f>
        <v>155</v>
      </c>
    </row>
    <row r="157" spans="1:3" x14ac:dyDescent="0.3">
      <c r="A157">
        <f>IF(AND(OR(Query!$B$4="All",'Compliance Database'!$A157=Query!$B$4),OR(Query!$B$5="All",'Compliance Database'!$F157=Query!$B$5),OR(Query!$B$6="All",ISNUMBER(SEARCH(Query!$B$6,'Compliance Database'!$I157))),OR(Query!$B$7="All",ISNUMBER(SEARCH(Query!$B$7,'Compliance Database'!$J157))),OR(Query!$B$8="All",'Compliance Database'!$G157=Query!$B$8),OR(Query!$B$9="All",'Compliance Database'!$K157=Query!$B$9),OR(Query!$B$10="",ISNUMBER(SEARCH(Query!$B$10,'Compliance Database'!$D157&amp;" "&amp;'Compliance Database'!$L157&amp;" "&amp;'Compliance Database'!$M157&amp;" "&amp;'Compliance Database'!$N157&amp;" "&amp;'Compliance Database'!$O157)))),1,0)</f>
        <v>1</v>
      </c>
      <c r="B157">
        <f>IF($A157=1,SUM($A$2:$A157),"")</f>
        <v>156</v>
      </c>
      <c r="C157">
        <f>IF($A157=1,SUM($A$2:$A157),0)</f>
        <v>156</v>
      </c>
    </row>
    <row r="158" spans="1:3" x14ac:dyDescent="0.3">
      <c r="A158">
        <f>IF(AND(OR(Query!$B$4="All",'Compliance Database'!$A158=Query!$B$4),OR(Query!$B$5="All",'Compliance Database'!$F158=Query!$B$5),OR(Query!$B$6="All",ISNUMBER(SEARCH(Query!$B$6,'Compliance Database'!$I158))),OR(Query!$B$7="All",ISNUMBER(SEARCH(Query!$B$7,'Compliance Database'!$J158))),OR(Query!$B$8="All",'Compliance Database'!$G158=Query!$B$8),OR(Query!$B$9="All",'Compliance Database'!$K158=Query!$B$9),OR(Query!$B$10="",ISNUMBER(SEARCH(Query!$B$10,'Compliance Database'!$D158&amp;" "&amp;'Compliance Database'!$L158&amp;" "&amp;'Compliance Database'!$M158&amp;" "&amp;'Compliance Database'!$N158&amp;" "&amp;'Compliance Database'!$O158)))),1,0)</f>
        <v>1</v>
      </c>
      <c r="B158">
        <f>IF($A158=1,SUM($A$2:$A158),"")</f>
        <v>157</v>
      </c>
      <c r="C158">
        <f>IF($A158=1,SUM($A$2:$A158),0)</f>
        <v>157</v>
      </c>
    </row>
    <row r="159" spans="1:3" x14ac:dyDescent="0.3">
      <c r="A159">
        <f>IF(AND(OR(Query!$B$4="All",'Compliance Database'!$A159=Query!$B$4),OR(Query!$B$5="All",'Compliance Database'!$F159=Query!$B$5),OR(Query!$B$6="All",ISNUMBER(SEARCH(Query!$B$6,'Compliance Database'!$I159))),OR(Query!$B$7="All",ISNUMBER(SEARCH(Query!$B$7,'Compliance Database'!$J159))),OR(Query!$B$8="All",'Compliance Database'!$G159=Query!$B$8),OR(Query!$B$9="All",'Compliance Database'!$K159=Query!$B$9),OR(Query!$B$10="",ISNUMBER(SEARCH(Query!$B$10,'Compliance Database'!$D159&amp;" "&amp;'Compliance Database'!$L159&amp;" "&amp;'Compliance Database'!$M159&amp;" "&amp;'Compliance Database'!$N159&amp;" "&amp;'Compliance Database'!$O159)))),1,0)</f>
        <v>1</v>
      </c>
      <c r="B159">
        <f>IF($A159=1,SUM($A$2:$A159),"")</f>
        <v>158</v>
      </c>
      <c r="C159">
        <f>IF($A159=1,SUM($A$2:$A159),0)</f>
        <v>158</v>
      </c>
    </row>
    <row r="160" spans="1:3" x14ac:dyDescent="0.3">
      <c r="A160">
        <f>IF(AND(OR(Query!$B$4="All",'Compliance Database'!$A160=Query!$B$4),OR(Query!$B$5="All",'Compliance Database'!$F160=Query!$B$5),OR(Query!$B$6="All",ISNUMBER(SEARCH(Query!$B$6,'Compliance Database'!$I160))),OR(Query!$B$7="All",ISNUMBER(SEARCH(Query!$B$7,'Compliance Database'!$J160))),OR(Query!$B$8="All",'Compliance Database'!$G160=Query!$B$8),OR(Query!$B$9="All",'Compliance Database'!$K160=Query!$B$9),OR(Query!$B$10="",ISNUMBER(SEARCH(Query!$B$10,'Compliance Database'!$D160&amp;" "&amp;'Compliance Database'!$L160&amp;" "&amp;'Compliance Database'!$M160&amp;" "&amp;'Compliance Database'!$N160&amp;" "&amp;'Compliance Database'!$O160)))),1,0)</f>
        <v>1</v>
      </c>
      <c r="B160">
        <f>IF($A160=1,SUM($A$2:$A160),"")</f>
        <v>159</v>
      </c>
      <c r="C160">
        <f>IF($A160=1,SUM($A$2:$A160),0)</f>
        <v>159</v>
      </c>
    </row>
    <row r="161" spans="1:3" x14ac:dyDescent="0.3">
      <c r="A161">
        <f>IF(AND(OR(Query!$B$4="All",'Compliance Database'!$A161=Query!$B$4),OR(Query!$B$5="All",'Compliance Database'!$F161=Query!$B$5),OR(Query!$B$6="All",ISNUMBER(SEARCH(Query!$B$6,'Compliance Database'!$I161))),OR(Query!$B$7="All",ISNUMBER(SEARCH(Query!$B$7,'Compliance Database'!$J161))),OR(Query!$B$8="All",'Compliance Database'!$G161=Query!$B$8),OR(Query!$B$9="All",'Compliance Database'!$K161=Query!$B$9),OR(Query!$B$10="",ISNUMBER(SEARCH(Query!$B$10,'Compliance Database'!$D161&amp;" "&amp;'Compliance Database'!$L161&amp;" "&amp;'Compliance Database'!$M161&amp;" "&amp;'Compliance Database'!$N161&amp;" "&amp;'Compliance Database'!$O161)))),1,0)</f>
        <v>1</v>
      </c>
      <c r="B161">
        <f>IF($A161=1,SUM($A$2:$A161),"")</f>
        <v>160</v>
      </c>
      <c r="C161">
        <f>IF($A161=1,SUM($A$2:$A161),0)</f>
        <v>160</v>
      </c>
    </row>
    <row r="162" spans="1:3" x14ac:dyDescent="0.3">
      <c r="A162">
        <f>IF(AND(OR(Query!$B$4="All",'Compliance Database'!$A162=Query!$B$4),OR(Query!$B$5="All",'Compliance Database'!$F162=Query!$B$5),OR(Query!$B$6="All",ISNUMBER(SEARCH(Query!$B$6,'Compliance Database'!$I162))),OR(Query!$B$7="All",ISNUMBER(SEARCH(Query!$B$7,'Compliance Database'!$J162))),OR(Query!$B$8="All",'Compliance Database'!$G162=Query!$B$8),OR(Query!$B$9="All",'Compliance Database'!$K162=Query!$B$9),OR(Query!$B$10="",ISNUMBER(SEARCH(Query!$B$10,'Compliance Database'!$D162&amp;" "&amp;'Compliance Database'!$L162&amp;" "&amp;'Compliance Database'!$M162&amp;" "&amp;'Compliance Database'!$N162&amp;" "&amp;'Compliance Database'!$O162)))),1,0)</f>
        <v>1</v>
      </c>
      <c r="B162">
        <f>IF($A162=1,SUM($A$2:$A162),"")</f>
        <v>161</v>
      </c>
      <c r="C162">
        <f>IF($A162=1,SUM($A$2:$A162),0)</f>
        <v>161</v>
      </c>
    </row>
    <row r="163" spans="1:3" x14ac:dyDescent="0.3">
      <c r="A163">
        <f>IF(AND(OR(Query!$B$4="All",'Compliance Database'!$A163=Query!$B$4),OR(Query!$B$5="All",'Compliance Database'!$F163=Query!$B$5),OR(Query!$B$6="All",ISNUMBER(SEARCH(Query!$B$6,'Compliance Database'!$I163))),OR(Query!$B$7="All",ISNUMBER(SEARCH(Query!$B$7,'Compliance Database'!$J163))),OR(Query!$B$8="All",'Compliance Database'!$G163=Query!$B$8),OR(Query!$B$9="All",'Compliance Database'!$K163=Query!$B$9),OR(Query!$B$10="",ISNUMBER(SEARCH(Query!$B$10,'Compliance Database'!$D163&amp;" "&amp;'Compliance Database'!$L163&amp;" "&amp;'Compliance Database'!$M163&amp;" "&amp;'Compliance Database'!$N163&amp;" "&amp;'Compliance Database'!$O163)))),1,0)</f>
        <v>1</v>
      </c>
      <c r="B163">
        <f>IF($A163=1,SUM($A$2:$A163),"")</f>
        <v>162</v>
      </c>
      <c r="C163">
        <f>IF($A163=1,SUM($A$2:$A163),0)</f>
        <v>162</v>
      </c>
    </row>
    <row r="164" spans="1:3" x14ac:dyDescent="0.3">
      <c r="A164">
        <f>IF(AND(OR(Query!$B$4="All",'Compliance Database'!$A164=Query!$B$4),OR(Query!$B$5="All",'Compliance Database'!$F164=Query!$B$5),OR(Query!$B$6="All",ISNUMBER(SEARCH(Query!$B$6,'Compliance Database'!$I164))),OR(Query!$B$7="All",ISNUMBER(SEARCH(Query!$B$7,'Compliance Database'!$J164))),OR(Query!$B$8="All",'Compliance Database'!$G164=Query!$B$8),OR(Query!$B$9="All",'Compliance Database'!$K164=Query!$B$9),OR(Query!$B$10="",ISNUMBER(SEARCH(Query!$B$10,'Compliance Database'!$D164&amp;" "&amp;'Compliance Database'!$L164&amp;" "&amp;'Compliance Database'!$M164&amp;" "&amp;'Compliance Database'!$N164&amp;" "&amp;'Compliance Database'!$O164)))),1,0)</f>
        <v>1</v>
      </c>
      <c r="B164">
        <f>IF($A164=1,SUM($A$2:$A164),"")</f>
        <v>163</v>
      </c>
      <c r="C164">
        <f>IF($A164=1,SUM($A$2:$A164),0)</f>
        <v>163</v>
      </c>
    </row>
    <row r="165" spans="1:3" x14ac:dyDescent="0.3">
      <c r="A165">
        <f>IF(AND(OR(Query!$B$4="All",'Compliance Database'!$A165=Query!$B$4),OR(Query!$B$5="All",'Compliance Database'!$F165=Query!$B$5),OR(Query!$B$6="All",ISNUMBER(SEARCH(Query!$B$6,'Compliance Database'!$I165))),OR(Query!$B$7="All",ISNUMBER(SEARCH(Query!$B$7,'Compliance Database'!$J165))),OR(Query!$B$8="All",'Compliance Database'!$G165=Query!$B$8),OR(Query!$B$9="All",'Compliance Database'!$K165=Query!$B$9),OR(Query!$B$10="",ISNUMBER(SEARCH(Query!$B$10,'Compliance Database'!$D165&amp;" "&amp;'Compliance Database'!$L165&amp;" "&amp;'Compliance Database'!$M165&amp;" "&amp;'Compliance Database'!$N165&amp;" "&amp;'Compliance Database'!$O165)))),1,0)</f>
        <v>1</v>
      </c>
      <c r="B165">
        <f>IF($A165=1,SUM($A$2:$A165),"")</f>
        <v>164</v>
      </c>
      <c r="C165">
        <f>IF($A165=1,SUM($A$2:$A165),0)</f>
        <v>164</v>
      </c>
    </row>
    <row r="166" spans="1:3" x14ac:dyDescent="0.3">
      <c r="A166">
        <f>IF(AND(OR(Query!$B$4="All",'Compliance Database'!$A166=Query!$B$4),OR(Query!$B$5="All",'Compliance Database'!$F166=Query!$B$5),OR(Query!$B$6="All",ISNUMBER(SEARCH(Query!$B$6,'Compliance Database'!$I166))),OR(Query!$B$7="All",ISNUMBER(SEARCH(Query!$B$7,'Compliance Database'!$J166))),OR(Query!$B$8="All",'Compliance Database'!$G166=Query!$B$8),OR(Query!$B$9="All",'Compliance Database'!$K166=Query!$B$9),OR(Query!$B$10="",ISNUMBER(SEARCH(Query!$B$10,'Compliance Database'!$D166&amp;" "&amp;'Compliance Database'!$L166&amp;" "&amp;'Compliance Database'!$M166&amp;" "&amp;'Compliance Database'!$N166&amp;" "&amp;'Compliance Database'!$O166)))),1,0)</f>
        <v>1</v>
      </c>
      <c r="B166">
        <f>IF($A166=1,SUM($A$2:$A166),"")</f>
        <v>165</v>
      </c>
      <c r="C166">
        <f>IF($A166=1,SUM($A$2:$A166),0)</f>
        <v>165</v>
      </c>
    </row>
    <row r="167" spans="1:3" x14ac:dyDescent="0.3">
      <c r="A167">
        <f>IF(AND(OR(Query!$B$4="All",'Compliance Database'!$A167=Query!$B$4),OR(Query!$B$5="All",'Compliance Database'!$F167=Query!$B$5),OR(Query!$B$6="All",ISNUMBER(SEARCH(Query!$B$6,'Compliance Database'!$I167))),OR(Query!$B$7="All",ISNUMBER(SEARCH(Query!$B$7,'Compliance Database'!$J167))),OR(Query!$B$8="All",'Compliance Database'!$G167=Query!$B$8),OR(Query!$B$9="All",'Compliance Database'!$K167=Query!$B$9),OR(Query!$B$10="",ISNUMBER(SEARCH(Query!$B$10,'Compliance Database'!$D167&amp;" "&amp;'Compliance Database'!$L167&amp;" "&amp;'Compliance Database'!$M167&amp;" "&amp;'Compliance Database'!$N167&amp;" "&amp;'Compliance Database'!$O167)))),1,0)</f>
        <v>1</v>
      </c>
      <c r="B167">
        <f>IF($A167=1,SUM($A$2:$A167),"")</f>
        <v>166</v>
      </c>
      <c r="C167">
        <f>IF($A167=1,SUM($A$2:$A167),0)</f>
        <v>166</v>
      </c>
    </row>
    <row r="168" spans="1:3" x14ac:dyDescent="0.3">
      <c r="A168">
        <f>IF(AND(OR(Query!$B$4="All",'Compliance Database'!$A168=Query!$B$4),OR(Query!$B$5="All",'Compliance Database'!$F168=Query!$B$5),OR(Query!$B$6="All",ISNUMBER(SEARCH(Query!$B$6,'Compliance Database'!$I168))),OR(Query!$B$7="All",ISNUMBER(SEARCH(Query!$B$7,'Compliance Database'!$J168))),OR(Query!$B$8="All",'Compliance Database'!$G168=Query!$B$8),OR(Query!$B$9="All",'Compliance Database'!$K168=Query!$B$9),OR(Query!$B$10="",ISNUMBER(SEARCH(Query!$B$10,'Compliance Database'!$D168&amp;" "&amp;'Compliance Database'!$L168&amp;" "&amp;'Compliance Database'!$M168&amp;" "&amp;'Compliance Database'!$N168&amp;" "&amp;'Compliance Database'!$O168)))),1,0)</f>
        <v>1</v>
      </c>
      <c r="B168">
        <f>IF($A168=1,SUM($A$2:$A168),"")</f>
        <v>167</v>
      </c>
      <c r="C168">
        <f>IF($A168=1,SUM($A$2:$A168),0)</f>
        <v>167</v>
      </c>
    </row>
    <row r="169" spans="1:3" x14ac:dyDescent="0.3">
      <c r="A169">
        <f>IF(AND(OR(Query!$B$4="All",'Compliance Database'!$A169=Query!$B$4),OR(Query!$B$5="All",'Compliance Database'!$F169=Query!$B$5),OR(Query!$B$6="All",ISNUMBER(SEARCH(Query!$B$6,'Compliance Database'!$I169))),OR(Query!$B$7="All",ISNUMBER(SEARCH(Query!$B$7,'Compliance Database'!$J169))),OR(Query!$B$8="All",'Compliance Database'!$G169=Query!$B$8),OR(Query!$B$9="All",'Compliance Database'!$K169=Query!$B$9),OR(Query!$B$10="",ISNUMBER(SEARCH(Query!$B$10,'Compliance Database'!$D169&amp;" "&amp;'Compliance Database'!$L169&amp;" "&amp;'Compliance Database'!$M169&amp;" "&amp;'Compliance Database'!$N169&amp;" "&amp;'Compliance Database'!$O169)))),1,0)</f>
        <v>1</v>
      </c>
      <c r="B169">
        <f>IF($A169=1,SUM($A$2:$A169),"")</f>
        <v>168</v>
      </c>
      <c r="C169">
        <f>IF($A169=1,SUM($A$2:$A169),0)</f>
        <v>168</v>
      </c>
    </row>
    <row r="170" spans="1:3" x14ac:dyDescent="0.3">
      <c r="A170">
        <f>IF(AND(OR(Query!$B$4="All",'Compliance Database'!$A170=Query!$B$4),OR(Query!$B$5="All",'Compliance Database'!$F170=Query!$B$5),OR(Query!$B$6="All",ISNUMBER(SEARCH(Query!$B$6,'Compliance Database'!$I170))),OR(Query!$B$7="All",ISNUMBER(SEARCH(Query!$B$7,'Compliance Database'!$J170))),OR(Query!$B$8="All",'Compliance Database'!$G170=Query!$B$8),OR(Query!$B$9="All",'Compliance Database'!$K170=Query!$B$9),OR(Query!$B$10="",ISNUMBER(SEARCH(Query!$B$10,'Compliance Database'!$D170&amp;" "&amp;'Compliance Database'!$L170&amp;" "&amp;'Compliance Database'!$M170&amp;" "&amp;'Compliance Database'!$N170&amp;" "&amp;'Compliance Database'!$O170)))),1,0)</f>
        <v>1</v>
      </c>
      <c r="B170">
        <f>IF($A170=1,SUM($A$2:$A170),"")</f>
        <v>169</v>
      </c>
      <c r="C170">
        <f>IF($A170=1,SUM($A$2:$A170),0)</f>
        <v>169</v>
      </c>
    </row>
    <row r="171" spans="1:3" x14ac:dyDescent="0.3">
      <c r="A171">
        <f>IF(AND(OR(Query!$B$4="All",'Compliance Database'!$A171=Query!$B$4),OR(Query!$B$5="All",'Compliance Database'!$F171=Query!$B$5),OR(Query!$B$6="All",ISNUMBER(SEARCH(Query!$B$6,'Compliance Database'!$I171))),OR(Query!$B$7="All",ISNUMBER(SEARCH(Query!$B$7,'Compliance Database'!$J171))),OR(Query!$B$8="All",'Compliance Database'!$G171=Query!$B$8),OR(Query!$B$9="All",'Compliance Database'!$K171=Query!$B$9),OR(Query!$B$10="",ISNUMBER(SEARCH(Query!$B$10,'Compliance Database'!$D171&amp;" "&amp;'Compliance Database'!$L171&amp;" "&amp;'Compliance Database'!$M171&amp;" "&amp;'Compliance Database'!$N171&amp;" "&amp;'Compliance Database'!$O171)))),1,0)</f>
        <v>1</v>
      </c>
      <c r="B171">
        <f>IF($A171=1,SUM($A$2:$A171),"")</f>
        <v>170</v>
      </c>
      <c r="C171">
        <f>IF($A171=1,SUM($A$2:$A171),0)</f>
        <v>170</v>
      </c>
    </row>
    <row r="172" spans="1:3" x14ac:dyDescent="0.3">
      <c r="A172">
        <f>IF(AND(OR(Query!$B$4="All",'Compliance Database'!$A172=Query!$B$4),OR(Query!$B$5="All",'Compliance Database'!$F172=Query!$B$5),OR(Query!$B$6="All",ISNUMBER(SEARCH(Query!$B$6,'Compliance Database'!$I172))),OR(Query!$B$7="All",ISNUMBER(SEARCH(Query!$B$7,'Compliance Database'!$J172))),OR(Query!$B$8="All",'Compliance Database'!$G172=Query!$B$8),OR(Query!$B$9="All",'Compliance Database'!$K172=Query!$B$9),OR(Query!$B$10="",ISNUMBER(SEARCH(Query!$B$10,'Compliance Database'!$D172&amp;" "&amp;'Compliance Database'!$L172&amp;" "&amp;'Compliance Database'!$M172&amp;" "&amp;'Compliance Database'!$N172&amp;" "&amp;'Compliance Database'!$O172)))),1,0)</f>
        <v>1</v>
      </c>
      <c r="B172">
        <f>IF($A172=1,SUM($A$2:$A172),"")</f>
        <v>171</v>
      </c>
      <c r="C172">
        <f>IF($A172=1,SUM($A$2:$A172),0)</f>
        <v>171</v>
      </c>
    </row>
    <row r="173" spans="1:3" x14ac:dyDescent="0.3">
      <c r="A173">
        <f>IF(AND(OR(Query!$B$4="All",'Compliance Database'!$A173=Query!$B$4),OR(Query!$B$5="All",'Compliance Database'!$F173=Query!$B$5),OR(Query!$B$6="All",ISNUMBER(SEARCH(Query!$B$6,'Compliance Database'!$I173))),OR(Query!$B$7="All",ISNUMBER(SEARCH(Query!$B$7,'Compliance Database'!$J173))),OR(Query!$B$8="All",'Compliance Database'!$G173=Query!$B$8),OR(Query!$B$9="All",'Compliance Database'!$K173=Query!$B$9),OR(Query!$B$10="",ISNUMBER(SEARCH(Query!$B$10,'Compliance Database'!$D173&amp;" "&amp;'Compliance Database'!$L173&amp;" "&amp;'Compliance Database'!$M173&amp;" "&amp;'Compliance Database'!$N173&amp;" "&amp;'Compliance Database'!$O173)))),1,0)</f>
        <v>1</v>
      </c>
      <c r="B173">
        <f>IF($A173=1,SUM($A$2:$A173),"")</f>
        <v>172</v>
      </c>
      <c r="C173">
        <f>IF($A173=1,SUM($A$2:$A173),0)</f>
        <v>172</v>
      </c>
    </row>
    <row r="174" spans="1:3" x14ac:dyDescent="0.3">
      <c r="A174">
        <f>IF(AND(OR(Query!$B$4="All",'Compliance Database'!$A174=Query!$B$4),OR(Query!$B$5="All",'Compliance Database'!$F174=Query!$B$5),OR(Query!$B$6="All",ISNUMBER(SEARCH(Query!$B$6,'Compliance Database'!$I174))),OR(Query!$B$7="All",ISNUMBER(SEARCH(Query!$B$7,'Compliance Database'!$J174))),OR(Query!$B$8="All",'Compliance Database'!$G174=Query!$B$8),OR(Query!$B$9="All",'Compliance Database'!$K174=Query!$B$9),OR(Query!$B$10="",ISNUMBER(SEARCH(Query!$B$10,'Compliance Database'!$D174&amp;" "&amp;'Compliance Database'!$L174&amp;" "&amp;'Compliance Database'!$M174&amp;" "&amp;'Compliance Database'!$N174&amp;" "&amp;'Compliance Database'!$O174)))),1,0)</f>
        <v>1</v>
      </c>
      <c r="B174">
        <f>IF($A174=1,SUM($A$2:$A174),"")</f>
        <v>173</v>
      </c>
      <c r="C174">
        <f>IF($A174=1,SUM($A$2:$A174),0)</f>
        <v>173</v>
      </c>
    </row>
    <row r="175" spans="1:3" x14ac:dyDescent="0.3">
      <c r="A175">
        <f>IF(AND(OR(Query!$B$4="All",'Compliance Database'!$A175=Query!$B$4),OR(Query!$B$5="All",'Compliance Database'!$F175=Query!$B$5),OR(Query!$B$6="All",ISNUMBER(SEARCH(Query!$B$6,'Compliance Database'!$I175))),OR(Query!$B$7="All",ISNUMBER(SEARCH(Query!$B$7,'Compliance Database'!$J175))),OR(Query!$B$8="All",'Compliance Database'!$G175=Query!$B$8),OR(Query!$B$9="All",'Compliance Database'!$K175=Query!$B$9),OR(Query!$B$10="",ISNUMBER(SEARCH(Query!$B$10,'Compliance Database'!$D175&amp;" "&amp;'Compliance Database'!$L175&amp;" "&amp;'Compliance Database'!$M175&amp;" "&amp;'Compliance Database'!$N175&amp;" "&amp;'Compliance Database'!$O175)))),1,0)</f>
        <v>1</v>
      </c>
      <c r="B175">
        <f>IF($A175=1,SUM($A$2:$A175),"")</f>
        <v>174</v>
      </c>
      <c r="C175">
        <f>IF($A175=1,SUM($A$2:$A175),0)</f>
        <v>174</v>
      </c>
    </row>
    <row r="176" spans="1:3" x14ac:dyDescent="0.3">
      <c r="A176">
        <f>IF(AND(OR(Query!$B$4="All",'Compliance Database'!$A176=Query!$B$4),OR(Query!$B$5="All",'Compliance Database'!$F176=Query!$B$5),OR(Query!$B$6="All",ISNUMBER(SEARCH(Query!$B$6,'Compliance Database'!$I176))),OR(Query!$B$7="All",ISNUMBER(SEARCH(Query!$B$7,'Compliance Database'!$J176))),OR(Query!$B$8="All",'Compliance Database'!$G176=Query!$B$8),OR(Query!$B$9="All",'Compliance Database'!$K176=Query!$B$9),OR(Query!$B$10="",ISNUMBER(SEARCH(Query!$B$10,'Compliance Database'!$D176&amp;" "&amp;'Compliance Database'!$L176&amp;" "&amp;'Compliance Database'!$M176&amp;" "&amp;'Compliance Database'!$N176&amp;" "&amp;'Compliance Database'!$O176)))),1,0)</f>
        <v>1</v>
      </c>
      <c r="B176">
        <f>IF($A176=1,SUM($A$2:$A176),"")</f>
        <v>175</v>
      </c>
      <c r="C176">
        <f>IF($A176=1,SUM($A$2:$A176),0)</f>
        <v>175</v>
      </c>
    </row>
    <row r="177" spans="1:3" x14ac:dyDescent="0.3">
      <c r="A177">
        <f>IF(AND(OR(Query!$B$4="All",'Compliance Database'!$A177=Query!$B$4),OR(Query!$B$5="All",'Compliance Database'!$F177=Query!$B$5),OR(Query!$B$6="All",ISNUMBER(SEARCH(Query!$B$6,'Compliance Database'!$I177))),OR(Query!$B$7="All",ISNUMBER(SEARCH(Query!$B$7,'Compliance Database'!$J177))),OR(Query!$B$8="All",'Compliance Database'!$G177=Query!$B$8),OR(Query!$B$9="All",'Compliance Database'!$K177=Query!$B$9),OR(Query!$B$10="",ISNUMBER(SEARCH(Query!$B$10,'Compliance Database'!$D177&amp;" "&amp;'Compliance Database'!$L177&amp;" "&amp;'Compliance Database'!$M177&amp;" "&amp;'Compliance Database'!$N177&amp;" "&amp;'Compliance Database'!$O177)))),1,0)</f>
        <v>1</v>
      </c>
      <c r="B177">
        <f>IF($A177=1,SUM($A$2:$A177),"")</f>
        <v>176</v>
      </c>
      <c r="C177">
        <f>IF($A177=1,SUM($A$2:$A177),0)</f>
        <v>176</v>
      </c>
    </row>
    <row r="178" spans="1:3" x14ac:dyDescent="0.3">
      <c r="A178">
        <f>IF(AND(OR(Query!$B$4="All",'Compliance Database'!$A178=Query!$B$4),OR(Query!$B$5="All",'Compliance Database'!$F178=Query!$B$5),OR(Query!$B$6="All",ISNUMBER(SEARCH(Query!$B$6,'Compliance Database'!$I178))),OR(Query!$B$7="All",ISNUMBER(SEARCH(Query!$B$7,'Compliance Database'!$J178))),OR(Query!$B$8="All",'Compliance Database'!$G178=Query!$B$8),OR(Query!$B$9="All",'Compliance Database'!$K178=Query!$B$9),OR(Query!$B$10="",ISNUMBER(SEARCH(Query!$B$10,'Compliance Database'!$D178&amp;" "&amp;'Compliance Database'!$L178&amp;" "&amp;'Compliance Database'!$M178&amp;" "&amp;'Compliance Database'!$N178&amp;" "&amp;'Compliance Database'!$O178)))),1,0)</f>
        <v>1</v>
      </c>
      <c r="B178">
        <f>IF($A178=1,SUM($A$2:$A178),"")</f>
        <v>177</v>
      </c>
      <c r="C178">
        <f>IF($A178=1,SUM($A$2:$A178),0)</f>
        <v>177</v>
      </c>
    </row>
    <row r="179" spans="1:3" x14ac:dyDescent="0.3">
      <c r="A179">
        <f>IF(AND(OR(Query!$B$4="All",'Compliance Database'!$A179=Query!$B$4),OR(Query!$B$5="All",'Compliance Database'!$F179=Query!$B$5),OR(Query!$B$6="All",ISNUMBER(SEARCH(Query!$B$6,'Compliance Database'!$I179))),OR(Query!$B$7="All",ISNUMBER(SEARCH(Query!$B$7,'Compliance Database'!$J179))),OR(Query!$B$8="All",'Compliance Database'!$G179=Query!$B$8),OR(Query!$B$9="All",'Compliance Database'!$K179=Query!$B$9),OR(Query!$B$10="",ISNUMBER(SEARCH(Query!$B$10,'Compliance Database'!$D179&amp;" "&amp;'Compliance Database'!$L179&amp;" "&amp;'Compliance Database'!$M179&amp;" "&amp;'Compliance Database'!$N179&amp;" "&amp;'Compliance Database'!$O179)))),1,0)</f>
        <v>1</v>
      </c>
      <c r="B179">
        <f>IF($A179=1,SUM($A$2:$A179),"")</f>
        <v>178</v>
      </c>
      <c r="C179">
        <f>IF($A179=1,SUM($A$2:$A179),0)</f>
        <v>178</v>
      </c>
    </row>
    <row r="180" spans="1:3" x14ac:dyDescent="0.3">
      <c r="A180">
        <f>IF(AND(OR(Query!$B$4="All",'Compliance Database'!$A180=Query!$B$4),OR(Query!$B$5="All",'Compliance Database'!$F180=Query!$B$5),OR(Query!$B$6="All",ISNUMBER(SEARCH(Query!$B$6,'Compliance Database'!$I180))),OR(Query!$B$7="All",ISNUMBER(SEARCH(Query!$B$7,'Compliance Database'!$J180))),OR(Query!$B$8="All",'Compliance Database'!$G180=Query!$B$8),OR(Query!$B$9="All",'Compliance Database'!$K180=Query!$B$9),OR(Query!$B$10="",ISNUMBER(SEARCH(Query!$B$10,'Compliance Database'!$D180&amp;" "&amp;'Compliance Database'!$L180&amp;" "&amp;'Compliance Database'!$M180&amp;" "&amp;'Compliance Database'!$N180&amp;" "&amp;'Compliance Database'!$O180)))),1,0)</f>
        <v>1</v>
      </c>
      <c r="B180">
        <f>IF($A180=1,SUM($A$2:$A180),"")</f>
        <v>179</v>
      </c>
      <c r="C180">
        <f>IF($A180=1,SUM($A$2:$A180),0)</f>
        <v>179</v>
      </c>
    </row>
    <row r="181" spans="1:3" x14ac:dyDescent="0.3">
      <c r="A181">
        <f>IF(AND(OR(Query!$B$4="All",'Compliance Database'!$A181=Query!$B$4),OR(Query!$B$5="All",'Compliance Database'!$F181=Query!$B$5),OR(Query!$B$6="All",ISNUMBER(SEARCH(Query!$B$6,'Compliance Database'!$I181))),OR(Query!$B$7="All",ISNUMBER(SEARCH(Query!$B$7,'Compliance Database'!$J181))),OR(Query!$B$8="All",'Compliance Database'!$G181=Query!$B$8),OR(Query!$B$9="All",'Compliance Database'!$K181=Query!$B$9),OR(Query!$B$10="",ISNUMBER(SEARCH(Query!$B$10,'Compliance Database'!$D181&amp;" "&amp;'Compliance Database'!$L181&amp;" "&amp;'Compliance Database'!$M181&amp;" "&amp;'Compliance Database'!$N181&amp;" "&amp;'Compliance Database'!$O181)))),1,0)</f>
        <v>1</v>
      </c>
      <c r="B181">
        <f>IF($A181=1,SUM($A$2:$A181),"")</f>
        <v>180</v>
      </c>
      <c r="C181">
        <f>IF($A181=1,SUM($A$2:$A181),0)</f>
        <v>180</v>
      </c>
    </row>
    <row r="182" spans="1:3" x14ac:dyDescent="0.3">
      <c r="A182">
        <f>IF(AND(OR(Query!$B$4="All",'Compliance Database'!$A182=Query!$B$4),OR(Query!$B$5="All",'Compliance Database'!$F182=Query!$B$5),OR(Query!$B$6="All",ISNUMBER(SEARCH(Query!$B$6,'Compliance Database'!$I182))),OR(Query!$B$7="All",ISNUMBER(SEARCH(Query!$B$7,'Compliance Database'!$J182))),OR(Query!$B$8="All",'Compliance Database'!$G182=Query!$B$8),OR(Query!$B$9="All",'Compliance Database'!$K182=Query!$B$9),OR(Query!$B$10="",ISNUMBER(SEARCH(Query!$B$10,'Compliance Database'!$D182&amp;" "&amp;'Compliance Database'!$L182&amp;" "&amp;'Compliance Database'!$M182&amp;" "&amp;'Compliance Database'!$N182&amp;" "&amp;'Compliance Database'!$O182)))),1,0)</f>
        <v>1</v>
      </c>
      <c r="B182">
        <f>IF($A182=1,SUM($A$2:$A182),"")</f>
        <v>181</v>
      </c>
      <c r="C182">
        <f>IF($A182=1,SUM($A$2:$A182),0)</f>
        <v>181</v>
      </c>
    </row>
    <row r="183" spans="1:3" x14ac:dyDescent="0.3">
      <c r="A183">
        <f>IF(AND(OR(Query!$B$4="All",'Compliance Database'!$A183=Query!$B$4),OR(Query!$B$5="All",'Compliance Database'!$F183=Query!$B$5),OR(Query!$B$6="All",ISNUMBER(SEARCH(Query!$B$6,'Compliance Database'!$I183))),OR(Query!$B$7="All",ISNUMBER(SEARCH(Query!$B$7,'Compliance Database'!$J183))),OR(Query!$B$8="All",'Compliance Database'!$G183=Query!$B$8),OR(Query!$B$9="All",'Compliance Database'!$K183=Query!$B$9),OR(Query!$B$10="",ISNUMBER(SEARCH(Query!$B$10,'Compliance Database'!$D183&amp;" "&amp;'Compliance Database'!$L183&amp;" "&amp;'Compliance Database'!$M183&amp;" "&amp;'Compliance Database'!$N183&amp;" "&amp;'Compliance Database'!$O183)))),1,0)</f>
        <v>1</v>
      </c>
      <c r="B183">
        <f>IF($A183=1,SUM($A$2:$A183),"")</f>
        <v>182</v>
      </c>
      <c r="C183">
        <f>IF($A183=1,SUM($A$2:$A183),0)</f>
        <v>182</v>
      </c>
    </row>
    <row r="184" spans="1:3" x14ac:dyDescent="0.3">
      <c r="A184">
        <f>IF(AND(OR(Query!$B$4="All",'Compliance Database'!$A184=Query!$B$4),OR(Query!$B$5="All",'Compliance Database'!$F184=Query!$B$5),OR(Query!$B$6="All",ISNUMBER(SEARCH(Query!$B$6,'Compliance Database'!$I184))),OR(Query!$B$7="All",ISNUMBER(SEARCH(Query!$B$7,'Compliance Database'!$J184))),OR(Query!$B$8="All",'Compliance Database'!$G184=Query!$B$8),OR(Query!$B$9="All",'Compliance Database'!$K184=Query!$B$9),OR(Query!$B$10="",ISNUMBER(SEARCH(Query!$B$10,'Compliance Database'!$D184&amp;" "&amp;'Compliance Database'!$L184&amp;" "&amp;'Compliance Database'!$M184&amp;" "&amp;'Compliance Database'!$N184&amp;" "&amp;'Compliance Database'!$O184)))),1,0)</f>
        <v>1</v>
      </c>
      <c r="B184">
        <f>IF($A184=1,SUM($A$2:$A184),"")</f>
        <v>183</v>
      </c>
      <c r="C184">
        <f>IF($A184=1,SUM($A$2:$A184),0)</f>
        <v>183</v>
      </c>
    </row>
    <row r="185" spans="1:3" x14ac:dyDescent="0.3">
      <c r="A185">
        <f>IF(AND(OR(Query!$B$4="All",'Compliance Database'!$A185=Query!$B$4),OR(Query!$B$5="All",'Compliance Database'!$F185=Query!$B$5),OR(Query!$B$6="All",ISNUMBER(SEARCH(Query!$B$6,'Compliance Database'!$I185))),OR(Query!$B$7="All",ISNUMBER(SEARCH(Query!$B$7,'Compliance Database'!$J185))),OR(Query!$B$8="All",'Compliance Database'!$G185=Query!$B$8),OR(Query!$B$9="All",'Compliance Database'!$K185=Query!$B$9),OR(Query!$B$10="",ISNUMBER(SEARCH(Query!$B$10,'Compliance Database'!$D185&amp;" "&amp;'Compliance Database'!$L185&amp;" "&amp;'Compliance Database'!$M185&amp;" "&amp;'Compliance Database'!$N185&amp;" "&amp;'Compliance Database'!$O185)))),1,0)</f>
        <v>1</v>
      </c>
      <c r="B185">
        <f>IF($A185=1,SUM($A$2:$A185),"")</f>
        <v>184</v>
      </c>
      <c r="C185">
        <f>IF($A185=1,SUM($A$2:$A185),0)</f>
        <v>184</v>
      </c>
    </row>
    <row r="186" spans="1:3" x14ac:dyDescent="0.3">
      <c r="A186">
        <f>IF(AND(OR(Query!$B$4="All",'Compliance Database'!$A186=Query!$B$4),OR(Query!$B$5="All",'Compliance Database'!$F186=Query!$B$5),OR(Query!$B$6="All",ISNUMBER(SEARCH(Query!$B$6,'Compliance Database'!$I186))),OR(Query!$B$7="All",ISNUMBER(SEARCH(Query!$B$7,'Compliance Database'!$J186))),OR(Query!$B$8="All",'Compliance Database'!$G186=Query!$B$8),OR(Query!$B$9="All",'Compliance Database'!$K186=Query!$B$9),OR(Query!$B$10="",ISNUMBER(SEARCH(Query!$B$10,'Compliance Database'!$D186&amp;" "&amp;'Compliance Database'!$L186&amp;" "&amp;'Compliance Database'!$M186&amp;" "&amp;'Compliance Database'!$N186&amp;" "&amp;'Compliance Database'!$O186)))),1,0)</f>
        <v>1</v>
      </c>
      <c r="B186">
        <f>IF($A186=1,SUM($A$2:$A186),"")</f>
        <v>185</v>
      </c>
      <c r="C186">
        <f>IF($A186=1,SUM($A$2:$A186),0)</f>
        <v>185</v>
      </c>
    </row>
    <row r="187" spans="1:3" x14ac:dyDescent="0.3">
      <c r="A187">
        <f>IF(AND(OR(Query!$B$4="All",'Compliance Database'!$A187=Query!$B$4),OR(Query!$B$5="All",'Compliance Database'!$F187=Query!$B$5),OR(Query!$B$6="All",ISNUMBER(SEARCH(Query!$B$6,'Compliance Database'!$I187))),OR(Query!$B$7="All",ISNUMBER(SEARCH(Query!$B$7,'Compliance Database'!$J187))),OR(Query!$B$8="All",'Compliance Database'!$G187=Query!$B$8),OR(Query!$B$9="All",'Compliance Database'!$K187=Query!$B$9),OR(Query!$B$10="",ISNUMBER(SEARCH(Query!$B$10,'Compliance Database'!$D187&amp;" "&amp;'Compliance Database'!$L187&amp;" "&amp;'Compliance Database'!$M187&amp;" "&amp;'Compliance Database'!$N187&amp;" "&amp;'Compliance Database'!$O187)))),1,0)</f>
        <v>1</v>
      </c>
      <c r="B187">
        <f>IF($A187=1,SUM($A$2:$A187),"")</f>
        <v>186</v>
      </c>
      <c r="C187">
        <f>IF($A187=1,SUM($A$2:$A187),0)</f>
        <v>186</v>
      </c>
    </row>
    <row r="188" spans="1:3" x14ac:dyDescent="0.3">
      <c r="A188">
        <f>IF(AND(OR(Query!$B$4="All",'Compliance Database'!$A188=Query!$B$4),OR(Query!$B$5="All",'Compliance Database'!$F188=Query!$B$5),OR(Query!$B$6="All",ISNUMBER(SEARCH(Query!$B$6,'Compliance Database'!$I188))),OR(Query!$B$7="All",ISNUMBER(SEARCH(Query!$B$7,'Compliance Database'!$J188))),OR(Query!$B$8="All",'Compliance Database'!$G188=Query!$B$8),OR(Query!$B$9="All",'Compliance Database'!$K188=Query!$B$9),OR(Query!$B$10="",ISNUMBER(SEARCH(Query!$B$10,'Compliance Database'!$D188&amp;" "&amp;'Compliance Database'!$L188&amp;" "&amp;'Compliance Database'!$M188&amp;" "&amp;'Compliance Database'!$N188&amp;" "&amp;'Compliance Database'!$O188)))),1,0)</f>
        <v>1</v>
      </c>
      <c r="B188">
        <f>IF($A188=1,SUM($A$2:$A188),"")</f>
        <v>187</v>
      </c>
      <c r="C188">
        <f>IF($A188=1,SUM($A$2:$A188),0)</f>
        <v>187</v>
      </c>
    </row>
    <row r="189" spans="1:3" x14ac:dyDescent="0.3">
      <c r="A189">
        <f>IF(AND(OR(Query!$B$4="All",'Compliance Database'!$A189=Query!$B$4),OR(Query!$B$5="All",'Compliance Database'!$F189=Query!$B$5),OR(Query!$B$6="All",ISNUMBER(SEARCH(Query!$B$6,'Compliance Database'!$I189))),OR(Query!$B$7="All",ISNUMBER(SEARCH(Query!$B$7,'Compliance Database'!$J189))),OR(Query!$B$8="All",'Compliance Database'!$G189=Query!$B$8),OR(Query!$B$9="All",'Compliance Database'!$K189=Query!$B$9),OR(Query!$B$10="",ISNUMBER(SEARCH(Query!$B$10,'Compliance Database'!$D189&amp;" "&amp;'Compliance Database'!$L189&amp;" "&amp;'Compliance Database'!$M189&amp;" "&amp;'Compliance Database'!$N189&amp;" "&amp;'Compliance Database'!$O189)))),1,0)</f>
        <v>1</v>
      </c>
      <c r="B189">
        <f>IF($A189=1,SUM($A$2:$A189),"")</f>
        <v>188</v>
      </c>
      <c r="C189">
        <f>IF($A189=1,SUM($A$2:$A189),0)</f>
        <v>188</v>
      </c>
    </row>
    <row r="190" spans="1:3" x14ac:dyDescent="0.3">
      <c r="A190">
        <f>IF(AND(OR(Query!$B$4="All",'Compliance Database'!$A190=Query!$B$4),OR(Query!$B$5="All",'Compliance Database'!$F190=Query!$B$5),OR(Query!$B$6="All",ISNUMBER(SEARCH(Query!$B$6,'Compliance Database'!$I190))),OR(Query!$B$7="All",ISNUMBER(SEARCH(Query!$B$7,'Compliance Database'!$J190))),OR(Query!$B$8="All",'Compliance Database'!$G190=Query!$B$8),OR(Query!$B$9="All",'Compliance Database'!$K190=Query!$B$9),OR(Query!$B$10="",ISNUMBER(SEARCH(Query!$B$10,'Compliance Database'!$D190&amp;" "&amp;'Compliance Database'!$L190&amp;" "&amp;'Compliance Database'!$M190&amp;" "&amp;'Compliance Database'!$N190&amp;" "&amp;'Compliance Database'!$O190)))),1,0)</f>
        <v>1</v>
      </c>
      <c r="B190">
        <f>IF($A190=1,SUM($A$2:$A190),"")</f>
        <v>189</v>
      </c>
      <c r="C190">
        <f>IF($A190=1,SUM($A$2:$A190),0)</f>
        <v>189</v>
      </c>
    </row>
    <row r="191" spans="1:3" x14ac:dyDescent="0.3">
      <c r="A191">
        <f>IF(AND(OR(Query!$B$4="All",'Compliance Database'!$A191=Query!$B$4),OR(Query!$B$5="All",'Compliance Database'!$F191=Query!$B$5),OR(Query!$B$6="All",ISNUMBER(SEARCH(Query!$B$6,'Compliance Database'!$I191))),OR(Query!$B$7="All",ISNUMBER(SEARCH(Query!$B$7,'Compliance Database'!$J191))),OR(Query!$B$8="All",'Compliance Database'!$G191=Query!$B$8),OR(Query!$B$9="All",'Compliance Database'!$K191=Query!$B$9),OR(Query!$B$10="",ISNUMBER(SEARCH(Query!$B$10,'Compliance Database'!$D191&amp;" "&amp;'Compliance Database'!$L191&amp;" "&amp;'Compliance Database'!$M191&amp;" "&amp;'Compliance Database'!$N191&amp;" "&amp;'Compliance Database'!$O191)))),1,0)</f>
        <v>1</v>
      </c>
      <c r="B191">
        <f>IF($A191=1,SUM($A$2:$A191),"")</f>
        <v>190</v>
      </c>
      <c r="C191">
        <f>IF($A191=1,SUM($A$2:$A191),0)</f>
        <v>190</v>
      </c>
    </row>
    <row r="192" spans="1:3" x14ac:dyDescent="0.3">
      <c r="A192">
        <f>IF(AND(OR(Query!$B$4="All",'Compliance Database'!$A192=Query!$B$4),OR(Query!$B$5="All",'Compliance Database'!$F192=Query!$B$5),OR(Query!$B$6="All",ISNUMBER(SEARCH(Query!$B$6,'Compliance Database'!$I192))),OR(Query!$B$7="All",ISNUMBER(SEARCH(Query!$B$7,'Compliance Database'!$J192))),OR(Query!$B$8="All",'Compliance Database'!$G192=Query!$B$8),OR(Query!$B$9="All",'Compliance Database'!$K192=Query!$B$9),OR(Query!$B$10="",ISNUMBER(SEARCH(Query!$B$10,'Compliance Database'!$D192&amp;" "&amp;'Compliance Database'!$L192&amp;" "&amp;'Compliance Database'!$M192&amp;" "&amp;'Compliance Database'!$N192&amp;" "&amp;'Compliance Database'!$O192)))),1,0)</f>
        <v>1</v>
      </c>
      <c r="B192">
        <f>IF($A192=1,SUM($A$2:$A192),"")</f>
        <v>191</v>
      </c>
      <c r="C192">
        <f>IF($A192=1,SUM($A$2:$A192),0)</f>
        <v>191</v>
      </c>
    </row>
    <row r="193" spans="1:3" x14ac:dyDescent="0.3">
      <c r="A193">
        <f>IF(AND(OR(Query!$B$4="All",'Compliance Database'!$A193=Query!$B$4),OR(Query!$B$5="All",'Compliance Database'!$F193=Query!$B$5),OR(Query!$B$6="All",ISNUMBER(SEARCH(Query!$B$6,'Compliance Database'!$I193))),OR(Query!$B$7="All",ISNUMBER(SEARCH(Query!$B$7,'Compliance Database'!$J193))),OR(Query!$B$8="All",'Compliance Database'!$G193=Query!$B$8),OR(Query!$B$9="All",'Compliance Database'!$K193=Query!$B$9),OR(Query!$B$10="",ISNUMBER(SEARCH(Query!$B$10,'Compliance Database'!$D193&amp;" "&amp;'Compliance Database'!$L193&amp;" "&amp;'Compliance Database'!$M193&amp;" "&amp;'Compliance Database'!$N193&amp;" "&amp;'Compliance Database'!$O193)))),1,0)</f>
        <v>1</v>
      </c>
      <c r="B193">
        <f>IF($A193=1,SUM($A$2:$A193),"")</f>
        <v>192</v>
      </c>
      <c r="C193">
        <f>IF($A193=1,SUM($A$2:$A193),0)</f>
        <v>192</v>
      </c>
    </row>
    <row r="194" spans="1:3" x14ac:dyDescent="0.3">
      <c r="A194">
        <f>IF(AND(OR(Query!$B$4="All",'Compliance Database'!$A194=Query!$B$4),OR(Query!$B$5="All",'Compliance Database'!$F194=Query!$B$5),OR(Query!$B$6="All",ISNUMBER(SEARCH(Query!$B$6,'Compliance Database'!$I194))),OR(Query!$B$7="All",ISNUMBER(SEARCH(Query!$B$7,'Compliance Database'!$J194))),OR(Query!$B$8="All",'Compliance Database'!$G194=Query!$B$8),OR(Query!$B$9="All",'Compliance Database'!$K194=Query!$B$9),OR(Query!$B$10="",ISNUMBER(SEARCH(Query!$B$10,'Compliance Database'!$D194&amp;" "&amp;'Compliance Database'!$L194&amp;" "&amp;'Compliance Database'!$M194&amp;" "&amp;'Compliance Database'!$N194&amp;" "&amp;'Compliance Database'!$O194)))),1,0)</f>
        <v>1</v>
      </c>
      <c r="B194">
        <f>IF($A194=1,SUM($A$2:$A194),"")</f>
        <v>193</v>
      </c>
      <c r="C194">
        <f>IF($A194=1,SUM($A$2:$A194),0)</f>
        <v>193</v>
      </c>
    </row>
    <row r="195" spans="1:3" x14ac:dyDescent="0.3">
      <c r="A195">
        <f>IF(AND(OR(Query!$B$4="All",'Compliance Database'!$A195=Query!$B$4),OR(Query!$B$5="All",'Compliance Database'!$F195=Query!$B$5),OR(Query!$B$6="All",ISNUMBER(SEARCH(Query!$B$6,'Compliance Database'!$I195))),OR(Query!$B$7="All",ISNUMBER(SEARCH(Query!$B$7,'Compliance Database'!$J195))),OR(Query!$B$8="All",'Compliance Database'!$G195=Query!$B$8),OR(Query!$B$9="All",'Compliance Database'!$K195=Query!$B$9),OR(Query!$B$10="",ISNUMBER(SEARCH(Query!$B$10,'Compliance Database'!$D195&amp;" "&amp;'Compliance Database'!$L195&amp;" "&amp;'Compliance Database'!$M195&amp;" "&amp;'Compliance Database'!$N195&amp;" "&amp;'Compliance Database'!$O195)))),1,0)</f>
        <v>1</v>
      </c>
      <c r="B195">
        <f>IF($A195=1,SUM($A$2:$A195),"")</f>
        <v>194</v>
      </c>
      <c r="C195">
        <f>IF($A195=1,SUM($A$2:$A195),0)</f>
        <v>194</v>
      </c>
    </row>
    <row r="196" spans="1:3" x14ac:dyDescent="0.3">
      <c r="A196">
        <f>IF(AND(OR(Query!$B$4="All",'Compliance Database'!$A196=Query!$B$4),OR(Query!$B$5="All",'Compliance Database'!$F196=Query!$B$5),OR(Query!$B$6="All",ISNUMBER(SEARCH(Query!$B$6,'Compliance Database'!$I196))),OR(Query!$B$7="All",ISNUMBER(SEARCH(Query!$B$7,'Compliance Database'!$J196))),OR(Query!$B$8="All",'Compliance Database'!$G196=Query!$B$8),OR(Query!$B$9="All",'Compliance Database'!$K196=Query!$B$9),OR(Query!$B$10="",ISNUMBER(SEARCH(Query!$B$10,'Compliance Database'!$D196&amp;" "&amp;'Compliance Database'!$L196&amp;" "&amp;'Compliance Database'!$M196&amp;" "&amp;'Compliance Database'!$N196&amp;" "&amp;'Compliance Database'!$O196)))),1,0)</f>
        <v>1</v>
      </c>
      <c r="B196">
        <f>IF($A196=1,SUM($A$2:$A196),"")</f>
        <v>195</v>
      </c>
      <c r="C196">
        <f>IF($A196=1,SUM($A$2:$A196),0)</f>
        <v>195</v>
      </c>
    </row>
    <row r="197" spans="1:3" x14ac:dyDescent="0.3">
      <c r="A197">
        <f>IF(AND(OR(Query!$B$4="All",'Compliance Database'!$A197=Query!$B$4),OR(Query!$B$5="All",'Compliance Database'!$F197=Query!$B$5),OR(Query!$B$6="All",ISNUMBER(SEARCH(Query!$B$6,'Compliance Database'!$I197))),OR(Query!$B$7="All",ISNUMBER(SEARCH(Query!$B$7,'Compliance Database'!$J197))),OR(Query!$B$8="All",'Compliance Database'!$G197=Query!$B$8),OR(Query!$B$9="All",'Compliance Database'!$K197=Query!$B$9),OR(Query!$B$10="",ISNUMBER(SEARCH(Query!$B$10,'Compliance Database'!$D197&amp;" "&amp;'Compliance Database'!$L197&amp;" "&amp;'Compliance Database'!$M197&amp;" "&amp;'Compliance Database'!$N197&amp;" "&amp;'Compliance Database'!$O197)))),1,0)</f>
        <v>1</v>
      </c>
      <c r="B197">
        <f>IF($A197=1,SUM($A$2:$A197),"")</f>
        <v>196</v>
      </c>
      <c r="C197">
        <f>IF($A197=1,SUM($A$2:$A197),0)</f>
        <v>196</v>
      </c>
    </row>
    <row r="198" spans="1:3" x14ac:dyDescent="0.3">
      <c r="A198">
        <f>IF(AND(OR(Query!$B$4="All",'Compliance Database'!$A198=Query!$B$4),OR(Query!$B$5="All",'Compliance Database'!$F198=Query!$B$5),OR(Query!$B$6="All",ISNUMBER(SEARCH(Query!$B$6,'Compliance Database'!$I198))),OR(Query!$B$7="All",ISNUMBER(SEARCH(Query!$B$7,'Compliance Database'!$J198))),OR(Query!$B$8="All",'Compliance Database'!$G198=Query!$B$8),OR(Query!$B$9="All",'Compliance Database'!$K198=Query!$B$9),OR(Query!$B$10="",ISNUMBER(SEARCH(Query!$B$10,'Compliance Database'!$D198&amp;" "&amp;'Compliance Database'!$L198&amp;" "&amp;'Compliance Database'!$M198&amp;" "&amp;'Compliance Database'!$N198&amp;" "&amp;'Compliance Database'!$O198)))),1,0)</f>
        <v>1</v>
      </c>
      <c r="B198">
        <f>IF($A198=1,SUM($A$2:$A198),"")</f>
        <v>197</v>
      </c>
      <c r="C198">
        <f>IF($A198=1,SUM($A$2:$A198),0)</f>
        <v>197</v>
      </c>
    </row>
    <row r="199" spans="1:3" x14ac:dyDescent="0.3">
      <c r="A199">
        <f>IF(AND(OR(Query!$B$4="All",'Compliance Database'!$A199=Query!$B$4),OR(Query!$B$5="All",'Compliance Database'!$F199=Query!$B$5),OR(Query!$B$6="All",ISNUMBER(SEARCH(Query!$B$6,'Compliance Database'!$I199))),OR(Query!$B$7="All",ISNUMBER(SEARCH(Query!$B$7,'Compliance Database'!$J199))),OR(Query!$B$8="All",'Compliance Database'!$G199=Query!$B$8),OR(Query!$B$9="All",'Compliance Database'!$K199=Query!$B$9),OR(Query!$B$10="",ISNUMBER(SEARCH(Query!$B$10,'Compliance Database'!$D199&amp;" "&amp;'Compliance Database'!$L199&amp;" "&amp;'Compliance Database'!$M199&amp;" "&amp;'Compliance Database'!$N199&amp;" "&amp;'Compliance Database'!$O199)))),1,0)</f>
        <v>1</v>
      </c>
      <c r="B199">
        <f>IF($A199=1,SUM($A$2:$A199),"")</f>
        <v>198</v>
      </c>
      <c r="C199">
        <f>IF($A199=1,SUM($A$2:$A199),0)</f>
        <v>198</v>
      </c>
    </row>
    <row r="200" spans="1:3" x14ac:dyDescent="0.3">
      <c r="A200">
        <f>IF(AND(OR(Query!$B$4="All",'Compliance Database'!$A200=Query!$B$4),OR(Query!$B$5="All",'Compliance Database'!$F200=Query!$B$5),OR(Query!$B$6="All",ISNUMBER(SEARCH(Query!$B$6,'Compliance Database'!$I200))),OR(Query!$B$7="All",ISNUMBER(SEARCH(Query!$B$7,'Compliance Database'!$J200))),OR(Query!$B$8="All",'Compliance Database'!$G200=Query!$B$8),OR(Query!$B$9="All",'Compliance Database'!$K200=Query!$B$9),OR(Query!$B$10="",ISNUMBER(SEARCH(Query!$B$10,'Compliance Database'!$D200&amp;" "&amp;'Compliance Database'!$L200&amp;" "&amp;'Compliance Database'!$M200&amp;" "&amp;'Compliance Database'!$N200&amp;" "&amp;'Compliance Database'!$O200)))),1,0)</f>
        <v>1</v>
      </c>
      <c r="B200">
        <f>IF($A200=1,SUM($A$2:$A200),"")</f>
        <v>199</v>
      </c>
      <c r="C200">
        <f>IF($A200=1,SUM($A$2:$A200),0)</f>
        <v>199</v>
      </c>
    </row>
    <row r="201" spans="1:3" x14ac:dyDescent="0.3">
      <c r="A201">
        <f>IF(AND(OR(Query!$B$4="All",'Compliance Database'!$A201=Query!$B$4),OR(Query!$B$5="All",'Compliance Database'!$F201=Query!$B$5),OR(Query!$B$6="All",ISNUMBER(SEARCH(Query!$B$6,'Compliance Database'!$I201))),OR(Query!$B$7="All",ISNUMBER(SEARCH(Query!$B$7,'Compliance Database'!$J201))),OR(Query!$B$8="All",'Compliance Database'!$G201=Query!$B$8),OR(Query!$B$9="All",'Compliance Database'!$K201=Query!$B$9),OR(Query!$B$10="",ISNUMBER(SEARCH(Query!$B$10,'Compliance Database'!$D201&amp;" "&amp;'Compliance Database'!$L201&amp;" "&amp;'Compliance Database'!$M201&amp;" "&amp;'Compliance Database'!$N201&amp;" "&amp;'Compliance Database'!$O201)))),1,0)</f>
        <v>1</v>
      </c>
      <c r="B201">
        <f>IF($A201=1,SUM($A$2:$A201),"")</f>
        <v>200</v>
      </c>
      <c r="C201">
        <f>IF($A201=1,SUM($A$2:$A201),0)</f>
        <v>200</v>
      </c>
    </row>
    <row r="202" spans="1:3" x14ac:dyDescent="0.3">
      <c r="A202">
        <f>IF(AND(OR(Query!$B$4="All",'Compliance Database'!$A202=Query!$B$4),OR(Query!$B$5="All",'Compliance Database'!$F202=Query!$B$5),OR(Query!$B$6="All",ISNUMBER(SEARCH(Query!$B$6,'Compliance Database'!$I202))),OR(Query!$B$7="All",ISNUMBER(SEARCH(Query!$B$7,'Compliance Database'!$J202))),OR(Query!$B$8="All",'Compliance Database'!$G202=Query!$B$8),OR(Query!$B$9="All",'Compliance Database'!$K202=Query!$B$9),OR(Query!$B$10="",ISNUMBER(SEARCH(Query!$B$10,'Compliance Database'!$D202&amp;" "&amp;'Compliance Database'!$L202&amp;" "&amp;'Compliance Database'!$M202&amp;" "&amp;'Compliance Database'!$N202&amp;" "&amp;'Compliance Database'!$O202)))),1,0)</f>
        <v>1</v>
      </c>
      <c r="B202">
        <f>IF($A202=1,SUM($A$2:$A202),"")</f>
        <v>201</v>
      </c>
      <c r="C202">
        <f>IF($A202=1,SUM($A$2:$A202),0)</f>
        <v>201</v>
      </c>
    </row>
    <row r="203" spans="1:3" x14ac:dyDescent="0.3">
      <c r="A203">
        <f>IF(AND(OR(Query!$B$4="All",'Compliance Database'!$A203=Query!$B$4),OR(Query!$B$5="All",'Compliance Database'!$F203=Query!$B$5),OR(Query!$B$6="All",ISNUMBER(SEARCH(Query!$B$6,'Compliance Database'!$I203))),OR(Query!$B$7="All",ISNUMBER(SEARCH(Query!$B$7,'Compliance Database'!$J203))),OR(Query!$B$8="All",'Compliance Database'!$G203=Query!$B$8),OR(Query!$B$9="All",'Compliance Database'!$K203=Query!$B$9),OR(Query!$B$10="",ISNUMBER(SEARCH(Query!$B$10,'Compliance Database'!$D203&amp;" "&amp;'Compliance Database'!$L203&amp;" "&amp;'Compliance Database'!$M203&amp;" "&amp;'Compliance Database'!$N203&amp;" "&amp;'Compliance Database'!$O203)))),1,0)</f>
        <v>1</v>
      </c>
      <c r="B203">
        <f>IF($A203=1,SUM($A$2:$A203),"")</f>
        <v>202</v>
      </c>
      <c r="C203">
        <f>IF($A203=1,SUM($A$2:$A203),0)</f>
        <v>202</v>
      </c>
    </row>
    <row r="204" spans="1:3" x14ac:dyDescent="0.3">
      <c r="A204">
        <f>IF(AND(OR(Query!$B$4="All",'Compliance Database'!$A204=Query!$B$4),OR(Query!$B$5="All",'Compliance Database'!$F204=Query!$B$5),OR(Query!$B$6="All",ISNUMBER(SEARCH(Query!$B$6,'Compliance Database'!$I204))),OR(Query!$B$7="All",ISNUMBER(SEARCH(Query!$B$7,'Compliance Database'!$J204))),OR(Query!$B$8="All",'Compliance Database'!$G204=Query!$B$8),OR(Query!$B$9="All",'Compliance Database'!$K204=Query!$B$9),OR(Query!$B$10="",ISNUMBER(SEARCH(Query!$B$10,'Compliance Database'!$D204&amp;" "&amp;'Compliance Database'!$L204&amp;" "&amp;'Compliance Database'!$M204&amp;" "&amp;'Compliance Database'!$N204&amp;" "&amp;'Compliance Database'!$O204)))),1,0)</f>
        <v>1</v>
      </c>
      <c r="B204">
        <f>IF($A204=1,SUM($A$2:$A204),"")</f>
        <v>203</v>
      </c>
      <c r="C204">
        <f>IF($A204=1,SUM($A$2:$A204),0)</f>
        <v>203</v>
      </c>
    </row>
    <row r="205" spans="1:3" x14ac:dyDescent="0.3">
      <c r="A205">
        <f>IF(AND(OR(Query!$B$4="All",'Compliance Database'!$A205=Query!$B$4),OR(Query!$B$5="All",'Compliance Database'!$F205=Query!$B$5),OR(Query!$B$6="All",ISNUMBER(SEARCH(Query!$B$6,'Compliance Database'!$I205))),OR(Query!$B$7="All",ISNUMBER(SEARCH(Query!$B$7,'Compliance Database'!$J205))),OR(Query!$B$8="All",'Compliance Database'!$G205=Query!$B$8),OR(Query!$B$9="All",'Compliance Database'!$K205=Query!$B$9),OR(Query!$B$10="",ISNUMBER(SEARCH(Query!$B$10,'Compliance Database'!$D205&amp;" "&amp;'Compliance Database'!$L205&amp;" "&amp;'Compliance Database'!$M205&amp;" "&amp;'Compliance Database'!$N205&amp;" "&amp;'Compliance Database'!$O205)))),1,0)</f>
        <v>1</v>
      </c>
      <c r="B205">
        <f>IF($A205=1,SUM($A$2:$A205),"")</f>
        <v>204</v>
      </c>
      <c r="C205">
        <f>IF($A205=1,SUM($A$2:$A205),0)</f>
        <v>204</v>
      </c>
    </row>
    <row r="206" spans="1:3" x14ac:dyDescent="0.3">
      <c r="A206">
        <f>IF(AND(OR(Query!$B$4="All",'Compliance Database'!$A206=Query!$B$4),OR(Query!$B$5="All",'Compliance Database'!$F206=Query!$B$5),OR(Query!$B$6="All",ISNUMBER(SEARCH(Query!$B$6,'Compliance Database'!$I206))),OR(Query!$B$7="All",ISNUMBER(SEARCH(Query!$B$7,'Compliance Database'!$J206))),OR(Query!$B$8="All",'Compliance Database'!$G206=Query!$B$8),OR(Query!$B$9="All",'Compliance Database'!$K206=Query!$B$9),OR(Query!$B$10="",ISNUMBER(SEARCH(Query!$B$10,'Compliance Database'!$D206&amp;" "&amp;'Compliance Database'!$L206&amp;" "&amp;'Compliance Database'!$M206&amp;" "&amp;'Compliance Database'!$N206&amp;" "&amp;'Compliance Database'!$O206)))),1,0)</f>
        <v>1</v>
      </c>
      <c r="B206">
        <f>IF($A206=1,SUM($A$2:$A206),"")</f>
        <v>205</v>
      </c>
      <c r="C206">
        <f>IF($A206=1,SUM($A$2:$A206),0)</f>
        <v>205</v>
      </c>
    </row>
    <row r="207" spans="1:3" x14ac:dyDescent="0.3">
      <c r="A207">
        <f>IF(AND(OR(Query!$B$4="All",'Compliance Database'!$A207=Query!$B$4),OR(Query!$B$5="All",'Compliance Database'!$F207=Query!$B$5),OR(Query!$B$6="All",ISNUMBER(SEARCH(Query!$B$6,'Compliance Database'!$I207))),OR(Query!$B$7="All",ISNUMBER(SEARCH(Query!$B$7,'Compliance Database'!$J207))),OR(Query!$B$8="All",'Compliance Database'!$G207=Query!$B$8),OR(Query!$B$9="All",'Compliance Database'!$K207=Query!$B$9),OR(Query!$B$10="",ISNUMBER(SEARCH(Query!$B$10,'Compliance Database'!$D207&amp;" "&amp;'Compliance Database'!$L207&amp;" "&amp;'Compliance Database'!$M207&amp;" "&amp;'Compliance Database'!$N207&amp;" "&amp;'Compliance Database'!$O207)))),1,0)</f>
        <v>1</v>
      </c>
      <c r="B207">
        <f>IF($A207=1,SUM($A$2:$A207),"")</f>
        <v>206</v>
      </c>
      <c r="C207">
        <f>IF($A207=1,SUM($A$2:$A207),0)</f>
        <v>206</v>
      </c>
    </row>
    <row r="208" spans="1:3" x14ac:dyDescent="0.3">
      <c r="A208">
        <f>IF(AND(OR(Query!$B$4="All",'Compliance Database'!$A208=Query!$B$4),OR(Query!$B$5="All",'Compliance Database'!$F208=Query!$B$5),OR(Query!$B$6="All",ISNUMBER(SEARCH(Query!$B$6,'Compliance Database'!$I208))),OR(Query!$B$7="All",ISNUMBER(SEARCH(Query!$B$7,'Compliance Database'!$J208))),OR(Query!$B$8="All",'Compliance Database'!$G208=Query!$B$8),OR(Query!$B$9="All",'Compliance Database'!$K208=Query!$B$9),OR(Query!$B$10="",ISNUMBER(SEARCH(Query!$B$10,'Compliance Database'!$D208&amp;" "&amp;'Compliance Database'!$L208&amp;" "&amp;'Compliance Database'!$M208&amp;" "&amp;'Compliance Database'!$N208&amp;" "&amp;'Compliance Database'!$O208)))),1,0)</f>
        <v>1</v>
      </c>
      <c r="B208">
        <f>IF($A208=1,SUM($A$2:$A208),"")</f>
        <v>207</v>
      </c>
      <c r="C208">
        <f>IF($A208=1,SUM($A$2:$A208),0)</f>
        <v>207</v>
      </c>
    </row>
    <row r="209" spans="1:3" x14ac:dyDescent="0.3">
      <c r="A209">
        <f>IF(AND(OR(Query!$B$4="All",'Compliance Database'!$A209=Query!$B$4),OR(Query!$B$5="All",'Compliance Database'!$F209=Query!$B$5),OR(Query!$B$6="All",ISNUMBER(SEARCH(Query!$B$6,'Compliance Database'!$I209))),OR(Query!$B$7="All",ISNUMBER(SEARCH(Query!$B$7,'Compliance Database'!$J209))),OR(Query!$B$8="All",'Compliance Database'!$G209=Query!$B$8),OR(Query!$B$9="All",'Compliance Database'!$K209=Query!$B$9),OR(Query!$B$10="",ISNUMBER(SEARCH(Query!$B$10,'Compliance Database'!$D209&amp;" "&amp;'Compliance Database'!$L209&amp;" "&amp;'Compliance Database'!$M209&amp;" "&amp;'Compliance Database'!$N209&amp;" "&amp;'Compliance Database'!$O209)))),1,0)</f>
        <v>1</v>
      </c>
      <c r="B209">
        <f>IF($A209=1,SUM($A$2:$A209),"")</f>
        <v>208</v>
      </c>
      <c r="C209">
        <f>IF($A209=1,SUM($A$2:$A209),0)</f>
        <v>208</v>
      </c>
    </row>
    <row r="210" spans="1:3" x14ac:dyDescent="0.3">
      <c r="A210">
        <f>IF(AND(OR(Query!$B$4="All",'Compliance Database'!$A210=Query!$B$4),OR(Query!$B$5="All",'Compliance Database'!$F210=Query!$B$5),OR(Query!$B$6="All",ISNUMBER(SEARCH(Query!$B$6,'Compliance Database'!$I210))),OR(Query!$B$7="All",ISNUMBER(SEARCH(Query!$B$7,'Compliance Database'!$J210))),OR(Query!$B$8="All",'Compliance Database'!$G210=Query!$B$8),OR(Query!$B$9="All",'Compliance Database'!$K210=Query!$B$9),OR(Query!$B$10="",ISNUMBER(SEARCH(Query!$B$10,'Compliance Database'!$D210&amp;" "&amp;'Compliance Database'!$L210&amp;" "&amp;'Compliance Database'!$M210&amp;" "&amp;'Compliance Database'!$N210&amp;" "&amp;'Compliance Database'!$O210)))),1,0)</f>
        <v>1</v>
      </c>
      <c r="B210">
        <f>IF($A210=1,SUM($A$2:$A210),"")</f>
        <v>209</v>
      </c>
      <c r="C210">
        <f>IF($A210=1,SUM($A$2:$A210),0)</f>
        <v>209</v>
      </c>
    </row>
    <row r="211" spans="1:3" x14ac:dyDescent="0.3">
      <c r="A211">
        <f>IF(AND(OR(Query!$B$4="All",'Compliance Database'!$A211=Query!$B$4),OR(Query!$B$5="All",'Compliance Database'!$F211=Query!$B$5),OR(Query!$B$6="All",ISNUMBER(SEARCH(Query!$B$6,'Compliance Database'!$I211))),OR(Query!$B$7="All",ISNUMBER(SEARCH(Query!$B$7,'Compliance Database'!$J211))),OR(Query!$B$8="All",'Compliance Database'!$G211=Query!$B$8),OR(Query!$B$9="All",'Compliance Database'!$K211=Query!$B$9),OR(Query!$B$10="",ISNUMBER(SEARCH(Query!$B$10,'Compliance Database'!$D211&amp;" "&amp;'Compliance Database'!$L211&amp;" "&amp;'Compliance Database'!$M211&amp;" "&amp;'Compliance Database'!$N211&amp;" "&amp;'Compliance Database'!$O211)))),1,0)</f>
        <v>1</v>
      </c>
      <c r="B211">
        <f>IF($A211=1,SUM($A$2:$A211),"")</f>
        <v>210</v>
      </c>
      <c r="C211">
        <f>IF($A211=1,SUM($A$2:$A211),0)</f>
        <v>210</v>
      </c>
    </row>
    <row r="212" spans="1:3" x14ac:dyDescent="0.3">
      <c r="A212">
        <f>IF(AND(OR(Query!$B$4="All",'Compliance Database'!$A212=Query!$B$4),OR(Query!$B$5="All",'Compliance Database'!$F212=Query!$B$5),OR(Query!$B$6="All",ISNUMBER(SEARCH(Query!$B$6,'Compliance Database'!$I212))),OR(Query!$B$7="All",ISNUMBER(SEARCH(Query!$B$7,'Compliance Database'!$J212))),OR(Query!$B$8="All",'Compliance Database'!$G212=Query!$B$8),OR(Query!$B$9="All",'Compliance Database'!$K212=Query!$B$9),OR(Query!$B$10="",ISNUMBER(SEARCH(Query!$B$10,'Compliance Database'!$D212&amp;" "&amp;'Compliance Database'!$L212&amp;" "&amp;'Compliance Database'!$M212&amp;" "&amp;'Compliance Database'!$N212&amp;" "&amp;'Compliance Database'!$O212)))),1,0)</f>
        <v>1</v>
      </c>
      <c r="B212">
        <f>IF($A212=1,SUM($A$2:$A212),"")</f>
        <v>211</v>
      </c>
      <c r="C212">
        <f>IF($A212=1,SUM($A$2:$A212),0)</f>
        <v>211</v>
      </c>
    </row>
    <row r="213" spans="1:3" x14ac:dyDescent="0.3">
      <c r="A213">
        <f>IF(AND(OR(Query!$B$4="All",'Compliance Database'!$A213=Query!$B$4),OR(Query!$B$5="All",'Compliance Database'!$F213=Query!$B$5),OR(Query!$B$6="All",ISNUMBER(SEARCH(Query!$B$6,'Compliance Database'!$I213))),OR(Query!$B$7="All",ISNUMBER(SEARCH(Query!$B$7,'Compliance Database'!$J213))),OR(Query!$B$8="All",'Compliance Database'!$G213=Query!$B$8),OR(Query!$B$9="All",'Compliance Database'!$K213=Query!$B$9),OR(Query!$B$10="",ISNUMBER(SEARCH(Query!$B$10,'Compliance Database'!$D213&amp;" "&amp;'Compliance Database'!$L213&amp;" "&amp;'Compliance Database'!$M213&amp;" "&amp;'Compliance Database'!$N213&amp;" "&amp;'Compliance Database'!$O213)))),1,0)</f>
        <v>1</v>
      </c>
      <c r="B213">
        <f>IF($A213=1,SUM($A$2:$A213),"")</f>
        <v>212</v>
      </c>
      <c r="C213">
        <f>IF($A213=1,SUM($A$2:$A213),0)</f>
        <v>212</v>
      </c>
    </row>
    <row r="214" spans="1:3" x14ac:dyDescent="0.3">
      <c r="A214">
        <f>IF(AND(OR(Query!$B$4="All",'Compliance Database'!$A214=Query!$B$4),OR(Query!$B$5="All",'Compliance Database'!$F214=Query!$B$5),OR(Query!$B$6="All",ISNUMBER(SEARCH(Query!$B$6,'Compliance Database'!$I214))),OR(Query!$B$7="All",ISNUMBER(SEARCH(Query!$B$7,'Compliance Database'!$J214))),OR(Query!$B$8="All",'Compliance Database'!$G214=Query!$B$8),OR(Query!$B$9="All",'Compliance Database'!$K214=Query!$B$9),OR(Query!$B$10="",ISNUMBER(SEARCH(Query!$B$10,'Compliance Database'!$D214&amp;" "&amp;'Compliance Database'!$L214&amp;" "&amp;'Compliance Database'!$M214&amp;" "&amp;'Compliance Database'!$N214&amp;" "&amp;'Compliance Database'!$O214)))),1,0)</f>
        <v>1</v>
      </c>
      <c r="B214">
        <f>IF($A214=1,SUM($A$2:$A214),"")</f>
        <v>213</v>
      </c>
      <c r="C214">
        <f>IF($A214=1,SUM($A$2:$A214),0)</f>
        <v>213</v>
      </c>
    </row>
    <row r="215" spans="1:3" x14ac:dyDescent="0.3">
      <c r="A215">
        <f>IF(AND(OR(Query!$B$4="All",'Compliance Database'!$A215=Query!$B$4),OR(Query!$B$5="All",'Compliance Database'!$F215=Query!$B$5),OR(Query!$B$6="All",ISNUMBER(SEARCH(Query!$B$6,'Compliance Database'!$I215))),OR(Query!$B$7="All",ISNUMBER(SEARCH(Query!$B$7,'Compliance Database'!$J215))),OR(Query!$B$8="All",'Compliance Database'!$G215=Query!$B$8),OR(Query!$B$9="All",'Compliance Database'!$K215=Query!$B$9),OR(Query!$B$10="",ISNUMBER(SEARCH(Query!$B$10,'Compliance Database'!$D215&amp;" "&amp;'Compliance Database'!$L215&amp;" "&amp;'Compliance Database'!$M215&amp;" "&amp;'Compliance Database'!$N215&amp;" "&amp;'Compliance Database'!$O215)))),1,0)</f>
        <v>1</v>
      </c>
      <c r="B215">
        <f>IF($A215=1,SUM($A$2:$A215),"")</f>
        <v>214</v>
      </c>
      <c r="C215">
        <f>IF($A215=1,SUM($A$2:$A215),0)</f>
        <v>214</v>
      </c>
    </row>
    <row r="216" spans="1:3" x14ac:dyDescent="0.3">
      <c r="A216">
        <f>IF(AND(OR(Query!$B$4="All",'Compliance Database'!$A216=Query!$B$4),OR(Query!$B$5="All",'Compliance Database'!$F216=Query!$B$5),OR(Query!$B$6="All",ISNUMBER(SEARCH(Query!$B$6,'Compliance Database'!$I216))),OR(Query!$B$7="All",ISNUMBER(SEARCH(Query!$B$7,'Compliance Database'!$J216))),OR(Query!$B$8="All",'Compliance Database'!$G216=Query!$B$8),OR(Query!$B$9="All",'Compliance Database'!$K216=Query!$B$9),OR(Query!$B$10="",ISNUMBER(SEARCH(Query!$B$10,'Compliance Database'!$D216&amp;" "&amp;'Compliance Database'!$L216&amp;" "&amp;'Compliance Database'!$M216&amp;" "&amp;'Compliance Database'!$N216&amp;" "&amp;'Compliance Database'!$O216)))),1,0)</f>
        <v>1</v>
      </c>
      <c r="B216">
        <f>IF($A216=1,SUM($A$2:$A216),"")</f>
        <v>215</v>
      </c>
      <c r="C216">
        <f>IF($A216=1,SUM($A$2:$A216),0)</f>
        <v>215</v>
      </c>
    </row>
    <row r="217" spans="1:3" x14ac:dyDescent="0.3">
      <c r="A217">
        <f>IF(AND(OR(Query!$B$4="All",'Compliance Database'!$A217=Query!$B$4),OR(Query!$B$5="All",'Compliance Database'!$F217=Query!$B$5),OR(Query!$B$6="All",ISNUMBER(SEARCH(Query!$B$6,'Compliance Database'!$I217))),OR(Query!$B$7="All",ISNUMBER(SEARCH(Query!$B$7,'Compliance Database'!$J217))),OR(Query!$B$8="All",'Compliance Database'!$G217=Query!$B$8),OR(Query!$B$9="All",'Compliance Database'!$K217=Query!$B$9),OR(Query!$B$10="",ISNUMBER(SEARCH(Query!$B$10,'Compliance Database'!$D217&amp;" "&amp;'Compliance Database'!$L217&amp;" "&amp;'Compliance Database'!$M217&amp;" "&amp;'Compliance Database'!$N217&amp;" "&amp;'Compliance Database'!$O217)))),1,0)</f>
        <v>1</v>
      </c>
      <c r="B217">
        <f>IF($A217=1,SUM($A$2:$A217),"")</f>
        <v>216</v>
      </c>
      <c r="C217">
        <f>IF($A217=1,SUM($A$2:$A217),0)</f>
        <v>216</v>
      </c>
    </row>
    <row r="218" spans="1:3" x14ac:dyDescent="0.3">
      <c r="A218">
        <f>IF(AND(OR(Query!$B$4="All",'Compliance Database'!$A218=Query!$B$4),OR(Query!$B$5="All",'Compliance Database'!$F218=Query!$B$5),OR(Query!$B$6="All",ISNUMBER(SEARCH(Query!$B$6,'Compliance Database'!$I218))),OR(Query!$B$7="All",ISNUMBER(SEARCH(Query!$B$7,'Compliance Database'!$J218))),OR(Query!$B$8="All",'Compliance Database'!$G218=Query!$B$8),OR(Query!$B$9="All",'Compliance Database'!$K218=Query!$B$9),OR(Query!$B$10="",ISNUMBER(SEARCH(Query!$B$10,'Compliance Database'!$D218&amp;" "&amp;'Compliance Database'!$L218&amp;" "&amp;'Compliance Database'!$M218&amp;" "&amp;'Compliance Database'!$N218&amp;" "&amp;'Compliance Database'!$O218)))),1,0)</f>
        <v>1</v>
      </c>
      <c r="B218">
        <f>IF($A218=1,SUM($A$2:$A218),"")</f>
        <v>217</v>
      </c>
      <c r="C218">
        <f>IF($A218=1,SUM($A$2:$A218),0)</f>
        <v>217</v>
      </c>
    </row>
    <row r="219" spans="1:3" x14ac:dyDescent="0.3">
      <c r="A219">
        <f>IF(AND(OR(Query!$B$4="All",'Compliance Database'!$A219=Query!$B$4),OR(Query!$B$5="All",'Compliance Database'!$F219=Query!$B$5),OR(Query!$B$6="All",ISNUMBER(SEARCH(Query!$B$6,'Compliance Database'!$I219))),OR(Query!$B$7="All",ISNUMBER(SEARCH(Query!$B$7,'Compliance Database'!$J219))),OR(Query!$B$8="All",'Compliance Database'!$G219=Query!$B$8),OR(Query!$B$9="All",'Compliance Database'!$K219=Query!$B$9),OR(Query!$B$10="",ISNUMBER(SEARCH(Query!$B$10,'Compliance Database'!$D219&amp;" "&amp;'Compliance Database'!$L219&amp;" "&amp;'Compliance Database'!$M219&amp;" "&amp;'Compliance Database'!$N219&amp;" "&amp;'Compliance Database'!$O219)))),1,0)</f>
        <v>1</v>
      </c>
      <c r="B219">
        <f>IF($A219=1,SUM($A$2:$A219),"")</f>
        <v>218</v>
      </c>
      <c r="C219">
        <f>IF($A219=1,SUM($A$2:$A219),0)</f>
        <v>218</v>
      </c>
    </row>
    <row r="220" spans="1:3" x14ac:dyDescent="0.3">
      <c r="A220">
        <f>IF(AND(OR(Query!$B$4="All",'Compliance Database'!$A220=Query!$B$4),OR(Query!$B$5="All",'Compliance Database'!$F220=Query!$B$5),OR(Query!$B$6="All",ISNUMBER(SEARCH(Query!$B$6,'Compliance Database'!$I220))),OR(Query!$B$7="All",ISNUMBER(SEARCH(Query!$B$7,'Compliance Database'!$J220))),OR(Query!$B$8="All",'Compliance Database'!$G220=Query!$B$8),OR(Query!$B$9="All",'Compliance Database'!$K220=Query!$B$9),OR(Query!$B$10="",ISNUMBER(SEARCH(Query!$B$10,'Compliance Database'!$D220&amp;" "&amp;'Compliance Database'!$L220&amp;" "&amp;'Compliance Database'!$M220&amp;" "&amp;'Compliance Database'!$N220&amp;" "&amp;'Compliance Database'!$O220)))),1,0)</f>
        <v>1</v>
      </c>
      <c r="B220">
        <f>IF($A220=1,SUM($A$2:$A220),"")</f>
        <v>219</v>
      </c>
      <c r="C220">
        <f>IF($A220=1,SUM($A$2:$A220),0)</f>
        <v>219</v>
      </c>
    </row>
    <row r="221" spans="1:3" x14ac:dyDescent="0.3">
      <c r="A221">
        <f>IF(AND(OR(Query!$B$4="All",'Compliance Database'!$A221=Query!$B$4),OR(Query!$B$5="All",'Compliance Database'!$F221=Query!$B$5),OR(Query!$B$6="All",ISNUMBER(SEARCH(Query!$B$6,'Compliance Database'!$I221))),OR(Query!$B$7="All",ISNUMBER(SEARCH(Query!$B$7,'Compliance Database'!$J221))),OR(Query!$B$8="All",'Compliance Database'!$G221=Query!$B$8),OR(Query!$B$9="All",'Compliance Database'!$K221=Query!$B$9),OR(Query!$B$10="",ISNUMBER(SEARCH(Query!$B$10,'Compliance Database'!$D221&amp;" "&amp;'Compliance Database'!$L221&amp;" "&amp;'Compliance Database'!$M221&amp;" "&amp;'Compliance Database'!$N221&amp;" "&amp;'Compliance Database'!$O221)))),1,0)</f>
        <v>1</v>
      </c>
      <c r="B221">
        <f>IF($A221=1,SUM($A$2:$A221),"")</f>
        <v>220</v>
      </c>
      <c r="C221">
        <f>IF($A221=1,SUM($A$2:$A221),0)</f>
        <v>220</v>
      </c>
    </row>
    <row r="222" spans="1:3" x14ac:dyDescent="0.3">
      <c r="A222">
        <f>IF(AND(OR(Query!$B$4="All",'Compliance Database'!$A222=Query!$B$4),OR(Query!$B$5="All",'Compliance Database'!$F222=Query!$B$5),OR(Query!$B$6="All",ISNUMBER(SEARCH(Query!$B$6,'Compliance Database'!$I222))),OR(Query!$B$7="All",ISNUMBER(SEARCH(Query!$B$7,'Compliance Database'!$J222))),OR(Query!$B$8="All",'Compliance Database'!$G222=Query!$B$8),OR(Query!$B$9="All",'Compliance Database'!$K222=Query!$B$9),OR(Query!$B$10="",ISNUMBER(SEARCH(Query!$B$10,'Compliance Database'!$D222&amp;" "&amp;'Compliance Database'!$L222&amp;" "&amp;'Compliance Database'!$M222&amp;" "&amp;'Compliance Database'!$N222&amp;" "&amp;'Compliance Database'!$O222)))),1,0)</f>
        <v>1</v>
      </c>
      <c r="B222">
        <f>IF($A222=1,SUM($A$2:$A222),"")</f>
        <v>221</v>
      </c>
      <c r="C222">
        <f>IF($A222=1,SUM($A$2:$A222),0)</f>
        <v>221</v>
      </c>
    </row>
    <row r="223" spans="1:3" x14ac:dyDescent="0.3">
      <c r="A223">
        <f>IF(AND(OR(Query!$B$4="All",'Compliance Database'!$A223=Query!$B$4),OR(Query!$B$5="All",'Compliance Database'!$F223=Query!$B$5),OR(Query!$B$6="All",ISNUMBER(SEARCH(Query!$B$6,'Compliance Database'!$I223))),OR(Query!$B$7="All",ISNUMBER(SEARCH(Query!$B$7,'Compliance Database'!$J223))),OR(Query!$B$8="All",'Compliance Database'!$G223=Query!$B$8),OR(Query!$B$9="All",'Compliance Database'!$K223=Query!$B$9),OR(Query!$B$10="",ISNUMBER(SEARCH(Query!$B$10,'Compliance Database'!$D223&amp;" "&amp;'Compliance Database'!$L223&amp;" "&amp;'Compliance Database'!$M223&amp;" "&amp;'Compliance Database'!$N223&amp;" "&amp;'Compliance Database'!$O223)))),1,0)</f>
        <v>1</v>
      </c>
      <c r="B223">
        <f>IF($A223=1,SUM($A$2:$A223),"")</f>
        <v>222</v>
      </c>
      <c r="C223">
        <f>IF($A223=1,SUM($A$2:$A223),0)</f>
        <v>222</v>
      </c>
    </row>
    <row r="224" spans="1:3" x14ac:dyDescent="0.3">
      <c r="A224">
        <f>IF(AND(OR(Query!$B$4="All",'Compliance Database'!$A224=Query!$B$4),OR(Query!$B$5="All",'Compliance Database'!$F224=Query!$B$5),OR(Query!$B$6="All",ISNUMBER(SEARCH(Query!$B$6,'Compliance Database'!$I224))),OR(Query!$B$7="All",ISNUMBER(SEARCH(Query!$B$7,'Compliance Database'!$J224))),OR(Query!$B$8="All",'Compliance Database'!$G224=Query!$B$8),OR(Query!$B$9="All",'Compliance Database'!$K224=Query!$B$9),OR(Query!$B$10="",ISNUMBER(SEARCH(Query!$B$10,'Compliance Database'!$D224&amp;" "&amp;'Compliance Database'!$L224&amp;" "&amp;'Compliance Database'!$M224&amp;" "&amp;'Compliance Database'!$N224&amp;" "&amp;'Compliance Database'!$O224)))),1,0)</f>
        <v>1</v>
      </c>
      <c r="B224">
        <f>IF($A224=1,SUM($A$2:$A224),"")</f>
        <v>223</v>
      </c>
      <c r="C224">
        <f>IF($A224=1,SUM($A$2:$A224),0)</f>
        <v>223</v>
      </c>
    </row>
    <row r="225" spans="1:3" x14ac:dyDescent="0.3">
      <c r="A225">
        <f>IF(AND(OR(Query!$B$4="All",'Compliance Database'!$A225=Query!$B$4),OR(Query!$B$5="All",'Compliance Database'!$F225=Query!$B$5),OR(Query!$B$6="All",ISNUMBER(SEARCH(Query!$B$6,'Compliance Database'!$I225))),OR(Query!$B$7="All",ISNUMBER(SEARCH(Query!$B$7,'Compliance Database'!$J225))),OR(Query!$B$8="All",'Compliance Database'!$G225=Query!$B$8),OR(Query!$B$9="All",'Compliance Database'!$K225=Query!$B$9),OR(Query!$B$10="",ISNUMBER(SEARCH(Query!$B$10,'Compliance Database'!$D225&amp;" "&amp;'Compliance Database'!$L225&amp;" "&amp;'Compliance Database'!$M225&amp;" "&amp;'Compliance Database'!$N225&amp;" "&amp;'Compliance Database'!$O225)))),1,0)</f>
        <v>1</v>
      </c>
      <c r="B225">
        <f>IF($A225=1,SUM($A$2:$A225),"")</f>
        <v>224</v>
      </c>
      <c r="C225">
        <f>IF($A225=1,SUM($A$2:$A225),0)</f>
        <v>224</v>
      </c>
    </row>
    <row r="226" spans="1:3" x14ac:dyDescent="0.3">
      <c r="A226">
        <f>IF(AND(OR(Query!$B$4="All",'Compliance Database'!$A226=Query!$B$4),OR(Query!$B$5="All",'Compliance Database'!$F226=Query!$B$5),OR(Query!$B$6="All",ISNUMBER(SEARCH(Query!$B$6,'Compliance Database'!$I226))),OR(Query!$B$7="All",ISNUMBER(SEARCH(Query!$B$7,'Compliance Database'!$J226))),OR(Query!$B$8="All",'Compliance Database'!$G226=Query!$B$8),OR(Query!$B$9="All",'Compliance Database'!$K226=Query!$B$9),OR(Query!$B$10="",ISNUMBER(SEARCH(Query!$B$10,'Compliance Database'!$D226&amp;" "&amp;'Compliance Database'!$L226&amp;" "&amp;'Compliance Database'!$M226&amp;" "&amp;'Compliance Database'!$N226&amp;" "&amp;'Compliance Database'!$O226)))),1,0)</f>
        <v>1</v>
      </c>
      <c r="B226">
        <f>IF($A226=1,SUM($A$2:$A226),"")</f>
        <v>225</v>
      </c>
      <c r="C226">
        <f>IF($A226=1,SUM($A$2:$A226),0)</f>
        <v>225</v>
      </c>
    </row>
    <row r="227" spans="1:3" x14ac:dyDescent="0.3">
      <c r="A227">
        <f>IF(AND(OR(Query!$B$4="All",'Compliance Database'!$A227=Query!$B$4),OR(Query!$B$5="All",'Compliance Database'!$F227=Query!$B$5),OR(Query!$B$6="All",ISNUMBER(SEARCH(Query!$B$6,'Compliance Database'!$I227))),OR(Query!$B$7="All",ISNUMBER(SEARCH(Query!$B$7,'Compliance Database'!$J227))),OR(Query!$B$8="All",'Compliance Database'!$G227=Query!$B$8),OR(Query!$B$9="All",'Compliance Database'!$K227=Query!$B$9),OR(Query!$B$10="",ISNUMBER(SEARCH(Query!$B$10,'Compliance Database'!$D227&amp;" "&amp;'Compliance Database'!$L227&amp;" "&amp;'Compliance Database'!$M227&amp;" "&amp;'Compliance Database'!$N227&amp;" "&amp;'Compliance Database'!$O227)))),1,0)</f>
        <v>1</v>
      </c>
      <c r="B227">
        <f>IF($A227=1,SUM($A$2:$A227),"")</f>
        <v>226</v>
      </c>
      <c r="C227">
        <f>IF($A227=1,SUM($A$2:$A227),0)</f>
        <v>226</v>
      </c>
    </row>
    <row r="228" spans="1:3" x14ac:dyDescent="0.3">
      <c r="A228">
        <f>IF(AND(OR(Query!$B$4="All",'Compliance Database'!$A228=Query!$B$4),OR(Query!$B$5="All",'Compliance Database'!$F228=Query!$B$5),OR(Query!$B$6="All",ISNUMBER(SEARCH(Query!$B$6,'Compliance Database'!$I228))),OR(Query!$B$7="All",ISNUMBER(SEARCH(Query!$B$7,'Compliance Database'!$J228))),OR(Query!$B$8="All",'Compliance Database'!$G228=Query!$B$8),OR(Query!$B$9="All",'Compliance Database'!$K228=Query!$B$9),OR(Query!$B$10="",ISNUMBER(SEARCH(Query!$B$10,'Compliance Database'!$D228&amp;" "&amp;'Compliance Database'!$L228&amp;" "&amp;'Compliance Database'!$M228&amp;" "&amp;'Compliance Database'!$N228&amp;" "&amp;'Compliance Database'!$O228)))),1,0)</f>
        <v>1</v>
      </c>
      <c r="B228">
        <f>IF($A228=1,SUM($A$2:$A228),"")</f>
        <v>227</v>
      </c>
      <c r="C228">
        <f>IF($A228=1,SUM($A$2:$A228),0)</f>
        <v>227</v>
      </c>
    </row>
    <row r="229" spans="1:3" x14ac:dyDescent="0.3">
      <c r="A229">
        <f>IF(AND(OR(Query!$B$4="All",'Compliance Database'!$A229=Query!$B$4),OR(Query!$B$5="All",'Compliance Database'!$F229=Query!$B$5),OR(Query!$B$6="All",ISNUMBER(SEARCH(Query!$B$6,'Compliance Database'!$I229))),OR(Query!$B$7="All",ISNUMBER(SEARCH(Query!$B$7,'Compliance Database'!$J229))),OR(Query!$B$8="All",'Compliance Database'!$G229=Query!$B$8),OR(Query!$B$9="All",'Compliance Database'!$K229=Query!$B$9),OR(Query!$B$10="",ISNUMBER(SEARCH(Query!$B$10,'Compliance Database'!$D229&amp;" "&amp;'Compliance Database'!$L229&amp;" "&amp;'Compliance Database'!$M229&amp;" "&amp;'Compliance Database'!$N229&amp;" "&amp;'Compliance Database'!$O229)))),1,0)</f>
        <v>1</v>
      </c>
      <c r="B229">
        <f>IF($A229=1,SUM($A$2:$A229),"")</f>
        <v>228</v>
      </c>
      <c r="C229">
        <f>IF($A229=1,SUM($A$2:$A229),0)</f>
        <v>228</v>
      </c>
    </row>
    <row r="230" spans="1:3" x14ac:dyDescent="0.3">
      <c r="A230">
        <f>IF(AND(OR(Query!$B$4="All",'Compliance Database'!$A230=Query!$B$4),OR(Query!$B$5="All",'Compliance Database'!$F230=Query!$B$5),OR(Query!$B$6="All",ISNUMBER(SEARCH(Query!$B$6,'Compliance Database'!$I230))),OR(Query!$B$7="All",ISNUMBER(SEARCH(Query!$B$7,'Compliance Database'!$J230))),OR(Query!$B$8="All",'Compliance Database'!$G230=Query!$B$8),OR(Query!$B$9="All",'Compliance Database'!$K230=Query!$B$9),OR(Query!$B$10="",ISNUMBER(SEARCH(Query!$B$10,'Compliance Database'!$D230&amp;" "&amp;'Compliance Database'!$L230&amp;" "&amp;'Compliance Database'!$M230&amp;" "&amp;'Compliance Database'!$N230&amp;" "&amp;'Compliance Database'!$O230)))),1,0)</f>
        <v>1</v>
      </c>
      <c r="B230">
        <f>IF($A230=1,SUM($A$2:$A230),"")</f>
        <v>229</v>
      </c>
      <c r="C230">
        <f>IF($A230=1,SUM($A$2:$A230),0)</f>
        <v>229</v>
      </c>
    </row>
    <row r="231" spans="1:3" x14ac:dyDescent="0.3">
      <c r="A231">
        <f>IF(AND(OR(Query!$B$4="All",'Compliance Database'!$A231=Query!$B$4),OR(Query!$B$5="All",'Compliance Database'!$F231=Query!$B$5),OR(Query!$B$6="All",ISNUMBER(SEARCH(Query!$B$6,'Compliance Database'!$I231))),OR(Query!$B$7="All",ISNUMBER(SEARCH(Query!$B$7,'Compliance Database'!$J231))),OR(Query!$B$8="All",'Compliance Database'!$G231=Query!$B$8),OR(Query!$B$9="All",'Compliance Database'!$K231=Query!$B$9),OR(Query!$B$10="",ISNUMBER(SEARCH(Query!$B$10,'Compliance Database'!$D231&amp;" "&amp;'Compliance Database'!$L231&amp;" "&amp;'Compliance Database'!$M231&amp;" "&amp;'Compliance Database'!$N231&amp;" "&amp;'Compliance Database'!$O231)))),1,0)</f>
        <v>1</v>
      </c>
      <c r="B231">
        <f>IF($A231=1,SUM($A$2:$A231),"")</f>
        <v>230</v>
      </c>
      <c r="C231">
        <f>IF($A231=1,SUM($A$2:$A231),0)</f>
        <v>230</v>
      </c>
    </row>
    <row r="232" spans="1:3" x14ac:dyDescent="0.3">
      <c r="A232">
        <f>IF(AND(OR(Query!$B$4="All",'Compliance Database'!$A232=Query!$B$4),OR(Query!$B$5="All",'Compliance Database'!$F232=Query!$B$5),OR(Query!$B$6="All",ISNUMBER(SEARCH(Query!$B$6,'Compliance Database'!$I232))),OR(Query!$B$7="All",ISNUMBER(SEARCH(Query!$B$7,'Compliance Database'!$J232))),OR(Query!$B$8="All",'Compliance Database'!$G232=Query!$B$8),OR(Query!$B$9="All",'Compliance Database'!$K232=Query!$B$9),OR(Query!$B$10="",ISNUMBER(SEARCH(Query!$B$10,'Compliance Database'!$D232&amp;" "&amp;'Compliance Database'!$L232&amp;" "&amp;'Compliance Database'!$M232&amp;" "&amp;'Compliance Database'!$N232&amp;" "&amp;'Compliance Database'!$O232)))),1,0)</f>
        <v>1</v>
      </c>
      <c r="B232">
        <f>IF($A232=1,SUM($A$2:$A232),"")</f>
        <v>231</v>
      </c>
      <c r="C232">
        <f>IF($A232=1,SUM($A$2:$A232),0)</f>
        <v>231</v>
      </c>
    </row>
    <row r="233" spans="1:3" x14ac:dyDescent="0.3">
      <c r="A233">
        <f>IF(AND(OR(Query!$B$4="All",'Compliance Database'!$A233=Query!$B$4),OR(Query!$B$5="All",'Compliance Database'!$F233=Query!$B$5),OR(Query!$B$6="All",ISNUMBER(SEARCH(Query!$B$6,'Compliance Database'!$I233))),OR(Query!$B$7="All",ISNUMBER(SEARCH(Query!$B$7,'Compliance Database'!$J233))),OR(Query!$B$8="All",'Compliance Database'!$G233=Query!$B$8),OR(Query!$B$9="All",'Compliance Database'!$K233=Query!$B$9),OR(Query!$B$10="",ISNUMBER(SEARCH(Query!$B$10,'Compliance Database'!$D233&amp;" "&amp;'Compliance Database'!$L233&amp;" "&amp;'Compliance Database'!$M233&amp;" "&amp;'Compliance Database'!$N233&amp;" "&amp;'Compliance Database'!$O233)))),1,0)</f>
        <v>1</v>
      </c>
      <c r="B233">
        <f>IF($A233=1,SUM($A$2:$A233),"")</f>
        <v>232</v>
      </c>
      <c r="C233">
        <f>IF($A233=1,SUM($A$2:$A233),0)</f>
        <v>232</v>
      </c>
    </row>
    <row r="234" spans="1:3" x14ac:dyDescent="0.3">
      <c r="A234">
        <f>IF(AND(OR(Query!$B$4="All",'Compliance Database'!$A234=Query!$B$4),OR(Query!$B$5="All",'Compliance Database'!$F234=Query!$B$5),OR(Query!$B$6="All",ISNUMBER(SEARCH(Query!$B$6,'Compliance Database'!$I234))),OR(Query!$B$7="All",ISNUMBER(SEARCH(Query!$B$7,'Compliance Database'!$J234))),OR(Query!$B$8="All",'Compliance Database'!$G234=Query!$B$8),OR(Query!$B$9="All",'Compliance Database'!$K234=Query!$B$9),OR(Query!$B$10="",ISNUMBER(SEARCH(Query!$B$10,'Compliance Database'!$D234&amp;" "&amp;'Compliance Database'!$L234&amp;" "&amp;'Compliance Database'!$M234&amp;" "&amp;'Compliance Database'!$N234&amp;" "&amp;'Compliance Database'!$O234)))),1,0)</f>
        <v>1</v>
      </c>
      <c r="B234">
        <f>IF($A234=1,SUM($A$2:$A234),"")</f>
        <v>233</v>
      </c>
      <c r="C234">
        <f>IF($A234=1,SUM($A$2:$A234),0)</f>
        <v>233</v>
      </c>
    </row>
    <row r="235" spans="1:3" x14ac:dyDescent="0.3">
      <c r="A235">
        <f>IF(AND(OR(Query!$B$4="All",'Compliance Database'!$A235=Query!$B$4),OR(Query!$B$5="All",'Compliance Database'!$F235=Query!$B$5),OR(Query!$B$6="All",ISNUMBER(SEARCH(Query!$B$6,'Compliance Database'!$I235))),OR(Query!$B$7="All",ISNUMBER(SEARCH(Query!$B$7,'Compliance Database'!$J235))),OR(Query!$B$8="All",'Compliance Database'!$G235=Query!$B$8),OR(Query!$B$9="All",'Compliance Database'!$K235=Query!$B$9),OR(Query!$B$10="",ISNUMBER(SEARCH(Query!$B$10,'Compliance Database'!$D235&amp;" "&amp;'Compliance Database'!$L235&amp;" "&amp;'Compliance Database'!$M235&amp;" "&amp;'Compliance Database'!$N235&amp;" "&amp;'Compliance Database'!$O235)))),1,0)</f>
        <v>1</v>
      </c>
      <c r="B235">
        <f>IF($A235=1,SUM($A$2:$A235),"")</f>
        <v>234</v>
      </c>
      <c r="C235">
        <f>IF($A235=1,SUM($A$2:$A235),0)</f>
        <v>234</v>
      </c>
    </row>
    <row r="236" spans="1:3" x14ac:dyDescent="0.3">
      <c r="A236">
        <f>IF(AND(OR(Query!$B$4="All",'Compliance Database'!$A236=Query!$B$4),OR(Query!$B$5="All",'Compliance Database'!$F236=Query!$B$5),OR(Query!$B$6="All",ISNUMBER(SEARCH(Query!$B$6,'Compliance Database'!$I236))),OR(Query!$B$7="All",ISNUMBER(SEARCH(Query!$B$7,'Compliance Database'!$J236))),OR(Query!$B$8="All",'Compliance Database'!$G236=Query!$B$8),OR(Query!$B$9="All",'Compliance Database'!$K236=Query!$B$9),OR(Query!$B$10="",ISNUMBER(SEARCH(Query!$B$10,'Compliance Database'!$D236&amp;" "&amp;'Compliance Database'!$L236&amp;" "&amp;'Compliance Database'!$M236&amp;" "&amp;'Compliance Database'!$N236&amp;" "&amp;'Compliance Database'!$O236)))),1,0)</f>
        <v>1</v>
      </c>
      <c r="B236">
        <f>IF($A236=1,SUM($A$2:$A236),"")</f>
        <v>235</v>
      </c>
      <c r="C236">
        <f>IF($A236=1,SUM($A$2:$A236),0)</f>
        <v>235</v>
      </c>
    </row>
    <row r="237" spans="1:3" x14ac:dyDescent="0.3">
      <c r="A237">
        <f>IF(AND(OR(Query!$B$4="All",'Compliance Database'!$A237=Query!$B$4),OR(Query!$B$5="All",'Compliance Database'!$F237=Query!$B$5),OR(Query!$B$6="All",ISNUMBER(SEARCH(Query!$B$6,'Compliance Database'!$I237))),OR(Query!$B$7="All",ISNUMBER(SEARCH(Query!$B$7,'Compliance Database'!$J237))),OR(Query!$B$8="All",'Compliance Database'!$G237=Query!$B$8),OR(Query!$B$9="All",'Compliance Database'!$K237=Query!$B$9),OR(Query!$B$10="",ISNUMBER(SEARCH(Query!$B$10,'Compliance Database'!$D237&amp;" "&amp;'Compliance Database'!$L237&amp;" "&amp;'Compliance Database'!$M237&amp;" "&amp;'Compliance Database'!$N237&amp;" "&amp;'Compliance Database'!$O237)))),1,0)</f>
        <v>1</v>
      </c>
      <c r="B237">
        <f>IF($A237=1,SUM($A$2:$A237),"")</f>
        <v>236</v>
      </c>
      <c r="C237">
        <f>IF($A237=1,SUM($A$2:$A237),0)</f>
        <v>236</v>
      </c>
    </row>
    <row r="238" spans="1:3" x14ac:dyDescent="0.3">
      <c r="A238">
        <f>IF(AND(OR(Query!$B$4="All",'Compliance Database'!$A238=Query!$B$4),OR(Query!$B$5="All",'Compliance Database'!$F238=Query!$B$5),OR(Query!$B$6="All",ISNUMBER(SEARCH(Query!$B$6,'Compliance Database'!$I238))),OR(Query!$B$7="All",ISNUMBER(SEARCH(Query!$B$7,'Compliance Database'!$J238))),OR(Query!$B$8="All",'Compliance Database'!$G238=Query!$B$8),OR(Query!$B$9="All",'Compliance Database'!$K238=Query!$B$9),OR(Query!$B$10="",ISNUMBER(SEARCH(Query!$B$10,'Compliance Database'!$D238&amp;" "&amp;'Compliance Database'!$L238&amp;" "&amp;'Compliance Database'!$M238&amp;" "&amp;'Compliance Database'!$N238&amp;" "&amp;'Compliance Database'!$O238)))),1,0)</f>
        <v>1</v>
      </c>
      <c r="B238">
        <f>IF($A238=1,SUM($A$2:$A238),"")</f>
        <v>237</v>
      </c>
      <c r="C238">
        <f>IF($A238=1,SUM($A$2:$A238),0)</f>
        <v>237</v>
      </c>
    </row>
    <row r="239" spans="1:3" x14ac:dyDescent="0.3">
      <c r="A239">
        <f>IF(AND(OR(Query!$B$4="All",'Compliance Database'!$A239=Query!$B$4),OR(Query!$B$5="All",'Compliance Database'!$F239=Query!$B$5),OR(Query!$B$6="All",ISNUMBER(SEARCH(Query!$B$6,'Compliance Database'!$I239))),OR(Query!$B$7="All",ISNUMBER(SEARCH(Query!$B$7,'Compliance Database'!$J239))),OR(Query!$B$8="All",'Compliance Database'!$G239=Query!$B$8),OR(Query!$B$9="All",'Compliance Database'!$K239=Query!$B$9),OR(Query!$B$10="",ISNUMBER(SEARCH(Query!$B$10,'Compliance Database'!$D239&amp;" "&amp;'Compliance Database'!$L239&amp;" "&amp;'Compliance Database'!$M239&amp;" "&amp;'Compliance Database'!$N239&amp;" "&amp;'Compliance Database'!$O239)))),1,0)</f>
        <v>1</v>
      </c>
      <c r="B239">
        <f>IF($A239=1,SUM($A$2:$A239),"")</f>
        <v>238</v>
      </c>
      <c r="C239">
        <f>IF($A239=1,SUM($A$2:$A239),0)</f>
        <v>238</v>
      </c>
    </row>
    <row r="240" spans="1:3" x14ac:dyDescent="0.3">
      <c r="A240">
        <f>IF(AND(OR(Query!$B$4="All",'Compliance Database'!$A240=Query!$B$4),OR(Query!$B$5="All",'Compliance Database'!$F240=Query!$B$5),OR(Query!$B$6="All",ISNUMBER(SEARCH(Query!$B$6,'Compliance Database'!$I240))),OR(Query!$B$7="All",ISNUMBER(SEARCH(Query!$B$7,'Compliance Database'!$J240))),OR(Query!$B$8="All",'Compliance Database'!$G240=Query!$B$8),OR(Query!$B$9="All",'Compliance Database'!$K240=Query!$B$9),OR(Query!$B$10="",ISNUMBER(SEARCH(Query!$B$10,'Compliance Database'!$D240&amp;" "&amp;'Compliance Database'!$L240&amp;" "&amp;'Compliance Database'!$M240&amp;" "&amp;'Compliance Database'!$N240&amp;" "&amp;'Compliance Database'!$O240)))),1,0)</f>
        <v>1</v>
      </c>
      <c r="B240">
        <f>IF($A240=1,SUM($A$2:$A240),"")</f>
        <v>239</v>
      </c>
      <c r="C240">
        <f>IF($A240=1,SUM($A$2:$A240),0)</f>
        <v>239</v>
      </c>
    </row>
    <row r="241" spans="1:3" x14ac:dyDescent="0.3">
      <c r="A241">
        <f>IF(AND(OR(Query!$B$4="All",'Compliance Database'!$A241=Query!$B$4),OR(Query!$B$5="All",'Compliance Database'!$F241=Query!$B$5),OR(Query!$B$6="All",ISNUMBER(SEARCH(Query!$B$6,'Compliance Database'!$I241))),OR(Query!$B$7="All",ISNUMBER(SEARCH(Query!$B$7,'Compliance Database'!$J241))),OR(Query!$B$8="All",'Compliance Database'!$G241=Query!$B$8),OR(Query!$B$9="All",'Compliance Database'!$K241=Query!$B$9),OR(Query!$B$10="",ISNUMBER(SEARCH(Query!$B$10,'Compliance Database'!$D241&amp;" "&amp;'Compliance Database'!$L241&amp;" "&amp;'Compliance Database'!$M241&amp;" "&amp;'Compliance Database'!$N241&amp;" "&amp;'Compliance Database'!$O241)))),1,0)</f>
        <v>1</v>
      </c>
      <c r="B241">
        <f>IF($A241=1,SUM($A$2:$A241),"")</f>
        <v>240</v>
      </c>
      <c r="C241">
        <f>IF($A241=1,SUM($A$2:$A241),0)</f>
        <v>240</v>
      </c>
    </row>
    <row r="242" spans="1:3" x14ac:dyDescent="0.3">
      <c r="A242">
        <f>IF(AND(OR(Query!$B$4="All",'Compliance Database'!$A242=Query!$B$4),OR(Query!$B$5="All",'Compliance Database'!$F242=Query!$B$5),OR(Query!$B$6="All",ISNUMBER(SEARCH(Query!$B$6,'Compliance Database'!$I242))),OR(Query!$B$7="All",ISNUMBER(SEARCH(Query!$B$7,'Compliance Database'!$J242))),OR(Query!$B$8="All",'Compliance Database'!$G242=Query!$B$8),OR(Query!$B$9="All",'Compliance Database'!$K242=Query!$B$9),OR(Query!$B$10="",ISNUMBER(SEARCH(Query!$B$10,'Compliance Database'!$D242&amp;" "&amp;'Compliance Database'!$L242&amp;" "&amp;'Compliance Database'!$M242&amp;" "&amp;'Compliance Database'!$N242&amp;" "&amp;'Compliance Database'!$O242)))),1,0)</f>
        <v>1</v>
      </c>
      <c r="B242">
        <f>IF($A242=1,SUM($A$2:$A242),"")</f>
        <v>241</v>
      </c>
      <c r="C242">
        <f>IF($A242=1,SUM($A$2:$A242),0)</f>
        <v>241</v>
      </c>
    </row>
    <row r="243" spans="1:3" x14ac:dyDescent="0.3">
      <c r="A243">
        <f>IF(AND(OR(Query!$B$4="All",'Compliance Database'!$A243=Query!$B$4),OR(Query!$B$5="All",'Compliance Database'!$F243=Query!$B$5),OR(Query!$B$6="All",ISNUMBER(SEARCH(Query!$B$6,'Compliance Database'!$I243))),OR(Query!$B$7="All",ISNUMBER(SEARCH(Query!$B$7,'Compliance Database'!$J243))),OR(Query!$B$8="All",'Compliance Database'!$G243=Query!$B$8),OR(Query!$B$9="All",'Compliance Database'!$K243=Query!$B$9),OR(Query!$B$10="",ISNUMBER(SEARCH(Query!$B$10,'Compliance Database'!$D243&amp;" "&amp;'Compliance Database'!$L243&amp;" "&amp;'Compliance Database'!$M243&amp;" "&amp;'Compliance Database'!$N243&amp;" "&amp;'Compliance Database'!$O243)))),1,0)</f>
        <v>1</v>
      </c>
      <c r="B243">
        <f>IF($A243=1,SUM($A$2:$A243),"")</f>
        <v>242</v>
      </c>
      <c r="C243">
        <f>IF($A243=1,SUM($A$2:$A243),0)</f>
        <v>242</v>
      </c>
    </row>
    <row r="244" spans="1:3" x14ac:dyDescent="0.3">
      <c r="A244">
        <f>IF(AND(OR(Query!$B$4="All",'Compliance Database'!$A244=Query!$B$4),OR(Query!$B$5="All",'Compliance Database'!$F244=Query!$B$5),OR(Query!$B$6="All",ISNUMBER(SEARCH(Query!$B$6,'Compliance Database'!$I244))),OR(Query!$B$7="All",ISNUMBER(SEARCH(Query!$B$7,'Compliance Database'!$J244))),OR(Query!$B$8="All",'Compliance Database'!$G244=Query!$B$8),OR(Query!$B$9="All",'Compliance Database'!$K244=Query!$B$9),OR(Query!$B$10="",ISNUMBER(SEARCH(Query!$B$10,'Compliance Database'!$D244&amp;" "&amp;'Compliance Database'!$L244&amp;" "&amp;'Compliance Database'!$M244&amp;" "&amp;'Compliance Database'!$N244&amp;" "&amp;'Compliance Database'!$O244)))),1,0)</f>
        <v>1</v>
      </c>
      <c r="B244">
        <f>IF($A244=1,SUM($A$2:$A244),"")</f>
        <v>243</v>
      </c>
      <c r="C244">
        <f>IF($A244=1,SUM($A$2:$A244),0)</f>
        <v>243</v>
      </c>
    </row>
    <row r="245" spans="1:3" x14ac:dyDescent="0.3">
      <c r="A245">
        <f>IF(AND(OR(Query!$B$4="All",'Compliance Database'!$A245=Query!$B$4),OR(Query!$B$5="All",'Compliance Database'!$F245=Query!$B$5),OR(Query!$B$6="All",ISNUMBER(SEARCH(Query!$B$6,'Compliance Database'!$I245))),OR(Query!$B$7="All",ISNUMBER(SEARCH(Query!$B$7,'Compliance Database'!$J245))),OR(Query!$B$8="All",'Compliance Database'!$G245=Query!$B$8),OR(Query!$B$9="All",'Compliance Database'!$K245=Query!$B$9),OR(Query!$B$10="",ISNUMBER(SEARCH(Query!$B$10,'Compliance Database'!$D245&amp;" "&amp;'Compliance Database'!$L245&amp;" "&amp;'Compliance Database'!$M245&amp;" "&amp;'Compliance Database'!$N245&amp;" "&amp;'Compliance Database'!$O245)))),1,0)</f>
        <v>1</v>
      </c>
      <c r="B245">
        <f>IF($A245=1,SUM($A$2:$A245),"")</f>
        <v>244</v>
      </c>
      <c r="C245">
        <f>IF($A245=1,SUM($A$2:$A245),0)</f>
        <v>244</v>
      </c>
    </row>
    <row r="246" spans="1:3" x14ac:dyDescent="0.3">
      <c r="A246">
        <f>IF(AND(OR(Query!$B$4="All",'Compliance Database'!$A246=Query!$B$4),OR(Query!$B$5="All",'Compliance Database'!$F246=Query!$B$5),OR(Query!$B$6="All",ISNUMBER(SEARCH(Query!$B$6,'Compliance Database'!$I246))),OR(Query!$B$7="All",ISNUMBER(SEARCH(Query!$B$7,'Compliance Database'!$J246))),OR(Query!$B$8="All",'Compliance Database'!$G246=Query!$B$8),OR(Query!$B$9="All",'Compliance Database'!$K246=Query!$B$9),OR(Query!$B$10="",ISNUMBER(SEARCH(Query!$B$10,'Compliance Database'!$D246&amp;" "&amp;'Compliance Database'!$L246&amp;" "&amp;'Compliance Database'!$M246&amp;" "&amp;'Compliance Database'!$N246&amp;" "&amp;'Compliance Database'!$O246)))),1,0)</f>
        <v>1</v>
      </c>
      <c r="B246">
        <f>IF($A246=1,SUM($A$2:$A246),"")</f>
        <v>245</v>
      </c>
      <c r="C246">
        <f>IF($A246=1,SUM($A$2:$A246),0)</f>
        <v>245</v>
      </c>
    </row>
    <row r="247" spans="1:3" x14ac:dyDescent="0.3">
      <c r="A247">
        <f>IF(AND(OR(Query!$B$4="All",'Compliance Database'!$A247=Query!$B$4),OR(Query!$B$5="All",'Compliance Database'!$F247=Query!$B$5),OR(Query!$B$6="All",ISNUMBER(SEARCH(Query!$B$6,'Compliance Database'!$I247))),OR(Query!$B$7="All",ISNUMBER(SEARCH(Query!$B$7,'Compliance Database'!$J247))),OR(Query!$B$8="All",'Compliance Database'!$G247=Query!$B$8),OR(Query!$B$9="All",'Compliance Database'!$K247=Query!$B$9),OR(Query!$B$10="",ISNUMBER(SEARCH(Query!$B$10,'Compliance Database'!$D247&amp;" "&amp;'Compliance Database'!$L247&amp;" "&amp;'Compliance Database'!$M247&amp;" "&amp;'Compliance Database'!$N247&amp;" "&amp;'Compliance Database'!$O247)))),1,0)</f>
        <v>1</v>
      </c>
      <c r="B247">
        <f>IF($A247=1,SUM($A$2:$A247),"")</f>
        <v>246</v>
      </c>
      <c r="C247">
        <f>IF($A247=1,SUM($A$2:$A247),0)</f>
        <v>246</v>
      </c>
    </row>
    <row r="248" spans="1:3" x14ac:dyDescent="0.3">
      <c r="A248">
        <f>IF(AND(OR(Query!$B$4="All",'Compliance Database'!$A248=Query!$B$4),OR(Query!$B$5="All",'Compliance Database'!$F248=Query!$B$5),OR(Query!$B$6="All",ISNUMBER(SEARCH(Query!$B$6,'Compliance Database'!$I248))),OR(Query!$B$7="All",ISNUMBER(SEARCH(Query!$B$7,'Compliance Database'!$J248))),OR(Query!$B$8="All",'Compliance Database'!$G248=Query!$B$8),OR(Query!$B$9="All",'Compliance Database'!$K248=Query!$B$9),OR(Query!$B$10="",ISNUMBER(SEARCH(Query!$B$10,'Compliance Database'!$D248&amp;" "&amp;'Compliance Database'!$L248&amp;" "&amp;'Compliance Database'!$M248&amp;" "&amp;'Compliance Database'!$N248&amp;" "&amp;'Compliance Database'!$O248)))),1,0)</f>
        <v>1</v>
      </c>
      <c r="B248">
        <f>IF($A248=1,SUM($A$2:$A248),"")</f>
        <v>247</v>
      </c>
      <c r="C248">
        <f>IF($A248=1,SUM($A$2:$A248),0)</f>
        <v>247</v>
      </c>
    </row>
    <row r="249" spans="1:3" x14ac:dyDescent="0.3">
      <c r="A249">
        <f>IF(AND(OR(Query!$B$4="All",'Compliance Database'!$A249=Query!$B$4),OR(Query!$B$5="All",'Compliance Database'!$F249=Query!$B$5),OR(Query!$B$6="All",ISNUMBER(SEARCH(Query!$B$6,'Compliance Database'!$I249))),OR(Query!$B$7="All",ISNUMBER(SEARCH(Query!$B$7,'Compliance Database'!$J249))),OR(Query!$B$8="All",'Compliance Database'!$G249=Query!$B$8),OR(Query!$B$9="All",'Compliance Database'!$K249=Query!$B$9),OR(Query!$B$10="",ISNUMBER(SEARCH(Query!$B$10,'Compliance Database'!$D249&amp;" "&amp;'Compliance Database'!$L249&amp;" "&amp;'Compliance Database'!$M249&amp;" "&amp;'Compliance Database'!$N249&amp;" "&amp;'Compliance Database'!$O249)))),1,0)</f>
        <v>1</v>
      </c>
      <c r="B249">
        <f>IF($A249=1,SUM($A$2:$A249),"")</f>
        <v>248</v>
      </c>
      <c r="C249">
        <f>IF($A249=1,SUM($A$2:$A249),0)</f>
        <v>248</v>
      </c>
    </row>
    <row r="250" spans="1:3" x14ac:dyDescent="0.3">
      <c r="A250">
        <f>IF(AND(OR(Query!$B$4="All",'Compliance Database'!$A250=Query!$B$4),OR(Query!$B$5="All",'Compliance Database'!$F250=Query!$B$5),OR(Query!$B$6="All",ISNUMBER(SEARCH(Query!$B$6,'Compliance Database'!$I250))),OR(Query!$B$7="All",ISNUMBER(SEARCH(Query!$B$7,'Compliance Database'!$J250))),OR(Query!$B$8="All",'Compliance Database'!$G250=Query!$B$8),OR(Query!$B$9="All",'Compliance Database'!$K250=Query!$B$9),OR(Query!$B$10="",ISNUMBER(SEARCH(Query!$B$10,'Compliance Database'!$D250&amp;" "&amp;'Compliance Database'!$L250&amp;" "&amp;'Compliance Database'!$M250&amp;" "&amp;'Compliance Database'!$N250&amp;" "&amp;'Compliance Database'!$O250)))),1,0)</f>
        <v>1</v>
      </c>
      <c r="B250">
        <f>IF($A250=1,SUM($A$2:$A250),"")</f>
        <v>249</v>
      </c>
      <c r="C250">
        <f>IF($A250=1,SUM($A$2:$A250),0)</f>
        <v>249</v>
      </c>
    </row>
    <row r="251" spans="1:3" x14ac:dyDescent="0.3">
      <c r="A251">
        <f>IF(AND(OR(Query!$B$4="All",'Compliance Database'!$A251=Query!$B$4),OR(Query!$B$5="All",'Compliance Database'!$F251=Query!$B$5),OR(Query!$B$6="All",ISNUMBER(SEARCH(Query!$B$6,'Compliance Database'!$I251))),OR(Query!$B$7="All",ISNUMBER(SEARCH(Query!$B$7,'Compliance Database'!$J251))),OR(Query!$B$8="All",'Compliance Database'!$G251=Query!$B$8),OR(Query!$B$9="All",'Compliance Database'!$K251=Query!$B$9),OR(Query!$B$10="",ISNUMBER(SEARCH(Query!$B$10,'Compliance Database'!$D251&amp;" "&amp;'Compliance Database'!$L251&amp;" "&amp;'Compliance Database'!$M251&amp;" "&amp;'Compliance Database'!$N251&amp;" "&amp;'Compliance Database'!$O251)))),1,0)</f>
        <v>1</v>
      </c>
      <c r="B251">
        <f>IF($A251=1,SUM($A$2:$A251),"")</f>
        <v>250</v>
      </c>
      <c r="C251">
        <f>IF($A251=1,SUM($A$2:$A251),0)</f>
        <v>250</v>
      </c>
    </row>
    <row r="252" spans="1:3" x14ac:dyDescent="0.3">
      <c r="A252">
        <f>IF(AND(OR(Query!$B$4="All",'Compliance Database'!$A252=Query!$B$4),OR(Query!$B$5="All",'Compliance Database'!$F252=Query!$B$5),OR(Query!$B$6="All",ISNUMBER(SEARCH(Query!$B$6,'Compliance Database'!$I252))),OR(Query!$B$7="All",ISNUMBER(SEARCH(Query!$B$7,'Compliance Database'!$J252))),OR(Query!$B$8="All",'Compliance Database'!$G252=Query!$B$8),OR(Query!$B$9="All",'Compliance Database'!$K252=Query!$B$9),OR(Query!$B$10="",ISNUMBER(SEARCH(Query!$B$10,'Compliance Database'!$D252&amp;" "&amp;'Compliance Database'!$L252&amp;" "&amp;'Compliance Database'!$M252&amp;" "&amp;'Compliance Database'!$N252&amp;" "&amp;'Compliance Database'!$O252)))),1,0)</f>
        <v>1</v>
      </c>
      <c r="B252">
        <f>IF($A252=1,SUM($A$2:$A252),"")</f>
        <v>251</v>
      </c>
      <c r="C252">
        <f>IF($A252=1,SUM($A$2:$A252),0)</f>
        <v>251</v>
      </c>
    </row>
    <row r="253" spans="1:3" x14ac:dyDescent="0.3">
      <c r="A253">
        <f>IF(AND(OR(Query!$B$4="All",'Compliance Database'!$A253=Query!$B$4),OR(Query!$B$5="All",'Compliance Database'!$F253=Query!$B$5),OR(Query!$B$6="All",ISNUMBER(SEARCH(Query!$B$6,'Compliance Database'!$I253))),OR(Query!$B$7="All",ISNUMBER(SEARCH(Query!$B$7,'Compliance Database'!$J253))),OR(Query!$B$8="All",'Compliance Database'!$G253=Query!$B$8),OR(Query!$B$9="All",'Compliance Database'!$K253=Query!$B$9),OR(Query!$B$10="",ISNUMBER(SEARCH(Query!$B$10,'Compliance Database'!$D253&amp;" "&amp;'Compliance Database'!$L253&amp;" "&amp;'Compliance Database'!$M253&amp;" "&amp;'Compliance Database'!$N253&amp;" "&amp;'Compliance Database'!$O253)))),1,0)</f>
        <v>1</v>
      </c>
      <c r="B253">
        <f>IF($A253=1,SUM($A$2:$A253),"")</f>
        <v>252</v>
      </c>
      <c r="C253">
        <f>IF($A253=1,SUM($A$2:$A253),0)</f>
        <v>252</v>
      </c>
    </row>
    <row r="254" spans="1:3" x14ac:dyDescent="0.3">
      <c r="A254">
        <f>IF(AND(OR(Query!$B$4="All",'Compliance Database'!$A254=Query!$B$4),OR(Query!$B$5="All",'Compliance Database'!$F254=Query!$B$5),OR(Query!$B$6="All",ISNUMBER(SEARCH(Query!$B$6,'Compliance Database'!$I254))),OR(Query!$B$7="All",ISNUMBER(SEARCH(Query!$B$7,'Compliance Database'!$J254))),OR(Query!$B$8="All",'Compliance Database'!$G254=Query!$B$8),OR(Query!$B$9="All",'Compliance Database'!$K254=Query!$B$9),OR(Query!$B$10="",ISNUMBER(SEARCH(Query!$B$10,'Compliance Database'!$D254&amp;" "&amp;'Compliance Database'!$L254&amp;" "&amp;'Compliance Database'!$M254&amp;" "&amp;'Compliance Database'!$N254&amp;" "&amp;'Compliance Database'!$O254)))),1,0)</f>
        <v>1</v>
      </c>
      <c r="B254">
        <f>IF($A254=1,SUM($A$2:$A254),"")</f>
        <v>253</v>
      </c>
      <c r="C254">
        <f>IF($A254=1,SUM($A$2:$A254),0)</f>
        <v>253</v>
      </c>
    </row>
    <row r="255" spans="1:3" x14ac:dyDescent="0.3">
      <c r="A255">
        <f>IF(AND(OR(Query!$B$4="All",'Compliance Database'!$A255=Query!$B$4),OR(Query!$B$5="All",'Compliance Database'!$F255=Query!$B$5),OR(Query!$B$6="All",ISNUMBER(SEARCH(Query!$B$6,'Compliance Database'!$I255))),OR(Query!$B$7="All",ISNUMBER(SEARCH(Query!$B$7,'Compliance Database'!$J255))),OR(Query!$B$8="All",'Compliance Database'!$G255=Query!$B$8),OR(Query!$B$9="All",'Compliance Database'!$K255=Query!$B$9),OR(Query!$B$10="",ISNUMBER(SEARCH(Query!$B$10,'Compliance Database'!$D255&amp;" "&amp;'Compliance Database'!$L255&amp;" "&amp;'Compliance Database'!$M255&amp;" "&amp;'Compliance Database'!$N255&amp;" "&amp;'Compliance Database'!$O255)))),1,0)</f>
        <v>1</v>
      </c>
      <c r="B255">
        <f>IF($A255=1,SUM($A$2:$A255),"")</f>
        <v>254</v>
      </c>
      <c r="C255">
        <f>IF($A255=1,SUM($A$2:$A255),0)</f>
        <v>254</v>
      </c>
    </row>
    <row r="256" spans="1:3" x14ac:dyDescent="0.3">
      <c r="A256">
        <f>IF(AND(OR(Query!$B$4="All",'Compliance Database'!$A256=Query!$B$4),OR(Query!$B$5="All",'Compliance Database'!$F256=Query!$B$5),OR(Query!$B$6="All",ISNUMBER(SEARCH(Query!$B$6,'Compliance Database'!$I256))),OR(Query!$B$7="All",ISNUMBER(SEARCH(Query!$B$7,'Compliance Database'!$J256))),OR(Query!$B$8="All",'Compliance Database'!$G256=Query!$B$8),OR(Query!$B$9="All",'Compliance Database'!$K256=Query!$B$9),OR(Query!$B$10="",ISNUMBER(SEARCH(Query!$B$10,'Compliance Database'!$D256&amp;" "&amp;'Compliance Database'!$L256&amp;" "&amp;'Compliance Database'!$M256&amp;" "&amp;'Compliance Database'!$N256&amp;" "&amp;'Compliance Database'!$O256)))),1,0)</f>
        <v>1</v>
      </c>
      <c r="B256">
        <f>IF($A256=1,SUM($A$2:$A256),"")</f>
        <v>255</v>
      </c>
      <c r="C256">
        <f>IF($A256=1,SUM($A$2:$A256),0)</f>
        <v>255</v>
      </c>
    </row>
    <row r="257" spans="1:3" x14ac:dyDescent="0.3">
      <c r="A257">
        <f>IF(AND(OR(Query!$B$4="All",'Compliance Database'!$A257=Query!$B$4),OR(Query!$B$5="All",'Compliance Database'!$F257=Query!$B$5),OR(Query!$B$6="All",ISNUMBER(SEARCH(Query!$B$6,'Compliance Database'!$I257))),OR(Query!$B$7="All",ISNUMBER(SEARCH(Query!$B$7,'Compliance Database'!$J257))),OR(Query!$B$8="All",'Compliance Database'!$G257=Query!$B$8),OR(Query!$B$9="All",'Compliance Database'!$K257=Query!$B$9),OR(Query!$B$10="",ISNUMBER(SEARCH(Query!$B$10,'Compliance Database'!$D257&amp;" "&amp;'Compliance Database'!$L257&amp;" "&amp;'Compliance Database'!$M257&amp;" "&amp;'Compliance Database'!$N257&amp;" "&amp;'Compliance Database'!$O257)))),1,0)</f>
        <v>1</v>
      </c>
      <c r="B257">
        <f>IF($A257=1,SUM($A$2:$A257),"")</f>
        <v>256</v>
      </c>
      <c r="C257">
        <f>IF($A257=1,SUM($A$2:$A257),0)</f>
        <v>256</v>
      </c>
    </row>
    <row r="258" spans="1:3" x14ac:dyDescent="0.3">
      <c r="A258">
        <f>IF(AND(OR(Query!$B$4="All",'Compliance Database'!$A258=Query!$B$4),OR(Query!$B$5="All",'Compliance Database'!$F258=Query!$B$5),OR(Query!$B$6="All",ISNUMBER(SEARCH(Query!$B$6,'Compliance Database'!$I258))),OR(Query!$B$7="All",ISNUMBER(SEARCH(Query!$B$7,'Compliance Database'!$J258))),OR(Query!$B$8="All",'Compliance Database'!$G258=Query!$B$8),OR(Query!$B$9="All",'Compliance Database'!$K258=Query!$B$9),OR(Query!$B$10="",ISNUMBER(SEARCH(Query!$B$10,'Compliance Database'!$D258&amp;" "&amp;'Compliance Database'!$L258&amp;" "&amp;'Compliance Database'!$M258&amp;" "&amp;'Compliance Database'!$N258&amp;" "&amp;'Compliance Database'!$O258)))),1,0)</f>
        <v>1</v>
      </c>
      <c r="B258">
        <f>IF($A258=1,SUM($A$2:$A258),"")</f>
        <v>257</v>
      </c>
      <c r="C258">
        <f>IF($A258=1,SUM($A$2:$A258),0)</f>
        <v>257</v>
      </c>
    </row>
    <row r="259" spans="1:3" x14ac:dyDescent="0.3">
      <c r="A259">
        <f>IF(AND(OR(Query!$B$4="All",'Compliance Database'!$A259=Query!$B$4),OR(Query!$B$5="All",'Compliance Database'!$F259=Query!$B$5),OR(Query!$B$6="All",ISNUMBER(SEARCH(Query!$B$6,'Compliance Database'!$I259))),OR(Query!$B$7="All",ISNUMBER(SEARCH(Query!$B$7,'Compliance Database'!$J259))),OR(Query!$B$8="All",'Compliance Database'!$G259=Query!$B$8),OR(Query!$B$9="All",'Compliance Database'!$K259=Query!$B$9),OR(Query!$B$10="",ISNUMBER(SEARCH(Query!$B$10,'Compliance Database'!$D259&amp;" "&amp;'Compliance Database'!$L259&amp;" "&amp;'Compliance Database'!$M259&amp;" "&amp;'Compliance Database'!$N259&amp;" "&amp;'Compliance Database'!$O259)))),1,0)</f>
        <v>1</v>
      </c>
      <c r="B259">
        <f>IF($A259=1,SUM($A$2:$A259),"")</f>
        <v>258</v>
      </c>
      <c r="C259">
        <f>IF($A259=1,SUM($A$2:$A259),0)</f>
        <v>258</v>
      </c>
    </row>
    <row r="260" spans="1:3" x14ac:dyDescent="0.3">
      <c r="A260">
        <f>IF(AND(OR(Query!$B$4="All",'Compliance Database'!$A260=Query!$B$4),OR(Query!$B$5="All",'Compliance Database'!$F260=Query!$B$5),OR(Query!$B$6="All",ISNUMBER(SEARCH(Query!$B$6,'Compliance Database'!$I260))),OR(Query!$B$7="All",ISNUMBER(SEARCH(Query!$B$7,'Compliance Database'!$J260))),OR(Query!$B$8="All",'Compliance Database'!$G260=Query!$B$8),OR(Query!$B$9="All",'Compliance Database'!$K260=Query!$B$9),OR(Query!$B$10="",ISNUMBER(SEARCH(Query!$B$10,'Compliance Database'!$D260&amp;" "&amp;'Compliance Database'!$L260&amp;" "&amp;'Compliance Database'!$M260&amp;" "&amp;'Compliance Database'!$N260&amp;" "&amp;'Compliance Database'!$O260)))),1,0)</f>
        <v>1</v>
      </c>
      <c r="B260">
        <f>IF($A260=1,SUM($A$2:$A260),"")</f>
        <v>259</v>
      </c>
      <c r="C260">
        <f>IF($A260=1,SUM($A$2:$A260),0)</f>
        <v>259</v>
      </c>
    </row>
    <row r="261" spans="1:3" x14ac:dyDescent="0.3">
      <c r="A261">
        <f>IF(AND(OR(Query!$B$4="All",'Compliance Database'!$A261=Query!$B$4),OR(Query!$B$5="All",'Compliance Database'!$F261=Query!$B$5),OR(Query!$B$6="All",ISNUMBER(SEARCH(Query!$B$6,'Compliance Database'!$I261))),OR(Query!$B$7="All",ISNUMBER(SEARCH(Query!$B$7,'Compliance Database'!$J261))),OR(Query!$B$8="All",'Compliance Database'!$G261=Query!$B$8),OR(Query!$B$9="All",'Compliance Database'!$K261=Query!$B$9),OR(Query!$B$10="",ISNUMBER(SEARCH(Query!$B$10,'Compliance Database'!$D261&amp;" "&amp;'Compliance Database'!$L261&amp;" "&amp;'Compliance Database'!$M261&amp;" "&amp;'Compliance Database'!$N261&amp;" "&amp;'Compliance Database'!$O261)))),1,0)</f>
        <v>1</v>
      </c>
      <c r="B261">
        <f>IF($A261=1,SUM($A$2:$A261),"")</f>
        <v>260</v>
      </c>
      <c r="C261">
        <f>IF($A261=1,SUM($A$2:$A261),0)</f>
        <v>260</v>
      </c>
    </row>
    <row r="262" spans="1:3" x14ac:dyDescent="0.3">
      <c r="A262">
        <f>IF(AND(OR(Query!$B$4="All",'Compliance Database'!$A262=Query!$B$4),OR(Query!$B$5="All",'Compliance Database'!$F262=Query!$B$5),OR(Query!$B$6="All",ISNUMBER(SEARCH(Query!$B$6,'Compliance Database'!$I262))),OR(Query!$B$7="All",ISNUMBER(SEARCH(Query!$B$7,'Compliance Database'!$J262))),OR(Query!$B$8="All",'Compliance Database'!$G262=Query!$B$8),OR(Query!$B$9="All",'Compliance Database'!$K262=Query!$B$9),OR(Query!$B$10="",ISNUMBER(SEARCH(Query!$B$10,'Compliance Database'!$D262&amp;" "&amp;'Compliance Database'!$L262&amp;" "&amp;'Compliance Database'!$M262&amp;" "&amp;'Compliance Database'!$N262&amp;" "&amp;'Compliance Database'!$O262)))),1,0)</f>
        <v>1</v>
      </c>
      <c r="B262">
        <f>IF($A262=1,SUM($A$2:$A262),"")</f>
        <v>261</v>
      </c>
      <c r="C262">
        <f>IF($A262=1,SUM($A$2:$A262),0)</f>
        <v>261</v>
      </c>
    </row>
    <row r="263" spans="1:3" x14ac:dyDescent="0.3">
      <c r="A263">
        <f>IF(AND(OR(Query!$B$4="All",'Compliance Database'!$A263=Query!$B$4),OR(Query!$B$5="All",'Compliance Database'!$F263=Query!$B$5),OR(Query!$B$6="All",ISNUMBER(SEARCH(Query!$B$6,'Compliance Database'!$I263))),OR(Query!$B$7="All",ISNUMBER(SEARCH(Query!$B$7,'Compliance Database'!$J263))),OR(Query!$B$8="All",'Compliance Database'!$G263=Query!$B$8),OR(Query!$B$9="All",'Compliance Database'!$K263=Query!$B$9),OR(Query!$B$10="",ISNUMBER(SEARCH(Query!$B$10,'Compliance Database'!$D263&amp;" "&amp;'Compliance Database'!$L263&amp;" "&amp;'Compliance Database'!$M263&amp;" "&amp;'Compliance Database'!$N263&amp;" "&amp;'Compliance Database'!$O263)))),1,0)</f>
        <v>1</v>
      </c>
      <c r="B263">
        <f>IF($A263=1,SUM($A$2:$A263),"")</f>
        <v>262</v>
      </c>
      <c r="C263">
        <f>IF($A263=1,SUM($A$2:$A263),0)</f>
        <v>262</v>
      </c>
    </row>
    <row r="264" spans="1:3" x14ac:dyDescent="0.3">
      <c r="A264">
        <f>IF(AND(OR(Query!$B$4="All",'Compliance Database'!$A264=Query!$B$4),OR(Query!$B$5="All",'Compliance Database'!$F264=Query!$B$5),OR(Query!$B$6="All",ISNUMBER(SEARCH(Query!$B$6,'Compliance Database'!$I264))),OR(Query!$B$7="All",ISNUMBER(SEARCH(Query!$B$7,'Compliance Database'!$J264))),OR(Query!$B$8="All",'Compliance Database'!$G264=Query!$B$8),OR(Query!$B$9="All",'Compliance Database'!$K264=Query!$B$9),OR(Query!$B$10="",ISNUMBER(SEARCH(Query!$B$10,'Compliance Database'!$D264&amp;" "&amp;'Compliance Database'!$L264&amp;" "&amp;'Compliance Database'!$M264&amp;" "&amp;'Compliance Database'!$N264&amp;" "&amp;'Compliance Database'!$O264)))),1,0)</f>
        <v>1</v>
      </c>
      <c r="B264">
        <f>IF($A264=1,SUM($A$2:$A264),"")</f>
        <v>263</v>
      </c>
      <c r="C264">
        <f>IF($A264=1,SUM($A$2:$A264),0)</f>
        <v>263</v>
      </c>
    </row>
    <row r="265" spans="1:3" x14ac:dyDescent="0.3">
      <c r="A265">
        <f>IF(AND(OR(Query!$B$4="All",'Compliance Database'!$A265=Query!$B$4),OR(Query!$B$5="All",'Compliance Database'!$F265=Query!$B$5),OR(Query!$B$6="All",ISNUMBER(SEARCH(Query!$B$6,'Compliance Database'!$I265))),OR(Query!$B$7="All",ISNUMBER(SEARCH(Query!$B$7,'Compliance Database'!$J265))),OR(Query!$B$8="All",'Compliance Database'!$G265=Query!$B$8),OR(Query!$B$9="All",'Compliance Database'!$K265=Query!$B$9),OR(Query!$B$10="",ISNUMBER(SEARCH(Query!$B$10,'Compliance Database'!$D265&amp;" "&amp;'Compliance Database'!$L265&amp;" "&amp;'Compliance Database'!$M265&amp;" "&amp;'Compliance Database'!$N265&amp;" "&amp;'Compliance Database'!$O265)))),1,0)</f>
        <v>1</v>
      </c>
      <c r="B265">
        <f>IF($A265=1,SUM($A$2:$A265),"")</f>
        <v>264</v>
      </c>
      <c r="C265">
        <f>IF($A265=1,SUM($A$2:$A265),0)</f>
        <v>264</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Home</vt:lpstr>
      <vt:lpstr>Query</vt:lpstr>
      <vt:lpstr>Compliance Database</vt:lpstr>
      <vt:lpstr>Acts</vt:lpstr>
      <vt:lpstr>Regulators</vt:lpstr>
      <vt:lpstr>Topics</vt:lpstr>
      <vt:lpstr>Lists</vt:lpstr>
      <vt:lpstr>Engine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Deysel, E, Mr [26685248@sun.ac.za]</cp:lastModifiedBy>
  <dcterms:created xsi:type="dcterms:W3CDTF">2026-07-12T15:16:07Z</dcterms:created>
  <dcterms:modified xsi:type="dcterms:W3CDTF">2026-07-12T15:19:10Z</dcterms:modified>
</cp:coreProperties>
</file>